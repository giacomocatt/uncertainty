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co\Desktop\phd\Current Projects\Uncertainty\Data\"/>
    </mc:Choice>
  </mc:AlternateContent>
  <xr:revisionPtr revIDLastSave="0" documentId="13_ncr:1_{A2590FB5-F90F-4D63-B6FD-559DCEB862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500_monthly" sheetId="1" r:id="rId1"/>
    <sheet name="10years" sheetId="2" r:id="rId2"/>
    <sheet name="Exc_R" sheetId="4" r:id="rId3"/>
    <sheet name="10years_f" sheetId="3" r:id="rId4"/>
    <sheet name="Exc_R_f" sheetId="5" r:id="rId5"/>
    <sheet name="quarterl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7" i="1" l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B2" i="3" a="1"/>
  <c r="B2" i="3" s="1"/>
  <c r="C2" i="3" a="1"/>
  <c r="C2" i="3" s="1"/>
  <c r="D2" i="3" a="1"/>
  <c r="D2" i="3" s="1"/>
  <c r="E2" i="3" a="1"/>
  <c r="E2" i="3" s="1"/>
  <c r="F2" i="3" a="1"/>
  <c r="F2" i="3" s="1"/>
  <c r="G2" i="3" a="1"/>
  <c r="G2" i="3" s="1"/>
  <c r="H2" i="3" a="1"/>
  <c r="H2" i="3" s="1"/>
  <c r="I2" i="3" a="1"/>
  <c r="I2" i="3" s="1"/>
  <c r="B3" i="3" a="1"/>
  <c r="B3" i="3" s="1"/>
  <c r="C3" i="3" a="1"/>
  <c r="C3" i="3" s="1"/>
  <c r="D3" i="3" a="1"/>
  <c r="D3" i="3" s="1"/>
  <c r="E3" i="3" a="1"/>
  <c r="E3" i="3" s="1"/>
  <c r="F3" i="3" a="1"/>
  <c r="F3" i="3" s="1"/>
  <c r="G3" i="3" a="1"/>
  <c r="G3" i="3"/>
  <c r="H3" i="3" a="1"/>
  <c r="H3" i="3" s="1"/>
  <c r="I3" i="3" a="1"/>
  <c r="I3" i="3" s="1"/>
  <c r="B4" i="3" a="1"/>
  <c r="B4" i="3"/>
  <c r="C4" i="3" a="1"/>
  <c r="C4" i="3" s="1"/>
  <c r="D4" i="3" a="1"/>
  <c r="D4" i="3" s="1"/>
  <c r="E4" i="3" a="1"/>
  <c r="E4" i="3" s="1"/>
  <c r="F4" i="3" a="1"/>
  <c r="F4" i="3" s="1"/>
  <c r="G4" i="3" a="1"/>
  <c r="G4" i="3" s="1"/>
  <c r="H4" i="3" a="1"/>
  <c r="H4" i="3" s="1"/>
  <c r="I4" i="3" a="1"/>
  <c r="I4" i="3" s="1"/>
  <c r="B5" i="3" a="1"/>
  <c r="B5" i="3" s="1"/>
  <c r="C5" i="3" a="1"/>
  <c r="C5" i="3"/>
  <c r="D5" i="3" a="1"/>
  <c r="D5" i="3" s="1"/>
  <c r="E5" i="3" a="1"/>
  <c r="E5" i="3" s="1"/>
  <c r="F5" i="3" a="1"/>
  <c r="F5" i="3" s="1"/>
  <c r="G5" i="3" a="1"/>
  <c r="G5" i="3" s="1"/>
  <c r="H5" i="3" a="1"/>
  <c r="H5" i="3" s="1"/>
  <c r="I5" i="3" a="1"/>
  <c r="I5" i="3" s="1"/>
  <c r="B6" i="3" a="1"/>
  <c r="B6" i="3" s="1"/>
  <c r="C6" i="3" a="1"/>
  <c r="C6" i="3" s="1"/>
  <c r="D6" i="3" a="1"/>
  <c r="D6" i="3"/>
  <c r="E6" i="3" a="1"/>
  <c r="E6" i="3" s="1"/>
  <c r="F6" i="3" a="1"/>
  <c r="F6" i="3" s="1"/>
  <c r="G6" i="3" a="1"/>
  <c r="G6" i="3" s="1"/>
  <c r="H6" i="3" a="1"/>
  <c r="H6" i="3" s="1"/>
  <c r="I6" i="3" a="1"/>
  <c r="I6" i="3" s="1"/>
  <c r="B7" i="3" a="1"/>
  <c r="B7" i="3" s="1"/>
  <c r="C7" i="3" a="1"/>
  <c r="C7" i="3" s="1"/>
  <c r="D7" i="3" a="1"/>
  <c r="D7" i="3" s="1"/>
  <c r="E7" i="3" a="1"/>
  <c r="E7" i="3"/>
  <c r="F7" i="3" a="1"/>
  <c r="F7" i="3" s="1"/>
  <c r="G7" i="3" a="1"/>
  <c r="G7" i="3" s="1"/>
  <c r="H7" i="3" a="1"/>
  <c r="H7" i="3" s="1"/>
  <c r="I7" i="3" a="1"/>
  <c r="I7" i="3" s="1"/>
  <c r="B8" i="3" a="1"/>
  <c r="B8" i="3" s="1"/>
  <c r="C8" i="3" a="1"/>
  <c r="C8" i="3" s="1"/>
  <c r="D8" i="3" a="1"/>
  <c r="D8" i="3" s="1"/>
  <c r="E8" i="3" a="1"/>
  <c r="E8" i="3" s="1"/>
  <c r="F8" i="3" a="1"/>
  <c r="F8" i="3" s="1"/>
  <c r="G8" i="3" a="1"/>
  <c r="G8" i="3" s="1"/>
  <c r="H8" i="3" a="1"/>
  <c r="H8" i="3" s="1"/>
  <c r="I8" i="3" a="1"/>
  <c r="I8" i="3" s="1"/>
  <c r="B9" i="3" a="1"/>
  <c r="B9" i="3" s="1"/>
  <c r="C9" i="3" a="1"/>
  <c r="C9" i="3" s="1"/>
  <c r="D9" i="3" a="1"/>
  <c r="D9" i="3" s="1"/>
  <c r="E9" i="3" a="1"/>
  <c r="E9" i="3" s="1"/>
  <c r="F9" i="3" a="1"/>
  <c r="F9" i="3" s="1"/>
  <c r="G9" i="3" a="1"/>
  <c r="G9" i="3" s="1"/>
  <c r="H9" i="3" a="1"/>
  <c r="H9" i="3" s="1"/>
  <c r="I9" i="3" a="1"/>
  <c r="I9" i="3" s="1"/>
  <c r="B10" i="3" a="1"/>
  <c r="B10" i="3" s="1"/>
  <c r="C10" i="3" a="1"/>
  <c r="C10" i="3" s="1"/>
  <c r="D10" i="3" a="1"/>
  <c r="D10" i="3" s="1"/>
  <c r="E10" i="3" a="1"/>
  <c r="E10" i="3" s="1"/>
  <c r="F10" i="3" a="1"/>
  <c r="F10" i="3" s="1"/>
  <c r="G10" i="3" a="1"/>
  <c r="G10" i="3" s="1"/>
  <c r="H10" i="3" a="1"/>
  <c r="H10" i="3" s="1"/>
  <c r="I10" i="3" a="1"/>
  <c r="I10" i="3" s="1"/>
  <c r="B11" i="3" a="1"/>
  <c r="B11" i="3" s="1"/>
  <c r="C11" i="3" a="1"/>
  <c r="C11" i="3" s="1"/>
  <c r="D11" i="3" a="1"/>
  <c r="D11" i="3" s="1"/>
  <c r="E11" i="3" a="1"/>
  <c r="E11" i="3" s="1"/>
  <c r="F11" i="3" a="1"/>
  <c r="F11" i="3" s="1"/>
  <c r="G11" i="3" a="1"/>
  <c r="G11" i="3" s="1"/>
  <c r="H11" i="3" a="1"/>
  <c r="H11" i="3" s="1"/>
  <c r="I11" i="3" a="1"/>
  <c r="I11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G12" i="3" a="1"/>
  <c r="G12" i="3" s="1"/>
  <c r="H12" i="3" a="1"/>
  <c r="H12" i="3" s="1"/>
  <c r="I12" i="3" a="1"/>
  <c r="I12" i="3" s="1"/>
  <c r="B13" i="3" a="1"/>
  <c r="B13" i="3" s="1"/>
  <c r="C13" i="3" a="1"/>
  <c r="C13" i="3" s="1"/>
  <c r="D13" i="3" a="1"/>
  <c r="D13" i="3" s="1"/>
  <c r="E13" i="3" a="1"/>
  <c r="E13" i="3" s="1"/>
  <c r="F13" i="3" a="1"/>
  <c r="F13" i="3" s="1"/>
  <c r="G13" i="3" a="1"/>
  <c r="G13" i="3" s="1"/>
  <c r="H13" i="3" a="1"/>
  <c r="H13" i="3" s="1"/>
  <c r="I13" i="3" a="1"/>
  <c r="I13" i="3" s="1"/>
  <c r="B14" i="3" a="1"/>
  <c r="B14" i="3" s="1"/>
  <c r="C14" i="3" a="1"/>
  <c r="C14" i="3" s="1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B15" i="3" a="1"/>
  <c r="B15" i="3" s="1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B16" i="3" a="1"/>
  <c r="B16" i="3" s="1"/>
  <c r="C16" i="3" a="1"/>
  <c r="C16" i="3" s="1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B17" i="3" a="1"/>
  <c r="B17" i="3" s="1"/>
  <c r="C17" i="3" a="1"/>
  <c r="C17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B18" i="3" a="1"/>
  <c r="B18" i="3" s="1"/>
  <c r="C18" i="3" a="1"/>
  <c r="C18" i="3" s="1"/>
  <c r="D18" i="3" a="1"/>
  <c r="D18" i="3" s="1"/>
  <c r="E18" i="3" a="1"/>
  <c r="E18" i="3" s="1"/>
  <c r="F18" i="3" a="1"/>
  <c r="F18" i="3" s="1"/>
  <c r="G18" i="3" a="1"/>
  <c r="G18" i="3" s="1"/>
  <c r="H18" i="3" a="1"/>
  <c r="H18" i="3" s="1"/>
  <c r="I18" i="3" a="1"/>
  <c r="I18" i="3" s="1"/>
  <c r="B19" i="3" a="1"/>
  <c r="B19" i="3" s="1"/>
  <c r="C19" i="3" a="1"/>
  <c r="C19" i="3" s="1"/>
  <c r="D19" i="3" a="1"/>
  <c r="D19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B20" i="3" a="1"/>
  <c r="B20" i="3" s="1"/>
  <c r="C20" i="3" a="1"/>
  <c r="C20" i="3" s="1"/>
  <c r="D20" i="3" a="1"/>
  <c r="D20" i="3" s="1"/>
  <c r="E20" i="3" a="1"/>
  <c r="E20" i="3" s="1"/>
  <c r="F20" i="3" a="1"/>
  <c r="F20" i="3" s="1"/>
  <c r="G20" i="3" a="1"/>
  <c r="G20" i="3" s="1"/>
  <c r="H20" i="3" a="1"/>
  <c r="H20" i="3" s="1"/>
  <c r="I20" i="3" a="1"/>
  <c r="I20" i="3" s="1"/>
  <c r="B21" i="3" a="1"/>
  <c r="B21" i="3" s="1"/>
  <c r="C21" i="3" a="1"/>
  <c r="C21" i="3" s="1"/>
  <c r="D21" i="3" a="1"/>
  <c r="D21" i="3" s="1"/>
  <c r="E21" i="3" a="1"/>
  <c r="E21" i="3" s="1"/>
  <c r="F21" i="3" a="1"/>
  <c r="F21" i="3" s="1"/>
  <c r="G21" i="3" a="1"/>
  <c r="G21" i="3" s="1"/>
  <c r="H21" i="3" a="1"/>
  <c r="H21" i="3" s="1"/>
  <c r="I21" i="3" a="1"/>
  <c r="I21" i="3" s="1"/>
  <c r="B22" i="3" a="1"/>
  <c r="B22" i="3"/>
  <c r="C22" i="3" a="1"/>
  <c r="C22" i="3" s="1"/>
  <c r="D22" i="3" a="1"/>
  <c r="D22" i="3" s="1"/>
  <c r="E22" i="3" a="1"/>
  <c r="E22" i="3"/>
  <c r="F22" i="3" a="1"/>
  <c r="F22" i="3" s="1"/>
  <c r="G22" i="3" a="1"/>
  <c r="G22" i="3" s="1"/>
  <c r="H22" i="3" a="1"/>
  <c r="H22" i="3" s="1"/>
  <c r="I22" i="3" a="1"/>
  <c r="I22" i="3" s="1"/>
  <c r="B23" i="3" a="1"/>
  <c r="B23" i="3" s="1"/>
  <c r="C23" i="3" a="1"/>
  <c r="C23" i="3"/>
  <c r="D23" i="3" a="1"/>
  <c r="D23" i="3" s="1"/>
  <c r="E23" i="3" a="1"/>
  <c r="E23" i="3" s="1"/>
  <c r="F23" i="3" a="1"/>
  <c r="F23" i="3" s="1"/>
  <c r="G23" i="3" a="1"/>
  <c r="G23" i="3" s="1"/>
  <c r="H23" i="3" a="1"/>
  <c r="H23" i="3" s="1"/>
  <c r="I23" i="3" a="1"/>
  <c r="I23" i="3"/>
  <c r="B24" i="3" a="1"/>
  <c r="B24" i="3"/>
  <c r="C24" i="3" a="1"/>
  <c r="C24" i="3" s="1"/>
  <c r="D24" i="3" a="1"/>
  <c r="D24" i="3" s="1"/>
  <c r="E24" i="3" a="1"/>
  <c r="E24" i="3" s="1"/>
  <c r="F24" i="3" a="1"/>
  <c r="F24" i="3" s="1"/>
  <c r="G24" i="3" a="1"/>
  <c r="G24" i="3" s="1"/>
  <c r="H24" i="3" a="1"/>
  <c r="H24" i="3" s="1"/>
  <c r="I24" i="3" a="1"/>
  <c r="I24" i="3" s="1"/>
  <c r="B25" i="3" a="1"/>
  <c r="B25" i="3"/>
  <c r="C25" i="3" a="1"/>
  <c r="C25" i="3" s="1"/>
  <c r="D25" i="3" a="1"/>
  <c r="D25" i="3" s="1"/>
  <c r="E25" i="3" a="1"/>
  <c r="E25" i="3"/>
  <c r="F25" i="3" a="1"/>
  <c r="F25" i="3" s="1"/>
  <c r="G25" i="3" a="1"/>
  <c r="G25" i="3" s="1"/>
  <c r="H25" i="3" a="1"/>
  <c r="H25" i="3" s="1"/>
  <c r="I25" i="3" a="1"/>
  <c r="I25" i="3" s="1"/>
  <c r="B26" i="3" a="1"/>
  <c r="B26" i="3" s="1"/>
  <c r="C26" i="3" a="1"/>
  <c r="C26" i="3"/>
  <c r="D26" i="3" a="1"/>
  <c r="D26" i="3" s="1"/>
  <c r="E26" i="3" a="1"/>
  <c r="E26" i="3" s="1"/>
  <c r="F26" i="3" a="1"/>
  <c r="F26" i="3" s="1"/>
  <c r="G26" i="3" a="1"/>
  <c r="G26" i="3" s="1"/>
  <c r="H26" i="3" a="1"/>
  <c r="H26" i="3" s="1"/>
  <c r="I26" i="3" a="1"/>
  <c r="I26" i="3"/>
  <c r="B27" i="3" a="1"/>
  <c r="B27" i="3"/>
  <c r="C27" i="3" a="1"/>
  <c r="C27" i="3" s="1"/>
  <c r="D27" i="3" a="1"/>
  <c r="D27" i="3" s="1"/>
  <c r="E27" i="3" a="1"/>
  <c r="E27" i="3" s="1"/>
  <c r="F27" i="3" a="1"/>
  <c r="F27" i="3" s="1"/>
  <c r="G27" i="3" a="1"/>
  <c r="G27" i="3" s="1"/>
  <c r="H27" i="3" a="1"/>
  <c r="H27" i="3" s="1"/>
  <c r="I27" i="3" a="1"/>
  <c r="I27" i="3" s="1"/>
  <c r="B28" i="3" a="1"/>
  <c r="B28" i="3"/>
  <c r="C28" i="3" a="1"/>
  <c r="C28" i="3" s="1"/>
  <c r="D28" i="3" a="1"/>
  <c r="D28" i="3" s="1"/>
  <c r="E28" i="3" a="1"/>
  <c r="E28" i="3"/>
  <c r="F28" i="3" a="1"/>
  <c r="F28" i="3" s="1"/>
  <c r="G28" i="3" a="1"/>
  <c r="G28" i="3" s="1"/>
  <c r="H28" i="3" a="1"/>
  <c r="H28" i="3" s="1"/>
  <c r="I28" i="3" a="1"/>
  <c r="I28" i="3" s="1"/>
  <c r="B29" i="3" a="1"/>
  <c r="B29" i="3" s="1"/>
  <c r="C29" i="3" a="1"/>
  <c r="C29" i="3"/>
  <c r="D29" i="3" a="1"/>
  <c r="D29" i="3" s="1"/>
  <c r="E29" i="3" a="1"/>
  <c r="E29" i="3" s="1"/>
  <c r="F29" i="3" a="1"/>
  <c r="F29" i="3" s="1"/>
  <c r="G29" i="3" a="1"/>
  <c r="G29" i="3" s="1"/>
  <c r="H29" i="3" a="1"/>
  <c r="H29" i="3" s="1"/>
  <c r="I29" i="3" a="1"/>
  <c r="I29" i="3"/>
  <c r="B30" i="3" a="1"/>
  <c r="B30" i="3"/>
  <c r="C30" i="3" a="1"/>
  <c r="C30" i="3" s="1"/>
  <c r="D30" i="3" a="1"/>
  <c r="D30" i="3" s="1"/>
  <c r="E30" i="3" a="1"/>
  <c r="E30" i="3" s="1"/>
  <c r="F30" i="3" a="1"/>
  <c r="F30" i="3" s="1"/>
  <c r="G30" i="3" a="1"/>
  <c r="G30" i="3" s="1"/>
  <c r="H30" i="3" a="1"/>
  <c r="H30" i="3" s="1"/>
  <c r="I30" i="3" a="1"/>
  <c r="I30" i="3" s="1"/>
  <c r="B31" i="3" a="1"/>
  <c r="B31" i="3"/>
  <c r="C31" i="3" a="1"/>
  <c r="C31" i="3" s="1"/>
  <c r="D31" i="3" a="1"/>
  <c r="D31" i="3" s="1"/>
  <c r="E31" i="3" a="1"/>
  <c r="E31" i="3"/>
  <c r="F31" i="3" a="1"/>
  <c r="F31" i="3" s="1"/>
  <c r="G31" i="3" a="1"/>
  <c r="G31" i="3" s="1"/>
  <c r="H31" i="3" a="1"/>
  <c r="H31" i="3" s="1"/>
  <c r="I31" i="3" a="1"/>
  <c r="I31" i="3" s="1"/>
  <c r="B32" i="3" a="1"/>
  <c r="B32" i="3" s="1"/>
  <c r="C32" i="3" a="1"/>
  <c r="C32" i="3"/>
  <c r="D32" i="3" a="1"/>
  <c r="D32" i="3" s="1"/>
  <c r="E32" i="3" a="1"/>
  <c r="E32" i="3" s="1"/>
  <c r="F32" i="3" a="1"/>
  <c r="F32" i="3" s="1"/>
  <c r="G32" i="3" a="1"/>
  <c r="G32" i="3" s="1"/>
  <c r="H32" i="3" a="1"/>
  <c r="H32" i="3" s="1"/>
  <c r="I32" i="3" a="1"/>
  <c r="I32" i="3"/>
  <c r="B33" i="3" a="1"/>
  <c r="B33" i="3"/>
  <c r="C33" i="3" a="1"/>
  <c r="C33" i="3" s="1"/>
  <c r="D33" i="3" a="1"/>
  <c r="D33" i="3" s="1"/>
  <c r="E33" i="3" a="1"/>
  <c r="E33" i="3" s="1"/>
  <c r="F33" i="3" a="1"/>
  <c r="F33" i="3" s="1"/>
  <c r="G33" i="3" a="1"/>
  <c r="G33" i="3" s="1"/>
  <c r="H33" i="3" a="1"/>
  <c r="H33" i="3" s="1"/>
  <c r="I33" i="3" a="1"/>
  <c r="I33" i="3" s="1"/>
  <c r="B34" i="3" a="1"/>
  <c r="B34" i="3"/>
  <c r="C34" i="3" a="1"/>
  <c r="C34" i="3" s="1"/>
  <c r="D34" i="3" a="1"/>
  <c r="D34" i="3" s="1"/>
  <c r="E34" i="3" a="1"/>
  <c r="E34" i="3"/>
  <c r="F34" i="3" a="1"/>
  <c r="F34" i="3" s="1"/>
  <c r="G34" i="3" a="1"/>
  <c r="G34" i="3"/>
  <c r="H34" i="3" a="1"/>
  <c r="H34" i="3"/>
  <c r="I34" i="3" a="1"/>
  <c r="I34" i="3" s="1"/>
  <c r="B35" i="3" a="1"/>
  <c r="B35" i="3" s="1"/>
  <c r="C35" i="3" a="1"/>
  <c r="C35" i="3"/>
  <c r="D35" i="3" a="1"/>
  <c r="D35" i="3"/>
  <c r="E35" i="3" a="1"/>
  <c r="E35" i="3" s="1"/>
  <c r="F35" i="3" a="1"/>
  <c r="F35" i="3"/>
  <c r="G35" i="3" a="1"/>
  <c r="G35" i="3" s="1"/>
  <c r="H35" i="3" a="1"/>
  <c r="H35" i="3" s="1"/>
  <c r="I35" i="3" a="1"/>
  <c r="I35" i="3"/>
  <c r="B36" i="3" a="1"/>
  <c r="B36" i="3"/>
  <c r="C36" i="3" a="1"/>
  <c r="C36" i="3"/>
  <c r="D36" i="3" a="1"/>
  <c r="D36" i="3" s="1"/>
  <c r="E36" i="3" a="1"/>
  <c r="E36" i="3" s="1"/>
  <c r="F36" i="3" a="1"/>
  <c r="F36" i="3" s="1"/>
  <c r="G36" i="3" a="1"/>
  <c r="G36" i="3"/>
  <c r="H36" i="3" a="1"/>
  <c r="H36" i="3"/>
  <c r="I36" i="3" a="1"/>
  <c r="I36" i="3"/>
  <c r="B37" i="3" a="1"/>
  <c r="B37" i="3"/>
  <c r="C37" i="3" a="1"/>
  <c r="C37" i="3" s="1"/>
  <c r="D37" i="3" a="1"/>
  <c r="D37" i="3" s="1"/>
  <c r="E37" i="3" a="1"/>
  <c r="E37" i="3"/>
  <c r="F37" i="3" a="1"/>
  <c r="F37" i="3"/>
  <c r="G37" i="3" a="1"/>
  <c r="G37" i="3"/>
  <c r="H37" i="3" a="1"/>
  <c r="H37" i="3"/>
  <c r="I37" i="3" a="1"/>
  <c r="I37" i="3" s="1"/>
  <c r="B38" i="3" a="1"/>
  <c r="B38" i="3" s="1"/>
  <c r="C38" i="3" a="1"/>
  <c r="C38" i="3" s="1"/>
  <c r="D38" i="3" a="1"/>
  <c r="D38" i="3"/>
  <c r="E38" i="3" a="1"/>
  <c r="E38" i="3" s="1"/>
  <c r="F38" i="3" a="1"/>
  <c r="F38" i="3"/>
  <c r="G38" i="3" a="1"/>
  <c r="G38" i="3" s="1"/>
  <c r="H38" i="3" a="1"/>
  <c r="H38" i="3" s="1"/>
  <c r="I38" i="3" a="1"/>
  <c r="I38" i="3"/>
  <c r="B39" i="3" a="1"/>
  <c r="B39" i="3" s="1"/>
  <c r="C39" i="3" a="1"/>
  <c r="C39" i="3"/>
  <c r="D39" i="3" a="1"/>
  <c r="D39" i="3" s="1"/>
  <c r="E39" i="3" a="1"/>
  <c r="E39" i="3" s="1"/>
  <c r="F39" i="3" a="1"/>
  <c r="F39" i="3" s="1"/>
  <c r="G39" i="3" a="1"/>
  <c r="G39" i="3"/>
  <c r="H39" i="3" a="1"/>
  <c r="H39" i="3"/>
  <c r="I39" i="3" a="1"/>
  <c r="I39" i="3" s="1"/>
  <c r="B40" i="3" a="1"/>
  <c r="B40" i="3"/>
  <c r="C40" i="3" a="1"/>
  <c r="C40" i="3" s="1"/>
  <c r="D40" i="3" a="1"/>
  <c r="D40" i="3" s="1"/>
  <c r="E40" i="3" a="1"/>
  <c r="E40" i="3" s="1"/>
  <c r="F40" i="3" a="1"/>
  <c r="F40" i="3"/>
  <c r="G40" i="3" a="1"/>
  <c r="G40" i="3"/>
  <c r="H40" i="3" a="1"/>
  <c r="H40" i="3" s="1"/>
  <c r="I40" i="3" a="1"/>
  <c r="I40" i="3" s="1"/>
  <c r="B41" i="3" a="1"/>
  <c r="B41" i="3" s="1"/>
  <c r="C41" i="3" a="1"/>
  <c r="C41" i="3" s="1"/>
  <c r="D41" i="3" a="1"/>
  <c r="D41" i="3" s="1"/>
  <c r="E41" i="3" a="1"/>
  <c r="E41" i="3"/>
  <c r="F41" i="3" a="1"/>
  <c r="F41" i="3"/>
  <c r="G41" i="3" a="1"/>
  <c r="G41" i="3" s="1"/>
  <c r="H41" i="3" a="1"/>
  <c r="H41" i="3" s="1"/>
  <c r="I41" i="3" a="1"/>
  <c r="I41" i="3"/>
  <c r="B42" i="3" a="1"/>
  <c r="B42" i="3" s="1"/>
  <c r="C42" i="3" a="1"/>
  <c r="C42" i="3" s="1"/>
  <c r="D42" i="3" a="1"/>
  <c r="D42" i="3"/>
  <c r="E42" i="3" a="1"/>
  <c r="E42" i="3" s="1"/>
  <c r="F42" i="3" a="1"/>
  <c r="F42" i="3" s="1"/>
  <c r="G42" i="3" a="1"/>
  <c r="G42" i="3" s="1"/>
  <c r="H42" i="3" a="1"/>
  <c r="H42" i="3"/>
  <c r="I42" i="3" a="1"/>
  <c r="I42" i="3" s="1"/>
  <c r="B43" i="3" a="1"/>
  <c r="B43" i="3" s="1"/>
  <c r="C43" i="3" a="1"/>
  <c r="C43" i="3" s="1"/>
  <c r="D43" i="3" a="1"/>
  <c r="D43" i="3" s="1"/>
  <c r="E43" i="3" a="1"/>
  <c r="E43" i="3"/>
  <c r="F43" i="3" a="1"/>
  <c r="F43" i="3" s="1"/>
  <c r="G43" i="3" a="1"/>
  <c r="G43" i="3"/>
  <c r="H43" i="3" a="1"/>
  <c r="H43" i="3" s="1"/>
  <c r="I43" i="3" a="1"/>
  <c r="I43" i="3" s="1"/>
  <c r="B44" i="3" a="1"/>
  <c r="B44" i="3" s="1"/>
  <c r="C44" i="3" a="1"/>
  <c r="C44" i="3"/>
  <c r="D44" i="3" a="1"/>
  <c r="D44" i="3"/>
  <c r="E44" i="3" a="1"/>
  <c r="E44" i="3" s="1"/>
  <c r="F44" i="3" a="1"/>
  <c r="F44" i="3"/>
  <c r="G44" i="3" a="1"/>
  <c r="G44" i="3" s="1"/>
  <c r="H44" i="3" a="1"/>
  <c r="H44" i="3" s="1"/>
  <c r="I44" i="3" a="1"/>
  <c r="I44" i="3" s="1"/>
  <c r="B45" i="3" a="1"/>
  <c r="B45" i="3"/>
  <c r="C45" i="3" a="1"/>
  <c r="C45" i="3"/>
  <c r="D45" i="3" a="1"/>
  <c r="D45" i="3" s="1"/>
  <c r="E45" i="3" a="1"/>
  <c r="E45" i="3" s="1"/>
  <c r="F45" i="3" a="1"/>
  <c r="F45" i="3" s="1"/>
  <c r="G45" i="3" a="1"/>
  <c r="G45" i="3" s="1"/>
  <c r="H45" i="3" a="1"/>
  <c r="H45" i="3" s="1"/>
  <c r="I45" i="3" a="1"/>
  <c r="I45" i="3"/>
  <c r="B46" i="3" a="1"/>
  <c r="B46" i="3" s="1"/>
  <c r="C46" i="3" a="1"/>
  <c r="C46" i="3" s="1"/>
  <c r="D46" i="3" a="1"/>
  <c r="D46" i="3" s="1"/>
  <c r="E46" i="3" a="1"/>
  <c r="E46" i="3"/>
  <c r="F46" i="3" a="1"/>
  <c r="F46" i="3" s="1"/>
  <c r="G46" i="3" a="1"/>
  <c r="G46" i="3" s="1"/>
  <c r="H46" i="3" a="1"/>
  <c r="H46" i="3" s="1"/>
  <c r="I46" i="3" a="1"/>
  <c r="I46" i="3" s="1"/>
  <c r="B47" i="3" a="1"/>
  <c r="B47" i="3" s="1"/>
  <c r="C47" i="3" a="1"/>
  <c r="C47" i="3" s="1"/>
  <c r="D47" i="3" a="1"/>
  <c r="D47" i="3"/>
  <c r="E47" i="3" a="1"/>
  <c r="E47" i="3" s="1"/>
  <c r="F47" i="3" a="1"/>
  <c r="F47" i="3" s="1"/>
  <c r="G47" i="3" a="1"/>
  <c r="G47" i="3" s="1"/>
  <c r="H47" i="3" a="1"/>
  <c r="H47" i="3" s="1"/>
  <c r="I47" i="3" a="1"/>
  <c r="I47" i="3" s="1"/>
  <c r="B48" i="3" a="1"/>
  <c r="B48" i="3" s="1"/>
  <c r="C48" i="3" a="1"/>
  <c r="C48" i="3"/>
  <c r="D48" i="3" a="1"/>
  <c r="D48" i="3" s="1"/>
  <c r="E48" i="3" a="1"/>
  <c r="E48" i="3" s="1"/>
  <c r="F48" i="3" a="1"/>
  <c r="F48" i="3" s="1"/>
  <c r="G48" i="3" a="1"/>
  <c r="G48" i="3"/>
  <c r="H48" i="3" a="1"/>
  <c r="H48" i="3" s="1"/>
  <c r="I48" i="3" a="1"/>
  <c r="I48" i="3" s="1"/>
  <c r="B49" i="3" a="1"/>
  <c r="B49" i="3" s="1"/>
  <c r="C49" i="3" a="1"/>
  <c r="C49" i="3" s="1"/>
  <c r="D49" i="3" a="1"/>
  <c r="D49" i="3" s="1"/>
  <c r="E49" i="3" a="1"/>
  <c r="E49" i="3" s="1"/>
  <c r="F49" i="3" a="1"/>
  <c r="F49" i="3" s="1"/>
  <c r="G49" i="3" a="1"/>
  <c r="G49" i="3" s="1"/>
  <c r="H49" i="3" a="1"/>
  <c r="H49" i="3" s="1"/>
  <c r="I49" i="3" a="1"/>
  <c r="I49" i="3" s="1"/>
  <c r="B50" i="3" a="1"/>
  <c r="B50" i="3" s="1"/>
  <c r="C50" i="3" a="1"/>
  <c r="C50" i="3" s="1"/>
  <c r="D50" i="3" a="1"/>
  <c r="D50" i="3" s="1"/>
  <c r="E50" i="3" a="1"/>
  <c r="E50" i="3"/>
  <c r="F50" i="3" a="1"/>
  <c r="F50" i="3" s="1"/>
  <c r="G50" i="3" a="1"/>
  <c r="G50" i="3" s="1"/>
  <c r="H50" i="3" a="1"/>
  <c r="H50" i="3" s="1"/>
  <c r="I50" i="3" a="1"/>
  <c r="I50" i="3" s="1"/>
  <c r="B51" i="3" a="1"/>
  <c r="B51" i="3" s="1"/>
  <c r="C51" i="3" a="1"/>
  <c r="C51" i="3" s="1"/>
  <c r="D51" i="3" a="1"/>
  <c r="D51" i="3"/>
  <c r="E51" i="3" a="1"/>
  <c r="E51" i="3" s="1"/>
  <c r="F51" i="3" a="1"/>
  <c r="F51" i="3" s="1"/>
  <c r="G51" i="3" a="1"/>
  <c r="G51" i="3" s="1"/>
  <c r="H51" i="3" a="1"/>
  <c r="H51" i="3"/>
  <c r="I51" i="3" a="1"/>
  <c r="I51" i="3" s="1"/>
  <c r="B52" i="3" a="1"/>
  <c r="B52" i="3" s="1"/>
  <c r="C52" i="3" a="1"/>
  <c r="C52" i="3" s="1"/>
  <c r="D52" i="3" a="1"/>
  <c r="D52" i="3" s="1"/>
  <c r="E52" i="3" a="1"/>
  <c r="E52" i="3" s="1"/>
  <c r="F52" i="3" a="1"/>
  <c r="F52" i="3" s="1"/>
  <c r="G52" i="3" a="1"/>
  <c r="G52" i="3"/>
  <c r="H52" i="3" a="1"/>
  <c r="H52" i="3" s="1"/>
  <c r="I52" i="3" a="1"/>
  <c r="I52" i="3" s="1"/>
  <c r="B53" i="3" a="1"/>
  <c r="B53" i="3" s="1"/>
  <c r="C53" i="3" a="1"/>
  <c r="C53" i="3" s="1"/>
  <c r="D53" i="3" a="1"/>
  <c r="D53" i="3" s="1"/>
  <c r="E53" i="3" a="1"/>
  <c r="E53" i="3" s="1"/>
  <c r="F53" i="3" a="1"/>
  <c r="F53" i="3"/>
  <c r="G53" i="3" a="1"/>
  <c r="G53" i="3" s="1"/>
  <c r="H53" i="3" a="1"/>
  <c r="H53" i="3" s="1"/>
  <c r="I53" i="3" a="1"/>
  <c r="I53" i="3" s="1"/>
  <c r="B54" i="3" a="1"/>
  <c r="B54" i="3"/>
  <c r="C54" i="3" a="1"/>
  <c r="C54" i="3" s="1"/>
  <c r="D54" i="3" a="1"/>
  <c r="D54" i="3" s="1"/>
  <c r="E54" i="3" a="1"/>
  <c r="E54" i="3" s="1"/>
  <c r="F54" i="3" a="1"/>
  <c r="F54" i="3" s="1"/>
  <c r="G54" i="3" a="1"/>
  <c r="G54" i="3" s="1"/>
  <c r="H54" i="3" a="1"/>
  <c r="H54" i="3" s="1"/>
  <c r="I54" i="3" a="1"/>
  <c r="I54" i="3" s="1"/>
  <c r="B55" i="3" a="1"/>
  <c r="B55" i="3" s="1"/>
  <c r="C55" i="3" a="1"/>
  <c r="C55" i="3" s="1"/>
  <c r="D55" i="3" a="1"/>
  <c r="D55" i="3" s="1"/>
  <c r="E55" i="3" a="1"/>
  <c r="E55" i="3" s="1"/>
  <c r="F55" i="3" a="1"/>
  <c r="F55" i="3" s="1"/>
  <c r="G55" i="3" a="1"/>
  <c r="G55" i="3" s="1"/>
  <c r="H55" i="3" a="1"/>
  <c r="H55" i="3" s="1"/>
  <c r="I55" i="3" a="1"/>
  <c r="I55" i="3" s="1"/>
  <c r="B56" i="3" a="1"/>
  <c r="B56" i="3" s="1"/>
  <c r="C56" i="3" a="1"/>
  <c r="C56" i="3" s="1"/>
  <c r="D56" i="3" a="1"/>
  <c r="D56" i="3"/>
  <c r="E56" i="3" a="1"/>
  <c r="E56" i="3" s="1"/>
  <c r="F56" i="3" a="1"/>
  <c r="F56" i="3" s="1"/>
  <c r="G56" i="3" a="1"/>
  <c r="G56" i="3" s="1"/>
  <c r="H56" i="3" a="1"/>
  <c r="H56" i="3" s="1"/>
  <c r="I56" i="3" a="1"/>
  <c r="I56" i="3" s="1"/>
  <c r="B57" i="3" a="1"/>
  <c r="B57" i="3" s="1"/>
  <c r="C57" i="3" a="1"/>
  <c r="C57" i="3"/>
  <c r="D57" i="3" a="1"/>
  <c r="D57" i="3" s="1"/>
  <c r="E57" i="3" a="1"/>
  <c r="E57" i="3" s="1"/>
  <c r="F57" i="3" a="1"/>
  <c r="F57" i="3" s="1"/>
  <c r="G57" i="3" a="1"/>
  <c r="G57" i="3" s="1"/>
  <c r="H57" i="3" a="1"/>
  <c r="H57" i="3" s="1"/>
  <c r="I57" i="3" a="1"/>
  <c r="I57" i="3" s="1"/>
  <c r="B58" i="3" a="1"/>
  <c r="B58" i="3" s="1"/>
  <c r="C58" i="3" a="1"/>
  <c r="C58" i="3" s="1"/>
  <c r="D58" i="3" a="1"/>
  <c r="D58" i="3" s="1"/>
  <c r="E58" i="3" a="1"/>
  <c r="E58" i="3" s="1"/>
  <c r="F58" i="3" a="1"/>
  <c r="F58" i="3" s="1"/>
  <c r="G58" i="3" a="1"/>
  <c r="G58" i="3" s="1"/>
  <c r="H58" i="3" a="1"/>
  <c r="H58" i="3" s="1"/>
  <c r="I58" i="3" a="1"/>
  <c r="I58" i="3" s="1"/>
  <c r="B59" i="3" a="1"/>
  <c r="B59" i="3" s="1"/>
  <c r="C59" i="3" a="1"/>
  <c r="C59" i="3" s="1"/>
  <c r="D59" i="3" a="1"/>
  <c r="D59" i="3" s="1"/>
  <c r="E59" i="3" a="1"/>
  <c r="E59" i="3"/>
  <c r="F59" i="3" a="1"/>
  <c r="F59" i="3" s="1"/>
  <c r="G59" i="3" a="1"/>
  <c r="G59" i="3" s="1"/>
  <c r="H59" i="3" a="1"/>
  <c r="H59" i="3" s="1"/>
  <c r="I59" i="3" a="1"/>
  <c r="I59" i="3"/>
  <c r="B60" i="3" a="1"/>
  <c r="B60" i="3" s="1"/>
  <c r="C60" i="3" a="1"/>
  <c r="C60" i="3" s="1"/>
  <c r="D60" i="3" a="1"/>
  <c r="D60" i="3" s="1"/>
  <c r="E60" i="3" a="1"/>
  <c r="E60" i="3" s="1"/>
  <c r="F60" i="3" a="1"/>
  <c r="F60" i="3" s="1"/>
  <c r="G60" i="3" a="1"/>
  <c r="G60" i="3" s="1"/>
  <c r="H60" i="3" a="1"/>
  <c r="H60" i="3"/>
  <c r="I60" i="3" a="1"/>
  <c r="I60" i="3" s="1"/>
  <c r="B61" i="3" a="1"/>
  <c r="B61" i="3" s="1"/>
  <c r="C61" i="3" a="1"/>
  <c r="C61" i="3" s="1"/>
  <c r="D61" i="3" a="1"/>
  <c r="D61" i="3" s="1"/>
  <c r="E61" i="3" a="1"/>
  <c r="E61" i="3" s="1"/>
  <c r="F61" i="3" a="1"/>
  <c r="F61" i="3" s="1"/>
  <c r="G61" i="3" a="1"/>
  <c r="G61" i="3"/>
  <c r="H61" i="3" a="1"/>
  <c r="H61" i="3" s="1"/>
  <c r="I61" i="3" a="1"/>
  <c r="I61" i="3" s="1"/>
  <c r="B62" i="3" a="1"/>
  <c r="B62" i="3" s="1"/>
  <c r="C62" i="3" a="1"/>
  <c r="C62" i="3"/>
  <c r="D62" i="3" a="1"/>
  <c r="D62" i="3" s="1"/>
  <c r="E62" i="3" a="1"/>
  <c r="E62" i="3" s="1"/>
  <c r="F62" i="3" a="1"/>
  <c r="F62" i="3" s="1"/>
  <c r="G62" i="3" a="1"/>
  <c r="G62" i="3" s="1"/>
  <c r="H62" i="3" a="1"/>
  <c r="H62" i="3" s="1"/>
  <c r="I62" i="3" a="1"/>
  <c r="I62" i="3" s="1"/>
  <c r="B63" i="3" a="1"/>
  <c r="B63" i="3"/>
  <c r="C63" i="3" a="1"/>
  <c r="C63" i="3" s="1"/>
  <c r="D63" i="3" a="1"/>
  <c r="D63" i="3" s="1"/>
  <c r="E63" i="3" a="1"/>
  <c r="E63" i="3" s="1"/>
  <c r="F63" i="3" a="1"/>
  <c r="F63" i="3" s="1"/>
  <c r="G63" i="3" a="1"/>
  <c r="G63" i="3" s="1"/>
  <c r="H63" i="3" a="1"/>
  <c r="H63" i="3" s="1"/>
  <c r="I63" i="3" a="1"/>
  <c r="I63" i="3"/>
  <c r="B64" i="3" a="1"/>
  <c r="B64" i="3" s="1"/>
  <c r="C64" i="3" a="1"/>
  <c r="C64" i="3" s="1"/>
  <c r="D64" i="3" a="1"/>
  <c r="D64" i="3" s="1"/>
  <c r="E64" i="3" a="1"/>
  <c r="E64" i="3" s="1"/>
  <c r="F64" i="3" a="1"/>
  <c r="F64" i="3" s="1"/>
  <c r="G64" i="3" a="1"/>
  <c r="G64" i="3" s="1"/>
  <c r="H64" i="3" a="1"/>
  <c r="H64" i="3"/>
  <c r="I64" i="3" a="1"/>
  <c r="I64" i="3" s="1"/>
  <c r="B65" i="3" a="1"/>
  <c r="B65" i="3" s="1"/>
  <c r="C65" i="3" a="1"/>
  <c r="C65" i="3" s="1"/>
  <c r="D65" i="3" a="1"/>
  <c r="D65" i="3" s="1"/>
  <c r="E65" i="3" a="1"/>
  <c r="E65" i="3" s="1"/>
  <c r="F65" i="3" a="1"/>
  <c r="F65" i="3" s="1"/>
  <c r="G65" i="3" a="1"/>
  <c r="G65" i="3" s="1"/>
  <c r="H65" i="3" a="1"/>
  <c r="H65" i="3" s="1"/>
  <c r="I65" i="3" a="1"/>
  <c r="I65" i="3"/>
  <c r="B66" i="3" a="1"/>
  <c r="B66" i="3" s="1"/>
  <c r="C66" i="3" a="1"/>
  <c r="C66" i="3" s="1"/>
  <c r="D66" i="3" a="1"/>
  <c r="D66" i="3" s="1"/>
  <c r="E66" i="3" a="1"/>
  <c r="E66" i="3" s="1"/>
  <c r="F66" i="3" a="1"/>
  <c r="F66" i="3" s="1"/>
  <c r="G66" i="3" a="1"/>
  <c r="G66" i="3"/>
  <c r="H66" i="3" a="1"/>
  <c r="H66" i="3" s="1"/>
  <c r="I66" i="3" a="1"/>
  <c r="I66" i="3"/>
  <c r="B67" i="3" a="1"/>
  <c r="B67" i="3"/>
  <c r="C67" i="3" a="1"/>
  <c r="C67" i="3" s="1"/>
  <c r="D67" i="3" a="1"/>
  <c r="D67" i="3" s="1"/>
  <c r="E67" i="3" a="1"/>
  <c r="E67" i="3"/>
  <c r="F67" i="3" a="1"/>
  <c r="F67" i="3"/>
  <c r="G67" i="3" a="1"/>
  <c r="G67" i="3" s="1"/>
  <c r="H67" i="3" a="1"/>
  <c r="H67" i="3"/>
  <c r="I67" i="3" a="1"/>
  <c r="I67" i="3" s="1"/>
  <c r="B68" i="3" a="1"/>
  <c r="B68" i="3" s="1"/>
  <c r="C68" i="3" a="1"/>
  <c r="C68" i="3"/>
  <c r="D68" i="3" a="1"/>
  <c r="D68" i="3"/>
  <c r="E68" i="3" a="1"/>
  <c r="E68" i="3"/>
  <c r="F68" i="3" a="1"/>
  <c r="F68" i="3" s="1"/>
  <c r="G68" i="3" a="1"/>
  <c r="G68" i="3" s="1"/>
  <c r="H68" i="3" a="1"/>
  <c r="H68" i="3" s="1"/>
  <c r="I68" i="3" a="1"/>
  <c r="I68" i="3"/>
  <c r="B69" i="3" a="1"/>
  <c r="B69" i="3"/>
  <c r="C69" i="3" a="1"/>
  <c r="C69" i="3" s="1"/>
  <c r="D69" i="3" a="1"/>
  <c r="D69" i="3"/>
  <c r="E69" i="3" a="1"/>
  <c r="E69" i="3" s="1"/>
  <c r="F69" i="3" a="1"/>
  <c r="F69" i="3" s="1"/>
  <c r="G69" i="3" a="1"/>
  <c r="G69" i="3"/>
  <c r="H69" i="3" a="1"/>
  <c r="H69" i="3"/>
  <c r="I69" i="3" a="1"/>
  <c r="I69" i="3"/>
  <c r="B70" i="3" a="1"/>
  <c r="B70" i="3" s="1"/>
  <c r="C70" i="3" a="1"/>
  <c r="C70" i="3" s="1"/>
  <c r="D70" i="3" a="1"/>
  <c r="D70" i="3" s="1"/>
  <c r="E70" i="3" a="1"/>
  <c r="E70" i="3" s="1"/>
  <c r="F70" i="3" a="1"/>
  <c r="F70" i="3" s="1"/>
  <c r="G70" i="3" a="1"/>
  <c r="G70" i="3"/>
  <c r="H70" i="3" a="1"/>
  <c r="H70" i="3"/>
  <c r="I70" i="3" a="1"/>
  <c r="I70" i="3" s="1"/>
  <c r="B71" i="3" a="1"/>
  <c r="B71" i="3" s="1"/>
  <c r="C71" i="3" a="1"/>
  <c r="C71" i="3"/>
  <c r="D71" i="3" a="1"/>
  <c r="D71" i="3" s="1"/>
  <c r="E71" i="3" a="1"/>
  <c r="E71" i="3" s="1"/>
  <c r="F71" i="3" a="1"/>
  <c r="F71" i="3"/>
  <c r="G71" i="3" a="1"/>
  <c r="G71" i="3" s="1"/>
  <c r="H71" i="3" a="1"/>
  <c r="H71" i="3" s="1"/>
  <c r="I71" i="3" a="1"/>
  <c r="I71" i="3" s="1"/>
  <c r="B72" i="3" a="1"/>
  <c r="B72" i="3"/>
  <c r="C72" i="3" a="1"/>
  <c r="C72" i="3" s="1"/>
  <c r="D72" i="3" a="1"/>
  <c r="D72" i="3" s="1"/>
  <c r="E72" i="3" a="1"/>
  <c r="E72" i="3" s="1"/>
  <c r="F72" i="3" a="1"/>
  <c r="F72" i="3" s="1"/>
  <c r="G72" i="3" a="1"/>
  <c r="G72" i="3"/>
  <c r="H72" i="3" a="1"/>
  <c r="H72" i="3" s="1"/>
  <c r="I72" i="3" a="1"/>
  <c r="I72" i="3"/>
  <c r="B73" i="3" a="1"/>
  <c r="B73" i="3" s="1"/>
  <c r="C73" i="3" a="1"/>
  <c r="C73" i="3" s="1"/>
  <c r="D73" i="3" a="1"/>
  <c r="D73" i="3" s="1"/>
  <c r="E73" i="3" a="1"/>
  <c r="E73" i="3"/>
  <c r="F73" i="3" a="1"/>
  <c r="F73" i="3"/>
  <c r="G73" i="3" a="1"/>
  <c r="G73" i="3" s="1"/>
  <c r="H73" i="3" a="1"/>
  <c r="H73" i="3" s="1"/>
  <c r="I73" i="3" a="1"/>
  <c r="I73" i="3" s="1"/>
  <c r="B74" i="3" a="1"/>
  <c r="B74" i="3" s="1"/>
  <c r="C74" i="3" a="1"/>
  <c r="C74" i="3" s="1"/>
  <c r="D74" i="3" a="1"/>
  <c r="D74" i="3"/>
  <c r="E74" i="3" a="1"/>
  <c r="E74" i="3" s="1"/>
  <c r="F74" i="3" a="1"/>
  <c r="F74" i="3" s="1"/>
  <c r="G74" i="3" a="1"/>
  <c r="G74" i="3" s="1"/>
  <c r="H74" i="3" a="1"/>
  <c r="H74" i="3" s="1"/>
  <c r="I74" i="3" a="1"/>
  <c r="I74" i="3" s="1"/>
  <c r="B75" i="3" a="1"/>
  <c r="B75" i="3" s="1"/>
  <c r="C75" i="3" a="1"/>
  <c r="C75" i="3"/>
  <c r="D75" i="3" a="1"/>
  <c r="D75" i="3" s="1"/>
  <c r="E75" i="3" a="1"/>
  <c r="E75" i="3" s="1"/>
  <c r="F75" i="3" a="1"/>
  <c r="F75" i="3" s="1"/>
  <c r="G75" i="3" a="1"/>
  <c r="G75" i="3" s="1"/>
  <c r="H75" i="3" a="1"/>
  <c r="H75" i="3" s="1"/>
  <c r="I75" i="3" a="1"/>
  <c r="I75" i="3" s="1"/>
  <c r="B76" i="3" a="1"/>
  <c r="B76" i="3"/>
  <c r="C76" i="3" a="1"/>
  <c r="C76" i="3" s="1"/>
  <c r="D76" i="3" a="1"/>
  <c r="D76" i="3" s="1"/>
  <c r="E76" i="3" a="1"/>
  <c r="E76" i="3" s="1"/>
  <c r="F76" i="3" a="1"/>
  <c r="F76" i="3" s="1"/>
  <c r="G76" i="3" a="1"/>
  <c r="G76" i="3" s="1"/>
  <c r="H76" i="3" a="1"/>
  <c r="H76" i="3" s="1"/>
  <c r="I76" i="3" a="1"/>
  <c r="I76" i="3" s="1"/>
  <c r="B77" i="3" a="1"/>
  <c r="B77" i="3" s="1"/>
  <c r="C77" i="3" a="1"/>
  <c r="C77" i="3" s="1"/>
  <c r="D77" i="3" a="1"/>
  <c r="D77" i="3" s="1"/>
  <c r="E77" i="3" a="1"/>
  <c r="E77" i="3" s="1"/>
  <c r="F77" i="3" a="1"/>
  <c r="F77" i="3" s="1"/>
  <c r="G77" i="3" a="1"/>
  <c r="G77" i="3" s="1"/>
  <c r="H77" i="3" a="1"/>
  <c r="H77" i="3" s="1"/>
  <c r="I77" i="3" a="1"/>
  <c r="I77" i="3"/>
  <c r="B78" i="3" a="1"/>
  <c r="B78" i="3" s="1"/>
  <c r="C78" i="3" a="1"/>
  <c r="C78" i="3" s="1"/>
  <c r="D78" i="3" a="1"/>
  <c r="D78" i="3" s="1"/>
  <c r="E78" i="3" a="1"/>
  <c r="E78" i="3" s="1"/>
  <c r="F78" i="3" a="1"/>
  <c r="F78" i="3" s="1"/>
  <c r="G78" i="3" a="1"/>
  <c r="G78" i="3" s="1"/>
  <c r="H78" i="3" a="1"/>
  <c r="H78" i="3"/>
  <c r="I78" i="3" a="1"/>
  <c r="I78" i="3" s="1"/>
  <c r="B79" i="3" a="1"/>
  <c r="B79" i="3" s="1"/>
  <c r="C79" i="3" a="1"/>
  <c r="C79" i="3" s="1"/>
  <c r="D79" i="3" a="1"/>
  <c r="D79" i="3" s="1"/>
  <c r="E79" i="3" a="1"/>
  <c r="E79" i="3" s="1"/>
  <c r="F79" i="3" a="1"/>
  <c r="F79" i="3" s="1"/>
  <c r="G79" i="3" a="1"/>
  <c r="G79" i="3"/>
  <c r="H79" i="3" a="1"/>
  <c r="H79" i="3" s="1"/>
  <c r="I79" i="3" a="1"/>
  <c r="I79" i="3" s="1"/>
  <c r="B80" i="3" a="1"/>
  <c r="B80" i="3" s="1"/>
  <c r="C80" i="3" a="1"/>
  <c r="C80" i="3" s="1"/>
  <c r="D80" i="3" a="1"/>
  <c r="D80" i="3" s="1"/>
  <c r="E80" i="3" a="1"/>
  <c r="E80" i="3" s="1"/>
  <c r="F80" i="3" a="1"/>
  <c r="F80" i="3"/>
  <c r="G80" i="3" a="1"/>
  <c r="G80" i="3" s="1"/>
  <c r="H80" i="3" a="1"/>
  <c r="H80" i="3"/>
  <c r="I80" i="3" a="1"/>
  <c r="I80" i="3"/>
  <c r="B81" i="3" a="1"/>
  <c r="B81" i="3"/>
  <c r="C81" i="3" a="1"/>
  <c r="C81" i="3"/>
  <c r="D81" i="3" a="1"/>
  <c r="D81" i="3" s="1"/>
  <c r="E81" i="3" a="1"/>
  <c r="E81" i="3" s="1"/>
  <c r="F81" i="3" a="1"/>
  <c r="F81" i="3" s="1"/>
  <c r="G81" i="3" a="1"/>
  <c r="G81" i="3" s="1"/>
  <c r="H81" i="3" a="1"/>
  <c r="H81" i="3" s="1"/>
  <c r="I81" i="3" a="1"/>
  <c r="I81" i="3" s="1"/>
  <c r="B82" i="3" a="1"/>
  <c r="B82" i="3" s="1"/>
  <c r="C82" i="3" a="1"/>
  <c r="C82" i="3" s="1"/>
  <c r="D82" i="3" a="1"/>
  <c r="D82" i="3" s="1"/>
  <c r="E82" i="3" a="1"/>
  <c r="E82" i="3"/>
  <c r="F82" i="3" a="1"/>
  <c r="F82" i="3"/>
  <c r="G82" i="3" a="1"/>
  <c r="G82" i="3"/>
  <c r="H82" i="3" a="1"/>
  <c r="H82" i="3"/>
  <c r="I82" i="3" a="1"/>
  <c r="I82" i="3" s="1"/>
  <c r="B83" i="3" a="1"/>
  <c r="B83" i="3"/>
  <c r="C83" i="3" a="1"/>
  <c r="C83" i="3" s="1"/>
  <c r="D83" i="3" a="1"/>
  <c r="D83" i="3" s="1"/>
  <c r="E83" i="3" a="1"/>
  <c r="E83" i="3" s="1"/>
  <c r="F83" i="3" a="1"/>
  <c r="F83" i="3" s="1"/>
  <c r="G83" i="3" a="1"/>
  <c r="G83" i="3" s="1"/>
  <c r="H83" i="3" a="1"/>
  <c r="H83" i="3"/>
  <c r="I83" i="3" a="1"/>
  <c r="I83" i="3" s="1"/>
  <c r="B84" i="3" a="1"/>
  <c r="B84" i="3"/>
  <c r="C84" i="3" a="1"/>
  <c r="C84" i="3"/>
  <c r="D84" i="3" a="1"/>
  <c r="D84" i="3"/>
  <c r="E84" i="3" a="1"/>
  <c r="E84" i="3" s="1"/>
  <c r="F84" i="3" a="1"/>
  <c r="F84" i="3" s="1"/>
  <c r="G84" i="3" a="1"/>
  <c r="G84" i="3"/>
  <c r="H84" i="3" a="1"/>
  <c r="H84" i="3" s="1"/>
  <c r="I84" i="3" a="1"/>
  <c r="I84" i="3" s="1"/>
  <c r="B85" i="3" a="1"/>
  <c r="B85" i="3" s="1"/>
  <c r="C85" i="3" a="1"/>
  <c r="C85" i="3" s="1"/>
  <c r="D85" i="3" a="1"/>
  <c r="D85" i="3"/>
  <c r="E85" i="3" a="1"/>
  <c r="E85" i="3"/>
  <c r="F85" i="3" a="1"/>
  <c r="F85" i="3" s="1"/>
  <c r="G85" i="3" a="1"/>
  <c r="G85" i="3"/>
  <c r="H85" i="3" a="1"/>
  <c r="H85" i="3"/>
  <c r="I85" i="3" a="1"/>
  <c r="I85" i="3" s="1"/>
  <c r="B86" i="3" a="1"/>
  <c r="B86" i="3" s="1"/>
  <c r="C86" i="3" a="1"/>
  <c r="C86" i="3" s="1"/>
  <c r="D86" i="3" a="1"/>
  <c r="D86" i="3"/>
  <c r="E86" i="3" a="1"/>
  <c r="E86" i="3" s="1"/>
  <c r="F86" i="3" a="1"/>
  <c r="F86" i="3" s="1"/>
  <c r="G86" i="3" a="1"/>
  <c r="G86" i="3" s="1"/>
  <c r="H86" i="3" a="1"/>
  <c r="H86" i="3"/>
  <c r="I86" i="3" a="1"/>
  <c r="I86" i="3"/>
  <c r="B87" i="3" a="1"/>
  <c r="B87" i="3"/>
  <c r="C87" i="3" a="1"/>
  <c r="C87" i="3" s="1"/>
  <c r="D87" i="3" a="1"/>
  <c r="D87" i="3"/>
  <c r="E87" i="3" a="1"/>
  <c r="E87" i="3" s="1"/>
  <c r="F87" i="3" a="1"/>
  <c r="F87" i="3" s="1"/>
  <c r="G87" i="3" a="1"/>
  <c r="G87" i="3" s="1"/>
  <c r="H87" i="3" a="1"/>
  <c r="H87" i="3" s="1"/>
  <c r="I87" i="3" a="1"/>
  <c r="I87" i="3"/>
  <c r="B88" i="3" a="1"/>
  <c r="B88" i="3" s="1"/>
  <c r="C88" i="3" a="1"/>
  <c r="C88" i="3" s="1"/>
  <c r="D88" i="3" a="1"/>
  <c r="D88" i="3"/>
  <c r="E88" i="3" a="1"/>
  <c r="E88" i="3"/>
  <c r="F88" i="3" a="1"/>
  <c r="F88" i="3"/>
  <c r="G88" i="3" a="1"/>
  <c r="G88" i="3"/>
  <c r="H88" i="3" a="1"/>
  <c r="H88" i="3" s="1"/>
  <c r="I88" i="3" a="1"/>
  <c r="I88" i="3" s="1"/>
  <c r="B89" i="3" a="1"/>
  <c r="B89" i="3" s="1"/>
  <c r="C89" i="3" a="1"/>
  <c r="C89" i="3" s="1"/>
  <c r="D89" i="3" a="1"/>
  <c r="D89" i="3" s="1"/>
  <c r="E89" i="3" a="1"/>
  <c r="E89" i="3" s="1"/>
  <c r="F89" i="3" a="1"/>
  <c r="F89" i="3"/>
  <c r="G89" i="3" a="1"/>
  <c r="G89" i="3" s="1"/>
  <c r="H89" i="3" a="1"/>
  <c r="H89" i="3"/>
  <c r="I89" i="3" a="1"/>
  <c r="I89" i="3"/>
  <c r="B90" i="3" a="1"/>
  <c r="B90" i="3"/>
  <c r="C90" i="3" a="1"/>
  <c r="C90" i="3"/>
  <c r="D90" i="3" a="1"/>
  <c r="D90" i="3"/>
  <c r="E90" i="3" a="1"/>
  <c r="E90" i="3" s="1"/>
  <c r="F90" i="3" a="1"/>
  <c r="F90" i="3" s="1"/>
  <c r="G90" i="3" a="1"/>
  <c r="G90" i="3" s="1"/>
  <c r="H90" i="3" a="1"/>
  <c r="H90" i="3" s="1"/>
  <c r="I90" i="3" a="1"/>
  <c r="I90" i="3" s="1"/>
  <c r="B91" i="3" a="1"/>
  <c r="B91" i="3" s="1"/>
  <c r="C91" i="3" a="1"/>
  <c r="C91" i="3" s="1"/>
  <c r="D91" i="3" a="1"/>
  <c r="D91" i="3" s="1"/>
  <c r="E91" i="3" a="1"/>
  <c r="E91" i="3"/>
  <c r="F91" i="3" a="1"/>
  <c r="F91" i="3"/>
  <c r="G91" i="3" a="1"/>
  <c r="G91" i="3"/>
  <c r="H91" i="3" a="1"/>
  <c r="H91" i="3"/>
  <c r="I91" i="3" a="1"/>
  <c r="I91" i="3" s="1"/>
  <c r="B92" i="3" a="1"/>
  <c r="B92" i="3"/>
  <c r="C92" i="3" a="1"/>
  <c r="C92" i="3" s="1"/>
  <c r="D92" i="3" a="1"/>
  <c r="D92" i="3" s="1"/>
  <c r="E92" i="3" a="1"/>
  <c r="E92" i="3" s="1"/>
  <c r="F92" i="3" a="1"/>
  <c r="F92" i="3" s="1"/>
  <c r="G92" i="3" a="1"/>
  <c r="G92" i="3" s="1"/>
  <c r="H92" i="3" a="1"/>
  <c r="H92" i="3"/>
  <c r="I92" i="3" a="1"/>
  <c r="I92" i="3" s="1"/>
  <c r="B93" i="3" a="1"/>
  <c r="B93" i="3"/>
  <c r="C93" i="3" a="1"/>
  <c r="C93" i="3"/>
  <c r="D93" i="3" a="1"/>
  <c r="D93" i="3"/>
  <c r="E93" i="3" a="1"/>
  <c r="E93" i="3" s="1"/>
  <c r="F93" i="3" a="1"/>
  <c r="F93" i="3" s="1"/>
  <c r="G93" i="3" a="1"/>
  <c r="G93" i="3"/>
  <c r="H93" i="3" a="1"/>
  <c r="H93" i="3" s="1"/>
  <c r="I93" i="3" a="1"/>
  <c r="I93" i="3" s="1"/>
  <c r="B94" i="3" a="1"/>
  <c r="B94" i="3" s="1"/>
  <c r="C94" i="3" a="1"/>
  <c r="C94" i="3" s="1"/>
  <c r="D94" i="3" a="1"/>
  <c r="D94" i="3"/>
  <c r="E94" i="3" a="1"/>
  <c r="E94" i="3"/>
  <c r="F94" i="3" a="1"/>
  <c r="F94" i="3" s="1"/>
  <c r="G94" i="3" a="1"/>
  <c r="G94" i="3"/>
  <c r="H94" i="3" a="1"/>
  <c r="H94" i="3"/>
  <c r="I94" i="3" a="1"/>
  <c r="I94" i="3" s="1"/>
  <c r="B95" i="3" a="1"/>
  <c r="B95" i="3" s="1"/>
  <c r="C95" i="3" a="1"/>
  <c r="C95" i="3" s="1"/>
  <c r="D95" i="3" a="1"/>
  <c r="D95" i="3"/>
  <c r="E95" i="3" a="1"/>
  <c r="E95" i="3" s="1"/>
  <c r="F95" i="3" a="1"/>
  <c r="F95" i="3" s="1"/>
  <c r="G95" i="3" a="1"/>
  <c r="G95" i="3" s="1"/>
  <c r="H95" i="3" a="1"/>
  <c r="H95" i="3"/>
  <c r="I95" i="3" a="1"/>
  <c r="I95" i="3"/>
  <c r="B96" i="3" a="1"/>
  <c r="B96" i="3"/>
  <c r="C96" i="3" a="1"/>
  <c r="C96" i="3" s="1"/>
  <c r="D96" i="3" a="1"/>
  <c r="D96" i="3"/>
  <c r="E96" i="3" a="1"/>
  <c r="E96" i="3" s="1"/>
  <c r="F96" i="3" a="1"/>
  <c r="F96" i="3" s="1"/>
  <c r="G96" i="3" a="1"/>
  <c r="G96" i="3" s="1"/>
  <c r="H96" i="3" a="1"/>
  <c r="H96" i="3" s="1"/>
  <c r="I96" i="3" a="1"/>
  <c r="I96" i="3"/>
  <c r="B97" i="3" a="1"/>
  <c r="B97" i="3" s="1"/>
  <c r="C97" i="3" a="1"/>
  <c r="C97" i="3" s="1"/>
  <c r="D97" i="3" a="1"/>
  <c r="D97" i="3"/>
  <c r="E97" i="3" a="1"/>
  <c r="E97" i="3"/>
  <c r="F97" i="3" a="1"/>
  <c r="F97" i="3"/>
  <c r="G97" i="3" a="1"/>
  <c r="G97" i="3"/>
  <c r="H97" i="3" a="1"/>
  <c r="H97" i="3" s="1"/>
  <c r="I97" i="3" a="1"/>
  <c r="I97" i="3" s="1"/>
  <c r="B98" i="3" a="1"/>
  <c r="B98" i="3" s="1"/>
  <c r="C98" i="3" a="1"/>
  <c r="C98" i="3" s="1"/>
  <c r="D98" i="3" a="1"/>
  <c r="D98" i="3" s="1"/>
  <c r="E98" i="3" a="1"/>
  <c r="E98" i="3" s="1"/>
  <c r="F98" i="3" a="1"/>
  <c r="F98" i="3"/>
  <c r="G98" i="3" a="1"/>
  <c r="G98" i="3" s="1"/>
  <c r="H98" i="3" a="1"/>
  <c r="H98" i="3"/>
  <c r="I98" i="3" a="1"/>
  <c r="I98" i="3"/>
  <c r="B99" i="3" a="1"/>
  <c r="B99" i="3"/>
  <c r="C99" i="3" a="1"/>
  <c r="C99" i="3"/>
  <c r="D99" i="3" a="1"/>
  <c r="D99" i="3"/>
  <c r="E99" i="3" a="1"/>
  <c r="E99" i="3" s="1"/>
  <c r="F99" i="3" a="1"/>
  <c r="F99" i="3" s="1"/>
  <c r="G99" i="3" a="1"/>
  <c r="G99" i="3" s="1"/>
  <c r="H99" i="3" a="1"/>
  <c r="H99" i="3" s="1"/>
  <c r="I99" i="3" a="1"/>
  <c r="I99" i="3" s="1"/>
  <c r="B100" i="3" a="1"/>
  <c r="B100" i="3" s="1"/>
  <c r="C100" i="3" a="1"/>
  <c r="C100" i="3" s="1"/>
  <c r="D100" i="3" a="1"/>
  <c r="D100" i="3" s="1"/>
  <c r="E100" i="3" a="1"/>
  <c r="E100" i="3"/>
  <c r="F100" i="3" a="1"/>
  <c r="F100" i="3"/>
  <c r="G100" i="3" a="1"/>
  <c r="G100" i="3"/>
  <c r="H100" i="3" a="1"/>
  <c r="H100" i="3"/>
  <c r="I100" i="3" a="1"/>
  <c r="I100" i="3" s="1"/>
  <c r="B101" i="3" a="1"/>
  <c r="B101" i="3"/>
  <c r="C101" i="3" a="1"/>
  <c r="C101" i="3" s="1"/>
  <c r="D101" i="3" a="1"/>
  <c r="D101" i="3" s="1"/>
  <c r="E101" i="3" a="1"/>
  <c r="E101" i="3" s="1"/>
  <c r="F101" i="3" a="1"/>
  <c r="F101" i="3" s="1"/>
  <c r="G101" i="3" a="1"/>
  <c r="G101" i="3" s="1"/>
  <c r="H101" i="3" a="1"/>
  <c r="H101" i="3"/>
  <c r="I101" i="3" a="1"/>
  <c r="I101" i="3" s="1"/>
  <c r="B102" i="3" a="1"/>
  <c r="B102" i="3"/>
  <c r="C102" i="3" a="1"/>
  <c r="C102" i="3"/>
  <c r="D102" i="3" a="1"/>
  <c r="D102" i="3"/>
  <c r="E102" i="3" a="1"/>
  <c r="E102" i="3" s="1"/>
  <c r="F102" i="3" a="1"/>
  <c r="F102" i="3" s="1"/>
  <c r="G102" i="3" a="1"/>
  <c r="G102" i="3"/>
  <c r="H102" i="3" a="1"/>
  <c r="H102" i="3" s="1"/>
  <c r="I102" i="3" a="1"/>
  <c r="I102" i="3" s="1"/>
  <c r="B103" i="3" a="1"/>
  <c r="B103" i="3" s="1"/>
  <c r="C103" i="3" a="1"/>
  <c r="C103" i="3" s="1"/>
  <c r="D103" i="3" a="1"/>
  <c r="D103" i="3"/>
  <c r="E103" i="3" a="1"/>
  <c r="E103" i="3"/>
  <c r="F103" i="3" a="1"/>
  <c r="F103" i="3" s="1"/>
  <c r="G103" i="3" a="1"/>
  <c r="G103" i="3"/>
  <c r="H103" i="3" a="1"/>
  <c r="H103" i="3"/>
  <c r="I103" i="3" a="1"/>
  <c r="I103" i="3" s="1"/>
  <c r="B104" i="3" a="1"/>
  <c r="B104" i="3" s="1"/>
  <c r="C104" i="3" a="1"/>
  <c r="C104" i="3" s="1"/>
  <c r="D104" i="3" a="1"/>
  <c r="D104" i="3" s="1"/>
  <c r="E104" i="3" a="1"/>
  <c r="E104" i="3" s="1"/>
  <c r="F104" i="3" a="1"/>
  <c r="F104" i="3" s="1"/>
  <c r="G104" i="3" a="1"/>
  <c r="G104" i="3" s="1"/>
  <c r="H104" i="3" a="1"/>
  <c r="H104" i="3"/>
  <c r="I104" i="3" a="1"/>
  <c r="I104" i="3"/>
  <c r="B105" i="3" a="1"/>
  <c r="B105" i="3"/>
  <c r="C105" i="3" a="1"/>
  <c r="C105" i="3" s="1"/>
  <c r="D105" i="3" a="1"/>
  <c r="D105" i="3"/>
  <c r="E105" i="3" a="1"/>
  <c r="E105" i="3" s="1"/>
  <c r="F105" i="3" a="1"/>
  <c r="F105" i="3" s="1"/>
  <c r="G105" i="3" a="1"/>
  <c r="G105" i="3" s="1"/>
  <c r="H105" i="3" a="1"/>
  <c r="H105" i="3" s="1"/>
  <c r="I105" i="3" a="1"/>
  <c r="I105" i="3"/>
  <c r="B106" i="3" a="1"/>
  <c r="B106" i="3" s="1"/>
  <c r="C106" i="3" a="1"/>
  <c r="C106" i="3" s="1"/>
  <c r="D106" i="3" a="1"/>
  <c r="D106" i="3"/>
  <c r="E106" i="3" a="1"/>
  <c r="E106" i="3"/>
  <c r="F106" i="3" a="1"/>
  <c r="F106" i="3"/>
  <c r="G106" i="3" a="1"/>
  <c r="G106" i="3"/>
  <c r="H106" i="3" a="1"/>
  <c r="H106" i="3" s="1"/>
  <c r="I106" i="3" a="1"/>
  <c r="I106" i="3" s="1"/>
  <c r="B107" i="3" a="1"/>
  <c r="B107" i="3" s="1"/>
  <c r="C107" i="3" a="1"/>
  <c r="C107" i="3" s="1"/>
  <c r="D107" i="3" a="1"/>
  <c r="D107" i="3" s="1"/>
  <c r="E107" i="3" a="1"/>
  <c r="E107" i="3" s="1"/>
  <c r="F107" i="3" a="1"/>
  <c r="F107" i="3"/>
  <c r="G107" i="3" a="1"/>
  <c r="G107" i="3" s="1"/>
  <c r="H107" i="3" a="1"/>
  <c r="H107" i="3"/>
  <c r="I107" i="3" a="1"/>
  <c r="I107" i="3"/>
  <c r="B108" i="3" a="1"/>
  <c r="B108" i="3"/>
  <c r="C108" i="3" a="1"/>
  <c r="C108" i="3"/>
  <c r="D108" i="3" a="1"/>
  <c r="D108" i="3"/>
  <c r="E108" i="3" a="1"/>
  <c r="E108" i="3" s="1"/>
  <c r="F108" i="3" a="1"/>
  <c r="F108" i="3" s="1"/>
  <c r="G108" i="3" a="1"/>
  <c r="G108" i="3" s="1"/>
  <c r="H108" i="3" a="1"/>
  <c r="H108" i="3" s="1"/>
  <c r="I108" i="3" a="1"/>
  <c r="I108" i="3" s="1"/>
  <c r="B109" i="3" a="1"/>
  <c r="B109" i="3" s="1"/>
  <c r="C109" i="3" a="1"/>
  <c r="C109" i="3" s="1"/>
  <c r="D109" i="3" a="1"/>
  <c r="D109" i="3" s="1"/>
  <c r="E109" i="3" a="1"/>
  <c r="E109" i="3"/>
  <c r="F109" i="3" a="1"/>
  <c r="F109" i="3"/>
  <c r="G109" i="3" a="1"/>
  <c r="G109" i="3"/>
  <c r="H109" i="3" a="1"/>
  <c r="H109" i="3"/>
  <c r="I109" i="3" a="1"/>
  <c r="I109" i="3" s="1"/>
  <c r="B110" i="3" a="1"/>
  <c r="B110" i="3" s="1"/>
  <c r="C110" i="3" a="1"/>
  <c r="C110" i="3" s="1"/>
  <c r="D110" i="3" a="1"/>
  <c r="D110" i="3" s="1"/>
  <c r="E110" i="3" a="1"/>
  <c r="E110" i="3" s="1"/>
  <c r="F110" i="3" a="1"/>
  <c r="F110" i="3" s="1"/>
  <c r="G110" i="3" a="1"/>
  <c r="G110" i="3" s="1"/>
  <c r="H110" i="3" a="1"/>
  <c r="H110" i="3"/>
  <c r="I110" i="3" a="1"/>
  <c r="I110" i="3" s="1"/>
  <c r="B111" i="3" a="1"/>
  <c r="B111" i="3"/>
  <c r="C111" i="3" a="1"/>
  <c r="C111" i="3"/>
  <c r="D111" i="3" a="1"/>
  <c r="D111" i="3"/>
  <c r="E111" i="3" a="1"/>
  <c r="E111" i="3"/>
  <c r="F111" i="3" a="1"/>
  <c r="F111" i="3" s="1"/>
  <c r="G111" i="3" a="1"/>
  <c r="G111" i="3" s="1"/>
  <c r="H111" i="3" a="1"/>
  <c r="H111" i="3"/>
  <c r="I111" i="3" a="1"/>
  <c r="I111" i="3"/>
  <c r="B112" i="3" a="1"/>
  <c r="B112" i="3"/>
  <c r="C112" i="3" a="1"/>
  <c r="C112" i="3"/>
  <c r="D112" i="3" a="1"/>
  <c r="D112" i="3"/>
  <c r="E112" i="3" a="1"/>
  <c r="E112" i="3" s="1"/>
  <c r="F112" i="3" a="1"/>
  <c r="F112" i="3"/>
  <c r="G112" i="3" a="1"/>
  <c r="G112" i="3"/>
  <c r="H112" i="3" a="1"/>
  <c r="H112" i="3"/>
  <c r="I112" i="3" a="1"/>
  <c r="I112" i="3"/>
  <c r="B113" i="3" a="1"/>
  <c r="B113" i="3" s="1"/>
  <c r="C113" i="3" a="1"/>
  <c r="C113" i="3" s="1"/>
  <c r="D113" i="3" a="1"/>
  <c r="D113" i="3"/>
  <c r="E113" i="3" a="1"/>
  <c r="E113" i="3"/>
  <c r="F113" i="3" a="1"/>
  <c r="F113" i="3"/>
  <c r="G113" i="3" a="1"/>
  <c r="G113" i="3"/>
  <c r="H113" i="3" a="1"/>
  <c r="H113" i="3"/>
  <c r="I113" i="3" a="1"/>
  <c r="I113" i="3" s="1"/>
  <c r="B114" i="3" a="1"/>
  <c r="B114" i="3"/>
  <c r="C114" i="3" a="1"/>
  <c r="C114" i="3"/>
  <c r="D114" i="3" a="1"/>
  <c r="D114" i="3"/>
  <c r="E114" i="3" a="1"/>
  <c r="E114" i="3"/>
  <c r="F114" i="3" a="1"/>
  <c r="F114" i="3"/>
  <c r="G114" i="3" a="1"/>
  <c r="G114" i="3" s="1"/>
  <c r="H114" i="3" a="1"/>
  <c r="H114" i="3"/>
  <c r="I114" i="3" a="1"/>
  <c r="I114" i="3"/>
  <c r="B115" i="3" a="1"/>
  <c r="B115" i="3"/>
  <c r="C115" i="3" a="1"/>
  <c r="C115" i="3"/>
  <c r="D115" i="3" a="1"/>
  <c r="D115" i="3" s="1"/>
  <c r="E115" i="3" a="1"/>
  <c r="E115" i="3" s="1"/>
  <c r="F115" i="3" a="1"/>
  <c r="F115" i="3"/>
  <c r="G115" i="3" a="1"/>
  <c r="G115" i="3"/>
  <c r="H115" i="3" a="1"/>
  <c r="H115" i="3"/>
  <c r="I115" i="3" a="1"/>
  <c r="I115" i="3"/>
  <c r="B116" i="3" a="1"/>
  <c r="B116" i="3" s="1"/>
  <c r="C116" i="3" a="1"/>
  <c r="C116" i="3" s="1"/>
  <c r="D116" i="3" a="1"/>
  <c r="D116" i="3"/>
  <c r="E116" i="3" a="1"/>
  <c r="E116" i="3"/>
  <c r="F116" i="3" a="1"/>
  <c r="F116" i="3" s="1"/>
  <c r="G116" i="3" a="1"/>
  <c r="G116" i="3" s="1"/>
  <c r="H116" i="3" a="1"/>
  <c r="H116" i="3"/>
  <c r="I116" i="3" a="1"/>
  <c r="I116" i="3" s="1"/>
  <c r="B117" i="3" a="1"/>
  <c r="B117" i="3" s="1"/>
  <c r="C117" i="3" a="1"/>
  <c r="C117" i="3"/>
  <c r="D117" i="3" a="1"/>
  <c r="D117" i="3"/>
  <c r="E117" i="3" a="1"/>
  <c r="E117" i="3" s="1"/>
  <c r="F117" i="3" a="1"/>
  <c r="F117" i="3" s="1"/>
  <c r="G117" i="3" a="1"/>
  <c r="G117" i="3" s="1"/>
  <c r="H117" i="3" a="1"/>
  <c r="H117" i="3" s="1"/>
  <c r="I117" i="3" a="1"/>
  <c r="I117" i="3"/>
  <c r="B118" i="3" a="1"/>
  <c r="B118" i="3"/>
  <c r="C118" i="3" a="1"/>
  <c r="C118" i="3"/>
  <c r="D118" i="3" a="1"/>
  <c r="D118" i="3" s="1"/>
  <c r="E118" i="3" a="1"/>
  <c r="E118" i="3" s="1"/>
  <c r="F118" i="3" a="1"/>
  <c r="F118" i="3" s="1"/>
  <c r="G118" i="3" a="1"/>
  <c r="G118" i="3" s="1"/>
  <c r="H118" i="3" a="1"/>
  <c r="H118" i="3" s="1"/>
  <c r="I118" i="3" a="1"/>
  <c r="I118" i="3"/>
  <c r="B119" i="3" a="1"/>
  <c r="B119" i="3" s="1"/>
  <c r="C119" i="3" a="1"/>
  <c r="C119" i="3" s="1"/>
  <c r="D119" i="3" a="1"/>
  <c r="D119" i="3" s="1"/>
  <c r="E119" i="3" a="1"/>
  <c r="E119" i="3" s="1"/>
  <c r="F119" i="3" a="1"/>
  <c r="F119" i="3" s="1"/>
  <c r="G119" i="3" a="1"/>
  <c r="G119" i="3"/>
  <c r="H119" i="3" a="1"/>
  <c r="H119" i="3" s="1"/>
  <c r="I119" i="3" a="1"/>
  <c r="I119" i="3" s="1"/>
  <c r="B120" i="3" a="1"/>
  <c r="B120" i="3" s="1"/>
  <c r="C120" i="3" a="1"/>
  <c r="C120" i="3" s="1"/>
  <c r="D120" i="3" a="1"/>
  <c r="D120" i="3" s="1"/>
  <c r="E120" i="3" a="1"/>
  <c r="E120" i="3"/>
  <c r="F120" i="3" a="1"/>
  <c r="F120" i="3"/>
  <c r="G120" i="3" a="1"/>
  <c r="G120" i="3" s="1"/>
  <c r="H120" i="3" a="1"/>
  <c r="H120" i="3" s="1"/>
  <c r="I120" i="3" a="1"/>
  <c r="I120" i="3" s="1"/>
  <c r="B121" i="3" a="1"/>
  <c r="B121" i="3" s="1"/>
  <c r="C121" i="3" a="1"/>
  <c r="C121" i="3"/>
  <c r="D121" i="3" a="1"/>
  <c r="D121" i="3" s="1"/>
  <c r="E121" i="3" a="1"/>
  <c r="E121" i="3" s="1"/>
  <c r="F121" i="3" a="1"/>
  <c r="F121" i="3" s="1"/>
  <c r="G121" i="3" a="1"/>
  <c r="G121" i="3" s="1"/>
  <c r="H121" i="3" a="1"/>
  <c r="H121" i="3" s="1"/>
  <c r="I121" i="3" a="1"/>
  <c r="I121" i="3"/>
  <c r="B122" i="3" a="1"/>
  <c r="B122" i="3" s="1"/>
  <c r="C122" i="3" a="1"/>
  <c r="C122" i="3" s="1"/>
  <c r="D122" i="3" a="1"/>
  <c r="D122" i="3" s="1"/>
  <c r="E122" i="3" a="1"/>
  <c r="E122" i="3" s="1"/>
  <c r="F122" i="3" a="1"/>
  <c r="F122" i="3" s="1"/>
  <c r="G122" i="3" a="1"/>
  <c r="G122" i="3"/>
  <c r="H122" i="3" a="1"/>
  <c r="H122" i="3" s="1"/>
  <c r="I122" i="3" a="1"/>
  <c r="I122" i="3" s="1"/>
  <c r="B123" i="3" a="1"/>
  <c r="B123" i="3" s="1"/>
  <c r="C123" i="3" a="1"/>
  <c r="C123" i="3" s="1"/>
  <c r="D123" i="3" a="1"/>
  <c r="D123" i="3" s="1"/>
  <c r="E123" i="3" a="1"/>
  <c r="E123" i="3"/>
  <c r="F123" i="3" a="1"/>
  <c r="F123" i="3"/>
  <c r="G123" i="3" a="1"/>
  <c r="G123" i="3" s="1"/>
  <c r="H123" i="3" a="1"/>
  <c r="H123" i="3" s="1"/>
  <c r="I123" i="3" a="1"/>
  <c r="I123" i="3" s="1"/>
  <c r="B124" i="3" a="1"/>
  <c r="B124" i="3" s="1"/>
  <c r="C124" i="3" a="1"/>
  <c r="C124" i="3"/>
  <c r="D124" i="3" a="1"/>
  <c r="D124" i="3" s="1"/>
  <c r="E124" i="3" a="1"/>
  <c r="E124" i="3" s="1"/>
  <c r="F124" i="3" a="1"/>
  <c r="F124" i="3" s="1"/>
  <c r="G124" i="3" a="1"/>
  <c r="G124" i="3" s="1"/>
  <c r="H124" i="3" a="1"/>
  <c r="H124" i="3" s="1"/>
  <c r="I124" i="3" a="1"/>
  <c r="I124" i="3"/>
  <c r="B125" i="3" a="1"/>
  <c r="B125" i="3" s="1"/>
  <c r="C125" i="3" a="1"/>
  <c r="C125" i="3" s="1"/>
  <c r="D125" i="3" a="1"/>
  <c r="D125" i="3" s="1"/>
  <c r="E125" i="3" a="1"/>
  <c r="E125" i="3" s="1"/>
  <c r="F125" i="3" a="1"/>
  <c r="F125" i="3" s="1"/>
  <c r="G125" i="3" a="1"/>
  <c r="G125" i="3"/>
  <c r="H125" i="3" a="1"/>
  <c r="H125" i="3" s="1"/>
  <c r="I125" i="3" a="1"/>
  <c r="I125" i="3" s="1"/>
  <c r="B126" i="3" a="1"/>
  <c r="B126" i="3" s="1"/>
  <c r="C126" i="3" a="1"/>
  <c r="C126" i="3" s="1"/>
  <c r="D126" i="3" a="1"/>
  <c r="D126" i="3" s="1"/>
  <c r="E126" i="3" a="1"/>
  <c r="E126" i="3"/>
  <c r="F126" i="3" a="1"/>
  <c r="F126" i="3"/>
  <c r="G126" i="3" a="1"/>
  <c r="G126" i="3" s="1"/>
  <c r="H126" i="3" a="1"/>
  <c r="H126" i="3" s="1"/>
  <c r="I126" i="3" a="1"/>
  <c r="I126" i="3" s="1"/>
  <c r="B127" i="3" a="1"/>
  <c r="B127" i="3" s="1"/>
  <c r="C127" i="3" a="1"/>
  <c r="C127" i="3"/>
  <c r="D127" i="3" a="1"/>
  <c r="D127" i="3" s="1"/>
  <c r="E127" i="3" a="1"/>
  <c r="E127" i="3" s="1"/>
  <c r="F127" i="3" a="1"/>
  <c r="F127" i="3" s="1"/>
  <c r="G127" i="3" a="1"/>
  <c r="G127" i="3" s="1"/>
  <c r="H127" i="3" a="1"/>
  <c r="H127" i="3" s="1"/>
  <c r="I127" i="3" a="1"/>
  <c r="I127" i="3"/>
  <c r="B128" i="3" a="1"/>
  <c r="B128" i="3" s="1"/>
  <c r="C128" i="3" a="1"/>
  <c r="C128" i="3" s="1"/>
  <c r="D128" i="3" a="1"/>
  <c r="D128" i="3" s="1"/>
  <c r="E128" i="3" a="1"/>
  <c r="E128" i="3" s="1"/>
  <c r="F128" i="3" a="1"/>
  <c r="F128" i="3" s="1"/>
  <c r="G128" i="3" a="1"/>
  <c r="G128" i="3"/>
  <c r="H128" i="3" a="1"/>
  <c r="H128" i="3" s="1"/>
  <c r="I128" i="3" a="1"/>
  <c r="I128" i="3" s="1"/>
  <c r="B129" i="3" a="1"/>
  <c r="B129" i="3" s="1"/>
  <c r="C129" i="3" a="1"/>
  <c r="C129" i="3" s="1"/>
  <c r="D129" i="3" a="1"/>
  <c r="D129" i="3" s="1"/>
  <c r="E129" i="3" a="1"/>
  <c r="E129" i="3"/>
  <c r="F129" i="3" a="1"/>
  <c r="F129" i="3"/>
  <c r="G129" i="3" a="1"/>
  <c r="G129" i="3" s="1"/>
  <c r="H129" i="3" a="1"/>
  <c r="H129" i="3" s="1"/>
  <c r="I129" i="3" a="1"/>
  <c r="I129" i="3" s="1"/>
  <c r="B130" i="3" a="1"/>
  <c r="B130" i="3"/>
  <c r="C130" i="3" a="1"/>
  <c r="C130" i="3"/>
  <c r="D130" i="3" a="1"/>
  <c r="D130" i="3" s="1"/>
  <c r="E130" i="3" a="1"/>
  <c r="E130" i="3" s="1"/>
  <c r="F130" i="3" a="1"/>
  <c r="F130" i="3" s="1"/>
  <c r="G130" i="3" a="1"/>
  <c r="G130" i="3" s="1"/>
  <c r="H130" i="3" a="1"/>
  <c r="H130" i="3" s="1"/>
  <c r="I130" i="3" a="1"/>
  <c r="I130" i="3"/>
  <c r="B131" i="3" a="1"/>
  <c r="B131" i="3" s="1"/>
  <c r="C131" i="3" a="1"/>
  <c r="C131" i="3" s="1"/>
  <c r="D131" i="3" a="1"/>
  <c r="D131" i="3" s="1"/>
  <c r="E131" i="3" a="1"/>
  <c r="E131" i="3" s="1"/>
  <c r="F131" i="3" a="1"/>
  <c r="F131" i="3" s="1"/>
  <c r="G131" i="3" a="1"/>
  <c r="G131" i="3"/>
  <c r="H131" i="3" a="1"/>
  <c r="H131" i="3" s="1"/>
  <c r="I131" i="3" a="1"/>
  <c r="I131" i="3" s="1"/>
  <c r="B132" i="3" a="1"/>
  <c r="B132" i="3" s="1"/>
  <c r="C132" i="3" a="1"/>
  <c r="C132" i="3" s="1"/>
  <c r="D132" i="3" a="1"/>
  <c r="D132" i="3" s="1"/>
  <c r="E132" i="3" a="1"/>
  <c r="E132" i="3"/>
  <c r="F132" i="3" a="1"/>
  <c r="F132" i="3"/>
  <c r="G132" i="3" a="1"/>
  <c r="G132" i="3" s="1"/>
  <c r="H132" i="3" a="1"/>
  <c r="H132" i="3" s="1"/>
  <c r="I132" i="3" a="1"/>
  <c r="I132" i="3" s="1"/>
  <c r="B133" i="3" a="1"/>
  <c r="B133" i="3"/>
  <c r="C133" i="3" a="1"/>
  <c r="C133" i="3"/>
  <c r="D133" i="3" a="1"/>
  <c r="D133" i="3" s="1"/>
  <c r="E133" i="3" a="1"/>
  <c r="E133" i="3" s="1"/>
  <c r="F133" i="3" a="1"/>
  <c r="F133" i="3" s="1"/>
  <c r="G133" i="3" a="1"/>
  <c r="G133" i="3" s="1"/>
  <c r="H133" i="3" a="1"/>
  <c r="H133" i="3" s="1"/>
  <c r="I133" i="3" a="1"/>
  <c r="I133" i="3"/>
  <c r="B134" i="3" a="1"/>
  <c r="B134" i="3" s="1"/>
  <c r="C134" i="3" a="1"/>
  <c r="C134" i="3" s="1"/>
  <c r="D134" i="3" a="1"/>
  <c r="D134" i="3" s="1"/>
  <c r="E134" i="3" a="1"/>
  <c r="E134" i="3" s="1"/>
  <c r="F134" i="3" a="1"/>
  <c r="F134" i="3" s="1"/>
  <c r="G134" i="3" a="1"/>
  <c r="G134" i="3"/>
  <c r="H134" i="3" a="1"/>
  <c r="H134" i="3" s="1"/>
  <c r="I134" i="3" a="1"/>
  <c r="I134" i="3" s="1"/>
  <c r="B135" i="3" a="1"/>
  <c r="B135" i="3" s="1"/>
  <c r="C135" i="3" a="1"/>
  <c r="C135" i="3" s="1"/>
  <c r="D135" i="3" a="1"/>
  <c r="D135" i="3" s="1"/>
  <c r="E135" i="3" a="1"/>
  <c r="E135" i="3"/>
  <c r="F135" i="3" a="1"/>
  <c r="F135" i="3"/>
  <c r="G135" i="3" a="1"/>
  <c r="G135" i="3" s="1"/>
  <c r="H135" i="3" a="1"/>
  <c r="H135" i="3" s="1"/>
  <c r="I135" i="3" a="1"/>
  <c r="I135" i="3" s="1"/>
  <c r="B136" i="3" a="1"/>
  <c r="B136" i="3"/>
  <c r="C136" i="3" a="1"/>
  <c r="C136" i="3"/>
  <c r="D136" i="3" a="1"/>
  <c r="D136" i="3" s="1"/>
  <c r="E136" i="3" a="1"/>
  <c r="E136" i="3" s="1"/>
  <c r="F136" i="3" a="1"/>
  <c r="F136" i="3" s="1"/>
  <c r="G136" i="3" a="1"/>
  <c r="G136" i="3" s="1"/>
  <c r="H136" i="3" a="1"/>
  <c r="H136" i="3" s="1"/>
  <c r="I136" i="3" a="1"/>
  <c r="I136" i="3"/>
  <c r="B137" i="3" a="1"/>
  <c r="B137" i="3" s="1"/>
  <c r="C137" i="3" a="1"/>
  <c r="C137" i="3" s="1"/>
  <c r="D137" i="3" a="1"/>
  <c r="D137" i="3" s="1"/>
  <c r="E137" i="3" a="1"/>
  <c r="E137" i="3" s="1"/>
  <c r="F137" i="3" a="1"/>
  <c r="F137" i="3" s="1"/>
  <c r="G137" i="3" a="1"/>
  <c r="G137" i="3"/>
  <c r="H137" i="3" a="1"/>
  <c r="H137" i="3" s="1"/>
  <c r="I137" i="3" a="1"/>
  <c r="I137" i="3" s="1"/>
  <c r="B138" i="3" a="1"/>
  <c r="B138" i="3" s="1"/>
  <c r="C138" i="3" a="1"/>
  <c r="C138" i="3" s="1"/>
  <c r="D138" i="3" a="1"/>
  <c r="D138" i="3" s="1"/>
  <c r="E138" i="3" a="1"/>
  <c r="E138" i="3"/>
  <c r="F138" i="3" a="1"/>
  <c r="F138" i="3"/>
  <c r="G138" i="3" a="1"/>
  <c r="G138" i="3" s="1"/>
  <c r="H138" i="3" a="1"/>
  <c r="H138" i="3" s="1"/>
  <c r="I138" i="3" a="1"/>
  <c r="I138" i="3" s="1"/>
  <c r="B139" i="3" a="1"/>
  <c r="B139" i="3"/>
  <c r="C139" i="3" a="1"/>
  <c r="C139" i="3"/>
  <c r="D139" i="3" a="1"/>
  <c r="D139" i="3" s="1"/>
  <c r="E139" i="3" a="1"/>
  <c r="E139" i="3" s="1"/>
  <c r="F139" i="3" a="1"/>
  <c r="F139" i="3" s="1"/>
  <c r="G139" i="3" a="1"/>
  <c r="G139" i="3" s="1"/>
  <c r="H139" i="3" a="1"/>
  <c r="H139" i="3" s="1"/>
  <c r="I139" i="3" a="1"/>
  <c r="I139" i="3"/>
  <c r="B140" i="3" a="1"/>
  <c r="B140" i="3" s="1"/>
  <c r="C140" i="3" a="1"/>
  <c r="C140" i="3" s="1"/>
  <c r="D140" i="3" a="1"/>
  <c r="D140" i="3" s="1"/>
  <c r="E140" i="3" a="1"/>
  <c r="E140" i="3" s="1"/>
  <c r="F140" i="3" a="1"/>
  <c r="F140" i="3" s="1"/>
  <c r="G140" i="3" a="1"/>
  <c r="G140" i="3"/>
  <c r="H140" i="3" a="1"/>
  <c r="H140" i="3" s="1"/>
  <c r="I140" i="3" a="1"/>
  <c r="I140" i="3" s="1"/>
  <c r="B141" i="3" a="1"/>
  <c r="B141" i="3" s="1"/>
  <c r="C141" i="3" a="1"/>
  <c r="C141" i="3" s="1"/>
  <c r="D141" i="3" a="1"/>
  <c r="D141" i="3" s="1"/>
  <c r="E141" i="3" a="1"/>
  <c r="E141" i="3"/>
  <c r="F141" i="3" a="1"/>
  <c r="F141" i="3"/>
  <c r="G141" i="3" a="1"/>
  <c r="G141" i="3" s="1"/>
  <c r="H141" i="3" a="1"/>
  <c r="H141" i="3" s="1"/>
  <c r="I141" i="3" a="1"/>
  <c r="I141" i="3" s="1"/>
  <c r="B142" i="3" a="1"/>
  <c r="B142" i="3"/>
  <c r="C142" i="3" a="1"/>
  <c r="C142" i="3"/>
  <c r="D142" i="3" a="1"/>
  <c r="D142" i="3" s="1"/>
  <c r="E142" i="3" a="1"/>
  <c r="E142" i="3" s="1"/>
  <c r="F142" i="3" a="1"/>
  <c r="F142" i="3" s="1"/>
  <c r="G142" i="3" a="1"/>
  <c r="G142" i="3" s="1"/>
  <c r="H142" i="3" a="1"/>
  <c r="H142" i="3" s="1"/>
  <c r="I142" i="3" a="1"/>
  <c r="I142" i="3"/>
  <c r="B143" i="3" a="1"/>
  <c r="B143" i="3" s="1"/>
  <c r="C143" i="3" a="1"/>
  <c r="C143" i="3" s="1"/>
  <c r="D143" i="3" a="1"/>
  <c r="D143" i="3" s="1"/>
  <c r="E143" i="3" a="1"/>
  <c r="E143" i="3" s="1"/>
  <c r="F143" i="3" a="1"/>
  <c r="F143" i="3" s="1"/>
  <c r="G143" i="3" a="1"/>
  <c r="G143" i="3"/>
  <c r="H143" i="3" a="1"/>
  <c r="H143" i="3" s="1"/>
  <c r="I143" i="3" a="1"/>
  <c r="I143" i="3" s="1"/>
  <c r="B144" i="3" a="1"/>
  <c r="B144" i="3" s="1"/>
  <c r="C144" i="3" a="1"/>
  <c r="C144" i="3" s="1"/>
  <c r="D144" i="3" a="1"/>
  <c r="D144" i="3" s="1"/>
  <c r="E144" i="3" a="1"/>
  <c r="E144" i="3"/>
  <c r="F144" i="3" a="1"/>
  <c r="F144" i="3"/>
  <c r="G144" i="3" a="1"/>
  <c r="G144" i="3" s="1"/>
  <c r="H144" i="3" a="1"/>
  <c r="H144" i="3" s="1"/>
  <c r="I144" i="3" a="1"/>
  <c r="I144" i="3" s="1"/>
  <c r="B145" i="3" a="1"/>
  <c r="B145" i="3"/>
  <c r="C145" i="3" a="1"/>
  <c r="C145" i="3"/>
  <c r="D145" i="3" a="1"/>
  <c r="D145" i="3" s="1"/>
  <c r="E145" i="3" a="1"/>
  <c r="E145" i="3" s="1"/>
  <c r="F145" i="3" a="1"/>
  <c r="F145" i="3" s="1"/>
  <c r="G145" i="3" a="1"/>
  <c r="G145" i="3" s="1"/>
  <c r="H145" i="3" a="1"/>
  <c r="H145" i="3" s="1"/>
  <c r="I145" i="3" a="1"/>
  <c r="I145" i="3"/>
  <c r="B146" i="3" a="1"/>
  <c r="B146" i="3" s="1"/>
  <c r="C146" i="3" a="1"/>
  <c r="C146" i="3" s="1"/>
  <c r="D146" i="3" a="1"/>
  <c r="D146" i="3" s="1"/>
  <c r="E146" i="3" a="1"/>
  <c r="E146" i="3" s="1"/>
  <c r="F146" i="3" a="1"/>
  <c r="F146" i="3" s="1"/>
  <c r="G146" i="3" a="1"/>
  <c r="G146" i="3" s="1"/>
  <c r="H146" i="3" a="1"/>
  <c r="H146" i="3" s="1"/>
  <c r="I146" i="3" a="1"/>
  <c r="I146" i="3" s="1"/>
  <c r="B147" i="3" a="1"/>
  <c r="B147" i="3" s="1"/>
  <c r="C147" i="3" a="1"/>
  <c r="C147" i="3" s="1"/>
  <c r="D147" i="3" a="1"/>
  <c r="D147" i="3" s="1"/>
  <c r="E147" i="3" a="1"/>
  <c r="E147" i="3"/>
  <c r="F147" i="3" a="1"/>
  <c r="F147" i="3"/>
  <c r="G147" i="3" a="1"/>
  <c r="G147" i="3" s="1"/>
  <c r="H147" i="3" a="1"/>
  <c r="H147" i="3" s="1"/>
  <c r="I147" i="3" a="1"/>
  <c r="I147" i="3" s="1"/>
  <c r="B148" i="3" a="1"/>
  <c r="B148" i="3"/>
  <c r="C148" i="3" a="1"/>
  <c r="C148" i="3"/>
  <c r="D148" i="3" a="1"/>
  <c r="D148" i="3" s="1"/>
  <c r="E148" i="3" a="1"/>
  <c r="E148" i="3" s="1"/>
  <c r="F148" i="3" a="1"/>
  <c r="F148" i="3" s="1"/>
  <c r="G148" i="3" a="1"/>
  <c r="G148" i="3" s="1"/>
  <c r="H148" i="3" a="1"/>
  <c r="H148" i="3" s="1"/>
  <c r="I148" i="3" a="1"/>
  <c r="I148" i="3"/>
  <c r="B149" i="3" a="1"/>
  <c r="B149" i="3" s="1"/>
  <c r="C149" i="3" a="1"/>
  <c r="C149" i="3" s="1"/>
  <c r="D149" i="3" a="1"/>
  <c r="D149" i="3" s="1"/>
  <c r="E149" i="3" a="1"/>
  <c r="E149" i="3" s="1"/>
  <c r="F149" i="3" a="1"/>
  <c r="F149" i="3" s="1"/>
  <c r="G149" i="3" a="1"/>
  <c r="G149" i="3" s="1"/>
  <c r="H149" i="3" a="1"/>
  <c r="H149" i="3" s="1"/>
  <c r="I149" i="3" a="1"/>
  <c r="I149" i="3" s="1"/>
  <c r="B150" i="3" a="1"/>
  <c r="B150" i="3" s="1"/>
  <c r="C150" i="3" a="1"/>
  <c r="C150" i="3" s="1"/>
  <c r="D150" i="3" a="1"/>
  <c r="D150" i="3" s="1"/>
  <c r="E150" i="3" a="1"/>
  <c r="E150" i="3"/>
  <c r="F150" i="3" a="1"/>
  <c r="F150" i="3"/>
  <c r="G150" i="3" a="1"/>
  <c r="G150" i="3" s="1"/>
  <c r="H150" i="3" a="1"/>
  <c r="H150" i="3" s="1"/>
  <c r="I150" i="3" a="1"/>
  <c r="I150" i="3" s="1"/>
  <c r="B151" i="3" a="1"/>
  <c r="B151" i="3"/>
  <c r="C151" i="3" a="1"/>
  <c r="C151" i="3"/>
  <c r="D151" i="3" a="1"/>
  <c r="D151" i="3" s="1"/>
  <c r="E151" i="3" a="1"/>
  <c r="E151" i="3" s="1"/>
  <c r="F151" i="3" a="1"/>
  <c r="F151" i="3" s="1"/>
  <c r="G151" i="3" a="1"/>
  <c r="G151" i="3" s="1"/>
  <c r="H151" i="3" a="1"/>
  <c r="H151" i="3" s="1"/>
  <c r="I151" i="3" a="1"/>
  <c r="I151" i="3"/>
  <c r="B152" i="3" a="1"/>
  <c r="B152" i="3"/>
  <c r="C152" i="3" a="1"/>
  <c r="C152" i="3" s="1"/>
  <c r="D152" i="3" a="1"/>
  <c r="D152" i="3" s="1"/>
  <c r="E152" i="3" a="1"/>
  <c r="E152" i="3" s="1"/>
  <c r="F152" i="3" a="1"/>
  <c r="F152" i="3" s="1"/>
  <c r="G152" i="3" a="1"/>
  <c r="G152" i="3"/>
  <c r="H152" i="3" a="1"/>
  <c r="H152" i="3" s="1"/>
  <c r="I152" i="3" a="1"/>
  <c r="I152" i="3" s="1"/>
  <c r="B153" i="3" a="1"/>
  <c r="B153" i="3" s="1"/>
  <c r="C153" i="3" a="1"/>
  <c r="C153" i="3" s="1"/>
  <c r="D153" i="3" a="1"/>
  <c r="D153" i="3" s="1"/>
  <c r="E153" i="3" a="1"/>
  <c r="E153" i="3"/>
  <c r="F153" i="3" a="1"/>
  <c r="F153" i="3"/>
  <c r="G153" i="3" a="1"/>
  <c r="G153" i="3" s="1"/>
  <c r="H153" i="3" a="1"/>
  <c r="H153" i="3" s="1"/>
  <c r="I153" i="3" a="1"/>
  <c r="I153" i="3" s="1"/>
  <c r="B154" i="3" a="1"/>
  <c r="B154" i="3" s="1"/>
  <c r="C154" i="3" a="1"/>
  <c r="C154" i="3" s="1"/>
  <c r="D154" i="3" a="1"/>
  <c r="D154" i="3" s="1"/>
  <c r="E154" i="3" a="1"/>
  <c r="E154" i="3" s="1"/>
  <c r="F154" i="3" a="1"/>
  <c r="F154" i="3" s="1"/>
  <c r="G154" i="3" a="1"/>
  <c r="G154" i="3" s="1"/>
  <c r="H154" i="3" a="1"/>
  <c r="H154" i="3"/>
  <c r="I154" i="3" a="1"/>
  <c r="I154" i="3"/>
  <c r="B155" i="3" a="1"/>
  <c r="B155" i="3" s="1"/>
  <c r="C155" i="3" a="1"/>
  <c r="C155" i="3" s="1"/>
  <c r="D155" i="3" a="1"/>
  <c r="D155" i="3" s="1"/>
  <c r="E155" i="3" a="1"/>
  <c r="E155" i="3" s="1"/>
  <c r="F155" i="3" a="1"/>
  <c r="F155" i="3" s="1"/>
  <c r="G155" i="3" a="1"/>
  <c r="G155" i="3"/>
  <c r="H155" i="3" a="1"/>
  <c r="H155" i="3" s="1"/>
  <c r="I155" i="3" a="1"/>
  <c r="I155" i="3" s="1"/>
  <c r="B156" i="3" a="1"/>
  <c r="B156" i="3" s="1"/>
  <c r="C156" i="3" a="1"/>
  <c r="C156" i="3"/>
  <c r="D156" i="3" a="1"/>
  <c r="D156" i="3" s="1"/>
  <c r="E156" i="3" a="1"/>
  <c r="E156" i="3" s="1"/>
  <c r="F156" i="3" a="1"/>
  <c r="F156" i="3" s="1"/>
  <c r="G156" i="3" a="1"/>
  <c r="G156" i="3" s="1"/>
  <c r="H156" i="3" a="1"/>
  <c r="H156" i="3" s="1"/>
  <c r="I156" i="3" a="1"/>
  <c r="I156" i="3" s="1"/>
  <c r="B157" i="3" a="1"/>
  <c r="B157" i="3" s="1"/>
  <c r="C157" i="3" a="1"/>
  <c r="C157" i="3" s="1"/>
  <c r="D157" i="3" a="1"/>
  <c r="D157" i="3" s="1"/>
  <c r="E157" i="3" a="1"/>
  <c r="E157" i="3" s="1"/>
  <c r="F157" i="3" a="1"/>
  <c r="F157" i="3" s="1"/>
  <c r="G157" i="3" a="1"/>
  <c r="G157" i="3" s="1"/>
  <c r="H157" i="3" a="1"/>
  <c r="H157" i="3"/>
  <c r="I157" i="3" a="1"/>
  <c r="I157" i="3"/>
  <c r="B158" i="3" a="1"/>
  <c r="B158" i="3" s="1"/>
  <c r="C158" i="3" a="1"/>
  <c r="C158" i="3" s="1"/>
  <c r="D158" i="3" a="1"/>
  <c r="D158" i="3" s="1"/>
  <c r="E158" i="3" a="1"/>
  <c r="E158" i="3"/>
  <c r="F158" i="3" a="1"/>
  <c r="F158" i="3" s="1"/>
  <c r="G158" i="3" a="1"/>
  <c r="G158" i="3" s="1"/>
  <c r="H158" i="3" a="1"/>
  <c r="H158" i="3" s="1"/>
  <c r="I158" i="3" a="1"/>
  <c r="I158" i="3" s="1"/>
  <c r="B159" i="3" a="1"/>
  <c r="B159" i="3" s="1"/>
  <c r="C159" i="3" a="1"/>
  <c r="C159" i="3" s="1"/>
  <c r="D159" i="3" a="1"/>
  <c r="D159" i="3" s="1"/>
  <c r="E159" i="3" a="1"/>
  <c r="E159" i="3" s="1"/>
  <c r="F159" i="3" a="1"/>
  <c r="F159" i="3" s="1"/>
  <c r="G159" i="3" a="1"/>
  <c r="G159" i="3" s="1"/>
  <c r="H159" i="3" a="1"/>
  <c r="H159" i="3" s="1"/>
  <c r="I159" i="3" a="1"/>
  <c r="I159" i="3" s="1"/>
  <c r="B160" i="3" a="1"/>
  <c r="B160" i="3" s="1"/>
  <c r="C160" i="3" a="1"/>
  <c r="C160" i="3"/>
  <c r="D160" i="3" a="1"/>
  <c r="D160" i="3" s="1"/>
  <c r="E160" i="3" a="1"/>
  <c r="E160" i="3" s="1"/>
  <c r="F160" i="3" a="1"/>
  <c r="F160" i="3" s="1"/>
  <c r="G160" i="3" a="1"/>
  <c r="G160" i="3"/>
  <c r="H160" i="3" a="1"/>
  <c r="H160" i="3" s="1"/>
  <c r="I160" i="3" a="1"/>
  <c r="I160" i="3" s="1"/>
  <c r="B161" i="3" a="1"/>
  <c r="B161" i="3" s="1"/>
  <c r="C161" i="3" a="1"/>
  <c r="C161" i="3" s="1"/>
  <c r="D161" i="3" a="1"/>
  <c r="D161" i="3" s="1"/>
  <c r="E161" i="3" a="1"/>
  <c r="E161" i="3" s="1"/>
  <c r="F161" i="3" a="1"/>
  <c r="F161" i="3" s="1"/>
  <c r="G161" i="3" a="1"/>
  <c r="G161" i="3" s="1"/>
  <c r="H161" i="3" a="1"/>
  <c r="H161" i="3" s="1"/>
  <c r="I161" i="3" a="1"/>
  <c r="I161" i="3" s="1"/>
  <c r="B162" i="3" a="1"/>
  <c r="B162" i="3" s="1"/>
  <c r="C162" i="3" a="1"/>
  <c r="C162" i="3" s="1"/>
  <c r="D162" i="3" a="1"/>
  <c r="D162" i="3" s="1"/>
  <c r="E162" i="3" a="1"/>
  <c r="E162" i="3"/>
  <c r="F162" i="3" a="1"/>
  <c r="F162" i="3" s="1"/>
  <c r="G162" i="3" a="1"/>
  <c r="G162" i="3" s="1"/>
  <c r="H162" i="3" a="1"/>
  <c r="H162" i="3" s="1"/>
  <c r="I162" i="3" a="1"/>
  <c r="I162" i="3"/>
  <c r="B163" i="3" a="1"/>
  <c r="B163" i="3" s="1"/>
  <c r="C163" i="3" a="1"/>
  <c r="C163" i="3" s="1"/>
  <c r="D163" i="3" a="1"/>
  <c r="D163" i="3" s="1"/>
  <c r="E163" i="3" a="1"/>
  <c r="E163" i="3" s="1"/>
  <c r="F163" i="3" a="1"/>
  <c r="F163" i="3" s="1"/>
  <c r="G163" i="3" a="1"/>
  <c r="G163" i="3" s="1"/>
  <c r="H163" i="3" a="1"/>
  <c r="H163" i="3" s="1"/>
  <c r="I163" i="3" a="1"/>
  <c r="I163" i="3" s="1"/>
  <c r="B164" i="3" a="1"/>
  <c r="B164" i="3" s="1"/>
  <c r="C164" i="3" a="1"/>
  <c r="C164" i="3" s="1"/>
  <c r="D164" i="3" a="1"/>
  <c r="D164" i="3" s="1"/>
  <c r="E164" i="3" a="1"/>
  <c r="E164" i="3" s="1"/>
  <c r="F164" i="3" a="1"/>
  <c r="F164" i="3" s="1"/>
  <c r="G164" i="3" a="1"/>
  <c r="G164" i="3"/>
  <c r="H164" i="3" a="1"/>
  <c r="H164" i="3" s="1"/>
  <c r="I164" i="3" a="1"/>
  <c r="I164" i="3" s="1"/>
  <c r="B165" i="3" a="1"/>
  <c r="B165" i="3" s="1"/>
  <c r="C165" i="3" a="1"/>
  <c r="C165" i="3"/>
  <c r="D165" i="3" a="1"/>
  <c r="D165" i="3" s="1"/>
  <c r="E165" i="3" a="1"/>
  <c r="E165" i="3" s="1"/>
  <c r="F165" i="3" a="1"/>
  <c r="F165" i="3" s="1"/>
  <c r="G165" i="3" a="1"/>
  <c r="G165" i="3" s="1"/>
  <c r="H165" i="3" a="1"/>
  <c r="H165" i="3" s="1"/>
  <c r="I165" i="3" a="1"/>
  <c r="I165" i="3"/>
  <c r="B166" i="3" a="1"/>
  <c r="B166" i="3" s="1"/>
  <c r="C166" i="3" a="1"/>
  <c r="C166" i="3" s="1"/>
  <c r="D166" i="3" a="1"/>
  <c r="D166" i="3" s="1"/>
  <c r="E166" i="3" a="1"/>
  <c r="E166" i="3" s="1"/>
  <c r="F166" i="3" a="1"/>
  <c r="F166" i="3" s="1"/>
  <c r="G166" i="3" a="1"/>
  <c r="G166" i="3" s="1"/>
  <c r="H166" i="3" a="1"/>
  <c r="H166" i="3" s="1"/>
  <c r="I166" i="3" a="1"/>
  <c r="I166" i="3"/>
  <c r="B167" i="3" a="1"/>
  <c r="B167" i="3" s="1"/>
  <c r="C167" i="3" a="1"/>
  <c r="C167" i="3" s="1"/>
  <c r="D167" i="3" a="1"/>
  <c r="D167" i="3" s="1"/>
  <c r="E167" i="3" a="1"/>
  <c r="E167" i="3" s="1"/>
  <c r="F167" i="3" a="1"/>
  <c r="F167" i="3" s="1"/>
  <c r="G167" i="3" a="1"/>
  <c r="G167" i="3" s="1"/>
  <c r="H167" i="3" a="1"/>
  <c r="H167" i="3" s="1"/>
  <c r="I167" i="3" a="1"/>
  <c r="I167" i="3" s="1"/>
  <c r="B168" i="3" a="1"/>
  <c r="B168" i="3" s="1"/>
  <c r="C168" i="3" a="1"/>
  <c r="C168" i="3" s="1"/>
  <c r="D168" i="3" a="1"/>
  <c r="D168" i="3" s="1"/>
  <c r="E168" i="3" a="1"/>
  <c r="E168" i="3" s="1"/>
  <c r="F168" i="3" a="1"/>
  <c r="F168" i="3" s="1"/>
  <c r="G168" i="3" a="1"/>
  <c r="G168" i="3" s="1"/>
  <c r="H168" i="3" a="1"/>
  <c r="H168" i="3" s="1"/>
  <c r="I168" i="3" a="1"/>
  <c r="I168" i="3" s="1"/>
  <c r="B169" i="3" a="1"/>
  <c r="B169" i="3" s="1"/>
  <c r="C169" i="3" a="1"/>
  <c r="C169" i="3"/>
  <c r="D169" i="3" a="1"/>
  <c r="D169" i="3" s="1"/>
  <c r="E169" i="3" a="1"/>
  <c r="E169" i="3" s="1"/>
  <c r="F169" i="3" a="1"/>
  <c r="F169" i="3" s="1"/>
  <c r="G169" i="3" a="1"/>
  <c r="G169" i="3" s="1"/>
  <c r="H169" i="3" a="1"/>
  <c r="H169" i="3" s="1"/>
  <c r="I169" i="3" a="1"/>
  <c r="I169" i="3" s="1"/>
  <c r="B170" i="3" a="1"/>
  <c r="B170" i="3" s="1"/>
  <c r="C170" i="3" a="1"/>
  <c r="C170" i="3" s="1"/>
  <c r="D170" i="3" a="1"/>
  <c r="D170" i="3" s="1"/>
  <c r="E170" i="3" a="1"/>
  <c r="E170" i="3"/>
  <c r="F170" i="3" a="1"/>
  <c r="F170" i="3" s="1"/>
  <c r="G170" i="3" a="1"/>
  <c r="G170" i="3" s="1"/>
  <c r="H170" i="3" a="1"/>
  <c r="H170" i="3" s="1"/>
  <c r="I170" i="3" a="1"/>
  <c r="I170" i="3" s="1"/>
  <c r="B171" i="3" a="1"/>
  <c r="B171" i="3" s="1"/>
  <c r="C171" i="3" a="1"/>
  <c r="C171" i="3" s="1"/>
  <c r="D171" i="3" a="1"/>
  <c r="D171" i="3" s="1"/>
  <c r="E171" i="3" a="1"/>
  <c r="E171" i="3"/>
  <c r="F171" i="3" a="1"/>
  <c r="F171" i="3" s="1"/>
  <c r="G171" i="3" a="1"/>
  <c r="G171" i="3" s="1"/>
  <c r="H171" i="3" a="1"/>
  <c r="H171" i="3" s="1"/>
  <c r="I171" i="3" a="1"/>
  <c r="I171" i="3" s="1"/>
  <c r="B172" i="3" a="1"/>
  <c r="B172" i="3" s="1"/>
  <c r="C172" i="3" a="1"/>
  <c r="C172" i="3" s="1"/>
  <c r="D172" i="3" a="1"/>
  <c r="D172" i="3" s="1"/>
  <c r="E172" i="3" a="1"/>
  <c r="E172" i="3" s="1"/>
  <c r="F172" i="3" a="1"/>
  <c r="F172" i="3" s="1"/>
  <c r="G172" i="3" a="1"/>
  <c r="G172" i="3" s="1"/>
  <c r="H172" i="3" a="1"/>
  <c r="H172" i="3" s="1"/>
  <c r="I172" i="3" a="1"/>
  <c r="I172" i="3" s="1"/>
  <c r="B173" i="3" a="1"/>
  <c r="B173" i="3" s="1"/>
  <c r="C173" i="3" a="1"/>
  <c r="C173" i="3" s="1"/>
  <c r="D173" i="3" a="1"/>
  <c r="D173" i="3" s="1"/>
  <c r="E173" i="3" a="1"/>
  <c r="E173" i="3" s="1"/>
  <c r="F173" i="3" a="1"/>
  <c r="F173" i="3" s="1"/>
  <c r="G173" i="3" a="1"/>
  <c r="G173" i="3"/>
  <c r="H173" i="3" a="1"/>
  <c r="H173" i="3" s="1"/>
  <c r="I173" i="3" a="1"/>
  <c r="I173" i="3" s="1"/>
  <c r="B174" i="3" a="1"/>
  <c r="B174" i="3" s="1"/>
  <c r="C174" i="3" a="1"/>
  <c r="C174" i="3" s="1"/>
  <c r="D174" i="3" a="1"/>
  <c r="D174" i="3" s="1"/>
  <c r="E174" i="3" a="1"/>
  <c r="E174" i="3" s="1"/>
  <c r="F174" i="3" a="1"/>
  <c r="F174" i="3" s="1"/>
  <c r="G174" i="3" a="1"/>
  <c r="G174" i="3" s="1"/>
  <c r="H174" i="3" a="1"/>
  <c r="H174" i="3" s="1"/>
  <c r="I174" i="3" a="1"/>
  <c r="I174" i="3"/>
  <c r="B175" i="3" a="1"/>
  <c r="B175" i="3" s="1"/>
  <c r="C175" i="3" a="1"/>
  <c r="C175" i="3" s="1"/>
  <c r="D175" i="3" a="1"/>
  <c r="D175" i="3" s="1"/>
  <c r="E175" i="3" a="1"/>
  <c r="E175" i="3" s="1"/>
  <c r="F175" i="3" a="1"/>
  <c r="F175" i="3" s="1"/>
  <c r="G175" i="3" a="1"/>
  <c r="G175" i="3" s="1"/>
  <c r="H175" i="3" a="1"/>
  <c r="H175" i="3" s="1"/>
  <c r="I175" i="3" a="1"/>
  <c r="I175" i="3"/>
  <c r="B176" i="3" a="1"/>
  <c r="B176" i="3" s="1"/>
  <c r="C176" i="3" a="1"/>
  <c r="C176" i="3" s="1"/>
  <c r="D176" i="3" a="1"/>
  <c r="D176" i="3" s="1"/>
  <c r="E176" i="3" a="1"/>
  <c r="E176" i="3" s="1"/>
  <c r="F176" i="3" a="1"/>
  <c r="F176" i="3" s="1"/>
  <c r="G176" i="3" a="1"/>
  <c r="G176" i="3" s="1"/>
  <c r="H176" i="3" a="1"/>
  <c r="H176" i="3" s="1"/>
  <c r="I176" i="3" a="1"/>
  <c r="I176" i="3" s="1"/>
  <c r="B177" i="3" a="1"/>
  <c r="B177" i="3" s="1"/>
  <c r="C177" i="3" a="1"/>
  <c r="C177" i="3" s="1"/>
  <c r="D177" i="3" a="1"/>
  <c r="D177" i="3" s="1"/>
  <c r="E177" i="3" a="1"/>
  <c r="E177" i="3" s="1"/>
  <c r="F177" i="3" a="1"/>
  <c r="F177" i="3" s="1"/>
  <c r="G177" i="3" a="1"/>
  <c r="G177" i="3" s="1"/>
  <c r="H177" i="3" a="1"/>
  <c r="H177" i="3" s="1"/>
  <c r="I177" i="3" a="1"/>
  <c r="I177" i="3" s="1"/>
  <c r="B178" i="3" a="1"/>
  <c r="B178" i="3" s="1"/>
  <c r="C178" i="3" a="1"/>
  <c r="C178" i="3"/>
  <c r="D178" i="3" a="1"/>
  <c r="D178" i="3" s="1"/>
  <c r="E178" i="3" a="1"/>
  <c r="E178" i="3" s="1"/>
  <c r="F178" i="3" a="1"/>
  <c r="F178" i="3"/>
  <c r="G178" i="3" a="1"/>
  <c r="G178" i="3" s="1"/>
  <c r="H178" i="3" a="1"/>
  <c r="H178" i="3"/>
  <c r="I178" i="3" a="1"/>
  <c r="I178" i="3"/>
  <c r="B179" i="3" a="1"/>
  <c r="B179" i="3"/>
  <c r="C179" i="3" a="1"/>
  <c r="C179" i="3" s="1"/>
  <c r="D179" i="3" a="1"/>
  <c r="D179" i="3" s="1"/>
  <c r="E179" i="3" a="1"/>
  <c r="E179" i="3" s="1"/>
  <c r="F179" i="3" a="1"/>
  <c r="F179" i="3" s="1"/>
  <c r="G179" i="3" a="1"/>
  <c r="G179" i="3" s="1"/>
  <c r="H179" i="3" a="1"/>
  <c r="H179" i="3" s="1"/>
  <c r="I179" i="3" a="1"/>
  <c r="I179" i="3" s="1"/>
  <c r="B180" i="3" a="1"/>
  <c r="B180" i="3" s="1"/>
  <c r="C180" i="3" a="1"/>
  <c r="C180" i="3"/>
  <c r="D180" i="3" a="1"/>
  <c r="D180" i="3" s="1"/>
  <c r="E180" i="3" a="1"/>
  <c r="E180" i="3" s="1"/>
  <c r="F180" i="3" a="1"/>
  <c r="F180" i="3" s="1"/>
  <c r="G180" i="3" a="1"/>
  <c r="G180" i="3" s="1"/>
  <c r="H180" i="3" a="1"/>
  <c r="H180" i="3" s="1"/>
  <c r="I180" i="3" a="1"/>
  <c r="I180" i="3"/>
  <c r="B181" i="3" a="1"/>
  <c r="B181" i="3" s="1"/>
  <c r="C181" i="3" a="1"/>
  <c r="C181" i="3" s="1"/>
  <c r="D181" i="3" a="1"/>
  <c r="D181" i="3" s="1"/>
  <c r="E181" i="3" a="1"/>
  <c r="E181" i="3" s="1"/>
  <c r="F181" i="3" a="1"/>
  <c r="F181" i="3" s="1"/>
  <c r="G181" i="3" a="1"/>
  <c r="G181" i="3" s="1"/>
  <c r="H181" i="3" a="1"/>
  <c r="H181" i="3" s="1"/>
  <c r="I181" i="3" a="1"/>
  <c r="I181" i="3" s="1"/>
  <c r="B182" i="3" a="1"/>
  <c r="B182" i="3"/>
  <c r="C182" i="3" a="1"/>
  <c r="C182" i="3" s="1"/>
  <c r="D182" i="3" a="1"/>
  <c r="D182" i="3" s="1"/>
  <c r="E182" i="3" a="1"/>
  <c r="E182" i="3" s="1"/>
  <c r="F182" i="3" a="1"/>
  <c r="F182" i="3" s="1"/>
  <c r="G182" i="3" a="1"/>
  <c r="G182" i="3" s="1"/>
  <c r="H182" i="3" a="1"/>
  <c r="H182" i="3" s="1"/>
  <c r="I182" i="3" a="1"/>
  <c r="I182" i="3" s="1"/>
  <c r="B183" i="3" a="1"/>
  <c r="B183" i="3" s="1"/>
  <c r="C183" i="3" a="1"/>
  <c r="C183" i="3"/>
  <c r="D183" i="3" a="1"/>
  <c r="D183" i="3" s="1"/>
  <c r="E183" i="3" a="1"/>
  <c r="E183" i="3" s="1"/>
  <c r="F183" i="3" a="1"/>
  <c r="F183" i="3" s="1"/>
  <c r="G183" i="3" a="1"/>
  <c r="G183" i="3" s="1"/>
  <c r="H183" i="3" a="1"/>
  <c r="H183" i="3" s="1"/>
  <c r="I183" i="3" a="1"/>
  <c r="I183" i="3"/>
  <c r="B184" i="3" a="1"/>
  <c r="B184" i="3" s="1"/>
  <c r="C184" i="3" a="1"/>
  <c r="C184" i="3" s="1"/>
  <c r="D184" i="3" a="1"/>
  <c r="D184" i="3" s="1"/>
  <c r="E184" i="3" a="1"/>
  <c r="E184" i="3" s="1"/>
  <c r="F184" i="3" a="1"/>
  <c r="F184" i="3" s="1"/>
  <c r="G184" i="3" a="1"/>
  <c r="G184" i="3" s="1"/>
  <c r="H184" i="3" a="1"/>
  <c r="H184" i="3" s="1"/>
  <c r="I184" i="3" a="1"/>
  <c r="I184" i="3" s="1"/>
  <c r="B185" i="3" a="1"/>
  <c r="B185" i="3" s="1"/>
  <c r="C185" i="3" a="1"/>
  <c r="C185" i="3" s="1"/>
  <c r="D185" i="3" a="1"/>
  <c r="D185" i="3" s="1"/>
  <c r="E185" i="3" a="1"/>
  <c r="E185" i="3" s="1"/>
  <c r="F185" i="3" a="1"/>
  <c r="F185" i="3" s="1"/>
  <c r="G185" i="3" a="1"/>
  <c r="G185" i="3" s="1"/>
  <c r="H185" i="3" a="1"/>
  <c r="H185" i="3" s="1"/>
  <c r="I185" i="3" a="1"/>
  <c r="I185" i="3" s="1"/>
  <c r="B186" i="3" a="1"/>
  <c r="B186" i="3" s="1"/>
  <c r="C186" i="3" a="1"/>
  <c r="C186" i="3"/>
  <c r="D186" i="3" a="1"/>
  <c r="D186" i="3" s="1"/>
  <c r="E186" i="3" a="1"/>
  <c r="E186" i="3" s="1"/>
  <c r="F186" i="3" a="1"/>
  <c r="F186" i="3" s="1"/>
  <c r="G186" i="3" a="1"/>
  <c r="G186" i="3" s="1"/>
  <c r="H186" i="3" a="1"/>
  <c r="H186" i="3" s="1"/>
  <c r="I186" i="3" a="1"/>
  <c r="I186" i="3"/>
  <c r="B187" i="3" a="1"/>
  <c r="B187" i="3" s="1"/>
  <c r="C187" i="3" a="1"/>
  <c r="C187" i="3" s="1"/>
  <c r="D187" i="3" a="1"/>
  <c r="D187" i="3" s="1"/>
  <c r="E187" i="3" a="1"/>
  <c r="E187" i="3" s="1"/>
  <c r="F187" i="3" a="1"/>
  <c r="F187" i="3" s="1"/>
  <c r="G187" i="3" a="1"/>
  <c r="G187" i="3" s="1"/>
  <c r="H187" i="3" a="1"/>
  <c r="H187" i="3" s="1"/>
  <c r="I187" i="3" a="1"/>
  <c r="I187" i="3" s="1"/>
  <c r="B188" i="3" a="1"/>
  <c r="B188" i="3" s="1"/>
  <c r="C188" i="3" a="1"/>
  <c r="C188" i="3" s="1"/>
  <c r="D188" i="3" a="1"/>
  <c r="D188" i="3" s="1"/>
  <c r="E188" i="3" a="1"/>
  <c r="E188" i="3" s="1"/>
  <c r="F188" i="3" a="1"/>
  <c r="F188" i="3" s="1"/>
  <c r="G188" i="3" a="1"/>
  <c r="G188" i="3" s="1"/>
  <c r="H188" i="3" a="1"/>
  <c r="H188" i="3" s="1"/>
  <c r="I188" i="3" a="1"/>
  <c r="I188" i="3" s="1"/>
  <c r="B189" i="3" a="1"/>
  <c r="B189" i="3" s="1"/>
  <c r="C189" i="3" a="1"/>
  <c r="C189" i="3"/>
  <c r="D189" i="3" a="1"/>
  <c r="D189" i="3" s="1"/>
  <c r="E189" i="3" a="1"/>
  <c r="E189" i="3" s="1"/>
  <c r="F189" i="3" a="1"/>
  <c r="F189" i="3" s="1"/>
  <c r="G189" i="3" a="1"/>
  <c r="G189" i="3" s="1"/>
  <c r="H189" i="3" a="1"/>
  <c r="H189" i="3" s="1"/>
  <c r="I189" i="3" a="1"/>
  <c r="I189" i="3"/>
  <c r="B190" i="3" a="1"/>
  <c r="B190" i="3" s="1"/>
  <c r="C190" i="3" a="1"/>
  <c r="C190" i="3" s="1"/>
  <c r="D190" i="3" a="1"/>
  <c r="D190" i="3" s="1"/>
  <c r="E190" i="3" a="1"/>
  <c r="E190" i="3" s="1"/>
  <c r="F190" i="3" a="1"/>
  <c r="F190" i="3" s="1"/>
  <c r="G190" i="3" a="1"/>
  <c r="G190" i="3" s="1"/>
  <c r="H190" i="3" a="1"/>
  <c r="H190" i="3" s="1"/>
  <c r="I190" i="3" a="1"/>
  <c r="I190" i="3" s="1"/>
  <c r="B191" i="3" a="1"/>
  <c r="B191" i="3" s="1"/>
  <c r="C191" i="3" a="1"/>
  <c r="C191" i="3" s="1"/>
  <c r="D191" i="3" a="1"/>
  <c r="D191" i="3" s="1"/>
  <c r="E191" i="3" a="1"/>
  <c r="E191" i="3" s="1"/>
  <c r="F191" i="3" a="1"/>
  <c r="F191" i="3" s="1"/>
  <c r="G191" i="3" a="1"/>
  <c r="G191" i="3" s="1"/>
  <c r="H191" i="3" a="1"/>
  <c r="H191" i="3" s="1"/>
  <c r="I191" i="3" a="1"/>
  <c r="I191" i="3" s="1"/>
  <c r="B192" i="3" a="1"/>
  <c r="B192" i="3" s="1"/>
  <c r="C192" i="3" a="1"/>
  <c r="C192" i="3"/>
  <c r="D192" i="3" a="1"/>
  <c r="D192" i="3" s="1"/>
  <c r="E192" i="3" a="1"/>
  <c r="E192" i="3" s="1"/>
  <c r="F192" i="3" a="1"/>
  <c r="F192" i="3" s="1"/>
  <c r="G192" i="3" a="1"/>
  <c r="G192" i="3" s="1"/>
  <c r="H192" i="3" a="1"/>
  <c r="H192" i="3" s="1"/>
  <c r="I192" i="3" a="1"/>
  <c r="I192" i="3"/>
  <c r="B193" i="3" a="1"/>
  <c r="B193" i="3" s="1"/>
  <c r="C193" i="3" a="1"/>
  <c r="C193" i="3" s="1"/>
  <c r="D193" i="3" a="1"/>
  <c r="D193" i="3" s="1"/>
  <c r="E193" i="3" a="1"/>
  <c r="E193" i="3" s="1"/>
  <c r="F193" i="3" a="1"/>
  <c r="F193" i="3" s="1"/>
  <c r="G193" i="3" a="1"/>
  <c r="G193" i="3" s="1"/>
  <c r="H193" i="3" a="1"/>
  <c r="H193" i="3" s="1"/>
  <c r="I193" i="3" a="1"/>
  <c r="I193" i="3" s="1"/>
  <c r="B194" i="3" a="1"/>
  <c r="B194" i="3" s="1"/>
  <c r="C194" i="3" a="1"/>
  <c r="C194" i="3" s="1"/>
  <c r="D194" i="3" a="1"/>
  <c r="D194" i="3" s="1"/>
  <c r="E194" i="3" a="1"/>
  <c r="E194" i="3" s="1"/>
  <c r="F194" i="3" a="1"/>
  <c r="F194" i="3" s="1"/>
  <c r="G194" i="3" a="1"/>
  <c r="G194" i="3" s="1"/>
  <c r="H194" i="3" a="1"/>
  <c r="H194" i="3" s="1"/>
  <c r="I194" i="3" a="1"/>
  <c r="I194" i="3" s="1"/>
  <c r="B195" i="3" a="1"/>
  <c r="B195" i="3" s="1"/>
  <c r="C195" i="3" a="1"/>
  <c r="C195" i="3"/>
  <c r="D195" i="3" a="1"/>
  <c r="D195" i="3" s="1"/>
  <c r="E195" i="3" a="1"/>
  <c r="E195" i="3" s="1"/>
  <c r="F195" i="3" a="1"/>
  <c r="F195" i="3" s="1"/>
  <c r="G195" i="3" a="1"/>
  <c r="G195" i="3" s="1"/>
  <c r="H195" i="3" a="1"/>
  <c r="H195" i="3" s="1"/>
  <c r="I195" i="3" a="1"/>
  <c r="I195" i="3"/>
  <c r="B196" i="3" a="1"/>
  <c r="B196" i="3" s="1"/>
  <c r="C196" i="3" a="1"/>
  <c r="C196" i="3" s="1"/>
  <c r="D196" i="3" a="1"/>
  <c r="D196" i="3" s="1"/>
  <c r="E196" i="3" a="1"/>
  <c r="E196" i="3" s="1"/>
  <c r="F196" i="3" a="1"/>
  <c r="F196" i="3" s="1"/>
  <c r="G196" i="3" a="1"/>
  <c r="G196" i="3" s="1"/>
  <c r="H196" i="3" a="1"/>
  <c r="H196" i="3" s="1"/>
  <c r="I196" i="3" a="1"/>
  <c r="I196" i="3" s="1"/>
  <c r="B197" i="3" a="1"/>
  <c r="B197" i="3" s="1"/>
  <c r="C197" i="3" a="1"/>
  <c r="C197" i="3" s="1"/>
  <c r="D197" i="3" a="1"/>
  <c r="D197" i="3" s="1"/>
  <c r="E197" i="3" a="1"/>
  <c r="E197" i="3" s="1"/>
  <c r="F197" i="3" a="1"/>
  <c r="F197" i="3" s="1"/>
  <c r="G197" i="3" a="1"/>
  <c r="G197" i="3" s="1"/>
  <c r="H197" i="3" a="1"/>
  <c r="H197" i="3" s="1"/>
  <c r="I197" i="3" a="1"/>
  <c r="I197" i="3" s="1"/>
  <c r="B198" i="3" a="1"/>
  <c r="B198" i="3"/>
  <c r="C198" i="3" a="1"/>
  <c r="C198" i="3" s="1"/>
  <c r="D198" i="3" a="1"/>
  <c r="D198" i="3" s="1"/>
  <c r="E198" i="3" a="1"/>
  <c r="E198" i="3" s="1"/>
  <c r="F198" i="3" a="1"/>
  <c r="F198" i="3"/>
  <c r="G198" i="3" a="1"/>
  <c r="G198" i="3" s="1"/>
  <c r="H198" i="3" a="1"/>
  <c r="H198" i="3" s="1"/>
  <c r="I198" i="3" a="1"/>
  <c r="I198" i="3"/>
  <c r="B199" i="3" a="1"/>
  <c r="B199" i="3" s="1"/>
  <c r="C199" i="3" a="1"/>
  <c r="C199" i="3" s="1"/>
  <c r="D199" i="3" a="1"/>
  <c r="D199" i="3" s="1"/>
  <c r="E199" i="3" a="1"/>
  <c r="E199" i="3"/>
  <c r="F199" i="3" a="1"/>
  <c r="F199" i="3" s="1"/>
  <c r="G199" i="3" a="1"/>
  <c r="G199" i="3" s="1"/>
  <c r="H199" i="3" a="1"/>
  <c r="H199" i="3" s="1"/>
  <c r="I199" i="3" a="1"/>
  <c r="I199" i="3" s="1"/>
  <c r="B200" i="3" a="1"/>
  <c r="B200" i="3" s="1"/>
  <c r="C200" i="3" a="1"/>
  <c r="C200" i="3" s="1"/>
  <c r="D200" i="3" a="1"/>
  <c r="D200" i="3"/>
  <c r="E200" i="3" a="1"/>
  <c r="E200" i="3" s="1"/>
  <c r="F200" i="3" a="1"/>
  <c r="F200" i="3" s="1"/>
  <c r="G200" i="3" a="1"/>
  <c r="G200" i="3" s="1"/>
  <c r="H200" i="3" a="1"/>
  <c r="H200" i="3"/>
  <c r="I200" i="3" a="1"/>
  <c r="I200" i="3" s="1"/>
  <c r="B201" i="3" a="1"/>
  <c r="B201" i="3" s="1"/>
  <c r="C201" i="3" a="1"/>
  <c r="C201" i="3"/>
  <c r="D201" i="3" a="1"/>
  <c r="D201" i="3" s="1"/>
  <c r="E201" i="3" a="1"/>
  <c r="E201" i="3" s="1"/>
  <c r="F201" i="3" a="1"/>
  <c r="F201" i="3" s="1"/>
  <c r="G201" i="3" a="1"/>
  <c r="G201" i="3" s="1"/>
  <c r="H201" i="3" a="1"/>
  <c r="H201" i="3"/>
  <c r="I201" i="3" a="1"/>
  <c r="I201" i="3" s="1"/>
  <c r="B202" i="3" a="1"/>
  <c r="B202" i="3" s="1"/>
  <c r="C202" i="3" a="1"/>
  <c r="C202" i="3" s="1"/>
  <c r="D202" i="3" a="1"/>
  <c r="D202" i="3" s="1"/>
  <c r="E202" i="3" a="1"/>
  <c r="E202" i="3"/>
  <c r="F202" i="3" a="1"/>
  <c r="F202" i="3" s="1"/>
  <c r="G202" i="3" a="1"/>
  <c r="G202" i="3" s="1"/>
  <c r="H202" i="3" a="1"/>
  <c r="H202" i="3"/>
  <c r="I202" i="3" a="1"/>
  <c r="I202" i="3" s="1"/>
  <c r="B203" i="3" a="1"/>
  <c r="B203" i="3"/>
  <c r="C203" i="3" a="1"/>
  <c r="C203" i="3" s="1"/>
  <c r="D203" i="3" a="1"/>
  <c r="D203" i="3"/>
  <c r="E203" i="3" a="1"/>
  <c r="E203" i="3"/>
  <c r="F203" i="3" a="1"/>
  <c r="F203" i="3" s="1"/>
  <c r="G203" i="3" a="1"/>
  <c r="G203" i="3" s="1"/>
  <c r="H203" i="3" a="1"/>
  <c r="H203" i="3" s="1"/>
  <c r="I203" i="3" a="1"/>
  <c r="I203" i="3" s="1"/>
  <c r="B204" i="3" a="1"/>
  <c r="B204" i="3"/>
  <c r="C204" i="3" a="1"/>
  <c r="C204" i="3" s="1"/>
  <c r="D204" i="3" a="1"/>
  <c r="D204" i="3" s="1"/>
  <c r="E204" i="3" a="1"/>
  <c r="E204" i="3" s="1"/>
  <c r="F204" i="3" a="1"/>
  <c r="F204" i="3" s="1"/>
  <c r="G204" i="3" a="1"/>
  <c r="G204" i="3"/>
  <c r="H204" i="3" a="1"/>
  <c r="H204" i="3" s="1"/>
  <c r="I204" i="3" a="1"/>
  <c r="I204" i="3" s="1"/>
  <c r="B205" i="3" a="1"/>
  <c r="B205" i="3"/>
  <c r="C205" i="3" a="1"/>
  <c r="C205" i="3" s="1"/>
  <c r="D205" i="3" a="1"/>
  <c r="D205" i="3"/>
  <c r="E205" i="3" a="1"/>
  <c r="E205" i="3" s="1"/>
  <c r="F205" i="3" a="1"/>
  <c r="F205" i="3" s="1"/>
  <c r="G205" i="3" a="1"/>
  <c r="G205" i="3"/>
  <c r="H205" i="3" a="1"/>
  <c r="H205" i="3" s="1"/>
  <c r="I205" i="3" a="1"/>
  <c r="I205" i="3" s="1"/>
  <c r="B206" i="3" a="1"/>
  <c r="B206" i="3" s="1"/>
  <c r="C206" i="3" a="1"/>
  <c r="C206" i="3" s="1"/>
  <c r="D206" i="3" a="1"/>
  <c r="D206" i="3"/>
  <c r="E206" i="3" a="1"/>
  <c r="E206" i="3" s="1"/>
  <c r="F206" i="3" a="1"/>
  <c r="F206" i="3"/>
  <c r="G206" i="3" a="1"/>
  <c r="G206" i="3" s="1"/>
  <c r="H206" i="3" a="1"/>
  <c r="H206" i="3"/>
  <c r="I206" i="3" a="1"/>
  <c r="I206" i="3"/>
  <c r="B207" i="3" a="1"/>
  <c r="B207" i="3" s="1"/>
  <c r="C207" i="3" a="1"/>
  <c r="C207" i="3" s="1"/>
  <c r="D207" i="3" a="1"/>
  <c r="D207" i="3"/>
  <c r="E207" i="3" a="1"/>
  <c r="E207" i="3" s="1"/>
  <c r="F207" i="3" a="1"/>
  <c r="F207" i="3"/>
  <c r="G207" i="3" a="1"/>
  <c r="G207" i="3" s="1"/>
  <c r="H207" i="3" a="1"/>
  <c r="H207" i="3" s="1"/>
  <c r="I207" i="3" a="1"/>
  <c r="I207" i="3"/>
  <c r="B208" i="3" a="1"/>
  <c r="B208" i="3" s="1"/>
  <c r="C208" i="3" a="1"/>
  <c r="C208" i="3" s="1"/>
  <c r="D208" i="3" a="1"/>
  <c r="D208" i="3" s="1"/>
  <c r="E208" i="3" a="1"/>
  <c r="E208" i="3" s="1"/>
  <c r="F208" i="3" a="1"/>
  <c r="F208" i="3"/>
  <c r="G208" i="3" a="1"/>
  <c r="G208" i="3" s="1"/>
  <c r="H208" i="3" a="1"/>
  <c r="H208" i="3" s="1"/>
  <c r="I208" i="3" a="1"/>
  <c r="I208" i="3" s="1"/>
  <c r="B209" i="3" a="1"/>
  <c r="B209" i="3" s="1"/>
  <c r="C209" i="3" a="1"/>
  <c r="C209" i="3"/>
  <c r="D209" i="3" a="1"/>
  <c r="D209" i="3" s="1"/>
  <c r="E209" i="3" a="1"/>
  <c r="E209" i="3" s="1"/>
  <c r="F209" i="3" a="1"/>
  <c r="F209" i="3"/>
  <c r="G209" i="3" a="1"/>
  <c r="G209" i="3" s="1"/>
  <c r="H209" i="3" a="1"/>
  <c r="H209" i="3"/>
  <c r="I209" i="3" a="1"/>
  <c r="I209" i="3" s="1"/>
  <c r="B210" i="3" a="1"/>
  <c r="B210" i="3" s="1"/>
  <c r="C210" i="3" a="1"/>
  <c r="C210" i="3"/>
  <c r="D210" i="3" a="1"/>
  <c r="D210" i="3" s="1"/>
  <c r="E210" i="3" a="1"/>
  <c r="E210" i="3" s="1"/>
  <c r="F210" i="3" a="1"/>
  <c r="F210" i="3" s="1"/>
  <c r="G210" i="3" a="1"/>
  <c r="G210" i="3" s="1"/>
  <c r="H210" i="3" a="1"/>
  <c r="H210" i="3"/>
  <c r="I210" i="3" a="1"/>
  <c r="I210" i="3" s="1"/>
  <c r="B211" i="3" a="1"/>
  <c r="B211" i="3" s="1"/>
  <c r="C211" i="3" a="1"/>
  <c r="C211" i="3" s="1"/>
  <c r="D211" i="3" a="1"/>
  <c r="D211" i="3" s="1"/>
  <c r="E211" i="3" a="1"/>
  <c r="E211" i="3"/>
  <c r="F211" i="3" a="1"/>
  <c r="F211" i="3" s="1"/>
  <c r="G211" i="3" a="1"/>
  <c r="G211" i="3"/>
  <c r="H211" i="3" a="1"/>
  <c r="H211" i="3"/>
  <c r="I211" i="3" a="1"/>
  <c r="I211" i="3" s="1"/>
  <c r="B212" i="3" a="1"/>
  <c r="B212" i="3"/>
  <c r="C212" i="3" a="1"/>
  <c r="C212" i="3" s="1"/>
  <c r="D212" i="3" a="1"/>
  <c r="D212" i="3" s="1"/>
  <c r="E212" i="3" a="1"/>
  <c r="E212" i="3"/>
  <c r="F212" i="3" a="1"/>
  <c r="F212" i="3" s="1"/>
  <c r="G212" i="3" a="1"/>
  <c r="G212" i="3" s="1"/>
  <c r="H212" i="3" a="1"/>
  <c r="H212" i="3" s="1"/>
  <c r="I212" i="3" a="1"/>
  <c r="I212" i="3" s="1"/>
  <c r="B213" i="3" a="1"/>
  <c r="B213" i="3"/>
  <c r="C213" i="3" a="1"/>
  <c r="C213" i="3" s="1"/>
  <c r="D213" i="3" a="1"/>
  <c r="D213" i="3"/>
  <c r="E213" i="3" a="1"/>
  <c r="E213" i="3" s="1"/>
  <c r="F213" i="3" a="1"/>
  <c r="F213" i="3" s="1"/>
  <c r="G213" i="3" a="1"/>
  <c r="G213" i="3"/>
  <c r="H213" i="3" a="1"/>
  <c r="H213" i="3" s="1"/>
  <c r="I213" i="3" a="1"/>
  <c r="I213" i="3"/>
  <c r="B214" i="3" a="1"/>
  <c r="B214" i="3"/>
  <c r="C214" i="3" a="1"/>
  <c r="C214" i="3" s="1"/>
  <c r="D214" i="3" a="1"/>
  <c r="D214" i="3"/>
  <c r="E214" i="3" a="1"/>
  <c r="E214" i="3" s="1"/>
  <c r="F214" i="3" a="1"/>
  <c r="F214" i="3" s="1"/>
  <c r="G214" i="3" a="1"/>
  <c r="G214" i="3"/>
  <c r="H214" i="3" a="1"/>
  <c r="H214" i="3" s="1"/>
  <c r="I214" i="3" a="1"/>
  <c r="I214" i="3" s="1"/>
  <c r="B215" i="3" a="1"/>
  <c r="B215" i="3" s="1"/>
  <c r="C215" i="3" a="1"/>
  <c r="C215" i="3" s="1"/>
  <c r="D215" i="3" a="1"/>
  <c r="D215" i="3"/>
  <c r="E215" i="3" a="1"/>
  <c r="E215" i="3" s="1"/>
  <c r="F215" i="3" a="1"/>
  <c r="F215" i="3" s="1"/>
  <c r="G215" i="3" a="1"/>
  <c r="G215" i="3" s="1"/>
  <c r="H215" i="3" a="1"/>
  <c r="H215" i="3" s="1"/>
  <c r="I215" i="3" a="1"/>
  <c r="I215" i="3"/>
  <c r="B216" i="3" a="1"/>
  <c r="B216" i="3" s="1"/>
  <c r="C216" i="3" a="1"/>
  <c r="C216" i="3" s="1"/>
  <c r="D216" i="3" a="1"/>
  <c r="D216" i="3"/>
  <c r="E216" i="3" a="1"/>
  <c r="E216" i="3" s="1"/>
  <c r="F216" i="3" a="1"/>
  <c r="F216" i="3"/>
  <c r="G216" i="3" a="1"/>
  <c r="G216" i="3" s="1"/>
  <c r="H216" i="3" a="1"/>
  <c r="H216" i="3" s="1"/>
  <c r="I216" i="3" a="1"/>
  <c r="I216" i="3"/>
  <c r="B217" i="3" a="1"/>
  <c r="B217" i="3" s="1"/>
  <c r="C217" i="3" a="1"/>
  <c r="C217" i="3"/>
  <c r="D217" i="3" a="1"/>
  <c r="D217" i="3"/>
  <c r="E217" i="3" a="1"/>
  <c r="E217" i="3" s="1"/>
  <c r="F217" i="3" a="1"/>
  <c r="F217" i="3" s="1"/>
  <c r="G217" i="3" a="1"/>
  <c r="G217" i="3"/>
  <c r="H217" i="3" a="1"/>
  <c r="H217" i="3" s="1"/>
  <c r="I217" i="3" a="1"/>
  <c r="I217" i="3"/>
  <c r="B218" i="3" a="1"/>
  <c r="B218" i="3"/>
  <c r="C218" i="3" a="1"/>
  <c r="C218" i="3" s="1"/>
  <c r="D218" i="3" a="1"/>
  <c r="D218" i="3" s="1"/>
  <c r="E218" i="3" a="1"/>
  <c r="E218" i="3"/>
  <c r="F218" i="3" a="1"/>
  <c r="F218" i="3" s="1"/>
  <c r="G218" i="3" a="1"/>
  <c r="G218" i="3" s="1"/>
  <c r="H218" i="3" a="1"/>
  <c r="H218" i="3"/>
  <c r="I218" i="3" a="1"/>
  <c r="I218" i="3" s="1"/>
  <c r="B219" i="3" a="1"/>
  <c r="B219" i="3" s="1"/>
  <c r="C219" i="3" a="1"/>
  <c r="C219" i="3"/>
  <c r="D219" i="3" a="1"/>
  <c r="D219" i="3" s="1"/>
  <c r="E219" i="3" a="1"/>
  <c r="E219" i="3" s="1"/>
  <c r="F219" i="3" a="1"/>
  <c r="F219" i="3"/>
  <c r="G219" i="3" a="1"/>
  <c r="G219" i="3" s="1"/>
  <c r="H219" i="3" a="1"/>
  <c r="H219" i="3" s="1"/>
  <c r="I219" i="3" a="1"/>
  <c r="I219" i="3"/>
  <c r="B220" i="3" a="1"/>
  <c r="B220" i="3" s="1"/>
  <c r="C220" i="3" a="1"/>
  <c r="C220" i="3"/>
  <c r="D220" i="3" a="1"/>
  <c r="D220" i="3"/>
  <c r="E220" i="3" a="1"/>
  <c r="E220" i="3" s="1"/>
  <c r="F220" i="3" a="1"/>
  <c r="F220" i="3" s="1"/>
  <c r="G220" i="3" a="1"/>
  <c r="G220" i="3"/>
  <c r="H220" i="3" a="1"/>
  <c r="H220" i="3" s="1"/>
  <c r="I220" i="3" a="1"/>
  <c r="I220" i="3"/>
  <c r="B221" i="3" a="1"/>
  <c r="B221" i="3"/>
  <c r="C221" i="3" a="1"/>
  <c r="C221" i="3" s="1"/>
  <c r="D221" i="3" a="1"/>
  <c r="D221" i="3" s="1"/>
  <c r="E221" i="3" a="1"/>
  <c r="E221" i="3"/>
  <c r="F221" i="3" a="1"/>
  <c r="F221" i="3" s="1"/>
  <c r="G221" i="3" a="1"/>
  <c r="G221" i="3" s="1"/>
  <c r="H221" i="3" a="1"/>
  <c r="H221" i="3"/>
  <c r="I221" i="3" a="1"/>
  <c r="I221" i="3" s="1"/>
  <c r="B222" i="3" a="1"/>
  <c r="B222" i="3" s="1"/>
  <c r="C222" i="3" a="1"/>
  <c r="C222" i="3"/>
  <c r="D222" i="3" a="1"/>
  <c r="D222" i="3" s="1"/>
  <c r="E222" i="3" a="1"/>
  <c r="E222" i="3" s="1"/>
  <c r="F222" i="3" a="1"/>
  <c r="F222" i="3"/>
  <c r="G222" i="3" a="1"/>
  <c r="G222" i="3" s="1"/>
  <c r="H222" i="3" a="1"/>
  <c r="H222" i="3" s="1"/>
  <c r="I222" i="3" a="1"/>
  <c r="I222" i="3"/>
  <c r="B223" i="3" a="1"/>
  <c r="B223" i="3" s="1"/>
  <c r="C223" i="3" a="1"/>
  <c r="C223" i="3"/>
  <c r="D223" i="3" a="1"/>
  <c r="D223" i="3"/>
  <c r="E223" i="3" a="1"/>
  <c r="E223" i="3" s="1"/>
  <c r="F223" i="3" a="1"/>
  <c r="F223" i="3" s="1"/>
  <c r="G223" i="3" a="1"/>
  <c r="G223" i="3"/>
  <c r="H223" i="3" a="1"/>
  <c r="H223" i="3" s="1"/>
  <c r="I223" i="3" a="1"/>
  <c r="I223" i="3"/>
  <c r="B224" i="3" a="1"/>
  <c r="B224" i="3"/>
  <c r="C224" i="3" a="1"/>
  <c r="C224" i="3" s="1"/>
  <c r="D224" i="3" a="1"/>
  <c r="D224" i="3" s="1"/>
  <c r="E224" i="3" a="1"/>
  <c r="E224" i="3" s="1"/>
  <c r="F224" i="3" a="1"/>
  <c r="F224" i="3" s="1"/>
  <c r="G224" i="3" a="1"/>
  <c r="G224" i="3" s="1"/>
  <c r="H224" i="3" a="1"/>
  <c r="H224" i="3"/>
  <c r="I224" i="3" a="1"/>
  <c r="I224" i="3" s="1"/>
  <c r="B225" i="3" a="1"/>
  <c r="B225" i="3" s="1"/>
  <c r="C225" i="3" a="1"/>
  <c r="C225" i="3" s="1"/>
  <c r="D225" i="3" a="1"/>
  <c r="D225" i="3" s="1"/>
  <c r="E225" i="3" a="1"/>
  <c r="E225" i="3" s="1"/>
  <c r="F225" i="3" a="1"/>
  <c r="F225" i="3" s="1"/>
  <c r="G225" i="3" a="1"/>
  <c r="G225" i="3" s="1"/>
  <c r="H225" i="3" a="1"/>
  <c r="H225" i="3" s="1"/>
  <c r="I225" i="3" a="1"/>
  <c r="I225" i="3" s="1"/>
  <c r="B226" i="3" a="1"/>
  <c r="B226" i="3" s="1"/>
  <c r="C226" i="3" a="1"/>
  <c r="C226" i="3"/>
  <c r="D226" i="3" a="1"/>
  <c r="D226" i="3"/>
  <c r="E226" i="3" a="1"/>
  <c r="E226" i="3" s="1"/>
  <c r="F226" i="3" a="1"/>
  <c r="F226" i="3" s="1"/>
  <c r="G226" i="3" a="1"/>
  <c r="G226" i="3" s="1"/>
  <c r="H226" i="3" a="1"/>
  <c r="H226" i="3" s="1"/>
  <c r="I226" i="3" a="1"/>
  <c r="I226" i="3" s="1"/>
  <c r="B227" i="3" a="1"/>
  <c r="B227" i="3"/>
  <c r="C227" i="3" a="1"/>
  <c r="C227" i="3" s="1"/>
  <c r="D227" i="3" a="1"/>
  <c r="D227" i="3" s="1"/>
  <c r="E227" i="3" a="1"/>
  <c r="E227" i="3" s="1"/>
  <c r="F227" i="3" a="1"/>
  <c r="F227" i="3" s="1"/>
  <c r="G227" i="3" a="1"/>
  <c r="G227" i="3" s="1"/>
  <c r="H227" i="3" a="1"/>
  <c r="H227" i="3" s="1"/>
  <c r="I227" i="3" a="1"/>
  <c r="I227" i="3" s="1"/>
  <c r="B228" i="3" a="1"/>
  <c r="B228" i="3" s="1"/>
  <c r="C228" i="3" a="1"/>
  <c r="C228" i="3" s="1"/>
  <c r="D228" i="3" a="1"/>
  <c r="D228" i="3" s="1"/>
  <c r="E228" i="3" a="1"/>
  <c r="E228" i="3"/>
  <c r="F228" i="3" a="1"/>
  <c r="F228" i="3"/>
  <c r="G228" i="3" a="1"/>
  <c r="G228" i="3" s="1"/>
  <c r="H228" i="3" a="1"/>
  <c r="H228" i="3" s="1"/>
  <c r="I228" i="3" a="1"/>
  <c r="I228" i="3" s="1"/>
  <c r="B229" i="3" a="1"/>
  <c r="B229" i="3" s="1"/>
  <c r="C229" i="3" a="1"/>
  <c r="C229" i="3" s="1"/>
  <c r="D229" i="3" a="1"/>
  <c r="D229" i="3"/>
  <c r="E229" i="3" a="1"/>
  <c r="E229" i="3" s="1"/>
  <c r="F229" i="3" a="1"/>
  <c r="F229" i="3" s="1"/>
  <c r="G229" i="3" a="1"/>
  <c r="G229" i="3" s="1"/>
  <c r="H229" i="3" a="1"/>
  <c r="H229" i="3" s="1"/>
  <c r="I229" i="3" a="1"/>
  <c r="I229" i="3" s="1"/>
  <c r="B230" i="3" a="1"/>
  <c r="B230" i="3" s="1"/>
  <c r="C230" i="3" a="1"/>
  <c r="C230" i="3" s="1"/>
  <c r="D230" i="3" a="1"/>
  <c r="D230" i="3" s="1"/>
  <c r="E230" i="3" a="1"/>
  <c r="E230" i="3" s="1"/>
  <c r="F230" i="3" a="1"/>
  <c r="F230" i="3" s="1"/>
  <c r="G230" i="3" a="1"/>
  <c r="G230" i="3" s="1"/>
  <c r="H230" i="3" a="1"/>
  <c r="H230" i="3"/>
  <c r="I230" i="3" a="1"/>
  <c r="I230" i="3" s="1"/>
  <c r="B231" i="3" a="1"/>
  <c r="B231" i="3" s="1"/>
  <c r="C231" i="3" a="1"/>
  <c r="C231" i="3" s="1"/>
  <c r="D231" i="3" a="1"/>
  <c r="D231" i="3" s="1"/>
  <c r="E231" i="3" a="1"/>
  <c r="E231" i="3" s="1"/>
  <c r="F231" i="3" a="1"/>
  <c r="F231" i="3"/>
  <c r="G231" i="3" a="1"/>
  <c r="G231" i="3" s="1"/>
  <c r="H231" i="3" a="1"/>
  <c r="H231" i="3" s="1"/>
  <c r="I231" i="3" a="1"/>
  <c r="I231" i="3" s="1"/>
  <c r="B232" i="3" a="1"/>
  <c r="B232" i="3" s="1"/>
  <c r="C232" i="3" a="1"/>
  <c r="C232" i="3" s="1"/>
  <c r="D232" i="3" a="1"/>
  <c r="D232" i="3" s="1"/>
  <c r="E232" i="3" a="1"/>
  <c r="E232" i="3" s="1"/>
  <c r="F232" i="3" a="1"/>
  <c r="F232" i="3" s="1"/>
  <c r="G232" i="3" a="1"/>
  <c r="G232" i="3" s="1"/>
  <c r="H232" i="3" a="1"/>
  <c r="H232" i="3" s="1"/>
  <c r="I232" i="3" a="1"/>
  <c r="I232" i="3" s="1"/>
  <c r="B233" i="3" a="1"/>
  <c r="B233" i="3"/>
  <c r="C233" i="3" a="1"/>
  <c r="C233" i="3" s="1"/>
  <c r="D233" i="3" a="1"/>
  <c r="D233" i="3" s="1"/>
  <c r="E233" i="3" a="1"/>
  <c r="E233" i="3" s="1"/>
  <c r="F233" i="3" a="1"/>
  <c r="F233" i="3" s="1"/>
  <c r="G233" i="3" a="1"/>
  <c r="G233" i="3" s="1"/>
  <c r="H233" i="3" a="1"/>
  <c r="H233" i="3"/>
  <c r="I233" i="3" a="1"/>
  <c r="I233" i="3" s="1"/>
  <c r="B234" i="3" a="1"/>
  <c r="B234" i="3" s="1"/>
  <c r="C234" i="3" a="1"/>
  <c r="C234" i="3" s="1"/>
  <c r="D234" i="3" a="1"/>
  <c r="D234" i="3" s="1"/>
  <c r="E234" i="3" a="1"/>
  <c r="E234" i="3"/>
  <c r="F234" i="3" a="1"/>
  <c r="F234" i="3"/>
  <c r="G234" i="3" a="1"/>
  <c r="G234" i="3" s="1"/>
  <c r="H234" i="3" a="1"/>
  <c r="H234" i="3"/>
  <c r="I234" i="3" a="1"/>
  <c r="I234" i="3" s="1"/>
  <c r="B235" i="3" a="1"/>
  <c r="B235" i="3" s="1"/>
  <c r="C235" i="3" a="1"/>
  <c r="C235" i="3"/>
  <c r="D235" i="3" a="1"/>
  <c r="D235" i="3" s="1"/>
  <c r="E235" i="3" a="1"/>
  <c r="E235" i="3" s="1"/>
  <c r="F235" i="3" a="1"/>
  <c r="F235" i="3" s="1"/>
  <c r="G235" i="3" a="1"/>
  <c r="G235" i="3" s="1"/>
  <c r="H235" i="3" a="1"/>
  <c r="H235" i="3" s="1"/>
  <c r="I235" i="3" a="1"/>
  <c r="I235" i="3" s="1"/>
  <c r="B236" i="3" a="1"/>
  <c r="B236" i="3"/>
  <c r="C236" i="3" a="1"/>
  <c r="C236" i="3" s="1"/>
  <c r="D236" i="3" a="1"/>
  <c r="D236" i="3" s="1"/>
  <c r="E236" i="3" a="1"/>
  <c r="E236" i="3" s="1"/>
  <c r="F236" i="3" a="1"/>
  <c r="F236" i="3" s="1"/>
  <c r="G236" i="3" a="1"/>
  <c r="G236" i="3"/>
  <c r="H236" i="3" a="1"/>
  <c r="H236" i="3" s="1"/>
  <c r="I236" i="3" a="1"/>
  <c r="I236" i="3"/>
  <c r="B237" i="3" a="1"/>
  <c r="B237" i="3" s="1"/>
  <c r="C237" i="3" a="1"/>
  <c r="C237" i="3" s="1"/>
  <c r="D237" i="3" a="1"/>
  <c r="D237" i="3" s="1"/>
  <c r="E237" i="3" a="1"/>
  <c r="E237" i="3" s="1"/>
  <c r="F237" i="3" a="1"/>
  <c r="F237" i="3"/>
  <c r="G237" i="3" a="1"/>
  <c r="G237" i="3" s="1"/>
  <c r="H237" i="3" a="1"/>
  <c r="H237" i="3" s="1"/>
  <c r="I237" i="3" a="1"/>
  <c r="I237" i="3" s="1"/>
  <c r="B238" i="3" a="1"/>
  <c r="B238" i="3" s="1"/>
  <c r="C238" i="3" a="1"/>
  <c r="C238" i="3" s="1"/>
  <c r="D238" i="3" a="1"/>
  <c r="D238" i="3" s="1"/>
  <c r="E238" i="3" a="1"/>
  <c r="E238" i="3"/>
  <c r="F238" i="3" a="1"/>
  <c r="F238" i="3" s="1"/>
  <c r="G238" i="3" a="1"/>
  <c r="G238" i="3" s="1"/>
  <c r="H238" i="3" a="1"/>
  <c r="H238" i="3" s="1"/>
  <c r="I238" i="3" a="1"/>
  <c r="I238" i="3" s="1"/>
  <c r="B239" i="3" a="1"/>
  <c r="B239" i="3" s="1"/>
  <c r="C239" i="3" a="1"/>
  <c r="C239" i="3" s="1"/>
  <c r="D239" i="3" a="1"/>
  <c r="D239" i="3"/>
  <c r="E239" i="3" a="1"/>
  <c r="E239" i="3" s="1"/>
  <c r="F239" i="3" a="1"/>
  <c r="F239" i="3" s="1"/>
  <c r="G239" i="3" a="1"/>
  <c r="G239" i="3" s="1"/>
  <c r="H239" i="3" a="1"/>
  <c r="H239" i="3" s="1"/>
  <c r="I239" i="3" a="1"/>
  <c r="I239" i="3" s="1"/>
  <c r="B240" i="3" a="1"/>
  <c r="B240" i="3" s="1"/>
  <c r="C240" i="3" a="1"/>
  <c r="C240" i="3" s="1"/>
  <c r="D240" i="3" a="1"/>
  <c r="D240" i="3" s="1"/>
  <c r="E240" i="3" a="1"/>
  <c r="E240" i="3" s="1"/>
  <c r="F240" i="3" a="1"/>
  <c r="F240" i="3" s="1"/>
  <c r="G240" i="3" a="1"/>
  <c r="G240" i="3" s="1"/>
  <c r="H240" i="3" a="1"/>
  <c r="H240" i="3" s="1"/>
  <c r="I240" i="3" a="1"/>
  <c r="I240" i="3" s="1"/>
  <c r="B241" i="3" a="1"/>
  <c r="B241" i="3" s="1"/>
  <c r="C241" i="3" a="1"/>
  <c r="C241" i="3"/>
  <c r="D241" i="3" a="1"/>
  <c r="D241" i="3" s="1"/>
  <c r="E241" i="3" a="1"/>
  <c r="E241" i="3" s="1"/>
  <c r="F241" i="3" a="1"/>
  <c r="F241" i="3" s="1"/>
  <c r="G241" i="3" a="1"/>
  <c r="G241" i="3" s="1"/>
  <c r="H241" i="3" a="1"/>
  <c r="H241" i="3" s="1"/>
  <c r="I241" i="3" a="1"/>
  <c r="I241" i="3" s="1"/>
  <c r="B242" i="3" a="1"/>
  <c r="B242" i="3"/>
  <c r="C242" i="3" a="1"/>
  <c r="C242" i="3" s="1"/>
  <c r="D242" i="3" a="1"/>
  <c r="D242" i="3" s="1"/>
  <c r="E242" i="3" a="1"/>
  <c r="E242" i="3" s="1"/>
  <c r="F242" i="3" a="1"/>
  <c r="F242" i="3" s="1"/>
  <c r="G242" i="3" a="1"/>
  <c r="G242" i="3" s="1"/>
  <c r="H242" i="3" a="1"/>
  <c r="H242" i="3" s="1"/>
  <c r="I242" i="3" a="1"/>
  <c r="I242" i="3"/>
  <c r="B243" i="3" a="1"/>
  <c r="B243" i="3" s="1"/>
  <c r="C243" i="3" a="1"/>
  <c r="C243" i="3" s="1"/>
  <c r="D243" i="3" a="1"/>
  <c r="D243" i="3" s="1"/>
  <c r="E243" i="3" a="1"/>
  <c r="E243" i="3" s="1"/>
  <c r="F243" i="3" a="1"/>
  <c r="F243" i="3" s="1"/>
  <c r="G243" i="3" a="1"/>
  <c r="G243" i="3" s="1"/>
  <c r="H243" i="3" a="1"/>
  <c r="H243" i="3"/>
  <c r="I243" i="3" a="1"/>
  <c r="I243" i="3" s="1"/>
  <c r="B244" i="3" a="1"/>
  <c r="B244" i="3" s="1"/>
  <c r="C244" i="3" a="1"/>
  <c r="C244" i="3" s="1"/>
  <c r="D244" i="3" a="1"/>
  <c r="D244" i="3" s="1"/>
  <c r="E244" i="3" a="1"/>
  <c r="E244" i="3" s="1"/>
  <c r="F244" i="3" a="1"/>
  <c r="F244" i="3" s="1"/>
  <c r="G244" i="3" a="1"/>
  <c r="G244" i="3" s="1"/>
  <c r="H244" i="3" a="1"/>
  <c r="H244" i="3" s="1"/>
  <c r="I244" i="3" a="1"/>
  <c r="I244" i="3" s="1"/>
  <c r="B245" i="3" a="1"/>
  <c r="B245" i="3" s="1"/>
  <c r="C245" i="3" a="1"/>
  <c r="C245" i="3" s="1"/>
  <c r="D245" i="3" a="1"/>
  <c r="D245" i="3" s="1"/>
  <c r="E245" i="3" a="1"/>
  <c r="E245" i="3" s="1"/>
  <c r="F245" i="3" a="1"/>
  <c r="F245" i="3" s="1"/>
  <c r="G245" i="3" a="1"/>
  <c r="G245" i="3"/>
  <c r="H245" i="3" a="1"/>
  <c r="H245" i="3" s="1"/>
  <c r="I245" i="3" a="1"/>
  <c r="I245" i="3" s="1"/>
  <c r="B246" i="3" a="1"/>
  <c r="B246" i="3" s="1"/>
  <c r="C246" i="3" a="1"/>
  <c r="C246" i="3" s="1"/>
  <c r="D246" i="3" a="1"/>
  <c r="D246" i="3" s="1"/>
  <c r="E246" i="3" a="1"/>
  <c r="E246" i="3" s="1"/>
  <c r="F246" i="3" a="1"/>
  <c r="F246" i="3"/>
  <c r="G246" i="3" a="1"/>
  <c r="G246" i="3" s="1"/>
  <c r="H246" i="3" a="1"/>
  <c r="H246" i="3" s="1"/>
  <c r="I246" i="3" a="1"/>
  <c r="I246" i="3" s="1"/>
  <c r="B247" i="3" a="1"/>
  <c r="B247" i="3" s="1"/>
  <c r="C247" i="3" a="1"/>
  <c r="C247" i="3" s="1"/>
  <c r="D247" i="3" a="1"/>
  <c r="D247" i="3" s="1"/>
  <c r="E247" i="3" a="1"/>
  <c r="E247" i="3" s="1"/>
  <c r="F247" i="3" a="1"/>
  <c r="F247" i="3" s="1"/>
  <c r="G247" i="3" a="1"/>
  <c r="G247" i="3" s="1"/>
  <c r="H247" i="3" a="1"/>
  <c r="H247" i="3" s="1"/>
  <c r="I247" i="3" a="1"/>
  <c r="I247" i="3" s="1"/>
  <c r="B248" i="3" a="1"/>
  <c r="B248" i="3" s="1"/>
  <c r="C248" i="3" a="1"/>
  <c r="C248" i="3" s="1"/>
  <c r="D248" i="3" a="1"/>
  <c r="D248" i="3" s="1"/>
  <c r="E248" i="3" a="1"/>
  <c r="E248" i="3" s="1"/>
  <c r="F248" i="3" a="1"/>
  <c r="F248" i="3" s="1"/>
  <c r="G248" i="3" a="1"/>
  <c r="G248" i="3" s="1"/>
  <c r="H248" i="3" a="1"/>
  <c r="H248" i="3" s="1"/>
  <c r="I248" i="3" a="1"/>
  <c r="I248" i="3" s="1"/>
  <c r="B249" i="3" a="1"/>
  <c r="B249" i="3" s="1"/>
  <c r="C249" i="3" a="1"/>
  <c r="C249" i="3" s="1"/>
  <c r="D249" i="3" a="1"/>
  <c r="D249" i="3" s="1"/>
  <c r="E249" i="3" a="1"/>
  <c r="E249" i="3" s="1"/>
  <c r="F249" i="3" a="1"/>
  <c r="F249" i="3" s="1"/>
  <c r="G249" i="3" a="1"/>
  <c r="G249" i="3" s="1"/>
  <c r="H249" i="3" a="1"/>
  <c r="H249" i="3" s="1"/>
  <c r="I249" i="3" a="1"/>
  <c r="I249" i="3" s="1"/>
  <c r="B250" i="3" a="1"/>
  <c r="B250" i="3" s="1"/>
  <c r="C250" i="3" a="1"/>
  <c r="C250" i="3" s="1"/>
  <c r="D250" i="3" a="1"/>
  <c r="D250" i="3" s="1"/>
  <c r="E250" i="3" a="1"/>
  <c r="E250" i="3" s="1"/>
  <c r="F250" i="3" a="1"/>
  <c r="F250" i="3" s="1"/>
  <c r="G250" i="3" a="1"/>
  <c r="G250" i="3" s="1"/>
  <c r="H250" i="3" a="1"/>
  <c r="H250" i="3" s="1"/>
  <c r="I250" i="3" a="1"/>
  <c r="I250" i="3" s="1"/>
  <c r="B251" i="3" a="1"/>
  <c r="B251" i="3" s="1"/>
  <c r="C251" i="3" a="1"/>
  <c r="C251" i="3" s="1"/>
  <c r="D251" i="3" a="1"/>
  <c r="D251" i="3" s="1"/>
  <c r="E251" i="3" a="1"/>
  <c r="E251" i="3" s="1"/>
  <c r="F251" i="3" a="1"/>
  <c r="F251" i="3" s="1"/>
  <c r="G251" i="3" a="1"/>
  <c r="G251" i="3" s="1"/>
  <c r="H251" i="3" a="1"/>
  <c r="H251" i="3" s="1"/>
  <c r="I251" i="3" a="1"/>
  <c r="I251" i="3" s="1"/>
  <c r="B252" i="3" a="1"/>
  <c r="B252" i="3" s="1"/>
  <c r="C252" i="3" a="1"/>
  <c r="C252" i="3" s="1"/>
  <c r="D252" i="3" a="1"/>
  <c r="D252" i="3" s="1"/>
  <c r="E252" i="3" a="1"/>
  <c r="E252" i="3" s="1"/>
  <c r="F252" i="3" a="1"/>
  <c r="F252" i="3" s="1"/>
  <c r="G252" i="3" a="1"/>
  <c r="G252" i="3" s="1"/>
  <c r="H252" i="3" a="1"/>
  <c r="H252" i="3" s="1"/>
  <c r="I252" i="3" a="1"/>
  <c r="I252" i="3" s="1"/>
  <c r="B253" i="3" a="1"/>
  <c r="B253" i="3" s="1"/>
  <c r="C253" i="3" a="1"/>
  <c r="C253" i="3" s="1"/>
  <c r="D253" i="3" a="1"/>
  <c r="D253" i="3" s="1"/>
  <c r="E253" i="3" a="1"/>
  <c r="E253" i="3" s="1"/>
  <c r="F253" i="3" a="1"/>
  <c r="F253" i="3" s="1"/>
  <c r="G253" i="3" a="1"/>
  <c r="G253" i="3" s="1"/>
  <c r="H253" i="3" a="1"/>
  <c r="H253" i="3" s="1"/>
  <c r="I253" i="3" a="1"/>
  <c r="I253" i="3" s="1"/>
  <c r="B254" i="3" a="1"/>
  <c r="B254" i="3" s="1"/>
  <c r="C254" i="3" a="1"/>
  <c r="C254" i="3" s="1"/>
  <c r="D254" i="3" a="1"/>
  <c r="D254" i="3" s="1"/>
  <c r="E254" i="3" a="1"/>
  <c r="E254" i="3" s="1"/>
  <c r="F254" i="3" a="1"/>
  <c r="F254" i="3" s="1"/>
  <c r="G254" i="3" a="1"/>
  <c r="G254" i="3" s="1"/>
  <c r="H254" i="3" a="1"/>
  <c r="H254" i="3" s="1"/>
  <c r="I254" i="3" a="1"/>
  <c r="I254" i="3" s="1"/>
  <c r="B255" i="3" a="1"/>
  <c r="B255" i="3" s="1"/>
  <c r="C255" i="3" a="1"/>
  <c r="C255" i="3" s="1"/>
  <c r="D255" i="3" a="1"/>
  <c r="D255" i="3" s="1"/>
  <c r="E255" i="3" a="1"/>
  <c r="E255" i="3" s="1"/>
  <c r="F255" i="3" a="1"/>
  <c r="F255" i="3" s="1"/>
  <c r="G255" i="3" a="1"/>
  <c r="G255" i="3" s="1"/>
  <c r="H255" i="3" a="1"/>
  <c r="H255" i="3" s="1"/>
  <c r="I255" i="3" a="1"/>
  <c r="I255" i="3" s="1"/>
  <c r="B256" i="3" a="1"/>
  <c r="B256" i="3" s="1"/>
  <c r="C256" i="3" a="1"/>
  <c r="C256" i="3" s="1"/>
  <c r="D256" i="3" a="1"/>
  <c r="D256" i="3" s="1"/>
  <c r="E256" i="3" a="1"/>
  <c r="E256" i="3" s="1"/>
  <c r="F256" i="3" a="1"/>
  <c r="F256" i="3" s="1"/>
  <c r="G256" i="3" a="1"/>
  <c r="G256" i="3" s="1"/>
  <c r="H256" i="3" a="1"/>
  <c r="H256" i="3" s="1"/>
  <c r="I256" i="3" a="1"/>
  <c r="I256" i="3" s="1"/>
  <c r="B257" i="3" a="1"/>
  <c r="B257" i="3" s="1"/>
  <c r="C257" i="3" a="1"/>
  <c r="C257" i="3" s="1"/>
  <c r="D257" i="3" a="1"/>
  <c r="D257" i="3" s="1"/>
  <c r="E257" i="3" a="1"/>
  <c r="E257" i="3" s="1"/>
  <c r="F257" i="3" a="1"/>
  <c r="F257" i="3" s="1"/>
  <c r="G257" i="3" a="1"/>
  <c r="G257" i="3" s="1"/>
  <c r="H257" i="3" a="1"/>
  <c r="H257" i="3" s="1"/>
  <c r="I257" i="3" a="1"/>
  <c r="I257" i="3" s="1"/>
  <c r="B258" i="3" a="1"/>
  <c r="B258" i="3" s="1"/>
  <c r="C258" i="3" a="1"/>
  <c r="C258" i="3" s="1"/>
  <c r="D258" i="3" a="1"/>
  <c r="D258" i="3" s="1"/>
  <c r="E258" i="3" a="1"/>
  <c r="E258" i="3" s="1"/>
  <c r="F258" i="3" a="1"/>
  <c r="F258" i="3" s="1"/>
  <c r="G258" i="3" a="1"/>
  <c r="G258" i="3" s="1"/>
  <c r="H258" i="3" a="1"/>
  <c r="H258" i="3" s="1"/>
  <c r="I258" i="3" a="1"/>
  <c r="I258" i="3" s="1"/>
  <c r="B259" i="3" a="1"/>
  <c r="B259" i="3" s="1"/>
  <c r="C259" i="3" a="1"/>
  <c r="C259" i="3" s="1"/>
  <c r="D259" i="3" a="1"/>
  <c r="D259" i="3" s="1"/>
  <c r="E259" i="3" a="1"/>
  <c r="E259" i="3" s="1"/>
  <c r="F259" i="3" a="1"/>
  <c r="F259" i="3" s="1"/>
  <c r="G259" i="3" a="1"/>
  <c r="G259" i="3" s="1"/>
  <c r="H259" i="3" a="1"/>
  <c r="H259" i="3" s="1"/>
  <c r="I259" i="3" a="1"/>
  <c r="I259" i="3" s="1"/>
  <c r="B260" i="3" a="1"/>
  <c r="B260" i="3" s="1"/>
  <c r="C260" i="3" a="1"/>
  <c r="C260" i="3" s="1"/>
  <c r="D260" i="3" a="1"/>
  <c r="D260" i="3" s="1"/>
  <c r="E260" i="3" a="1"/>
  <c r="E260" i="3" s="1"/>
  <c r="F260" i="3" a="1"/>
  <c r="F260" i="3" s="1"/>
  <c r="G260" i="3" a="1"/>
  <c r="G260" i="3" s="1"/>
  <c r="H260" i="3" a="1"/>
  <c r="H260" i="3" s="1"/>
  <c r="I260" i="3" a="1"/>
  <c r="I260" i="3" s="1"/>
  <c r="B261" i="3" a="1"/>
  <c r="B261" i="3" s="1"/>
  <c r="C261" i="3" a="1"/>
  <c r="C261" i="3" s="1"/>
  <c r="D261" i="3" a="1"/>
  <c r="D261" i="3" s="1"/>
  <c r="E261" i="3" a="1"/>
  <c r="E261" i="3" s="1"/>
  <c r="F261" i="3" a="1"/>
  <c r="F261" i="3" s="1"/>
  <c r="G261" i="3" a="1"/>
  <c r="G261" i="3" s="1"/>
  <c r="H261" i="3" a="1"/>
  <c r="H261" i="3" s="1"/>
  <c r="I261" i="3" a="1"/>
  <c r="I261" i="3" s="1"/>
  <c r="B262" i="3" a="1"/>
  <c r="B262" i="3" s="1"/>
  <c r="C262" i="3" a="1"/>
  <c r="C262" i="3" s="1"/>
  <c r="D262" i="3" a="1"/>
  <c r="D262" i="3" s="1"/>
  <c r="E262" i="3" a="1"/>
  <c r="E262" i="3" s="1"/>
  <c r="F262" i="3" a="1"/>
  <c r="F262" i="3" s="1"/>
  <c r="G262" i="3" a="1"/>
  <c r="G262" i="3" s="1"/>
  <c r="H262" i="3" a="1"/>
  <c r="H262" i="3" s="1"/>
  <c r="I262" i="3" a="1"/>
  <c r="I262" i="3" s="1"/>
  <c r="B263" i="3" a="1"/>
  <c r="B263" i="3" s="1"/>
  <c r="C263" i="3" a="1"/>
  <c r="C263" i="3" s="1"/>
  <c r="D263" i="3" a="1"/>
  <c r="D263" i="3" s="1"/>
  <c r="E263" i="3" a="1"/>
  <c r="E263" i="3" s="1"/>
  <c r="F263" i="3" a="1"/>
  <c r="F263" i="3" s="1"/>
  <c r="G263" i="3" a="1"/>
  <c r="G263" i="3" s="1"/>
  <c r="H263" i="3" a="1"/>
  <c r="H263" i="3" s="1"/>
  <c r="I263" i="3" a="1"/>
  <c r="I263" i="3" s="1"/>
  <c r="B264" i="3" a="1"/>
  <c r="B264" i="3" s="1"/>
  <c r="C264" i="3" a="1"/>
  <c r="C264" i="3" s="1"/>
  <c r="D264" i="3" a="1"/>
  <c r="D264" i="3" s="1"/>
  <c r="E264" i="3" a="1"/>
  <c r="E264" i="3" s="1"/>
  <c r="F264" i="3" a="1"/>
  <c r="F264" i="3" s="1"/>
  <c r="G264" i="3" a="1"/>
  <c r="G264" i="3" s="1"/>
  <c r="H264" i="3" a="1"/>
  <c r="H264" i="3" s="1"/>
  <c r="I264" i="3" a="1"/>
  <c r="I264" i="3" s="1"/>
  <c r="B265" i="3" a="1"/>
  <c r="B265" i="3" s="1"/>
  <c r="C265" i="3" a="1"/>
  <c r="C265" i="3" s="1"/>
  <c r="D265" i="3" a="1"/>
  <c r="D265" i="3" s="1"/>
  <c r="E265" i="3" a="1"/>
  <c r="E265" i="3" s="1"/>
  <c r="F265" i="3" a="1"/>
  <c r="F265" i="3" s="1"/>
  <c r="G265" i="3" a="1"/>
  <c r="G265" i="3" s="1"/>
  <c r="H265" i="3" a="1"/>
  <c r="H265" i="3"/>
  <c r="I265" i="3" a="1"/>
  <c r="I265" i="3"/>
  <c r="B266" i="3" a="1"/>
  <c r="B266" i="3"/>
  <c r="C266" i="3" a="1"/>
  <c r="C266" i="3"/>
  <c r="D266" i="3" a="1"/>
  <c r="D266" i="3"/>
  <c r="E266" i="3" a="1"/>
  <c r="E266" i="3" s="1"/>
  <c r="F266" i="3" a="1"/>
  <c r="F266" i="3" s="1"/>
  <c r="G266" i="3" a="1"/>
  <c r="G266" i="3" s="1"/>
  <c r="H266" i="3" a="1"/>
  <c r="H266" i="3" s="1"/>
  <c r="I266" i="3" a="1"/>
  <c r="I266" i="3" s="1"/>
  <c r="B267" i="3" a="1"/>
  <c r="B267" i="3" s="1"/>
  <c r="C267" i="3" a="1"/>
  <c r="C267" i="3" s="1"/>
  <c r="D267" i="3" a="1"/>
  <c r="D267" i="3"/>
  <c r="E267" i="3" a="1"/>
  <c r="E267" i="3"/>
  <c r="F267" i="3" a="1"/>
  <c r="F267" i="3"/>
  <c r="G267" i="3" a="1"/>
  <c r="G267" i="3"/>
  <c r="H267" i="3" a="1"/>
  <c r="H267" i="3"/>
  <c r="I267" i="3" a="1"/>
  <c r="I267" i="3" s="1"/>
  <c r="B268" i="3" a="1"/>
  <c r="B268" i="3" s="1"/>
  <c r="C268" i="3" a="1"/>
  <c r="C268" i="3" s="1"/>
  <c r="D268" i="3" a="1"/>
  <c r="D268" i="3" s="1"/>
  <c r="E268" i="3" a="1"/>
  <c r="E268" i="3" s="1"/>
  <c r="F268" i="3" a="1"/>
  <c r="F268" i="3" s="1"/>
  <c r="G268" i="3" a="1"/>
  <c r="G268" i="3" s="1"/>
  <c r="H268" i="3" a="1"/>
  <c r="H268" i="3"/>
  <c r="I268" i="3" a="1"/>
  <c r="I268" i="3"/>
  <c r="B269" i="3" a="1"/>
  <c r="B269" i="3"/>
  <c r="C269" i="3" a="1"/>
  <c r="C269" i="3"/>
  <c r="D269" i="3" a="1"/>
  <c r="D269" i="3"/>
  <c r="E269" i="3" a="1"/>
  <c r="E269" i="3" s="1"/>
  <c r="F269" i="3" a="1"/>
  <c r="F269" i="3" s="1"/>
  <c r="G269" i="3" a="1"/>
  <c r="G269" i="3" s="1"/>
  <c r="H269" i="3" a="1"/>
  <c r="H269" i="3" s="1"/>
  <c r="I269" i="3" a="1"/>
  <c r="I269" i="3" s="1"/>
  <c r="B270" i="3" a="1"/>
  <c r="B270" i="3" s="1"/>
  <c r="C270" i="3" a="1"/>
  <c r="C270" i="3" s="1"/>
  <c r="D270" i="3" a="1"/>
  <c r="D270" i="3"/>
  <c r="E270" i="3" a="1"/>
  <c r="E270" i="3"/>
  <c r="F270" i="3" a="1"/>
  <c r="F270" i="3"/>
  <c r="G270" i="3" a="1"/>
  <c r="G270" i="3"/>
  <c r="H270" i="3" a="1"/>
  <c r="H270" i="3"/>
  <c r="I270" i="3" a="1"/>
  <c r="I270" i="3" s="1"/>
  <c r="B271" i="3" a="1"/>
  <c r="B271" i="3" s="1"/>
  <c r="C271" i="3" a="1"/>
  <c r="C271" i="3" s="1"/>
  <c r="D271" i="3" a="1"/>
  <c r="D271" i="3" s="1"/>
  <c r="E271" i="3" a="1"/>
  <c r="E271" i="3" s="1"/>
  <c r="F271" i="3" a="1"/>
  <c r="F271" i="3" s="1"/>
  <c r="G271" i="3" a="1"/>
  <c r="G271" i="3" s="1"/>
  <c r="H271" i="3" a="1"/>
  <c r="H271" i="3"/>
  <c r="I271" i="3" a="1"/>
  <c r="I271" i="3"/>
  <c r="B272" i="3" a="1"/>
  <c r="B272" i="3"/>
  <c r="C272" i="3" a="1"/>
  <c r="C272" i="3"/>
  <c r="D272" i="3" a="1"/>
  <c r="D272" i="3"/>
  <c r="E272" i="3" a="1"/>
  <c r="E272" i="3" s="1"/>
  <c r="F272" i="3" a="1"/>
  <c r="F272" i="3" s="1"/>
  <c r="G272" i="3" a="1"/>
  <c r="G272" i="3" s="1"/>
  <c r="H272" i="3" a="1"/>
  <c r="H272" i="3" s="1"/>
  <c r="I272" i="3" a="1"/>
  <c r="I272" i="3" s="1"/>
  <c r="B273" i="3" a="1"/>
  <c r="B273" i="3" s="1"/>
  <c r="C273" i="3" a="1"/>
  <c r="C273" i="3" s="1"/>
  <c r="D273" i="3" a="1"/>
  <c r="D273" i="3"/>
  <c r="E273" i="3" a="1"/>
  <c r="E273" i="3"/>
  <c r="F273" i="3" a="1"/>
  <c r="F273" i="3"/>
  <c r="G273" i="3" a="1"/>
  <c r="G273" i="3"/>
  <c r="H273" i="3" a="1"/>
  <c r="H273" i="3"/>
  <c r="I273" i="3" a="1"/>
  <c r="I273" i="3" s="1"/>
  <c r="B274" i="3" a="1"/>
  <c r="B274" i="3" s="1"/>
  <c r="C274" i="3" a="1"/>
  <c r="C274" i="3" s="1"/>
  <c r="D274" i="3" a="1"/>
  <c r="D274" i="3" s="1"/>
  <c r="E274" i="3" a="1"/>
  <c r="E274" i="3" s="1"/>
  <c r="F274" i="3" a="1"/>
  <c r="F274" i="3" s="1"/>
  <c r="G274" i="3" a="1"/>
  <c r="G274" i="3" s="1"/>
  <c r="H274" i="3" a="1"/>
  <c r="H274" i="3"/>
  <c r="I274" i="3" a="1"/>
  <c r="I274" i="3"/>
  <c r="B275" i="3" a="1"/>
  <c r="B275" i="3"/>
  <c r="C275" i="3" a="1"/>
  <c r="C275" i="3"/>
  <c r="D275" i="3" a="1"/>
  <c r="D275" i="3"/>
  <c r="E275" i="3" a="1"/>
  <c r="E275" i="3"/>
  <c r="F275" i="3" a="1"/>
  <c r="F275" i="3"/>
  <c r="G275" i="3" a="1"/>
  <c r="G275" i="3"/>
  <c r="H275" i="3" a="1"/>
  <c r="H275" i="3"/>
  <c r="I275" i="3" a="1"/>
  <c r="I275" i="3"/>
  <c r="B276" i="3" a="1"/>
  <c r="B276" i="3"/>
  <c r="C276" i="3" a="1"/>
  <c r="C276" i="3"/>
  <c r="D276" i="3" a="1"/>
  <c r="D276" i="3"/>
  <c r="E276" i="3" a="1"/>
  <c r="E276" i="3"/>
  <c r="F276" i="3" a="1"/>
  <c r="F276" i="3"/>
  <c r="G276" i="3" a="1"/>
  <c r="G276" i="3"/>
  <c r="H276" i="3" a="1"/>
  <c r="H276" i="3"/>
  <c r="I276" i="3" a="1"/>
  <c r="I276" i="3"/>
  <c r="B277" i="3" a="1"/>
  <c r="B277" i="3"/>
  <c r="C277" i="3" a="1"/>
  <c r="C277" i="3"/>
  <c r="D277" i="3" a="1"/>
  <c r="D277" i="3"/>
  <c r="E277" i="3" a="1"/>
  <c r="E277" i="3"/>
  <c r="F277" i="3" a="1"/>
  <c r="F277" i="3"/>
  <c r="G277" i="3" a="1"/>
  <c r="G277" i="3"/>
  <c r="H277" i="3" a="1"/>
  <c r="H277" i="3"/>
  <c r="I277" i="3" a="1"/>
  <c r="I277" i="3"/>
  <c r="B278" i="3" a="1"/>
  <c r="B278" i="3"/>
  <c r="C278" i="3" a="1"/>
  <c r="C278" i="3"/>
  <c r="D278" i="3" a="1"/>
  <c r="D278" i="3"/>
  <c r="E278" i="3" a="1"/>
  <c r="E278" i="3"/>
  <c r="F278" i="3" a="1"/>
  <c r="F278" i="3"/>
  <c r="G278" i="3" a="1"/>
  <c r="G278" i="3"/>
  <c r="H278" i="3" a="1"/>
  <c r="H278" i="3"/>
  <c r="I278" i="3" a="1"/>
  <c r="I278" i="3"/>
  <c r="B279" i="3" a="1"/>
  <c r="B279" i="3"/>
  <c r="C279" i="3" a="1"/>
  <c r="C279" i="3"/>
  <c r="D279" i="3" a="1"/>
  <c r="D279" i="3"/>
  <c r="E279" i="3" a="1"/>
  <c r="E279" i="3"/>
  <c r="F279" i="3" a="1"/>
  <c r="F279" i="3"/>
  <c r="G279" i="3" a="1"/>
  <c r="G279" i="3"/>
  <c r="H279" i="3" a="1"/>
  <c r="H279" i="3"/>
  <c r="I279" i="3" a="1"/>
  <c r="I279" i="3"/>
  <c r="B280" i="3" a="1"/>
  <c r="B280" i="3"/>
  <c r="C280" i="3" a="1"/>
  <c r="C280" i="3"/>
  <c r="D280" i="3" a="1"/>
  <c r="D280" i="3"/>
  <c r="E280" i="3" a="1"/>
  <c r="E280" i="3"/>
  <c r="F280" i="3" a="1"/>
  <c r="F280" i="3"/>
  <c r="G280" i="3" a="1"/>
  <c r="G280" i="3"/>
  <c r="H280" i="3" a="1"/>
  <c r="H280" i="3"/>
  <c r="I280" i="3" a="1"/>
  <c r="I280" i="3"/>
  <c r="B281" i="3" a="1"/>
  <c r="B281" i="3"/>
  <c r="C281" i="3" a="1"/>
  <c r="C281" i="3"/>
  <c r="D281" i="3" a="1"/>
  <c r="D281" i="3"/>
  <c r="E281" i="3" a="1"/>
  <c r="E281" i="3"/>
  <c r="F281" i="3" a="1"/>
  <c r="F281" i="3"/>
  <c r="G281" i="3" a="1"/>
  <c r="G281" i="3"/>
  <c r="H281" i="3" a="1"/>
  <c r="H281" i="3"/>
  <c r="I281" i="3" a="1"/>
  <c r="I281" i="3"/>
  <c r="B282" i="3" a="1"/>
  <c r="B282" i="3"/>
  <c r="C282" i="3" a="1"/>
  <c r="C282" i="3"/>
  <c r="D282" i="3" a="1"/>
  <c r="D282" i="3"/>
  <c r="E282" i="3" a="1"/>
  <c r="E282" i="3"/>
  <c r="F282" i="3" a="1"/>
  <c r="F282" i="3"/>
  <c r="G282" i="3" a="1"/>
  <c r="G282" i="3"/>
  <c r="H282" i="3" a="1"/>
  <c r="H282" i="3"/>
  <c r="I282" i="3" a="1"/>
  <c r="I282" i="3"/>
  <c r="B283" i="3" a="1"/>
  <c r="B283" i="3"/>
  <c r="C283" i="3" a="1"/>
  <c r="C283" i="3"/>
  <c r="D283" i="3" a="1"/>
  <c r="D283" i="3"/>
  <c r="E283" i="3" a="1"/>
  <c r="E283" i="3"/>
  <c r="F283" i="3" a="1"/>
  <c r="F283" i="3"/>
  <c r="G283" i="3" a="1"/>
  <c r="G283" i="3"/>
  <c r="H283" i="3" a="1"/>
  <c r="H283" i="3"/>
  <c r="I283" i="3" a="1"/>
  <c r="I283" i="3"/>
  <c r="B284" i="3" a="1"/>
  <c r="B284" i="3"/>
  <c r="C284" i="3" a="1"/>
  <c r="C284" i="3"/>
  <c r="D284" i="3" a="1"/>
  <c r="D284" i="3"/>
  <c r="E284" i="3" a="1"/>
  <c r="E284" i="3"/>
  <c r="F284" i="3" a="1"/>
  <c r="F284" i="3"/>
  <c r="G284" i="3" a="1"/>
  <c r="G284" i="3"/>
  <c r="H284" i="3" a="1"/>
  <c r="H284" i="3"/>
  <c r="I284" i="3" a="1"/>
  <c r="I284" i="3"/>
  <c r="B285" i="3" a="1"/>
  <c r="B285" i="3"/>
  <c r="C285" i="3" a="1"/>
  <c r="C285" i="3"/>
  <c r="D285" i="3" a="1"/>
  <c r="D285" i="3"/>
  <c r="E285" i="3" a="1"/>
  <c r="E285" i="3"/>
  <c r="F285" i="3" a="1"/>
  <c r="F285" i="3"/>
  <c r="G285" i="3" a="1"/>
  <c r="G285" i="3"/>
  <c r="H285" i="3" a="1"/>
  <c r="H285" i="3"/>
  <c r="I285" i="3" a="1"/>
  <c r="I285" i="3"/>
  <c r="B286" i="3" a="1"/>
  <c r="B286" i="3"/>
  <c r="C286" i="3" a="1"/>
  <c r="C286" i="3"/>
  <c r="D286" i="3" a="1"/>
  <c r="D286" i="3"/>
  <c r="E286" i="3" a="1"/>
  <c r="E286" i="3"/>
  <c r="F286" i="3" a="1"/>
  <c r="F286" i="3"/>
  <c r="G286" i="3" a="1"/>
  <c r="G286" i="3"/>
  <c r="H286" i="3" a="1"/>
  <c r="H286" i="3"/>
  <c r="I286" i="3" a="1"/>
  <c r="I286" i="3"/>
  <c r="B287" i="3" a="1"/>
  <c r="B287" i="3"/>
  <c r="C287" i="3" a="1"/>
  <c r="C287" i="3"/>
  <c r="D287" i="3" a="1"/>
  <c r="D287" i="3"/>
  <c r="E287" i="3" a="1"/>
  <c r="E287" i="3"/>
  <c r="F287" i="3" a="1"/>
  <c r="F287" i="3"/>
  <c r="G287" i="3" a="1"/>
  <c r="G287" i="3"/>
  <c r="H287" i="3" a="1"/>
  <c r="H287" i="3"/>
  <c r="I287" i="3" a="1"/>
  <c r="I287" i="3"/>
  <c r="B288" i="3" a="1"/>
  <c r="B288" i="3"/>
  <c r="C288" i="3" a="1"/>
  <c r="C288" i="3"/>
  <c r="D288" i="3" a="1"/>
  <c r="D288" i="3"/>
  <c r="E288" i="3" a="1"/>
  <c r="E288" i="3"/>
  <c r="F288" i="3" a="1"/>
  <c r="F288" i="3"/>
  <c r="G288" i="3" a="1"/>
  <c r="G288" i="3"/>
  <c r="H288" i="3" a="1"/>
  <c r="H288" i="3"/>
  <c r="I288" i="3" a="1"/>
  <c r="I288" i="3"/>
  <c r="B289" i="3" a="1"/>
  <c r="B289" i="3"/>
  <c r="C289" i="3" a="1"/>
  <c r="C289" i="3"/>
  <c r="D289" i="3" a="1"/>
  <c r="D289" i="3"/>
  <c r="E289" i="3" a="1"/>
  <c r="E289" i="3"/>
  <c r="F289" i="3" a="1"/>
  <c r="F289" i="3"/>
  <c r="G289" i="3" a="1"/>
  <c r="G289" i="3"/>
  <c r="H289" i="3" a="1"/>
  <c r="H289" i="3" s="1"/>
  <c r="I289" i="3" a="1"/>
  <c r="I289" i="3"/>
  <c r="B290" i="3" a="1"/>
  <c r="B290" i="3"/>
  <c r="C290" i="3" a="1"/>
  <c r="C290" i="3"/>
  <c r="D290" i="3" a="1"/>
  <c r="D290" i="3"/>
  <c r="E290" i="3" a="1"/>
  <c r="E290" i="3"/>
  <c r="F290" i="3" a="1"/>
  <c r="F290" i="3" s="1"/>
  <c r="G290" i="3" a="1"/>
  <c r="G290" i="3"/>
  <c r="H290" i="3" a="1"/>
  <c r="H290" i="3"/>
  <c r="I290" i="3" a="1"/>
  <c r="I290" i="3"/>
  <c r="B291" i="3" a="1"/>
  <c r="B291" i="3" s="1"/>
  <c r="C291" i="3" a="1"/>
  <c r="C291" i="3"/>
  <c r="D291" i="3" a="1"/>
  <c r="D291" i="3" s="1"/>
  <c r="E291" i="3" a="1"/>
  <c r="E291" i="3"/>
  <c r="F291" i="3" a="1"/>
  <c r="F291" i="3"/>
  <c r="G291" i="3" a="1"/>
  <c r="G291" i="3"/>
  <c r="H291" i="3" a="1"/>
  <c r="H291" i="3" s="1"/>
  <c r="I291" i="3" a="1"/>
  <c r="I291" i="3"/>
  <c r="B292" i="3" a="1"/>
  <c r="B292" i="3" s="1"/>
  <c r="C292" i="3" a="1"/>
  <c r="C292" i="3" s="1"/>
  <c r="D292" i="3" a="1"/>
  <c r="D292" i="3"/>
  <c r="E292" i="3" a="1"/>
  <c r="E292" i="3"/>
  <c r="F292" i="3" a="1"/>
  <c r="F292" i="3" s="1"/>
  <c r="G292" i="3" a="1"/>
  <c r="G292" i="3"/>
  <c r="H292" i="3" a="1"/>
  <c r="H292" i="3" s="1"/>
  <c r="I292" i="3" a="1"/>
  <c r="I292" i="3" s="1"/>
  <c r="B293" i="3" a="1"/>
  <c r="B293" i="3"/>
  <c r="C293" i="3" a="1"/>
  <c r="C293" i="3"/>
  <c r="D293" i="3" a="1"/>
  <c r="D293" i="3" s="1"/>
  <c r="E293" i="3" a="1"/>
  <c r="E293" i="3"/>
  <c r="F293" i="3" a="1"/>
  <c r="F293" i="3" s="1"/>
  <c r="G293" i="3" a="1"/>
  <c r="G293" i="3" s="1"/>
  <c r="H293" i="3" a="1"/>
  <c r="H293" i="3"/>
  <c r="I293" i="3" a="1"/>
  <c r="I293" i="3"/>
  <c r="B294" i="3" a="1"/>
  <c r="B294" i="3" s="1"/>
  <c r="C294" i="3" a="1"/>
  <c r="C294" i="3"/>
  <c r="D294" i="3" a="1"/>
  <c r="D294" i="3" s="1"/>
  <c r="E294" i="3" a="1"/>
  <c r="E294" i="3" s="1"/>
  <c r="F294" i="3" a="1"/>
  <c r="F294" i="3"/>
  <c r="G294" i="3" a="1"/>
  <c r="G294" i="3" s="1"/>
  <c r="H294" i="3" a="1"/>
  <c r="H294" i="3"/>
  <c r="I294" i="3" a="1"/>
  <c r="I294" i="3"/>
  <c r="B295" i="3" a="1"/>
  <c r="B295" i="3"/>
  <c r="C295" i="3" a="1"/>
  <c r="C295" i="3"/>
  <c r="D295" i="3" a="1"/>
  <c r="D295" i="3"/>
  <c r="E295" i="3" a="1"/>
  <c r="E295" i="3" s="1"/>
  <c r="F295" i="3" a="1"/>
  <c r="F295" i="3"/>
  <c r="G295" i="3" a="1"/>
  <c r="G295" i="3" s="1"/>
  <c r="H295" i="3" a="1"/>
  <c r="H295" i="3"/>
  <c r="I295" i="3" a="1"/>
  <c r="I295" i="3" s="1"/>
  <c r="B296" i="3" a="1"/>
  <c r="B296" i="3"/>
  <c r="C296" i="3" a="1"/>
  <c r="C296" i="3" s="1"/>
  <c r="D296" i="3" a="1"/>
  <c r="D296" i="3" s="1"/>
  <c r="E296" i="3" a="1"/>
  <c r="E296" i="3"/>
  <c r="F296" i="3" a="1"/>
  <c r="F296" i="3"/>
  <c r="G296" i="3" a="1"/>
  <c r="G296" i="3"/>
  <c r="H296" i="3" a="1"/>
  <c r="H296" i="3"/>
  <c r="I296" i="3" a="1"/>
  <c r="I296" i="3" s="1"/>
  <c r="B297" i="3" a="1"/>
  <c r="B297" i="3" s="1"/>
  <c r="C297" i="3" a="1"/>
  <c r="C297" i="3"/>
  <c r="D297" i="3" a="1"/>
  <c r="D297" i="3" s="1"/>
  <c r="E297" i="3" a="1"/>
  <c r="E297" i="3"/>
  <c r="F297" i="3" a="1"/>
  <c r="F297" i="3"/>
  <c r="G297" i="3" a="1"/>
  <c r="G297" i="3" s="1"/>
  <c r="H297" i="3" a="1"/>
  <c r="H297" i="3"/>
  <c r="I297" i="3" a="1"/>
  <c r="I297" i="3" s="1"/>
  <c r="B298" i="3" a="1"/>
  <c r="B298" i="3"/>
  <c r="C298" i="3" a="1"/>
  <c r="C298" i="3"/>
  <c r="D298" i="3" a="1"/>
  <c r="D298" i="3"/>
  <c r="E298" i="3" a="1"/>
  <c r="E298" i="3" s="1"/>
  <c r="F298" i="3" a="1"/>
  <c r="F298" i="3" s="1"/>
  <c r="G298" i="3" a="1"/>
  <c r="G298" i="3" s="1"/>
  <c r="H298" i="3" a="1"/>
  <c r="H298" i="3"/>
  <c r="I298" i="3" a="1"/>
  <c r="I298" i="3" s="1"/>
  <c r="B299" i="3" a="1"/>
  <c r="B299" i="3"/>
  <c r="C299" i="3" a="1"/>
  <c r="C299" i="3" s="1"/>
  <c r="D299" i="3" a="1"/>
  <c r="D299" i="3"/>
  <c r="E299" i="3" a="1"/>
  <c r="E299" i="3"/>
  <c r="F299" i="3" a="1"/>
  <c r="F299" i="3" s="1"/>
  <c r="G299" i="3" a="1"/>
  <c r="G299" i="3"/>
  <c r="H299" i="3" a="1"/>
  <c r="H299" i="3" s="1"/>
  <c r="I299" i="3" a="1"/>
  <c r="I299" i="3" s="1"/>
  <c r="B300" i="3" a="1"/>
  <c r="B300" i="3"/>
  <c r="C300" i="3" a="1"/>
  <c r="C300" i="3"/>
  <c r="D300" i="3" a="1"/>
  <c r="D300" i="3"/>
  <c r="E300" i="3" a="1"/>
  <c r="E300" i="3" s="1"/>
  <c r="F300" i="3" a="1"/>
  <c r="F300" i="3" s="1"/>
  <c r="G300" i="3" a="1"/>
  <c r="G300" i="3" s="1"/>
  <c r="H300" i="3" a="1"/>
  <c r="H300" i="3"/>
  <c r="I300" i="3" a="1"/>
  <c r="I300" i="3"/>
  <c r="B301" i="3" a="1"/>
  <c r="B301" i="3" s="1"/>
  <c r="C301" i="3" a="1"/>
  <c r="C301" i="3"/>
  <c r="D301" i="3" a="1"/>
  <c r="D301" i="3" s="1"/>
  <c r="E301" i="3" a="1"/>
  <c r="E301" i="3" s="1"/>
  <c r="F301" i="3" a="1"/>
  <c r="F301" i="3"/>
  <c r="G301" i="3" a="1"/>
  <c r="G301" i="3"/>
  <c r="H301" i="3" a="1"/>
  <c r="H301" i="3"/>
  <c r="I301" i="3" a="1"/>
  <c r="I301" i="3" s="1"/>
  <c r="B302" i="3" a="1"/>
  <c r="B302" i="3" s="1"/>
  <c r="C302" i="3" a="1"/>
  <c r="C302" i="3" s="1"/>
  <c r="D302" i="3" a="1"/>
  <c r="D302" i="3" s="1"/>
  <c r="E302" i="3" a="1"/>
  <c r="E302" i="3"/>
  <c r="F302" i="3" a="1"/>
  <c r="F302" i="3"/>
  <c r="G302" i="3" a="1"/>
  <c r="G302" i="3"/>
  <c r="H302" i="3" a="1"/>
  <c r="H302" i="3" s="1"/>
  <c r="I302" i="3" a="1"/>
  <c r="I302" i="3" s="1"/>
  <c r="B303" i="3" a="1"/>
  <c r="B303" i="3"/>
  <c r="C303" i="3" a="1"/>
  <c r="C303" i="3" s="1"/>
  <c r="D303" i="3" a="1"/>
  <c r="D303" i="3"/>
  <c r="E303" i="3" a="1"/>
  <c r="E303" i="3"/>
  <c r="F303" i="3" a="1"/>
  <c r="F303" i="3" s="1"/>
  <c r="G303" i="3" a="1"/>
  <c r="G303" i="3" s="1"/>
  <c r="H303" i="3" a="1"/>
  <c r="H303" i="3" s="1"/>
  <c r="I303" i="3" a="1"/>
  <c r="I303" i="3"/>
  <c r="B304" i="3" a="1"/>
  <c r="B304" i="3" s="1"/>
  <c r="C304" i="3" a="1"/>
  <c r="C304" i="3"/>
  <c r="D304" i="3" a="1"/>
  <c r="D304" i="3" s="1"/>
  <c r="E304" i="3" a="1"/>
  <c r="E304" i="3" s="1"/>
  <c r="F304" i="3" a="1"/>
  <c r="F304" i="3"/>
  <c r="G304" i="3" a="1"/>
  <c r="G304" i="3" s="1"/>
  <c r="H304" i="3" a="1"/>
  <c r="H304" i="3" s="1"/>
  <c r="I304" i="3" a="1"/>
  <c r="I304" i="3" s="1"/>
  <c r="B305" i="3" a="1"/>
  <c r="B305" i="3" s="1"/>
  <c r="C305" i="3" a="1"/>
  <c r="C305" i="3" s="1"/>
  <c r="D305" i="3" a="1"/>
  <c r="D305" i="3"/>
  <c r="E305" i="3" a="1"/>
  <c r="E305" i="3"/>
  <c r="F305" i="3" a="1"/>
  <c r="F305" i="3" s="1"/>
  <c r="G305" i="3" a="1"/>
  <c r="G305" i="3" s="1"/>
  <c r="H305" i="3" a="1"/>
  <c r="H305" i="3" s="1"/>
  <c r="I305" i="3" a="1"/>
  <c r="I305" i="3" s="1"/>
  <c r="B306" i="3" a="1"/>
  <c r="B306" i="3"/>
  <c r="C306" i="3" a="1"/>
  <c r="C306" i="3"/>
  <c r="D306" i="3" a="1"/>
  <c r="D306" i="3"/>
  <c r="E306" i="3" a="1"/>
  <c r="E306" i="3" s="1"/>
  <c r="F306" i="3" a="1"/>
  <c r="F306" i="3" s="1"/>
  <c r="G306" i="3" a="1"/>
  <c r="G306" i="3" s="1"/>
  <c r="H306" i="3" a="1"/>
  <c r="H306" i="3" s="1"/>
  <c r="I306" i="3" a="1"/>
  <c r="I306" i="3"/>
  <c r="B307" i="3" a="1"/>
  <c r="B307" i="3" s="1"/>
  <c r="C307" i="3" a="1"/>
  <c r="C307" i="3"/>
  <c r="D307" i="3" a="1"/>
  <c r="D307" i="3" s="1"/>
  <c r="E307" i="3" a="1"/>
  <c r="E307" i="3" s="1"/>
  <c r="F307" i="3" a="1"/>
  <c r="F307" i="3"/>
  <c r="G307" i="3" a="1"/>
  <c r="G307" i="3"/>
  <c r="H307" i="3" a="1"/>
  <c r="H307" i="3" s="1"/>
  <c r="I307" i="3" a="1"/>
  <c r="I307" i="3"/>
  <c r="B308" i="3" a="1"/>
  <c r="B308" i="3" s="1"/>
  <c r="C308" i="3" a="1"/>
  <c r="C308" i="3" s="1"/>
  <c r="D308" i="3" a="1"/>
  <c r="D308" i="3" s="1"/>
  <c r="E308" i="3" a="1"/>
  <c r="E308" i="3" s="1"/>
  <c r="F308" i="3" a="1"/>
  <c r="F308" i="3"/>
  <c r="G308" i="3" a="1"/>
  <c r="G308" i="3" s="1"/>
  <c r="H308" i="3" a="1"/>
  <c r="H308" i="3"/>
  <c r="I308" i="3" a="1"/>
  <c r="I308" i="3" s="1"/>
  <c r="B309" i="3" a="1"/>
  <c r="B309" i="3" s="1"/>
  <c r="C309" i="3" a="1"/>
  <c r="C309" i="3"/>
  <c r="D309" i="3" a="1"/>
  <c r="D309" i="3"/>
  <c r="E309" i="3" a="1"/>
  <c r="E309" i="3" s="1"/>
  <c r="F309" i="3" a="1"/>
  <c r="F309" i="3"/>
  <c r="G309" i="3" a="1"/>
  <c r="G309" i="3" s="1"/>
  <c r="H309" i="3" a="1"/>
  <c r="H309" i="3" s="1"/>
  <c r="I309" i="3" a="1"/>
  <c r="I309" i="3" s="1"/>
  <c r="B310" i="3" a="1"/>
  <c r="B310" i="3" s="1"/>
  <c r="C310" i="3" a="1"/>
  <c r="C310" i="3"/>
  <c r="D310" i="3" a="1"/>
  <c r="D310" i="3"/>
  <c r="E310" i="3" a="1"/>
  <c r="E310" i="3" s="1"/>
  <c r="F310" i="3" a="1"/>
  <c r="F310" i="3" s="1"/>
  <c r="G310" i="3" a="1"/>
  <c r="G310" i="3" s="1"/>
  <c r="H310" i="3" a="1"/>
  <c r="H310" i="3"/>
  <c r="I310" i="3" a="1"/>
  <c r="I310" i="3"/>
  <c r="B311" i="3" a="1"/>
  <c r="B311" i="3" s="1"/>
  <c r="C311" i="3" a="1"/>
  <c r="C311" i="3" s="1"/>
  <c r="D311" i="3" a="1"/>
  <c r="D311" i="3"/>
  <c r="E311" i="3" a="1"/>
  <c r="E311" i="3" s="1"/>
  <c r="F311" i="3" a="1"/>
  <c r="F311" i="3" s="1"/>
  <c r="G311" i="3" a="1"/>
  <c r="G311" i="3" s="1"/>
  <c r="H311" i="3" a="1"/>
  <c r="H311" i="3"/>
  <c r="I311" i="3" a="1"/>
  <c r="I311" i="3" s="1"/>
  <c r="B312" i="3" a="1"/>
  <c r="B312" i="3"/>
  <c r="C312" i="3" a="1"/>
  <c r="C312" i="3" s="1"/>
  <c r="D312" i="3" a="1"/>
  <c r="D312" i="3" s="1"/>
  <c r="E312" i="3" a="1"/>
  <c r="E312" i="3"/>
  <c r="F312" i="3" a="1"/>
  <c r="F312" i="3"/>
  <c r="G312" i="3" a="1"/>
  <c r="G312" i="3" s="1"/>
  <c r="H312" i="3" a="1"/>
  <c r="H312" i="3"/>
  <c r="I312" i="3" a="1"/>
  <c r="I312" i="3"/>
  <c r="B313" i="3" a="1"/>
  <c r="B313" i="3" s="1"/>
  <c r="C313" i="3" a="1"/>
  <c r="C313" i="3" s="1"/>
  <c r="D313" i="3" a="1"/>
  <c r="D313" i="3" s="1"/>
  <c r="E313" i="3" a="1"/>
  <c r="E313" i="3" s="1"/>
  <c r="F313" i="3" a="1"/>
  <c r="F313" i="3" s="1"/>
  <c r="G313" i="3" a="1"/>
  <c r="G313" i="3"/>
  <c r="H313" i="3" a="1"/>
  <c r="H313" i="3" s="1"/>
  <c r="I313" i="3" a="1"/>
  <c r="I313" i="3" s="1"/>
  <c r="B314" i="3" a="1"/>
  <c r="B314" i="3"/>
  <c r="C314" i="3" a="1"/>
  <c r="C314" i="3" s="1"/>
  <c r="D314" i="3" a="1"/>
  <c r="D314" i="3"/>
  <c r="E314" i="3" a="1"/>
  <c r="E314" i="3"/>
  <c r="F314" i="3" a="1"/>
  <c r="F314" i="3"/>
  <c r="G314" i="3" a="1"/>
  <c r="G314" i="3" s="1"/>
  <c r="H314" i="3" a="1"/>
  <c r="H314" i="3" s="1"/>
  <c r="I314" i="3" a="1"/>
  <c r="I314" i="3" s="1"/>
  <c r="B315" i="3" a="1"/>
  <c r="B315" i="3"/>
  <c r="C315" i="3" a="1"/>
  <c r="C315" i="3" s="1"/>
  <c r="D315" i="3" a="1"/>
  <c r="D315" i="3"/>
  <c r="E315" i="3" a="1"/>
  <c r="E315" i="3" s="1"/>
  <c r="F315" i="3" a="1"/>
  <c r="F315" i="3" s="1"/>
  <c r="G315" i="3" a="1"/>
  <c r="G315" i="3" s="1"/>
  <c r="H315" i="3" a="1"/>
  <c r="H315" i="3" s="1"/>
  <c r="I315" i="3" a="1"/>
  <c r="I315" i="3"/>
  <c r="B316" i="3" a="1"/>
  <c r="B316" i="3"/>
  <c r="C316" i="3" a="1"/>
  <c r="C316" i="3"/>
  <c r="D316" i="3" a="1"/>
  <c r="D316" i="3" s="1"/>
  <c r="E316" i="3" a="1"/>
  <c r="E316" i="3" s="1"/>
  <c r="F316" i="3" a="1"/>
  <c r="F316" i="3"/>
  <c r="G316" i="3" a="1"/>
  <c r="G316" i="3"/>
  <c r="H316" i="3" a="1"/>
  <c r="H316" i="3" s="1"/>
  <c r="I316" i="3" a="1"/>
  <c r="I316" i="3"/>
  <c r="B317" i="3" a="1"/>
  <c r="B317" i="3" s="1"/>
  <c r="C317" i="3" a="1"/>
  <c r="C317" i="3" s="1"/>
  <c r="D317" i="3" a="1"/>
  <c r="D317" i="3" s="1"/>
  <c r="E317" i="3" a="1"/>
  <c r="E317" i="3" s="1"/>
  <c r="F317" i="3" a="1"/>
  <c r="F317" i="3"/>
  <c r="G317" i="3" a="1"/>
  <c r="G317" i="3"/>
  <c r="H317" i="3" a="1"/>
  <c r="H317" i="3"/>
  <c r="I317" i="3" a="1"/>
  <c r="I317" i="3" s="1"/>
  <c r="B318" i="3" a="1"/>
  <c r="B318" i="3" s="1"/>
  <c r="C318" i="3" a="1"/>
  <c r="C318" i="3"/>
  <c r="D318" i="3" a="1"/>
  <c r="D318" i="3"/>
  <c r="E318" i="3" a="1"/>
  <c r="E318" i="3" s="1"/>
  <c r="F318" i="3" a="1"/>
  <c r="F318" i="3"/>
  <c r="G318" i="3" a="1"/>
  <c r="G318" i="3" s="1"/>
  <c r="H318" i="3" a="1"/>
  <c r="H318" i="3" s="1"/>
  <c r="I318" i="3" a="1"/>
  <c r="I318" i="3" s="1"/>
  <c r="B319" i="3" a="1"/>
  <c r="B319" i="3" s="1"/>
  <c r="C319" i="3" a="1"/>
  <c r="C319" i="3"/>
  <c r="D319" i="3" a="1"/>
  <c r="D319" i="3"/>
  <c r="E319" i="3" a="1"/>
  <c r="E319" i="3" s="1"/>
  <c r="F319" i="3" a="1"/>
  <c r="F319" i="3" s="1"/>
  <c r="G319" i="3" a="1"/>
  <c r="G319" i="3" s="1"/>
  <c r="H319" i="3" a="1"/>
  <c r="H319" i="3"/>
  <c r="I319" i="3" a="1"/>
  <c r="I319" i="3"/>
  <c r="B320" i="3" a="1"/>
  <c r="B320" i="3" s="1"/>
  <c r="C320" i="3" a="1"/>
  <c r="C320" i="3" s="1"/>
  <c r="D320" i="3" a="1"/>
  <c r="D320" i="3"/>
  <c r="E320" i="3" a="1"/>
  <c r="E320" i="3" s="1"/>
  <c r="F320" i="3" a="1"/>
  <c r="F320" i="3" s="1"/>
  <c r="G320" i="3" a="1"/>
  <c r="G320" i="3" s="1"/>
  <c r="H320" i="3" a="1"/>
  <c r="H320" i="3"/>
  <c r="I320" i="3" a="1"/>
  <c r="I320" i="3" s="1"/>
  <c r="B321" i="3" a="1"/>
  <c r="B321" i="3"/>
  <c r="C321" i="3" a="1"/>
  <c r="C321" i="3" s="1"/>
  <c r="D321" i="3" a="1"/>
  <c r="D321" i="3" s="1"/>
  <c r="E321" i="3" a="1"/>
  <c r="E321" i="3"/>
  <c r="F321" i="3" a="1"/>
  <c r="F321" i="3"/>
  <c r="G321" i="3" a="1"/>
  <c r="G321" i="3" s="1"/>
  <c r="H321" i="3" a="1"/>
  <c r="H321" i="3"/>
  <c r="I321" i="3" a="1"/>
  <c r="I321" i="3"/>
  <c r="B322" i="3" a="1"/>
  <c r="B322" i="3" s="1"/>
  <c r="C322" i="3" a="1"/>
  <c r="C322" i="3" s="1"/>
  <c r="D322" i="3" a="1"/>
  <c r="D322" i="3" s="1"/>
  <c r="E322" i="3" a="1"/>
  <c r="E322" i="3" s="1"/>
  <c r="F322" i="3" a="1"/>
  <c r="F322" i="3" s="1"/>
  <c r="G322" i="3" a="1"/>
  <c r="G322" i="3"/>
  <c r="H322" i="3" a="1"/>
  <c r="H322" i="3" s="1"/>
  <c r="I322" i="3" a="1"/>
  <c r="I322" i="3" s="1"/>
  <c r="B323" i="3" a="1"/>
  <c r="B323" i="3"/>
  <c r="C323" i="3" a="1"/>
  <c r="C323" i="3" s="1"/>
  <c r="D323" i="3" a="1"/>
  <c r="D323" i="3"/>
  <c r="E323" i="3" a="1"/>
  <c r="E323" i="3"/>
  <c r="F323" i="3" a="1"/>
  <c r="F323" i="3"/>
  <c r="G323" i="3" a="1"/>
  <c r="G323" i="3" s="1"/>
  <c r="H323" i="3" a="1"/>
  <c r="H323" i="3" s="1"/>
  <c r="I323" i="3" a="1"/>
  <c r="I323" i="3" s="1"/>
  <c r="B324" i="3" a="1"/>
  <c r="B324" i="3"/>
  <c r="C324" i="3" a="1"/>
  <c r="C324" i="3" s="1"/>
  <c r="D324" i="3" a="1"/>
  <c r="D324" i="3"/>
  <c r="E324" i="3" a="1"/>
  <c r="E324" i="3" s="1"/>
  <c r="F324" i="3" a="1"/>
  <c r="F324" i="3" s="1"/>
  <c r="G324" i="3" a="1"/>
  <c r="G324" i="3" s="1"/>
  <c r="H324" i="3" a="1"/>
  <c r="H324" i="3" s="1"/>
  <c r="I324" i="3" a="1"/>
  <c r="I324" i="3"/>
  <c r="B325" i="3" a="1"/>
  <c r="B325" i="3"/>
  <c r="C325" i="3" a="1"/>
  <c r="C325" i="3"/>
  <c r="D325" i="3" a="1"/>
  <c r="D325" i="3" s="1"/>
  <c r="E325" i="3" a="1"/>
  <c r="E325" i="3" s="1"/>
  <c r="F325" i="3" a="1"/>
  <c r="F325" i="3"/>
  <c r="G325" i="3" a="1"/>
  <c r="G325" i="3"/>
  <c r="H325" i="3" a="1"/>
  <c r="H325" i="3" s="1"/>
  <c r="I325" i="3" a="1"/>
  <c r="I325" i="3"/>
  <c r="B326" i="3" a="1"/>
  <c r="B326" i="3" s="1"/>
  <c r="C326" i="3" a="1"/>
  <c r="C326" i="3" s="1"/>
  <c r="D326" i="3" a="1"/>
  <c r="D326" i="3" s="1"/>
  <c r="E326" i="3" a="1"/>
  <c r="E326" i="3" s="1"/>
  <c r="F326" i="3" a="1"/>
  <c r="F326" i="3"/>
  <c r="G326" i="3" a="1"/>
  <c r="G326" i="3"/>
  <c r="H326" i="3" a="1"/>
  <c r="H326" i="3"/>
  <c r="I326" i="3" a="1"/>
  <c r="I326" i="3" s="1"/>
  <c r="B327" i="3" a="1"/>
  <c r="B327" i="3"/>
  <c r="C327" i="3" a="1"/>
  <c r="C327" i="3"/>
  <c r="D327" i="3" a="1"/>
  <c r="D327" i="3"/>
  <c r="E327" i="3" a="1"/>
  <c r="E327" i="3" s="1"/>
  <c r="F327" i="3" a="1"/>
  <c r="F327" i="3"/>
  <c r="G327" i="3" a="1"/>
  <c r="G327" i="3" s="1"/>
  <c r="H327" i="3" a="1"/>
  <c r="H327" i="3" s="1"/>
  <c r="I327" i="3" a="1"/>
  <c r="I327" i="3" s="1"/>
  <c r="B328" i="3" a="1"/>
  <c r="B328" i="3" s="1"/>
  <c r="C328" i="3" a="1"/>
  <c r="C328" i="3"/>
  <c r="D328" i="3" a="1"/>
  <c r="D328" i="3"/>
  <c r="E328" i="3" a="1"/>
  <c r="E328" i="3" s="1"/>
  <c r="F328" i="3" a="1"/>
  <c r="F328" i="3" s="1"/>
  <c r="G328" i="3" a="1"/>
  <c r="G328" i="3"/>
  <c r="H328" i="3" a="1"/>
  <c r="H328" i="3"/>
  <c r="I328" i="3" a="1"/>
  <c r="I328" i="3"/>
  <c r="B329" i="3" a="1"/>
  <c r="B329" i="3" s="1"/>
  <c r="C329" i="3" a="1"/>
  <c r="C329" i="3" s="1"/>
  <c r="D329" i="3" a="1"/>
  <c r="D329" i="3"/>
  <c r="E329" i="3" a="1"/>
  <c r="E329" i="3" s="1"/>
  <c r="F329" i="3" a="1"/>
  <c r="F329" i="3" s="1"/>
  <c r="G329" i="3" a="1"/>
  <c r="G329" i="3" s="1"/>
  <c r="H329" i="3" a="1"/>
  <c r="H329" i="3"/>
  <c r="I329" i="3" a="1"/>
  <c r="I329" i="3" s="1"/>
  <c r="B330" i="3" a="1"/>
  <c r="B330" i="3"/>
  <c r="C330" i="3" a="1"/>
  <c r="C330" i="3" s="1"/>
  <c r="D330" i="3" a="1"/>
  <c r="D330" i="3"/>
  <c r="E330" i="3" a="1"/>
  <c r="E330" i="3"/>
  <c r="F330" i="3" a="1"/>
  <c r="F330" i="3"/>
  <c r="G330" i="3" a="1"/>
  <c r="G330" i="3" s="1"/>
  <c r="H330" i="3" a="1"/>
  <c r="H330" i="3"/>
  <c r="I330" i="3" a="1"/>
  <c r="I330" i="3"/>
  <c r="B331" i="3" a="1"/>
  <c r="B331" i="3" s="1"/>
  <c r="C331" i="3" a="1"/>
  <c r="C331" i="3" s="1"/>
  <c r="D331" i="3" a="1"/>
  <c r="D331" i="3" s="1"/>
  <c r="E331" i="3" a="1"/>
  <c r="E331" i="3" s="1"/>
  <c r="F331" i="3" a="1"/>
  <c r="F331" i="3" s="1"/>
  <c r="G331" i="3" a="1"/>
  <c r="G331" i="3"/>
  <c r="H331" i="3" a="1"/>
  <c r="H331" i="3" s="1"/>
  <c r="I331" i="3" a="1"/>
  <c r="I331" i="3" s="1"/>
  <c r="B332" i="3" a="1"/>
  <c r="B332" i="3"/>
  <c r="C332" i="3" a="1"/>
  <c r="C332" i="3" s="1"/>
  <c r="D332" i="3" a="1"/>
  <c r="D332" i="3"/>
  <c r="E332" i="3" a="1"/>
  <c r="E332" i="3"/>
  <c r="F332" i="3" a="1"/>
  <c r="F332" i="3"/>
  <c r="G332" i="3" a="1"/>
  <c r="G332" i="3" s="1"/>
  <c r="H332" i="3" a="1"/>
  <c r="H332" i="3" s="1"/>
  <c r="I332" i="3" a="1"/>
  <c r="I332" i="3" s="1"/>
  <c r="B333" i="3" a="1"/>
  <c r="B333" i="3"/>
  <c r="C333" i="3" a="1"/>
  <c r="C333" i="3" s="1"/>
  <c r="D333" i="3" a="1"/>
  <c r="D333" i="3"/>
  <c r="E333" i="3" a="1"/>
  <c r="E333" i="3" s="1"/>
  <c r="F333" i="3" a="1"/>
  <c r="F333" i="3"/>
  <c r="G333" i="3" a="1"/>
  <c r="G333" i="3" s="1"/>
  <c r="H333" i="3" a="1"/>
  <c r="H333" i="3" s="1"/>
  <c r="I333" i="3" a="1"/>
  <c r="I333" i="3"/>
  <c r="B334" i="3" a="1"/>
  <c r="B334" i="3"/>
  <c r="C334" i="3" a="1"/>
  <c r="C334" i="3"/>
  <c r="D334" i="3" a="1"/>
  <c r="D334" i="3" s="1"/>
  <c r="E334" i="3" a="1"/>
  <c r="E334" i="3" s="1"/>
  <c r="F334" i="3" a="1"/>
  <c r="F334" i="3"/>
  <c r="G334" i="3" a="1"/>
  <c r="G334" i="3"/>
  <c r="H334" i="3" a="1"/>
  <c r="H334" i="3" s="1"/>
  <c r="I334" i="3" a="1"/>
  <c r="I334" i="3"/>
  <c r="B335" i="3" a="1"/>
  <c r="B335" i="3" s="1"/>
  <c r="C335" i="3" a="1"/>
  <c r="C335" i="3" s="1"/>
  <c r="D335" i="3" a="1"/>
  <c r="D335" i="3" s="1"/>
  <c r="E335" i="3" a="1"/>
  <c r="E335" i="3" s="1"/>
  <c r="F335" i="3" a="1"/>
  <c r="F335" i="3"/>
  <c r="G335" i="3" a="1"/>
  <c r="G335" i="3"/>
  <c r="H335" i="3" a="1"/>
  <c r="H335" i="3"/>
  <c r="I335" i="3" a="1"/>
  <c r="I335" i="3" s="1"/>
  <c r="B336" i="3" a="1"/>
  <c r="B336" i="3"/>
  <c r="C336" i="3" a="1"/>
  <c r="C336" i="3"/>
  <c r="D336" i="3" a="1"/>
  <c r="D336" i="3"/>
  <c r="E336" i="3" a="1"/>
  <c r="E336" i="3" s="1"/>
  <c r="F336" i="3" a="1"/>
  <c r="F336" i="3"/>
  <c r="G336" i="3" a="1"/>
  <c r="G336" i="3" s="1"/>
  <c r="H336" i="3" a="1"/>
  <c r="H336" i="3" s="1"/>
  <c r="I336" i="3" a="1"/>
  <c r="I336" i="3" s="1"/>
  <c r="B337" i="3" a="1"/>
  <c r="B337" i="3" s="1"/>
  <c r="C337" i="3" a="1"/>
  <c r="C337" i="3"/>
  <c r="D337" i="3" a="1"/>
  <c r="D337" i="3"/>
  <c r="E337" i="3" a="1"/>
  <c r="E337" i="3" s="1"/>
  <c r="F337" i="3" a="1"/>
  <c r="F337" i="3" s="1"/>
  <c r="G337" i="3" a="1"/>
  <c r="G337" i="3"/>
  <c r="H337" i="3" a="1"/>
  <c r="H337" i="3"/>
  <c r="I337" i="3" a="1"/>
  <c r="I337" i="3"/>
  <c r="B338" i="3" a="1"/>
  <c r="B338" i="3" s="1"/>
  <c r="C338" i="3" a="1"/>
  <c r="C338" i="3" s="1"/>
  <c r="D338" i="3" a="1"/>
  <c r="D338" i="3"/>
  <c r="E338" i="3" a="1"/>
  <c r="E338" i="3" s="1"/>
  <c r="F338" i="3" a="1"/>
  <c r="F338" i="3" s="1"/>
  <c r="G338" i="3" a="1"/>
  <c r="G338" i="3" s="1"/>
  <c r="H338" i="3" a="1"/>
  <c r="H338" i="3"/>
  <c r="I338" i="3" a="1"/>
  <c r="I338" i="3" s="1"/>
  <c r="B339" i="3" a="1"/>
  <c r="B339" i="3"/>
  <c r="C339" i="3" a="1"/>
  <c r="C339" i="3" s="1"/>
  <c r="D339" i="3" a="1"/>
  <c r="D339" i="3"/>
  <c r="E339" i="3" a="1"/>
  <c r="E339" i="3"/>
  <c r="F339" i="3" a="1"/>
  <c r="F339" i="3"/>
  <c r="G339" i="3" a="1"/>
  <c r="G339" i="3" s="1"/>
  <c r="H339" i="3" a="1"/>
  <c r="H339" i="3"/>
  <c r="I339" i="3" a="1"/>
  <c r="I339" i="3"/>
  <c r="B340" i="3" a="1"/>
  <c r="B340" i="3" s="1"/>
  <c r="C340" i="3" a="1"/>
  <c r="C340" i="3" s="1"/>
  <c r="D340" i="3" a="1"/>
  <c r="D340" i="3" s="1"/>
  <c r="E340" i="3" a="1"/>
  <c r="E340" i="3" s="1"/>
  <c r="F340" i="3" a="1"/>
  <c r="F340" i="3" s="1"/>
  <c r="G340" i="3" a="1"/>
  <c r="G340" i="3"/>
  <c r="H340" i="3" a="1"/>
  <c r="H340" i="3" s="1"/>
  <c r="I340" i="3" a="1"/>
  <c r="I340" i="3" s="1"/>
  <c r="B341" i="3" a="1"/>
  <c r="B341" i="3"/>
  <c r="C341" i="3" a="1"/>
  <c r="C341" i="3" s="1"/>
  <c r="D341" i="3" a="1"/>
  <c r="D341" i="3"/>
  <c r="E341" i="3" a="1"/>
  <c r="E341" i="3"/>
  <c r="F341" i="3" a="1"/>
  <c r="F341" i="3"/>
  <c r="G341" i="3" a="1"/>
  <c r="G341" i="3" s="1"/>
  <c r="H341" i="3" a="1"/>
  <c r="H341" i="3" s="1"/>
  <c r="I341" i="3" a="1"/>
  <c r="I341" i="3" s="1"/>
  <c r="B342" i="3" a="1"/>
  <c r="B342" i="3"/>
  <c r="C342" i="3" a="1"/>
  <c r="C342" i="3" s="1"/>
  <c r="D342" i="3" a="1"/>
  <c r="D342" i="3"/>
  <c r="E342" i="3" a="1"/>
  <c r="E342" i="3" s="1"/>
  <c r="F342" i="3" a="1"/>
  <c r="F342" i="3" s="1"/>
  <c r="G342" i="3" a="1"/>
  <c r="G342" i="3" s="1"/>
  <c r="H342" i="3" a="1"/>
  <c r="H342" i="3" s="1"/>
  <c r="I342" i="3" a="1"/>
  <c r="I342" i="3"/>
  <c r="B343" i="3" a="1"/>
  <c r="B343" i="3"/>
  <c r="C343" i="3" a="1"/>
  <c r="C343" i="3"/>
  <c r="D343" i="3" a="1"/>
  <c r="D343" i="3" s="1"/>
  <c r="E343" i="3" a="1"/>
  <c r="E343" i="3" s="1"/>
  <c r="F343" i="3" a="1"/>
  <c r="F343" i="3"/>
  <c r="G343" i="3" a="1"/>
  <c r="G343" i="3"/>
  <c r="H343" i="3" a="1"/>
  <c r="H343" i="3" s="1"/>
  <c r="I343" i="3" a="1"/>
  <c r="I343" i="3"/>
  <c r="B344" i="3" a="1"/>
  <c r="B344" i="3" s="1"/>
  <c r="C344" i="3" a="1"/>
  <c r="C344" i="3" s="1"/>
  <c r="D344" i="3" a="1"/>
  <c r="D344" i="3" s="1"/>
  <c r="E344" i="3" a="1"/>
  <c r="E344" i="3" s="1"/>
  <c r="F344" i="3" a="1"/>
  <c r="F344" i="3"/>
  <c r="G344" i="3" a="1"/>
  <c r="G344" i="3"/>
  <c r="H344" i="3" a="1"/>
  <c r="H344" i="3"/>
  <c r="I344" i="3" a="1"/>
  <c r="I344" i="3" s="1"/>
  <c r="B345" i="3" a="1"/>
  <c r="B345" i="3"/>
  <c r="C345" i="3" a="1"/>
  <c r="C345" i="3"/>
  <c r="D345" i="3" a="1"/>
  <c r="D345" i="3"/>
  <c r="E345" i="3" a="1"/>
  <c r="E345" i="3" s="1"/>
  <c r="F345" i="3" a="1"/>
  <c r="F345" i="3"/>
  <c r="G345" i="3" a="1"/>
  <c r="G345" i="3" s="1"/>
  <c r="H345" i="3" a="1"/>
  <c r="H345" i="3" s="1"/>
  <c r="I345" i="3" a="1"/>
  <c r="I345" i="3" s="1"/>
  <c r="B346" i="3" a="1"/>
  <c r="B346" i="3" s="1"/>
  <c r="C346" i="3" a="1"/>
  <c r="C346" i="3"/>
  <c r="D346" i="3" a="1"/>
  <c r="D346" i="3"/>
  <c r="E346" i="3" a="1"/>
  <c r="E346" i="3" s="1"/>
  <c r="F346" i="3" a="1"/>
  <c r="F346" i="3" s="1"/>
  <c r="G346" i="3" a="1"/>
  <c r="G346" i="3"/>
  <c r="H346" i="3" a="1"/>
  <c r="H346" i="3"/>
  <c r="I346" i="3" a="1"/>
  <c r="I346" i="3"/>
  <c r="B347" i="3" a="1"/>
  <c r="B347" i="3" s="1"/>
  <c r="C347" i="3" a="1"/>
  <c r="C347" i="3" s="1"/>
  <c r="D347" i="3" a="1"/>
  <c r="D347" i="3"/>
  <c r="E347" i="3" a="1"/>
  <c r="E347" i="3" s="1"/>
  <c r="F347" i="3" a="1"/>
  <c r="F347" i="3" s="1"/>
  <c r="G347" i="3" a="1"/>
  <c r="G347" i="3" s="1"/>
  <c r="H347" i="3" a="1"/>
  <c r="H347" i="3"/>
  <c r="I347" i="3" a="1"/>
  <c r="I347" i="3" s="1"/>
  <c r="B348" i="3" a="1"/>
  <c r="B348" i="3"/>
  <c r="C348" i="3" a="1"/>
  <c r="C348" i="3" s="1"/>
  <c r="D348" i="3" a="1"/>
  <c r="D348" i="3"/>
  <c r="E348" i="3" a="1"/>
  <c r="E348" i="3"/>
  <c r="F348" i="3" a="1"/>
  <c r="F348" i="3"/>
  <c r="G348" i="3" a="1"/>
  <c r="G348" i="3" s="1"/>
  <c r="H348" i="3" a="1"/>
  <c r="H348" i="3"/>
  <c r="I348" i="3" a="1"/>
  <c r="I348" i="3"/>
  <c r="B349" i="3" a="1"/>
  <c r="B349" i="3" s="1"/>
  <c r="C349" i="3" a="1"/>
  <c r="C349" i="3" s="1"/>
  <c r="D349" i="3" a="1"/>
  <c r="D349" i="3" s="1"/>
  <c r="E349" i="3" a="1"/>
  <c r="E349" i="3" s="1"/>
  <c r="F349" i="3" a="1"/>
  <c r="F349" i="3" s="1"/>
  <c r="G349" i="3" a="1"/>
  <c r="G349" i="3"/>
  <c r="H349" i="3" a="1"/>
  <c r="H349" i="3" s="1"/>
  <c r="I349" i="3" a="1"/>
  <c r="I349" i="3"/>
  <c r="B350" i="3" a="1"/>
  <c r="B350" i="3"/>
  <c r="C350" i="3" a="1"/>
  <c r="C350" i="3" s="1"/>
  <c r="D350" i="3" a="1"/>
  <c r="D350" i="3"/>
  <c r="E350" i="3" a="1"/>
  <c r="E350" i="3"/>
  <c r="F350" i="3" a="1"/>
  <c r="F350" i="3"/>
  <c r="G350" i="3" a="1"/>
  <c r="G350" i="3" s="1"/>
  <c r="H350" i="3" a="1"/>
  <c r="H350" i="3" s="1"/>
  <c r="I350" i="3" a="1"/>
  <c r="I350" i="3" s="1"/>
  <c r="B351" i="3" a="1"/>
  <c r="B351" i="3"/>
  <c r="C351" i="3" a="1"/>
  <c r="C351" i="3" s="1"/>
  <c r="D351" i="3" a="1"/>
  <c r="D351" i="3"/>
  <c r="E351" i="3" a="1"/>
  <c r="E351" i="3" s="1"/>
  <c r="F351" i="3" a="1"/>
  <c r="F351" i="3"/>
  <c r="G351" i="3" a="1"/>
  <c r="G351" i="3" s="1"/>
  <c r="H351" i="3" a="1"/>
  <c r="H351" i="3" s="1"/>
  <c r="I351" i="3" a="1"/>
  <c r="I351" i="3"/>
  <c r="B352" i="3" a="1"/>
  <c r="B352" i="3"/>
  <c r="C352" i="3" a="1"/>
  <c r="C352" i="3"/>
  <c r="D352" i="3" a="1"/>
  <c r="D352" i="3" s="1"/>
  <c r="E352" i="3" a="1"/>
  <c r="E352" i="3" s="1"/>
  <c r="F352" i="3" a="1"/>
  <c r="F352" i="3"/>
  <c r="G352" i="3" a="1"/>
  <c r="G352" i="3"/>
  <c r="H352" i="3" a="1"/>
  <c r="H352" i="3" s="1"/>
  <c r="I352" i="3" a="1"/>
  <c r="I352" i="3"/>
  <c r="B353" i="3" a="1"/>
  <c r="B353" i="3" s="1"/>
  <c r="C353" i="3" a="1"/>
  <c r="C353" i="3" s="1"/>
  <c r="D353" i="3" a="1"/>
  <c r="D353" i="3" s="1"/>
  <c r="E353" i="3" a="1"/>
  <c r="E353" i="3" s="1"/>
  <c r="F353" i="3" a="1"/>
  <c r="F353" i="3"/>
  <c r="G353" i="3" a="1"/>
  <c r="G353" i="3"/>
  <c r="H353" i="3" a="1"/>
  <c r="H353" i="3"/>
  <c r="I353" i="3" a="1"/>
  <c r="I353" i="3" s="1"/>
  <c r="B354" i="3" a="1"/>
  <c r="B354" i="3"/>
  <c r="C354" i="3" a="1"/>
  <c r="C354" i="3"/>
  <c r="D354" i="3" a="1"/>
  <c r="D354" i="3"/>
  <c r="E354" i="3" a="1"/>
  <c r="E354" i="3" s="1"/>
  <c r="F354" i="3" a="1"/>
  <c r="F354" i="3"/>
  <c r="G354" i="3" a="1"/>
  <c r="G354" i="3" s="1"/>
  <c r="H354" i="3" a="1"/>
  <c r="H354" i="3" s="1"/>
  <c r="I354" i="3" a="1"/>
  <c r="I354" i="3" s="1"/>
  <c r="B355" i="3" a="1"/>
  <c r="B355" i="3" s="1"/>
  <c r="C355" i="3" a="1"/>
  <c r="C355" i="3"/>
  <c r="D355" i="3" a="1"/>
  <c r="D355" i="3"/>
  <c r="E355" i="3" a="1"/>
  <c r="E355" i="3" s="1"/>
  <c r="F355" i="3" a="1"/>
  <c r="F355" i="3" s="1"/>
  <c r="G355" i="3" a="1"/>
  <c r="G355" i="3"/>
  <c r="H355" i="3" a="1"/>
  <c r="H355" i="3"/>
  <c r="I355" i="3" a="1"/>
  <c r="I355" i="3"/>
  <c r="B356" i="3" a="1"/>
  <c r="B356" i="3" s="1"/>
  <c r="C356" i="3" a="1"/>
  <c r="C356" i="3" s="1"/>
  <c r="D356" i="3" a="1"/>
  <c r="D356" i="3"/>
  <c r="E356" i="3" a="1"/>
  <c r="E356" i="3" s="1"/>
  <c r="F356" i="3" a="1"/>
  <c r="F356" i="3" s="1"/>
  <c r="G356" i="3" a="1"/>
  <c r="G356" i="3" s="1"/>
  <c r="H356" i="3" a="1"/>
  <c r="H356" i="3"/>
  <c r="I356" i="3" a="1"/>
  <c r="I356" i="3" s="1"/>
  <c r="B357" i="3" a="1"/>
  <c r="B357" i="3"/>
  <c r="C357" i="3" a="1"/>
  <c r="C357" i="3" s="1"/>
  <c r="D357" i="3" a="1"/>
  <c r="D357" i="3"/>
  <c r="E357" i="3" a="1"/>
  <c r="E357" i="3"/>
  <c r="F357" i="3" a="1"/>
  <c r="F357" i="3"/>
  <c r="G357" i="3" a="1"/>
  <c r="G357" i="3" s="1"/>
  <c r="H357" i="3" a="1"/>
  <c r="H357" i="3"/>
  <c r="I357" i="3" a="1"/>
  <c r="I357" i="3"/>
  <c r="B358" i="3" a="1"/>
  <c r="B358" i="3" s="1"/>
  <c r="C358" i="3" a="1"/>
  <c r="C358" i="3" s="1"/>
  <c r="D358" i="3" a="1"/>
  <c r="D358" i="3" s="1"/>
  <c r="E358" i="3" a="1"/>
  <c r="E358" i="3" s="1"/>
  <c r="F358" i="3" a="1"/>
  <c r="F358" i="3" s="1"/>
  <c r="G358" i="3" a="1"/>
  <c r="G358" i="3"/>
  <c r="H358" i="3" a="1"/>
  <c r="H358" i="3" s="1"/>
  <c r="I358" i="3" a="1"/>
  <c r="I358" i="3"/>
  <c r="B359" i="3" a="1"/>
  <c r="B359" i="3"/>
  <c r="C359" i="3" a="1"/>
  <c r="C359" i="3" s="1"/>
  <c r="D359" i="3" a="1"/>
  <c r="D359" i="3"/>
  <c r="E359" i="3" a="1"/>
  <c r="E359" i="3"/>
  <c r="F359" i="3" a="1"/>
  <c r="F359" i="3"/>
  <c r="G359" i="3" a="1"/>
  <c r="G359" i="3" s="1"/>
  <c r="H359" i="3" a="1"/>
  <c r="H359" i="3" s="1"/>
  <c r="I359" i="3" a="1"/>
  <c r="I359" i="3" s="1"/>
  <c r="B360" i="3" a="1"/>
  <c r="B360" i="3"/>
  <c r="C360" i="3" a="1"/>
  <c r="C360" i="3" s="1"/>
  <c r="D360" i="3" a="1"/>
  <c r="D360" i="3"/>
  <c r="E360" i="3" a="1"/>
  <c r="E360" i="3" s="1"/>
  <c r="F360" i="3" a="1"/>
  <c r="F360" i="3"/>
  <c r="G360" i="3" a="1"/>
  <c r="G360" i="3" s="1"/>
  <c r="H360" i="3" a="1"/>
  <c r="H360" i="3" s="1"/>
  <c r="I360" i="3" a="1"/>
  <c r="I360" i="3"/>
  <c r="B361" i="3" a="1"/>
  <c r="B361" i="3"/>
  <c r="C361" i="3" a="1"/>
  <c r="C361" i="3"/>
  <c r="D361" i="3" a="1"/>
  <c r="D361" i="3" s="1"/>
  <c r="E361" i="3" a="1"/>
  <c r="E361" i="3" s="1"/>
  <c r="F361" i="3" a="1"/>
  <c r="F361" i="3"/>
  <c r="G361" i="3" a="1"/>
  <c r="G361" i="3"/>
  <c r="H361" i="3" a="1"/>
  <c r="H361" i="3" s="1"/>
  <c r="I361" i="3" a="1"/>
  <c r="I361" i="3"/>
  <c r="B362" i="3" a="1"/>
  <c r="B362" i="3" s="1"/>
  <c r="C362" i="3" a="1"/>
  <c r="C362" i="3" s="1"/>
  <c r="D362" i="3" a="1"/>
  <c r="D362" i="3" s="1"/>
  <c r="E362" i="3" a="1"/>
  <c r="E362" i="3" s="1"/>
  <c r="F362" i="3" a="1"/>
  <c r="F362" i="3"/>
  <c r="G362" i="3" a="1"/>
  <c r="G362" i="3"/>
  <c r="H362" i="3" a="1"/>
  <c r="H362" i="3"/>
  <c r="I362" i="3" a="1"/>
  <c r="I362" i="3" s="1"/>
  <c r="B363" i="3" a="1"/>
  <c r="B363" i="3"/>
  <c r="C363" i="3" a="1"/>
  <c r="C363" i="3"/>
  <c r="D363" i="3" a="1"/>
  <c r="D363" i="3"/>
  <c r="E363" i="3" a="1"/>
  <c r="E363" i="3" s="1"/>
  <c r="F363" i="3" a="1"/>
  <c r="F363" i="3"/>
  <c r="G363" i="3" a="1"/>
  <c r="G363" i="3" s="1"/>
  <c r="H363" i="3" a="1"/>
  <c r="H363" i="3" s="1"/>
  <c r="I363" i="3" a="1"/>
  <c r="I363" i="3" s="1"/>
  <c r="B364" i="3" a="1"/>
  <c r="B364" i="3" s="1"/>
  <c r="C364" i="3" a="1"/>
  <c r="C364" i="3"/>
  <c r="D364" i="3" a="1"/>
  <c r="D364" i="3"/>
  <c r="E364" i="3" a="1"/>
  <c r="E364" i="3" s="1"/>
  <c r="F364" i="3" a="1"/>
  <c r="F364" i="3" s="1"/>
  <c r="G364" i="3" a="1"/>
  <c r="G364" i="3"/>
  <c r="H364" i="3" a="1"/>
  <c r="H364" i="3"/>
  <c r="I364" i="3" a="1"/>
  <c r="I364" i="3"/>
  <c r="B365" i="3" a="1"/>
  <c r="B365" i="3" s="1"/>
  <c r="C365" i="3" a="1"/>
  <c r="C365" i="3" s="1"/>
  <c r="D365" i="3" a="1"/>
  <c r="D365" i="3"/>
  <c r="E365" i="3" a="1"/>
  <c r="E365" i="3" s="1"/>
  <c r="F365" i="3" a="1"/>
  <c r="F365" i="3" s="1"/>
  <c r="G365" i="3" a="1"/>
  <c r="G365" i="3" s="1"/>
  <c r="H365" i="3" a="1"/>
  <c r="H365" i="3"/>
  <c r="I365" i="3" a="1"/>
  <c r="I365" i="3" s="1"/>
  <c r="B366" i="3" a="1"/>
  <c r="B366" i="3"/>
  <c r="C366" i="3" a="1"/>
  <c r="C366" i="3" s="1"/>
  <c r="D366" i="3" a="1"/>
  <c r="D366" i="3"/>
  <c r="E366" i="3" a="1"/>
  <c r="E366" i="3"/>
  <c r="F366" i="3" a="1"/>
  <c r="F366" i="3"/>
  <c r="G366" i="3" a="1"/>
  <c r="G366" i="3" s="1"/>
  <c r="H366" i="3" a="1"/>
  <c r="H366" i="3"/>
  <c r="I366" i="3" a="1"/>
  <c r="I366" i="3"/>
  <c r="B367" i="3" a="1"/>
  <c r="B367" i="3" s="1"/>
  <c r="C367" i="3" a="1"/>
  <c r="C367" i="3" s="1"/>
  <c r="D367" i="3" a="1"/>
  <c r="D367" i="3" s="1"/>
  <c r="E367" i="3" a="1"/>
  <c r="E367" i="3" s="1"/>
  <c r="F367" i="3" a="1"/>
  <c r="F367" i="3" s="1"/>
  <c r="G367" i="3" a="1"/>
  <c r="G367" i="3"/>
  <c r="H367" i="3" a="1"/>
  <c r="H367" i="3" s="1"/>
  <c r="I367" i="3" a="1"/>
  <c r="I367" i="3"/>
  <c r="B368" i="3" a="1"/>
  <c r="B368" i="3"/>
  <c r="C368" i="3" a="1"/>
  <c r="C368" i="3" s="1"/>
  <c r="D368" i="3" a="1"/>
  <c r="D368" i="3"/>
  <c r="E368" i="3" a="1"/>
  <c r="E368" i="3"/>
  <c r="F368" i="3" a="1"/>
  <c r="F368" i="3"/>
  <c r="G368" i="3" a="1"/>
  <c r="G368" i="3" s="1"/>
  <c r="H368" i="3" a="1"/>
  <c r="H368" i="3" s="1"/>
  <c r="I368" i="3" a="1"/>
  <c r="I368" i="3" s="1"/>
  <c r="B369" i="3" a="1"/>
  <c r="B369" i="3"/>
  <c r="C369" i="3" a="1"/>
  <c r="C369" i="3" s="1"/>
  <c r="D369" i="3" a="1"/>
  <c r="D369" i="3"/>
  <c r="E369" i="3" a="1"/>
  <c r="E369" i="3" s="1"/>
  <c r="F369" i="3" a="1"/>
  <c r="F369" i="3"/>
  <c r="G369" i="3" a="1"/>
  <c r="G369" i="3" s="1"/>
  <c r="H369" i="3" a="1"/>
  <c r="H369" i="3" s="1"/>
  <c r="I369" i="3" a="1"/>
  <c r="I369" i="3"/>
  <c r="B370" i="3" a="1"/>
  <c r="B370" i="3"/>
  <c r="C370" i="3" a="1"/>
  <c r="C370" i="3"/>
  <c r="D370" i="3" a="1"/>
  <c r="D370" i="3" s="1"/>
  <c r="E370" i="3" a="1"/>
  <c r="E370" i="3" s="1"/>
  <c r="F370" i="3" a="1"/>
  <c r="F370" i="3"/>
  <c r="G370" i="3" a="1"/>
  <c r="G370" i="3"/>
  <c r="H370" i="3" a="1"/>
  <c r="H370" i="3" s="1"/>
  <c r="I370" i="3" a="1"/>
  <c r="I370" i="3"/>
  <c r="B371" i="3" a="1"/>
  <c r="B371" i="3" s="1"/>
  <c r="C371" i="3" a="1"/>
  <c r="C371" i="3" s="1"/>
  <c r="D371" i="3" a="1"/>
  <c r="D371" i="3" s="1"/>
  <c r="E371" i="3" a="1"/>
  <c r="E371" i="3" s="1"/>
  <c r="F371" i="3" a="1"/>
  <c r="F371" i="3"/>
  <c r="G371" i="3" a="1"/>
  <c r="G371" i="3"/>
  <c r="H371" i="3" a="1"/>
  <c r="H371" i="3"/>
  <c r="I371" i="3" a="1"/>
  <c r="I371" i="3" s="1"/>
  <c r="B372" i="3" a="1"/>
  <c r="B372" i="3"/>
  <c r="C372" i="3" a="1"/>
  <c r="C372" i="3"/>
  <c r="D372" i="3" a="1"/>
  <c r="D372" i="3"/>
  <c r="E372" i="3" a="1"/>
  <c r="E372" i="3" s="1"/>
  <c r="F372" i="3" a="1"/>
  <c r="F372" i="3"/>
  <c r="G372" i="3" a="1"/>
  <c r="G372" i="3" s="1"/>
  <c r="H372" i="3" a="1"/>
  <c r="H372" i="3" s="1"/>
  <c r="I372" i="3" a="1"/>
  <c r="I372" i="3" s="1"/>
  <c r="B373" i="3" a="1"/>
  <c r="B373" i="3" s="1"/>
  <c r="C373" i="3" a="1"/>
  <c r="C373" i="3"/>
  <c r="D373" i="3" a="1"/>
  <c r="D373" i="3"/>
  <c r="E373" i="3" a="1"/>
  <c r="E373" i="3" s="1"/>
  <c r="F373" i="3" a="1"/>
  <c r="F373" i="3" s="1"/>
  <c r="G373" i="3" a="1"/>
  <c r="G373" i="3"/>
  <c r="H373" i="3" a="1"/>
  <c r="H373" i="3"/>
  <c r="I373" i="3" a="1"/>
  <c r="I373" i="3"/>
  <c r="B374" i="3" a="1"/>
  <c r="B374" i="3" s="1"/>
  <c r="C374" i="3" a="1"/>
  <c r="C374" i="3" s="1"/>
  <c r="D374" i="3" a="1"/>
  <c r="D374" i="3"/>
  <c r="E374" i="3" a="1"/>
  <c r="E374" i="3" s="1"/>
  <c r="F374" i="3" a="1"/>
  <c r="F374" i="3" s="1"/>
  <c r="G374" i="3" a="1"/>
  <c r="G374" i="3" s="1"/>
  <c r="H374" i="3" a="1"/>
  <c r="H374" i="3"/>
  <c r="I374" i="3" a="1"/>
  <c r="I374" i="3" s="1"/>
  <c r="B375" i="3" a="1"/>
  <c r="B375" i="3"/>
  <c r="C375" i="3" a="1"/>
  <c r="C375" i="3" s="1"/>
  <c r="D375" i="3" a="1"/>
  <c r="D375" i="3"/>
  <c r="E375" i="3" a="1"/>
  <c r="E375" i="3"/>
  <c r="F375" i="3" a="1"/>
  <c r="F375" i="3"/>
  <c r="G375" i="3" a="1"/>
  <c r="G375" i="3" s="1"/>
  <c r="H375" i="3" a="1"/>
  <c r="H375" i="3"/>
  <c r="I375" i="3" a="1"/>
  <c r="I375" i="3"/>
  <c r="B376" i="3" a="1"/>
  <c r="B376" i="3" s="1"/>
  <c r="C376" i="3" a="1"/>
  <c r="C376" i="3" s="1"/>
  <c r="D376" i="3" a="1"/>
  <c r="D376" i="3" s="1"/>
  <c r="E376" i="3" a="1"/>
  <c r="E376" i="3" s="1"/>
  <c r="F376" i="3" a="1"/>
  <c r="F376" i="3" s="1"/>
  <c r="G376" i="3" a="1"/>
  <c r="G376" i="3"/>
  <c r="H376" i="3" a="1"/>
  <c r="H376" i="3" s="1"/>
  <c r="I376" i="3" a="1"/>
  <c r="I376" i="3"/>
  <c r="B377" i="3" a="1"/>
  <c r="B377" i="3"/>
  <c r="C377" i="3" a="1"/>
  <c r="C377" i="3" s="1"/>
  <c r="D377" i="3" a="1"/>
  <c r="D377" i="3"/>
  <c r="E377" i="3" a="1"/>
  <c r="E377" i="3"/>
  <c r="F377" i="3" a="1"/>
  <c r="F377" i="3"/>
  <c r="G377" i="3" a="1"/>
  <c r="G377" i="3" s="1"/>
  <c r="H377" i="3" a="1"/>
  <c r="H377" i="3" s="1"/>
  <c r="I377" i="3" a="1"/>
  <c r="I377" i="3" s="1"/>
  <c r="B378" i="3" a="1"/>
  <c r="B378" i="3"/>
  <c r="C378" i="3" a="1"/>
  <c r="C378" i="3" s="1"/>
  <c r="D378" i="3" a="1"/>
  <c r="D378" i="3"/>
  <c r="E378" i="3" a="1"/>
  <c r="E378" i="3" s="1"/>
  <c r="F378" i="3" a="1"/>
  <c r="F378" i="3"/>
  <c r="G378" i="3" a="1"/>
  <c r="G378" i="3" s="1"/>
  <c r="H378" i="3" a="1"/>
  <c r="H378" i="3" s="1"/>
  <c r="I378" i="3" a="1"/>
  <c r="I378" i="3"/>
  <c r="B379" i="3" a="1"/>
  <c r="B379" i="3"/>
  <c r="C379" i="3" a="1"/>
  <c r="C379" i="3"/>
  <c r="D379" i="3" a="1"/>
  <c r="D379" i="3" s="1"/>
  <c r="E379" i="3" a="1"/>
  <c r="E379" i="3" s="1"/>
  <c r="F379" i="3" a="1"/>
  <c r="F379" i="3"/>
  <c r="G379" i="3" a="1"/>
  <c r="G379" i="3"/>
  <c r="H379" i="3" a="1"/>
  <c r="H379" i="3" s="1"/>
  <c r="I379" i="3" a="1"/>
  <c r="I379" i="3"/>
  <c r="B380" i="3" a="1"/>
  <c r="B380" i="3" s="1"/>
  <c r="C380" i="3" a="1"/>
  <c r="C380" i="3" s="1"/>
  <c r="D380" i="3" a="1"/>
  <c r="D380" i="3" s="1"/>
  <c r="E380" i="3" a="1"/>
  <c r="E380" i="3" s="1"/>
  <c r="F380" i="3" a="1"/>
  <c r="F380" i="3"/>
  <c r="G380" i="3" a="1"/>
  <c r="G380" i="3"/>
  <c r="H380" i="3" a="1"/>
  <c r="H380" i="3"/>
  <c r="I380" i="3" a="1"/>
  <c r="I380" i="3" s="1"/>
  <c r="B381" i="3" a="1"/>
  <c r="B381" i="3"/>
  <c r="C381" i="3" a="1"/>
  <c r="C381" i="3"/>
  <c r="D381" i="3" a="1"/>
  <c r="D381" i="3"/>
  <c r="E381" i="3" a="1"/>
  <c r="E381" i="3" s="1"/>
  <c r="F381" i="3" a="1"/>
  <c r="F381" i="3"/>
  <c r="G381" i="3" a="1"/>
  <c r="G381" i="3" s="1"/>
  <c r="H381" i="3" a="1"/>
  <c r="H381" i="3" s="1"/>
  <c r="I381" i="3" a="1"/>
  <c r="I381" i="3" s="1"/>
  <c r="B382" i="3" a="1"/>
  <c r="B382" i="3" s="1"/>
  <c r="C382" i="3" a="1"/>
  <c r="C382" i="3"/>
  <c r="D382" i="3" a="1"/>
  <c r="D382" i="3"/>
  <c r="E382" i="3" a="1"/>
  <c r="E382" i="3" s="1"/>
  <c r="F382" i="3" a="1"/>
  <c r="F382" i="3" s="1"/>
  <c r="G382" i="3" a="1"/>
  <c r="G382" i="3"/>
  <c r="H382" i="3" a="1"/>
  <c r="H382" i="3"/>
  <c r="I382" i="3" a="1"/>
  <c r="I382" i="3"/>
  <c r="B383" i="3" a="1"/>
  <c r="B383" i="3" s="1"/>
  <c r="C383" i="3" a="1"/>
  <c r="C383" i="3" s="1"/>
  <c r="D383" i="3" a="1"/>
  <c r="D383" i="3"/>
  <c r="E383" i="3" a="1"/>
  <c r="E383" i="3" s="1"/>
  <c r="F383" i="3" a="1"/>
  <c r="F383" i="3" s="1"/>
  <c r="G383" i="3" a="1"/>
  <c r="G383" i="3" s="1"/>
  <c r="H383" i="3" a="1"/>
  <c r="H383" i="3"/>
  <c r="I383" i="3" a="1"/>
  <c r="I383" i="3" s="1"/>
  <c r="B384" i="3" a="1"/>
  <c r="B384" i="3"/>
  <c r="C384" i="3" a="1"/>
  <c r="C384" i="3" s="1"/>
  <c r="D384" i="3" a="1"/>
  <c r="D384" i="3"/>
  <c r="E384" i="3" a="1"/>
  <c r="E384" i="3"/>
  <c r="F384" i="3" a="1"/>
  <c r="F384" i="3"/>
  <c r="G384" i="3" a="1"/>
  <c r="G384" i="3" s="1"/>
  <c r="H384" i="3" a="1"/>
  <c r="H384" i="3"/>
  <c r="I384" i="3" a="1"/>
  <c r="I384" i="3"/>
  <c r="B385" i="3" a="1"/>
  <c r="B385" i="3" s="1"/>
  <c r="C385" i="3" a="1"/>
  <c r="C385" i="3" s="1"/>
  <c r="D385" i="3" a="1"/>
  <c r="D385" i="3" s="1"/>
  <c r="E385" i="3" a="1"/>
  <c r="E385" i="3" s="1"/>
  <c r="F385" i="3" a="1"/>
  <c r="F385" i="3" s="1"/>
  <c r="G385" i="3" a="1"/>
  <c r="G385" i="3"/>
  <c r="H385" i="3" a="1"/>
  <c r="H385" i="3" s="1"/>
  <c r="I385" i="3" a="1"/>
  <c r="I385" i="3"/>
  <c r="B386" i="3" a="1"/>
  <c r="B386" i="3"/>
  <c r="C386" i="3" a="1"/>
  <c r="C386" i="3" s="1"/>
  <c r="D386" i="3" a="1"/>
  <c r="D386" i="3"/>
  <c r="E386" i="3" a="1"/>
  <c r="E386" i="3"/>
  <c r="F386" i="3" a="1"/>
  <c r="F386" i="3"/>
  <c r="G386" i="3" a="1"/>
  <c r="G386" i="3" s="1"/>
  <c r="H386" i="3" a="1"/>
  <c r="H386" i="3" s="1"/>
  <c r="I386" i="3" a="1"/>
  <c r="I386" i="3" s="1"/>
  <c r="B387" i="3" a="1"/>
  <c r="B387" i="3"/>
  <c r="C387" i="3" a="1"/>
  <c r="C387" i="3" s="1"/>
  <c r="D387" i="3" a="1"/>
  <c r="D387" i="3"/>
  <c r="E387" i="3" a="1"/>
  <c r="E387" i="3" s="1"/>
  <c r="F387" i="3" a="1"/>
  <c r="F387" i="3"/>
  <c r="G387" i="3" a="1"/>
  <c r="G387" i="3" s="1"/>
  <c r="H387" i="3" a="1"/>
  <c r="H387" i="3" s="1"/>
  <c r="I387" i="3" a="1"/>
  <c r="I387" i="3"/>
  <c r="B388" i="3" a="1"/>
  <c r="B388" i="3"/>
  <c r="C388" i="3" a="1"/>
  <c r="C388" i="3" s="1"/>
  <c r="D388" i="3" a="1"/>
  <c r="D388" i="3" s="1"/>
  <c r="E388" i="3" a="1"/>
  <c r="E388" i="3" s="1"/>
  <c r="F388" i="3" a="1"/>
  <c r="F388" i="3"/>
  <c r="G388" i="3" a="1"/>
  <c r="G388" i="3"/>
  <c r="H388" i="3" a="1"/>
  <c r="H388" i="3" s="1"/>
  <c r="I388" i="3" a="1"/>
  <c r="I388" i="3"/>
  <c r="B389" i="3" a="1"/>
  <c r="B389" i="3" s="1"/>
  <c r="C389" i="3" a="1"/>
  <c r="C389" i="3" s="1"/>
  <c r="D389" i="3" a="1"/>
  <c r="D389" i="3" s="1"/>
  <c r="E389" i="3" a="1"/>
  <c r="E389" i="3" s="1"/>
  <c r="F389" i="3" a="1"/>
  <c r="F389" i="3"/>
  <c r="G389" i="3" a="1"/>
  <c r="G389" i="3"/>
  <c r="H389" i="3" a="1"/>
  <c r="H389" i="3" s="1"/>
  <c r="I389" i="3" a="1"/>
  <c r="I389" i="3" s="1"/>
  <c r="B390" i="3" a="1"/>
  <c r="B390" i="3"/>
  <c r="C390" i="3" a="1"/>
  <c r="C390" i="3"/>
  <c r="D390" i="3" a="1"/>
  <c r="D390" i="3"/>
  <c r="E390" i="3" a="1"/>
  <c r="E390" i="3" s="1"/>
  <c r="F390" i="3" a="1"/>
  <c r="F390" i="3"/>
  <c r="G390" i="3" a="1"/>
  <c r="G390" i="3" s="1"/>
  <c r="H390" i="3" a="1"/>
  <c r="H390" i="3" s="1"/>
  <c r="I390" i="3" a="1"/>
  <c r="I390" i="3" s="1"/>
  <c r="B391" i="3" a="1"/>
  <c r="B391" i="3" s="1"/>
  <c r="C391" i="3" a="1"/>
  <c r="C391" i="3"/>
  <c r="D391" i="3" a="1"/>
  <c r="D391" i="3"/>
  <c r="E391" i="3" a="1"/>
  <c r="E391" i="3" s="1"/>
  <c r="F391" i="3" a="1"/>
  <c r="F391" i="3" s="1"/>
  <c r="G391" i="3" a="1"/>
  <c r="G391" i="3"/>
  <c r="H391" i="3" a="1"/>
  <c r="H391" i="3"/>
  <c r="I391" i="3" a="1"/>
  <c r="I391" i="3"/>
  <c r="B392" i="3" a="1"/>
  <c r="B392" i="3" s="1"/>
  <c r="C392" i="3" a="1"/>
  <c r="C392" i="3" s="1"/>
  <c r="D392" i="3" a="1"/>
  <c r="D392" i="3"/>
  <c r="E392" i="3" a="1"/>
  <c r="E392" i="3" s="1"/>
  <c r="F392" i="3" a="1"/>
  <c r="F392" i="3" s="1"/>
  <c r="G392" i="3" a="1"/>
  <c r="G392" i="3" s="1"/>
  <c r="H392" i="3" a="1"/>
  <c r="H392" i="3"/>
  <c r="I392" i="3" a="1"/>
  <c r="I392" i="3" s="1"/>
  <c r="B393" i="3" a="1"/>
  <c r="B393" i="3"/>
  <c r="C393" i="3" a="1"/>
  <c r="C393" i="3" s="1"/>
  <c r="D393" i="3" a="1"/>
  <c r="D393" i="3"/>
  <c r="E393" i="3" a="1"/>
  <c r="E393" i="3"/>
  <c r="F393" i="3" a="1"/>
  <c r="F393" i="3"/>
  <c r="G393" i="3" a="1"/>
  <c r="G393" i="3" s="1"/>
  <c r="H393" i="3" a="1"/>
  <c r="H393" i="3"/>
  <c r="I393" i="3" a="1"/>
  <c r="I393" i="3"/>
  <c r="B394" i="3" a="1"/>
  <c r="B394" i="3" s="1"/>
  <c r="C394" i="3" a="1"/>
  <c r="C394" i="3" s="1"/>
  <c r="D394" i="3" a="1"/>
  <c r="D394" i="3" s="1"/>
  <c r="E394" i="3" a="1"/>
  <c r="E394" i="3" s="1"/>
  <c r="F394" i="3" a="1"/>
  <c r="F394" i="3" s="1"/>
  <c r="G394" i="3" a="1"/>
  <c r="G394" i="3"/>
  <c r="H394" i="3" a="1"/>
  <c r="H394" i="3"/>
  <c r="I394" i="3" a="1"/>
  <c r="I394" i="3"/>
  <c r="B395" i="3" a="1"/>
  <c r="B395" i="3"/>
  <c r="C395" i="3" a="1"/>
  <c r="C395" i="3" s="1"/>
  <c r="D395" i="3" a="1"/>
  <c r="D395" i="3"/>
  <c r="E395" i="3" a="1"/>
  <c r="E395" i="3"/>
  <c r="F395" i="3" a="1"/>
  <c r="F395" i="3" s="1"/>
  <c r="G395" i="3" a="1"/>
  <c r="G395" i="3" s="1"/>
  <c r="H395" i="3" a="1"/>
  <c r="H395" i="3" s="1"/>
  <c r="I395" i="3" a="1"/>
  <c r="I395" i="3" s="1"/>
  <c r="B396" i="3" a="1"/>
  <c r="B396" i="3"/>
  <c r="C396" i="3" a="1"/>
  <c r="C396" i="3" s="1"/>
  <c r="D396" i="3" a="1"/>
  <c r="D396" i="3"/>
  <c r="E396" i="3" a="1"/>
  <c r="E396" i="3" s="1"/>
  <c r="F396" i="3" a="1"/>
  <c r="F396" i="3"/>
  <c r="G396" i="3" a="1"/>
  <c r="G396" i="3" s="1"/>
  <c r="H396" i="3" a="1"/>
  <c r="H396" i="3" s="1"/>
  <c r="I396" i="3" a="1"/>
  <c r="I396" i="3"/>
  <c r="B397" i="3" a="1"/>
  <c r="B397" i="3"/>
  <c r="C397" i="3" a="1"/>
  <c r="C397" i="3"/>
  <c r="D397" i="3" a="1"/>
  <c r="D397" i="3" s="1"/>
  <c r="E397" i="3" a="1"/>
  <c r="E397" i="3" s="1"/>
  <c r="F397" i="3" a="1"/>
  <c r="F397" i="3"/>
  <c r="G397" i="3" a="1"/>
  <c r="G397" i="3"/>
  <c r="H397" i="3" a="1"/>
  <c r="H397" i="3" s="1"/>
  <c r="I397" i="3" a="1"/>
  <c r="I397" i="3" s="1"/>
  <c r="B398" i="3" a="1"/>
  <c r="B398" i="3"/>
  <c r="C398" i="3" a="1"/>
  <c r="C398" i="3" s="1"/>
  <c r="D398" i="3" a="1"/>
  <c r="D398" i="3" s="1"/>
  <c r="E398" i="3" a="1"/>
  <c r="E398" i="3" s="1"/>
  <c r="F398" i="3" a="1"/>
  <c r="F398" i="3"/>
  <c r="G398" i="3" a="1"/>
  <c r="G398" i="3"/>
  <c r="H398" i="3" a="1"/>
  <c r="H398" i="3"/>
  <c r="I398" i="3" a="1"/>
  <c r="I398" i="3" s="1"/>
  <c r="B399" i="3" a="1"/>
  <c r="B399" i="3"/>
  <c r="C399" i="3" a="1"/>
  <c r="C399" i="3"/>
  <c r="D399" i="3" a="1"/>
  <c r="D399" i="3"/>
  <c r="E399" i="3" a="1"/>
  <c r="E399" i="3" s="1"/>
  <c r="F399" i="3" a="1"/>
  <c r="F399" i="3" s="1"/>
  <c r="G399" i="3" a="1"/>
  <c r="G399" i="3" s="1"/>
  <c r="H399" i="3" a="1"/>
  <c r="H399" i="3" s="1"/>
  <c r="I399" i="3" a="1"/>
  <c r="I399" i="3"/>
  <c r="B400" i="3" a="1"/>
  <c r="B400" i="3" s="1"/>
  <c r="C400" i="3" a="1"/>
  <c r="C400" i="3"/>
  <c r="D400" i="3" a="1"/>
  <c r="D400" i="3"/>
  <c r="E400" i="3" a="1"/>
  <c r="E400" i="3" s="1"/>
  <c r="F400" i="3" a="1"/>
  <c r="F400" i="3" s="1"/>
  <c r="G400" i="3" a="1"/>
  <c r="G400" i="3" s="1"/>
  <c r="H400" i="3" a="1"/>
  <c r="H400" i="3"/>
  <c r="I400" i="3" a="1"/>
  <c r="I400" i="3"/>
  <c r="B401" i="3" a="1"/>
  <c r="B401" i="3" s="1"/>
  <c r="C401" i="3" a="1"/>
  <c r="C401" i="3" s="1"/>
  <c r="D401" i="3" a="1"/>
  <c r="D401" i="3"/>
  <c r="E401" i="3" a="1"/>
  <c r="E401" i="3" s="1"/>
  <c r="F401" i="3" a="1"/>
  <c r="F401" i="3" s="1"/>
  <c r="G401" i="3" a="1"/>
  <c r="G401" i="3" s="1"/>
  <c r="H401" i="3" a="1"/>
  <c r="H401" i="3"/>
  <c r="I401" i="3" a="1"/>
  <c r="I401" i="3" s="1"/>
  <c r="B402" i="3" a="1"/>
  <c r="B402" i="3" s="1"/>
  <c r="C402" i="3" a="1"/>
  <c r="C402" i="3"/>
  <c r="D402" i="3" a="1"/>
  <c r="D402" i="3" s="1"/>
  <c r="E402" i="3" a="1"/>
  <c r="E402" i="3" s="1"/>
  <c r="F402" i="3" a="1"/>
  <c r="F402" i="3"/>
  <c r="G402" i="3" a="1"/>
  <c r="G402" i="3" s="1"/>
  <c r="H402" i="3" a="1"/>
  <c r="H402" i="3"/>
  <c r="I402" i="3" a="1"/>
  <c r="I402" i="3" s="1"/>
  <c r="B403" i="3" a="1"/>
  <c r="B403" i="3" s="1"/>
  <c r="C403" i="3" a="1"/>
  <c r="C403" i="3"/>
  <c r="D403" i="3" a="1"/>
  <c r="D403" i="3" s="1"/>
  <c r="E403" i="3" a="1"/>
  <c r="E403" i="3" s="1"/>
  <c r="F403" i="3" a="1"/>
  <c r="F403" i="3" s="1"/>
  <c r="G403" i="3" a="1"/>
  <c r="G403" i="3" s="1"/>
  <c r="H403" i="3" a="1"/>
  <c r="H403" i="3" s="1"/>
  <c r="I403" i="3" a="1"/>
  <c r="I403" i="3"/>
  <c r="B404" i="3" a="1"/>
  <c r="B404" i="3" s="1"/>
  <c r="C404" i="3" a="1"/>
  <c r="C404" i="3" s="1"/>
  <c r="D404" i="3" a="1"/>
  <c r="D404" i="3" s="1"/>
  <c r="E404" i="3" a="1"/>
  <c r="E404" i="3"/>
  <c r="F404" i="3" a="1"/>
  <c r="F404" i="3" s="1"/>
  <c r="G404" i="3" a="1"/>
  <c r="G404" i="3" s="1"/>
  <c r="H404" i="3" a="1"/>
  <c r="H404" i="3" s="1"/>
  <c r="I404" i="3" a="1"/>
  <c r="I404" i="3" s="1"/>
  <c r="B405" i="3" a="1"/>
  <c r="B405" i="3"/>
  <c r="C405" i="3" a="1"/>
  <c r="C405" i="3" s="1"/>
  <c r="D405" i="3" a="1"/>
  <c r="D405" i="3"/>
  <c r="E405" i="3" a="1"/>
  <c r="E405" i="3" s="1"/>
  <c r="F405" i="3" a="1"/>
  <c r="F405" i="3" s="1"/>
  <c r="G405" i="3" a="1"/>
  <c r="G405" i="3" s="1"/>
  <c r="H405" i="3" a="1"/>
  <c r="H405" i="3" s="1"/>
  <c r="I405" i="3" a="1"/>
  <c r="I405" i="3"/>
  <c r="B406" i="3" a="1"/>
  <c r="B406" i="3"/>
  <c r="C406" i="3" a="1"/>
  <c r="C406" i="3"/>
  <c r="D406" i="3" a="1"/>
  <c r="D406" i="3" s="1"/>
  <c r="E406" i="3" a="1"/>
  <c r="E406" i="3" s="1"/>
  <c r="F406" i="3" a="1"/>
  <c r="F406" i="3"/>
  <c r="G406" i="3" a="1"/>
  <c r="G406" i="3"/>
  <c r="H406" i="3" a="1"/>
  <c r="H406" i="3" s="1"/>
  <c r="I406" i="3" a="1"/>
  <c r="I406" i="3" s="1"/>
  <c r="B407" i="3" a="1"/>
  <c r="B407" i="3"/>
  <c r="C407" i="3" a="1"/>
  <c r="C407" i="3" s="1"/>
  <c r="D407" i="3" a="1"/>
  <c r="D407" i="3"/>
  <c r="E407" i="3" a="1"/>
  <c r="E407" i="3" s="1"/>
  <c r="F407" i="3" a="1"/>
  <c r="F407" i="3" s="1"/>
  <c r="G407" i="3" a="1"/>
  <c r="G407" i="3"/>
  <c r="H407" i="3" a="1"/>
  <c r="H407" i="3" s="1"/>
  <c r="I407" i="3" a="1"/>
  <c r="I407" i="3" s="1"/>
  <c r="B408" i="3" a="1"/>
  <c r="B408" i="3" s="1"/>
  <c r="C408" i="3" a="1"/>
  <c r="C408" i="3" s="1"/>
  <c r="D408" i="3" a="1"/>
  <c r="D408" i="3"/>
  <c r="E408" i="3" a="1"/>
  <c r="E408" i="3" s="1"/>
  <c r="F408" i="3" a="1"/>
  <c r="F408" i="3"/>
  <c r="G408" i="3" a="1"/>
  <c r="G408" i="3" s="1"/>
  <c r="H408" i="3" a="1"/>
  <c r="H408" i="3"/>
  <c r="I408" i="3" a="1"/>
  <c r="I408" i="3"/>
  <c r="B409" i="3" a="1"/>
  <c r="B409" i="3" s="1"/>
  <c r="C409" i="3" a="1"/>
  <c r="C409" i="3" s="1"/>
  <c r="D409" i="3" a="1"/>
  <c r="D409" i="3"/>
  <c r="E409" i="3" a="1"/>
  <c r="E409" i="3" s="1"/>
  <c r="F409" i="3" a="1"/>
  <c r="F409" i="3" s="1"/>
  <c r="G409" i="3" a="1"/>
  <c r="G409" i="3"/>
  <c r="H409" i="3" a="1"/>
  <c r="H409" i="3" s="1"/>
  <c r="I409" i="3" a="1"/>
  <c r="I409" i="3"/>
  <c r="B410" i="3" a="1"/>
  <c r="B410" i="3" s="1"/>
  <c r="C410" i="3" a="1"/>
  <c r="C410" i="3" s="1"/>
  <c r="D410" i="3" a="1"/>
  <c r="D410" i="3" s="1"/>
  <c r="E410" i="3" a="1"/>
  <c r="E410" i="3" s="1"/>
  <c r="F410" i="3" a="1"/>
  <c r="F410" i="3"/>
  <c r="G410" i="3" a="1"/>
  <c r="G410" i="3" s="1"/>
  <c r="H410" i="3" a="1"/>
  <c r="H410" i="3" s="1"/>
  <c r="I410" i="3" a="1"/>
  <c r="I410" i="3" s="1"/>
  <c r="B411" i="3" a="1"/>
  <c r="B411" i="3"/>
  <c r="C411" i="3" a="1"/>
  <c r="C411" i="3" s="1"/>
  <c r="D411" i="3" a="1"/>
  <c r="D411" i="3" s="1"/>
  <c r="E411" i="3" a="1"/>
  <c r="E411" i="3"/>
  <c r="F411" i="3" a="1"/>
  <c r="F411" i="3"/>
  <c r="G411" i="3" a="1"/>
  <c r="G411" i="3" s="1"/>
  <c r="H411" i="3" a="1"/>
  <c r="H411" i="3"/>
  <c r="I411" i="3" a="1"/>
  <c r="I411" i="3" s="1"/>
  <c r="B412" i="3" a="1"/>
  <c r="B412" i="3"/>
  <c r="C412" i="3" a="1"/>
  <c r="C412" i="3" s="1"/>
  <c r="D412" i="3" a="1"/>
  <c r="D412" i="3" s="1"/>
  <c r="E412" i="3" a="1"/>
  <c r="E412" i="3" s="1"/>
  <c r="F412" i="3" a="1"/>
  <c r="F412" i="3" s="1"/>
  <c r="G412" i="3" a="1"/>
  <c r="G412" i="3" s="1"/>
  <c r="H412" i="3" a="1"/>
  <c r="H412" i="3"/>
  <c r="I412" i="3" a="1"/>
  <c r="I412" i="3" s="1"/>
  <c r="B413" i="3" a="1"/>
  <c r="B413" i="3" s="1"/>
  <c r="C413" i="3" a="1"/>
  <c r="C413" i="3" s="1"/>
  <c r="D413" i="3" a="1"/>
  <c r="D413" i="3"/>
  <c r="E413" i="3" a="1"/>
  <c r="E413" i="3"/>
  <c r="F413" i="3" a="1"/>
  <c r="F413" i="3"/>
  <c r="G413" i="3" a="1"/>
  <c r="G413" i="3" s="1"/>
  <c r="H413" i="3" a="1"/>
  <c r="H413" i="3"/>
  <c r="I413" i="3" a="1"/>
  <c r="I413" i="3" s="1"/>
  <c r="B414" i="3" a="1"/>
  <c r="B414" i="3"/>
  <c r="C414" i="3" a="1"/>
  <c r="C414" i="3" s="1"/>
  <c r="D414" i="3" a="1"/>
  <c r="D414" i="3" s="1"/>
  <c r="E414" i="3" a="1"/>
  <c r="E414" i="3" s="1"/>
  <c r="F414" i="3" a="1"/>
  <c r="F414" i="3" s="1"/>
  <c r="G414" i="3" a="1"/>
  <c r="G414" i="3" s="1"/>
  <c r="H414" i="3" a="1"/>
  <c r="H414" i="3" s="1"/>
  <c r="I414" i="3" a="1"/>
  <c r="I414" i="3" s="1"/>
  <c r="B415" i="3" a="1"/>
  <c r="B415" i="3"/>
  <c r="C415" i="3" a="1"/>
  <c r="C415" i="3" s="1"/>
  <c r="D415" i="3" a="1"/>
  <c r="D415" i="3" s="1"/>
  <c r="E415" i="3" a="1"/>
  <c r="E415" i="3" s="1"/>
  <c r="F415" i="3" a="1"/>
  <c r="F415" i="3"/>
  <c r="G415" i="3" a="1"/>
  <c r="G415" i="3"/>
  <c r="H415" i="3" a="1"/>
  <c r="H415" i="3" s="1"/>
  <c r="I415" i="3" a="1"/>
  <c r="I415" i="3"/>
  <c r="B416" i="3" a="1"/>
  <c r="B416" i="3" s="1"/>
  <c r="C416" i="3" a="1"/>
  <c r="C416" i="3" s="1"/>
  <c r="D416" i="3" a="1"/>
  <c r="D416" i="3"/>
  <c r="E416" i="3" a="1"/>
  <c r="E416" i="3" s="1"/>
  <c r="F416" i="3" a="1"/>
  <c r="F416" i="3"/>
  <c r="G416" i="3" a="1"/>
  <c r="G416" i="3"/>
  <c r="H416" i="3" a="1"/>
  <c r="H416" i="3"/>
  <c r="I416" i="3" a="1"/>
  <c r="I416" i="3" s="1"/>
  <c r="B417" i="3" a="1"/>
  <c r="B417" i="3" s="1"/>
  <c r="C417" i="3" a="1"/>
  <c r="C417" i="3"/>
  <c r="D417" i="3" a="1"/>
  <c r="D417" i="3"/>
  <c r="E417" i="3" a="1"/>
  <c r="E417" i="3" s="1"/>
  <c r="F417" i="3" a="1"/>
  <c r="F417" i="3" s="1"/>
  <c r="G417" i="3" a="1"/>
  <c r="G417" i="3" s="1"/>
  <c r="H417" i="3" a="1"/>
  <c r="H417" i="3" s="1"/>
  <c r="I417" i="3" a="1"/>
  <c r="I417" i="3" s="1"/>
  <c r="B418" i="3" a="1"/>
  <c r="B418" i="3" s="1"/>
  <c r="C418" i="3" a="1"/>
  <c r="C418" i="3" s="1"/>
  <c r="D418" i="3" a="1"/>
  <c r="D418" i="3"/>
  <c r="E418" i="3" a="1"/>
  <c r="E418" i="3" s="1"/>
  <c r="F418" i="3" a="1"/>
  <c r="F418" i="3"/>
  <c r="G418" i="3" a="1"/>
  <c r="G418" i="3"/>
  <c r="H418" i="3" a="1"/>
  <c r="H418" i="3" s="1"/>
  <c r="I418" i="3" a="1"/>
  <c r="I418" i="3"/>
  <c r="B419" i="3" a="1"/>
  <c r="B419" i="3" s="1"/>
  <c r="C419" i="3" a="1"/>
  <c r="C419" i="3" s="1"/>
  <c r="D419" i="3" a="1"/>
  <c r="D419" i="3" s="1"/>
  <c r="E419" i="3" a="1"/>
  <c r="E419" i="3"/>
  <c r="F419" i="3" a="1"/>
  <c r="F419" i="3" s="1"/>
  <c r="G419" i="3" a="1"/>
  <c r="G419" i="3" s="1"/>
  <c r="H419" i="3" a="1"/>
  <c r="H419" i="3" s="1"/>
  <c r="I419" i="3" a="1"/>
  <c r="I419" i="3"/>
  <c r="B420" i="3" a="1"/>
  <c r="B420" i="3"/>
  <c r="C420" i="3" a="1"/>
  <c r="C420" i="3" s="1"/>
  <c r="D420" i="3" a="1"/>
  <c r="D420" i="3"/>
  <c r="E420" i="3" a="1"/>
  <c r="E420" i="3" s="1"/>
  <c r="F420" i="3" a="1"/>
  <c r="F420" i="3" s="1"/>
  <c r="G420" i="3" a="1"/>
  <c r="G420" i="3"/>
  <c r="H420" i="3" a="1"/>
  <c r="H420" i="3"/>
  <c r="I420" i="3" a="1"/>
  <c r="I420" i="3" s="1"/>
  <c r="B421" i="3" a="1"/>
  <c r="B421" i="3"/>
  <c r="C421" i="3" a="1"/>
  <c r="C421" i="3" s="1"/>
  <c r="D421" i="3" a="1"/>
  <c r="D421" i="3" s="1"/>
  <c r="E421" i="3" a="1"/>
  <c r="E421" i="3"/>
  <c r="F421" i="3" a="1"/>
  <c r="F421" i="3" s="1"/>
  <c r="G421" i="3" a="1"/>
  <c r="G421" i="3"/>
  <c r="H421" i="3" a="1"/>
  <c r="H421" i="3" s="1"/>
  <c r="I421" i="3" a="1"/>
  <c r="I421" i="3" s="1"/>
  <c r="B422" i="3" a="1"/>
  <c r="B422" i="3"/>
  <c r="C422" i="3" a="1"/>
  <c r="C422" i="3"/>
  <c r="D422" i="3" a="1"/>
  <c r="D422" i="3"/>
  <c r="E422" i="3" a="1"/>
  <c r="E422" i="3"/>
  <c r="F422" i="3" a="1"/>
  <c r="F422" i="3" s="1"/>
  <c r="G422" i="3" a="1"/>
  <c r="G422" i="3" s="1"/>
  <c r="H422" i="3" a="1"/>
  <c r="H422" i="3" s="1"/>
  <c r="I422" i="3" a="1"/>
  <c r="I422" i="3"/>
  <c r="B423" i="3" a="1"/>
  <c r="B423" i="3" s="1"/>
  <c r="C423" i="3" a="1"/>
  <c r="C423" i="3" s="1"/>
  <c r="D423" i="3" a="1"/>
  <c r="D423" i="3"/>
  <c r="E423" i="3" a="1"/>
  <c r="E423" i="3" s="1"/>
  <c r="F423" i="3" a="1"/>
  <c r="F423" i="3"/>
  <c r="G423" i="3" a="1"/>
  <c r="G423" i="3"/>
  <c r="H423" i="3" a="1"/>
  <c r="H423" i="3" s="1"/>
  <c r="I423" i="3" a="1"/>
  <c r="I423" i="3"/>
  <c r="B424" i="3" a="1"/>
  <c r="B424" i="3"/>
  <c r="C424" i="3" a="1"/>
  <c r="C424" i="3" s="1"/>
  <c r="D424" i="3" a="1"/>
  <c r="D424" i="3" s="1"/>
  <c r="E424" i="3" a="1"/>
  <c r="E424" i="3"/>
  <c r="F424" i="3" a="1"/>
  <c r="F424" i="3" s="1"/>
  <c r="G424" i="3" a="1"/>
  <c r="G424" i="3" s="1"/>
  <c r="H424" i="3" a="1"/>
  <c r="H424" i="3" s="1"/>
  <c r="I424" i="3" a="1"/>
  <c r="I424" i="3" s="1"/>
  <c r="B425" i="3" a="1"/>
  <c r="B425" i="3" s="1"/>
  <c r="C425" i="3" a="1"/>
  <c r="C425" i="3"/>
  <c r="D425" i="3" a="1"/>
  <c r="D425" i="3"/>
  <c r="E425" i="3" a="1"/>
  <c r="E425" i="3" s="1"/>
  <c r="F425" i="3" a="1"/>
  <c r="F425" i="3"/>
  <c r="G425" i="3" a="1"/>
  <c r="G425" i="3" s="1"/>
  <c r="H425" i="3" a="1"/>
  <c r="H425" i="3"/>
  <c r="I425" i="3" a="1"/>
  <c r="I425" i="3" s="1"/>
  <c r="B426" i="3" a="1"/>
  <c r="B426" i="3" s="1"/>
  <c r="C426" i="3" a="1"/>
  <c r="C426" i="3" s="1"/>
  <c r="D426" i="3" a="1"/>
  <c r="D426" i="3" s="1"/>
  <c r="E426" i="3" a="1"/>
  <c r="E426" i="3" s="1"/>
  <c r="F426" i="3" a="1"/>
  <c r="F426" i="3"/>
  <c r="G426" i="3" a="1"/>
  <c r="G426" i="3" s="1"/>
  <c r="H426" i="3" a="1"/>
  <c r="H426" i="3"/>
  <c r="I426" i="3" a="1"/>
  <c r="I426" i="3"/>
  <c r="B427" i="3" a="1"/>
  <c r="B427" i="3" s="1"/>
  <c r="C427" i="3" a="1"/>
  <c r="C427" i="3" s="1"/>
  <c r="D427" i="3" a="1"/>
  <c r="D427" i="3" s="1"/>
  <c r="E427" i="3" a="1"/>
  <c r="E427" i="3"/>
  <c r="F427" i="3" a="1"/>
  <c r="F427" i="3" s="1"/>
  <c r="G427" i="3" a="1"/>
  <c r="G427" i="3" s="1"/>
  <c r="H427" i="3" a="1"/>
  <c r="H427" i="3"/>
  <c r="I427" i="3" a="1"/>
  <c r="I427" i="3" s="1"/>
  <c r="B428" i="3" a="1"/>
  <c r="B428" i="3"/>
  <c r="C428" i="3" a="1"/>
  <c r="C428" i="3"/>
  <c r="D428" i="3" a="1"/>
  <c r="D428" i="3" s="1"/>
  <c r="E428" i="3" a="1"/>
  <c r="E428" i="3"/>
  <c r="F428" i="3" a="1"/>
  <c r="F428" i="3" s="1"/>
  <c r="G428" i="3" a="1"/>
  <c r="G428" i="3" s="1"/>
  <c r="H428" i="3" a="1"/>
  <c r="H428" i="3" s="1"/>
  <c r="I428" i="3" a="1"/>
  <c r="I428" i="3" s="1"/>
  <c r="B429" i="3" a="1"/>
  <c r="B429" i="3"/>
  <c r="C429" i="3" a="1"/>
  <c r="C429" i="3" s="1"/>
  <c r="D429" i="3" a="1"/>
  <c r="D429" i="3" s="1"/>
  <c r="E429" i="3" a="1"/>
  <c r="E429" i="3" s="1"/>
  <c r="F429" i="3" a="1"/>
  <c r="F429" i="3" s="1"/>
  <c r="G429" i="3" a="1"/>
  <c r="G429" i="3"/>
  <c r="H429" i="3" a="1"/>
  <c r="H429" i="3"/>
  <c r="I429" i="3" a="1"/>
  <c r="I429" i="3"/>
  <c r="B430" i="3" a="1"/>
  <c r="B430" i="3"/>
  <c r="C430" i="3" a="1"/>
  <c r="C430" i="3"/>
  <c r="D430" i="3" a="1"/>
  <c r="D430" i="3" s="1"/>
  <c r="E430" i="3" a="1"/>
  <c r="E430" i="3"/>
  <c r="F430" i="3" a="1"/>
  <c r="F430" i="3"/>
  <c r="G430" i="3" a="1"/>
  <c r="G430" i="3"/>
  <c r="H430" i="3" a="1"/>
  <c r="H430" i="3"/>
  <c r="I430" i="3" a="1"/>
  <c r="I430" i="3"/>
  <c r="B431" i="3" a="1"/>
  <c r="B431" i="3" s="1"/>
  <c r="C431" i="3" a="1"/>
  <c r="C431" i="3"/>
  <c r="D431" i="3" a="1"/>
  <c r="D431" i="3" s="1"/>
  <c r="E431" i="3" a="1"/>
  <c r="E431" i="3" s="1"/>
  <c r="F431" i="3" a="1"/>
  <c r="F431" i="3"/>
  <c r="G431" i="3" a="1"/>
  <c r="G431" i="3" s="1"/>
  <c r="H431" i="3" a="1"/>
  <c r="H431" i="3"/>
  <c r="I431" i="3" a="1"/>
  <c r="I431" i="3" s="1"/>
  <c r="B432" i="3" a="1"/>
  <c r="B432" i="3" s="1"/>
  <c r="C432" i="3" a="1"/>
  <c r="C432" i="3"/>
  <c r="D432" i="3" a="1"/>
  <c r="D432" i="3"/>
  <c r="E432" i="3" a="1"/>
  <c r="E432" i="3"/>
  <c r="F432" i="3" a="1"/>
  <c r="F432" i="3"/>
  <c r="G432" i="3" a="1"/>
  <c r="G432" i="3" s="1"/>
  <c r="H432" i="3" a="1"/>
  <c r="H432" i="3" s="1"/>
  <c r="I432" i="3" a="1"/>
  <c r="I432" i="3" s="1"/>
  <c r="B433" i="3" a="1"/>
  <c r="B433" i="3"/>
  <c r="C433" i="3" a="1"/>
  <c r="C433" i="3"/>
  <c r="D433" i="3" a="1"/>
  <c r="D433" i="3" s="1"/>
  <c r="E433" i="3" a="1"/>
  <c r="E433" i="3"/>
  <c r="F433" i="3" a="1"/>
  <c r="F433" i="3" s="1"/>
  <c r="G433" i="3" a="1"/>
  <c r="G433" i="3"/>
  <c r="H433" i="3" a="1"/>
  <c r="H433" i="3" s="1"/>
  <c r="I433" i="3" a="1"/>
  <c r="I433" i="3"/>
  <c r="B434" i="3" a="1"/>
  <c r="B434" i="3"/>
  <c r="C434" i="3" a="1"/>
  <c r="C434" i="3"/>
  <c r="D434" i="3" a="1"/>
  <c r="D434" i="3" s="1"/>
  <c r="E434" i="3" a="1"/>
  <c r="E434" i="3" s="1"/>
  <c r="F434" i="3" a="1"/>
  <c r="F434" i="3" s="1"/>
  <c r="G434" i="3" a="1"/>
  <c r="G434" i="3" s="1"/>
  <c r="H434" i="3" a="1"/>
  <c r="H434" i="3"/>
  <c r="I434" i="3" a="1"/>
  <c r="I434" i="3" s="1"/>
  <c r="B435" i="3" a="1"/>
  <c r="B435" i="3" s="1"/>
  <c r="C435" i="3" a="1"/>
  <c r="C435" i="3" s="1"/>
  <c r="D435" i="3" a="1"/>
  <c r="D435" i="3"/>
  <c r="E435" i="3" a="1"/>
  <c r="E435" i="3" s="1"/>
  <c r="F435" i="3" a="1"/>
  <c r="F435" i="3"/>
  <c r="G435" i="3" a="1"/>
  <c r="G435" i="3"/>
  <c r="H435" i="3" a="1"/>
  <c r="H435" i="3" s="1"/>
  <c r="I435" i="3" a="1"/>
  <c r="I435" i="3"/>
  <c r="B436" i="3" a="1"/>
  <c r="B436" i="3" s="1"/>
  <c r="C436" i="3" a="1"/>
  <c r="C436" i="3" s="1"/>
  <c r="D436" i="3" a="1"/>
  <c r="D436" i="3" s="1"/>
  <c r="E436" i="3" a="1"/>
  <c r="E436" i="3"/>
  <c r="F436" i="3" a="1"/>
  <c r="F436" i="3" s="1"/>
  <c r="G436" i="3" a="1"/>
  <c r="G436" i="3"/>
  <c r="H436" i="3" a="1"/>
  <c r="H436" i="3" s="1"/>
  <c r="I436" i="3" a="1"/>
  <c r="I436" i="3"/>
  <c r="B437" i="3" a="1"/>
  <c r="B437" i="3" s="1"/>
  <c r="C437" i="3" a="1"/>
  <c r="C437" i="3"/>
  <c r="D437" i="3" a="1"/>
  <c r="D437" i="3" s="1"/>
  <c r="E437" i="3" a="1"/>
  <c r="E437" i="3" s="1"/>
  <c r="F437" i="3" a="1"/>
  <c r="F437" i="3"/>
  <c r="G437" i="3" a="1"/>
  <c r="G437" i="3" s="1"/>
  <c r="H437" i="3" a="1"/>
  <c r="H437" i="3" s="1"/>
  <c r="I437" i="3" a="1"/>
  <c r="I437" i="3" s="1"/>
  <c r="B438" i="3" a="1"/>
  <c r="B438" i="3" s="1"/>
  <c r="C438" i="3" a="1"/>
  <c r="C438" i="3"/>
  <c r="D438" i="3" a="1"/>
  <c r="D438" i="3"/>
  <c r="E438" i="3" a="1"/>
  <c r="E438" i="3" s="1"/>
  <c r="F438" i="3" a="1"/>
  <c r="F438" i="3"/>
  <c r="G438" i="3" a="1"/>
  <c r="G438" i="3" s="1"/>
  <c r="H438" i="3" a="1"/>
  <c r="H438" i="3" s="1"/>
  <c r="I438" i="3" a="1"/>
  <c r="I438" i="3" s="1"/>
  <c r="B439" i="3" a="1"/>
  <c r="B439" i="3" s="1"/>
  <c r="C439" i="3" a="1"/>
  <c r="C439" i="3"/>
  <c r="D439" i="3" a="1"/>
  <c r="D439" i="3" s="1"/>
  <c r="E439" i="3" a="1"/>
  <c r="E439" i="3" s="1"/>
  <c r="F439" i="3" a="1"/>
  <c r="F439" i="3" s="1"/>
  <c r="G439" i="3" a="1"/>
  <c r="G439" i="3"/>
  <c r="H439" i="3" a="1"/>
  <c r="H439" i="3"/>
  <c r="I439" i="3" a="1"/>
  <c r="I439" i="3"/>
  <c r="B440" i="3" a="1"/>
  <c r="B440" i="3" s="1"/>
  <c r="C440" i="3" a="1"/>
  <c r="C440" i="3"/>
  <c r="D440" i="3" a="1"/>
  <c r="D440" i="3" s="1"/>
  <c r="E440" i="3" a="1"/>
  <c r="E440" i="3" s="1"/>
  <c r="F440" i="3" a="1"/>
  <c r="F440" i="3" s="1"/>
  <c r="G440" i="3" a="1"/>
  <c r="G440" i="3" s="1"/>
  <c r="H440" i="3" a="1"/>
  <c r="H440" i="3"/>
  <c r="I440" i="3" a="1"/>
  <c r="I440" i="3" s="1"/>
  <c r="B441" i="3" a="1"/>
  <c r="B441" i="3" s="1"/>
  <c r="C441" i="3" a="1"/>
  <c r="C441" i="3" s="1"/>
  <c r="D441" i="3" a="1"/>
  <c r="D441" i="3"/>
  <c r="E441" i="3" a="1"/>
  <c r="E441" i="3"/>
  <c r="F441" i="3" a="1"/>
  <c r="F441" i="3"/>
  <c r="G441" i="3" a="1"/>
  <c r="G441" i="3" s="1"/>
  <c r="H441" i="3" a="1"/>
  <c r="H441" i="3" s="1"/>
  <c r="I441" i="3" a="1"/>
  <c r="I441" i="3" s="1"/>
  <c r="B442" i="3" a="1"/>
  <c r="B442" i="3" s="1"/>
  <c r="C442" i="3" a="1"/>
  <c r="C442" i="3" s="1"/>
  <c r="D442" i="3" a="1"/>
  <c r="D442" i="3" s="1"/>
  <c r="E442" i="3" a="1"/>
  <c r="E442" i="3"/>
  <c r="F442" i="3" a="1"/>
  <c r="F442" i="3" s="1"/>
  <c r="G442" i="3" a="1"/>
  <c r="G442" i="3"/>
  <c r="H442" i="3" a="1"/>
  <c r="H442" i="3" s="1"/>
  <c r="I442" i="3" a="1"/>
  <c r="I442" i="3"/>
  <c r="B443" i="3" a="1"/>
  <c r="B443" i="3"/>
  <c r="C443" i="3" a="1"/>
  <c r="C443" i="3"/>
  <c r="D443" i="3" a="1"/>
  <c r="D443" i="3" s="1"/>
  <c r="E443" i="3" a="1"/>
  <c r="E443" i="3" s="1"/>
  <c r="F443" i="3" a="1"/>
  <c r="F443" i="3" s="1"/>
  <c r="G443" i="3" a="1"/>
  <c r="G443" i="3" s="1"/>
  <c r="H443" i="3" a="1"/>
  <c r="H443" i="3" s="1"/>
  <c r="I443" i="3" a="1"/>
  <c r="I443" i="3" s="1"/>
  <c r="B444" i="3" a="1"/>
  <c r="B444" i="3" s="1"/>
  <c r="C444" i="3" a="1"/>
  <c r="C444" i="3" s="1"/>
  <c r="D444" i="3" a="1"/>
  <c r="D444" i="3"/>
  <c r="E444" i="3" a="1"/>
  <c r="E444" i="3" s="1"/>
  <c r="F444" i="3" a="1"/>
  <c r="F444" i="3"/>
  <c r="G444" i="3" a="1"/>
  <c r="G444" i="3"/>
  <c r="H444" i="3" a="1"/>
  <c r="H444" i="3" s="1"/>
  <c r="I444" i="3" a="1"/>
  <c r="I444" i="3"/>
  <c r="B445" i="3" a="1"/>
  <c r="B445" i="3" s="1"/>
  <c r="C445" i="3" a="1"/>
  <c r="C445" i="3" s="1"/>
  <c r="D445" i="3" a="1"/>
  <c r="D445" i="3" s="1"/>
  <c r="E445" i="3" a="1"/>
  <c r="E445" i="3" s="1"/>
  <c r="F445" i="3" a="1"/>
  <c r="F445" i="3" s="1"/>
  <c r="G445" i="3" a="1"/>
  <c r="G445" i="3"/>
  <c r="H445" i="3" a="1"/>
  <c r="H445" i="3" s="1"/>
  <c r="I445" i="3" a="1"/>
  <c r="I445" i="3"/>
  <c r="B446" i="3" a="1"/>
  <c r="B446" i="3" s="1"/>
  <c r="C446" i="3" a="1"/>
  <c r="C446" i="3"/>
  <c r="D446" i="3" a="1"/>
  <c r="D446" i="3" s="1"/>
  <c r="E446" i="3" a="1"/>
  <c r="E446" i="3" s="1"/>
  <c r="F446" i="3" a="1"/>
  <c r="F446" i="3"/>
  <c r="G446" i="3" a="1"/>
  <c r="G446" i="3" s="1"/>
  <c r="H446" i="3" a="1"/>
  <c r="H446" i="3" s="1"/>
  <c r="I446" i="3" a="1"/>
  <c r="I446" i="3" s="1"/>
  <c r="B447" i="3" a="1"/>
  <c r="B447" i="3" s="1"/>
  <c r="C447" i="3" a="1"/>
  <c r="C447" i="3"/>
  <c r="D447" i="3" a="1"/>
  <c r="D447" i="3"/>
  <c r="E447" i="3" a="1"/>
  <c r="E447" i="3" s="1"/>
  <c r="F447" i="3" a="1"/>
  <c r="F447" i="3"/>
  <c r="G447" i="3" a="1"/>
  <c r="G447" i="3" s="1"/>
  <c r="H447" i="3" a="1"/>
  <c r="H447" i="3" s="1"/>
  <c r="I447" i="3" a="1"/>
  <c r="I447" i="3" s="1"/>
  <c r="B448" i="3" a="1"/>
  <c r="B448" i="3" s="1"/>
  <c r="C448" i="3" a="1"/>
  <c r="C448" i="3"/>
  <c r="D448" i="3" a="1"/>
  <c r="D448" i="3" s="1"/>
  <c r="E448" i="3" a="1"/>
  <c r="E448" i="3" s="1"/>
  <c r="F448" i="3" a="1"/>
  <c r="F448" i="3" s="1"/>
  <c r="G448" i="3" a="1"/>
  <c r="G448" i="3"/>
  <c r="H448" i="3" a="1"/>
  <c r="H448" i="3"/>
  <c r="I448" i="3" a="1"/>
  <c r="I448" i="3"/>
  <c r="B449" i="3" a="1"/>
  <c r="B449" i="3" s="1"/>
  <c r="C449" i="3" a="1"/>
  <c r="C449" i="3"/>
  <c r="D449" i="3" a="1"/>
  <c r="D449" i="3" s="1"/>
  <c r="E449" i="3" a="1"/>
  <c r="E449" i="3" s="1"/>
  <c r="F449" i="3" a="1"/>
  <c r="F449" i="3" s="1"/>
  <c r="G449" i="3" a="1"/>
  <c r="G449" i="3" s="1"/>
  <c r="H449" i="3" a="1"/>
  <c r="H449" i="3"/>
  <c r="I449" i="3" a="1"/>
  <c r="I449" i="3" s="1"/>
  <c r="B450" i="3" a="1"/>
  <c r="B450" i="3" s="1"/>
  <c r="C450" i="3" a="1"/>
  <c r="C450" i="3" s="1"/>
  <c r="D450" i="3" a="1"/>
  <c r="D450" i="3"/>
  <c r="E450" i="3" a="1"/>
  <c r="E450" i="3"/>
  <c r="F450" i="3" a="1"/>
  <c r="F450" i="3"/>
  <c r="G450" i="3" a="1"/>
  <c r="G450" i="3" s="1"/>
  <c r="H450" i="3" a="1"/>
  <c r="H450" i="3" s="1"/>
  <c r="I450" i="3" a="1"/>
  <c r="I450" i="3" s="1"/>
  <c r="B451" i="3" a="1"/>
  <c r="B451" i="3" s="1"/>
  <c r="C451" i="3" a="1"/>
  <c r="C451" i="3" s="1"/>
  <c r="D451" i="3" a="1"/>
  <c r="D451" i="3" s="1"/>
  <c r="E451" i="3" a="1"/>
  <c r="E451" i="3"/>
  <c r="F451" i="3" a="1"/>
  <c r="F451" i="3" s="1"/>
  <c r="G451" i="3" a="1"/>
  <c r="G451" i="3"/>
  <c r="H451" i="3" a="1"/>
  <c r="H451" i="3" s="1"/>
  <c r="I451" i="3" a="1"/>
  <c r="I451" i="3"/>
  <c r="B452" i="3" a="1"/>
  <c r="B452" i="3"/>
  <c r="C452" i="3" a="1"/>
  <c r="C452" i="3"/>
  <c r="D452" i="3" a="1"/>
  <c r="D452" i="3" s="1"/>
  <c r="E452" i="3" a="1"/>
  <c r="E452" i="3" s="1"/>
  <c r="F452" i="3" a="1"/>
  <c r="F452" i="3" s="1"/>
  <c r="G452" i="3" a="1"/>
  <c r="G452" i="3" s="1"/>
  <c r="H452" i="3" a="1"/>
  <c r="H452" i="3" s="1"/>
  <c r="I452" i="3" a="1"/>
  <c r="I452" i="3" s="1"/>
  <c r="B453" i="3" a="1"/>
  <c r="B453" i="3" s="1"/>
  <c r="C453" i="3" a="1"/>
  <c r="C453" i="3" s="1"/>
  <c r="D453" i="3" a="1"/>
  <c r="D453" i="3"/>
  <c r="E453" i="3" a="1"/>
  <c r="E453" i="3" s="1"/>
  <c r="F453" i="3" a="1"/>
  <c r="F453" i="3"/>
  <c r="G453" i="3" a="1"/>
  <c r="G453" i="3"/>
  <c r="H453" i="3" a="1"/>
  <c r="H453" i="3" s="1"/>
  <c r="I453" i="3" a="1"/>
  <c r="I453" i="3"/>
  <c r="B454" i="3" a="1"/>
  <c r="B454" i="3" s="1"/>
  <c r="C454" i="3" a="1"/>
  <c r="C454" i="3" s="1"/>
  <c r="D454" i="3" a="1"/>
  <c r="D454" i="3" s="1"/>
  <c r="E454" i="3" a="1"/>
  <c r="E454" i="3" s="1"/>
  <c r="F454" i="3" a="1"/>
  <c r="F454" i="3" s="1"/>
  <c r="G454" i="3" a="1"/>
  <c r="G454" i="3"/>
  <c r="H454" i="3" a="1"/>
  <c r="H454" i="3" s="1"/>
  <c r="I454" i="3" a="1"/>
  <c r="I454" i="3"/>
  <c r="B455" i="3" a="1"/>
  <c r="B455" i="3" s="1"/>
  <c r="C455" i="3" a="1"/>
  <c r="C455" i="3"/>
  <c r="D455" i="3" a="1"/>
  <c r="D455" i="3" s="1"/>
  <c r="E455" i="3" a="1"/>
  <c r="E455" i="3" s="1"/>
  <c r="F455" i="3" a="1"/>
  <c r="F455" i="3"/>
  <c r="G455" i="3" a="1"/>
  <c r="G455" i="3" s="1"/>
  <c r="H455" i="3" a="1"/>
  <c r="H455" i="3" s="1"/>
  <c r="I455" i="3" a="1"/>
  <c r="I455" i="3" s="1"/>
  <c r="B456" i="3" a="1"/>
  <c r="B456" i="3" s="1"/>
  <c r="C456" i="3" a="1"/>
  <c r="C456" i="3"/>
  <c r="D456" i="3" a="1"/>
  <c r="D456" i="3"/>
  <c r="E456" i="3" a="1"/>
  <c r="E456" i="3" s="1"/>
  <c r="F456" i="3" a="1"/>
  <c r="F456" i="3"/>
  <c r="G456" i="3" a="1"/>
  <c r="G456" i="3" s="1"/>
  <c r="H456" i="3" a="1"/>
  <c r="H456" i="3" s="1"/>
  <c r="I456" i="3" a="1"/>
  <c r="I456" i="3" s="1"/>
  <c r="B457" i="3" a="1"/>
  <c r="B457" i="3" s="1"/>
  <c r="C457" i="3" a="1"/>
  <c r="C457" i="3"/>
  <c r="D457" i="3" a="1"/>
  <c r="D457" i="3" s="1"/>
  <c r="E457" i="3" a="1"/>
  <c r="E457" i="3" s="1"/>
  <c r="F457" i="3" a="1"/>
  <c r="F457" i="3" s="1"/>
  <c r="G457" i="3" a="1"/>
  <c r="G457" i="3"/>
  <c r="H457" i="3" a="1"/>
  <c r="H457" i="3"/>
  <c r="I457" i="3" a="1"/>
  <c r="I457" i="3"/>
  <c r="B458" i="3" a="1"/>
  <c r="B458" i="3" s="1"/>
  <c r="C458" i="3" a="1"/>
  <c r="C458" i="3"/>
  <c r="D458" i="3" a="1"/>
  <c r="D458" i="3" s="1"/>
  <c r="E458" i="3" a="1"/>
  <c r="E458" i="3" s="1"/>
  <c r="F458" i="3" a="1"/>
  <c r="F458" i="3" s="1"/>
  <c r="G458" i="3" a="1"/>
  <c r="G458" i="3" s="1"/>
  <c r="H458" i="3" a="1"/>
  <c r="H458" i="3"/>
  <c r="I458" i="3" a="1"/>
  <c r="I458" i="3" s="1"/>
  <c r="B459" i="3" a="1"/>
  <c r="B459" i="3" s="1"/>
  <c r="C459" i="3" a="1"/>
  <c r="C459" i="3" s="1"/>
  <c r="D459" i="3" a="1"/>
  <c r="D459" i="3"/>
  <c r="E459" i="3" a="1"/>
  <c r="E459" i="3"/>
  <c r="F459" i="3" a="1"/>
  <c r="F459" i="3"/>
  <c r="G459" i="3" a="1"/>
  <c r="G459" i="3" s="1"/>
  <c r="H459" i="3" a="1"/>
  <c r="H459" i="3" s="1"/>
  <c r="I459" i="3" a="1"/>
  <c r="I459" i="3" s="1"/>
  <c r="B460" i="3" a="1"/>
  <c r="B460" i="3" s="1"/>
  <c r="C460" i="3" a="1"/>
  <c r="C460" i="3" s="1"/>
  <c r="D460" i="3" a="1"/>
  <c r="D460" i="3" s="1"/>
  <c r="E460" i="3" a="1"/>
  <c r="E460" i="3"/>
  <c r="F460" i="3" a="1"/>
  <c r="F460" i="3" s="1"/>
  <c r="G460" i="3" a="1"/>
  <c r="G460" i="3"/>
  <c r="H460" i="3" a="1"/>
  <c r="H460" i="3" s="1"/>
  <c r="I460" i="3" a="1"/>
  <c r="I460" i="3"/>
  <c r="B461" i="3" a="1"/>
  <c r="B461" i="3"/>
  <c r="C461" i="3" a="1"/>
  <c r="C461" i="3"/>
  <c r="D461" i="3" a="1"/>
  <c r="D461" i="3" s="1"/>
  <c r="E461" i="3" a="1"/>
  <c r="E461" i="3" s="1"/>
  <c r="F461" i="3" a="1"/>
  <c r="F461" i="3" s="1"/>
  <c r="G461" i="3" a="1"/>
  <c r="G461" i="3" s="1"/>
  <c r="H461" i="3" a="1"/>
  <c r="H461" i="3" s="1"/>
  <c r="I461" i="3" a="1"/>
  <c r="I461" i="3" s="1"/>
  <c r="B462" i="3" a="1"/>
  <c r="B462" i="3" s="1"/>
  <c r="C462" i="3" a="1"/>
  <c r="C462" i="3" s="1"/>
  <c r="D462" i="3" a="1"/>
  <c r="D462" i="3"/>
  <c r="E462" i="3" a="1"/>
  <c r="E462" i="3" s="1"/>
  <c r="F462" i="3" a="1"/>
  <c r="F462" i="3"/>
  <c r="G462" i="3" a="1"/>
  <c r="G462" i="3"/>
  <c r="H462" i="3" a="1"/>
  <c r="H462" i="3" s="1"/>
  <c r="I462" i="3" a="1"/>
  <c r="I462" i="3"/>
  <c r="B463" i="3" a="1"/>
  <c r="B463" i="3" s="1"/>
  <c r="C463" i="3" a="1"/>
  <c r="C463" i="3" s="1"/>
  <c r="D463" i="3" a="1"/>
  <c r="D463" i="3" s="1"/>
  <c r="E463" i="3" a="1"/>
  <c r="E463" i="3" s="1"/>
  <c r="F463" i="3" a="1"/>
  <c r="F463" i="3" s="1"/>
  <c r="G463" i="3" a="1"/>
  <c r="G463" i="3"/>
  <c r="H463" i="3" a="1"/>
  <c r="H463" i="3" s="1"/>
  <c r="I463" i="3" a="1"/>
  <c r="I463" i="3"/>
  <c r="B464" i="3" a="1"/>
  <c r="B464" i="3" s="1"/>
  <c r="C464" i="3" a="1"/>
  <c r="C464" i="3"/>
  <c r="D464" i="3" a="1"/>
  <c r="D464" i="3" s="1"/>
  <c r="E464" i="3" a="1"/>
  <c r="E464" i="3" s="1"/>
  <c r="F464" i="3" a="1"/>
  <c r="F464" i="3"/>
  <c r="G464" i="3" a="1"/>
  <c r="G464" i="3" s="1"/>
  <c r="H464" i="3" a="1"/>
  <c r="H464" i="3" s="1"/>
  <c r="I464" i="3" a="1"/>
  <c r="I464" i="3" s="1"/>
  <c r="B465" i="3" a="1"/>
  <c r="B465" i="3" s="1"/>
  <c r="C465" i="3" a="1"/>
  <c r="C465" i="3"/>
  <c r="D465" i="3" a="1"/>
  <c r="D465" i="3"/>
  <c r="E465" i="3" a="1"/>
  <c r="E465" i="3" s="1"/>
  <c r="F465" i="3" a="1"/>
  <c r="F465" i="3"/>
  <c r="G465" i="3" a="1"/>
  <c r="G465" i="3" s="1"/>
  <c r="H465" i="3" a="1"/>
  <c r="H465" i="3" s="1"/>
  <c r="I465" i="3" a="1"/>
  <c r="I465" i="3" s="1"/>
  <c r="B466" i="3" a="1"/>
  <c r="B466" i="3" s="1"/>
  <c r="C466" i="3" a="1"/>
  <c r="C466" i="3"/>
  <c r="D466" i="3" a="1"/>
  <c r="D466" i="3" s="1"/>
  <c r="E466" i="3" a="1"/>
  <c r="E466" i="3" s="1"/>
  <c r="F466" i="3" a="1"/>
  <c r="F466" i="3" s="1"/>
  <c r="G466" i="3" a="1"/>
  <c r="G466" i="3"/>
  <c r="H466" i="3" a="1"/>
  <c r="H466" i="3"/>
  <c r="I466" i="3" a="1"/>
  <c r="I466" i="3"/>
  <c r="B467" i="3" a="1"/>
  <c r="B467" i="3" s="1"/>
  <c r="C467" i="3" a="1"/>
  <c r="C467" i="3"/>
  <c r="D467" i="3" a="1"/>
  <c r="D467" i="3" s="1"/>
  <c r="E467" i="3" a="1"/>
  <c r="E467" i="3" s="1"/>
  <c r="F467" i="3" a="1"/>
  <c r="F467" i="3" s="1"/>
  <c r="G467" i="3" a="1"/>
  <c r="G467" i="3" s="1"/>
  <c r="H467" i="3" a="1"/>
  <c r="H467" i="3"/>
  <c r="I467" i="3" a="1"/>
  <c r="I467" i="3" s="1"/>
  <c r="B468" i="3" a="1"/>
  <c r="B468" i="3" s="1"/>
  <c r="C468" i="3" a="1"/>
  <c r="C468" i="3" s="1"/>
  <c r="D468" i="3" a="1"/>
  <c r="D468" i="3"/>
  <c r="E468" i="3" a="1"/>
  <c r="E468" i="3"/>
  <c r="F468" i="3" a="1"/>
  <c r="F468" i="3"/>
  <c r="G468" i="3" a="1"/>
  <c r="G468" i="3" s="1"/>
  <c r="H468" i="3" a="1"/>
  <c r="H468" i="3" s="1"/>
  <c r="I468" i="3" a="1"/>
  <c r="I468" i="3" s="1"/>
  <c r="B469" i="3" a="1"/>
  <c r="B469" i="3" s="1"/>
  <c r="C469" i="3" a="1"/>
  <c r="C469" i="3" s="1"/>
  <c r="D469" i="3" a="1"/>
  <c r="D469" i="3" s="1"/>
  <c r="E469" i="3" a="1"/>
  <c r="E469" i="3"/>
  <c r="F469" i="3" a="1"/>
  <c r="F469" i="3" s="1"/>
  <c r="G469" i="3" a="1"/>
  <c r="G469" i="3"/>
  <c r="H469" i="3" a="1"/>
  <c r="H469" i="3" s="1"/>
  <c r="I469" i="3" a="1"/>
  <c r="I469" i="3"/>
  <c r="B470" i="3" a="1"/>
  <c r="B470" i="3"/>
  <c r="C470" i="3" a="1"/>
  <c r="C470" i="3"/>
  <c r="D470" i="3" a="1"/>
  <c r="D470" i="3" s="1"/>
  <c r="E470" i="3" a="1"/>
  <c r="E470" i="3" s="1"/>
  <c r="F470" i="3" a="1"/>
  <c r="F470" i="3" s="1"/>
  <c r="G470" i="3" a="1"/>
  <c r="G470" i="3" s="1"/>
  <c r="H470" i="3" a="1"/>
  <c r="H470" i="3" s="1"/>
  <c r="I470" i="3" a="1"/>
  <c r="I470" i="3" s="1"/>
  <c r="B471" i="3" a="1"/>
  <c r="B471" i="3" s="1"/>
  <c r="C471" i="3" a="1"/>
  <c r="C471" i="3" s="1"/>
  <c r="D471" i="3" a="1"/>
  <c r="D471" i="3"/>
  <c r="E471" i="3" a="1"/>
  <c r="E471" i="3" s="1"/>
  <c r="F471" i="3" a="1"/>
  <c r="F471" i="3"/>
  <c r="G471" i="3" a="1"/>
  <c r="G471" i="3"/>
  <c r="H471" i="3" a="1"/>
  <c r="H471" i="3" s="1"/>
  <c r="I471" i="3" a="1"/>
  <c r="I471" i="3"/>
  <c r="B472" i="3" a="1"/>
  <c r="B472" i="3" s="1"/>
  <c r="C472" i="3" a="1"/>
  <c r="C472" i="3" s="1"/>
  <c r="D472" i="3" a="1"/>
  <c r="D472" i="3" s="1"/>
  <c r="E472" i="3" a="1"/>
  <c r="E472" i="3" s="1"/>
  <c r="F472" i="3" a="1"/>
  <c r="F472" i="3" s="1"/>
  <c r="G472" i="3" a="1"/>
  <c r="G472" i="3"/>
  <c r="H472" i="3" a="1"/>
  <c r="H472" i="3" s="1"/>
  <c r="I472" i="3" a="1"/>
  <c r="I472" i="3"/>
  <c r="B473" i="3" a="1"/>
  <c r="B473" i="3" s="1"/>
  <c r="C473" i="3" a="1"/>
  <c r="C473" i="3"/>
  <c r="D473" i="3" a="1"/>
  <c r="D473" i="3" s="1"/>
  <c r="E473" i="3" a="1"/>
  <c r="E473" i="3" s="1"/>
  <c r="F473" i="3" a="1"/>
  <c r="F473" i="3"/>
  <c r="G473" i="3" a="1"/>
  <c r="G473" i="3" s="1"/>
  <c r="H473" i="3" a="1"/>
  <c r="H473" i="3" s="1"/>
  <c r="I473" i="3" a="1"/>
  <c r="I473" i="3" s="1"/>
  <c r="B474" i="3" a="1"/>
  <c r="B474" i="3" s="1"/>
  <c r="C474" i="3" a="1"/>
  <c r="C474" i="3"/>
  <c r="D474" i="3" a="1"/>
  <c r="D474" i="3"/>
  <c r="E474" i="3" a="1"/>
  <c r="E474" i="3" s="1"/>
  <c r="F474" i="3" a="1"/>
  <c r="F474" i="3"/>
  <c r="G474" i="3" a="1"/>
  <c r="G474" i="3" s="1"/>
  <c r="H474" i="3" a="1"/>
  <c r="H474" i="3" s="1"/>
  <c r="I474" i="3" a="1"/>
  <c r="I474" i="3" s="1"/>
  <c r="B475" i="3" a="1"/>
  <c r="B475" i="3" s="1"/>
  <c r="C475" i="3" a="1"/>
  <c r="C475" i="3"/>
  <c r="D475" i="3" a="1"/>
  <c r="D475" i="3" s="1"/>
  <c r="E475" i="3" a="1"/>
  <c r="E475" i="3" s="1"/>
  <c r="F475" i="3" a="1"/>
  <c r="F475" i="3" s="1"/>
  <c r="G475" i="3" a="1"/>
  <c r="G475" i="3"/>
  <c r="H475" i="3" a="1"/>
  <c r="H475" i="3"/>
  <c r="I475" i="3" a="1"/>
  <c r="I475" i="3"/>
  <c r="B476" i="3" a="1"/>
  <c r="B476" i="3" s="1"/>
  <c r="C476" i="3" a="1"/>
  <c r="C476" i="3"/>
  <c r="D476" i="3" a="1"/>
  <c r="D476" i="3" s="1"/>
  <c r="E476" i="3" a="1"/>
  <c r="E476" i="3" s="1"/>
  <c r="F476" i="3" a="1"/>
  <c r="F476" i="3" s="1"/>
  <c r="G476" i="3" a="1"/>
  <c r="G476" i="3" s="1"/>
  <c r="H476" i="3" a="1"/>
  <c r="H476" i="3"/>
  <c r="I476" i="3" a="1"/>
  <c r="I476" i="3" s="1"/>
  <c r="B477" i="3" a="1"/>
  <c r="B477" i="3" s="1"/>
  <c r="C477" i="3" a="1"/>
  <c r="C477" i="3" s="1"/>
  <c r="D477" i="3" a="1"/>
  <c r="D477" i="3"/>
  <c r="E477" i="3" a="1"/>
  <c r="E477" i="3"/>
  <c r="F477" i="3" a="1"/>
  <c r="F477" i="3"/>
  <c r="G477" i="3" a="1"/>
  <c r="G477" i="3" s="1"/>
  <c r="H477" i="3" a="1"/>
  <c r="H477" i="3" s="1"/>
  <c r="I477" i="3" a="1"/>
  <c r="I477" i="3" s="1"/>
  <c r="B478" i="3" a="1"/>
  <c r="B478" i="3" s="1"/>
  <c r="C478" i="3" a="1"/>
  <c r="C478" i="3" s="1"/>
  <c r="D478" i="3" a="1"/>
  <c r="D478" i="3" s="1"/>
  <c r="E478" i="3" a="1"/>
  <c r="E478" i="3"/>
  <c r="F478" i="3" a="1"/>
  <c r="F478" i="3" s="1"/>
  <c r="G478" i="3" a="1"/>
  <c r="G478" i="3"/>
  <c r="H478" i="3" a="1"/>
  <c r="H478" i="3" s="1"/>
  <c r="I478" i="3" a="1"/>
  <c r="I478" i="3"/>
  <c r="B479" i="3" a="1"/>
  <c r="B479" i="3"/>
  <c r="C479" i="3" a="1"/>
  <c r="C479" i="3"/>
  <c r="D479" i="3" a="1"/>
  <c r="D479" i="3" s="1"/>
  <c r="E479" i="3" a="1"/>
  <c r="E479" i="3" s="1"/>
  <c r="F479" i="3" a="1"/>
  <c r="F479" i="3" s="1"/>
  <c r="G479" i="3" a="1"/>
  <c r="G479" i="3" s="1"/>
  <c r="H479" i="3" a="1"/>
  <c r="H479" i="3" s="1"/>
  <c r="I479" i="3" a="1"/>
  <c r="I479" i="3" s="1"/>
  <c r="B480" i="3" a="1"/>
  <c r="B480" i="3" s="1"/>
  <c r="C480" i="3" a="1"/>
  <c r="C480" i="3" s="1"/>
  <c r="D480" i="3" a="1"/>
  <c r="D480" i="3"/>
  <c r="E480" i="3" a="1"/>
  <c r="E480" i="3" s="1"/>
  <c r="F480" i="3" a="1"/>
  <c r="F480" i="3"/>
  <c r="G480" i="3" a="1"/>
  <c r="G480" i="3"/>
  <c r="H480" i="3" a="1"/>
  <c r="H480" i="3" s="1"/>
  <c r="I480" i="3" a="1"/>
  <c r="I480" i="3"/>
  <c r="B481" i="3" a="1"/>
  <c r="B481" i="3" s="1"/>
  <c r="C481" i="3" a="1"/>
  <c r="C481" i="3" s="1"/>
  <c r="D481" i="3" a="1"/>
  <c r="D481" i="3" s="1"/>
  <c r="E481" i="3" a="1"/>
  <c r="E481" i="3" s="1"/>
  <c r="F481" i="3" a="1"/>
  <c r="F481" i="3" s="1"/>
  <c r="G481" i="3" a="1"/>
  <c r="G481" i="3"/>
  <c r="H481" i="3" a="1"/>
  <c r="H481" i="3" s="1"/>
  <c r="I481" i="3" a="1"/>
  <c r="I481" i="3"/>
  <c r="B482" i="3" a="1"/>
  <c r="B482" i="3" s="1"/>
  <c r="C482" i="3" a="1"/>
  <c r="C482" i="3"/>
  <c r="D482" i="3" a="1"/>
  <c r="D482" i="3" s="1"/>
  <c r="E482" i="3" a="1"/>
  <c r="E482" i="3" s="1"/>
  <c r="F482" i="3" a="1"/>
  <c r="F482" i="3"/>
  <c r="G482" i="3" a="1"/>
  <c r="G482" i="3" s="1"/>
  <c r="H482" i="3" a="1"/>
  <c r="H482" i="3" s="1"/>
  <c r="I482" i="3" a="1"/>
  <c r="I482" i="3" s="1"/>
  <c r="B483" i="3" a="1"/>
  <c r="B483" i="3" s="1"/>
  <c r="C483" i="3" a="1"/>
  <c r="C483" i="3"/>
  <c r="D483" i="3" a="1"/>
  <c r="D483" i="3"/>
  <c r="E483" i="3" a="1"/>
  <c r="E483" i="3" s="1"/>
  <c r="F483" i="3" a="1"/>
  <c r="F483" i="3"/>
  <c r="G483" i="3" a="1"/>
  <c r="G483" i="3" s="1"/>
  <c r="H483" i="3" a="1"/>
  <c r="H483" i="3" s="1"/>
  <c r="I483" i="3" a="1"/>
  <c r="I483" i="3" s="1"/>
  <c r="B484" i="3" a="1"/>
  <c r="B484" i="3" s="1"/>
  <c r="C484" i="3" a="1"/>
  <c r="C484" i="3"/>
  <c r="D484" i="3" a="1"/>
  <c r="D484" i="3" s="1"/>
  <c r="E484" i="3" a="1"/>
  <c r="E484" i="3" s="1"/>
  <c r="F484" i="3" a="1"/>
  <c r="F484" i="3" s="1"/>
  <c r="G484" i="3" a="1"/>
  <c r="G484" i="3"/>
  <c r="H484" i="3" a="1"/>
  <c r="H484" i="3"/>
  <c r="I484" i="3" a="1"/>
  <c r="I484" i="3"/>
  <c r="B485" i="3" a="1"/>
  <c r="B485" i="3" s="1"/>
  <c r="C485" i="3" a="1"/>
  <c r="C485" i="3"/>
  <c r="D485" i="3" a="1"/>
  <c r="D485" i="3" s="1"/>
  <c r="E485" i="3" a="1"/>
  <c r="E485" i="3" s="1"/>
  <c r="F485" i="3" a="1"/>
  <c r="F485" i="3" s="1"/>
  <c r="G485" i="3" a="1"/>
  <c r="G485" i="3" s="1"/>
  <c r="H485" i="3" a="1"/>
  <c r="H485" i="3"/>
  <c r="I485" i="3" a="1"/>
  <c r="I485" i="3" s="1"/>
  <c r="B486" i="3" a="1"/>
  <c r="B486" i="3" s="1"/>
  <c r="C486" i="3" a="1"/>
  <c r="C486" i="3" s="1"/>
  <c r="D486" i="3" a="1"/>
  <c r="D486" i="3"/>
  <c r="E486" i="3" a="1"/>
  <c r="E486" i="3"/>
  <c r="F486" i="3" a="1"/>
  <c r="F486" i="3"/>
  <c r="G486" i="3" a="1"/>
  <c r="G486" i="3" s="1"/>
  <c r="H486" i="3" a="1"/>
  <c r="H486" i="3" s="1"/>
  <c r="I486" i="3" a="1"/>
  <c r="I486" i="3" s="1"/>
  <c r="B487" i="3" a="1"/>
  <c r="B487" i="3" s="1"/>
  <c r="C487" i="3" a="1"/>
  <c r="C487" i="3" s="1"/>
  <c r="D487" i="3" a="1"/>
  <c r="D487" i="3" s="1"/>
  <c r="E487" i="3" a="1"/>
  <c r="E487" i="3"/>
  <c r="F487" i="3" a="1"/>
  <c r="F487" i="3" s="1"/>
  <c r="G487" i="3" a="1"/>
  <c r="G487" i="3"/>
  <c r="H487" i="3" a="1"/>
  <c r="H487" i="3" s="1"/>
  <c r="I487" i="3" a="1"/>
  <c r="I487" i="3"/>
  <c r="B488" i="3" a="1"/>
  <c r="B488" i="3"/>
  <c r="C488" i="3" a="1"/>
  <c r="C488" i="3"/>
  <c r="D488" i="3" a="1"/>
  <c r="D488" i="3" s="1"/>
  <c r="E488" i="3" a="1"/>
  <c r="E488" i="3" s="1"/>
  <c r="F488" i="3" a="1"/>
  <c r="F488" i="3" s="1"/>
  <c r="G488" i="3" a="1"/>
  <c r="G488" i="3" s="1"/>
  <c r="H488" i="3" a="1"/>
  <c r="H488" i="3" s="1"/>
  <c r="I488" i="3" a="1"/>
  <c r="I488" i="3" s="1"/>
  <c r="B489" i="3" a="1"/>
  <c r="B489" i="3" s="1"/>
  <c r="C489" i="3" a="1"/>
  <c r="C489" i="3" s="1"/>
  <c r="D489" i="3" a="1"/>
  <c r="D489" i="3"/>
  <c r="E489" i="3" a="1"/>
  <c r="E489" i="3" s="1"/>
  <c r="F489" i="3" a="1"/>
  <c r="F489" i="3"/>
  <c r="G489" i="3" a="1"/>
  <c r="G489" i="3"/>
  <c r="H489" i="3" a="1"/>
  <c r="H489" i="3" s="1"/>
  <c r="I489" i="3" a="1"/>
  <c r="I489" i="3"/>
  <c r="B490" i="3" a="1"/>
  <c r="B490" i="3" s="1"/>
  <c r="C490" i="3" a="1"/>
  <c r="C490" i="3" s="1"/>
  <c r="D490" i="3" a="1"/>
  <c r="D490" i="3" s="1"/>
  <c r="E490" i="3" a="1"/>
  <c r="E490" i="3" s="1"/>
  <c r="F490" i="3" a="1"/>
  <c r="F490" i="3" s="1"/>
  <c r="G490" i="3" a="1"/>
  <c r="G490" i="3"/>
  <c r="H490" i="3" a="1"/>
  <c r="H490" i="3" s="1"/>
  <c r="I490" i="3" a="1"/>
  <c r="I490" i="3"/>
  <c r="B491" i="3" a="1"/>
  <c r="B491" i="3" s="1"/>
  <c r="C491" i="3" a="1"/>
  <c r="C491" i="3"/>
  <c r="D491" i="3" a="1"/>
  <c r="D491" i="3" s="1"/>
  <c r="E491" i="3" a="1"/>
  <c r="E491" i="3" s="1"/>
  <c r="F491" i="3" a="1"/>
  <c r="F491" i="3"/>
  <c r="G491" i="3" a="1"/>
  <c r="G491" i="3" s="1"/>
  <c r="H491" i="3" a="1"/>
  <c r="H491" i="3" s="1"/>
  <c r="I491" i="3" a="1"/>
  <c r="I491" i="3" s="1"/>
  <c r="B492" i="3" a="1"/>
  <c r="B492" i="3" s="1"/>
  <c r="C492" i="3" a="1"/>
  <c r="C492" i="3"/>
  <c r="D492" i="3" a="1"/>
  <c r="D492" i="3"/>
  <c r="E492" i="3" a="1"/>
  <c r="E492" i="3" s="1"/>
  <c r="F492" i="3" a="1"/>
  <c r="F492" i="3"/>
  <c r="G492" i="3" a="1"/>
  <c r="G492" i="3" s="1"/>
  <c r="H492" i="3" a="1"/>
  <c r="H492" i="3" s="1"/>
  <c r="I492" i="3" a="1"/>
  <c r="I492" i="3" s="1"/>
  <c r="B493" i="3" a="1"/>
  <c r="B493" i="3" s="1"/>
  <c r="C493" i="3" a="1"/>
  <c r="C493" i="3"/>
  <c r="D493" i="3" a="1"/>
  <c r="D493" i="3" s="1"/>
  <c r="E493" i="3" a="1"/>
  <c r="E493" i="3" s="1"/>
  <c r="F493" i="3" a="1"/>
  <c r="F493" i="3" s="1"/>
  <c r="G493" i="3" a="1"/>
  <c r="G493" i="3"/>
  <c r="H493" i="3" a="1"/>
  <c r="H493" i="3"/>
  <c r="I493" i="3" a="1"/>
  <c r="I493" i="3"/>
  <c r="B494" i="3" a="1"/>
  <c r="B494" i="3" s="1"/>
  <c r="C494" i="3" a="1"/>
  <c r="C494" i="3"/>
  <c r="D494" i="3" a="1"/>
  <c r="D494" i="3" s="1"/>
  <c r="E494" i="3" a="1"/>
  <c r="E494" i="3" s="1"/>
  <c r="F494" i="3" a="1"/>
  <c r="F494" i="3" s="1"/>
  <c r="G494" i="3" a="1"/>
  <c r="G494" i="3" s="1"/>
  <c r="H494" i="3" a="1"/>
  <c r="H494" i="3"/>
  <c r="I494" i="3" a="1"/>
  <c r="I494" i="3" s="1"/>
  <c r="B495" i="3" a="1"/>
  <c r="B495" i="3" s="1"/>
  <c r="C495" i="3" a="1"/>
  <c r="C495" i="3" s="1"/>
  <c r="D495" i="3" a="1"/>
  <c r="D495" i="3"/>
  <c r="E495" i="3" a="1"/>
  <c r="E495" i="3"/>
  <c r="F495" i="3" a="1"/>
  <c r="F495" i="3"/>
  <c r="G495" i="3" a="1"/>
  <c r="G495" i="3" s="1"/>
  <c r="H495" i="3" a="1"/>
  <c r="H495" i="3" s="1"/>
  <c r="I495" i="3" a="1"/>
  <c r="I495" i="3" s="1"/>
  <c r="B496" i="3" a="1"/>
  <c r="B496" i="3" s="1"/>
  <c r="C496" i="3" a="1"/>
  <c r="C496" i="3" s="1"/>
  <c r="D496" i="3" a="1"/>
  <c r="D496" i="3" s="1"/>
  <c r="E496" i="3" a="1"/>
  <c r="E496" i="3"/>
  <c r="F496" i="3" a="1"/>
  <c r="F496" i="3" s="1"/>
  <c r="G496" i="3" a="1"/>
  <c r="G496" i="3"/>
  <c r="H496" i="3" a="1"/>
  <c r="H496" i="3" s="1"/>
  <c r="I496" i="3" a="1"/>
  <c r="I496" i="3"/>
  <c r="B497" i="3" a="1"/>
  <c r="B497" i="3"/>
  <c r="C497" i="3" a="1"/>
  <c r="C497" i="3"/>
  <c r="D497" i="3" a="1"/>
  <c r="D497" i="3" s="1"/>
  <c r="E497" i="3" a="1"/>
  <c r="E497" i="3" s="1"/>
  <c r="F497" i="3" a="1"/>
  <c r="F497" i="3" s="1"/>
  <c r="G497" i="3" a="1"/>
  <c r="G497" i="3" s="1"/>
  <c r="H497" i="3" a="1"/>
  <c r="H497" i="3" s="1"/>
  <c r="I497" i="3" a="1"/>
  <c r="I497" i="3" s="1"/>
  <c r="B498" i="3" a="1"/>
  <c r="B498" i="3" s="1"/>
  <c r="C498" i="3" a="1"/>
  <c r="C498" i="3" s="1"/>
  <c r="D498" i="3" a="1"/>
  <c r="D498" i="3"/>
  <c r="E498" i="3" a="1"/>
  <c r="E498" i="3" s="1"/>
  <c r="F498" i="3" a="1"/>
  <c r="F498" i="3"/>
  <c r="G498" i="3" a="1"/>
  <c r="G498" i="3"/>
  <c r="H498" i="3" a="1"/>
  <c r="H498" i="3" s="1"/>
  <c r="I498" i="3" a="1"/>
  <c r="I498" i="3"/>
  <c r="B499" i="3" a="1"/>
  <c r="B499" i="3" s="1"/>
  <c r="C499" i="3" a="1"/>
  <c r="C499" i="3" s="1"/>
  <c r="D499" i="3" a="1"/>
  <c r="D499" i="3" s="1"/>
  <c r="E499" i="3" a="1"/>
  <c r="E499" i="3" s="1"/>
  <c r="F499" i="3" a="1"/>
  <c r="F499" i="3" s="1"/>
  <c r="G499" i="3" a="1"/>
  <c r="G499" i="3"/>
  <c r="H499" i="3" a="1"/>
  <c r="H499" i="3" s="1"/>
  <c r="I499" i="3" a="1"/>
  <c r="I499" i="3"/>
  <c r="B500" i="3" a="1"/>
  <c r="B500" i="3" s="1"/>
  <c r="C500" i="3" a="1"/>
  <c r="C500" i="3"/>
  <c r="D500" i="3" a="1"/>
  <c r="D500" i="3" s="1"/>
  <c r="E500" i="3" a="1"/>
  <c r="E500" i="3" s="1"/>
  <c r="F500" i="3" a="1"/>
  <c r="F500" i="3"/>
  <c r="G500" i="3" a="1"/>
  <c r="G500" i="3" s="1"/>
  <c r="H500" i="3" a="1"/>
  <c r="H500" i="3" s="1"/>
  <c r="I500" i="3" a="1"/>
  <c r="I500" i="3" s="1"/>
  <c r="B501" i="3" a="1"/>
  <c r="B501" i="3" s="1"/>
  <c r="C501" i="3" a="1"/>
  <c r="C501" i="3"/>
  <c r="D501" i="3" a="1"/>
  <c r="D501" i="3"/>
  <c r="E501" i="3" a="1"/>
  <c r="E501" i="3" s="1"/>
  <c r="F501" i="3" a="1"/>
  <c r="F501" i="3"/>
  <c r="G501" i="3" a="1"/>
  <c r="G501" i="3" s="1"/>
  <c r="H501" i="3" a="1"/>
  <c r="H501" i="3" s="1"/>
  <c r="I501" i="3" a="1"/>
  <c r="I501" i="3" s="1"/>
  <c r="B502" i="3" a="1"/>
  <c r="B502" i="3" s="1"/>
  <c r="C502" i="3" a="1"/>
  <c r="C502" i="3"/>
  <c r="D502" i="3" a="1"/>
  <c r="D502" i="3" s="1"/>
  <c r="E502" i="3" a="1"/>
  <c r="E502" i="3" s="1"/>
  <c r="F502" i="3" a="1"/>
  <c r="F502" i="3" s="1"/>
  <c r="G502" i="3" a="1"/>
  <c r="G502" i="3"/>
  <c r="H502" i="3" a="1"/>
  <c r="H502" i="3"/>
  <c r="I502" i="3" a="1"/>
  <c r="I502" i="3"/>
  <c r="B503" i="3" a="1"/>
  <c r="B503" i="3" s="1"/>
  <c r="C503" i="3" a="1"/>
  <c r="C503" i="3"/>
  <c r="D503" i="3" a="1"/>
  <c r="D503" i="3" s="1"/>
  <c r="E503" i="3" a="1"/>
  <c r="E503" i="3" s="1"/>
  <c r="F503" i="3" a="1"/>
  <c r="F503" i="3" s="1"/>
  <c r="G503" i="3" a="1"/>
  <c r="G503" i="3" s="1"/>
  <c r="H503" i="3" a="1"/>
  <c r="H503" i="3"/>
  <c r="I503" i="3" a="1"/>
  <c r="I503" i="3" s="1"/>
  <c r="B504" i="3" a="1"/>
  <c r="B504" i="3" s="1"/>
  <c r="C504" i="3" a="1"/>
  <c r="C504" i="3" s="1"/>
  <c r="D504" i="3" a="1"/>
  <c r="D504" i="3"/>
  <c r="E504" i="3" a="1"/>
  <c r="E504" i="3"/>
  <c r="F504" i="3" a="1"/>
  <c r="F504" i="3"/>
  <c r="G504" i="3" a="1"/>
  <c r="G504" i="3" s="1"/>
  <c r="H504" i="3" a="1"/>
  <c r="H504" i="3" s="1"/>
  <c r="I504" i="3" a="1"/>
  <c r="I504" i="3" s="1"/>
  <c r="B505" i="3" a="1"/>
  <c r="B505" i="3" s="1"/>
  <c r="C505" i="3" a="1"/>
  <c r="C505" i="3" s="1"/>
  <c r="D505" i="3" a="1"/>
  <c r="D505" i="3" s="1"/>
  <c r="E505" i="3" a="1"/>
  <c r="E505" i="3"/>
  <c r="F505" i="3" a="1"/>
  <c r="F505" i="3" s="1"/>
  <c r="G505" i="3" a="1"/>
  <c r="G505" i="3"/>
  <c r="H505" i="3" a="1"/>
  <c r="H505" i="3" s="1"/>
  <c r="I505" i="3" a="1"/>
  <c r="I505" i="3"/>
  <c r="B506" i="3" a="1"/>
  <c r="B506" i="3"/>
  <c r="C506" i="3" a="1"/>
  <c r="C506" i="3"/>
  <c r="D506" i="3" a="1"/>
  <c r="D506" i="3" s="1"/>
  <c r="E506" i="3" a="1"/>
  <c r="E506" i="3" s="1"/>
  <c r="F506" i="3" a="1"/>
  <c r="F506" i="3" s="1"/>
  <c r="G506" i="3" a="1"/>
  <c r="G506" i="3" s="1"/>
  <c r="H506" i="3" a="1"/>
  <c r="H506" i="3" s="1"/>
  <c r="I506" i="3" a="1"/>
  <c r="I506" i="3" s="1"/>
  <c r="B507" i="3" a="1"/>
  <c r="B507" i="3" s="1"/>
  <c r="C507" i="3" a="1"/>
  <c r="C507" i="3" s="1"/>
  <c r="D507" i="3" a="1"/>
  <c r="D507" i="3"/>
  <c r="E507" i="3" a="1"/>
  <c r="E507" i="3" s="1"/>
  <c r="F507" i="3" a="1"/>
  <c r="F507" i="3"/>
  <c r="G507" i="3" a="1"/>
  <c r="G507" i="3"/>
  <c r="H507" i="3" a="1"/>
  <c r="H507" i="3" s="1"/>
  <c r="I507" i="3" a="1"/>
  <c r="I507" i="3"/>
  <c r="B508" i="3" a="1"/>
  <c r="B508" i="3" s="1"/>
  <c r="C508" i="3" a="1"/>
  <c r="C508" i="3" s="1"/>
  <c r="D508" i="3" a="1"/>
  <c r="D508" i="3" s="1"/>
  <c r="E508" i="3" a="1"/>
  <c r="E508" i="3" s="1"/>
  <c r="F508" i="3" a="1"/>
  <c r="F508" i="3" s="1"/>
  <c r="G508" i="3" a="1"/>
  <c r="G508" i="3"/>
  <c r="H508" i="3" a="1"/>
  <c r="H508" i="3" s="1"/>
  <c r="I508" i="3" a="1"/>
  <c r="I508" i="3"/>
  <c r="B509" i="3" a="1"/>
  <c r="B509" i="3" s="1"/>
  <c r="C509" i="3" a="1"/>
  <c r="C509" i="3"/>
  <c r="D509" i="3" a="1"/>
  <c r="D509" i="3" s="1"/>
  <c r="E509" i="3" a="1"/>
  <c r="E509" i="3" s="1"/>
  <c r="F509" i="3" a="1"/>
  <c r="F509" i="3"/>
  <c r="G509" i="3" a="1"/>
  <c r="G509" i="3" s="1"/>
  <c r="H509" i="3" a="1"/>
  <c r="H509" i="3" s="1"/>
  <c r="I509" i="3" a="1"/>
  <c r="I509" i="3" s="1"/>
  <c r="B510" i="3" a="1"/>
  <c r="B510" i="3" s="1"/>
  <c r="C510" i="3" a="1"/>
  <c r="C510" i="3"/>
  <c r="D510" i="3" a="1"/>
  <c r="D510" i="3"/>
  <c r="E510" i="3" a="1"/>
  <c r="E510" i="3" s="1"/>
  <c r="F510" i="3" a="1"/>
  <c r="F510" i="3"/>
  <c r="G510" i="3" a="1"/>
  <c r="G510" i="3" s="1"/>
  <c r="H510" i="3" a="1"/>
  <c r="H510" i="3" s="1"/>
  <c r="I510" i="3" a="1"/>
  <c r="I510" i="3" s="1"/>
  <c r="B511" i="3" a="1"/>
  <c r="B511" i="3" s="1"/>
  <c r="C511" i="3" a="1"/>
  <c r="C511" i="3"/>
  <c r="D511" i="3" a="1"/>
  <c r="D511" i="3" s="1"/>
  <c r="E511" i="3" a="1"/>
  <c r="E511" i="3" s="1"/>
  <c r="F511" i="3" a="1"/>
  <c r="F511" i="3" s="1"/>
  <c r="G511" i="3" a="1"/>
  <c r="G511" i="3"/>
  <c r="H511" i="3" a="1"/>
  <c r="H511" i="3"/>
  <c r="I511" i="3" a="1"/>
  <c r="I511" i="3"/>
  <c r="B512" i="3" a="1"/>
  <c r="B512" i="3" s="1"/>
  <c r="C512" i="3" a="1"/>
  <c r="C512" i="3"/>
  <c r="D512" i="3" a="1"/>
  <c r="D512" i="3" s="1"/>
  <c r="E512" i="3" a="1"/>
  <c r="E512" i="3" s="1"/>
  <c r="F512" i="3" a="1"/>
  <c r="F512" i="3" s="1"/>
  <c r="G512" i="3" a="1"/>
  <c r="G512" i="3" s="1"/>
  <c r="H512" i="3" a="1"/>
  <c r="H512" i="3"/>
  <c r="I512" i="3" a="1"/>
  <c r="I512" i="3" s="1"/>
  <c r="B513" i="3" a="1"/>
  <c r="B513" i="3" s="1"/>
  <c r="C513" i="3" a="1"/>
  <c r="C513" i="3" s="1"/>
  <c r="D513" i="3" a="1"/>
  <c r="D513" i="3"/>
  <c r="E513" i="3" a="1"/>
  <c r="E513" i="3"/>
  <c r="F513" i="3" a="1"/>
  <c r="F513" i="3"/>
  <c r="G513" i="3" a="1"/>
  <c r="G513" i="3" s="1"/>
  <c r="H513" i="3" a="1"/>
  <c r="H513" i="3" s="1"/>
  <c r="I513" i="3" a="1"/>
  <c r="I513" i="3" s="1"/>
  <c r="B514" i="3" a="1"/>
  <c r="B514" i="3" s="1"/>
  <c r="C514" i="3" a="1"/>
  <c r="C514" i="3" s="1"/>
  <c r="D514" i="3" a="1"/>
  <c r="D514" i="3" s="1"/>
  <c r="E514" i="3" a="1"/>
  <c r="E514" i="3"/>
  <c r="F514" i="3" a="1"/>
  <c r="F514" i="3" s="1"/>
  <c r="G514" i="3" a="1"/>
  <c r="G514" i="3"/>
  <c r="H514" i="3" a="1"/>
  <c r="H514" i="3" s="1"/>
  <c r="I514" i="3" a="1"/>
  <c r="I514" i="3"/>
  <c r="B515" i="3" a="1"/>
  <c r="B515" i="3"/>
  <c r="C515" i="3" a="1"/>
  <c r="C515" i="3"/>
  <c r="D515" i="3" a="1"/>
  <c r="D515" i="3" s="1"/>
  <c r="E515" i="3" a="1"/>
  <c r="E515" i="3" s="1"/>
  <c r="F515" i="3" a="1"/>
  <c r="F515" i="3" s="1"/>
  <c r="G515" i="3" a="1"/>
  <c r="G515" i="3" s="1"/>
  <c r="H515" i="3" a="1"/>
  <c r="H515" i="3" s="1"/>
  <c r="I515" i="3" a="1"/>
  <c r="I515" i="3" s="1"/>
  <c r="B516" i="3" a="1"/>
  <c r="B516" i="3" s="1"/>
  <c r="C516" i="3" a="1"/>
  <c r="C516" i="3" s="1"/>
  <c r="D516" i="3" a="1"/>
  <c r="D516" i="3"/>
  <c r="E516" i="3" a="1"/>
  <c r="E516" i="3" s="1"/>
  <c r="F516" i="3" a="1"/>
  <c r="F516" i="3"/>
  <c r="G516" i="3" a="1"/>
  <c r="G516" i="3"/>
  <c r="H516" i="3" a="1"/>
  <c r="H516" i="3" s="1"/>
  <c r="I516" i="3" a="1"/>
  <c r="I516" i="3"/>
  <c r="B517" i="3" a="1"/>
  <c r="B517" i="3" s="1"/>
  <c r="C517" i="3" a="1"/>
  <c r="C517" i="3" s="1"/>
  <c r="D517" i="3" a="1"/>
  <c r="D517" i="3" s="1"/>
  <c r="E517" i="3" a="1"/>
  <c r="E517" i="3" s="1"/>
  <c r="F517" i="3" a="1"/>
  <c r="F517" i="3" s="1"/>
  <c r="G517" i="3" a="1"/>
  <c r="G517" i="3"/>
  <c r="H517" i="3" a="1"/>
  <c r="H517" i="3" s="1"/>
  <c r="I517" i="3" a="1"/>
  <c r="I517" i="3"/>
  <c r="B518" i="3" a="1"/>
  <c r="B518" i="3" s="1"/>
  <c r="C518" i="3" a="1"/>
  <c r="C518" i="3"/>
  <c r="D518" i="3" a="1"/>
  <c r="D518" i="3" s="1"/>
  <c r="E518" i="3" a="1"/>
  <c r="E518" i="3" s="1"/>
  <c r="F518" i="3" a="1"/>
  <c r="F518" i="3"/>
  <c r="G518" i="3" a="1"/>
  <c r="G518" i="3" s="1"/>
  <c r="H518" i="3" a="1"/>
  <c r="H518" i="3" s="1"/>
  <c r="I518" i="3" a="1"/>
  <c r="I518" i="3" s="1"/>
  <c r="B519" i="3" a="1"/>
  <c r="B519" i="3" s="1"/>
  <c r="C519" i="3" a="1"/>
  <c r="C519" i="3"/>
  <c r="D519" i="3" a="1"/>
  <c r="D519" i="3"/>
  <c r="E519" i="3" a="1"/>
  <c r="E519" i="3" s="1"/>
  <c r="F519" i="3" a="1"/>
  <c r="F519" i="3"/>
  <c r="G519" i="3" a="1"/>
  <c r="G519" i="3" s="1"/>
  <c r="H519" i="3" a="1"/>
  <c r="H519" i="3" s="1"/>
  <c r="I519" i="3" a="1"/>
  <c r="I519" i="3" s="1"/>
  <c r="B520" i="3" a="1"/>
  <c r="B520" i="3" s="1"/>
  <c r="C520" i="3" a="1"/>
  <c r="C520" i="3"/>
  <c r="D520" i="3" a="1"/>
  <c r="D520" i="3" s="1"/>
  <c r="E520" i="3" a="1"/>
  <c r="E520" i="3" s="1"/>
  <c r="F520" i="3" a="1"/>
  <c r="F520" i="3" s="1"/>
  <c r="G520" i="3" a="1"/>
  <c r="G520" i="3"/>
  <c r="H520" i="3" a="1"/>
  <c r="H520" i="3"/>
  <c r="I520" i="3" a="1"/>
  <c r="I520" i="3"/>
  <c r="B521" i="3" a="1"/>
  <c r="B521" i="3" s="1"/>
  <c r="C521" i="3" a="1"/>
  <c r="C521" i="3"/>
  <c r="D521" i="3" a="1"/>
  <c r="D521" i="3" s="1"/>
  <c r="E521" i="3" a="1"/>
  <c r="E521" i="3" s="1"/>
  <c r="F521" i="3" a="1"/>
  <c r="F521" i="3" s="1"/>
  <c r="G521" i="3" a="1"/>
  <c r="G521" i="3" s="1"/>
  <c r="H521" i="3" a="1"/>
  <c r="H521" i="3"/>
  <c r="I521" i="3" a="1"/>
  <c r="I521" i="3" s="1"/>
  <c r="B522" i="3" a="1"/>
  <c r="B522" i="3" s="1"/>
  <c r="C522" i="3" a="1"/>
  <c r="C522" i="3" s="1"/>
  <c r="D522" i="3" a="1"/>
  <c r="D522" i="3"/>
  <c r="E522" i="3" a="1"/>
  <c r="E522" i="3"/>
  <c r="F522" i="3" a="1"/>
  <c r="F522" i="3"/>
  <c r="G522" i="3" a="1"/>
  <c r="G522" i="3" s="1"/>
  <c r="H522" i="3" a="1"/>
  <c r="H522" i="3" s="1"/>
  <c r="I522" i="3" a="1"/>
  <c r="I522" i="3" s="1"/>
  <c r="B523" i="3" a="1"/>
  <c r="B523" i="3" s="1"/>
  <c r="C523" i="3" a="1"/>
  <c r="C523" i="3" s="1"/>
  <c r="D523" i="3" a="1"/>
  <c r="D523" i="3" s="1"/>
  <c r="E523" i="3" a="1"/>
  <c r="E523" i="3"/>
  <c r="F523" i="3" a="1"/>
  <c r="F523" i="3" s="1"/>
  <c r="G523" i="3" a="1"/>
  <c r="G523" i="3"/>
  <c r="H523" i="3" a="1"/>
  <c r="H523" i="3" s="1"/>
  <c r="I523" i="3" a="1"/>
  <c r="I523" i="3"/>
  <c r="B524" i="3" a="1"/>
  <c r="B524" i="3"/>
  <c r="C524" i="3" a="1"/>
  <c r="C524" i="3"/>
  <c r="D524" i="3" a="1"/>
  <c r="D524" i="3" s="1"/>
  <c r="E524" i="3" a="1"/>
  <c r="E524" i="3" s="1"/>
  <c r="F524" i="3" a="1"/>
  <c r="F524" i="3" s="1"/>
  <c r="G524" i="3" a="1"/>
  <c r="G524" i="3" s="1"/>
  <c r="H524" i="3" a="1"/>
  <c r="H524" i="3" s="1"/>
  <c r="I524" i="3" a="1"/>
  <c r="I524" i="3" s="1"/>
  <c r="B525" i="3" a="1"/>
  <c r="B525" i="3" s="1"/>
  <c r="C525" i="3" a="1"/>
  <c r="C525" i="3" s="1"/>
  <c r="D525" i="3" a="1"/>
  <c r="D525" i="3"/>
  <c r="E525" i="3" a="1"/>
  <c r="E525" i="3" s="1"/>
  <c r="F525" i="3" a="1"/>
  <c r="F525" i="3"/>
  <c r="G525" i="3" a="1"/>
  <c r="G525" i="3"/>
  <c r="H525" i="3" a="1"/>
  <c r="H525" i="3" s="1"/>
  <c r="I525" i="3" a="1"/>
  <c r="I525" i="3" s="1"/>
  <c r="B526" i="3" a="1"/>
  <c r="B526" i="3" s="1"/>
  <c r="C526" i="3" a="1"/>
  <c r="C526" i="3" s="1"/>
  <c r="D526" i="3" a="1"/>
  <c r="D526" i="3" s="1"/>
  <c r="E526" i="3" a="1"/>
  <c r="E526" i="3" s="1"/>
  <c r="F526" i="3" a="1"/>
  <c r="F526" i="3" s="1"/>
  <c r="G526" i="3" a="1"/>
  <c r="G526" i="3"/>
  <c r="H526" i="3" a="1"/>
  <c r="H526" i="3" s="1"/>
  <c r="I526" i="3" a="1"/>
  <c r="I526" i="3"/>
  <c r="B527" i="3" a="1"/>
  <c r="B527" i="3" s="1"/>
  <c r="C527" i="3" a="1"/>
  <c r="C527" i="3"/>
  <c r="D527" i="3" a="1"/>
  <c r="D527" i="3" s="1"/>
  <c r="E527" i="3" a="1"/>
  <c r="E527" i="3" s="1"/>
  <c r="F527" i="3" a="1"/>
  <c r="F527" i="3" s="1"/>
  <c r="G527" i="3" a="1"/>
  <c r="G527" i="3" s="1"/>
  <c r="H527" i="3" a="1"/>
  <c r="H527" i="3" s="1"/>
  <c r="I527" i="3" a="1"/>
  <c r="I527" i="3" s="1"/>
  <c r="B528" i="3" a="1"/>
  <c r="B528" i="3" s="1"/>
  <c r="C528" i="3" a="1"/>
  <c r="C528" i="3"/>
  <c r="D528" i="3" a="1"/>
  <c r="D528" i="3"/>
  <c r="E528" i="3" a="1"/>
  <c r="E528" i="3" s="1"/>
  <c r="F528" i="3" a="1"/>
  <c r="F528" i="3"/>
  <c r="G528" i="3" a="1"/>
  <c r="G528" i="3" s="1"/>
  <c r="H528" i="3" a="1"/>
  <c r="H528" i="3" s="1"/>
  <c r="I528" i="3" a="1"/>
  <c r="I528" i="3" s="1"/>
  <c r="B529" i="3" a="1"/>
  <c r="B529" i="3" s="1"/>
  <c r="C529" i="3" a="1"/>
  <c r="C529" i="3" s="1"/>
  <c r="D529" i="3" a="1"/>
  <c r="D529" i="3" s="1"/>
  <c r="E529" i="3" a="1"/>
  <c r="E529" i="3" s="1"/>
  <c r="F529" i="3" a="1"/>
  <c r="F529" i="3" s="1"/>
  <c r="G529" i="3" a="1"/>
  <c r="G529" i="3"/>
  <c r="H529" i="3" a="1"/>
  <c r="H529" i="3"/>
  <c r="I529" i="3" a="1"/>
  <c r="I529" i="3"/>
  <c r="B530" i="3" a="1"/>
  <c r="B530" i="3"/>
  <c r="C530" i="3" a="1"/>
  <c r="C530" i="3"/>
  <c r="D530" i="3" a="1"/>
  <c r="D530" i="3" s="1"/>
  <c r="E530" i="3" a="1"/>
  <c r="E530" i="3" s="1"/>
  <c r="F530" i="3" a="1"/>
  <c r="F530" i="3" s="1"/>
  <c r="G530" i="3" a="1"/>
  <c r="G530" i="3" s="1"/>
  <c r="H530" i="3" a="1"/>
  <c r="H530" i="3"/>
  <c r="I530" i="3" a="1"/>
  <c r="I530" i="3" s="1"/>
  <c r="B531" i="3" a="1"/>
  <c r="B531" i="3" s="1"/>
  <c r="C531" i="3" a="1"/>
  <c r="C531" i="3" s="1"/>
  <c r="D531" i="3" a="1"/>
  <c r="D531" i="3"/>
  <c r="E531" i="3" a="1"/>
  <c r="E531" i="3"/>
  <c r="F531" i="3" a="1"/>
  <c r="F531" i="3"/>
  <c r="G531" i="3" a="1"/>
  <c r="G531" i="3" s="1"/>
  <c r="H531" i="3" a="1"/>
  <c r="H531" i="3" s="1"/>
  <c r="I531" i="3" a="1"/>
  <c r="I531" i="3" s="1"/>
  <c r="B532" i="3" a="1"/>
  <c r="B532" i="3" s="1"/>
  <c r="C532" i="3" a="1"/>
  <c r="C532" i="3" s="1"/>
  <c r="D532" i="3" a="1"/>
  <c r="D532" i="3" s="1"/>
  <c r="E532" i="3" a="1"/>
  <c r="E532" i="3" s="1"/>
  <c r="F532" i="3" a="1"/>
  <c r="F532" i="3" s="1"/>
  <c r="G532" i="3" a="1"/>
  <c r="G532" i="3"/>
  <c r="H532" i="3" a="1"/>
  <c r="H532" i="3" s="1"/>
  <c r="I532" i="3" a="1"/>
  <c r="I532" i="3"/>
  <c r="B533" i="3" a="1"/>
  <c r="B533" i="3"/>
  <c r="C533" i="3" a="1"/>
  <c r="C533" i="3"/>
  <c r="D533" i="3" a="1"/>
  <c r="D533" i="3" s="1"/>
  <c r="E533" i="3" a="1"/>
  <c r="E533" i="3"/>
  <c r="F533" i="3" a="1"/>
  <c r="F533" i="3" s="1"/>
  <c r="G533" i="3" a="1"/>
  <c r="G533" i="3" s="1"/>
  <c r="H533" i="3" a="1"/>
  <c r="H533" i="3" s="1"/>
  <c r="I533" i="3" a="1"/>
  <c r="I533" i="3" s="1"/>
  <c r="B534" i="3" a="1"/>
  <c r="B534" i="3" s="1"/>
  <c r="C534" i="3" a="1"/>
  <c r="C534" i="3"/>
  <c r="D534" i="3" a="1"/>
  <c r="D534" i="3" s="1"/>
  <c r="E534" i="3" a="1"/>
  <c r="E534" i="3" s="1"/>
  <c r="F534" i="3" a="1"/>
  <c r="F534" i="3"/>
  <c r="G534" i="3" a="1"/>
  <c r="G534" i="3"/>
  <c r="H534" i="3" a="1"/>
  <c r="H534" i="3" s="1"/>
  <c r="I534" i="3" a="1"/>
  <c r="I534" i="3" s="1"/>
  <c r="B535" i="3" a="1"/>
  <c r="B535" i="3"/>
  <c r="C535" i="3" a="1"/>
  <c r="C535" i="3" s="1"/>
  <c r="D535" i="3" a="1"/>
  <c r="D535" i="3" s="1"/>
  <c r="E535" i="3" a="1"/>
  <c r="E535" i="3" s="1"/>
  <c r="F535" i="3" a="1"/>
  <c r="F535" i="3" s="1"/>
  <c r="G535" i="3" a="1"/>
  <c r="G535" i="3" s="1"/>
  <c r="H535" i="3" a="1"/>
  <c r="H535" i="3" s="1"/>
  <c r="I535" i="3" a="1"/>
  <c r="I535" i="3" s="1"/>
  <c r="B536" i="3" a="1"/>
  <c r="B536" i="3" s="1"/>
  <c r="C536" i="3" a="1"/>
  <c r="C536" i="3"/>
  <c r="D536" i="3" a="1"/>
  <c r="D536" i="3" s="1"/>
  <c r="E536" i="3" a="1"/>
  <c r="E536" i="3" s="1"/>
  <c r="F536" i="3" a="1"/>
  <c r="F536" i="3" s="1"/>
  <c r="G536" i="3" a="1"/>
  <c r="G536" i="3" s="1"/>
  <c r="H536" i="3" a="1"/>
  <c r="H536" i="3" s="1"/>
  <c r="I536" i="3" a="1"/>
  <c r="I536" i="3" s="1"/>
  <c r="B537" i="3" a="1"/>
  <c r="B537" i="3" s="1"/>
  <c r="C537" i="3" a="1"/>
  <c r="C537" i="3"/>
  <c r="D537" i="3" a="1"/>
  <c r="D537" i="3" s="1"/>
  <c r="E537" i="3" a="1"/>
  <c r="E537" i="3" s="1"/>
  <c r="F537" i="3" a="1"/>
  <c r="F537" i="3" s="1"/>
  <c r="G537" i="3" a="1"/>
  <c r="G537" i="3" s="1"/>
  <c r="H537" i="3" a="1"/>
  <c r="H537" i="3" s="1"/>
  <c r="I537" i="3" a="1"/>
  <c r="I537" i="3" s="1"/>
  <c r="B538" i="3" a="1"/>
  <c r="B538" i="3" s="1"/>
  <c r="C538" i="3" a="1"/>
  <c r="C538" i="3" s="1"/>
  <c r="D538" i="3" a="1"/>
  <c r="D538" i="3"/>
  <c r="E538" i="3" a="1"/>
  <c r="E538" i="3"/>
  <c r="F538" i="3" a="1"/>
  <c r="F538" i="3" s="1"/>
  <c r="G538" i="3" a="1"/>
  <c r="G538" i="3"/>
  <c r="H538" i="3" a="1"/>
  <c r="H538" i="3"/>
  <c r="I538" i="3" a="1"/>
  <c r="I538" i="3"/>
  <c r="B539" i="3" a="1"/>
  <c r="B539" i="3" s="1"/>
  <c r="C539" i="3" a="1"/>
  <c r="C539" i="3" s="1"/>
  <c r="D539" i="3" a="1"/>
  <c r="D539" i="3" s="1"/>
  <c r="E539" i="3" a="1"/>
  <c r="E539" i="3" s="1"/>
  <c r="F539" i="3" a="1"/>
  <c r="F539" i="3" s="1"/>
  <c r="G539" i="3" a="1"/>
  <c r="G539" i="3"/>
  <c r="H539" i="3" a="1"/>
  <c r="H539" i="3" s="1"/>
  <c r="I539" i="3" a="1"/>
  <c r="I539" i="3" s="1"/>
  <c r="B540" i="3" a="1"/>
  <c r="B540" i="3" s="1"/>
  <c r="C540" i="3" a="1"/>
  <c r="C540" i="3" s="1"/>
  <c r="D540" i="3" a="1"/>
  <c r="D540" i="3"/>
  <c r="E540" i="3" a="1"/>
  <c r="E540" i="3"/>
  <c r="F540" i="3" a="1"/>
  <c r="F540" i="3"/>
  <c r="G540" i="3" a="1"/>
  <c r="G540" i="3" s="1"/>
  <c r="H540" i="3" a="1"/>
  <c r="H540" i="3" s="1"/>
  <c r="I540" i="3" a="1"/>
  <c r="I540" i="3" s="1"/>
  <c r="B541" i="3" a="1"/>
  <c r="B541" i="3" s="1"/>
  <c r="C541" i="3" a="1"/>
  <c r="C541" i="3" s="1"/>
  <c r="D541" i="3" a="1"/>
  <c r="D541" i="3" s="1"/>
  <c r="E541" i="3" a="1"/>
  <c r="E541" i="3" s="1"/>
  <c r="F541" i="3" a="1"/>
  <c r="F541" i="3" s="1"/>
  <c r="G541" i="3" a="1"/>
  <c r="G541" i="3" s="1"/>
  <c r="H541" i="3" a="1"/>
  <c r="H541" i="3" s="1"/>
  <c r="I541" i="3" a="1"/>
  <c r="I541" i="3"/>
  <c r="B542" i="3" a="1"/>
  <c r="B542" i="3"/>
  <c r="C542" i="3" a="1"/>
  <c r="C542" i="3" s="1"/>
  <c r="D542" i="3" a="1"/>
  <c r="D542" i="3" s="1"/>
  <c r="E542" i="3" a="1"/>
  <c r="E542" i="3"/>
  <c r="F542" i="3" a="1"/>
  <c r="F542" i="3" s="1"/>
  <c r="G542" i="3" a="1"/>
  <c r="G542" i="3" s="1"/>
  <c r="H542" i="3" a="1"/>
  <c r="H542" i="3" s="1"/>
  <c r="I542" i="3" a="1"/>
  <c r="I542" i="3"/>
  <c r="B543" i="3" a="1"/>
  <c r="B543" i="3" s="1"/>
  <c r="C543" i="3" a="1"/>
  <c r="C543" i="3" s="1"/>
  <c r="D543" i="3" a="1"/>
  <c r="D543" i="3" s="1"/>
  <c r="E543" i="3" a="1"/>
  <c r="E543" i="3" s="1"/>
  <c r="F543" i="3" a="1"/>
  <c r="F543" i="3"/>
  <c r="G543" i="3" a="1"/>
  <c r="G543" i="3"/>
  <c r="H543" i="3" a="1"/>
  <c r="H543" i="3" s="1"/>
  <c r="I543" i="3" a="1"/>
  <c r="I543" i="3" s="1"/>
  <c r="B544" i="3" a="1"/>
  <c r="B544" i="3" s="1"/>
  <c r="C544" i="3" a="1"/>
  <c r="C544" i="3" s="1"/>
  <c r="D544" i="3" a="1"/>
  <c r="D544" i="3" s="1"/>
  <c r="E544" i="3" a="1"/>
  <c r="E544" i="3" s="1"/>
  <c r="F544" i="3" a="1"/>
  <c r="F544" i="3" s="1"/>
  <c r="G544" i="3" a="1"/>
  <c r="G544" i="3" s="1"/>
  <c r="H544" i="3" a="1"/>
  <c r="H544" i="3"/>
  <c r="I544" i="3" a="1"/>
  <c r="I544" i="3"/>
  <c r="B545" i="3" a="1"/>
  <c r="B545" i="3" s="1"/>
  <c r="C545" i="3" a="1"/>
  <c r="C545" i="3"/>
  <c r="D545" i="3" a="1"/>
  <c r="D545" i="3" s="1"/>
  <c r="E545" i="3" a="1"/>
  <c r="E545" i="3" s="1"/>
  <c r="F545" i="3" a="1"/>
  <c r="F545" i="3" s="1"/>
  <c r="G545" i="3" a="1"/>
  <c r="G545" i="3"/>
  <c r="H545" i="3" a="1"/>
  <c r="H545" i="3"/>
  <c r="I545" i="3" a="1"/>
  <c r="I545" i="3" s="1"/>
  <c r="B546" i="3" a="1"/>
  <c r="B546" i="3" s="1"/>
  <c r="C546" i="3" a="1"/>
  <c r="C546" i="3"/>
  <c r="D546" i="3" a="1"/>
  <c r="D546" i="3" s="1"/>
  <c r="E546" i="3" a="1"/>
  <c r="E546" i="3" s="1"/>
  <c r="F546" i="3" a="1"/>
  <c r="F546" i="3"/>
  <c r="G546" i="3" a="1"/>
  <c r="G546" i="3" s="1"/>
  <c r="H546" i="3" a="1"/>
  <c r="H546" i="3" s="1"/>
  <c r="I546" i="3" a="1"/>
  <c r="I546" i="3"/>
  <c r="B547" i="3" a="1"/>
  <c r="B547" i="3"/>
  <c r="C547" i="3" a="1"/>
  <c r="C547" i="3" s="1"/>
  <c r="D547" i="3" a="1"/>
  <c r="D547" i="3" s="1"/>
  <c r="E547" i="3" a="1"/>
  <c r="E547" i="3" s="1"/>
  <c r="F547" i="3" a="1"/>
  <c r="F547" i="3" s="1"/>
  <c r="G547" i="3" a="1"/>
  <c r="G547" i="3"/>
  <c r="H547" i="3" a="1"/>
  <c r="H547" i="3" s="1"/>
  <c r="I547" i="3" a="1"/>
  <c r="I547" i="3"/>
  <c r="B548" i="3" a="1"/>
  <c r="B548" i="3"/>
  <c r="C548" i="3" a="1"/>
  <c r="C548" i="3"/>
  <c r="D548" i="3" a="1"/>
  <c r="D548" i="3" s="1"/>
  <c r="E548" i="3" a="1"/>
  <c r="E548" i="3" s="1"/>
  <c r="F548" i="3" a="1"/>
  <c r="F548" i="3" s="1"/>
  <c r="G548" i="3" a="1"/>
  <c r="G548" i="3" s="1"/>
  <c r="H548" i="3" a="1"/>
  <c r="H548" i="3"/>
  <c r="I548" i="3" a="1"/>
  <c r="I548" i="3"/>
  <c r="B549" i="3" a="1"/>
  <c r="B549" i="3" s="1"/>
  <c r="C549" i="3" a="1"/>
  <c r="C549" i="3"/>
  <c r="D549" i="3" a="1"/>
  <c r="D549" i="3"/>
  <c r="E549" i="3" a="1"/>
  <c r="E549" i="3"/>
  <c r="F549" i="3" a="1"/>
  <c r="F549" i="3"/>
  <c r="G549" i="3" a="1"/>
  <c r="G549" i="3" s="1"/>
  <c r="H549" i="3" a="1"/>
  <c r="H549" i="3" s="1"/>
  <c r="I549" i="3" a="1"/>
  <c r="I549" i="3" s="1"/>
  <c r="B550" i="3" a="1"/>
  <c r="B550" i="3" s="1"/>
  <c r="C550" i="3" a="1"/>
  <c r="C550" i="3" s="1"/>
  <c r="D550" i="3" a="1"/>
  <c r="D550" i="3"/>
  <c r="E550" i="3" a="1"/>
  <c r="E550" i="3"/>
  <c r="F550" i="3" a="1"/>
  <c r="F550" i="3" s="1"/>
  <c r="G550" i="3" a="1"/>
  <c r="G550" i="3"/>
  <c r="H550" i="3" a="1"/>
  <c r="H550" i="3" s="1"/>
  <c r="I550" i="3" a="1"/>
  <c r="I550" i="3"/>
  <c r="B551" i="3" a="1"/>
  <c r="B551" i="3" s="1"/>
  <c r="C551" i="3" a="1"/>
  <c r="C551" i="3" s="1"/>
  <c r="D551" i="3" a="1"/>
  <c r="D551" i="3" s="1"/>
  <c r="E551" i="3" a="1"/>
  <c r="E551" i="3" s="1"/>
  <c r="F551" i="3" a="1"/>
  <c r="F551" i="3" s="1"/>
  <c r="G551" i="3" a="1"/>
  <c r="G551" i="3" s="1"/>
  <c r="H551" i="3" a="1"/>
  <c r="H551" i="3"/>
  <c r="I551" i="3" a="1"/>
  <c r="I551" i="3" s="1"/>
  <c r="B552" i="3" a="1"/>
  <c r="B552" i="3" s="1"/>
  <c r="C552" i="3" a="1"/>
  <c r="C552" i="3"/>
  <c r="D552" i="3" a="1"/>
  <c r="D552" i="3" s="1"/>
  <c r="E552" i="3" a="1"/>
  <c r="E552" i="3" s="1"/>
  <c r="F552" i="3" a="1"/>
  <c r="F552" i="3"/>
  <c r="G552" i="3" a="1"/>
  <c r="G552" i="3" s="1"/>
  <c r="H552" i="3" a="1"/>
  <c r="H552" i="3" s="1"/>
  <c r="I552" i="3" a="1"/>
  <c r="I552" i="3" s="1"/>
  <c r="B553" i="3" a="1"/>
  <c r="B553" i="3"/>
  <c r="C553" i="3" a="1"/>
  <c r="C553" i="3"/>
  <c r="D553" i="3" a="1"/>
  <c r="D553" i="3" s="1"/>
  <c r="E553" i="3" a="1"/>
  <c r="E553" i="3"/>
  <c r="F553" i="3" a="1"/>
  <c r="F553" i="3"/>
  <c r="G553" i="3" a="1"/>
  <c r="G553" i="3"/>
  <c r="H553" i="3" a="1"/>
  <c r="H553" i="3"/>
  <c r="I553" i="3" a="1"/>
  <c r="I553" i="3" s="1"/>
  <c r="B554" i="3" a="1"/>
  <c r="B554" i="3" s="1"/>
  <c r="C554" i="3" a="1"/>
  <c r="C554" i="3" s="1"/>
  <c r="D554" i="3" a="1"/>
  <c r="D554" i="3"/>
  <c r="E554" i="3" a="1"/>
  <c r="E554" i="3"/>
  <c r="F554" i="3" a="1"/>
  <c r="F554" i="3" s="1"/>
  <c r="G554" i="3" a="1"/>
  <c r="G554" i="3"/>
  <c r="H554" i="3" a="1"/>
  <c r="H554" i="3" s="1"/>
  <c r="I554" i="3" a="1"/>
  <c r="I554" i="3" s="1"/>
  <c r="B555" i="3" a="1"/>
  <c r="B555" i="3" s="1"/>
  <c r="C555" i="3" a="1"/>
  <c r="C555" i="3"/>
  <c r="D555" i="3" a="1"/>
  <c r="D555" i="3" s="1"/>
  <c r="E555" i="3" a="1"/>
  <c r="E555" i="3"/>
  <c r="F555" i="3" a="1"/>
  <c r="F555" i="3" s="1"/>
  <c r="G555" i="3" a="1"/>
  <c r="G555" i="3"/>
  <c r="H555" i="3" a="1"/>
  <c r="H555" i="3"/>
  <c r="I555" i="3" a="1"/>
  <c r="I555" i="3"/>
  <c r="B556" i="3" a="1"/>
  <c r="B556" i="3" s="1"/>
  <c r="C556" i="3" a="1"/>
  <c r="C556" i="3" s="1"/>
  <c r="D556" i="3" a="1"/>
  <c r="D556" i="3" s="1"/>
  <c r="E556" i="3" a="1"/>
  <c r="E556" i="3" s="1"/>
  <c r="F556" i="3" a="1"/>
  <c r="F556" i="3"/>
  <c r="G556" i="3" a="1"/>
  <c r="G556" i="3" s="1"/>
  <c r="H556" i="3" a="1"/>
  <c r="H556" i="3" s="1"/>
  <c r="I556" i="3" a="1"/>
  <c r="I556" i="3"/>
  <c r="B557" i="3" a="1"/>
  <c r="B557" i="3" s="1"/>
  <c r="C557" i="3" a="1"/>
  <c r="C557" i="3"/>
  <c r="D557" i="3" a="1"/>
  <c r="D557" i="3"/>
  <c r="E557" i="3" a="1"/>
  <c r="E557" i="3"/>
  <c r="F557" i="3" a="1"/>
  <c r="F557" i="3"/>
  <c r="G557" i="3" a="1"/>
  <c r="G557" i="3"/>
  <c r="H557" i="3" a="1"/>
  <c r="H557" i="3" s="1"/>
  <c r="I557" i="3" a="1"/>
  <c r="I557" i="3"/>
  <c r="B558" i="3" a="1"/>
  <c r="B558" i="3" s="1"/>
  <c r="C558" i="3" a="1"/>
  <c r="C558" i="3" s="1"/>
  <c r="D558" i="3" a="1"/>
  <c r="D558" i="3"/>
  <c r="E558" i="3" a="1"/>
  <c r="E558" i="3"/>
  <c r="F558" i="3" a="1"/>
  <c r="F558" i="3" s="1"/>
  <c r="G558" i="3" a="1"/>
  <c r="G558" i="3" s="1"/>
  <c r="H558" i="3" a="1"/>
  <c r="H558" i="3"/>
  <c r="I558" i="3" a="1"/>
  <c r="I558" i="3"/>
  <c r="B559" i="3" a="1"/>
  <c r="B559" i="3" s="1"/>
  <c r="C559" i="3" a="1"/>
  <c r="C559" i="3"/>
  <c r="D559" i="3" a="1"/>
  <c r="D559" i="3" s="1"/>
  <c r="E559" i="3" a="1"/>
  <c r="E559" i="3" s="1"/>
  <c r="F559" i="3" a="1"/>
  <c r="F559" i="3"/>
  <c r="G559" i="3" a="1"/>
  <c r="G559" i="3" s="1"/>
  <c r="H559" i="3" a="1"/>
  <c r="H559" i="3" s="1"/>
  <c r="I559" i="3" a="1"/>
  <c r="I559" i="3" s="1"/>
  <c r="B560" i="3" a="1"/>
  <c r="B560" i="3" s="1"/>
  <c r="C560" i="3" a="1"/>
  <c r="C560" i="3" s="1"/>
  <c r="D560" i="3" a="1"/>
  <c r="D560" i="3" s="1"/>
  <c r="E560" i="3" a="1"/>
  <c r="E560" i="3"/>
  <c r="F560" i="3" a="1"/>
  <c r="F560" i="3"/>
  <c r="G560" i="3" a="1"/>
  <c r="G560" i="3" s="1"/>
  <c r="H560" i="3" a="1"/>
  <c r="H560" i="3" s="1"/>
  <c r="I560" i="3" a="1"/>
  <c r="I560" i="3"/>
  <c r="B561" i="3" a="1"/>
  <c r="B561" i="3" s="1"/>
  <c r="C561" i="3" a="1"/>
  <c r="C561" i="3"/>
  <c r="D561" i="3" a="1"/>
  <c r="D561" i="3" s="1"/>
  <c r="E561" i="3" a="1"/>
  <c r="E561" i="3" s="1"/>
  <c r="F561" i="3" a="1"/>
  <c r="F561" i="3" s="1"/>
  <c r="G561" i="3" a="1"/>
  <c r="G561" i="3"/>
  <c r="H561" i="3" a="1"/>
  <c r="H561" i="3"/>
  <c r="I561" i="3" a="1"/>
  <c r="I561" i="3" s="1"/>
  <c r="B562" i="3" a="1"/>
  <c r="B562" i="3"/>
  <c r="C562" i="3" a="1"/>
  <c r="C562" i="3"/>
  <c r="D562" i="3" a="1"/>
  <c r="D562" i="3" s="1"/>
  <c r="E562" i="3" a="1"/>
  <c r="E562" i="3"/>
  <c r="F562" i="3" a="1"/>
  <c r="F562" i="3"/>
  <c r="G562" i="3" a="1"/>
  <c r="G562" i="3"/>
  <c r="H562" i="3" a="1"/>
  <c r="H562" i="3"/>
  <c r="I562" i="3" a="1"/>
  <c r="I562" i="3" s="1"/>
  <c r="B563" i="3" a="1"/>
  <c r="B563" i="3" s="1"/>
  <c r="C563" i="3" a="1"/>
  <c r="C563" i="3"/>
  <c r="D563" i="3" a="1"/>
  <c r="D563" i="3"/>
  <c r="E563" i="3" a="1"/>
  <c r="E563" i="3"/>
  <c r="F563" i="3" a="1"/>
  <c r="F563" i="3" s="1"/>
  <c r="G563" i="3" a="1"/>
  <c r="G563" i="3"/>
  <c r="H563" i="3" a="1"/>
  <c r="H563" i="3" s="1"/>
  <c r="I563" i="3" a="1"/>
  <c r="I563" i="3" s="1"/>
  <c r="B564" i="3" a="1"/>
  <c r="B564" i="3"/>
  <c r="C564" i="3" a="1"/>
  <c r="C564" i="3" s="1"/>
  <c r="D564" i="3" a="1"/>
  <c r="D564" i="3" s="1"/>
  <c r="E564" i="3" a="1"/>
  <c r="E564" i="3"/>
  <c r="F564" i="3" a="1"/>
  <c r="F564" i="3" s="1"/>
  <c r="G564" i="3" a="1"/>
  <c r="G564" i="3"/>
  <c r="H564" i="3" a="1"/>
  <c r="H564" i="3"/>
  <c r="I564" i="3" a="1"/>
  <c r="I564" i="3" s="1"/>
  <c r="B565" i="3" a="1"/>
  <c r="B565" i="3" s="1"/>
  <c r="C565" i="3" a="1"/>
  <c r="C565" i="3" s="1"/>
  <c r="D565" i="3" a="1"/>
  <c r="D565" i="3" s="1"/>
  <c r="E565" i="3" a="1"/>
  <c r="E565" i="3" s="1"/>
  <c r="F565" i="3" a="1"/>
  <c r="F565" i="3" s="1"/>
  <c r="G565" i="3" a="1"/>
  <c r="G565" i="3" s="1"/>
  <c r="H565" i="3" a="1"/>
  <c r="H565" i="3"/>
  <c r="I565" i="3" a="1"/>
  <c r="I565" i="3" s="1"/>
  <c r="B566" i="3" a="1"/>
  <c r="B566" i="3"/>
  <c r="C566" i="3" a="1"/>
  <c r="C566" i="3" s="1"/>
  <c r="D566" i="3" a="1"/>
  <c r="D566" i="3"/>
  <c r="E566" i="3" a="1"/>
  <c r="E566" i="3"/>
  <c r="F566" i="3" a="1"/>
  <c r="F566" i="3"/>
  <c r="G566" i="3" a="1"/>
  <c r="G566" i="3" s="1"/>
  <c r="H566" i="3" a="1"/>
  <c r="H566" i="3"/>
  <c r="I566" i="3" a="1"/>
  <c r="I566" i="3" s="1"/>
  <c r="B567" i="3" a="1"/>
  <c r="B567" i="3"/>
  <c r="C567" i="3" a="1"/>
  <c r="C567" i="3" s="1"/>
  <c r="D567" i="3" a="1"/>
  <c r="D567" i="3" s="1"/>
  <c r="E567" i="3" a="1"/>
  <c r="E567" i="3"/>
  <c r="F567" i="3" a="1"/>
  <c r="F567" i="3"/>
  <c r="G567" i="3" a="1"/>
  <c r="G567" i="3" s="1"/>
  <c r="H567" i="3" a="1"/>
  <c r="H567" i="3" s="1"/>
  <c r="I567" i="3" a="1"/>
  <c r="I567" i="3"/>
  <c r="B568" i="3" a="1"/>
  <c r="B568" i="3"/>
  <c r="C568" i="3" a="1"/>
  <c r="C568" i="3"/>
  <c r="D568" i="3" a="1"/>
  <c r="D568" i="3"/>
  <c r="E568" i="3" a="1"/>
  <c r="E568" i="3" s="1"/>
  <c r="F568" i="3" a="1"/>
  <c r="F568" i="3"/>
  <c r="G568" i="3" a="1"/>
  <c r="G568" i="3"/>
  <c r="H568" i="3" a="1"/>
  <c r="H568" i="3" s="1"/>
  <c r="I568" i="3" a="1"/>
  <c r="I568" i="3" s="1"/>
  <c r="B569" i="3" a="1"/>
  <c r="B569" i="3" s="1"/>
  <c r="C569" i="3" a="1"/>
  <c r="C569" i="3" s="1"/>
  <c r="D569" i="3" a="1"/>
  <c r="D569" i="3" s="1"/>
  <c r="E569" i="3" a="1"/>
  <c r="E569" i="3" s="1"/>
  <c r="F569" i="3" a="1"/>
  <c r="F569" i="3"/>
  <c r="G569" i="3" a="1"/>
  <c r="G569" i="3" s="1"/>
  <c r="H569" i="3" a="1"/>
  <c r="H569" i="3" s="1"/>
  <c r="I569" i="3" a="1"/>
  <c r="I569" i="3" s="1"/>
  <c r="B570" i="3" a="1"/>
  <c r="B570" i="3"/>
  <c r="C570" i="3" a="1"/>
  <c r="C570" i="3" s="1"/>
  <c r="D570" i="3" a="1"/>
  <c r="D570" i="3" s="1"/>
  <c r="E570" i="3" a="1"/>
  <c r="E570" i="3"/>
  <c r="F570" i="3" a="1"/>
  <c r="F570" i="3" s="1"/>
  <c r="G570" i="3" a="1"/>
  <c r="G570" i="3" s="1"/>
  <c r="H570" i="3" a="1"/>
  <c r="H570" i="3" s="1"/>
  <c r="I570" i="3" a="1"/>
  <c r="I570" i="3"/>
  <c r="B571" i="3" a="1"/>
  <c r="B571" i="3" s="1"/>
  <c r="C571" i="3" a="1"/>
  <c r="C571" i="3" s="1"/>
  <c r="D571" i="3" a="1"/>
  <c r="D571" i="3" s="1"/>
  <c r="E571" i="3" a="1"/>
  <c r="E571" i="3" s="1"/>
  <c r="F571" i="3" a="1"/>
  <c r="F571" i="3" s="1"/>
  <c r="G571" i="3" a="1"/>
  <c r="G571" i="3" s="1"/>
  <c r="H571" i="3" a="1"/>
  <c r="H571" i="3"/>
  <c r="I571" i="3" a="1"/>
  <c r="I571" i="3" s="1"/>
  <c r="B572" i="3" a="1"/>
  <c r="B572" i="3" s="1"/>
  <c r="C572" i="3" a="1"/>
  <c r="C572" i="3" s="1"/>
  <c r="D572" i="3" a="1"/>
  <c r="D572" i="3"/>
  <c r="E572" i="3" a="1"/>
  <c r="E572" i="3" s="1"/>
  <c r="F572" i="3" a="1"/>
  <c r="F572" i="3" s="1"/>
  <c r="G572" i="3" a="1"/>
  <c r="G572" i="3"/>
  <c r="H572" i="3" a="1"/>
  <c r="H572" i="3" s="1"/>
  <c r="I572" i="3" a="1"/>
  <c r="I572" i="3" s="1"/>
  <c r="B573" i="3" a="1"/>
  <c r="B573" i="3" s="1"/>
  <c r="C573" i="3" a="1"/>
  <c r="C573" i="3"/>
  <c r="D573" i="3" a="1"/>
  <c r="D573" i="3" s="1"/>
  <c r="E573" i="3" a="1"/>
  <c r="E573" i="3" s="1"/>
  <c r="F573" i="3" a="1"/>
  <c r="F573" i="3" s="1"/>
  <c r="G573" i="3" a="1"/>
  <c r="G573" i="3" s="1"/>
  <c r="H573" i="3" a="1"/>
  <c r="H573" i="3" s="1"/>
  <c r="I573" i="3" a="1"/>
  <c r="I573" i="3" s="1"/>
  <c r="B574" i="3" a="1"/>
  <c r="B574" i="3"/>
  <c r="C574" i="3" a="1"/>
  <c r="C574" i="3" s="1"/>
  <c r="D574" i="3" a="1"/>
  <c r="D574" i="3" s="1"/>
  <c r="E574" i="3" a="1"/>
  <c r="E574" i="3" s="1"/>
  <c r="F574" i="3" a="1"/>
  <c r="F574" i="3"/>
  <c r="G574" i="3" a="1"/>
  <c r="G574" i="3" s="1"/>
  <c r="H574" i="3" a="1"/>
  <c r="H574" i="3" s="1"/>
  <c r="I574" i="3" a="1"/>
  <c r="I574" i="3"/>
  <c r="B575" i="3" a="1"/>
  <c r="B575" i="3" s="1"/>
  <c r="C575" i="3" a="1"/>
  <c r="C575" i="3" s="1"/>
  <c r="D575" i="3" a="1"/>
  <c r="D575" i="3" s="1"/>
  <c r="E575" i="3" a="1"/>
  <c r="E575" i="3"/>
  <c r="F575" i="3" a="1"/>
  <c r="F575" i="3" s="1"/>
  <c r="G575" i="3" a="1"/>
  <c r="G575" i="3" s="1"/>
  <c r="H575" i="3" a="1"/>
  <c r="H575" i="3" s="1"/>
  <c r="I575" i="3" a="1"/>
  <c r="I575" i="3" s="1"/>
  <c r="B576" i="3" a="1"/>
  <c r="B576" i="3" s="1"/>
  <c r="C576" i="3" a="1"/>
  <c r="C576" i="3" s="1"/>
  <c r="D576" i="3" a="1"/>
  <c r="D576" i="3"/>
  <c r="E576" i="3" a="1"/>
  <c r="E576" i="3" s="1"/>
  <c r="F576" i="3" a="1"/>
  <c r="F576" i="3" s="1"/>
  <c r="G576" i="3" a="1"/>
  <c r="G576" i="3" s="1"/>
  <c r="H576" i="3" a="1"/>
  <c r="H576" i="3"/>
  <c r="I576" i="3" a="1"/>
  <c r="I576" i="3" s="1"/>
  <c r="B577" i="3" a="1"/>
  <c r="B577" i="3" s="1"/>
  <c r="C577" i="3" a="1"/>
  <c r="C577" i="3"/>
  <c r="D577" i="3" a="1"/>
  <c r="D577" i="3" s="1"/>
  <c r="E577" i="3" a="1"/>
  <c r="E577" i="3" s="1"/>
  <c r="F577" i="3" a="1"/>
  <c r="F577" i="3" s="1"/>
  <c r="G577" i="3" a="1"/>
  <c r="G577" i="3"/>
  <c r="H577" i="3" a="1"/>
  <c r="H577" i="3" s="1"/>
  <c r="I577" i="3" a="1"/>
  <c r="I577" i="3" s="1"/>
  <c r="B578" i="3" a="1"/>
  <c r="B578" i="3" s="1"/>
  <c r="C578" i="3" a="1"/>
  <c r="C578" i="3" s="1"/>
  <c r="D578" i="3" a="1"/>
  <c r="D578" i="3" s="1"/>
  <c r="E578" i="3" a="1"/>
  <c r="E578" i="3" s="1"/>
  <c r="F578" i="3" a="1"/>
  <c r="F578" i="3"/>
  <c r="G578" i="3" a="1"/>
  <c r="G578" i="3" s="1"/>
  <c r="H578" i="3" a="1"/>
  <c r="H578" i="3" s="1"/>
  <c r="I578" i="3" a="1"/>
  <c r="I578" i="3" s="1"/>
  <c r="B579" i="3" a="1"/>
  <c r="B579" i="3"/>
  <c r="C579" i="3" a="1"/>
  <c r="C579" i="3" s="1"/>
  <c r="D579" i="3" a="1"/>
  <c r="D579" i="3" s="1"/>
  <c r="E579" i="3" a="1"/>
  <c r="E579" i="3"/>
  <c r="F579" i="3" a="1"/>
  <c r="F579" i="3" s="1"/>
  <c r="G579" i="3" a="1"/>
  <c r="G579" i="3" s="1"/>
  <c r="H579" i="3" a="1"/>
  <c r="H579" i="3" s="1"/>
  <c r="I579" i="3" a="1"/>
  <c r="I579" i="3"/>
  <c r="B580" i="3" a="1"/>
  <c r="B580" i="3" s="1"/>
  <c r="C580" i="3" a="1"/>
  <c r="C580" i="3" s="1"/>
  <c r="D580" i="3" a="1"/>
  <c r="D580" i="3" s="1"/>
  <c r="E580" i="3" a="1"/>
  <c r="E580" i="3" s="1"/>
  <c r="F580" i="3" a="1"/>
  <c r="F580" i="3" s="1"/>
  <c r="G580" i="3" a="1"/>
  <c r="G580" i="3" s="1"/>
  <c r="H580" i="3" a="1"/>
  <c r="H580" i="3"/>
  <c r="I580" i="3" a="1"/>
  <c r="I580" i="3" s="1"/>
  <c r="B581" i="3" a="1"/>
  <c r="B581" i="3" s="1"/>
  <c r="C581" i="3" a="1"/>
  <c r="C581" i="3" s="1"/>
  <c r="D581" i="3" a="1"/>
  <c r="D581" i="3"/>
  <c r="E581" i="3" a="1"/>
  <c r="E581" i="3" s="1"/>
  <c r="F581" i="3" a="1"/>
  <c r="F581" i="3" s="1"/>
  <c r="G581" i="3" a="1"/>
  <c r="G581" i="3"/>
  <c r="H581" i="3" a="1"/>
  <c r="H581" i="3" s="1"/>
  <c r="I581" i="3" a="1"/>
  <c r="I581" i="3" s="1"/>
  <c r="B582" i="3" a="1"/>
  <c r="B582" i="3" s="1"/>
  <c r="C582" i="3" a="1"/>
  <c r="C582" i="3"/>
  <c r="D582" i="3" a="1"/>
  <c r="D582" i="3" s="1"/>
  <c r="E582" i="3" a="1"/>
  <c r="E582" i="3" s="1"/>
  <c r="F582" i="3" a="1"/>
  <c r="F582" i="3" s="1"/>
  <c r="G582" i="3" a="1"/>
  <c r="G582" i="3" s="1"/>
  <c r="H582" i="3" a="1"/>
  <c r="H582" i="3" s="1"/>
  <c r="I582" i="3" a="1"/>
  <c r="I582" i="3" s="1"/>
  <c r="B583" i="3" a="1"/>
  <c r="B583" i="3"/>
  <c r="C583" i="3" a="1"/>
  <c r="C583" i="3" s="1"/>
  <c r="D583" i="3" a="1"/>
  <c r="D583" i="3" s="1"/>
  <c r="E583" i="3" a="1"/>
  <c r="E583" i="3" s="1"/>
  <c r="F583" i="3" a="1"/>
  <c r="F583" i="3"/>
  <c r="G583" i="3" a="1"/>
  <c r="G583" i="3" s="1"/>
  <c r="H583" i="3" a="1"/>
  <c r="H583" i="3" s="1"/>
  <c r="I583" i="3" a="1"/>
  <c r="I583" i="3"/>
  <c r="B584" i="3" a="1"/>
  <c r="B584" i="3" s="1"/>
  <c r="C584" i="3" a="1"/>
  <c r="C584" i="3" s="1"/>
  <c r="D584" i="3" a="1"/>
  <c r="D584" i="3" s="1"/>
  <c r="E584" i="3" a="1"/>
  <c r="E584" i="3"/>
  <c r="F584" i="3" a="1"/>
  <c r="F584" i="3" s="1"/>
  <c r="G584" i="3" a="1"/>
  <c r="G584" i="3" s="1"/>
  <c r="H584" i="3" a="1"/>
  <c r="H584" i="3" s="1"/>
  <c r="I584" i="3" a="1"/>
  <c r="I584" i="3" s="1"/>
  <c r="B585" i="3" a="1"/>
  <c r="B585" i="3" s="1"/>
  <c r="C585" i="3" a="1"/>
  <c r="C585" i="3" s="1"/>
  <c r="D585" i="3" a="1"/>
  <c r="D585" i="3"/>
  <c r="E585" i="3" a="1"/>
  <c r="E585" i="3" s="1"/>
  <c r="F585" i="3" a="1"/>
  <c r="F585" i="3" s="1"/>
  <c r="G585" i="3" a="1"/>
  <c r="G585" i="3" s="1"/>
  <c r="H585" i="3" a="1"/>
  <c r="H585" i="3"/>
  <c r="I585" i="3" a="1"/>
  <c r="I585" i="3" s="1"/>
  <c r="B586" i="3" a="1"/>
  <c r="B586" i="3" s="1"/>
  <c r="C586" i="3" a="1"/>
  <c r="C586" i="3" s="1"/>
  <c r="D586" i="3" a="1"/>
  <c r="D586" i="3" s="1"/>
  <c r="E586" i="3" a="1"/>
  <c r="E586" i="3" s="1"/>
  <c r="F586" i="3" a="1"/>
  <c r="F586" i="3" s="1"/>
  <c r="G586" i="3" a="1"/>
  <c r="G586" i="3" s="1"/>
  <c r="H586" i="3" a="1"/>
  <c r="H586" i="3" s="1"/>
  <c r="I586" i="3" a="1"/>
  <c r="I586" i="3" s="1"/>
  <c r="B587" i="3" a="1"/>
  <c r="B587" i="3" s="1"/>
  <c r="C587" i="3" a="1"/>
  <c r="C587" i="3" s="1"/>
  <c r="D587" i="3" a="1"/>
  <c r="D587" i="3" s="1"/>
  <c r="E587" i="3" a="1"/>
  <c r="E587" i="3" s="1"/>
  <c r="F587" i="3" a="1"/>
  <c r="F587" i="3" s="1"/>
  <c r="G587" i="3" a="1"/>
  <c r="G587" i="3" s="1"/>
  <c r="H587" i="3" a="1"/>
  <c r="H587" i="3" s="1"/>
  <c r="I587" i="3" a="1"/>
  <c r="I587" i="3" s="1"/>
  <c r="B588" i="3" a="1"/>
  <c r="B588" i="3" s="1"/>
  <c r="C588" i="3" a="1"/>
  <c r="C588" i="3" s="1"/>
  <c r="D588" i="3" a="1"/>
  <c r="D588" i="3" s="1"/>
  <c r="E588" i="3" a="1"/>
  <c r="E588" i="3" s="1"/>
  <c r="F588" i="3" a="1"/>
  <c r="F588" i="3" s="1"/>
  <c r="G588" i="3" a="1"/>
  <c r="G588" i="3" s="1"/>
  <c r="H588" i="3" a="1"/>
  <c r="H588" i="3" s="1"/>
  <c r="I588" i="3" a="1"/>
  <c r="I588" i="3" s="1"/>
  <c r="B589" i="3" a="1"/>
  <c r="B589" i="3" s="1"/>
  <c r="C589" i="3" a="1"/>
  <c r="C589" i="3" s="1"/>
  <c r="D589" i="3" a="1"/>
  <c r="D589" i="3" s="1"/>
  <c r="E589" i="3" a="1"/>
  <c r="E589" i="3" s="1"/>
  <c r="F589" i="3" a="1"/>
  <c r="F589" i="3"/>
  <c r="G589" i="3" a="1"/>
  <c r="G589" i="3"/>
  <c r="H589" i="3" a="1"/>
  <c r="H589" i="3"/>
  <c r="I589" i="3" a="1"/>
  <c r="I589" i="3"/>
  <c r="B590" i="3" a="1"/>
  <c r="B590" i="3"/>
  <c r="C590" i="3" a="1"/>
  <c r="C590" i="3" s="1"/>
  <c r="D590" i="3" a="1"/>
  <c r="D590" i="3" s="1"/>
  <c r="E590" i="3" a="1"/>
  <c r="E590" i="3" s="1"/>
  <c r="F590" i="3" a="1"/>
  <c r="F590" i="3" s="1"/>
  <c r="G590" i="3" a="1"/>
  <c r="G590" i="3" s="1"/>
  <c r="H590" i="3" a="1"/>
  <c r="H590" i="3" s="1"/>
  <c r="I590" i="3" a="1"/>
  <c r="I590" i="3" s="1"/>
  <c r="B591" i="3" a="1"/>
  <c r="B591" i="3"/>
  <c r="C591" i="3" a="1"/>
  <c r="C591" i="3"/>
  <c r="D591" i="3" a="1"/>
  <c r="D591" i="3"/>
  <c r="E591" i="3" a="1"/>
  <c r="E591" i="3"/>
  <c r="F591" i="3" a="1"/>
  <c r="F591" i="3"/>
  <c r="G591" i="3" a="1"/>
  <c r="G591" i="3" s="1"/>
  <c r="H591" i="3" a="1"/>
  <c r="H591" i="3" s="1"/>
  <c r="I591" i="3" a="1"/>
  <c r="I591" i="3" s="1"/>
  <c r="B592" i="3" a="1"/>
  <c r="B592" i="3" s="1"/>
  <c r="C592" i="3" a="1"/>
  <c r="C592" i="3" s="1"/>
  <c r="D592" i="3" a="1"/>
  <c r="D592" i="3" s="1"/>
  <c r="E592" i="3" a="1"/>
  <c r="E592" i="3" s="1"/>
  <c r="F592" i="3" a="1"/>
  <c r="F592" i="3"/>
  <c r="G592" i="3" a="1"/>
  <c r="G592" i="3"/>
  <c r="H592" i="3" a="1"/>
  <c r="H592" i="3"/>
  <c r="I592" i="3" a="1"/>
  <c r="I592" i="3"/>
  <c r="B593" i="3" a="1"/>
  <c r="B593" i="3"/>
  <c r="C593" i="3" a="1"/>
  <c r="C593" i="3" s="1"/>
  <c r="D593" i="3" a="1"/>
  <c r="D593" i="3" s="1"/>
  <c r="E593" i="3" a="1"/>
  <c r="E593" i="3" s="1"/>
  <c r="F593" i="3" a="1"/>
  <c r="F593" i="3" s="1"/>
  <c r="G593" i="3" a="1"/>
  <c r="G593" i="3" s="1"/>
  <c r="H593" i="3" a="1"/>
  <c r="H593" i="3" s="1"/>
  <c r="I593" i="3" a="1"/>
  <c r="I593" i="3" s="1"/>
  <c r="B594" i="3" a="1"/>
  <c r="B594" i="3"/>
  <c r="C594" i="3" a="1"/>
  <c r="C594" i="3"/>
  <c r="D594" i="3" a="1"/>
  <c r="D594" i="3"/>
  <c r="E594" i="3" a="1"/>
  <c r="E594" i="3"/>
  <c r="F594" i="3" a="1"/>
  <c r="F594" i="3"/>
  <c r="G594" i="3" a="1"/>
  <c r="G594" i="3" s="1"/>
  <c r="H594" i="3" a="1"/>
  <c r="H594" i="3" s="1"/>
  <c r="I594" i="3" a="1"/>
  <c r="I594" i="3" s="1"/>
  <c r="B595" i="3" a="1"/>
  <c r="B595" i="3" s="1"/>
  <c r="C595" i="3" a="1"/>
  <c r="C595" i="3" s="1"/>
  <c r="D595" i="3" a="1"/>
  <c r="D595" i="3" s="1"/>
  <c r="E595" i="3" a="1"/>
  <c r="E595" i="3" s="1"/>
  <c r="F595" i="3" a="1"/>
  <c r="F595" i="3"/>
  <c r="G595" i="3" a="1"/>
  <c r="G595" i="3"/>
  <c r="H595" i="3" a="1"/>
  <c r="H595" i="3"/>
  <c r="I595" i="3" a="1"/>
  <c r="I595" i="3"/>
  <c r="B596" i="3" a="1"/>
  <c r="B596" i="3"/>
  <c r="C596" i="3" a="1"/>
  <c r="C596" i="3" s="1"/>
  <c r="D596" i="3" a="1"/>
  <c r="D596" i="3" s="1"/>
  <c r="E596" i="3" a="1"/>
  <c r="E596" i="3" s="1"/>
  <c r="F596" i="3" a="1"/>
  <c r="F596" i="3" s="1"/>
  <c r="G596" i="3" a="1"/>
  <c r="G596" i="3" s="1"/>
  <c r="H596" i="3" a="1"/>
  <c r="H596" i="3" s="1"/>
  <c r="I596" i="3" a="1"/>
  <c r="I596" i="3" s="1"/>
  <c r="B597" i="3" a="1"/>
  <c r="B597" i="3"/>
  <c r="C597" i="3" a="1"/>
  <c r="C597" i="3"/>
  <c r="D597" i="3" a="1"/>
  <c r="D597" i="3"/>
  <c r="E597" i="3" a="1"/>
  <c r="E597" i="3"/>
  <c r="F597" i="3" a="1"/>
  <c r="F597" i="3"/>
  <c r="G597" i="3" a="1"/>
  <c r="G597" i="3" s="1"/>
  <c r="H597" i="3" a="1"/>
  <c r="H597" i="3" s="1"/>
  <c r="I597" i="3" a="1"/>
  <c r="I597" i="3" s="1"/>
  <c r="B598" i="3" a="1"/>
  <c r="B598" i="3" s="1"/>
  <c r="C598" i="3" a="1"/>
  <c r="C598" i="3" s="1"/>
  <c r="D598" i="3" a="1"/>
  <c r="D598" i="3" s="1"/>
  <c r="E598" i="3" a="1"/>
  <c r="E598" i="3" s="1"/>
  <c r="F598" i="3" a="1"/>
  <c r="F598" i="3"/>
  <c r="G598" i="3" a="1"/>
  <c r="G598" i="3"/>
  <c r="H598" i="3" a="1"/>
  <c r="H598" i="3"/>
  <c r="I598" i="3" a="1"/>
  <c r="I598" i="3"/>
  <c r="B599" i="3" a="1"/>
  <c r="B599" i="3"/>
  <c r="C599" i="3" a="1"/>
  <c r="C599" i="3" s="1"/>
  <c r="D599" i="3" a="1"/>
  <c r="D599" i="3" s="1"/>
  <c r="E599" i="3" a="1"/>
  <c r="E599" i="3" s="1"/>
  <c r="F599" i="3" a="1"/>
  <c r="F599" i="3" s="1"/>
  <c r="G599" i="3" a="1"/>
  <c r="G599" i="3" s="1"/>
  <c r="H599" i="3" a="1"/>
  <c r="H599" i="3" s="1"/>
  <c r="I599" i="3" a="1"/>
  <c r="I599" i="3" s="1"/>
  <c r="B600" i="3" a="1"/>
  <c r="B600" i="3"/>
  <c r="C600" i="3" a="1"/>
  <c r="C600" i="3"/>
  <c r="D600" i="3" a="1"/>
  <c r="D600" i="3"/>
  <c r="E600" i="3" a="1"/>
  <c r="E600" i="3"/>
  <c r="F600" i="3" a="1"/>
  <c r="F600" i="3"/>
  <c r="G600" i="3" a="1"/>
  <c r="G600" i="3" s="1"/>
  <c r="H600" i="3" a="1"/>
  <c r="H600" i="3" s="1"/>
  <c r="I600" i="3" a="1"/>
  <c r="I600" i="3" s="1"/>
  <c r="B601" i="3" a="1"/>
  <c r="B601" i="3" s="1"/>
  <c r="C601" i="3" a="1"/>
  <c r="C601" i="3" s="1"/>
  <c r="D601" i="3" a="1"/>
  <c r="D601" i="3" s="1"/>
  <c r="E601" i="3" a="1"/>
  <c r="E601" i="3" s="1"/>
  <c r="F601" i="3" a="1"/>
  <c r="F601" i="3"/>
  <c r="G601" i="3" a="1"/>
  <c r="G601" i="3"/>
  <c r="H601" i="3" a="1"/>
  <c r="H601" i="3"/>
  <c r="I601" i="3" a="1"/>
  <c r="I601" i="3"/>
  <c r="B602" i="3" a="1"/>
  <c r="B602" i="3"/>
  <c r="C602" i="3" a="1"/>
  <c r="C602" i="3" s="1"/>
  <c r="D602" i="3" a="1"/>
  <c r="D602" i="3" s="1"/>
  <c r="E602" i="3" a="1"/>
  <c r="E602" i="3" s="1"/>
  <c r="F602" i="3" a="1"/>
  <c r="F602" i="3" s="1"/>
  <c r="G602" i="3" a="1"/>
  <c r="G602" i="3" s="1"/>
  <c r="H602" i="3" a="1"/>
  <c r="H602" i="3" s="1"/>
  <c r="I602" i="3" a="1"/>
  <c r="I602" i="3" s="1"/>
  <c r="B603" i="3" a="1"/>
  <c r="B603" i="3"/>
  <c r="C603" i="3" a="1"/>
  <c r="C603" i="3"/>
  <c r="D603" i="3" a="1"/>
  <c r="D603" i="3"/>
  <c r="E603" i="3" a="1"/>
  <c r="E603" i="3"/>
  <c r="F603" i="3" a="1"/>
  <c r="F603" i="3"/>
  <c r="G603" i="3" a="1"/>
  <c r="G603" i="3" s="1"/>
  <c r="H603" i="3" a="1"/>
  <c r="H603" i="3" s="1"/>
  <c r="I603" i="3" a="1"/>
  <c r="I603" i="3" s="1"/>
  <c r="B604" i="3" a="1"/>
  <c r="B604" i="3" s="1"/>
  <c r="C604" i="3" a="1"/>
  <c r="C604" i="3" s="1"/>
  <c r="D604" i="3" a="1"/>
  <c r="D604" i="3" s="1"/>
  <c r="E604" i="3" a="1"/>
  <c r="E604" i="3" s="1"/>
  <c r="F604" i="3" a="1"/>
  <c r="F604" i="3"/>
  <c r="G604" i="3" a="1"/>
  <c r="G604" i="3"/>
  <c r="H604" i="3" a="1"/>
  <c r="H604" i="3"/>
  <c r="I604" i="3" a="1"/>
  <c r="I604" i="3"/>
  <c r="B605" i="3" a="1"/>
  <c r="B605" i="3"/>
  <c r="C605" i="3" a="1"/>
  <c r="C605" i="3" s="1"/>
  <c r="D605" i="3" a="1"/>
  <c r="D605" i="3" s="1"/>
  <c r="E605" i="3" a="1"/>
  <c r="E605" i="3" s="1"/>
  <c r="F605" i="3" a="1"/>
  <c r="F605" i="3" s="1"/>
  <c r="G605" i="3" a="1"/>
  <c r="G605" i="3" s="1"/>
  <c r="H605" i="3" a="1"/>
  <c r="H605" i="3" s="1"/>
  <c r="I605" i="3" a="1"/>
  <c r="I605" i="3" s="1"/>
  <c r="B606" i="3" a="1"/>
  <c r="B606" i="3"/>
  <c r="C606" i="3" a="1"/>
  <c r="C606" i="3"/>
  <c r="D606" i="3" a="1"/>
  <c r="D606" i="3"/>
  <c r="E606" i="3" a="1"/>
  <c r="E606" i="3"/>
  <c r="F606" i="3" a="1"/>
  <c r="F606" i="3"/>
  <c r="G606" i="3" a="1"/>
  <c r="G606" i="3" s="1"/>
  <c r="H606" i="3" a="1"/>
  <c r="H606" i="3" s="1"/>
  <c r="I606" i="3" a="1"/>
  <c r="I606" i="3" s="1"/>
  <c r="B607" i="3" a="1"/>
  <c r="B607" i="3" s="1"/>
  <c r="C607" i="3" a="1"/>
  <c r="C607" i="3" s="1"/>
  <c r="D607" i="3" a="1"/>
  <c r="D607" i="3" s="1"/>
  <c r="E607" i="3" a="1"/>
  <c r="E607" i="3" s="1"/>
  <c r="F607" i="3" a="1"/>
  <c r="F607" i="3"/>
  <c r="G607" i="3" a="1"/>
  <c r="G607" i="3"/>
  <c r="H607" i="3" a="1"/>
  <c r="H607" i="3"/>
  <c r="I607" i="3" a="1"/>
  <c r="I607" i="3"/>
  <c r="B608" i="3" a="1"/>
  <c r="B608" i="3"/>
  <c r="C608" i="3" a="1"/>
  <c r="C608" i="3" s="1"/>
  <c r="D608" i="3" a="1"/>
  <c r="D608" i="3" s="1"/>
  <c r="E608" i="3" a="1"/>
  <c r="E608" i="3" s="1"/>
  <c r="F608" i="3" a="1"/>
  <c r="F608" i="3" s="1"/>
  <c r="G608" i="3" a="1"/>
  <c r="G608" i="3" s="1"/>
  <c r="H608" i="3" a="1"/>
  <c r="H608" i="3" s="1"/>
  <c r="I608" i="3" a="1"/>
  <c r="I608" i="3" s="1"/>
  <c r="B609" i="3" a="1"/>
  <c r="B609" i="3"/>
  <c r="C609" i="3" a="1"/>
  <c r="C609" i="3"/>
  <c r="D609" i="3" a="1"/>
  <c r="D609" i="3"/>
  <c r="E609" i="3" a="1"/>
  <c r="E609" i="3"/>
  <c r="F609" i="3" a="1"/>
  <c r="F609" i="3"/>
  <c r="G609" i="3" a="1"/>
  <c r="G609" i="3" s="1"/>
  <c r="H609" i="3" a="1"/>
  <c r="H609" i="3" s="1"/>
  <c r="I609" i="3" a="1"/>
  <c r="I609" i="3" s="1"/>
  <c r="B610" i="3" a="1"/>
  <c r="B610" i="3" s="1"/>
  <c r="C610" i="3" a="1"/>
  <c r="C610" i="3" s="1"/>
  <c r="D610" i="3" a="1"/>
  <c r="D610" i="3" s="1"/>
  <c r="E610" i="3" a="1"/>
  <c r="E610" i="3" s="1"/>
  <c r="F610" i="3" a="1"/>
  <c r="F610" i="3"/>
  <c r="G610" i="3" a="1"/>
  <c r="G610" i="3"/>
  <c r="H610" i="3" a="1"/>
  <c r="H610" i="3"/>
  <c r="I610" i="3" a="1"/>
  <c r="I610" i="3"/>
  <c r="B611" i="3" a="1"/>
  <c r="B611" i="3"/>
  <c r="C611" i="3" a="1"/>
  <c r="C611" i="3" s="1"/>
  <c r="D611" i="3" a="1"/>
  <c r="D611" i="3" s="1"/>
  <c r="E611" i="3" a="1"/>
  <c r="E611" i="3" s="1"/>
  <c r="F611" i="3" a="1"/>
  <c r="F611" i="3" s="1"/>
  <c r="G611" i="3" a="1"/>
  <c r="G611" i="3" s="1"/>
  <c r="H611" i="3" a="1"/>
  <c r="H611" i="3" s="1"/>
  <c r="I611" i="3" a="1"/>
  <c r="I611" i="3" s="1"/>
  <c r="B612" i="3" a="1"/>
  <c r="B612" i="3"/>
  <c r="C612" i="3" a="1"/>
  <c r="C612" i="3"/>
  <c r="D612" i="3" a="1"/>
  <c r="D612" i="3"/>
  <c r="E612" i="3" a="1"/>
  <c r="E612" i="3"/>
  <c r="F612" i="3" a="1"/>
  <c r="F612" i="3"/>
  <c r="G612" i="3" a="1"/>
  <c r="G612" i="3" s="1"/>
  <c r="H612" i="3" a="1"/>
  <c r="H612" i="3" s="1"/>
  <c r="I612" i="3" a="1"/>
  <c r="I612" i="3" s="1"/>
  <c r="B613" i="3" a="1"/>
  <c r="B613" i="3" s="1"/>
  <c r="C613" i="3" a="1"/>
  <c r="C613" i="3" s="1"/>
  <c r="D613" i="3" a="1"/>
  <c r="D613" i="3" s="1"/>
  <c r="E613" i="3" a="1"/>
  <c r="E613" i="3" s="1"/>
  <c r="F613" i="3" a="1"/>
  <c r="F613" i="3"/>
  <c r="G613" i="3" a="1"/>
  <c r="G613" i="3"/>
  <c r="H613" i="3" a="1"/>
  <c r="H613" i="3"/>
  <c r="I613" i="3" a="1"/>
  <c r="I613" i="3"/>
  <c r="B614" i="3" a="1"/>
  <c r="B614" i="3"/>
  <c r="C614" i="3" a="1"/>
  <c r="C614" i="3" s="1"/>
  <c r="D614" i="3" a="1"/>
  <c r="D614" i="3" s="1"/>
  <c r="E614" i="3" a="1"/>
  <c r="E614" i="3" s="1"/>
  <c r="F614" i="3" a="1"/>
  <c r="F614" i="3" s="1"/>
  <c r="G614" i="3" a="1"/>
  <c r="G614" i="3" s="1"/>
  <c r="H614" i="3" a="1"/>
  <c r="H614" i="3" s="1"/>
  <c r="I614" i="3" a="1"/>
  <c r="I614" i="3" s="1"/>
  <c r="B615" i="3" a="1"/>
  <c r="B615" i="3"/>
  <c r="C615" i="3" a="1"/>
  <c r="C615" i="3"/>
  <c r="D615" i="3" a="1"/>
  <c r="D615" i="3"/>
  <c r="E615" i="3" a="1"/>
  <c r="E615" i="3"/>
  <c r="F615" i="3" a="1"/>
  <c r="F615" i="3"/>
  <c r="G615" i="3" a="1"/>
  <c r="G615" i="3" s="1"/>
  <c r="H615" i="3" a="1"/>
  <c r="H615" i="3" s="1"/>
  <c r="I615" i="3" a="1"/>
  <c r="I615" i="3" s="1"/>
  <c r="B616" i="3" a="1"/>
  <c r="B616" i="3" s="1"/>
  <c r="C616" i="3" a="1"/>
  <c r="C616" i="3" s="1"/>
  <c r="D616" i="3" a="1"/>
  <c r="D616" i="3" s="1"/>
  <c r="E616" i="3" a="1"/>
  <c r="E616" i="3" s="1"/>
  <c r="F616" i="3" a="1"/>
  <c r="F616" i="3"/>
  <c r="G616" i="3" a="1"/>
  <c r="G616" i="3"/>
  <c r="H616" i="3" a="1"/>
  <c r="H616" i="3"/>
  <c r="I616" i="3" a="1"/>
  <c r="I616" i="3"/>
  <c r="B617" i="3" a="1"/>
  <c r="B617" i="3"/>
  <c r="C617" i="3" a="1"/>
  <c r="C617" i="3" s="1"/>
  <c r="D617" i="3" a="1"/>
  <c r="D617" i="3" s="1"/>
  <c r="E617" i="3" a="1"/>
  <c r="E617" i="3" s="1"/>
  <c r="F617" i="3" a="1"/>
  <c r="F617" i="3" s="1"/>
  <c r="G617" i="3" a="1"/>
  <c r="G617" i="3" s="1"/>
  <c r="H617" i="3" a="1"/>
  <c r="H617" i="3" s="1"/>
  <c r="I617" i="3" a="1"/>
  <c r="I617" i="3" s="1"/>
  <c r="B618" i="3" a="1"/>
  <c r="B618" i="3"/>
  <c r="C618" i="3" a="1"/>
  <c r="C618" i="3"/>
  <c r="D618" i="3" a="1"/>
  <c r="D618" i="3"/>
  <c r="E618" i="3" a="1"/>
  <c r="E618" i="3"/>
  <c r="F618" i="3" a="1"/>
  <c r="F618" i="3"/>
  <c r="G618" i="3" a="1"/>
  <c r="G618" i="3" s="1"/>
  <c r="H618" i="3" a="1"/>
  <c r="H618" i="3" s="1"/>
  <c r="I618" i="3" a="1"/>
  <c r="I618" i="3" s="1"/>
  <c r="B619" i="3" a="1"/>
  <c r="B619" i="3" s="1"/>
  <c r="C619" i="3" a="1"/>
  <c r="C619" i="3" s="1"/>
  <c r="D619" i="3" a="1"/>
  <c r="D619" i="3" s="1"/>
  <c r="E619" i="3" a="1"/>
  <c r="E619" i="3" s="1"/>
  <c r="F619" i="3" a="1"/>
  <c r="F619" i="3"/>
  <c r="G619" i="3" a="1"/>
  <c r="G619" i="3"/>
  <c r="H619" i="3" a="1"/>
  <c r="H619" i="3"/>
  <c r="I619" i="3" a="1"/>
  <c r="I619" i="3"/>
  <c r="B620" i="3" a="1"/>
  <c r="B620" i="3"/>
  <c r="C620" i="3" a="1"/>
  <c r="C620" i="3" s="1"/>
  <c r="D620" i="3" a="1"/>
  <c r="D620" i="3" s="1"/>
  <c r="E620" i="3" a="1"/>
  <c r="E620" i="3" s="1"/>
  <c r="F620" i="3" a="1"/>
  <c r="F620" i="3" s="1"/>
  <c r="G620" i="3" a="1"/>
  <c r="G620" i="3" s="1"/>
  <c r="H620" i="3" a="1"/>
  <c r="H620" i="3" s="1"/>
  <c r="I620" i="3" a="1"/>
  <c r="I620" i="3" s="1"/>
  <c r="B621" i="3" a="1"/>
  <c r="B621" i="3"/>
  <c r="C621" i="3" a="1"/>
  <c r="C621" i="3"/>
  <c r="D621" i="3" a="1"/>
  <c r="D621" i="3"/>
  <c r="E621" i="3" a="1"/>
  <c r="E621" i="3"/>
  <c r="F621" i="3" a="1"/>
  <c r="F621" i="3"/>
  <c r="G621" i="3" a="1"/>
  <c r="G621" i="3" s="1"/>
  <c r="H621" i="3" a="1"/>
  <c r="H621" i="3" s="1"/>
  <c r="I621" i="3" a="1"/>
  <c r="I621" i="3" s="1"/>
  <c r="B622" i="3" a="1"/>
  <c r="B622" i="3" s="1"/>
  <c r="C622" i="3" a="1"/>
  <c r="C622" i="3" s="1"/>
  <c r="D622" i="3" a="1"/>
  <c r="D622" i="3" s="1"/>
  <c r="E622" i="3" a="1"/>
  <c r="E622" i="3" s="1"/>
  <c r="F622" i="3" a="1"/>
  <c r="F622" i="3"/>
  <c r="G622" i="3" a="1"/>
  <c r="G622" i="3"/>
  <c r="H622" i="3" a="1"/>
  <c r="H622" i="3"/>
  <c r="I622" i="3" a="1"/>
  <c r="I622" i="3"/>
  <c r="B623" i="3" a="1"/>
  <c r="B623" i="3"/>
  <c r="C623" i="3" a="1"/>
  <c r="C623" i="3" s="1"/>
  <c r="D623" i="3" a="1"/>
  <c r="D623" i="3" s="1"/>
  <c r="E623" i="3" a="1"/>
  <c r="E623" i="3" s="1"/>
  <c r="F623" i="3" a="1"/>
  <c r="F623" i="3" s="1"/>
  <c r="G623" i="3" a="1"/>
  <c r="G623" i="3" s="1"/>
  <c r="H623" i="3" a="1"/>
  <c r="H623" i="3" s="1"/>
  <c r="I623" i="3" a="1"/>
  <c r="I623" i="3" s="1"/>
  <c r="B624" i="3" a="1"/>
  <c r="B624" i="3"/>
  <c r="C624" i="3" a="1"/>
  <c r="C624" i="3"/>
  <c r="D624" i="3" a="1"/>
  <c r="D624" i="3"/>
  <c r="E624" i="3" a="1"/>
  <c r="E624" i="3"/>
  <c r="F624" i="3" a="1"/>
  <c r="F624" i="3"/>
  <c r="G624" i="3" a="1"/>
  <c r="G624" i="3" s="1"/>
  <c r="H624" i="3" a="1"/>
  <c r="H624" i="3" s="1"/>
  <c r="I624" i="3" a="1"/>
  <c r="I624" i="3" s="1"/>
  <c r="B625" i="3" a="1"/>
  <c r="B625" i="3" s="1"/>
  <c r="C625" i="3" a="1"/>
  <c r="C625" i="3" s="1"/>
  <c r="D625" i="3" a="1"/>
  <c r="D625" i="3" s="1"/>
  <c r="E625" i="3" a="1"/>
  <c r="E625" i="3" s="1"/>
  <c r="F625" i="3" a="1"/>
  <c r="F625" i="3"/>
  <c r="G625" i="3" a="1"/>
  <c r="G625" i="3"/>
  <c r="H625" i="3" a="1"/>
  <c r="H625" i="3"/>
  <c r="I625" i="3" a="1"/>
  <c r="I625" i="3"/>
  <c r="B626" i="3" a="1"/>
  <c r="B626" i="3"/>
  <c r="C626" i="3" a="1"/>
  <c r="C626" i="3" s="1"/>
  <c r="D626" i="3" a="1"/>
  <c r="D626" i="3" s="1"/>
  <c r="E626" i="3" a="1"/>
  <c r="E626" i="3" s="1"/>
  <c r="F626" i="3" a="1"/>
  <c r="F626" i="3" s="1"/>
  <c r="G626" i="3" a="1"/>
  <c r="G626" i="3" s="1"/>
  <c r="H626" i="3" a="1"/>
  <c r="H626" i="3" s="1"/>
  <c r="I626" i="3" a="1"/>
  <c r="I626" i="3" s="1"/>
  <c r="B627" i="3" a="1"/>
  <c r="B627" i="3"/>
  <c r="C627" i="3" a="1"/>
  <c r="C627" i="3"/>
  <c r="D627" i="3" a="1"/>
  <c r="D627" i="3"/>
  <c r="E627" i="3" a="1"/>
  <c r="E627" i="3"/>
  <c r="F627" i="3" a="1"/>
  <c r="F627" i="3"/>
  <c r="G627" i="3" a="1"/>
  <c r="G627" i="3" s="1"/>
  <c r="H627" i="3" a="1"/>
  <c r="H627" i="3" s="1"/>
  <c r="I627" i="3" a="1"/>
  <c r="I627" i="3" s="1"/>
  <c r="B628" i="3" a="1"/>
  <c r="B628" i="3" s="1"/>
  <c r="C628" i="3" a="1"/>
  <c r="C628" i="3" s="1"/>
  <c r="D628" i="3" a="1"/>
  <c r="D628" i="3" s="1"/>
  <c r="E628" i="3" a="1"/>
  <c r="E628" i="3" s="1"/>
  <c r="F628" i="3" a="1"/>
  <c r="F628" i="3"/>
  <c r="G628" i="3" a="1"/>
  <c r="G628" i="3"/>
  <c r="H628" i="3" a="1"/>
  <c r="H628" i="3"/>
  <c r="I628" i="3" a="1"/>
  <c r="I628" i="3"/>
  <c r="B629" i="3" a="1"/>
  <c r="B629" i="3"/>
  <c r="C629" i="3" a="1"/>
  <c r="C629" i="3" s="1"/>
  <c r="D629" i="3" a="1"/>
  <c r="D629" i="3" s="1"/>
  <c r="E629" i="3" a="1"/>
  <c r="E629" i="3" s="1"/>
  <c r="F629" i="3" a="1"/>
  <c r="F629" i="3" s="1"/>
  <c r="G629" i="3" a="1"/>
  <c r="G629" i="3" s="1"/>
  <c r="H629" i="3" a="1"/>
  <c r="H629" i="3" s="1"/>
  <c r="I629" i="3" a="1"/>
  <c r="I629" i="3" s="1"/>
  <c r="B630" i="3" a="1"/>
  <c r="B630" i="3"/>
  <c r="C630" i="3" a="1"/>
  <c r="C630" i="3"/>
  <c r="D630" i="3" a="1"/>
  <c r="D630" i="3"/>
  <c r="E630" i="3" a="1"/>
  <c r="E630" i="3"/>
  <c r="F630" i="3" a="1"/>
  <c r="F630" i="3"/>
  <c r="G630" i="3" a="1"/>
  <c r="G630" i="3" s="1"/>
  <c r="H630" i="3" a="1"/>
  <c r="H630" i="3" s="1"/>
  <c r="I630" i="3" a="1"/>
  <c r="I630" i="3" s="1"/>
  <c r="B631" i="3" a="1"/>
  <c r="B631" i="3" s="1"/>
  <c r="C631" i="3" a="1"/>
  <c r="C631" i="3" s="1"/>
  <c r="D631" i="3" a="1"/>
  <c r="D631" i="3" s="1"/>
  <c r="E631" i="3" a="1"/>
  <c r="E631" i="3" s="1"/>
  <c r="F631" i="3" a="1"/>
  <c r="F631" i="3"/>
  <c r="G631" i="3" a="1"/>
  <c r="G631" i="3"/>
  <c r="H631" i="3" a="1"/>
  <c r="H631" i="3"/>
  <c r="I631" i="3" a="1"/>
  <c r="I631" i="3"/>
  <c r="B632" i="3" a="1"/>
  <c r="B632" i="3"/>
  <c r="C632" i="3" a="1"/>
  <c r="C632" i="3" s="1"/>
  <c r="D632" i="3" a="1"/>
  <c r="D632" i="3" s="1"/>
  <c r="E632" i="3" a="1"/>
  <c r="E632" i="3" s="1"/>
  <c r="F632" i="3" a="1"/>
  <c r="F632" i="3" s="1"/>
  <c r="G632" i="3" a="1"/>
  <c r="G632" i="3" s="1"/>
  <c r="H632" i="3" a="1"/>
  <c r="H632" i="3" s="1"/>
  <c r="I632" i="3" a="1"/>
  <c r="I632" i="3" s="1"/>
  <c r="B633" i="3" a="1"/>
  <c r="B633" i="3"/>
  <c r="C633" i="3" a="1"/>
  <c r="C633" i="3"/>
  <c r="D633" i="3" a="1"/>
  <c r="D633" i="3"/>
  <c r="E633" i="3" a="1"/>
  <c r="E633" i="3"/>
  <c r="F633" i="3" a="1"/>
  <c r="F633" i="3"/>
  <c r="G633" i="3" a="1"/>
  <c r="G633" i="3" s="1"/>
  <c r="H633" i="3" a="1"/>
  <c r="H633" i="3" s="1"/>
  <c r="I633" i="3" a="1"/>
  <c r="I633" i="3" s="1"/>
  <c r="B634" i="3" a="1"/>
  <c r="B634" i="3" s="1"/>
  <c r="C634" i="3" a="1"/>
  <c r="C634" i="3" s="1"/>
  <c r="D634" i="3" a="1"/>
  <c r="D634" i="3" s="1"/>
  <c r="E634" i="3" a="1"/>
  <c r="E634" i="3" s="1"/>
  <c r="F634" i="3" a="1"/>
  <c r="F634" i="3"/>
  <c r="G634" i="3" a="1"/>
  <c r="G634" i="3"/>
  <c r="H634" i="3" a="1"/>
  <c r="H634" i="3"/>
  <c r="I634" i="3" a="1"/>
  <c r="I634" i="3"/>
  <c r="B635" i="3" a="1"/>
  <c r="B635" i="3"/>
  <c r="C635" i="3" a="1"/>
  <c r="C635" i="3" s="1"/>
  <c r="D635" i="3" a="1"/>
  <c r="D635" i="3" s="1"/>
  <c r="E635" i="3" a="1"/>
  <c r="E635" i="3" s="1"/>
  <c r="F635" i="3" a="1"/>
  <c r="F635" i="3" s="1"/>
  <c r="G635" i="3" a="1"/>
  <c r="G635" i="3" s="1"/>
  <c r="H635" i="3" a="1"/>
  <c r="H635" i="3" s="1"/>
  <c r="I635" i="3" a="1"/>
  <c r="I635" i="3" s="1"/>
  <c r="B636" i="3" a="1"/>
  <c r="B636" i="3"/>
  <c r="C636" i="3" a="1"/>
  <c r="C636" i="3"/>
  <c r="D636" i="3" a="1"/>
  <c r="D636" i="3"/>
  <c r="E636" i="3" a="1"/>
  <c r="E636" i="3"/>
  <c r="F636" i="3" a="1"/>
  <c r="F636" i="3"/>
  <c r="G636" i="3" a="1"/>
  <c r="G636" i="3" s="1"/>
  <c r="H636" i="3" a="1"/>
  <c r="H636" i="3"/>
  <c r="I636" i="3" a="1"/>
  <c r="I636" i="3" s="1"/>
  <c r="B637" i="3" a="1"/>
  <c r="B637" i="3" s="1"/>
  <c r="C637" i="3" a="1"/>
  <c r="C637" i="3" s="1"/>
  <c r="D637" i="3" a="1"/>
  <c r="D637" i="3" s="1"/>
  <c r="E637" i="3" a="1"/>
  <c r="E637" i="3" s="1"/>
  <c r="F637" i="3" a="1"/>
  <c r="F637" i="3"/>
  <c r="G637" i="3" a="1"/>
  <c r="G637" i="3"/>
  <c r="H637" i="3" a="1"/>
  <c r="H637" i="3"/>
  <c r="I637" i="3" a="1"/>
  <c r="I637" i="3"/>
  <c r="B638" i="3" a="1"/>
  <c r="B638" i="3"/>
  <c r="C638" i="3" a="1"/>
  <c r="C638" i="3" s="1"/>
  <c r="D638" i="3" a="1"/>
  <c r="D638" i="3" s="1"/>
  <c r="E638" i="3" a="1"/>
  <c r="E638" i="3"/>
  <c r="F638" i="3" a="1"/>
  <c r="F638" i="3" s="1"/>
  <c r="G638" i="3" a="1"/>
  <c r="G638" i="3" s="1"/>
  <c r="H638" i="3" a="1"/>
  <c r="H638" i="3" s="1"/>
  <c r="I638" i="3" a="1"/>
  <c r="I638" i="3" s="1"/>
  <c r="B639" i="3" a="1"/>
  <c r="B639" i="3"/>
  <c r="C639" i="3" a="1"/>
  <c r="C639" i="3"/>
  <c r="D639" i="3" a="1"/>
  <c r="D639" i="3"/>
  <c r="E639" i="3" a="1"/>
  <c r="E639" i="3"/>
  <c r="F639" i="3" a="1"/>
  <c r="F639" i="3"/>
  <c r="G639" i="3" a="1"/>
  <c r="G639" i="3" s="1"/>
  <c r="H639" i="3" a="1"/>
  <c r="H639" i="3" s="1"/>
  <c r="I639" i="3" a="1"/>
  <c r="I639" i="3" s="1"/>
  <c r="B640" i="3" a="1"/>
  <c r="B640" i="3"/>
  <c r="C640" i="3" a="1"/>
  <c r="C640" i="3" s="1"/>
  <c r="D640" i="3" a="1"/>
  <c r="D640" i="3" s="1"/>
  <c r="E640" i="3" a="1"/>
  <c r="E640" i="3" s="1"/>
  <c r="F640" i="3" a="1"/>
  <c r="F640" i="3" s="1"/>
  <c r="G640" i="3" a="1"/>
  <c r="G640" i="3"/>
  <c r="H640" i="3" a="1"/>
  <c r="H640" i="3"/>
  <c r="I640" i="3" a="1"/>
  <c r="I640" i="3"/>
  <c r="B641" i="3" a="1"/>
  <c r="B641" i="3"/>
  <c r="C641" i="3" a="1"/>
  <c r="C641" i="3" s="1"/>
  <c r="D641" i="3" a="1"/>
  <c r="D641" i="3"/>
  <c r="E641" i="3" a="1"/>
  <c r="E641" i="3" s="1"/>
  <c r="F641" i="3" a="1"/>
  <c r="F641" i="3" s="1"/>
  <c r="G641" i="3" a="1"/>
  <c r="G641" i="3"/>
  <c r="H641" i="3" a="1"/>
  <c r="H641" i="3" s="1"/>
  <c r="I641" i="3" a="1"/>
  <c r="I641" i="3" s="1"/>
  <c r="B642" i="3" a="1"/>
  <c r="B642" i="3"/>
  <c r="C642" i="3" a="1"/>
  <c r="C642" i="3" s="1"/>
  <c r="D642" i="3" a="1"/>
  <c r="D642" i="3"/>
  <c r="E642" i="3" a="1"/>
  <c r="E642" i="3"/>
  <c r="F642" i="3" a="1"/>
  <c r="F642" i="3"/>
  <c r="G642" i="3" a="1"/>
  <c r="G642" i="3" s="1"/>
  <c r="H642" i="3" a="1"/>
  <c r="H642" i="3" s="1"/>
  <c r="I642" i="3" a="1"/>
  <c r="I642" i="3" s="1"/>
  <c r="B643" i="3" a="1"/>
  <c r="B643" i="3" s="1"/>
  <c r="C643" i="3" a="1"/>
  <c r="C643" i="3" s="1"/>
  <c r="D643" i="3" a="1"/>
  <c r="D643" i="3"/>
  <c r="E643" i="3" a="1"/>
  <c r="E643" i="3" s="1"/>
  <c r="F643" i="3" a="1"/>
  <c r="F643" i="3"/>
  <c r="G643" i="3" a="1"/>
  <c r="G643" i="3"/>
  <c r="H643" i="3" a="1"/>
  <c r="H643" i="3" s="1"/>
  <c r="I643" i="3" a="1"/>
  <c r="I643" i="3" s="1"/>
  <c r="B644" i="3" a="1"/>
  <c r="B644" i="3"/>
  <c r="C644" i="3" a="1"/>
  <c r="C644" i="3" s="1"/>
  <c r="D644" i="3" a="1"/>
  <c r="D644" i="3" s="1"/>
  <c r="E644" i="3" a="1"/>
  <c r="E644" i="3" s="1"/>
  <c r="F644" i="3" a="1"/>
  <c r="F644" i="3" s="1"/>
  <c r="G644" i="3" a="1"/>
  <c r="G644" i="3" s="1"/>
  <c r="H644" i="3" a="1"/>
  <c r="H644" i="3" s="1"/>
  <c r="I644" i="3" a="1"/>
  <c r="I644" i="3" s="1"/>
  <c r="B645" i="3" a="1"/>
  <c r="B645" i="3"/>
  <c r="C645" i="3" a="1"/>
  <c r="C645" i="3"/>
  <c r="D645" i="3" a="1"/>
  <c r="D645" i="3"/>
  <c r="E645" i="3" a="1"/>
  <c r="E645" i="3"/>
  <c r="F645" i="3" a="1"/>
  <c r="F645" i="3" s="1"/>
  <c r="G645" i="3" a="1"/>
  <c r="G645" i="3" s="1"/>
  <c r="H645" i="3" a="1"/>
  <c r="H645" i="3"/>
  <c r="I645" i="3" a="1"/>
  <c r="I645" i="3" s="1"/>
  <c r="B646" i="3" a="1"/>
  <c r="B646" i="3" s="1"/>
  <c r="C646" i="3" a="1"/>
  <c r="C646" i="3" s="1"/>
  <c r="D646" i="3" a="1"/>
  <c r="D646" i="3" s="1"/>
  <c r="E646" i="3" a="1"/>
  <c r="E646" i="3" s="1"/>
  <c r="F646" i="3" a="1"/>
  <c r="F646" i="3"/>
  <c r="G646" i="3" a="1"/>
  <c r="G646" i="3"/>
  <c r="H646" i="3" a="1"/>
  <c r="H646" i="3"/>
  <c r="I646" i="3" a="1"/>
  <c r="I646" i="3"/>
  <c r="B647" i="3" a="1"/>
  <c r="B647" i="3" s="1"/>
  <c r="C647" i="3" a="1"/>
  <c r="C647" i="3" s="1"/>
  <c r="D647" i="3" a="1"/>
  <c r="D647" i="3" s="1"/>
  <c r="E647" i="3" a="1"/>
  <c r="E647" i="3"/>
  <c r="F647" i="3" a="1"/>
  <c r="F647" i="3" s="1"/>
  <c r="G647" i="3" a="1"/>
  <c r="G647" i="3" s="1"/>
  <c r="H647" i="3" a="1"/>
  <c r="H647" i="3"/>
  <c r="I647" i="3" a="1"/>
  <c r="I647" i="3" s="1"/>
  <c r="B648" i="3" a="1"/>
  <c r="B648" i="3" s="1"/>
  <c r="C648" i="3" a="1"/>
  <c r="C648" i="3"/>
  <c r="D648" i="3" a="1"/>
  <c r="D648" i="3"/>
  <c r="E648" i="3" a="1"/>
  <c r="E648" i="3"/>
  <c r="F648" i="3" a="1"/>
  <c r="F648" i="3"/>
  <c r="G648" i="3" a="1"/>
  <c r="G648" i="3" s="1"/>
  <c r="H648" i="3" a="1"/>
  <c r="H648" i="3" s="1"/>
  <c r="I648" i="3" a="1"/>
  <c r="I648" i="3" s="1"/>
  <c r="B649" i="3" a="1"/>
  <c r="B649" i="3"/>
  <c r="C649" i="3" a="1"/>
  <c r="C649" i="3" s="1"/>
  <c r="D649" i="3" a="1"/>
  <c r="D649" i="3" s="1"/>
  <c r="E649" i="3" a="1"/>
  <c r="E649" i="3" s="1"/>
  <c r="F649" i="3" a="1"/>
  <c r="F649" i="3"/>
  <c r="G649" i="3" a="1"/>
  <c r="G649" i="3" s="1"/>
  <c r="H649" i="3" a="1"/>
  <c r="H649" i="3"/>
  <c r="I649" i="3" a="1"/>
  <c r="I649" i="3" s="1"/>
  <c r="B650" i="3" a="1"/>
  <c r="B650" i="3"/>
  <c r="C650" i="3" a="1"/>
  <c r="C650" i="3" s="1"/>
  <c r="D650" i="3" a="1"/>
  <c r="D650" i="3"/>
  <c r="E650" i="3" a="1"/>
  <c r="E650" i="3" s="1"/>
  <c r="F650" i="3" a="1"/>
  <c r="F650" i="3" s="1"/>
  <c r="G650" i="3" a="1"/>
  <c r="G650" i="3"/>
  <c r="H650" i="3" a="1"/>
  <c r="H650" i="3" s="1"/>
  <c r="I650" i="3" a="1"/>
  <c r="I650" i="3" s="1"/>
  <c r="B651" i="3" a="1"/>
  <c r="B651" i="3"/>
  <c r="C651" i="3" a="1"/>
  <c r="C651" i="3" s="1"/>
  <c r="D651" i="3" a="1"/>
  <c r="D651" i="3"/>
  <c r="E651" i="3" a="1"/>
  <c r="E651" i="3"/>
  <c r="F651" i="3" a="1"/>
  <c r="F651" i="3" s="1"/>
  <c r="G651" i="3" a="1"/>
  <c r="G651" i="3" s="1"/>
  <c r="H651" i="3" a="1"/>
  <c r="H651" i="3" s="1"/>
  <c r="I651" i="3" a="1"/>
  <c r="I651" i="3" s="1"/>
  <c r="B652" i="3" a="1"/>
  <c r="B652" i="3" s="1"/>
  <c r="C652" i="3" a="1"/>
  <c r="C652" i="3" s="1"/>
  <c r="D652" i="3" a="1"/>
  <c r="D652" i="3" s="1"/>
  <c r="E652" i="3" a="1"/>
  <c r="E652" i="3" s="1"/>
  <c r="F652" i="3" a="1"/>
  <c r="F652" i="3"/>
  <c r="G652" i="3" a="1"/>
  <c r="G652" i="3"/>
  <c r="H652" i="3" a="1"/>
  <c r="H652" i="3" s="1"/>
  <c r="I652" i="3" a="1"/>
  <c r="I652" i="3" s="1"/>
  <c r="B653" i="3" a="1"/>
  <c r="B653" i="3"/>
  <c r="C653" i="3" a="1"/>
  <c r="C653" i="3" s="1"/>
  <c r="D653" i="3" a="1"/>
  <c r="D653" i="3" s="1"/>
  <c r="E653" i="3" a="1"/>
  <c r="E653" i="3" s="1"/>
  <c r="F653" i="3" a="1"/>
  <c r="F653" i="3" s="1"/>
  <c r="G653" i="3" a="1"/>
  <c r="G653" i="3" s="1"/>
  <c r="H653" i="3" a="1"/>
  <c r="H653" i="3" s="1"/>
  <c r="I653" i="3" a="1"/>
  <c r="I653" i="3" s="1"/>
  <c r="B654" i="3" a="1"/>
  <c r="B654" i="3" s="1"/>
  <c r="C654" i="3" a="1"/>
  <c r="C654" i="3"/>
  <c r="D654" i="3" a="1"/>
  <c r="D654" i="3"/>
  <c r="E654" i="3" a="1"/>
  <c r="E654" i="3" s="1"/>
  <c r="F654" i="3" a="1"/>
  <c r="F654" i="3" s="1"/>
  <c r="G654" i="3" a="1"/>
  <c r="G654" i="3" s="1"/>
  <c r="H654" i="3" a="1"/>
  <c r="H654" i="3" s="1"/>
  <c r="I654" i="3" a="1"/>
  <c r="I654" i="3" s="1"/>
  <c r="B655" i="3" a="1"/>
  <c r="B655" i="3" s="1"/>
  <c r="C655" i="3" a="1"/>
  <c r="C655" i="3"/>
  <c r="D655" i="3" a="1"/>
  <c r="D655" i="3" s="1"/>
  <c r="E655" i="3" a="1"/>
  <c r="E655" i="3" s="1"/>
  <c r="F655" i="3" a="1"/>
  <c r="F655" i="3"/>
  <c r="G655" i="3" a="1"/>
  <c r="G655" i="3"/>
  <c r="H655" i="3" a="1"/>
  <c r="H655" i="3"/>
  <c r="I655" i="3" a="1"/>
  <c r="I655" i="3"/>
  <c r="B656" i="3" a="1"/>
  <c r="B656" i="3" s="1"/>
  <c r="C656" i="3" a="1"/>
  <c r="C656" i="3" s="1"/>
  <c r="D656" i="3" a="1"/>
  <c r="D656" i="3" s="1"/>
  <c r="E656" i="3" a="1"/>
  <c r="E656" i="3" s="1"/>
  <c r="F656" i="3" a="1"/>
  <c r="F656" i="3"/>
  <c r="G656" i="3" a="1"/>
  <c r="G656" i="3" s="1"/>
  <c r="H656" i="3" a="1"/>
  <c r="H656" i="3"/>
  <c r="I656" i="3" a="1"/>
  <c r="I656" i="3" s="1"/>
  <c r="B657" i="3" a="1"/>
  <c r="B657" i="3" s="1"/>
  <c r="C657" i="3" a="1"/>
  <c r="C657" i="3"/>
  <c r="D657" i="3" a="1"/>
  <c r="D657" i="3" s="1"/>
  <c r="E657" i="3" a="1"/>
  <c r="E657" i="3"/>
  <c r="F657" i="3" a="1"/>
  <c r="F657" i="3"/>
  <c r="G657" i="3" a="1"/>
  <c r="G657" i="3" s="1"/>
  <c r="H657" i="3" a="1"/>
  <c r="H657" i="3"/>
  <c r="I657" i="3" a="1"/>
  <c r="I657" i="3" s="1"/>
  <c r="B658" i="3" a="1"/>
  <c r="B658" i="3" s="1"/>
  <c r="C658" i="3" a="1"/>
  <c r="C658" i="3" s="1"/>
  <c r="D658" i="3" a="1"/>
  <c r="D658" i="3" s="1"/>
  <c r="E658" i="3" a="1"/>
  <c r="E658" i="3" s="1"/>
  <c r="F658" i="3" a="1"/>
  <c r="F658" i="3" s="1"/>
  <c r="G658" i="3" a="1"/>
  <c r="G658" i="3" s="1"/>
  <c r="H658" i="3" a="1"/>
  <c r="H658" i="3"/>
  <c r="I658" i="3" a="1"/>
  <c r="I658" i="3" s="1"/>
  <c r="B659" i="3" a="1"/>
  <c r="B659" i="3" s="1"/>
  <c r="C659" i="3" a="1"/>
  <c r="C659" i="3" s="1"/>
  <c r="D659" i="3" a="1"/>
  <c r="D659" i="3" s="1"/>
  <c r="E659" i="3" a="1"/>
  <c r="E659" i="3"/>
  <c r="F659" i="3" a="1"/>
  <c r="F659" i="3" s="1"/>
  <c r="G659" i="3" a="1"/>
  <c r="G659" i="3" s="1"/>
  <c r="H659" i="3" a="1"/>
  <c r="H659" i="3" s="1"/>
  <c r="I659" i="3" a="1"/>
  <c r="I659" i="3" s="1"/>
  <c r="B660" i="3" a="1"/>
  <c r="B660" i="3"/>
  <c r="C660" i="3" a="1"/>
  <c r="C660" i="3" s="1"/>
  <c r="D660" i="3" a="1"/>
  <c r="D660" i="3"/>
  <c r="E660" i="3" a="1"/>
  <c r="E660" i="3"/>
  <c r="F660" i="3" a="1"/>
  <c r="F660" i="3" s="1"/>
  <c r="G660" i="3" a="1"/>
  <c r="G660" i="3" s="1"/>
  <c r="H660" i="3" a="1"/>
  <c r="H660" i="3" s="1"/>
  <c r="I660" i="3" a="1"/>
  <c r="I660" i="3"/>
  <c r="B661" i="3" a="1"/>
  <c r="B661" i="3"/>
  <c r="C661" i="3" a="1"/>
  <c r="C661" i="3" s="1"/>
  <c r="D661" i="3" a="1"/>
  <c r="D661" i="3"/>
  <c r="E661" i="3" a="1"/>
  <c r="E661" i="3" s="1"/>
  <c r="F661" i="3" a="1"/>
  <c r="F661" i="3" s="1"/>
  <c r="G661" i="3" a="1"/>
  <c r="G661" i="3" s="1"/>
  <c r="H661" i="3" a="1"/>
  <c r="H661" i="3"/>
  <c r="I661" i="3" a="1"/>
  <c r="I661" i="3" s="1"/>
  <c r="B662" i="3" a="1"/>
  <c r="B662" i="3"/>
  <c r="C662" i="3" a="1"/>
  <c r="C662" i="3" s="1"/>
  <c r="D662" i="3" a="1"/>
  <c r="D662" i="3" s="1"/>
  <c r="E662" i="3" a="1"/>
  <c r="E662" i="3"/>
  <c r="F662" i="3" a="1"/>
  <c r="F662" i="3" s="1"/>
  <c r="G662" i="3" a="1"/>
  <c r="G662" i="3" s="1"/>
  <c r="H662" i="3" a="1"/>
  <c r="H662" i="3" s="1"/>
  <c r="I662" i="3" a="1"/>
  <c r="I662" i="3" s="1"/>
  <c r="B663" i="3" a="1"/>
  <c r="B663" i="3"/>
  <c r="C663" i="3" a="1"/>
  <c r="C663" i="3" s="1"/>
  <c r="D663" i="3" a="1"/>
  <c r="D663" i="3"/>
  <c r="E663" i="3" a="1"/>
  <c r="E663" i="3" s="1"/>
  <c r="F663" i="3" a="1"/>
  <c r="F663" i="3" s="1"/>
  <c r="G663" i="3" a="1"/>
  <c r="G663" i="3" s="1"/>
  <c r="H663" i="3" a="1"/>
  <c r="H663" i="3" s="1"/>
  <c r="I663" i="3" a="1"/>
  <c r="I663" i="3" s="1"/>
  <c r="B664" i="3" a="1"/>
  <c r="B664" i="3" s="1"/>
  <c r="C664" i="3" a="1"/>
  <c r="C664" i="3" s="1"/>
  <c r="D664" i="3" a="1"/>
  <c r="D664" i="3"/>
  <c r="E664" i="3" a="1"/>
  <c r="E664" i="3" s="1"/>
  <c r="F664" i="3" a="1"/>
  <c r="F664" i="3"/>
  <c r="G664" i="3" a="1"/>
  <c r="G664" i="3"/>
  <c r="H664" i="3" a="1"/>
  <c r="H664" i="3" s="1"/>
  <c r="I664" i="3" a="1"/>
  <c r="I664" i="3"/>
  <c r="B665" i="3" a="1"/>
  <c r="B665" i="3" s="1"/>
  <c r="C665" i="3" a="1"/>
  <c r="C665" i="3" s="1"/>
  <c r="D665" i="3" a="1"/>
  <c r="D665" i="3" s="1"/>
  <c r="E665" i="3" a="1"/>
  <c r="E665" i="3"/>
  <c r="F665" i="3" a="1"/>
  <c r="F665" i="3"/>
  <c r="G665" i="3" a="1"/>
  <c r="G665" i="3" s="1"/>
  <c r="H665" i="3" a="1"/>
  <c r="H665" i="3"/>
  <c r="I665" i="3" a="1"/>
  <c r="I665" i="3" s="1"/>
  <c r="B666" i="3" a="1"/>
  <c r="B666" i="3"/>
  <c r="C666" i="3" a="1"/>
  <c r="C666" i="3"/>
  <c r="D666" i="3" a="1"/>
  <c r="D666" i="3" s="1"/>
  <c r="E666" i="3" a="1"/>
  <c r="E666" i="3" s="1"/>
  <c r="F666" i="3" a="1"/>
  <c r="F666" i="3" s="1"/>
  <c r="G666" i="3" a="1"/>
  <c r="G666" i="3" s="1"/>
  <c r="H666" i="3" a="1"/>
  <c r="H666" i="3" s="1"/>
  <c r="I666" i="3" a="1"/>
  <c r="I666" i="3" s="1"/>
  <c r="B667" i="3" a="1"/>
  <c r="B667" i="3" s="1"/>
  <c r="C667" i="3" a="1"/>
  <c r="C667" i="3" s="1"/>
  <c r="D667" i="3" a="1"/>
  <c r="D667" i="3" s="1"/>
  <c r="E667" i="3" a="1"/>
  <c r="E667" i="3" s="1"/>
  <c r="F667" i="3" a="1"/>
  <c r="F667" i="3"/>
  <c r="G667" i="3" a="1"/>
  <c r="G667" i="3" s="1"/>
  <c r="H667" i="3" a="1"/>
  <c r="H667" i="3"/>
  <c r="I667" i="3" a="1"/>
  <c r="I667" i="3"/>
  <c r="B668" i="3" a="1"/>
  <c r="B668" i="3"/>
  <c r="C668" i="3" a="1"/>
  <c r="C668" i="3" s="1"/>
  <c r="D668" i="3" a="1"/>
  <c r="D668" i="3" s="1"/>
  <c r="E668" i="3" a="1"/>
  <c r="E668" i="3" s="1"/>
  <c r="F668" i="3" a="1"/>
  <c r="F668" i="3" s="1"/>
  <c r="G668" i="3" a="1"/>
  <c r="G668" i="3" s="1"/>
  <c r="H668" i="3" a="1"/>
  <c r="H668" i="3"/>
  <c r="I668" i="3" a="1"/>
  <c r="I668" i="3" s="1"/>
  <c r="B669" i="3" a="1"/>
  <c r="B669" i="3" s="1"/>
  <c r="C669" i="3" a="1"/>
  <c r="C669" i="3" s="1"/>
  <c r="D669" i="3" a="1"/>
  <c r="D669" i="3" s="1"/>
  <c r="E669" i="3" a="1"/>
  <c r="E669" i="3"/>
  <c r="F669" i="3" a="1"/>
  <c r="F669" i="3" s="1"/>
  <c r="G669" i="3" a="1"/>
  <c r="G669" i="3" s="1"/>
  <c r="H669" i="3" a="1"/>
  <c r="H669" i="3"/>
  <c r="I669" i="3" a="1"/>
  <c r="I669" i="3" s="1"/>
  <c r="B670" i="3" a="1"/>
  <c r="B670" i="3"/>
  <c r="C670" i="3" a="1"/>
  <c r="C670" i="3" s="1"/>
  <c r="D670" i="3" a="1"/>
  <c r="D670" i="3"/>
  <c r="E670" i="3" a="1"/>
  <c r="E670" i="3" s="1"/>
  <c r="F670" i="3" a="1"/>
  <c r="F670" i="3"/>
  <c r="G670" i="3" a="1"/>
  <c r="G670" i="3"/>
  <c r="H670" i="3" a="1"/>
  <c r="H670" i="3" s="1"/>
  <c r="I670" i="3" a="1"/>
  <c r="I670" i="3"/>
  <c r="B671" i="3" a="1"/>
  <c r="B671" i="3"/>
  <c r="C671" i="3" a="1"/>
  <c r="C671" i="3" s="1"/>
  <c r="D671" i="3" a="1"/>
  <c r="D671" i="3" s="1"/>
  <c r="E671" i="3" a="1"/>
  <c r="E671" i="3" s="1"/>
  <c r="F671" i="3" a="1"/>
  <c r="F671" i="3" s="1"/>
  <c r="G671" i="3" a="1"/>
  <c r="G671" i="3" s="1"/>
  <c r="H671" i="3" a="1"/>
  <c r="H671" i="3" s="1"/>
  <c r="I671" i="3" a="1"/>
  <c r="I671" i="3" s="1"/>
  <c r="B672" i="3" a="1"/>
  <c r="B672" i="3"/>
  <c r="C672" i="3" a="1"/>
  <c r="C672" i="3" s="1"/>
  <c r="D672" i="3" a="1"/>
  <c r="D672" i="3" s="1"/>
  <c r="E672" i="3" a="1"/>
  <c r="E672" i="3" s="1"/>
  <c r="F672" i="3" a="1"/>
  <c r="F672" i="3" s="1"/>
  <c r="G672" i="3" a="1"/>
  <c r="G672" i="3" s="1"/>
  <c r="H672" i="3" a="1"/>
  <c r="H672" i="3" s="1"/>
  <c r="I672" i="3" a="1"/>
  <c r="I672" i="3" s="1"/>
  <c r="B673" i="3" a="1"/>
  <c r="B673" i="3"/>
  <c r="C673" i="3" a="1"/>
  <c r="C673" i="3"/>
  <c r="D673" i="3" a="1"/>
  <c r="D673" i="3" s="1"/>
  <c r="E673" i="3" a="1"/>
  <c r="E673" i="3" s="1"/>
  <c r="F673" i="3" a="1"/>
  <c r="F673" i="3"/>
  <c r="G673" i="3" a="1"/>
  <c r="G673" i="3"/>
  <c r="H673" i="3" a="1"/>
  <c r="H673" i="3" s="1"/>
  <c r="I673" i="3" a="1"/>
  <c r="I673" i="3" s="1"/>
  <c r="B674" i="3" a="1"/>
  <c r="B674" i="3" s="1"/>
  <c r="C674" i="3" a="1"/>
  <c r="C674" i="3" s="1"/>
  <c r="D674" i="3" a="1"/>
  <c r="D674" i="3" s="1"/>
  <c r="E674" i="3" a="1"/>
  <c r="E674" i="3" s="1"/>
  <c r="F674" i="3" a="1"/>
  <c r="F674" i="3"/>
  <c r="G674" i="3" a="1"/>
  <c r="G674" i="3" s="1"/>
  <c r="H674" i="3" a="1"/>
  <c r="H674" i="3" s="1"/>
  <c r="I674" i="3" a="1"/>
  <c r="I674" i="3" s="1"/>
  <c r="B675" i="3" a="1"/>
  <c r="B675" i="3" s="1"/>
  <c r="C675" i="3" a="1"/>
  <c r="C675" i="3"/>
  <c r="D675" i="3" a="1"/>
  <c r="D675" i="3" s="1"/>
  <c r="E675" i="3" a="1"/>
  <c r="E675" i="3" s="1"/>
  <c r="F675" i="3" a="1"/>
  <c r="F675" i="3"/>
  <c r="G675" i="3" a="1"/>
  <c r="G675" i="3" s="1"/>
  <c r="H675" i="3" a="1"/>
  <c r="H675" i="3" s="1"/>
  <c r="I675" i="3" a="1"/>
  <c r="I675" i="3" s="1"/>
  <c r="B676" i="3" a="1"/>
  <c r="B676" i="3"/>
  <c r="C676" i="3" a="1"/>
  <c r="C676" i="3" s="1"/>
  <c r="D676" i="3" a="1"/>
  <c r="D676" i="3" s="1"/>
  <c r="E676" i="3" a="1"/>
  <c r="E676" i="3"/>
  <c r="F676" i="3" a="1"/>
  <c r="F676" i="3"/>
  <c r="G676" i="3" a="1"/>
  <c r="G676" i="3" s="1"/>
  <c r="H676" i="3" a="1"/>
  <c r="H676" i="3" s="1"/>
  <c r="I676" i="3" a="1"/>
  <c r="I676" i="3" s="1"/>
  <c r="B677" i="3" a="1"/>
  <c r="B677" i="3"/>
  <c r="C677" i="3" a="1"/>
  <c r="C677" i="3" s="1"/>
  <c r="D677" i="3" a="1"/>
  <c r="D677" i="3" s="1"/>
  <c r="E677" i="3" a="1"/>
  <c r="E677" i="3" s="1"/>
  <c r="F677" i="3" a="1"/>
  <c r="F677" i="3" s="1"/>
  <c r="G677" i="3" a="1"/>
  <c r="G677" i="3"/>
  <c r="H677" i="3" a="1"/>
  <c r="H677" i="3" s="1"/>
  <c r="I677" i="3" a="1"/>
  <c r="I677" i="3" s="1"/>
  <c r="B678" i="3" a="1"/>
  <c r="B678" i="3"/>
  <c r="C678" i="3" a="1"/>
  <c r="C678" i="3" s="1"/>
  <c r="D678" i="3" a="1"/>
  <c r="D678" i="3" s="1"/>
  <c r="E678" i="3" a="1"/>
  <c r="E678" i="3" s="1"/>
  <c r="F678" i="3" a="1"/>
  <c r="F678" i="3" s="1"/>
  <c r="G678" i="3" a="1"/>
  <c r="G678" i="3"/>
  <c r="H678" i="3" a="1"/>
  <c r="H678" i="3" s="1"/>
  <c r="I678" i="3" a="1"/>
  <c r="I678" i="3" s="1"/>
  <c r="B679" i="3" a="1"/>
  <c r="B679" i="3"/>
  <c r="C679" i="3" a="1"/>
  <c r="C679" i="3" s="1"/>
  <c r="D679" i="3" a="1"/>
  <c r="D679" i="3"/>
  <c r="E679" i="3" a="1"/>
  <c r="E679" i="3" s="1"/>
  <c r="F679" i="3" a="1"/>
  <c r="F679" i="3" s="1"/>
  <c r="G679" i="3" a="1"/>
  <c r="G679" i="3" s="1"/>
  <c r="H679" i="3" a="1"/>
  <c r="H679" i="3" s="1"/>
  <c r="I679" i="3" a="1"/>
  <c r="I679" i="3" s="1"/>
  <c r="B680" i="3" a="1"/>
  <c r="B680" i="3" s="1"/>
  <c r="C680" i="3" a="1"/>
  <c r="C680" i="3" s="1"/>
  <c r="D680" i="3" a="1"/>
  <c r="D680" i="3"/>
  <c r="E680" i="3" a="1"/>
  <c r="E680" i="3" s="1"/>
  <c r="F680" i="3" a="1"/>
  <c r="F680" i="3"/>
  <c r="G680" i="3" a="1"/>
  <c r="G680" i="3"/>
  <c r="H680" i="3" a="1"/>
  <c r="H680" i="3" s="1"/>
  <c r="I680" i="3" a="1"/>
  <c r="I680" i="3"/>
  <c r="B681" i="3" a="1"/>
  <c r="B681" i="3" s="1"/>
  <c r="C681" i="3" a="1"/>
  <c r="C681" i="3" s="1"/>
  <c r="D681" i="3" a="1"/>
  <c r="D681" i="3" s="1"/>
  <c r="E681" i="3" a="1"/>
  <c r="E681" i="3" s="1"/>
  <c r="F681" i="3" a="1"/>
  <c r="F681" i="3" s="1"/>
  <c r="G681" i="3" a="1"/>
  <c r="G681" i="3" s="1"/>
  <c r="H681" i="3" a="1"/>
  <c r="H681" i="3" s="1"/>
  <c r="I681" i="3" a="1"/>
  <c r="I681" i="3" s="1"/>
  <c r="B682" i="3" a="1"/>
  <c r="B682" i="3" s="1"/>
  <c r="C682" i="3" a="1"/>
  <c r="C682" i="3"/>
  <c r="D682" i="3" a="1"/>
  <c r="D682" i="3"/>
  <c r="E682" i="3" a="1"/>
  <c r="E682" i="3" s="1"/>
  <c r="F682" i="3" a="1"/>
  <c r="F682" i="3"/>
  <c r="G682" i="3" a="1"/>
  <c r="G682" i="3" s="1"/>
  <c r="H682" i="3" a="1"/>
  <c r="H682" i="3"/>
  <c r="I682" i="3" a="1"/>
  <c r="I682" i="3" s="1"/>
  <c r="B683" i="3" a="1"/>
  <c r="B683" i="3" s="1"/>
  <c r="C683" i="3" a="1"/>
  <c r="C683" i="3" s="1"/>
  <c r="D683" i="3" a="1"/>
  <c r="D683" i="3" s="1"/>
  <c r="E683" i="3" a="1"/>
  <c r="E683" i="3" s="1"/>
  <c r="F683" i="3" a="1"/>
  <c r="F683" i="3" s="1"/>
  <c r="G683" i="3" a="1"/>
  <c r="G683" i="3" s="1"/>
  <c r="H683" i="3" a="1"/>
  <c r="H683" i="3"/>
  <c r="I683" i="3" a="1"/>
  <c r="I683" i="3"/>
  <c r="B684" i="3" a="1"/>
  <c r="B684" i="3" s="1"/>
  <c r="C684" i="3" a="1"/>
  <c r="C684" i="3" s="1"/>
  <c r="D684" i="3" a="1"/>
  <c r="D684" i="3" s="1"/>
  <c r="E684" i="3" a="1"/>
  <c r="E684" i="3"/>
  <c r="F684" i="3" a="1"/>
  <c r="F684" i="3" s="1"/>
  <c r="G684" i="3" a="1"/>
  <c r="G684" i="3" s="1"/>
  <c r="H684" i="3" a="1"/>
  <c r="H684" i="3" s="1"/>
  <c r="I684" i="3" a="1"/>
  <c r="I684" i="3" s="1"/>
  <c r="B685" i="3" a="1"/>
  <c r="B685" i="3"/>
  <c r="C685" i="3" a="1"/>
  <c r="C685" i="3" s="1"/>
  <c r="D685" i="3" a="1"/>
  <c r="D685" i="3" s="1"/>
  <c r="E685" i="3" a="1"/>
  <c r="E685" i="3"/>
  <c r="F685" i="3" a="1"/>
  <c r="F685" i="3"/>
  <c r="G685" i="3" a="1"/>
  <c r="G685" i="3" s="1"/>
  <c r="H685" i="3" a="1"/>
  <c r="H685" i="3" s="1"/>
  <c r="I685" i="3" a="1"/>
  <c r="I685" i="3" s="1"/>
  <c r="B686" i="3" a="1"/>
  <c r="B686" i="3"/>
  <c r="C686" i="3" a="1"/>
  <c r="C686" i="3" s="1"/>
  <c r="D686" i="3" a="1"/>
  <c r="D686" i="3" s="1"/>
  <c r="E686" i="3" a="1"/>
  <c r="E686" i="3" s="1"/>
  <c r="F686" i="3" a="1"/>
  <c r="F686" i="3" s="1"/>
  <c r="G686" i="3" a="1"/>
  <c r="G686" i="3"/>
  <c r="H686" i="3" a="1"/>
  <c r="H686" i="3" s="1"/>
  <c r="I686" i="3" a="1"/>
  <c r="I686" i="3" s="1"/>
  <c r="B687" i="3" a="1"/>
  <c r="B687" i="3"/>
  <c r="C687" i="3" a="1"/>
  <c r="C687" i="3" s="1"/>
  <c r="D687" i="3" a="1"/>
  <c r="D687" i="3" s="1"/>
  <c r="E687" i="3" a="1"/>
  <c r="E687" i="3" s="1"/>
  <c r="F687" i="3" a="1"/>
  <c r="F687" i="3" s="1"/>
  <c r="G687" i="3" a="1"/>
  <c r="G687" i="3"/>
  <c r="H687" i="3" a="1"/>
  <c r="H687" i="3" s="1"/>
  <c r="I687" i="3" a="1"/>
  <c r="I687" i="3" s="1"/>
  <c r="B688" i="3" a="1"/>
  <c r="B688" i="3"/>
  <c r="C688" i="3" a="1"/>
  <c r="C688" i="3" s="1"/>
  <c r="D688" i="3" a="1"/>
  <c r="D688" i="3"/>
  <c r="E688" i="3" a="1"/>
  <c r="E688" i="3" s="1"/>
  <c r="F688" i="3" a="1"/>
  <c r="F688" i="3" s="1"/>
  <c r="G688" i="3" a="1"/>
  <c r="G688" i="3" s="1"/>
  <c r="H688" i="3" a="1"/>
  <c r="H688" i="3" s="1"/>
  <c r="I688" i="3" a="1"/>
  <c r="I688" i="3" s="1"/>
  <c r="B689" i="3" a="1"/>
  <c r="B689" i="3" s="1"/>
  <c r="C689" i="3" a="1"/>
  <c r="C689" i="3" s="1"/>
  <c r="D689" i="3" a="1"/>
  <c r="D689" i="3"/>
  <c r="E689" i="3" a="1"/>
  <c r="E689" i="3" s="1"/>
  <c r="F689" i="3" a="1"/>
  <c r="F689" i="3"/>
  <c r="G689" i="3" a="1"/>
  <c r="G689" i="3"/>
  <c r="H689" i="3" a="1"/>
  <c r="H689" i="3" s="1"/>
  <c r="I689" i="3" a="1"/>
  <c r="I689" i="3"/>
  <c r="B690" i="3" a="1"/>
  <c r="B690" i="3" s="1"/>
  <c r="C690" i="3" a="1"/>
  <c r="C690" i="3" s="1"/>
  <c r="D690" i="3" a="1"/>
  <c r="D690" i="3" s="1"/>
  <c r="E690" i="3" a="1"/>
  <c r="E690" i="3" s="1"/>
  <c r="F690" i="3" a="1"/>
  <c r="F690" i="3" s="1"/>
  <c r="G690" i="3" a="1"/>
  <c r="G690" i="3" s="1"/>
  <c r="H690" i="3" a="1"/>
  <c r="H690" i="3" s="1"/>
  <c r="I690" i="3" a="1"/>
  <c r="I690" i="3" s="1"/>
  <c r="B691" i="3" a="1"/>
  <c r="B691" i="3" s="1"/>
  <c r="C691" i="3" a="1"/>
  <c r="C691" i="3"/>
  <c r="D691" i="3" a="1"/>
  <c r="D691" i="3"/>
  <c r="E691" i="3" a="1"/>
  <c r="E691" i="3" s="1"/>
  <c r="F691" i="3" a="1"/>
  <c r="F691" i="3"/>
  <c r="G691" i="3" a="1"/>
  <c r="G691" i="3" s="1"/>
  <c r="H691" i="3" a="1"/>
  <c r="H691" i="3"/>
  <c r="I691" i="3" a="1"/>
  <c r="I691" i="3" s="1"/>
  <c r="B692" i="3" a="1"/>
  <c r="B692" i="3" s="1"/>
  <c r="C692" i="3" a="1"/>
  <c r="C692" i="3" s="1"/>
  <c r="D692" i="3" a="1"/>
  <c r="D692" i="3" s="1"/>
  <c r="E692" i="3" a="1"/>
  <c r="E692" i="3" s="1"/>
  <c r="F692" i="3" a="1"/>
  <c r="F692" i="3" s="1"/>
  <c r="G692" i="3" a="1"/>
  <c r="G692" i="3" s="1"/>
  <c r="H692" i="3" a="1"/>
  <c r="H692" i="3"/>
  <c r="I692" i="3" a="1"/>
  <c r="I692" i="3"/>
  <c r="B693" i="3" a="1"/>
  <c r="B693" i="3" s="1"/>
  <c r="C693" i="3" a="1"/>
  <c r="C693" i="3" s="1"/>
  <c r="D693" i="3" a="1"/>
  <c r="D693" i="3" s="1"/>
  <c r="E693" i="3" a="1"/>
  <c r="E693" i="3"/>
  <c r="F693" i="3" a="1"/>
  <c r="F693" i="3" s="1"/>
  <c r="G693" i="3" a="1"/>
  <c r="G693" i="3" s="1"/>
  <c r="H693" i="3" a="1"/>
  <c r="H693" i="3" s="1"/>
  <c r="I693" i="3" a="1"/>
  <c r="I693" i="3" s="1"/>
  <c r="B694" i="3" a="1"/>
  <c r="B694" i="3"/>
  <c r="C694" i="3" a="1"/>
  <c r="C694" i="3" s="1"/>
  <c r="D694" i="3" a="1"/>
  <c r="D694" i="3" s="1"/>
  <c r="E694" i="3" a="1"/>
  <c r="E694" i="3"/>
  <c r="F694" i="3" a="1"/>
  <c r="F694" i="3"/>
  <c r="G694" i="3" a="1"/>
  <c r="G694" i="3" s="1"/>
  <c r="H694" i="3" a="1"/>
  <c r="H694" i="3" s="1"/>
  <c r="I694" i="3" a="1"/>
  <c r="I694" i="3" s="1"/>
  <c r="B695" i="3" a="1"/>
  <c r="B695" i="3"/>
  <c r="C695" i="3" a="1"/>
  <c r="C695" i="3" s="1"/>
  <c r="D695" i="3" a="1"/>
  <c r="D695" i="3" s="1"/>
  <c r="E695" i="3" a="1"/>
  <c r="E695" i="3" s="1"/>
  <c r="F695" i="3" a="1"/>
  <c r="F695" i="3" s="1"/>
  <c r="G695" i="3" a="1"/>
  <c r="G695" i="3"/>
  <c r="H695" i="3" a="1"/>
  <c r="H695" i="3" s="1"/>
  <c r="I695" i="3" a="1"/>
  <c r="I695" i="3" s="1"/>
  <c r="B696" i="3" a="1"/>
  <c r="B696" i="3"/>
  <c r="C696" i="3" a="1"/>
  <c r="C696" i="3" s="1"/>
  <c r="D696" i="3" a="1"/>
  <c r="D696" i="3" s="1"/>
  <c r="E696" i="3" a="1"/>
  <c r="E696" i="3" s="1"/>
  <c r="F696" i="3" a="1"/>
  <c r="F696" i="3" s="1"/>
  <c r="G696" i="3" a="1"/>
  <c r="G696" i="3"/>
  <c r="H696" i="3" a="1"/>
  <c r="H696" i="3" s="1"/>
  <c r="I696" i="3" a="1"/>
  <c r="I696" i="3" s="1"/>
  <c r="B697" i="3" a="1"/>
  <c r="B697" i="3"/>
  <c r="C697" i="3" a="1"/>
  <c r="C697" i="3" s="1"/>
  <c r="D697" i="3" a="1"/>
  <c r="D697" i="3"/>
  <c r="E697" i="3" a="1"/>
  <c r="E697" i="3" s="1"/>
  <c r="F697" i="3" a="1"/>
  <c r="F697" i="3" s="1"/>
  <c r="G697" i="3" a="1"/>
  <c r="G697" i="3" s="1"/>
  <c r="H697" i="3" a="1"/>
  <c r="H697" i="3" s="1"/>
  <c r="I697" i="3" a="1"/>
  <c r="I697" i="3" s="1"/>
  <c r="B698" i="3" a="1"/>
  <c r="B698" i="3" s="1"/>
  <c r="C698" i="3" a="1"/>
  <c r="C698" i="3" s="1"/>
  <c r="D698" i="3" a="1"/>
  <c r="D698" i="3"/>
  <c r="E698" i="3" a="1"/>
  <c r="E698" i="3" s="1"/>
  <c r="F698" i="3" a="1"/>
  <c r="F698" i="3"/>
  <c r="G698" i="3" a="1"/>
  <c r="G698" i="3"/>
  <c r="H698" i="3" a="1"/>
  <c r="H698" i="3" s="1"/>
  <c r="I698" i="3" a="1"/>
  <c r="I698" i="3"/>
  <c r="B699" i="3" a="1"/>
  <c r="B699" i="3" s="1"/>
  <c r="C699" i="3" a="1"/>
  <c r="C699" i="3" s="1"/>
  <c r="D699" i="3" a="1"/>
  <c r="D699" i="3" s="1"/>
  <c r="E699" i="3" a="1"/>
  <c r="E699" i="3" s="1"/>
  <c r="F699" i="3" a="1"/>
  <c r="F699" i="3" s="1"/>
  <c r="G699" i="3" a="1"/>
  <c r="G699" i="3" s="1"/>
  <c r="H699" i="3" a="1"/>
  <c r="H699" i="3" s="1"/>
  <c r="I699" i="3" a="1"/>
  <c r="I699" i="3" s="1"/>
  <c r="B700" i="3" a="1"/>
  <c r="B700" i="3" s="1"/>
  <c r="C700" i="3" a="1"/>
  <c r="C700" i="3"/>
  <c r="D700" i="3" a="1"/>
  <c r="D700" i="3"/>
  <c r="E700" i="3" a="1"/>
  <c r="E700" i="3" s="1"/>
  <c r="F700" i="3" a="1"/>
  <c r="F700" i="3"/>
  <c r="G700" i="3" a="1"/>
  <c r="G700" i="3" s="1"/>
  <c r="H700" i="3" a="1"/>
  <c r="H700" i="3"/>
  <c r="I700" i="3" a="1"/>
  <c r="I700" i="3" s="1"/>
  <c r="B701" i="3" a="1"/>
  <c r="B701" i="3" s="1"/>
  <c r="C701" i="3" a="1"/>
  <c r="C701" i="3" s="1"/>
  <c r="D701" i="3" a="1"/>
  <c r="D701" i="3" s="1"/>
  <c r="E701" i="3" a="1"/>
  <c r="E701" i="3" s="1"/>
  <c r="F701" i="3" a="1"/>
  <c r="F701" i="3" s="1"/>
  <c r="G701" i="3" a="1"/>
  <c r="G701" i="3" s="1"/>
  <c r="H701" i="3" a="1"/>
  <c r="H701" i="3"/>
  <c r="I701" i="3" a="1"/>
  <c r="I701" i="3"/>
  <c r="B702" i="3" a="1"/>
  <c r="B702" i="3" s="1"/>
  <c r="C702" i="3" a="1"/>
  <c r="C702" i="3" s="1"/>
  <c r="D702" i="3" a="1"/>
  <c r="D702" i="3" s="1"/>
  <c r="E702" i="3" a="1"/>
  <c r="E702" i="3"/>
  <c r="F702" i="3" a="1"/>
  <c r="F702" i="3" s="1"/>
  <c r="G702" i="3" a="1"/>
  <c r="G702" i="3" s="1"/>
  <c r="H702" i="3" a="1"/>
  <c r="H702" i="3" s="1"/>
  <c r="I702" i="3" a="1"/>
  <c r="I702" i="3" s="1"/>
  <c r="B703" i="3" a="1"/>
  <c r="B703" i="3"/>
  <c r="C703" i="3" a="1"/>
  <c r="C703" i="3" s="1"/>
  <c r="D703" i="3" a="1"/>
  <c r="D703" i="3" s="1"/>
  <c r="E703" i="3" a="1"/>
  <c r="E703" i="3"/>
  <c r="F703" i="3" a="1"/>
  <c r="F703" i="3"/>
  <c r="G703" i="3" a="1"/>
  <c r="G703" i="3" s="1"/>
  <c r="H703" i="3" a="1"/>
  <c r="H703" i="3" s="1"/>
  <c r="I703" i="3" a="1"/>
  <c r="I703" i="3" s="1"/>
  <c r="B704" i="3" a="1"/>
  <c r="B704" i="3"/>
  <c r="C704" i="3" a="1"/>
  <c r="C704" i="3" s="1"/>
  <c r="D704" i="3" a="1"/>
  <c r="D704" i="3" s="1"/>
  <c r="E704" i="3" a="1"/>
  <c r="E704" i="3" s="1"/>
  <c r="F704" i="3" a="1"/>
  <c r="F704" i="3" s="1"/>
  <c r="G704" i="3" a="1"/>
  <c r="G704" i="3"/>
  <c r="H704" i="3" a="1"/>
  <c r="H704" i="3" s="1"/>
  <c r="I704" i="3" a="1"/>
  <c r="I704" i="3" s="1"/>
  <c r="B705" i="3" a="1"/>
  <c r="B705" i="3"/>
  <c r="C705" i="3" a="1"/>
  <c r="C705" i="3" s="1"/>
  <c r="D705" i="3" a="1"/>
  <c r="D705" i="3" s="1"/>
  <c r="E705" i="3" a="1"/>
  <c r="E705" i="3" s="1"/>
  <c r="F705" i="3" a="1"/>
  <c r="F705" i="3" s="1"/>
  <c r="G705" i="3" a="1"/>
  <c r="G705" i="3"/>
  <c r="H705" i="3" a="1"/>
  <c r="H705" i="3" s="1"/>
  <c r="I705" i="3" a="1"/>
  <c r="I705" i="3" s="1"/>
  <c r="B706" i="3" a="1"/>
  <c r="B706" i="3"/>
  <c r="C706" i="3" a="1"/>
  <c r="C706" i="3" s="1"/>
  <c r="D706" i="3" a="1"/>
  <c r="D706" i="3"/>
  <c r="E706" i="3" a="1"/>
  <c r="E706" i="3" s="1"/>
  <c r="F706" i="3" a="1"/>
  <c r="F706" i="3" s="1"/>
  <c r="G706" i="3" a="1"/>
  <c r="G706" i="3" s="1"/>
  <c r="H706" i="3" a="1"/>
  <c r="H706" i="3" s="1"/>
  <c r="I706" i="3" a="1"/>
  <c r="I706" i="3" s="1"/>
  <c r="B707" i="3" a="1"/>
  <c r="B707" i="3" s="1"/>
  <c r="C707" i="3" a="1"/>
  <c r="C707" i="3" s="1"/>
  <c r="D707" i="3" a="1"/>
  <c r="D707" i="3"/>
  <c r="E707" i="3" a="1"/>
  <c r="E707" i="3" s="1"/>
  <c r="F707" i="3" a="1"/>
  <c r="F707" i="3"/>
  <c r="G707" i="3" a="1"/>
  <c r="G707" i="3"/>
  <c r="H707" i="3" a="1"/>
  <c r="H707" i="3" s="1"/>
  <c r="I707" i="3" a="1"/>
  <c r="I707" i="3"/>
  <c r="B708" i="3" a="1"/>
  <c r="B708" i="3" s="1"/>
  <c r="C708" i="3" a="1"/>
  <c r="C708" i="3" s="1"/>
  <c r="D708" i="3" a="1"/>
  <c r="D708" i="3" s="1"/>
  <c r="E708" i="3" a="1"/>
  <c r="E708" i="3" s="1"/>
  <c r="F708" i="3" a="1"/>
  <c r="F708" i="3" s="1"/>
  <c r="G708" i="3" a="1"/>
  <c r="G708" i="3" s="1"/>
  <c r="H708" i="3" a="1"/>
  <c r="H708" i="3" s="1"/>
  <c r="I708" i="3" a="1"/>
  <c r="I708" i="3" s="1"/>
  <c r="B709" i="3" a="1"/>
  <c r="B709" i="3" s="1"/>
  <c r="C709" i="3" a="1"/>
  <c r="C709" i="3"/>
  <c r="D709" i="3" a="1"/>
  <c r="D709" i="3"/>
  <c r="E709" i="3" a="1"/>
  <c r="E709" i="3" s="1"/>
  <c r="F709" i="3" a="1"/>
  <c r="F709" i="3"/>
  <c r="G709" i="3" a="1"/>
  <c r="G709" i="3" s="1"/>
  <c r="H709" i="3" a="1"/>
  <c r="H709" i="3"/>
  <c r="I709" i="3" a="1"/>
  <c r="I709" i="3" s="1"/>
  <c r="B710" i="3" a="1"/>
  <c r="B710" i="3" s="1"/>
  <c r="C710" i="3" a="1"/>
  <c r="C710" i="3" s="1"/>
  <c r="D710" i="3" a="1"/>
  <c r="D710" i="3" s="1"/>
  <c r="E710" i="3" a="1"/>
  <c r="E710" i="3" s="1"/>
  <c r="F710" i="3" a="1"/>
  <c r="F710" i="3" s="1"/>
  <c r="G710" i="3" a="1"/>
  <c r="G710" i="3" s="1"/>
  <c r="H710" i="3" a="1"/>
  <c r="H710" i="3"/>
  <c r="I710" i="3" a="1"/>
  <c r="I710" i="3"/>
  <c r="B711" i="3" a="1"/>
  <c r="B711" i="3" s="1"/>
  <c r="C711" i="3" a="1"/>
  <c r="C711" i="3" s="1"/>
  <c r="D711" i="3" a="1"/>
  <c r="D711" i="3" s="1"/>
  <c r="E711" i="3" a="1"/>
  <c r="E711" i="3"/>
  <c r="F711" i="3" a="1"/>
  <c r="F711" i="3" s="1"/>
  <c r="G711" i="3" a="1"/>
  <c r="G711" i="3" s="1"/>
  <c r="H711" i="3" a="1"/>
  <c r="H711" i="3" s="1"/>
  <c r="I711" i="3" a="1"/>
  <c r="I711" i="3" s="1"/>
  <c r="B712" i="3" a="1"/>
  <c r="B712" i="3"/>
  <c r="C712" i="3" a="1"/>
  <c r="C712" i="3" s="1"/>
  <c r="D712" i="3" a="1"/>
  <c r="D712" i="3" s="1"/>
  <c r="E712" i="3" a="1"/>
  <c r="E712" i="3"/>
  <c r="F712" i="3" a="1"/>
  <c r="F712" i="3"/>
  <c r="G712" i="3" a="1"/>
  <c r="G712" i="3" s="1"/>
  <c r="H712" i="3" a="1"/>
  <c r="H712" i="3" s="1"/>
  <c r="I712" i="3" a="1"/>
  <c r="I712" i="3" s="1"/>
  <c r="B713" i="3" a="1"/>
  <c r="B713" i="3"/>
  <c r="C713" i="3" a="1"/>
  <c r="C713" i="3" s="1"/>
  <c r="D713" i="3" a="1"/>
  <c r="D713" i="3" s="1"/>
  <c r="E713" i="3" a="1"/>
  <c r="E713" i="3" s="1"/>
  <c r="F713" i="3" a="1"/>
  <c r="F713" i="3" s="1"/>
  <c r="G713" i="3" a="1"/>
  <c r="G713" i="3"/>
  <c r="H713" i="3" a="1"/>
  <c r="H713" i="3" s="1"/>
  <c r="I713" i="3" a="1"/>
  <c r="I713" i="3" s="1"/>
  <c r="B714" i="3" a="1"/>
  <c r="B714" i="3"/>
  <c r="C714" i="3" a="1"/>
  <c r="C714" i="3" s="1"/>
  <c r="D714" i="3" a="1"/>
  <c r="D714" i="3" s="1"/>
  <c r="E714" i="3" a="1"/>
  <c r="E714" i="3" s="1"/>
  <c r="F714" i="3" a="1"/>
  <c r="F714" i="3" s="1"/>
  <c r="G714" i="3" a="1"/>
  <c r="G714" i="3"/>
  <c r="H714" i="3" a="1"/>
  <c r="H714" i="3" s="1"/>
  <c r="I714" i="3" a="1"/>
  <c r="I714" i="3" s="1"/>
  <c r="B715" i="3" a="1"/>
  <c r="B715" i="3"/>
  <c r="C715" i="3" a="1"/>
  <c r="C715" i="3" s="1"/>
  <c r="D715" i="3" a="1"/>
  <c r="D715" i="3"/>
  <c r="E715" i="3" a="1"/>
  <c r="E715" i="3" s="1"/>
  <c r="F715" i="3" a="1"/>
  <c r="F715" i="3" s="1"/>
  <c r="G715" i="3" a="1"/>
  <c r="G715" i="3" s="1"/>
  <c r="H715" i="3" a="1"/>
  <c r="H715" i="3" s="1"/>
  <c r="I715" i="3" a="1"/>
  <c r="I715" i="3" s="1"/>
  <c r="B716" i="3" a="1"/>
  <c r="B716" i="3" s="1"/>
  <c r="C716" i="3" a="1"/>
  <c r="C716" i="3" s="1"/>
  <c r="D716" i="3" a="1"/>
  <c r="D716" i="3"/>
  <c r="E716" i="3" a="1"/>
  <c r="E716" i="3" s="1"/>
  <c r="F716" i="3" a="1"/>
  <c r="F716" i="3"/>
  <c r="G716" i="3" a="1"/>
  <c r="G716" i="3"/>
  <c r="H716" i="3" a="1"/>
  <c r="H716" i="3" s="1"/>
  <c r="I716" i="3" a="1"/>
  <c r="I716" i="3"/>
  <c r="B717" i="3" a="1"/>
  <c r="B717" i="3" s="1"/>
  <c r="C717" i="3" a="1"/>
  <c r="C717" i="3" s="1"/>
  <c r="D717" i="3" a="1"/>
  <c r="D717" i="3" s="1"/>
  <c r="E717" i="3" a="1"/>
  <c r="E717" i="3" s="1"/>
  <c r="F717" i="3" a="1"/>
  <c r="F717" i="3" s="1"/>
  <c r="G717" i="3" a="1"/>
  <c r="G717" i="3" s="1"/>
  <c r="H717" i="3" a="1"/>
  <c r="H717" i="3" s="1"/>
  <c r="I717" i="3" a="1"/>
  <c r="I717" i="3" s="1"/>
  <c r="B718" i="3" a="1"/>
  <c r="B718" i="3" s="1"/>
  <c r="C718" i="3" a="1"/>
  <c r="C718" i="3"/>
  <c r="D718" i="3" a="1"/>
  <c r="D718" i="3"/>
  <c r="E718" i="3" a="1"/>
  <c r="E718" i="3" s="1"/>
  <c r="F718" i="3" a="1"/>
  <c r="F718" i="3"/>
  <c r="G718" i="3" a="1"/>
  <c r="G718" i="3" s="1"/>
  <c r="H718" i="3" a="1"/>
  <c r="H718" i="3"/>
  <c r="I718" i="3" a="1"/>
  <c r="I718" i="3" s="1"/>
  <c r="B719" i="3" a="1"/>
  <c r="B719" i="3" s="1"/>
  <c r="C719" i="3" a="1"/>
  <c r="C719" i="3" s="1"/>
  <c r="D719" i="3" a="1"/>
  <c r="D719" i="3" s="1"/>
  <c r="E719" i="3" a="1"/>
  <c r="E719" i="3" s="1"/>
  <c r="F719" i="3" a="1"/>
  <c r="F719" i="3" s="1"/>
  <c r="G719" i="3" a="1"/>
  <c r="G719" i="3" s="1"/>
  <c r="H719" i="3" a="1"/>
  <c r="H719" i="3"/>
  <c r="I719" i="3" a="1"/>
  <c r="I719" i="3"/>
  <c r="B720" i="3" a="1"/>
  <c r="B720" i="3" s="1"/>
  <c r="C720" i="3" a="1"/>
  <c r="C720" i="3" s="1"/>
  <c r="D720" i="3" a="1"/>
  <c r="D720" i="3" s="1"/>
  <c r="E720" i="3" a="1"/>
  <c r="E720" i="3"/>
  <c r="F720" i="3" a="1"/>
  <c r="F720" i="3" s="1"/>
  <c r="G720" i="3" a="1"/>
  <c r="G720" i="3" s="1"/>
  <c r="H720" i="3" a="1"/>
  <c r="H720" i="3" s="1"/>
  <c r="I720" i="3" a="1"/>
  <c r="I720" i="3" s="1"/>
  <c r="B721" i="3" a="1"/>
  <c r="B721" i="3"/>
  <c r="C721" i="3" a="1"/>
  <c r="C721" i="3" s="1"/>
  <c r="D721" i="3" a="1"/>
  <c r="D721" i="3" s="1"/>
  <c r="E721" i="3" a="1"/>
  <c r="E721" i="3"/>
  <c r="F721" i="3" a="1"/>
  <c r="F721" i="3"/>
  <c r="G721" i="3" a="1"/>
  <c r="G721" i="3" s="1"/>
  <c r="H721" i="3" a="1"/>
  <c r="H721" i="3" s="1"/>
  <c r="I721" i="3" a="1"/>
  <c r="I721" i="3" s="1"/>
  <c r="B722" i="3" a="1"/>
  <c r="B722" i="3"/>
  <c r="C722" i="3" a="1"/>
  <c r="C722" i="3" s="1"/>
  <c r="D722" i="3" a="1"/>
  <c r="D722" i="3" s="1"/>
  <c r="E722" i="3" a="1"/>
  <c r="E722" i="3" s="1"/>
  <c r="F722" i="3" a="1"/>
  <c r="F722" i="3" s="1"/>
  <c r="G722" i="3" a="1"/>
  <c r="G722" i="3"/>
  <c r="H722" i="3" a="1"/>
  <c r="H722" i="3" s="1"/>
  <c r="I722" i="3" a="1"/>
  <c r="I722" i="3" s="1"/>
  <c r="B723" i="3" a="1"/>
  <c r="B723" i="3"/>
  <c r="C723" i="3" a="1"/>
  <c r="C723" i="3" s="1"/>
  <c r="D723" i="3" a="1"/>
  <c r="D723" i="3" s="1"/>
  <c r="E723" i="3" a="1"/>
  <c r="E723" i="3" s="1"/>
  <c r="F723" i="3" a="1"/>
  <c r="F723" i="3" s="1"/>
  <c r="G723" i="3" a="1"/>
  <c r="G723" i="3"/>
  <c r="H723" i="3" a="1"/>
  <c r="H723" i="3" s="1"/>
  <c r="I723" i="3" a="1"/>
  <c r="I723" i="3" s="1"/>
  <c r="B724" i="3" a="1"/>
  <c r="B724" i="3"/>
  <c r="C724" i="3" a="1"/>
  <c r="C724" i="3" s="1"/>
  <c r="D724" i="3" a="1"/>
  <c r="D724" i="3"/>
  <c r="E724" i="3" a="1"/>
  <c r="E724" i="3" s="1"/>
  <c r="F724" i="3" a="1"/>
  <c r="F724" i="3" s="1"/>
  <c r="G724" i="3" a="1"/>
  <c r="G724" i="3" s="1"/>
  <c r="H724" i="3" a="1"/>
  <c r="H724" i="3" s="1"/>
  <c r="I724" i="3" a="1"/>
  <c r="I724" i="3" s="1"/>
  <c r="B725" i="3" a="1"/>
  <c r="B725" i="3" s="1"/>
  <c r="C725" i="3" a="1"/>
  <c r="C725" i="3" s="1"/>
  <c r="D725" i="3" a="1"/>
  <c r="D725" i="3"/>
  <c r="E725" i="3" a="1"/>
  <c r="E725" i="3" s="1"/>
  <c r="F725" i="3" a="1"/>
  <c r="F725" i="3"/>
  <c r="G725" i="3" a="1"/>
  <c r="G725" i="3"/>
  <c r="H725" i="3" a="1"/>
  <c r="H725" i="3" s="1"/>
  <c r="I725" i="3" a="1"/>
  <c r="I725" i="3"/>
  <c r="B726" i="3" a="1"/>
  <c r="B726" i="3" s="1"/>
  <c r="C726" i="3" a="1"/>
  <c r="C726" i="3" s="1"/>
  <c r="D726" i="3" a="1"/>
  <c r="D726" i="3" s="1"/>
  <c r="E726" i="3" a="1"/>
  <c r="E726" i="3" s="1"/>
  <c r="F726" i="3" a="1"/>
  <c r="F726" i="3" s="1"/>
  <c r="G726" i="3" a="1"/>
  <c r="G726" i="3" s="1"/>
  <c r="H726" i="3" a="1"/>
  <c r="H726" i="3" s="1"/>
  <c r="I726" i="3" a="1"/>
  <c r="I726" i="3" s="1"/>
  <c r="B727" i="3" a="1"/>
  <c r="B727" i="3" s="1"/>
  <c r="C727" i="3" a="1"/>
  <c r="C727" i="3"/>
  <c r="D727" i="3" a="1"/>
  <c r="D727" i="3"/>
  <c r="E727" i="3" a="1"/>
  <c r="E727" i="3" s="1"/>
  <c r="F727" i="3" a="1"/>
  <c r="F727" i="3"/>
  <c r="G727" i="3" a="1"/>
  <c r="G727" i="3" s="1"/>
  <c r="H727" i="3" a="1"/>
  <c r="H727" i="3"/>
  <c r="I727" i="3" a="1"/>
  <c r="I727" i="3" s="1"/>
  <c r="B728" i="3" a="1"/>
  <c r="B728" i="3" s="1"/>
  <c r="C728" i="3" a="1"/>
  <c r="C728" i="3" s="1"/>
  <c r="D728" i="3" a="1"/>
  <c r="D728" i="3" s="1"/>
  <c r="E728" i="3" a="1"/>
  <c r="E728" i="3" s="1"/>
  <c r="F728" i="3" a="1"/>
  <c r="F728" i="3" s="1"/>
  <c r="G728" i="3" a="1"/>
  <c r="G728" i="3" s="1"/>
  <c r="H728" i="3" a="1"/>
  <c r="H728" i="3"/>
  <c r="I728" i="3" a="1"/>
  <c r="I728" i="3"/>
  <c r="B729" i="3" a="1"/>
  <c r="B729" i="3" s="1"/>
  <c r="C729" i="3" a="1"/>
  <c r="C729" i="3" s="1"/>
  <c r="D729" i="3" a="1"/>
  <c r="D729" i="3" s="1"/>
  <c r="E729" i="3" a="1"/>
  <c r="E729" i="3"/>
  <c r="F729" i="3" a="1"/>
  <c r="F729" i="3" s="1"/>
  <c r="G729" i="3" a="1"/>
  <c r="G729" i="3" s="1"/>
  <c r="H729" i="3" a="1"/>
  <c r="H729" i="3" s="1"/>
  <c r="I729" i="3" a="1"/>
  <c r="I729" i="3" s="1"/>
  <c r="B730" i="3" a="1"/>
  <c r="B730" i="3"/>
  <c r="C730" i="3" a="1"/>
  <c r="C730" i="3" s="1"/>
  <c r="D730" i="3" a="1"/>
  <c r="D730" i="3" s="1"/>
  <c r="E730" i="3" a="1"/>
  <c r="E730" i="3"/>
  <c r="F730" i="3" a="1"/>
  <c r="F730" i="3"/>
  <c r="G730" i="3" a="1"/>
  <c r="G730" i="3" s="1"/>
  <c r="H730" i="3" a="1"/>
  <c r="H730" i="3" s="1"/>
  <c r="I730" i="3" a="1"/>
  <c r="I730" i="3" s="1"/>
  <c r="B731" i="3" a="1"/>
  <c r="B731" i="3"/>
  <c r="C731" i="3" a="1"/>
  <c r="C731" i="3" s="1"/>
  <c r="D731" i="3" a="1"/>
  <c r="D731" i="3" s="1"/>
  <c r="E731" i="3" a="1"/>
  <c r="E731" i="3" s="1"/>
  <c r="F731" i="3" a="1"/>
  <c r="F731" i="3" s="1"/>
  <c r="G731" i="3" a="1"/>
  <c r="G731" i="3"/>
  <c r="H731" i="3" a="1"/>
  <c r="H731" i="3" s="1"/>
  <c r="I731" i="3" a="1"/>
  <c r="I731" i="3" s="1"/>
  <c r="B732" i="3" a="1"/>
  <c r="B732" i="3"/>
  <c r="C732" i="3" a="1"/>
  <c r="C732" i="3" s="1"/>
  <c r="D732" i="3" a="1"/>
  <c r="D732" i="3" s="1"/>
  <c r="E732" i="3" a="1"/>
  <c r="E732" i="3" s="1"/>
  <c r="F732" i="3" a="1"/>
  <c r="F732" i="3" s="1"/>
  <c r="G732" i="3" a="1"/>
  <c r="G732" i="3"/>
  <c r="H732" i="3" a="1"/>
  <c r="H732" i="3" s="1"/>
  <c r="I732" i="3" a="1"/>
  <c r="I732" i="3" s="1"/>
  <c r="B733" i="3" a="1"/>
  <c r="B733" i="3"/>
  <c r="C733" i="3" a="1"/>
  <c r="C733" i="3" s="1"/>
  <c r="D733" i="3" a="1"/>
  <c r="D733" i="3"/>
  <c r="E733" i="3" a="1"/>
  <c r="E733" i="3" s="1"/>
  <c r="F733" i="3" a="1"/>
  <c r="F733" i="3" s="1"/>
  <c r="G733" i="3" a="1"/>
  <c r="G733" i="3" s="1"/>
  <c r="H733" i="3" a="1"/>
  <c r="H733" i="3" s="1"/>
  <c r="I733" i="3" a="1"/>
  <c r="I733" i="3" s="1"/>
  <c r="B734" i="3" a="1"/>
  <c r="B734" i="3" s="1"/>
  <c r="C734" i="3" a="1"/>
  <c r="C734" i="3" s="1"/>
  <c r="D734" i="3" a="1"/>
  <c r="D734" i="3"/>
  <c r="E734" i="3" a="1"/>
  <c r="E734" i="3" s="1"/>
  <c r="F734" i="3" a="1"/>
  <c r="F734" i="3"/>
  <c r="G734" i="3" a="1"/>
  <c r="G734" i="3"/>
  <c r="H734" i="3" a="1"/>
  <c r="H734" i="3" s="1"/>
  <c r="I734" i="3" a="1"/>
  <c r="I734" i="3"/>
  <c r="B735" i="3" a="1"/>
  <c r="B735" i="3" s="1"/>
  <c r="C735" i="3" a="1"/>
  <c r="C735" i="3" s="1"/>
  <c r="D735" i="3" a="1"/>
  <c r="D735" i="3" s="1"/>
  <c r="E735" i="3" a="1"/>
  <c r="E735" i="3" s="1"/>
  <c r="F735" i="3" a="1"/>
  <c r="F735" i="3" s="1"/>
  <c r="G735" i="3" a="1"/>
  <c r="G735" i="3" s="1"/>
  <c r="H735" i="3" a="1"/>
  <c r="H735" i="3" s="1"/>
  <c r="I735" i="3" a="1"/>
  <c r="I735" i="3" s="1"/>
  <c r="B736" i="3" a="1"/>
  <c r="B736" i="3" s="1"/>
  <c r="C736" i="3" a="1"/>
  <c r="C736" i="3"/>
  <c r="D736" i="3" a="1"/>
  <c r="D736" i="3"/>
  <c r="E736" i="3" a="1"/>
  <c r="E736" i="3" s="1"/>
  <c r="F736" i="3" a="1"/>
  <c r="F736" i="3"/>
  <c r="G736" i="3" a="1"/>
  <c r="G736" i="3" s="1"/>
  <c r="H736" i="3" a="1"/>
  <c r="H736" i="3"/>
  <c r="I736" i="3" a="1"/>
  <c r="I736" i="3" s="1"/>
  <c r="B737" i="3" a="1"/>
  <c r="B737" i="3" s="1"/>
  <c r="C737" i="3" a="1"/>
  <c r="C737" i="3" s="1"/>
  <c r="D737" i="3" a="1"/>
  <c r="D737" i="3" s="1"/>
  <c r="E737" i="3" a="1"/>
  <c r="E737" i="3" s="1"/>
  <c r="F737" i="3" a="1"/>
  <c r="F737" i="3" s="1"/>
  <c r="G737" i="3" a="1"/>
  <c r="G737" i="3" s="1"/>
  <c r="H737" i="3" a="1"/>
  <c r="H737" i="3"/>
  <c r="I737" i="3" a="1"/>
  <c r="I737" i="3"/>
  <c r="B738" i="3" a="1"/>
  <c r="B738" i="3" s="1"/>
  <c r="C738" i="3" a="1"/>
  <c r="C738" i="3" s="1"/>
  <c r="D738" i="3" a="1"/>
  <c r="D738" i="3" s="1"/>
  <c r="E738" i="3" a="1"/>
  <c r="E738" i="3"/>
  <c r="F738" i="3" a="1"/>
  <c r="F738" i="3" s="1"/>
  <c r="G738" i="3" a="1"/>
  <c r="G738" i="3" s="1"/>
  <c r="H738" i="3" a="1"/>
  <c r="H738" i="3" s="1"/>
  <c r="I738" i="3" a="1"/>
  <c r="I738" i="3" s="1"/>
  <c r="B739" i="3" a="1"/>
  <c r="B739" i="3"/>
  <c r="C739" i="3" a="1"/>
  <c r="C739" i="3" s="1"/>
  <c r="D739" i="3" a="1"/>
  <c r="D739" i="3" s="1"/>
  <c r="E739" i="3" a="1"/>
  <c r="E739" i="3"/>
  <c r="F739" i="3" a="1"/>
  <c r="F739" i="3"/>
  <c r="G739" i="3" a="1"/>
  <c r="G739" i="3" s="1"/>
  <c r="H739" i="3" a="1"/>
  <c r="H739" i="3" s="1"/>
  <c r="I739" i="3" a="1"/>
  <c r="I739" i="3" s="1"/>
  <c r="B740" i="3" a="1"/>
  <c r="B740" i="3"/>
  <c r="C740" i="3" a="1"/>
  <c r="C740" i="3" s="1"/>
  <c r="D740" i="3" a="1"/>
  <c r="D740" i="3" s="1"/>
  <c r="E740" i="3" a="1"/>
  <c r="E740" i="3" s="1"/>
  <c r="F740" i="3" a="1"/>
  <c r="F740" i="3" s="1"/>
  <c r="G740" i="3" a="1"/>
  <c r="G740" i="3"/>
  <c r="H740" i="3" a="1"/>
  <c r="H740" i="3" s="1"/>
  <c r="I740" i="3" a="1"/>
  <c r="I740" i="3" s="1"/>
  <c r="B741" i="3" a="1"/>
  <c r="B741" i="3"/>
  <c r="C741" i="3" a="1"/>
  <c r="C741" i="3" s="1"/>
  <c r="D741" i="3" a="1"/>
  <c r="D741" i="3" s="1"/>
  <c r="E741" i="3" a="1"/>
  <c r="E741" i="3" s="1"/>
  <c r="F741" i="3" a="1"/>
  <c r="F741" i="3" s="1"/>
  <c r="G741" i="3" a="1"/>
  <c r="G741" i="3"/>
  <c r="H741" i="3" a="1"/>
  <c r="H741" i="3" s="1"/>
  <c r="I741" i="3" a="1"/>
  <c r="I741" i="3" s="1"/>
  <c r="B742" i="3" a="1"/>
  <c r="B742" i="3"/>
  <c r="C742" i="3" a="1"/>
  <c r="C742" i="3" s="1"/>
  <c r="D742" i="3" a="1"/>
  <c r="D742" i="3"/>
  <c r="E742" i="3" a="1"/>
  <c r="E742" i="3" s="1"/>
  <c r="F742" i="3" a="1"/>
  <c r="F742" i="3" s="1"/>
  <c r="G742" i="3" a="1"/>
  <c r="G742" i="3" s="1"/>
  <c r="H742" i="3" a="1"/>
  <c r="H742" i="3" s="1"/>
  <c r="I742" i="3" a="1"/>
  <c r="I742" i="3" s="1"/>
  <c r="B743" i="3" a="1"/>
  <c r="B743" i="3" s="1"/>
  <c r="C743" i="3" a="1"/>
  <c r="C743" i="3" s="1"/>
  <c r="D743" i="3" a="1"/>
  <c r="D743" i="3"/>
  <c r="E743" i="3" a="1"/>
  <c r="E743" i="3" s="1"/>
  <c r="F743" i="3" a="1"/>
  <c r="F743" i="3"/>
  <c r="G743" i="3" a="1"/>
  <c r="G743" i="3"/>
  <c r="H743" i="3" a="1"/>
  <c r="H743" i="3" s="1"/>
  <c r="I743" i="3" a="1"/>
  <c r="I743" i="3"/>
  <c r="B744" i="3" a="1"/>
  <c r="B744" i="3" s="1"/>
  <c r="C744" i="3" a="1"/>
  <c r="C744" i="3" s="1"/>
  <c r="D744" i="3" a="1"/>
  <c r="D744" i="3" s="1"/>
  <c r="E744" i="3" a="1"/>
  <c r="E744" i="3" s="1"/>
  <c r="F744" i="3" a="1"/>
  <c r="F744" i="3" s="1"/>
  <c r="G744" i="3" a="1"/>
  <c r="G744" i="3" s="1"/>
  <c r="H744" i="3" a="1"/>
  <c r="H744" i="3" s="1"/>
  <c r="I744" i="3" a="1"/>
  <c r="I744" i="3" s="1"/>
  <c r="B745" i="3" a="1"/>
  <c r="B745" i="3" s="1"/>
  <c r="C745" i="3" a="1"/>
  <c r="C745" i="3"/>
  <c r="D745" i="3" a="1"/>
  <c r="D745" i="3"/>
  <c r="E745" i="3" a="1"/>
  <c r="E745" i="3" s="1"/>
  <c r="F745" i="3" a="1"/>
  <c r="F745" i="3"/>
  <c r="G745" i="3" a="1"/>
  <c r="G745" i="3" s="1"/>
  <c r="H745" i="3" a="1"/>
  <c r="H745" i="3"/>
  <c r="I745" i="3" a="1"/>
  <c r="I745" i="3" s="1"/>
  <c r="B746" i="3" a="1"/>
  <c r="B746" i="3" s="1"/>
  <c r="C746" i="3" a="1"/>
  <c r="C746" i="3" s="1"/>
  <c r="D746" i="3" a="1"/>
  <c r="D746" i="3" s="1"/>
  <c r="E746" i="3" a="1"/>
  <c r="E746" i="3" s="1"/>
  <c r="F746" i="3" a="1"/>
  <c r="F746" i="3" s="1"/>
  <c r="G746" i="3" a="1"/>
  <c r="G746" i="3" s="1"/>
  <c r="H746" i="3" a="1"/>
  <c r="H746" i="3"/>
  <c r="I746" i="3" a="1"/>
  <c r="I746" i="3"/>
  <c r="B747" i="3" a="1"/>
  <c r="B747" i="3" s="1"/>
  <c r="C747" i="3" a="1"/>
  <c r="C747" i="3" s="1"/>
  <c r="D747" i="3" a="1"/>
  <c r="D747" i="3" s="1"/>
  <c r="E747" i="3" a="1"/>
  <c r="E747" i="3"/>
  <c r="F747" i="3" a="1"/>
  <c r="F747" i="3" s="1"/>
  <c r="G747" i="3" a="1"/>
  <c r="G747" i="3" s="1"/>
  <c r="H747" i="3" a="1"/>
  <c r="H747" i="3" s="1"/>
  <c r="I747" i="3" a="1"/>
  <c r="I747" i="3" s="1"/>
  <c r="B748" i="3" a="1"/>
  <c r="B748" i="3"/>
  <c r="C748" i="3" a="1"/>
  <c r="C748" i="3" s="1"/>
  <c r="D748" i="3" a="1"/>
  <c r="D748" i="3" s="1"/>
  <c r="E748" i="3" a="1"/>
  <c r="E748" i="3"/>
  <c r="F748" i="3" a="1"/>
  <c r="F748" i="3"/>
  <c r="G748" i="3" a="1"/>
  <c r="G748" i="3" s="1"/>
  <c r="H748" i="3" a="1"/>
  <c r="H748" i="3" s="1"/>
  <c r="I748" i="3" a="1"/>
  <c r="I748" i="3" s="1"/>
  <c r="B749" i="3" a="1"/>
  <c r="B749" i="3"/>
  <c r="C749" i="3" a="1"/>
  <c r="C749" i="3" s="1"/>
  <c r="D749" i="3" a="1"/>
  <c r="D749" i="3" s="1"/>
  <c r="E749" i="3" a="1"/>
  <c r="E749" i="3" s="1"/>
  <c r="F749" i="3" a="1"/>
  <c r="F749" i="3" s="1"/>
  <c r="G749" i="3" a="1"/>
  <c r="G749" i="3"/>
  <c r="H749" i="3" a="1"/>
  <c r="H749" i="3" s="1"/>
  <c r="I749" i="3" a="1"/>
  <c r="I749" i="3" s="1"/>
  <c r="B750" i="3" a="1"/>
  <c r="B750" i="3"/>
  <c r="C750" i="3" a="1"/>
  <c r="C750" i="3" s="1"/>
  <c r="D750" i="3" a="1"/>
  <c r="D750" i="3" s="1"/>
  <c r="E750" i="3" a="1"/>
  <c r="E750" i="3" s="1"/>
  <c r="F750" i="3" a="1"/>
  <c r="F750" i="3" s="1"/>
  <c r="G750" i="3" a="1"/>
  <c r="G750" i="3"/>
  <c r="H750" i="3" a="1"/>
  <c r="H750" i="3" s="1"/>
  <c r="I750" i="3" a="1"/>
  <c r="I750" i="3" s="1"/>
  <c r="B751" i="3" a="1"/>
  <c r="B751" i="3"/>
  <c r="C751" i="3" a="1"/>
  <c r="C751" i="3" s="1"/>
  <c r="D751" i="3" a="1"/>
  <c r="D751" i="3"/>
  <c r="E751" i="3" a="1"/>
  <c r="E751" i="3" s="1"/>
  <c r="F751" i="3" a="1"/>
  <c r="F751" i="3" s="1"/>
  <c r="G751" i="3" a="1"/>
  <c r="G751" i="3" s="1"/>
  <c r="H751" i="3" a="1"/>
  <c r="H751" i="3" s="1"/>
  <c r="I751" i="3" a="1"/>
  <c r="I751" i="3" s="1"/>
  <c r="B752" i="3" a="1"/>
  <c r="B752" i="3" s="1"/>
  <c r="C752" i="3" a="1"/>
  <c r="C752" i="3" s="1"/>
  <c r="D752" i="3" a="1"/>
  <c r="D752" i="3"/>
  <c r="E752" i="3" a="1"/>
  <c r="E752" i="3" s="1"/>
  <c r="F752" i="3" a="1"/>
  <c r="F752" i="3"/>
  <c r="G752" i="3" a="1"/>
  <c r="G752" i="3"/>
  <c r="H752" i="3" a="1"/>
  <c r="H752" i="3" s="1"/>
  <c r="I752" i="3" a="1"/>
  <c r="I752" i="3"/>
  <c r="B753" i="3" a="1"/>
  <c r="B753" i="3" s="1"/>
  <c r="C753" i="3" a="1"/>
  <c r="C753" i="3" s="1"/>
  <c r="D753" i="3" a="1"/>
  <c r="D753" i="3"/>
  <c r="E753" i="3" a="1"/>
  <c r="E753" i="3"/>
  <c r="F753" i="3" a="1"/>
  <c r="F753" i="3" s="1"/>
  <c r="G753" i="3" a="1"/>
  <c r="G753" i="3"/>
  <c r="H753" i="3" a="1"/>
  <c r="H753" i="3" s="1"/>
  <c r="I753" i="3" a="1"/>
  <c r="I753" i="3" s="1"/>
  <c r="B754" i="3" a="1"/>
  <c r="B754" i="3"/>
  <c r="C754" i="3" a="1"/>
  <c r="C754" i="3"/>
  <c r="D754" i="3" a="1"/>
  <c r="D754" i="3" s="1"/>
  <c r="E754" i="3" a="1"/>
  <c r="E754" i="3"/>
  <c r="F754" i="3" a="1"/>
  <c r="F754" i="3" s="1"/>
  <c r="G754" i="3" a="1"/>
  <c r="G754" i="3" s="1"/>
  <c r="H754" i="3" a="1"/>
  <c r="H754" i="3"/>
  <c r="I754" i="3" a="1"/>
  <c r="I754" i="3"/>
  <c r="B755" i="3" a="1"/>
  <c r="B755" i="3" s="1"/>
  <c r="C755" i="3" a="1"/>
  <c r="C755" i="3"/>
  <c r="D755" i="3" a="1"/>
  <c r="D755" i="3" s="1"/>
  <c r="E755" i="3" a="1"/>
  <c r="E755" i="3" s="1"/>
  <c r="F755" i="3" a="1"/>
  <c r="F755" i="3"/>
  <c r="G755" i="3" a="1"/>
  <c r="G755" i="3"/>
  <c r="H755" i="3" a="1"/>
  <c r="H755" i="3" s="1"/>
  <c r="I755" i="3" a="1"/>
  <c r="I755" i="3"/>
  <c r="B756" i="3" a="1"/>
  <c r="B756" i="3" s="1"/>
  <c r="C756" i="3" a="1"/>
  <c r="C756" i="3" s="1"/>
  <c r="D756" i="3" a="1"/>
  <c r="D756" i="3"/>
  <c r="E756" i="3" a="1"/>
  <c r="E756" i="3"/>
  <c r="F756" i="3" a="1"/>
  <c r="F756" i="3" s="1"/>
  <c r="G756" i="3" a="1"/>
  <c r="G756" i="3"/>
  <c r="H756" i="3" a="1"/>
  <c r="H756" i="3" s="1"/>
  <c r="I756" i="3" a="1"/>
  <c r="I756" i="3" s="1"/>
  <c r="B757" i="3" a="1"/>
  <c r="B757" i="3"/>
  <c r="C757" i="3" a="1"/>
  <c r="C757" i="3"/>
  <c r="D757" i="3" a="1"/>
  <c r="D757" i="3" s="1"/>
  <c r="E757" i="3" a="1"/>
  <c r="E757" i="3"/>
  <c r="F757" i="3" a="1"/>
  <c r="F757" i="3" s="1"/>
  <c r="G757" i="3" a="1"/>
  <c r="G757" i="3" s="1"/>
  <c r="H757" i="3" a="1"/>
  <c r="H757" i="3"/>
  <c r="I757" i="3" a="1"/>
  <c r="I757" i="3"/>
  <c r="B758" i="3" a="1"/>
  <c r="B758" i="3" s="1"/>
  <c r="C758" i="3" a="1"/>
  <c r="C758" i="3"/>
  <c r="D758" i="3" a="1"/>
  <c r="D758" i="3" s="1"/>
  <c r="E758" i="3" a="1"/>
  <c r="E758" i="3" s="1"/>
  <c r="F758" i="3" a="1"/>
  <c r="F758" i="3"/>
  <c r="G758" i="3" a="1"/>
  <c r="G758" i="3"/>
  <c r="H758" i="3" a="1"/>
  <c r="H758" i="3" s="1"/>
  <c r="I758" i="3" a="1"/>
  <c r="I758" i="3"/>
  <c r="B759" i="3" a="1"/>
  <c r="B759" i="3" s="1"/>
  <c r="C759" i="3" a="1"/>
  <c r="C759" i="3" s="1"/>
  <c r="D759" i="3" a="1"/>
  <c r="D759" i="3"/>
  <c r="E759" i="3" a="1"/>
  <c r="E759" i="3"/>
  <c r="F759" i="3" a="1"/>
  <c r="F759" i="3" s="1"/>
  <c r="G759" i="3" a="1"/>
  <c r="G759" i="3" s="1"/>
  <c r="H759" i="3" a="1"/>
  <c r="H759" i="3" s="1"/>
  <c r="I759" i="3" a="1"/>
  <c r="I759" i="3" s="1"/>
  <c r="B760" i="3" a="1"/>
  <c r="B760" i="3"/>
  <c r="C760" i="3" a="1"/>
  <c r="C760" i="3"/>
  <c r="D760" i="3" a="1"/>
  <c r="D760" i="3" s="1"/>
  <c r="E760" i="3" a="1"/>
  <c r="E760" i="3" s="1"/>
  <c r="F760" i="3" a="1"/>
  <c r="F760" i="3" s="1"/>
  <c r="G760" i="3" a="1"/>
  <c r="G760" i="3" s="1"/>
  <c r="H760" i="3" a="1"/>
  <c r="H760" i="3"/>
  <c r="I760" i="3" a="1"/>
  <c r="I760" i="3"/>
  <c r="B761" i="3" a="1"/>
  <c r="B761" i="3" s="1"/>
  <c r="C761" i="3" a="1"/>
  <c r="C761" i="3"/>
  <c r="D761" i="3" a="1"/>
  <c r="D761" i="3" s="1"/>
  <c r="E761" i="3" a="1"/>
  <c r="E761" i="3" s="1"/>
  <c r="F761" i="3" a="1"/>
  <c r="F761" i="3"/>
  <c r="G761" i="3" a="1"/>
  <c r="G761" i="3"/>
  <c r="H761" i="3" a="1"/>
  <c r="H761" i="3" s="1"/>
  <c r="I761" i="3" a="1"/>
  <c r="I761" i="3" s="1"/>
  <c r="B762" i="3" a="1"/>
  <c r="B762" i="3" s="1"/>
  <c r="C762" i="3" a="1"/>
  <c r="C762" i="3" s="1"/>
  <c r="D762" i="3" a="1"/>
  <c r="D762" i="3"/>
  <c r="E762" i="3" a="1"/>
  <c r="E762" i="3"/>
  <c r="F762" i="3" a="1"/>
  <c r="F762" i="3" s="1"/>
  <c r="G762" i="3" a="1"/>
  <c r="G762" i="3" s="1"/>
  <c r="H762" i="3" a="1"/>
  <c r="H762" i="3" s="1"/>
  <c r="I762" i="3" a="1"/>
  <c r="I762" i="3" s="1"/>
  <c r="B763" i="3" a="1"/>
  <c r="B763" i="3"/>
  <c r="C763" i="3" a="1"/>
  <c r="C763" i="3"/>
  <c r="D763" i="3" a="1"/>
  <c r="D763" i="3" s="1"/>
  <c r="E763" i="3" a="1"/>
  <c r="E763" i="3" s="1"/>
  <c r="F763" i="3" a="1"/>
  <c r="F763" i="3" s="1"/>
  <c r="G763" i="3" a="1"/>
  <c r="G763" i="3" s="1"/>
  <c r="H763" i="3" a="1"/>
  <c r="H763" i="3"/>
  <c r="I763" i="3" a="1"/>
  <c r="I763" i="3"/>
  <c r="B764" i="3" a="1"/>
  <c r="B764" i="3" s="1"/>
  <c r="C764" i="3" a="1"/>
  <c r="C764" i="3"/>
  <c r="D764" i="3" a="1"/>
  <c r="D764" i="3" s="1"/>
  <c r="E764" i="3" a="1"/>
  <c r="E764" i="3" s="1"/>
  <c r="F764" i="3" a="1"/>
  <c r="F764" i="3"/>
  <c r="G764" i="3" a="1"/>
  <c r="G764" i="3"/>
  <c r="H764" i="3" a="1"/>
  <c r="H764" i="3" s="1"/>
  <c r="I764" i="3" a="1"/>
  <c r="I764" i="3" s="1"/>
  <c r="B765" i="3" a="1"/>
  <c r="B765" i="3" s="1"/>
  <c r="C765" i="3" a="1"/>
  <c r="C765" i="3" s="1"/>
  <c r="D765" i="3" a="1"/>
  <c r="D765" i="3"/>
  <c r="E765" i="3" a="1"/>
  <c r="E765" i="3" s="1"/>
  <c r="F765" i="3" a="1"/>
  <c r="F765" i="3" s="1"/>
  <c r="G765" i="3" a="1"/>
  <c r="G765" i="3" s="1"/>
  <c r="H765" i="3" a="1"/>
  <c r="H765" i="3" s="1"/>
  <c r="I765" i="3" a="1"/>
  <c r="I765" i="3" s="1"/>
  <c r="B766" i="3" a="1"/>
  <c r="B766" i="3"/>
  <c r="C766" i="3" a="1"/>
  <c r="C766" i="3"/>
  <c r="D766" i="3" a="1"/>
  <c r="D766" i="3" s="1"/>
  <c r="E766" i="3" a="1"/>
  <c r="E766" i="3" s="1"/>
  <c r="F766" i="3" a="1"/>
  <c r="F766" i="3" s="1"/>
  <c r="G766" i="3" a="1"/>
  <c r="G766" i="3" s="1"/>
  <c r="H766" i="3" a="1"/>
  <c r="H766" i="3"/>
  <c r="I766" i="3" a="1"/>
  <c r="I766" i="3" s="1"/>
  <c r="B767" i="3" a="1"/>
  <c r="B767" i="3" s="1"/>
  <c r="C767" i="3" a="1"/>
  <c r="C767" i="3" s="1"/>
  <c r="D767" i="3" a="1"/>
  <c r="D767" i="3" s="1"/>
  <c r="E767" i="3" a="1"/>
  <c r="E767" i="3" s="1"/>
  <c r="F767" i="3" a="1"/>
  <c r="F767" i="3" s="1"/>
  <c r="G767" i="3" a="1"/>
  <c r="G767" i="3"/>
  <c r="H767" i="3" a="1"/>
  <c r="H767" i="3" s="1"/>
  <c r="I767" i="3" a="1"/>
  <c r="I767" i="3"/>
  <c r="B768" i="3" a="1"/>
  <c r="B768" i="3" s="1"/>
  <c r="C768" i="3" a="1"/>
  <c r="C768" i="3" s="1"/>
  <c r="D768" i="3" a="1"/>
  <c r="D768" i="3" s="1"/>
  <c r="E768" i="3" a="1"/>
  <c r="E768" i="3"/>
  <c r="F768" i="3" a="1"/>
  <c r="F768" i="3" s="1"/>
  <c r="G768" i="3" a="1"/>
  <c r="G768" i="3"/>
  <c r="H768" i="3" a="1"/>
  <c r="H768" i="3" s="1"/>
  <c r="I768" i="3" a="1"/>
  <c r="I768" i="3" s="1"/>
  <c r="B769" i="3" a="1"/>
  <c r="B769" i="3" s="1"/>
  <c r="C769" i="3" a="1"/>
  <c r="C769" i="3" s="1"/>
  <c r="D769" i="3" a="1"/>
  <c r="D769" i="3" s="1"/>
  <c r="E769" i="3" a="1"/>
  <c r="E769" i="3"/>
  <c r="F769" i="3" a="1"/>
  <c r="F769" i="3" s="1"/>
  <c r="G769" i="3" a="1"/>
  <c r="G769" i="3" s="1"/>
  <c r="H769" i="3" a="1"/>
  <c r="H769" i="3" s="1"/>
  <c r="I769" i="3" a="1"/>
  <c r="I769" i="3"/>
  <c r="B770" i="3" a="1"/>
  <c r="B770" i="3" s="1"/>
  <c r="C770" i="3" a="1"/>
  <c r="C770" i="3"/>
  <c r="D770" i="3" a="1"/>
  <c r="D770" i="3" s="1"/>
  <c r="E770" i="3" a="1"/>
  <c r="E770" i="3" s="1"/>
  <c r="F770" i="3" a="1"/>
  <c r="F770" i="3" s="1"/>
  <c r="G770" i="3" a="1"/>
  <c r="G770" i="3"/>
  <c r="H770" i="3" a="1"/>
  <c r="H770" i="3" s="1"/>
  <c r="I770" i="3" a="1"/>
  <c r="I770" i="3"/>
  <c r="B771" i="3" a="1"/>
  <c r="B771" i="3" s="1"/>
  <c r="C771" i="3" a="1"/>
  <c r="C771" i="3" s="1"/>
  <c r="D771" i="3" a="1"/>
  <c r="D771" i="3" s="1"/>
  <c r="E771" i="3" a="1"/>
  <c r="E771" i="3" s="1"/>
  <c r="F771" i="3" a="1"/>
  <c r="F771" i="3" s="1"/>
  <c r="G771" i="3" a="1"/>
  <c r="G771" i="3"/>
  <c r="H771" i="3" a="1"/>
  <c r="H771" i="3" s="1"/>
  <c r="I771" i="3" a="1"/>
  <c r="I771" i="3" s="1"/>
  <c r="B772" i="3" a="1"/>
  <c r="B772" i="3" s="1"/>
  <c r="C772" i="3" a="1"/>
  <c r="C772" i="3"/>
  <c r="D772" i="3" a="1"/>
  <c r="D772" i="3" s="1"/>
  <c r="E772" i="3" a="1"/>
  <c r="E772" i="3"/>
  <c r="F772" i="3" a="1"/>
  <c r="F772" i="3" s="1"/>
  <c r="G772" i="3" a="1"/>
  <c r="G772" i="3" s="1"/>
  <c r="H772" i="3" a="1"/>
  <c r="H772" i="3" s="1"/>
  <c r="I772" i="3" a="1"/>
  <c r="I772" i="3"/>
  <c r="B773" i="3" a="1"/>
  <c r="B773" i="3" s="1"/>
  <c r="C773" i="3" a="1"/>
  <c r="C773" i="3"/>
  <c r="D773" i="3" a="1"/>
  <c r="D773" i="3" s="1"/>
  <c r="E773" i="3" a="1"/>
  <c r="E773" i="3" s="1"/>
  <c r="F773" i="3" a="1"/>
  <c r="F773" i="3" s="1"/>
  <c r="G773" i="3" a="1"/>
  <c r="G773" i="3" s="1"/>
  <c r="H773" i="3" a="1"/>
  <c r="H773" i="3" s="1"/>
  <c r="I773" i="3" a="1"/>
  <c r="I773" i="3" s="1"/>
  <c r="B774" i="3" a="1"/>
  <c r="B774" i="3" s="1"/>
  <c r="C774" i="3" a="1"/>
  <c r="C774" i="3" s="1"/>
  <c r="D774" i="3" a="1"/>
  <c r="D774" i="3" s="1"/>
  <c r="E774" i="3" a="1"/>
  <c r="E774" i="3"/>
  <c r="F774" i="3" a="1"/>
  <c r="F774" i="3" s="1"/>
  <c r="G774" i="3" a="1"/>
  <c r="G774" i="3"/>
  <c r="H774" i="3" a="1"/>
  <c r="H774" i="3" s="1"/>
  <c r="I774" i="3" a="1"/>
  <c r="I774" i="3" s="1"/>
  <c r="B775" i="3" a="1"/>
  <c r="B775" i="3" s="1"/>
  <c r="C775" i="3" a="1"/>
  <c r="C775" i="3"/>
  <c r="D775" i="3" a="1"/>
  <c r="D775" i="3" s="1"/>
  <c r="E775" i="3" a="1"/>
  <c r="E775" i="3"/>
  <c r="F775" i="3" a="1"/>
  <c r="F775" i="3" s="1"/>
  <c r="G775" i="3" a="1"/>
  <c r="G775" i="3" s="1"/>
  <c r="H775" i="3" a="1"/>
  <c r="H775" i="3" s="1"/>
  <c r="I775" i="3" a="1"/>
  <c r="I775" i="3" s="1"/>
  <c r="B776" i="3" a="1"/>
  <c r="B776" i="3" s="1"/>
  <c r="C776" i="3" a="1"/>
  <c r="C776" i="3" s="1"/>
  <c r="D776" i="3" a="1"/>
  <c r="D776" i="3" s="1"/>
  <c r="E776" i="3" a="1"/>
  <c r="E776" i="3" s="1"/>
  <c r="F776" i="3" a="1"/>
  <c r="F776" i="3" s="1"/>
  <c r="G776" i="3" a="1"/>
  <c r="G776" i="3"/>
  <c r="H776" i="3" a="1"/>
  <c r="H776" i="3" s="1"/>
  <c r="I776" i="3" a="1"/>
  <c r="I776" i="3"/>
  <c r="B777" i="3" a="1"/>
  <c r="B777" i="3" s="1"/>
  <c r="C777" i="3" a="1"/>
  <c r="C777" i="3" s="1"/>
  <c r="D777" i="3" a="1"/>
  <c r="D777" i="3" s="1"/>
  <c r="E777" i="3" a="1"/>
  <c r="E777" i="3"/>
  <c r="F777" i="3" a="1"/>
  <c r="F777" i="3" s="1"/>
  <c r="G777" i="3" a="1"/>
  <c r="G777" i="3"/>
  <c r="H777" i="3" a="1"/>
  <c r="H777" i="3" s="1"/>
  <c r="I777" i="3" a="1"/>
  <c r="I777" i="3" s="1"/>
  <c r="B778" i="3" a="1"/>
  <c r="B778" i="3" s="1"/>
  <c r="C778" i="3" a="1"/>
  <c r="C778" i="3" s="1"/>
  <c r="D778" i="3" a="1"/>
  <c r="D778" i="3" s="1"/>
  <c r="E778" i="3" a="1"/>
  <c r="E778" i="3" s="1"/>
  <c r="F778" i="3" a="1"/>
  <c r="F778" i="3" s="1"/>
  <c r="G778" i="3" a="1"/>
  <c r="G778" i="3" s="1"/>
  <c r="H778" i="3" a="1"/>
  <c r="H778" i="3" s="1"/>
  <c r="I778" i="3" a="1"/>
  <c r="I778" i="3"/>
  <c r="B779" i="3" a="1"/>
  <c r="B779" i="3" s="1"/>
  <c r="C779" i="3" a="1"/>
  <c r="C779" i="3" s="1"/>
  <c r="D779" i="3" a="1"/>
  <c r="D779" i="3" s="1"/>
  <c r="E779" i="3" a="1"/>
  <c r="E779" i="3" s="1"/>
  <c r="F779" i="3" a="1"/>
  <c r="F779" i="3" s="1"/>
  <c r="G779" i="3" a="1"/>
  <c r="G779" i="3"/>
  <c r="H779" i="3" a="1"/>
  <c r="H779" i="3" s="1"/>
  <c r="I779" i="3" a="1"/>
  <c r="I779" i="3"/>
  <c r="B780" i="3" a="1"/>
  <c r="B780" i="3" s="1"/>
  <c r="C780" i="3" a="1"/>
  <c r="C780" i="3" s="1"/>
  <c r="D780" i="3" a="1"/>
  <c r="D780" i="3" s="1"/>
  <c r="E780" i="3" a="1"/>
  <c r="E780" i="3" s="1"/>
  <c r="F780" i="3" a="1"/>
  <c r="F780" i="3" s="1"/>
  <c r="G780" i="3" a="1"/>
  <c r="G780" i="3" s="1"/>
  <c r="H780" i="3" a="1"/>
  <c r="H780" i="3" s="1"/>
  <c r="I780" i="3" a="1"/>
  <c r="I780" i="3" s="1"/>
  <c r="B781" i="3" a="1"/>
  <c r="B781" i="3" s="1"/>
  <c r="C781" i="3" a="1"/>
  <c r="C781" i="3"/>
  <c r="D781" i="3" a="1"/>
  <c r="D781" i="3" s="1"/>
  <c r="E781" i="3" a="1"/>
  <c r="E781" i="3" s="1"/>
  <c r="F781" i="3" a="1"/>
  <c r="F781" i="3" s="1"/>
  <c r="G781" i="3" a="1"/>
  <c r="G781" i="3" s="1"/>
  <c r="H781" i="3" a="1"/>
  <c r="H781" i="3" s="1"/>
  <c r="I781" i="3" a="1"/>
  <c r="I781" i="3"/>
  <c r="B782" i="3" a="1"/>
  <c r="B782" i="3" s="1"/>
  <c r="C782" i="3" a="1"/>
  <c r="C782" i="3"/>
  <c r="D782" i="3" a="1"/>
  <c r="D782" i="3" s="1"/>
  <c r="E782" i="3" a="1"/>
  <c r="E782" i="3" s="1"/>
  <c r="F782" i="3" a="1"/>
  <c r="F782" i="3" s="1"/>
  <c r="G782" i="3" a="1"/>
  <c r="G782" i="3" s="1"/>
  <c r="H782" i="3" a="1"/>
  <c r="H782" i="3" s="1"/>
  <c r="I782" i="3" a="1"/>
  <c r="I782" i="3" s="1"/>
  <c r="B783" i="3" a="1"/>
  <c r="B783" i="3" s="1"/>
  <c r="C783" i="3" a="1"/>
  <c r="C783" i="3" s="1"/>
  <c r="D783" i="3" a="1"/>
  <c r="D783" i="3" s="1"/>
  <c r="E783" i="3" a="1"/>
  <c r="E783" i="3"/>
  <c r="F783" i="3" a="1"/>
  <c r="F783" i="3" s="1"/>
  <c r="G783" i="3" a="1"/>
  <c r="G783" i="3" s="1"/>
  <c r="H783" i="3" a="1"/>
  <c r="H783" i="3" s="1"/>
  <c r="I783" i="3" a="1"/>
  <c r="I783" i="3" s="1"/>
  <c r="B784" i="3" a="1"/>
  <c r="B784" i="3" s="1"/>
  <c r="C784" i="3" a="1"/>
  <c r="C784" i="3"/>
  <c r="D784" i="3" a="1"/>
  <c r="D784" i="3" s="1"/>
  <c r="E784" i="3" a="1"/>
  <c r="E784" i="3"/>
  <c r="F784" i="3" a="1"/>
  <c r="F784" i="3" s="1"/>
  <c r="G784" i="3" a="1"/>
  <c r="G784" i="3" s="1"/>
  <c r="H784" i="3" a="1"/>
  <c r="H784" i="3" s="1"/>
  <c r="I784" i="3" a="1"/>
  <c r="I784" i="3" s="1"/>
  <c r="B785" i="3" a="1"/>
  <c r="B785" i="3" s="1"/>
  <c r="C785" i="3" a="1"/>
  <c r="C785" i="3" s="1"/>
  <c r="D785" i="3" a="1"/>
  <c r="D785" i="3" s="1"/>
  <c r="E785" i="3" a="1"/>
  <c r="E785" i="3" s="1"/>
  <c r="F785" i="3" a="1"/>
  <c r="F785" i="3" s="1"/>
  <c r="G785" i="3" a="1"/>
  <c r="G785" i="3"/>
  <c r="H785" i="3" a="1"/>
  <c r="H785" i="3" s="1"/>
  <c r="I785" i="3" a="1"/>
  <c r="I785" i="3" s="1"/>
  <c r="B786" i="3" a="1"/>
  <c r="B786" i="3" s="1"/>
  <c r="C786" i="3" a="1"/>
  <c r="C786" i="3" s="1"/>
  <c r="D786" i="3" a="1"/>
  <c r="D786" i="3" s="1"/>
  <c r="E786" i="3" a="1"/>
  <c r="E786" i="3"/>
  <c r="F786" i="3" a="1"/>
  <c r="F786" i="3" s="1"/>
  <c r="G786" i="3" a="1"/>
  <c r="G786" i="3"/>
  <c r="H786" i="3" a="1"/>
  <c r="H786" i="3" s="1"/>
  <c r="I786" i="3" a="1"/>
  <c r="I786" i="3" s="1"/>
  <c r="B787" i="3" a="1"/>
  <c r="B787" i="3" s="1"/>
  <c r="C787" i="3" a="1"/>
  <c r="C787" i="3" s="1"/>
  <c r="D787" i="3" a="1"/>
  <c r="D787" i="3" s="1"/>
  <c r="E787" i="3" a="1"/>
  <c r="E787" i="3" s="1"/>
  <c r="F787" i="3" a="1"/>
  <c r="F787" i="3" s="1"/>
  <c r="G787" i="3" a="1"/>
  <c r="G787" i="3" s="1"/>
  <c r="H787" i="3" a="1"/>
  <c r="H787" i="3" s="1"/>
  <c r="I787" i="3" a="1"/>
  <c r="I787" i="3"/>
  <c r="B788" i="3" a="1"/>
  <c r="B788" i="3" s="1"/>
  <c r="C788" i="3" a="1"/>
  <c r="C788" i="3" s="1"/>
  <c r="D788" i="3" a="1"/>
  <c r="D788" i="3" s="1"/>
  <c r="E788" i="3" a="1"/>
  <c r="E788" i="3" s="1"/>
  <c r="F788" i="3" a="1"/>
  <c r="F788" i="3" s="1"/>
  <c r="G788" i="3" a="1"/>
  <c r="G788" i="3"/>
  <c r="H788" i="3" a="1"/>
  <c r="H788" i="3" s="1"/>
  <c r="I788" i="3" a="1"/>
  <c r="I788" i="3"/>
  <c r="B789" i="3" a="1"/>
  <c r="B789" i="3" s="1"/>
  <c r="C789" i="3" a="1"/>
  <c r="C789" i="3" s="1"/>
  <c r="D789" i="3" a="1"/>
  <c r="D789" i="3" s="1"/>
  <c r="E789" i="3" a="1"/>
  <c r="E789" i="3" s="1"/>
  <c r="F789" i="3" a="1"/>
  <c r="F789" i="3" s="1"/>
  <c r="G789" i="3" a="1"/>
  <c r="G789" i="3" s="1"/>
  <c r="H789" i="3" a="1"/>
  <c r="H789" i="3" s="1"/>
  <c r="I789" i="3" a="1"/>
  <c r="I789" i="3" s="1"/>
  <c r="B790" i="3" a="1"/>
  <c r="B790" i="3" s="1"/>
  <c r="C790" i="3" a="1"/>
  <c r="C790" i="3"/>
  <c r="D790" i="3" a="1"/>
  <c r="D790" i="3" s="1"/>
  <c r="E790" i="3" a="1"/>
  <c r="E790" i="3" s="1"/>
  <c r="F790" i="3" a="1"/>
  <c r="F790" i="3" s="1"/>
  <c r="G790" i="3" a="1"/>
  <c r="G790" i="3" s="1"/>
  <c r="H790" i="3" a="1"/>
  <c r="H790" i="3" s="1"/>
  <c r="I790" i="3" a="1"/>
  <c r="I790" i="3"/>
  <c r="B791" i="3" a="1"/>
  <c r="B791" i="3" s="1"/>
  <c r="C791" i="3" a="1"/>
  <c r="C791" i="3"/>
  <c r="D791" i="3" a="1"/>
  <c r="D791" i="3" s="1"/>
  <c r="E791" i="3" a="1"/>
  <c r="E791" i="3" s="1"/>
  <c r="F791" i="3" a="1"/>
  <c r="F791" i="3" s="1"/>
  <c r="G791" i="3" a="1"/>
  <c r="G791" i="3" s="1"/>
  <c r="H791" i="3" a="1"/>
  <c r="H791" i="3" s="1"/>
  <c r="I791" i="3" a="1"/>
  <c r="I791" i="3" s="1"/>
  <c r="B792" i="3" a="1"/>
  <c r="B792" i="3" s="1"/>
  <c r="C792" i="3" a="1"/>
  <c r="C792" i="3" s="1"/>
  <c r="D792" i="3" a="1"/>
  <c r="D792" i="3" s="1"/>
  <c r="E792" i="3" a="1"/>
  <c r="E792" i="3"/>
  <c r="F792" i="3" a="1"/>
  <c r="F792" i="3" s="1"/>
  <c r="G792" i="3" a="1"/>
  <c r="G792" i="3" s="1"/>
  <c r="H792" i="3" a="1"/>
  <c r="H792" i="3" s="1"/>
  <c r="I792" i="3" a="1"/>
  <c r="I792" i="3" s="1"/>
  <c r="B793" i="3" a="1"/>
  <c r="B793" i="3" s="1"/>
  <c r="C793" i="3" a="1"/>
  <c r="C793" i="3"/>
  <c r="D793" i="3" a="1"/>
  <c r="D793" i="3" s="1"/>
  <c r="E793" i="3" a="1"/>
  <c r="E793" i="3"/>
  <c r="F793" i="3" a="1"/>
  <c r="F793" i="3" s="1"/>
  <c r="G793" i="3" a="1"/>
  <c r="G793" i="3" s="1"/>
  <c r="H793" i="3" a="1"/>
  <c r="H793" i="3" s="1"/>
  <c r="I793" i="3" a="1"/>
  <c r="I793" i="3" s="1"/>
  <c r="B794" i="3" a="1"/>
  <c r="B794" i="3" s="1"/>
  <c r="C794" i="3" a="1"/>
  <c r="C794" i="3" s="1"/>
  <c r="D794" i="3" a="1"/>
  <c r="D794" i="3" s="1"/>
  <c r="E794" i="3" a="1"/>
  <c r="E794" i="3" s="1"/>
  <c r="F794" i="3" a="1"/>
  <c r="F794" i="3" s="1"/>
  <c r="G794" i="3" a="1"/>
  <c r="G794" i="3"/>
  <c r="H794" i="3" a="1"/>
  <c r="H794" i="3" s="1"/>
  <c r="I794" i="3" a="1"/>
  <c r="I794" i="3" s="1"/>
  <c r="B795" i="3" a="1"/>
  <c r="B795" i="3" s="1"/>
  <c r="C795" i="3" a="1"/>
  <c r="C795" i="3" s="1"/>
  <c r="D795" i="3" a="1"/>
  <c r="D795" i="3" s="1"/>
  <c r="E795" i="3" a="1"/>
  <c r="E795" i="3"/>
  <c r="F795" i="3" a="1"/>
  <c r="F795" i="3" s="1"/>
  <c r="G795" i="3" a="1"/>
  <c r="G795" i="3"/>
  <c r="H795" i="3" a="1"/>
  <c r="H795" i="3" s="1"/>
  <c r="I795" i="3" a="1"/>
  <c r="I795" i="3" s="1"/>
  <c r="B796" i="3" a="1"/>
  <c r="B796" i="3" s="1"/>
  <c r="C796" i="3" a="1"/>
  <c r="C796" i="3" s="1"/>
  <c r="D796" i="3" a="1"/>
  <c r="D796" i="3" s="1"/>
  <c r="E796" i="3" a="1"/>
  <c r="E796" i="3" s="1"/>
  <c r="F796" i="3" a="1"/>
  <c r="F796" i="3" s="1"/>
  <c r="G796" i="3" a="1"/>
  <c r="G796" i="3" s="1"/>
  <c r="H796" i="3" a="1"/>
  <c r="H796" i="3" s="1"/>
  <c r="I796" i="3" a="1"/>
  <c r="I796" i="3"/>
  <c r="B797" i="3" a="1"/>
  <c r="B797" i="3" s="1"/>
  <c r="C797" i="3" a="1"/>
  <c r="C797" i="3" s="1"/>
  <c r="D797" i="3" a="1"/>
  <c r="D797" i="3" s="1"/>
  <c r="E797" i="3" a="1"/>
  <c r="E797" i="3" s="1"/>
  <c r="F797" i="3" a="1"/>
  <c r="F797" i="3" s="1"/>
  <c r="G797" i="3" a="1"/>
  <c r="G797" i="3"/>
  <c r="H797" i="3" a="1"/>
  <c r="H797" i="3" s="1"/>
  <c r="I797" i="3" a="1"/>
  <c r="I797" i="3"/>
  <c r="B798" i="3" a="1"/>
  <c r="B798" i="3" s="1"/>
  <c r="C798" i="3" a="1"/>
  <c r="C798" i="3" s="1"/>
  <c r="D798" i="3" a="1"/>
  <c r="D798" i="3" s="1"/>
  <c r="E798" i="3" a="1"/>
  <c r="E798" i="3" s="1"/>
  <c r="F798" i="3" a="1"/>
  <c r="F798" i="3" s="1"/>
  <c r="G798" i="3" a="1"/>
  <c r="G798" i="3" s="1"/>
  <c r="H798" i="3" a="1"/>
  <c r="H798" i="3" s="1"/>
  <c r="I798" i="3" a="1"/>
  <c r="I798" i="3" s="1"/>
  <c r="B799" i="3" a="1"/>
  <c r="B799" i="3" s="1"/>
  <c r="C799" i="3" a="1"/>
  <c r="C799" i="3"/>
  <c r="D799" i="3" a="1"/>
  <c r="D799" i="3" s="1"/>
  <c r="E799" i="3" a="1"/>
  <c r="E799" i="3" s="1"/>
  <c r="F799" i="3" a="1"/>
  <c r="F799" i="3" s="1"/>
  <c r="G799" i="3" a="1"/>
  <c r="G799" i="3" s="1"/>
  <c r="H799" i="3" a="1"/>
  <c r="H799" i="3" s="1"/>
  <c r="I799" i="3" a="1"/>
  <c r="I799" i="3"/>
  <c r="B800" i="3" a="1"/>
  <c r="B800" i="3" s="1"/>
  <c r="C800" i="3" a="1"/>
  <c r="C800" i="3"/>
  <c r="D800" i="3" a="1"/>
  <c r="D800" i="3" s="1"/>
  <c r="E800" i="3" a="1"/>
  <c r="E800" i="3" s="1"/>
  <c r="F800" i="3" a="1"/>
  <c r="F800" i="3" s="1"/>
  <c r="G800" i="3" a="1"/>
  <c r="G800" i="3" s="1"/>
  <c r="H800" i="3" a="1"/>
  <c r="H800" i="3" s="1"/>
  <c r="I800" i="3" a="1"/>
  <c r="I800" i="3" s="1"/>
  <c r="B801" i="3" a="1"/>
  <c r="B801" i="3" s="1"/>
  <c r="C801" i="3" a="1"/>
  <c r="C801" i="3" s="1"/>
  <c r="D801" i="3" a="1"/>
  <c r="D801" i="3" s="1"/>
  <c r="E801" i="3" a="1"/>
  <c r="E801" i="3"/>
  <c r="F801" i="3" a="1"/>
  <c r="F801" i="3" s="1"/>
  <c r="G801" i="3" a="1"/>
  <c r="G801" i="3" s="1"/>
  <c r="H801" i="3" a="1"/>
  <c r="H801" i="3" s="1"/>
  <c r="I801" i="3" a="1"/>
  <c r="I801" i="3" s="1"/>
  <c r="B802" i="3" a="1"/>
  <c r="B802" i="3" s="1"/>
  <c r="C802" i="3" a="1"/>
  <c r="C802" i="3"/>
  <c r="D802" i="3" a="1"/>
  <c r="D802" i="3" s="1"/>
  <c r="E802" i="3" a="1"/>
  <c r="E802" i="3"/>
  <c r="F802" i="3" a="1"/>
  <c r="F802" i="3" s="1"/>
  <c r="G802" i="3" a="1"/>
  <c r="G802" i="3" s="1"/>
  <c r="H802" i="3" a="1"/>
  <c r="H802" i="3" s="1"/>
  <c r="I802" i="3" a="1"/>
  <c r="I802" i="3" s="1"/>
  <c r="B803" i="3" a="1"/>
  <c r="B803" i="3" s="1"/>
  <c r="C803" i="3" a="1"/>
  <c r="C803" i="3" s="1"/>
  <c r="D803" i="3" a="1"/>
  <c r="D803" i="3" s="1"/>
  <c r="E803" i="3" a="1"/>
  <c r="E803" i="3" s="1"/>
  <c r="F803" i="3" a="1"/>
  <c r="F803" i="3" s="1"/>
  <c r="G803" i="3" a="1"/>
  <c r="G803" i="3"/>
  <c r="H803" i="3" a="1"/>
  <c r="H803" i="3" s="1"/>
  <c r="I803" i="3" a="1"/>
  <c r="I803" i="3" s="1"/>
  <c r="B804" i="3" a="1"/>
  <c r="B804" i="3" s="1"/>
  <c r="C804" i="3" a="1"/>
  <c r="C804" i="3" s="1"/>
  <c r="D804" i="3" a="1"/>
  <c r="D804" i="3" s="1"/>
  <c r="E804" i="3" a="1"/>
  <c r="E804" i="3"/>
  <c r="F804" i="3" a="1"/>
  <c r="F804" i="3" s="1"/>
  <c r="G804" i="3" a="1"/>
  <c r="G804" i="3"/>
  <c r="H804" i="3" a="1"/>
  <c r="H804" i="3" s="1"/>
  <c r="I804" i="3" a="1"/>
  <c r="I804" i="3" s="1"/>
  <c r="B805" i="3" a="1"/>
  <c r="B805" i="3" s="1"/>
  <c r="C805" i="3" a="1"/>
  <c r="C805" i="3" s="1"/>
  <c r="D805" i="3" a="1"/>
  <c r="D805" i="3" s="1"/>
  <c r="E805" i="3" a="1"/>
  <c r="E805" i="3" s="1"/>
  <c r="F805" i="3" a="1"/>
  <c r="F805" i="3" s="1"/>
  <c r="G805" i="3" a="1"/>
  <c r="G805" i="3" s="1"/>
  <c r="H805" i="3" a="1"/>
  <c r="H805" i="3" s="1"/>
  <c r="I805" i="3" a="1"/>
  <c r="I805" i="3"/>
  <c r="B806" i="3" a="1"/>
  <c r="B806" i="3" s="1"/>
  <c r="C806" i="3" a="1"/>
  <c r="C806" i="3" s="1"/>
  <c r="D806" i="3" a="1"/>
  <c r="D806" i="3" s="1"/>
  <c r="E806" i="3" a="1"/>
  <c r="E806" i="3" s="1"/>
  <c r="F806" i="3" a="1"/>
  <c r="F806" i="3" s="1"/>
  <c r="G806" i="3" a="1"/>
  <c r="G806" i="3"/>
  <c r="H806" i="3" a="1"/>
  <c r="H806" i="3" s="1"/>
  <c r="I806" i="3" a="1"/>
  <c r="I806" i="3"/>
  <c r="B807" i="3" a="1"/>
  <c r="B807" i="3" s="1"/>
  <c r="C807" i="3" a="1"/>
  <c r="C807" i="3" s="1"/>
  <c r="D807" i="3" a="1"/>
  <c r="D807" i="3" s="1"/>
  <c r="E807" i="3" a="1"/>
  <c r="E807" i="3" s="1"/>
  <c r="F807" i="3" a="1"/>
  <c r="F807" i="3" s="1"/>
  <c r="G807" i="3" a="1"/>
  <c r="G807" i="3" s="1"/>
  <c r="H807" i="3" a="1"/>
  <c r="H807" i="3" s="1"/>
  <c r="I807" i="3" a="1"/>
  <c r="I807" i="3" s="1"/>
  <c r="B808" i="3" a="1"/>
  <c r="B808" i="3" s="1"/>
  <c r="C808" i="3" a="1"/>
  <c r="C808" i="3"/>
  <c r="D808" i="3" a="1"/>
  <c r="D808" i="3" s="1"/>
  <c r="E808" i="3" a="1"/>
  <c r="E808" i="3" s="1"/>
  <c r="F808" i="3" a="1"/>
  <c r="F808" i="3" s="1"/>
  <c r="G808" i="3" a="1"/>
  <c r="G808" i="3" s="1"/>
  <c r="H808" i="3" a="1"/>
  <c r="H808" i="3" s="1"/>
  <c r="I808" i="3" a="1"/>
  <c r="I808" i="3"/>
  <c r="B809" i="3" a="1"/>
  <c r="B809" i="3" s="1"/>
  <c r="C809" i="3" a="1"/>
  <c r="C809" i="3"/>
  <c r="D809" i="3" a="1"/>
  <c r="D809" i="3" s="1"/>
  <c r="E809" i="3" a="1"/>
  <c r="E809" i="3" s="1"/>
  <c r="F809" i="3" a="1"/>
  <c r="F809" i="3" s="1"/>
  <c r="G809" i="3" a="1"/>
  <c r="G809" i="3" s="1"/>
  <c r="H809" i="3" a="1"/>
  <c r="H809" i="3" s="1"/>
  <c r="I809" i="3" a="1"/>
  <c r="I809" i="3" s="1"/>
  <c r="B810" i="3" a="1"/>
  <c r="B810" i="3" s="1"/>
  <c r="C810" i="3" a="1"/>
  <c r="C810" i="3" s="1"/>
  <c r="D810" i="3" a="1"/>
  <c r="D810" i="3" s="1"/>
  <c r="E810" i="3" a="1"/>
  <c r="E810" i="3"/>
  <c r="F810" i="3" a="1"/>
  <c r="F810" i="3" s="1"/>
  <c r="G810" i="3" a="1"/>
  <c r="G810" i="3" s="1"/>
  <c r="H810" i="3" a="1"/>
  <c r="H810" i="3" s="1"/>
  <c r="I810" i="3" a="1"/>
  <c r="I810" i="3" s="1"/>
  <c r="B811" i="3" a="1"/>
  <c r="B811" i="3" s="1"/>
  <c r="C811" i="3" a="1"/>
  <c r="C811" i="3"/>
  <c r="D811" i="3" a="1"/>
  <c r="D811" i="3" s="1"/>
  <c r="E811" i="3" a="1"/>
  <c r="E811" i="3"/>
  <c r="F811" i="3" a="1"/>
  <c r="F811" i="3" s="1"/>
  <c r="G811" i="3" a="1"/>
  <c r="G811" i="3" s="1"/>
  <c r="H811" i="3" a="1"/>
  <c r="H811" i="3" s="1"/>
  <c r="I811" i="3" a="1"/>
  <c r="I811" i="3" s="1"/>
  <c r="B812" i="3" a="1"/>
  <c r="B812" i="3" s="1"/>
  <c r="C812" i="3" a="1"/>
  <c r="C812" i="3" s="1"/>
  <c r="D812" i="3" a="1"/>
  <c r="D812" i="3" s="1"/>
  <c r="E812" i="3" a="1"/>
  <c r="E812" i="3" s="1"/>
  <c r="F812" i="3" a="1"/>
  <c r="F812" i="3" s="1"/>
  <c r="G812" i="3" a="1"/>
  <c r="G812" i="3"/>
  <c r="H812" i="3" a="1"/>
  <c r="H812" i="3" s="1"/>
  <c r="I812" i="3" a="1"/>
  <c r="I812" i="3" s="1"/>
  <c r="B813" i="3" a="1"/>
  <c r="B813" i="3" s="1"/>
  <c r="C813" i="3" a="1"/>
  <c r="C813" i="3" s="1"/>
  <c r="D813" i="3" a="1"/>
  <c r="D813" i="3" s="1"/>
  <c r="E813" i="3" a="1"/>
  <c r="E813" i="3"/>
  <c r="F813" i="3" a="1"/>
  <c r="F813" i="3" s="1"/>
  <c r="G813" i="3" a="1"/>
  <c r="G813" i="3"/>
  <c r="H813" i="3" a="1"/>
  <c r="H813" i="3" s="1"/>
  <c r="I813" i="3" a="1"/>
  <c r="I813" i="3" s="1"/>
  <c r="B814" i="3" a="1"/>
  <c r="B814" i="3" s="1"/>
  <c r="C814" i="3" a="1"/>
  <c r="C814" i="3" s="1"/>
  <c r="D814" i="3" a="1"/>
  <c r="D814" i="3" s="1"/>
  <c r="E814" i="3" a="1"/>
  <c r="E814" i="3" s="1"/>
  <c r="F814" i="3" a="1"/>
  <c r="F814" i="3" s="1"/>
  <c r="G814" i="3" a="1"/>
  <c r="G814" i="3" s="1"/>
  <c r="H814" i="3" a="1"/>
  <c r="H814" i="3" s="1"/>
  <c r="I814" i="3" a="1"/>
  <c r="I814" i="3"/>
  <c r="B815" i="3" a="1"/>
  <c r="B815" i="3" s="1"/>
  <c r="C815" i="3" a="1"/>
  <c r="C815" i="3" s="1"/>
  <c r="D815" i="3" a="1"/>
  <c r="D815" i="3" s="1"/>
  <c r="E815" i="3" a="1"/>
  <c r="E815" i="3" s="1"/>
  <c r="F815" i="3" a="1"/>
  <c r="F815" i="3" s="1"/>
  <c r="G815" i="3" a="1"/>
  <c r="G815" i="3"/>
  <c r="H815" i="3" a="1"/>
  <c r="H815" i="3" s="1"/>
  <c r="I815" i="3" a="1"/>
  <c r="I815" i="3"/>
  <c r="B816" i="3" a="1"/>
  <c r="B816" i="3" s="1"/>
  <c r="C816" i="3" a="1"/>
  <c r="C816" i="3" s="1"/>
  <c r="D816" i="3" a="1"/>
  <c r="D816" i="3" s="1"/>
  <c r="E816" i="3" a="1"/>
  <c r="E816" i="3" s="1"/>
  <c r="F816" i="3" a="1"/>
  <c r="F816" i="3" s="1"/>
  <c r="G816" i="3" a="1"/>
  <c r="G816" i="3" s="1"/>
  <c r="H816" i="3" a="1"/>
  <c r="H816" i="3" s="1"/>
  <c r="I816" i="3" a="1"/>
  <c r="I816" i="3" s="1"/>
  <c r="B817" i="3" a="1"/>
  <c r="B817" i="3" s="1"/>
  <c r="C817" i="3" a="1"/>
  <c r="C817" i="3"/>
  <c r="D817" i="3" a="1"/>
  <c r="D817" i="3" s="1"/>
  <c r="E817" i="3" a="1"/>
  <c r="E817" i="3" s="1"/>
  <c r="F817" i="3" a="1"/>
  <c r="F817" i="3" s="1"/>
  <c r="G817" i="3" a="1"/>
  <c r="G817" i="3" s="1"/>
  <c r="H817" i="3" a="1"/>
  <c r="H817" i="3" s="1"/>
  <c r="I817" i="3" a="1"/>
  <c r="I817" i="3"/>
  <c r="B818" i="3" a="1"/>
  <c r="B818" i="3" s="1"/>
  <c r="C818" i="3" a="1"/>
  <c r="C818" i="3"/>
  <c r="D818" i="3" a="1"/>
  <c r="D818" i="3" s="1"/>
  <c r="E818" i="3" a="1"/>
  <c r="E818" i="3" s="1"/>
  <c r="F818" i="3" a="1"/>
  <c r="F818" i="3" s="1"/>
  <c r="G818" i="3" a="1"/>
  <c r="G818" i="3" s="1"/>
  <c r="H818" i="3" a="1"/>
  <c r="H818" i="3" s="1"/>
  <c r="I818" i="3" a="1"/>
  <c r="I818" i="3" s="1"/>
  <c r="B819" i="3" a="1"/>
  <c r="B819" i="3" s="1"/>
  <c r="C819" i="3" a="1"/>
  <c r="C819" i="3" s="1"/>
  <c r="D819" i="3" a="1"/>
  <c r="D819" i="3" s="1"/>
  <c r="E819" i="3" a="1"/>
  <c r="E819" i="3"/>
  <c r="F819" i="3" a="1"/>
  <c r="F819" i="3" s="1"/>
  <c r="G819" i="3" a="1"/>
  <c r="G819" i="3" s="1"/>
  <c r="H819" i="3" a="1"/>
  <c r="H819" i="3" s="1"/>
  <c r="I819" i="3" a="1"/>
  <c r="I819" i="3" s="1"/>
  <c r="B820" i="3" a="1"/>
  <c r="B820" i="3" s="1"/>
  <c r="C820" i="3" a="1"/>
  <c r="C820" i="3"/>
  <c r="D820" i="3" a="1"/>
  <c r="D820" i="3" s="1"/>
  <c r="E820" i="3" a="1"/>
  <c r="E820" i="3"/>
  <c r="F820" i="3" a="1"/>
  <c r="F820" i="3" s="1"/>
  <c r="G820" i="3" a="1"/>
  <c r="G820" i="3" s="1"/>
  <c r="H820" i="3" a="1"/>
  <c r="H820" i="3" s="1"/>
  <c r="I820" i="3" a="1"/>
  <c r="I820" i="3" s="1"/>
  <c r="B821" i="3" a="1"/>
  <c r="B821" i="3" s="1"/>
  <c r="C821" i="3" a="1"/>
  <c r="C821" i="3" s="1"/>
  <c r="D821" i="3" a="1"/>
  <c r="D821" i="3" s="1"/>
  <c r="E821" i="3" a="1"/>
  <c r="E821" i="3" s="1"/>
  <c r="F821" i="3" a="1"/>
  <c r="F821" i="3" s="1"/>
  <c r="G821" i="3" a="1"/>
  <c r="G821" i="3"/>
  <c r="H821" i="3" a="1"/>
  <c r="H821" i="3" s="1"/>
  <c r="I821" i="3" a="1"/>
  <c r="I821" i="3" s="1"/>
  <c r="B822" i="3" a="1"/>
  <c r="B822" i="3" s="1"/>
  <c r="C822" i="3" a="1"/>
  <c r="C822" i="3" s="1"/>
  <c r="D822" i="3" a="1"/>
  <c r="D822" i="3" s="1"/>
  <c r="E822" i="3" a="1"/>
  <c r="E822" i="3"/>
  <c r="F822" i="3" a="1"/>
  <c r="F822" i="3" s="1"/>
  <c r="G822" i="3" a="1"/>
  <c r="G822" i="3"/>
  <c r="H822" i="3" a="1"/>
  <c r="H822" i="3" s="1"/>
  <c r="I822" i="3" a="1"/>
  <c r="I822" i="3" s="1"/>
  <c r="B823" i="3" a="1"/>
  <c r="B823" i="3" s="1"/>
  <c r="C823" i="3" a="1"/>
  <c r="C823" i="3" s="1"/>
  <c r="D823" i="3" a="1"/>
  <c r="D823" i="3" s="1"/>
  <c r="E823" i="3" a="1"/>
  <c r="E823" i="3" s="1"/>
  <c r="F823" i="3" a="1"/>
  <c r="F823" i="3" s="1"/>
  <c r="G823" i="3" a="1"/>
  <c r="G823" i="3" s="1"/>
  <c r="H823" i="3" a="1"/>
  <c r="H823" i="3" s="1"/>
  <c r="I823" i="3" a="1"/>
  <c r="I823" i="3"/>
  <c r="B824" i="3" a="1"/>
  <c r="B824" i="3" s="1"/>
  <c r="C824" i="3" a="1"/>
  <c r="C824" i="3" s="1"/>
  <c r="D824" i="3" a="1"/>
  <c r="D824" i="3" s="1"/>
  <c r="E824" i="3" a="1"/>
  <c r="E824" i="3" s="1"/>
  <c r="F824" i="3" a="1"/>
  <c r="F824" i="3" s="1"/>
  <c r="G824" i="3" a="1"/>
  <c r="G824" i="3"/>
  <c r="H824" i="3" a="1"/>
  <c r="H824" i="3" s="1"/>
  <c r="I824" i="3" a="1"/>
  <c r="I824" i="3" s="1"/>
  <c r="B825" i="3" a="1"/>
  <c r="B825" i="3" s="1"/>
  <c r="C825" i="3" a="1"/>
  <c r="C825" i="3" s="1"/>
  <c r="D825" i="3" a="1"/>
  <c r="D825" i="3" s="1"/>
  <c r="E825" i="3" a="1"/>
  <c r="E825" i="3" s="1"/>
  <c r="F825" i="3" a="1"/>
  <c r="F825" i="3" s="1"/>
  <c r="G825" i="3" a="1"/>
  <c r="G825" i="3" s="1"/>
  <c r="H825" i="3" a="1"/>
  <c r="H825" i="3" s="1"/>
  <c r="I825" i="3" a="1"/>
  <c r="I825" i="3" s="1"/>
  <c r="B826" i="3" a="1"/>
  <c r="B826" i="3" s="1"/>
  <c r="C826" i="3" a="1"/>
  <c r="C826" i="3"/>
  <c r="D826" i="3" a="1"/>
  <c r="D826" i="3" s="1"/>
  <c r="E826" i="3" a="1"/>
  <c r="E826" i="3" s="1"/>
  <c r="F826" i="3" a="1"/>
  <c r="F826" i="3" s="1"/>
  <c r="G826" i="3" a="1"/>
  <c r="G826" i="3" s="1"/>
  <c r="H826" i="3" a="1"/>
  <c r="H826" i="3" s="1"/>
  <c r="I826" i="3" a="1"/>
  <c r="I826" i="3"/>
  <c r="B827" i="3" a="1"/>
  <c r="B827" i="3" s="1"/>
  <c r="C827" i="3" a="1"/>
  <c r="C827" i="3" s="1"/>
  <c r="D827" i="3" a="1"/>
  <c r="D827" i="3" s="1"/>
  <c r="E827" i="3" a="1"/>
  <c r="E827" i="3" s="1"/>
  <c r="F827" i="3" a="1"/>
  <c r="F827" i="3" s="1"/>
  <c r="G827" i="3" a="1"/>
  <c r="G827" i="3" s="1"/>
  <c r="H827" i="3" a="1"/>
  <c r="H827" i="3" s="1"/>
  <c r="I827" i="3" a="1"/>
  <c r="I827" i="3" s="1"/>
  <c r="B828" i="3" a="1"/>
  <c r="B828" i="3" s="1"/>
  <c r="C828" i="3" a="1"/>
  <c r="C828" i="3" s="1"/>
  <c r="D828" i="3" a="1"/>
  <c r="D828" i="3" s="1"/>
  <c r="E828" i="3" a="1"/>
  <c r="E828" i="3"/>
  <c r="F828" i="3" a="1"/>
  <c r="F828" i="3" s="1"/>
  <c r="G828" i="3" a="1"/>
  <c r="G828" i="3" s="1"/>
  <c r="H828" i="3" a="1"/>
  <c r="H828" i="3" s="1"/>
  <c r="I828" i="3" a="1"/>
  <c r="I828" i="3" s="1"/>
  <c r="B829" i="3" a="1"/>
  <c r="B829" i="3" s="1"/>
  <c r="C829" i="3" a="1"/>
  <c r="C829" i="3"/>
  <c r="D829" i="3" a="1"/>
  <c r="D829" i="3" s="1"/>
  <c r="E829" i="3" a="1"/>
  <c r="E829" i="3" s="1"/>
  <c r="F829" i="3" a="1"/>
  <c r="F829" i="3" s="1"/>
  <c r="G829" i="3" a="1"/>
  <c r="G829" i="3" s="1"/>
  <c r="H829" i="3" a="1"/>
  <c r="H829" i="3" s="1"/>
  <c r="I829" i="3" a="1"/>
  <c r="I829" i="3" s="1"/>
  <c r="B830" i="3" a="1"/>
  <c r="B830" i="3" s="1"/>
  <c r="C830" i="3" a="1"/>
  <c r="C830" i="3" s="1"/>
  <c r="D830" i="3" a="1"/>
  <c r="D830" i="3" s="1"/>
  <c r="E830" i="3" a="1"/>
  <c r="E830" i="3" s="1"/>
  <c r="F830" i="3" a="1"/>
  <c r="F830" i="3" s="1"/>
  <c r="G830" i="3" a="1"/>
  <c r="G830" i="3"/>
  <c r="H830" i="3" a="1"/>
  <c r="H830" i="3" s="1"/>
  <c r="I830" i="3" a="1"/>
  <c r="I830" i="3" s="1"/>
  <c r="B831" i="3" a="1"/>
  <c r="B831" i="3" s="1"/>
  <c r="C831" i="3" a="1"/>
  <c r="C831" i="3" s="1"/>
  <c r="D831" i="3" a="1"/>
  <c r="D831" i="3" s="1"/>
  <c r="E831" i="3" a="1"/>
  <c r="E831" i="3"/>
  <c r="F831" i="3" a="1"/>
  <c r="F831" i="3" s="1"/>
  <c r="G831" i="3" a="1"/>
  <c r="G831" i="3" s="1"/>
  <c r="H831" i="3" a="1"/>
  <c r="H831" i="3" s="1"/>
  <c r="I831" i="3" a="1"/>
  <c r="I831" i="3" s="1"/>
  <c r="B832" i="3" a="1"/>
  <c r="B832" i="3" s="1"/>
  <c r="C832" i="3" a="1"/>
  <c r="C832" i="3"/>
  <c r="D832" i="3" a="1"/>
  <c r="D832" i="3" s="1"/>
  <c r="E832" i="3" a="1"/>
  <c r="E832" i="3"/>
  <c r="F832" i="3" a="1"/>
  <c r="F832" i="3" s="1"/>
  <c r="G832" i="3" a="1"/>
  <c r="G832" i="3" s="1"/>
  <c r="H832" i="3" a="1"/>
  <c r="H832" i="3" s="1"/>
  <c r="I832" i="3" a="1"/>
  <c r="I832" i="3"/>
  <c r="B833" i="3" a="1"/>
  <c r="B833" i="3" s="1"/>
  <c r="C833" i="3" a="1"/>
  <c r="C833" i="3"/>
  <c r="D833" i="3" a="1"/>
  <c r="D833" i="3" s="1"/>
  <c r="E833" i="3" a="1"/>
  <c r="E833" i="3" s="1"/>
  <c r="F833" i="3" a="1"/>
  <c r="F833" i="3" s="1"/>
  <c r="G833" i="3" a="1"/>
  <c r="G833" i="3" s="1"/>
  <c r="H833" i="3" a="1"/>
  <c r="H833" i="3" s="1"/>
  <c r="I833" i="3" a="1"/>
  <c r="I833" i="3"/>
  <c r="B834" i="3" a="1"/>
  <c r="B834" i="3" s="1"/>
  <c r="C834" i="3" a="1"/>
  <c r="C834" i="3" s="1"/>
  <c r="D834" i="3" a="1"/>
  <c r="D834" i="3" s="1"/>
  <c r="E834" i="3" a="1"/>
  <c r="E834" i="3"/>
  <c r="F834" i="3" a="1"/>
  <c r="F834" i="3" s="1"/>
  <c r="G834" i="3" a="1"/>
  <c r="G834" i="3" s="1"/>
  <c r="H834" i="3" a="1"/>
  <c r="H834" i="3" s="1"/>
  <c r="I834" i="3" a="1"/>
  <c r="I834" i="3" s="1"/>
  <c r="B835" i="3" a="1"/>
  <c r="B835" i="3" s="1"/>
  <c r="C835" i="3" a="1"/>
  <c r="C835" i="3"/>
  <c r="D835" i="3" a="1"/>
  <c r="D835" i="3" s="1"/>
  <c r="E835" i="3" a="1"/>
  <c r="E835" i="3" s="1"/>
  <c r="F835" i="3" a="1"/>
  <c r="F835" i="3" s="1"/>
  <c r="G835" i="3" a="1"/>
  <c r="G835" i="3" s="1"/>
  <c r="H835" i="3" a="1"/>
  <c r="H835" i="3" s="1"/>
  <c r="I835" i="3" a="1"/>
  <c r="I835" i="3"/>
  <c r="B836" i="3" a="1"/>
  <c r="B836" i="3" s="1"/>
  <c r="C836" i="3" a="1"/>
  <c r="C836" i="3"/>
  <c r="D836" i="3" a="1"/>
  <c r="D836" i="3" s="1"/>
  <c r="E836" i="3" a="1"/>
  <c r="E836" i="3" s="1"/>
  <c r="F836" i="3" a="1"/>
  <c r="F836" i="3" s="1"/>
  <c r="G836" i="3" a="1"/>
  <c r="G836" i="3" s="1"/>
  <c r="H836" i="3" a="1"/>
  <c r="H836" i="3" s="1"/>
  <c r="I836" i="3" a="1"/>
  <c r="I836" i="3"/>
  <c r="B837" i="3" a="1"/>
  <c r="B837" i="3" s="1"/>
  <c r="C837" i="3" a="1"/>
  <c r="C837" i="3" s="1"/>
  <c r="D837" i="3" a="1"/>
  <c r="D837" i="3" s="1"/>
  <c r="E837" i="3" a="1"/>
  <c r="E837" i="3" s="1"/>
  <c r="F837" i="3" a="1"/>
  <c r="F837" i="3" s="1"/>
  <c r="G837" i="3" a="1"/>
  <c r="G837" i="3" s="1"/>
  <c r="H837" i="3" a="1"/>
  <c r="H837" i="3" s="1"/>
  <c r="I837" i="3" a="1"/>
  <c r="I837" i="3" s="1"/>
  <c r="B838" i="3" a="1"/>
  <c r="B838" i="3" s="1"/>
  <c r="C838" i="3" a="1"/>
  <c r="C838" i="3" s="1"/>
  <c r="D838" i="3" a="1"/>
  <c r="D838" i="3" s="1"/>
  <c r="E838" i="3" a="1"/>
  <c r="E838" i="3"/>
  <c r="F838" i="3" a="1"/>
  <c r="F838" i="3" s="1"/>
  <c r="G838" i="3" a="1"/>
  <c r="G838" i="3" s="1"/>
  <c r="H838" i="3" a="1"/>
  <c r="H838" i="3" s="1"/>
  <c r="I838" i="3" a="1"/>
  <c r="I838" i="3" s="1"/>
  <c r="B839" i="3" a="1"/>
  <c r="B839" i="3" s="1"/>
  <c r="C839" i="3" a="1"/>
  <c r="C839" i="3" s="1"/>
  <c r="D839" i="3" a="1"/>
  <c r="D839" i="3"/>
  <c r="E839" i="3" a="1"/>
  <c r="E839" i="3" s="1"/>
  <c r="F839" i="3" a="1"/>
  <c r="F839" i="3" s="1"/>
  <c r="G839" i="3" a="1"/>
  <c r="G839" i="3"/>
  <c r="H839" i="3" a="1"/>
  <c r="H839" i="3" s="1"/>
  <c r="I839" i="3" a="1"/>
  <c r="I839" i="3" s="1"/>
  <c r="B840" i="3" a="1"/>
  <c r="B840" i="3" s="1"/>
  <c r="C840" i="3" a="1"/>
  <c r="C840" i="3" s="1"/>
  <c r="D840" i="3" a="1"/>
  <c r="D840" i="3" s="1"/>
  <c r="E840" i="3" a="1"/>
  <c r="E840" i="3" s="1"/>
  <c r="F840" i="3" a="1"/>
  <c r="F840" i="3" s="1"/>
  <c r="G840" i="3" a="1"/>
  <c r="G840" i="3"/>
  <c r="H840" i="3" a="1"/>
  <c r="H840" i="3" s="1"/>
  <c r="I840" i="3" a="1"/>
  <c r="I840" i="3"/>
  <c r="B841" i="3" a="1"/>
  <c r="B841" i="3" s="1"/>
  <c r="C841" i="3" a="1"/>
  <c r="C841" i="3"/>
  <c r="D841" i="3" a="1"/>
  <c r="D841" i="3"/>
  <c r="E841" i="3" a="1"/>
  <c r="E841" i="3" s="1"/>
  <c r="F841" i="3" a="1"/>
  <c r="F841" i="3" s="1"/>
  <c r="G841" i="3" a="1"/>
  <c r="G841" i="3" s="1"/>
  <c r="H841" i="3" a="1"/>
  <c r="H841" i="3" s="1"/>
  <c r="I841" i="3" a="1"/>
  <c r="I841" i="3" s="1"/>
  <c r="B842" i="3" a="1"/>
  <c r="B842" i="3" s="1"/>
  <c r="C842" i="3" a="1"/>
  <c r="C842" i="3" s="1"/>
  <c r="D842" i="3" a="1"/>
  <c r="D842" i="3"/>
  <c r="E842" i="3" a="1"/>
  <c r="E842" i="3" s="1"/>
  <c r="F842" i="3" a="1"/>
  <c r="F842" i="3" s="1"/>
  <c r="G842" i="3" a="1"/>
  <c r="G842" i="3" s="1"/>
  <c r="H842" i="3" a="1"/>
  <c r="H842" i="3"/>
  <c r="I842" i="3" a="1"/>
  <c r="I842" i="3"/>
  <c r="B843" i="3" a="1"/>
  <c r="B843" i="3" s="1"/>
  <c r="C843" i="3" a="1"/>
  <c r="C843" i="3" s="1"/>
  <c r="D843" i="3" a="1"/>
  <c r="D843" i="3" s="1"/>
  <c r="E843" i="3" a="1"/>
  <c r="E843" i="3"/>
  <c r="F843" i="3" a="1"/>
  <c r="F843" i="3" s="1"/>
  <c r="G843" i="3" a="1"/>
  <c r="G843" i="3" s="1"/>
  <c r="H843" i="3" a="1"/>
  <c r="H843" i="3" s="1"/>
  <c r="I843" i="3" a="1"/>
  <c r="I843" i="3"/>
  <c r="B844" i="3" a="1"/>
  <c r="B844" i="3" s="1"/>
  <c r="C844" i="3" a="1"/>
  <c r="C844" i="3" s="1"/>
  <c r="D844" i="3" a="1"/>
  <c r="D844" i="3" s="1"/>
  <c r="E844" i="3" a="1"/>
  <c r="E844" i="3"/>
  <c r="F844" i="3" a="1"/>
  <c r="F844" i="3"/>
  <c r="G844" i="3" a="1"/>
  <c r="G844" i="3" s="1"/>
  <c r="H844" i="3" a="1"/>
  <c r="H844" i="3" s="1"/>
  <c r="I844" i="3" a="1"/>
  <c r="I844" i="3" s="1"/>
  <c r="B845" i="3" a="1"/>
  <c r="B845" i="3"/>
  <c r="C845" i="3" a="1"/>
  <c r="C845" i="3" s="1"/>
  <c r="D845" i="3" a="1"/>
  <c r="D845" i="3" s="1"/>
  <c r="E845" i="3" a="1"/>
  <c r="E845" i="3" s="1"/>
  <c r="F845" i="3" a="1"/>
  <c r="F845" i="3" s="1"/>
  <c r="G845" i="3" a="1"/>
  <c r="G845" i="3" s="1"/>
  <c r="H845" i="3" a="1"/>
  <c r="H845" i="3" s="1"/>
  <c r="I845" i="3" a="1"/>
  <c r="I845" i="3" s="1"/>
  <c r="B846" i="3" a="1"/>
  <c r="B846" i="3"/>
  <c r="C846" i="3" a="1"/>
  <c r="C846" i="3"/>
  <c r="D846" i="3" a="1"/>
  <c r="D846" i="3" s="1"/>
  <c r="E846" i="3" a="1"/>
  <c r="E846" i="3"/>
  <c r="F846" i="3" a="1"/>
  <c r="F846" i="3" s="1"/>
  <c r="G846" i="3" a="1"/>
  <c r="G846" i="3"/>
  <c r="H846" i="3" a="1"/>
  <c r="H846" i="3" s="1"/>
  <c r="I846" i="3" a="1"/>
  <c r="I846" i="3" s="1"/>
  <c r="B847" i="3" a="1"/>
  <c r="B847" i="3" s="1"/>
  <c r="C847" i="3" a="1"/>
  <c r="C847" i="3" s="1"/>
  <c r="D847" i="3" a="1"/>
  <c r="D847" i="3" s="1"/>
  <c r="E847" i="3" a="1"/>
  <c r="E847" i="3" s="1"/>
  <c r="F847" i="3" a="1"/>
  <c r="F847" i="3" s="1"/>
  <c r="G847" i="3" a="1"/>
  <c r="G847" i="3"/>
  <c r="H847" i="3" a="1"/>
  <c r="H847" i="3" s="1"/>
  <c r="I847" i="3" a="1"/>
  <c r="I847" i="3" s="1"/>
  <c r="B848" i="3" a="1"/>
  <c r="B848" i="3"/>
  <c r="C848" i="3" a="1"/>
  <c r="C848" i="3" s="1"/>
  <c r="D848" i="3" a="1"/>
  <c r="D848" i="3"/>
  <c r="E848" i="3" a="1"/>
  <c r="E848" i="3" s="1"/>
  <c r="F848" i="3" a="1"/>
  <c r="F848" i="3" s="1"/>
  <c r="G848" i="3" a="1"/>
  <c r="G848" i="3"/>
  <c r="H848" i="3" a="1"/>
  <c r="H848" i="3" s="1"/>
  <c r="I848" i="3" a="1"/>
  <c r="I848" i="3" s="1"/>
  <c r="B849" i="3" a="1"/>
  <c r="B849" i="3" s="1"/>
  <c r="C849" i="3" a="1"/>
  <c r="C849" i="3" s="1"/>
  <c r="D849" i="3" a="1"/>
  <c r="D849" i="3" s="1"/>
  <c r="E849" i="3" a="1"/>
  <c r="E849" i="3" s="1"/>
  <c r="F849" i="3" a="1"/>
  <c r="F849" i="3" s="1"/>
  <c r="G849" i="3" a="1"/>
  <c r="G849" i="3"/>
  <c r="H849" i="3" a="1"/>
  <c r="H849" i="3" s="1"/>
  <c r="I849" i="3" a="1"/>
  <c r="I849" i="3"/>
  <c r="B850" i="3" a="1"/>
  <c r="B850" i="3" s="1"/>
  <c r="C850" i="3" a="1"/>
  <c r="C850" i="3"/>
  <c r="D850" i="3" a="1"/>
  <c r="D850" i="3"/>
  <c r="E850" i="3" a="1"/>
  <c r="E850" i="3" s="1"/>
  <c r="F850" i="3" a="1"/>
  <c r="F850" i="3" s="1"/>
  <c r="G850" i="3" a="1"/>
  <c r="G850" i="3" s="1"/>
  <c r="H850" i="3" a="1"/>
  <c r="H850" i="3" s="1"/>
  <c r="I850" i="3" a="1"/>
  <c r="I850" i="3" s="1"/>
  <c r="B851" i="3" a="1"/>
  <c r="B851" i="3" s="1"/>
  <c r="C851" i="3" a="1"/>
  <c r="C851" i="3" s="1"/>
  <c r="D851" i="3" a="1"/>
  <c r="D851" i="3"/>
  <c r="E851" i="3" a="1"/>
  <c r="E851" i="3" s="1"/>
  <c r="F851" i="3" a="1"/>
  <c r="F851" i="3"/>
  <c r="G851" i="3" a="1"/>
  <c r="G851" i="3" s="1"/>
  <c r="H851" i="3" a="1"/>
  <c r="H851" i="3"/>
  <c r="I851" i="3" a="1"/>
  <c r="I851" i="3" s="1"/>
  <c r="B852" i="3" a="1"/>
  <c r="B852" i="3"/>
  <c r="C852" i="3" a="1"/>
  <c r="C852" i="3" s="1"/>
  <c r="D852" i="3" a="1"/>
  <c r="D852" i="3"/>
  <c r="E852" i="3" a="1"/>
  <c r="E852" i="3" s="1"/>
  <c r="F852" i="3" a="1"/>
  <c r="F852" i="3" s="1"/>
  <c r="G852" i="3" a="1"/>
  <c r="G852" i="3" s="1"/>
  <c r="H852" i="3" a="1"/>
  <c r="H852" i="3"/>
  <c r="I852" i="3" a="1"/>
  <c r="I852" i="3" s="1"/>
  <c r="B853" i="3" a="1"/>
  <c r="B853" i="3"/>
  <c r="C853" i="3" a="1"/>
  <c r="C853" i="3" s="1"/>
  <c r="D853" i="3" a="1"/>
  <c r="D853" i="3"/>
  <c r="E853" i="3" a="1"/>
  <c r="E853" i="3" s="1"/>
  <c r="F853" i="3" a="1"/>
  <c r="F853" i="3"/>
  <c r="G853" i="3" a="1"/>
  <c r="G853" i="3" s="1"/>
  <c r="H853" i="3" a="1"/>
  <c r="H853" i="3"/>
  <c r="I853" i="3" a="1"/>
  <c r="I853" i="3" s="1"/>
  <c r="B854" i="3" a="1"/>
  <c r="B854" i="3" s="1"/>
  <c r="C854" i="3" a="1"/>
  <c r="C854" i="3" s="1"/>
  <c r="D854" i="3" a="1"/>
  <c r="D854" i="3"/>
  <c r="E854" i="3" a="1"/>
  <c r="E854" i="3" s="1"/>
  <c r="F854" i="3" a="1"/>
  <c r="F854" i="3" s="1"/>
  <c r="G854" i="3" a="1"/>
  <c r="G854" i="3" s="1"/>
  <c r="H854" i="3" a="1"/>
  <c r="H854" i="3" s="1"/>
  <c r="I854" i="3" a="1"/>
  <c r="I854" i="3" s="1"/>
  <c r="B855" i="3" a="1"/>
  <c r="B855" i="3"/>
  <c r="C855" i="3" a="1"/>
  <c r="C855" i="3" s="1"/>
  <c r="D855" i="3" a="1"/>
  <c r="D855" i="3" s="1"/>
  <c r="E855" i="3" a="1"/>
  <c r="E855" i="3" s="1"/>
  <c r="F855" i="3" a="1"/>
  <c r="F855" i="3" s="1"/>
  <c r="G855" i="3" a="1"/>
  <c r="G855" i="3" s="1"/>
  <c r="H855" i="3" a="1"/>
  <c r="H855" i="3"/>
  <c r="I855" i="3" a="1"/>
  <c r="I855" i="3" s="1"/>
  <c r="B856" i="3" a="1"/>
  <c r="B856" i="3" s="1"/>
  <c r="C856" i="3" a="1"/>
  <c r="C856" i="3" s="1"/>
  <c r="D856" i="3" a="1"/>
  <c r="D856" i="3" s="1"/>
  <c r="E856" i="3" a="1"/>
  <c r="E856" i="3" s="1"/>
  <c r="F856" i="3" a="1"/>
  <c r="F856" i="3"/>
  <c r="G856" i="3" a="1"/>
  <c r="G856" i="3" s="1"/>
  <c r="H856" i="3" a="1"/>
  <c r="H856" i="3" s="1"/>
  <c r="I856" i="3" a="1"/>
  <c r="I856" i="3" s="1"/>
  <c r="B857" i="3" a="1"/>
  <c r="B857" i="3" s="1"/>
  <c r="C857" i="3" a="1"/>
  <c r="C857" i="3" s="1"/>
  <c r="D857" i="3" a="1"/>
  <c r="D857" i="3"/>
  <c r="E857" i="3" a="1"/>
  <c r="E857" i="3" s="1"/>
  <c r="F857" i="3" a="1"/>
  <c r="F857" i="3" s="1"/>
  <c r="G857" i="3" a="1"/>
  <c r="G857" i="3" s="1"/>
  <c r="H857" i="3" a="1"/>
  <c r="H857" i="3" s="1"/>
  <c r="I857" i="3" a="1"/>
  <c r="I857" i="3" s="1"/>
  <c r="B858" i="3" a="1"/>
  <c r="B858" i="3" s="1"/>
  <c r="C858" i="3" a="1"/>
  <c r="C858" i="3" s="1"/>
  <c r="D858" i="3" a="1"/>
  <c r="D858" i="3"/>
  <c r="E858" i="3" a="1"/>
  <c r="E858" i="3" s="1"/>
  <c r="F858" i="3" a="1"/>
  <c r="F858" i="3" s="1"/>
  <c r="G858" i="3" a="1"/>
  <c r="G858" i="3" s="1"/>
  <c r="H858" i="3" a="1"/>
  <c r="H858" i="3" s="1"/>
  <c r="I858" i="3" a="1"/>
  <c r="I858" i="3" s="1"/>
  <c r="B859" i="3" a="1"/>
  <c r="B859" i="3" s="1"/>
  <c r="C859" i="3" a="1"/>
  <c r="C859" i="3" s="1"/>
  <c r="D859" i="3" a="1"/>
  <c r="D859" i="3"/>
  <c r="E859" i="3" a="1"/>
  <c r="E859" i="3" s="1"/>
  <c r="F859" i="3" a="1"/>
  <c r="F859" i="3" s="1"/>
  <c r="G859" i="3" a="1"/>
  <c r="G859" i="3" s="1"/>
  <c r="H859" i="3" a="1"/>
  <c r="H859" i="3" s="1"/>
  <c r="I859" i="3" a="1"/>
  <c r="I859" i="3" s="1"/>
  <c r="B860" i="3" a="1"/>
  <c r="B860" i="3" s="1"/>
  <c r="C860" i="3" a="1"/>
  <c r="C860" i="3" s="1"/>
  <c r="D860" i="3" a="1"/>
  <c r="D860" i="3" s="1"/>
  <c r="E860" i="3" a="1"/>
  <c r="E860" i="3" s="1"/>
  <c r="F860" i="3" a="1"/>
  <c r="F860" i="3" s="1"/>
  <c r="G860" i="3" a="1"/>
  <c r="G860" i="3" s="1"/>
  <c r="H860" i="3" a="1"/>
  <c r="H860" i="3" s="1"/>
  <c r="I860" i="3" a="1"/>
  <c r="I860" i="3" s="1"/>
  <c r="B861" i="3" a="1"/>
  <c r="B861" i="3" s="1"/>
  <c r="C861" i="3" a="1"/>
  <c r="C861" i="3" s="1"/>
  <c r="D861" i="3" a="1"/>
  <c r="D861" i="3"/>
  <c r="E861" i="3" a="1"/>
  <c r="E861" i="3" s="1"/>
  <c r="F861" i="3" a="1"/>
  <c r="F861" i="3" s="1"/>
  <c r="G861" i="3" a="1"/>
  <c r="G861" i="3" s="1"/>
  <c r="H861" i="3" a="1"/>
  <c r="H861" i="3" s="1"/>
  <c r="I861" i="3" a="1"/>
  <c r="I861" i="3" s="1"/>
  <c r="B862" i="3" a="1"/>
  <c r="B862" i="3" s="1"/>
  <c r="C862" i="3" a="1"/>
  <c r="C862" i="3" s="1"/>
  <c r="D862" i="3" a="1"/>
  <c r="D862" i="3"/>
  <c r="E862" i="3" a="1"/>
  <c r="E862" i="3" s="1"/>
  <c r="F862" i="3" a="1"/>
  <c r="F862" i="3" s="1"/>
  <c r="G862" i="3" a="1"/>
  <c r="G862" i="3" s="1"/>
  <c r="H862" i="3" a="1"/>
  <c r="H862" i="3" s="1"/>
  <c r="I862" i="3" a="1"/>
  <c r="I862" i="3" s="1"/>
  <c r="B863" i="3" a="1"/>
  <c r="B863" i="3" s="1"/>
  <c r="C863" i="3" a="1"/>
  <c r="C863" i="3" s="1"/>
  <c r="D863" i="3" a="1"/>
  <c r="D863" i="3"/>
  <c r="E863" i="3" a="1"/>
  <c r="E863" i="3" s="1"/>
  <c r="F863" i="3" a="1"/>
  <c r="F863" i="3" s="1"/>
  <c r="G863" i="3" a="1"/>
  <c r="G863" i="3" s="1"/>
  <c r="H863" i="3" a="1"/>
  <c r="H863" i="3" s="1"/>
  <c r="I863" i="3" a="1"/>
  <c r="I863" i="3" s="1"/>
  <c r="B864" i="3" a="1"/>
  <c r="B864" i="3" s="1"/>
  <c r="C864" i="3" a="1"/>
  <c r="C864" i="3" s="1"/>
  <c r="D864" i="3" a="1"/>
  <c r="D864" i="3"/>
  <c r="E864" i="3" a="1"/>
  <c r="E864" i="3" s="1"/>
  <c r="F864" i="3" a="1"/>
  <c r="F864" i="3" s="1"/>
  <c r="G864" i="3" a="1"/>
  <c r="G864" i="3" s="1"/>
  <c r="H864" i="3" a="1"/>
  <c r="H864" i="3" s="1"/>
  <c r="I864" i="3" a="1"/>
  <c r="I864" i="3" s="1"/>
  <c r="B865" i="3" a="1"/>
  <c r="B865" i="3" s="1"/>
  <c r="C865" i="3" a="1"/>
  <c r="C865" i="3" s="1"/>
  <c r="D865" i="3" a="1"/>
  <c r="D865" i="3"/>
  <c r="E865" i="3" a="1"/>
  <c r="E865" i="3" s="1"/>
  <c r="F865" i="3" a="1"/>
  <c r="F865" i="3" s="1"/>
  <c r="G865" i="3" a="1"/>
  <c r="G865" i="3" s="1"/>
  <c r="H865" i="3" a="1"/>
  <c r="H865" i="3" s="1"/>
  <c r="I865" i="3" a="1"/>
  <c r="I865" i="3" s="1"/>
  <c r="B866" i="3" a="1"/>
  <c r="B866" i="3" s="1"/>
  <c r="C866" i="3" a="1"/>
  <c r="C866" i="3" s="1"/>
  <c r="D866" i="3" a="1"/>
  <c r="D866" i="3" s="1"/>
  <c r="E866" i="3" a="1"/>
  <c r="E866" i="3" s="1"/>
  <c r="F866" i="3" a="1"/>
  <c r="F866" i="3" s="1"/>
  <c r="G866" i="3" a="1"/>
  <c r="G866" i="3" s="1"/>
  <c r="H866" i="3" a="1"/>
  <c r="H866" i="3" s="1"/>
  <c r="I866" i="3" a="1"/>
  <c r="I866" i="3" s="1"/>
  <c r="B867" i="3" a="1"/>
  <c r="B867" i="3" s="1"/>
  <c r="C867" i="3" a="1"/>
  <c r="C867" i="3" s="1"/>
  <c r="D867" i="3" a="1"/>
  <c r="D867" i="3"/>
  <c r="E867" i="3" a="1"/>
  <c r="E867" i="3" s="1"/>
  <c r="F867" i="3" a="1"/>
  <c r="F867" i="3" s="1"/>
  <c r="G867" i="3" a="1"/>
  <c r="G867" i="3" s="1"/>
  <c r="H867" i="3" a="1"/>
  <c r="H867" i="3" s="1"/>
  <c r="I867" i="3" a="1"/>
  <c r="I867" i="3" s="1"/>
  <c r="B868" i="3" a="1"/>
  <c r="B868" i="3" s="1"/>
  <c r="C868" i="3" a="1"/>
  <c r="C868" i="3" s="1"/>
  <c r="D868" i="3" a="1"/>
  <c r="D868" i="3"/>
  <c r="E868" i="3" a="1"/>
  <c r="E868" i="3" s="1"/>
  <c r="F868" i="3" a="1"/>
  <c r="F868" i="3" s="1"/>
  <c r="G868" i="3" a="1"/>
  <c r="G868" i="3" s="1"/>
  <c r="H868" i="3" a="1"/>
  <c r="H868" i="3" s="1"/>
  <c r="I868" i="3" a="1"/>
  <c r="I868" i="3" s="1"/>
  <c r="B869" i="3" a="1"/>
  <c r="B869" i="3" s="1"/>
  <c r="C869" i="3" a="1"/>
  <c r="C869" i="3" s="1"/>
  <c r="D869" i="3" a="1"/>
  <c r="D869" i="3"/>
  <c r="E869" i="3" a="1"/>
  <c r="E869" i="3" s="1"/>
  <c r="F869" i="3" a="1"/>
  <c r="F869" i="3" s="1"/>
  <c r="G869" i="3" a="1"/>
  <c r="G869" i="3" s="1"/>
  <c r="H869" i="3" a="1"/>
  <c r="H869" i="3" s="1"/>
  <c r="I869" i="3" a="1"/>
  <c r="I869" i="3" s="1"/>
  <c r="B870" i="3" a="1"/>
  <c r="B870" i="3" s="1"/>
  <c r="C870" i="3" a="1"/>
  <c r="C870" i="3" s="1"/>
  <c r="D870" i="3" a="1"/>
  <c r="D870" i="3"/>
  <c r="E870" i="3" a="1"/>
  <c r="E870" i="3" s="1"/>
  <c r="F870" i="3" a="1"/>
  <c r="F870" i="3" s="1"/>
  <c r="G870" i="3" a="1"/>
  <c r="G870" i="3" s="1"/>
  <c r="H870" i="3" a="1"/>
  <c r="H870" i="3" s="1"/>
  <c r="I870" i="3" a="1"/>
  <c r="I870" i="3" s="1"/>
  <c r="B871" i="3" a="1"/>
  <c r="B871" i="3" s="1"/>
  <c r="C871" i="3" a="1"/>
  <c r="C871" i="3" s="1"/>
  <c r="D871" i="3" a="1"/>
  <c r="D871" i="3"/>
  <c r="E871" i="3" a="1"/>
  <c r="E871" i="3" s="1"/>
  <c r="F871" i="3" a="1"/>
  <c r="F871" i="3" s="1"/>
  <c r="G871" i="3" a="1"/>
  <c r="G871" i="3" s="1"/>
  <c r="H871" i="3" a="1"/>
  <c r="H871" i="3" s="1"/>
  <c r="I871" i="3" a="1"/>
  <c r="I871" i="3" s="1"/>
  <c r="B872" i="3" a="1"/>
  <c r="B872" i="3" s="1"/>
  <c r="C872" i="3" a="1"/>
  <c r="C872" i="3" s="1"/>
  <c r="D872" i="3" a="1"/>
  <c r="D872" i="3" s="1"/>
  <c r="E872" i="3" a="1"/>
  <c r="E872" i="3" s="1"/>
  <c r="F872" i="3" a="1"/>
  <c r="F872" i="3" s="1"/>
  <c r="G872" i="3" a="1"/>
  <c r="G872" i="3" s="1"/>
  <c r="H872" i="3" a="1"/>
  <c r="H872" i="3" s="1"/>
  <c r="I872" i="3" a="1"/>
  <c r="I872" i="3" s="1"/>
  <c r="B873" i="3" a="1"/>
  <c r="B873" i="3" s="1"/>
  <c r="C873" i="3" a="1"/>
  <c r="C873" i="3" s="1"/>
  <c r="D873" i="3" a="1"/>
  <c r="D873" i="3"/>
  <c r="E873" i="3" a="1"/>
  <c r="E873" i="3" s="1"/>
  <c r="F873" i="3" a="1"/>
  <c r="F873" i="3" s="1"/>
  <c r="G873" i="3" a="1"/>
  <c r="G873" i="3" s="1"/>
  <c r="H873" i="3" a="1"/>
  <c r="H873" i="3" s="1"/>
  <c r="I873" i="3" a="1"/>
  <c r="I873" i="3" s="1"/>
  <c r="B874" i="3" a="1"/>
  <c r="B874" i="3" s="1"/>
  <c r="C874" i="3" a="1"/>
  <c r="C874" i="3" s="1"/>
  <c r="D874" i="3" a="1"/>
  <c r="D874" i="3"/>
  <c r="E874" i="3" a="1"/>
  <c r="E874" i="3" s="1"/>
  <c r="F874" i="3" a="1"/>
  <c r="F874" i="3" s="1"/>
  <c r="G874" i="3" a="1"/>
  <c r="G874" i="3" s="1"/>
  <c r="H874" i="3" a="1"/>
  <c r="H874" i="3" s="1"/>
  <c r="I874" i="3" a="1"/>
  <c r="I874" i="3" s="1"/>
  <c r="B875" i="3" a="1"/>
  <c r="B875" i="3" s="1"/>
  <c r="C875" i="3" a="1"/>
  <c r="C875" i="3" s="1"/>
  <c r="D875" i="3" a="1"/>
  <c r="D875" i="3"/>
  <c r="E875" i="3" a="1"/>
  <c r="E875" i="3" s="1"/>
  <c r="F875" i="3" a="1"/>
  <c r="F875" i="3" s="1"/>
  <c r="G875" i="3" a="1"/>
  <c r="G875" i="3" s="1"/>
  <c r="H875" i="3" a="1"/>
  <c r="H875" i="3" s="1"/>
  <c r="I875" i="3" a="1"/>
  <c r="I875" i="3" s="1"/>
  <c r="B876" i="3" a="1"/>
  <c r="B876" i="3" s="1"/>
  <c r="C876" i="3" a="1"/>
  <c r="C876" i="3" s="1"/>
  <c r="D876" i="3" a="1"/>
  <c r="D876" i="3"/>
  <c r="E876" i="3" a="1"/>
  <c r="E876" i="3" s="1"/>
  <c r="F876" i="3" a="1"/>
  <c r="F876" i="3" s="1"/>
  <c r="G876" i="3" a="1"/>
  <c r="G876" i="3" s="1"/>
  <c r="H876" i="3" a="1"/>
  <c r="H876" i="3" s="1"/>
  <c r="I876" i="3" a="1"/>
  <c r="I876" i="3" s="1"/>
  <c r="B877" i="3" a="1"/>
  <c r="B877" i="3" s="1"/>
  <c r="C877" i="3" a="1"/>
  <c r="C877" i="3" s="1"/>
  <c r="D877" i="3" a="1"/>
  <c r="D877" i="3"/>
  <c r="E877" i="3" a="1"/>
  <c r="E877" i="3" s="1"/>
  <c r="F877" i="3" a="1"/>
  <c r="F877" i="3" s="1"/>
  <c r="G877" i="3" a="1"/>
  <c r="G877" i="3" s="1"/>
  <c r="H877" i="3" a="1"/>
  <c r="H877" i="3" s="1"/>
  <c r="I877" i="3" a="1"/>
  <c r="I877" i="3" s="1"/>
  <c r="B878" i="3" a="1"/>
  <c r="B878" i="3" s="1"/>
  <c r="C878" i="3" a="1"/>
  <c r="C878" i="3" s="1"/>
  <c r="D878" i="3" a="1"/>
  <c r="D878" i="3"/>
  <c r="E878" i="3" a="1"/>
  <c r="E878" i="3" s="1"/>
  <c r="F878" i="3" a="1"/>
  <c r="F878" i="3" s="1"/>
  <c r="G878" i="3" a="1"/>
  <c r="G878" i="3" s="1"/>
  <c r="H878" i="3" a="1"/>
  <c r="H878" i="3" s="1"/>
  <c r="I878" i="3" a="1"/>
  <c r="I878" i="3" s="1"/>
  <c r="B879" i="3" a="1"/>
  <c r="B879" i="3" s="1"/>
  <c r="C879" i="3" a="1"/>
  <c r="C879" i="3" s="1"/>
  <c r="D879" i="3" a="1"/>
  <c r="D879" i="3"/>
  <c r="E879" i="3" a="1"/>
  <c r="E879" i="3" s="1"/>
  <c r="F879" i="3" a="1"/>
  <c r="F879" i="3" s="1"/>
  <c r="G879" i="3" a="1"/>
  <c r="G879" i="3" s="1"/>
  <c r="H879" i="3" a="1"/>
  <c r="H879" i="3" s="1"/>
  <c r="I879" i="3" a="1"/>
  <c r="I879" i="3" s="1"/>
  <c r="B880" i="3" a="1"/>
  <c r="B880" i="3" s="1"/>
  <c r="C880" i="3" a="1"/>
  <c r="C880" i="3" s="1"/>
  <c r="D880" i="3" a="1"/>
  <c r="D880" i="3"/>
  <c r="E880" i="3" a="1"/>
  <c r="E880" i="3" s="1"/>
  <c r="F880" i="3" a="1"/>
  <c r="F880" i="3" s="1"/>
  <c r="G880" i="3" a="1"/>
  <c r="G880" i="3" s="1"/>
  <c r="H880" i="3" a="1"/>
  <c r="H880" i="3" s="1"/>
  <c r="I880" i="3" a="1"/>
  <c r="I880" i="3" s="1"/>
  <c r="B881" i="3" a="1"/>
  <c r="B881" i="3" s="1"/>
  <c r="C881" i="3" a="1"/>
  <c r="C881" i="3" s="1"/>
  <c r="D881" i="3" a="1"/>
  <c r="D881" i="3"/>
  <c r="E881" i="3" a="1"/>
  <c r="E881" i="3" s="1"/>
  <c r="F881" i="3" a="1"/>
  <c r="F881" i="3" s="1"/>
  <c r="G881" i="3" a="1"/>
  <c r="G881" i="3" s="1"/>
  <c r="H881" i="3" a="1"/>
  <c r="H881" i="3" s="1"/>
  <c r="I881" i="3" a="1"/>
  <c r="I881" i="3" s="1"/>
  <c r="B882" i="3" a="1"/>
  <c r="B882" i="3" s="1"/>
  <c r="C882" i="3" a="1"/>
  <c r="C882" i="3" s="1"/>
  <c r="D882" i="3" a="1"/>
  <c r="D882" i="3"/>
  <c r="E882" i="3" a="1"/>
  <c r="E882" i="3" s="1"/>
  <c r="F882" i="3" a="1"/>
  <c r="F882" i="3" s="1"/>
  <c r="G882" i="3" a="1"/>
  <c r="G882" i="3" s="1"/>
  <c r="H882" i="3" a="1"/>
  <c r="H882" i="3" s="1"/>
  <c r="I882" i="3" a="1"/>
  <c r="I882" i="3" s="1"/>
  <c r="B883" i="3" a="1"/>
  <c r="B883" i="3" s="1"/>
  <c r="C883" i="3" a="1"/>
  <c r="C883" i="3" s="1"/>
  <c r="D883" i="3" a="1"/>
  <c r="D883" i="3"/>
  <c r="E883" i="3" a="1"/>
  <c r="E883" i="3" s="1"/>
  <c r="F883" i="3" a="1"/>
  <c r="F883" i="3" s="1"/>
  <c r="G883" i="3" a="1"/>
  <c r="G883" i="3" s="1"/>
  <c r="H883" i="3" a="1"/>
  <c r="H883" i="3" s="1"/>
  <c r="I883" i="3" a="1"/>
  <c r="I883" i="3" s="1"/>
  <c r="B884" i="3" a="1"/>
  <c r="B884" i="3" s="1"/>
  <c r="C884" i="3" a="1"/>
  <c r="C884" i="3" s="1"/>
  <c r="D884" i="3" a="1"/>
  <c r="D884" i="3"/>
  <c r="E884" i="3" a="1"/>
  <c r="E884" i="3" s="1"/>
  <c r="F884" i="3" a="1"/>
  <c r="F884" i="3" s="1"/>
  <c r="G884" i="3" a="1"/>
  <c r="G884" i="3" s="1"/>
  <c r="H884" i="3" a="1"/>
  <c r="H884" i="3" s="1"/>
  <c r="I884" i="3" a="1"/>
  <c r="I884" i="3" s="1"/>
  <c r="B885" i="3" a="1"/>
  <c r="B885" i="3" s="1"/>
  <c r="C885" i="3" a="1"/>
  <c r="C885" i="3" s="1"/>
  <c r="D885" i="3" a="1"/>
  <c r="D885" i="3"/>
  <c r="E885" i="3" a="1"/>
  <c r="E885" i="3" s="1"/>
  <c r="F885" i="3" a="1"/>
  <c r="F885" i="3" s="1"/>
  <c r="G885" i="3" a="1"/>
  <c r="G885" i="3" s="1"/>
  <c r="H885" i="3" a="1"/>
  <c r="H885" i="3" s="1"/>
  <c r="I885" i="3" a="1"/>
  <c r="I885" i="3" s="1"/>
  <c r="B886" i="3" a="1"/>
  <c r="B886" i="3" s="1"/>
  <c r="C886" i="3" a="1"/>
  <c r="C886" i="3" s="1"/>
  <c r="D886" i="3" a="1"/>
  <c r="D886" i="3"/>
  <c r="E886" i="3" a="1"/>
  <c r="E886" i="3" s="1"/>
  <c r="F886" i="3" a="1"/>
  <c r="F886" i="3" s="1"/>
  <c r="G886" i="3" a="1"/>
  <c r="G886" i="3" s="1"/>
  <c r="H886" i="3" a="1"/>
  <c r="H886" i="3" s="1"/>
  <c r="I886" i="3" a="1"/>
  <c r="I886" i="3" s="1"/>
  <c r="B887" i="3" a="1"/>
  <c r="B887" i="3" s="1"/>
  <c r="C887" i="3" a="1"/>
  <c r="C887" i="3" s="1"/>
  <c r="D887" i="3" a="1"/>
  <c r="D887" i="3"/>
  <c r="E887" i="3" a="1"/>
  <c r="E887" i="3" s="1"/>
  <c r="F887" i="3" a="1"/>
  <c r="F887" i="3" s="1"/>
  <c r="G887" i="3" a="1"/>
  <c r="G887" i="3" s="1"/>
  <c r="H887" i="3" a="1"/>
  <c r="H887" i="3" s="1"/>
  <c r="I887" i="3" a="1"/>
  <c r="I887" i="3" s="1"/>
  <c r="B888" i="3" a="1"/>
  <c r="B888" i="3" s="1"/>
  <c r="C888" i="3" a="1"/>
  <c r="C888" i="3" s="1"/>
  <c r="D888" i="3" a="1"/>
  <c r="D888" i="3" s="1"/>
  <c r="E888" i="3" a="1"/>
  <c r="E888" i="3" s="1"/>
  <c r="F888" i="3" a="1"/>
  <c r="F888" i="3"/>
  <c r="G888" i="3" a="1"/>
  <c r="G888" i="3" s="1"/>
  <c r="H888" i="3" a="1"/>
  <c r="H888" i="3" s="1"/>
  <c r="I888" i="3" a="1"/>
  <c r="I888" i="3" s="1"/>
  <c r="B889" i="3" a="1"/>
  <c r="B889" i="3"/>
  <c r="C889" i="3" a="1"/>
  <c r="C889" i="3"/>
  <c r="D889" i="3" a="1"/>
  <c r="D889" i="3" s="1"/>
  <c r="E889" i="3" a="1"/>
  <c r="E889" i="3" s="1"/>
  <c r="F889" i="3" a="1"/>
  <c r="F889" i="3" s="1"/>
  <c r="G889" i="3" a="1"/>
  <c r="G889" i="3" s="1"/>
  <c r="H889" i="3" a="1"/>
  <c r="H889" i="3"/>
  <c r="I889" i="3" a="1"/>
  <c r="I889" i="3"/>
  <c r="B890" i="3" a="1"/>
  <c r="B890" i="3" s="1"/>
  <c r="C890" i="3" a="1"/>
  <c r="C890" i="3" s="1"/>
  <c r="D890" i="3" a="1"/>
  <c r="D890" i="3" s="1"/>
  <c r="E890" i="3" a="1"/>
  <c r="E890" i="3" s="1"/>
  <c r="F890" i="3" a="1"/>
  <c r="F890" i="3"/>
  <c r="G890" i="3" a="1"/>
  <c r="G890" i="3"/>
  <c r="H890" i="3" a="1"/>
  <c r="H890" i="3" s="1"/>
  <c r="I890" i="3" a="1"/>
  <c r="I890" i="3" s="1"/>
  <c r="B891" i="3" a="1"/>
  <c r="B891" i="3" s="1"/>
  <c r="C891" i="3" a="1"/>
  <c r="C891" i="3" s="1"/>
  <c r="D891" i="3" a="1"/>
  <c r="D891" i="3"/>
  <c r="E891" i="3" a="1"/>
  <c r="E891" i="3"/>
  <c r="F891" i="3" a="1"/>
  <c r="F891" i="3" s="1"/>
  <c r="G891" i="3" a="1"/>
  <c r="G891" i="3" s="1"/>
  <c r="H891" i="3" a="1"/>
  <c r="H891" i="3" s="1"/>
  <c r="I891" i="3" a="1"/>
  <c r="I891" i="3" s="1"/>
  <c r="B892" i="3" a="1"/>
  <c r="B892" i="3"/>
  <c r="C892" i="3" a="1"/>
  <c r="C892" i="3"/>
  <c r="D892" i="3" a="1"/>
  <c r="D892" i="3" s="1"/>
  <c r="E892" i="3" a="1"/>
  <c r="E892" i="3" s="1"/>
  <c r="F892" i="3" a="1"/>
  <c r="F892" i="3" s="1"/>
  <c r="G892" i="3" a="1"/>
  <c r="G892" i="3" s="1"/>
  <c r="H892" i="3" a="1"/>
  <c r="H892" i="3"/>
  <c r="I892" i="3" a="1"/>
  <c r="I892" i="3"/>
  <c r="B893" i="3" a="1"/>
  <c r="B893" i="3" s="1"/>
  <c r="C893" i="3" a="1"/>
  <c r="C893" i="3" s="1"/>
  <c r="D893" i="3" a="1"/>
  <c r="D893" i="3" s="1"/>
  <c r="E893" i="3" a="1"/>
  <c r="E893" i="3" s="1"/>
  <c r="F893" i="3" a="1"/>
  <c r="F893" i="3"/>
  <c r="G893" i="3" a="1"/>
  <c r="G893" i="3"/>
  <c r="H893" i="3" a="1"/>
  <c r="H893" i="3" s="1"/>
  <c r="I893" i="3" a="1"/>
  <c r="I893" i="3" s="1"/>
  <c r="B894" i="3" a="1"/>
  <c r="B894" i="3" s="1"/>
  <c r="C894" i="3" a="1"/>
  <c r="C894" i="3" s="1"/>
  <c r="D894" i="3" a="1"/>
  <c r="D894" i="3"/>
  <c r="E894" i="3" a="1"/>
  <c r="E894" i="3"/>
  <c r="F894" i="3" a="1"/>
  <c r="F894" i="3" s="1"/>
  <c r="G894" i="3" a="1"/>
  <c r="G894" i="3" s="1"/>
  <c r="H894" i="3" a="1"/>
  <c r="H894" i="3" s="1"/>
  <c r="I894" i="3" a="1"/>
  <c r="I894" i="3" s="1"/>
  <c r="B895" i="3" a="1"/>
  <c r="B895" i="3"/>
  <c r="C895" i="3" a="1"/>
  <c r="C895" i="3"/>
  <c r="D895" i="3" a="1"/>
  <c r="D895" i="3" s="1"/>
  <c r="E895" i="3" a="1"/>
  <c r="E895" i="3" s="1"/>
  <c r="F895" i="3" a="1"/>
  <c r="F895" i="3" s="1"/>
  <c r="G895" i="3" a="1"/>
  <c r="G895" i="3" s="1"/>
  <c r="H895" i="3" a="1"/>
  <c r="H895" i="3"/>
  <c r="I895" i="3" a="1"/>
  <c r="I895" i="3"/>
  <c r="B896" i="3" a="1"/>
  <c r="B896" i="3" s="1"/>
  <c r="C896" i="3" a="1"/>
  <c r="C896" i="3" s="1"/>
  <c r="D896" i="3" a="1"/>
  <c r="D896" i="3" s="1"/>
  <c r="E896" i="3" a="1"/>
  <c r="E896" i="3" s="1"/>
  <c r="F896" i="3" a="1"/>
  <c r="F896" i="3"/>
  <c r="G896" i="3" a="1"/>
  <c r="G896" i="3"/>
  <c r="H896" i="3" a="1"/>
  <c r="H896" i="3" s="1"/>
  <c r="I896" i="3" a="1"/>
  <c r="I896" i="3" s="1"/>
  <c r="B897" i="3" a="1"/>
  <c r="B897" i="3" s="1"/>
  <c r="C897" i="3" a="1"/>
  <c r="C897" i="3" s="1"/>
  <c r="D897" i="3" a="1"/>
  <c r="D897" i="3"/>
  <c r="E897" i="3" a="1"/>
  <c r="E897" i="3"/>
  <c r="F897" i="3" a="1"/>
  <c r="F897" i="3" s="1"/>
  <c r="G897" i="3" a="1"/>
  <c r="G897" i="3" s="1"/>
  <c r="H897" i="3" a="1"/>
  <c r="H897" i="3" s="1"/>
  <c r="I897" i="3" a="1"/>
  <c r="I897" i="3" s="1"/>
  <c r="B898" i="3" a="1"/>
  <c r="B898" i="3"/>
  <c r="C898" i="3" a="1"/>
  <c r="C898" i="3"/>
  <c r="D898" i="3" a="1"/>
  <c r="D898" i="3" s="1"/>
  <c r="E898" i="3" a="1"/>
  <c r="E898" i="3" s="1"/>
  <c r="F898" i="3" a="1"/>
  <c r="F898" i="3" s="1"/>
  <c r="G898" i="3" a="1"/>
  <c r="G898" i="3" s="1"/>
  <c r="H898" i="3" a="1"/>
  <c r="H898" i="3"/>
  <c r="I898" i="3" a="1"/>
  <c r="I898" i="3"/>
  <c r="B899" i="3" a="1"/>
  <c r="B899" i="3" s="1"/>
  <c r="C899" i="3" a="1"/>
  <c r="C899" i="3" s="1"/>
  <c r="D899" i="3" a="1"/>
  <c r="D899" i="3" s="1"/>
  <c r="E899" i="3" a="1"/>
  <c r="E899" i="3" s="1"/>
  <c r="F899" i="3" a="1"/>
  <c r="F899" i="3"/>
  <c r="G899" i="3" a="1"/>
  <c r="G899" i="3"/>
  <c r="H899" i="3" a="1"/>
  <c r="H899" i="3" s="1"/>
  <c r="I899" i="3" a="1"/>
  <c r="I899" i="3" s="1"/>
  <c r="B900" i="3" a="1"/>
  <c r="B900" i="3" s="1"/>
  <c r="C900" i="3" a="1"/>
  <c r="C900" i="3" s="1"/>
  <c r="D900" i="3" a="1"/>
  <c r="D900" i="3"/>
  <c r="E900" i="3" a="1"/>
  <c r="E900" i="3"/>
  <c r="F900" i="3" a="1"/>
  <c r="F900" i="3" s="1"/>
  <c r="G900" i="3" a="1"/>
  <c r="G900" i="3" s="1"/>
  <c r="H900" i="3" a="1"/>
  <c r="H900" i="3" s="1"/>
  <c r="I900" i="3" a="1"/>
  <c r="I900" i="3" s="1"/>
  <c r="B901" i="3" a="1"/>
  <c r="B901" i="3"/>
  <c r="C901" i="3" a="1"/>
  <c r="C901" i="3"/>
  <c r="D901" i="3" a="1"/>
  <c r="D901" i="3" s="1"/>
  <c r="E901" i="3" a="1"/>
  <c r="E901" i="3" s="1"/>
  <c r="F901" i="3" a="1"/>
  <c r="F901" i="3" s="1"/>
  <c r="G901" i="3" a="1"/>
  <c r="G901" i="3" s="1"/>
  <c r="H901" i="3" a="1"/>
  <c r="H901" i="3"/>
  <c r="I901" i="3" a="1"/>
  <c r="I901" i="3"/>
  <c r="B902" i="3" a="1"/>
  <c r="B902" i="3" s="1"/>
  <c r="C902" i="3" a="1"/>
  <c r="C902" i="3" s="1"/>
  <c r="D902" i="3" a="1"/>
  <c r="D902" i="3" s="1"/>
  <c r="E902" i="3" a="1"/>
  <c r="E902" i="3" s="1"/>
  <c r="F902" i="3" a="1"/>
  <c r="F902" i="3"/>
  <c r="G902" i="3" a="1"/>
  <c r="G902" i="3"/>
  <c r="H902" i="3" a="1"/>
  <c r="H902" i="3" s="1"/>
  <c r="I902" i="3" a="1"/>
  <c r="I902" i="3" s="1"/>
  <c r="B903" i="3" a="1"/>
  <c r="B903" i="3" s="1"/>
  <c r="C903" i="3" a="1"/>
  <c r="C903" i="3" s="1"/>
  <c r="D903" i="3" a="1"/>
  <c r="D903" i="3"/>
  <c r="E903" i="3" a="1"/>
  <c r="E903" i="3"/>
  <c r="F903" i="3" a="1"/>
  <c r="F903" i="3" s="1"/>
  <c r="G903" i="3" a="1"/>
  <c r="G903" i="3" s="1"/>
  <c r="H903" i="3" a="1"/>
  <c r="H903" i="3" s="1"/>
  <c r="I903" i="3" a="1"/>
  <c r="I903" i="3" s="1"/>
  <c r="B904" i="3" a="1"/>
  <c r="B904" i="3"/>
  <c r="C904" i="3" a="1"/>
  <c r="C904" i="3"/>
  <c r="D904" i="3" a="1"/>
  <c r="D904" i="3" s="1"/>
  <c r="E904" i="3" a="1"/>
  <c r="E904" i="3" s="1"/>
  <c r="F904" i="3" a="1"/>
  <c r="F904" i="3" s="1"/>
  <c r="G904" i="3" a="1"/>
  <c r="G904" i="3" s="1"/>
  <c r="H904" i="3" a="1"/>
  <c r="H904" i="3"/>
  <c r="I904" i="3" a="1"/>
  <c r="I904" i="3"/>
  <c r="B905" i="3" a="1"/>
  <c r="B905" i="3" s="1"/>
  <c r="C905" i="3" a="1"/>
  <c r="C905" i="3" s="1"/>
  <c r="D905" i="3" a="1"/>
  <c r="D905" i="3" s="1"/>
  <c r="E905" i="3" a="1"/>
  <c r="E905" i="3" s="1"/>
  <c r="F905" i="3" a="1"/>
  <c r="F905" i="3"/>
  <c r="G905" i="3" a="1"/>
  <c r="G905" i="3"/>
  <c r="H905" i="3" a="1"/>
  <c r="H905" i="3" s="1"/>
  <c r="I905" i="3" a="1"/>
  <c r="I905" i="3" s="1"/>
  <c r="B906" i="3" a="1"/>
  <c r="B906" i="3" s="1"/>
  <c r="C906" i="3" a="1"/>
  <c r="C906" i="3" s="1"/>
  <c r="D906" i="3" a="1"/>
  <c r="D906" i="3"/>
  <c r="E906" i="3" a="1"/>
  <c r="E906" i="3"/>
  <c r="F906" i="3" a="1"/>
  <c r="F906" i="3" s="1"/>
  <c r="G906" i="3" a="1"/>
  <c r="G906" i="3" s="1"/>
  <c r="H906" i="3" a="1"/>
  <c r="H906" i="3" s="1"/>
  <c r="I906" i="3" a="1"/>
  <c r="I906" i="3" s="1"/>
  <c r="B907" i="3" a="1"/>
  <c r="B907" i="3"/>
  <c r="C907" i="3" a="1"/>
  <c r="C907" i="3"/>
  <c r="D907" i="3" a="1"/>
  <c r="D907" i="3"/>
  <c r="E907" i="3" a="1"/>
  <c r="E907" i="3"/>
  <c r="F907" i="3" a="1"/>
  <c r="F907" i="3"/>
  <c r="G907" i="3" a="1"/>
  <c r="G907" i="3" s="1"/>
  <c r="H907" i="3" a="1"/>
  <c r="H907" i="3" s="1"/>
  <c r="I907" i="3" a="1"/>
  <c r="I907" i="3" s="1"/>
  <c r="B908" i="3" a="1"/>
  <c r="B908" i="3" s="1"/>
  <c r="C908" i="3" a="1"/>
  <c r="C908" i="3" s="1"/>
  <c r="D908" i="3" a="1"/>
  <c r="D908" i="3" s="1"/>
  <c r="E908" i="3" a="1"/>
  <c r="E908" i="3" s="1"/>
  <c r="F908" i="3" a="1"/>
  <c r="F908" i="3"/>
  <c r="G908" i="3" a="1"/>
  <c r="G908" i="3"/>
  <c r="H908" i="3" a="1"/>
  <c r="H908" i="3"/>
  <c r="I908" i="3" a="1"/>
  <c r="I908" i="3"/>
  <c r="B909" i="3" a="1"/>
  <c r="B909" i="3"/>
  <c r="C909" i="3" a="1"/>
  <c r="C909" i="3" s="1"/>
  <c r="D909" i="3" a="1"/>
  <c r="D909" i="3" s="1"/>
  <c r="E909" i="3" a="1"/>
  <c r="E909" i="3" s="1"/>
  <c r="F909" i="3" a="1"/>
  <c r="F909" i="3" s="1"/>
  <c r="G909" i="3" a="1"/>
  <c r="G909" i="3" s="1"/>
  <c r="H909" i="3" a="1"/>
  <c r="H909" i="3" s="1"/>
  <c r="I909" i="3" a="1"/>
  <c r="I909" i="3" s="1"/>
  <c r="B910" i="3" a="1"/>
  <c r="B910" i="3"/>
  <c r="C910" i="3" a="1"/>
  <c r="C910" i="3"/>
  <c r="D910" i="3" a="1"/>
  <c r="D910" i="3"/>
  <c r="E910" i="3" a="1"/>
  <c r="E910" i="3"/>
  <c r="F910" i="3" a="1"/>
  <c r="F910" i="3"/>
  <c r="G910" i="3" a="1"/>
  <c r="G910" i="3" s="1"/>
  <c r="H910" i="3" a="1"/>
  <c r="H910" i="3" s="1"/>
  <c r="I910" i="3" a="1"/>
  <c r="I910" i="3" s="1"/>
  <c r="B911" i="3" a="1"/>
  <c r="B911" i="3" s="1"/>
  <c r="C911" i="3" a="1"/>
  <c r="C911" i="3" s="1"/>
  <c r="D911" i="3" a="1"/>
  <c r="D911" i="3" s="1"/>
  <c r="E911" i="3" a="1"/>
  <c r="E911" i="3" s="1"/>
  <c r="F911" i="3" a="1"/>
  <c r="F911" i="3"/>
  <c r="G911" i="3" a="1"/>
  <c r="G911" i="3"/>
  <c r="H911" i="3" a="1"/>
  <c r="H911" i="3"/>
  <c r="I911" i="3" a="1"/>
  <c r="I911" i="3"/>
  <c r="B912" i="3" a="1"/>
  <c r="B912" i="3"/>
  <c r="C912" i="3" a="1"/>
  <c r="C912" i="3" s="1"/>
  <c r="D912" i="3" a="1"/>
  <c r="D912" i="3" s="1"/>
  <c r="E912" i="3" a="1"/>
  <c r="E912" i="3" s="1"/>
  <c r="F912" i="3" a="1"/>
  <c r="F912" i="3" s="1"/>
  <c r="G912" i="3" a="1"/>
  <c r="G912" i="3" s="1"/>
  <c r="H912" i="3" a="1"/>
  <c r="H912" i="3" s="1"/>
  <c r="I912" i="3" a="1"/>
  <c r="I912" i="3" s="1"/>
  <c r="B913" i="3" a="1"/>
  <c r="B913" i="3"/>
  <c r="C913" i="3" a="1"/>
  <c r="C913" i="3"/>
  <c r="D913" i="3" a="1"/>
  <c r="D913" i="3"/>
  <c r="E913" i="3" a="1"/>
  <c r="E913" i="3"/>
  <c r="F913" i="3" a="1"/>
  <c r="F913" i="3"/>
  <c r="G913" i="3" a="1"/>
  <c r="G913" i="3" s="1"/>
  <c r="H913" i="3" a="1"/>
  <c r="H913" i="3" s="1"/>
  <c r="I913" i="3" a="1"/>
  <c r="I913" i="3" s="1"/>
  <c r="B914" i="3" a="1"/>
  <c r="B914" i="3" s="1"/>
  <c r="C914" i="3" a="1"/>
  <c r="C914" i="3" s="1"/>
  <c r="D914" i="3" a="1"/>
  <c r="D914" i="3" s="1"/>
  <c r="E914" i="3" a="1"/>
  <c r="E914" i="3" s="1"/>
  <c r="F914" i="3" a="1"/>
  <c r="F914" i="3"/>
  <c r="G914" i="3" a="1"/>
  <c r="G914" i="3"/>
  <c r="H914" i="3" a="1"/>
  <c r="H914" i="3"/>
  <c r="I914" i="3" a="1"/>
  <c r="I914" i="3"/>
  <c r="B915" i="3" a="1"/>
  <c r="B915" i="3"/>
  <c r="C915" i="3" a="1"/>
  <c r="C915" i="3" s="1"/>
  <c r="D915" i="3" a="1"/>
  <c r="D915" i="3" s="1"/>
  <c r="E915" i="3" a="1"/>
  <c r="E915" i="3" s="1"/>
  <c r="F915" i="3" a="1"/>
  <c r="F915" i="3" s="1"/>
  <c r="G915" i="3" a="1"/>
  <c r="G915" i="3" s="1"/>
  <c r="H915" i="3" a="1"/>
  <c r="H915" i="3" s="1"/>
  <c r="I915" i="3" a="1"/>
  <c r="I915" i="3" s="1"/>
  <c r="B916" i="3" a="1"/>
  <c r="B916" i="3"/>
  <c r="C916" i="3" a="1"/>
  <c r="C916" i="3"/>
  <c r="D916" i="3" a="1"/>
  <c r="D916" i="3"/>
  <c r="E916" i="3" a="1"/>
  <c r="E916" i="3"/>
  <c r="F916" i="3" a="1"/>
  <c r="F916" i="3"/>
  <c r="G916" i="3" a="1"/>
  <c r="G916" i="3" s="1"/>
  <c r="H916" i="3" a="1"/>
  <c r="H916" i="3" s="1"/>
  <c r="I916" i="3" a="1"/>
  <c r="I916" i="3" s="1"/>
  <c r="B917" i="3" a="1"/>
  <c r="B917" i="3" s="1"/>
  <c r="C917" i="3" a="1"/>
  <c r="C917" i="3" s="1"/>
  <c r="D917" i="3" a="1"/>
  <c r="D917" i="3" s="1"/>
  <c r="E917" i="3" a="1"/>
  <c r="E917" i="3" s="1"/>
  <c r="F917" i="3" a="1"/>
  <c r="F917" i="3"/>
  <c r="G917" i="3" a="1"/>
  <c r="G917" i="3"/>
  <c r="H917" i="3" a="1"/>
  <c r="H917" i="3"/>
  <c r="I917" i="3" a="1"/>
  <c r="I917" i="3"/>
  <c r="B918" i="3" a="1"/>
  <c r="B918" i="3"/>
  <c r="C918" i="3" a="1"/>
  <c r="C918" i="3" s="1"/>
  <c r="D918" i="3" a="1"/>
  <c r="D918" i="3" s="1"/>
  <c r="E918" i="3" a="1"/>
  <c r="E918" i="3" s="1"/>
  <c r="F918" i="3" a="1"/>
  <c r="F918" i="3" s="1"/>
  <c r="G918" i="3" a="1"/>
  <c r="G918" i="3" s="1"/>
  <c r="H918" i="3" a="1"/>
  <c r="H918" i="3" s="1"/>
  <c r="I918" i="3" a="1"/>
  <c r="I918" i="3" s="1"/>
  <c r="B919" i="3" a="1"/>
  <c r="B919" i="3"/>
  <c r="C919" i="3" a="1"/>
  <c r="C919" i="3"/>
  <c r="D919" i="3" a="1"/>
  <c r="D919" i="3"/>
  <c r="E919" i="3" a="1"/>
  <c r="E919" i="3"/>
  <c r="F919" i="3" a="1"/>
  <c r="F919" i="3"/>
  <c r="G919" i="3" a="1"/>
  <c r="G919" i="3" s="1"/>
  <c r="H919" i="3" a="1"/>
  <c r="H919" i="3" s="1"/>
  <c r="I919" i="3" a="1"/>
  <c r="I919" i="3" s="1"/>
  <c r="B920" i="3" a="1"/>
  <c r="B920" i="3" s="1"/>
  <c r="C920" i="3" a="1"/>
  <c r="C920" i="3" s="1"/>
  <c r="D920" i="3" a="1"/>
  <c r="D920" i="3" s="1"/>
  <c r="E920" i="3" a="1"/>
  <c r="E920" i="3" s="1"/>
  <c r="F920" i="3" a="1"/>
  <c r="F920" i="3"/>
  <c r="G920" i="3" a="1"/>
  <c r="G920" i="3"/>
  <c r="H920" i="3" a="1"/>
  <c r="H920" i="3"/>
  <c r="I920" i="3" a="1"/>
  <c r="I920" i="3"/>
  <c r="B921" i="3" a="1"/>
  <c r="B921" i="3"/>
  <c r="C921" i="3" a="1"/>
  <c r="C921" i="3" s="1"/>
  <c r="D921" i="3" a="1"/>
  <c r="D921" i="3" s="1"/>
  <c r="E921" i="3" a="1"/>
  <c r="E921" i="3" s="1"/>
  <c r="F921" i="3" a="1"/>
  <c r="F921" i="3" s="1"/>
  <c r="G921" i="3" a="1"/>
  <c r="G921" i="3" s="1"/>
  <c r="H921" i="3" a="1"/>
  <c r="H921" i="3" s="1"/>
  <c r="I921" i="3" a="1"/>
  <c r="I921" i="3" s="1"/>
  <c r="B922" i="3" a="1"/>
  <c r="B922" i="3"/>
  <c r="C922" i="3" a="1"/>
  <c r="C922" i="3"/>
  <c r="D922" i="3" a="1"/>
  <c r="D922" i="3"/>
  <c r="E922" i="3" a="1"/>
  <c r="E922" i="3"/>
  <c r="F922" i="3" a="1"/>
  <c r="F922" i="3"/>
  <c r="G922" i="3" a="1"/>
  <c r="G922" i="3" s="1"/>
  <c r="H922" i="3" a="1"/>
  <c r="H922" i="3" s="1"/>
  <c r="I922" i="3" a="1"/>
  <c r="I922" i="3" s="1"/>
  <c r="B923" i="3" a="1"/>
  <c r="B923" i="3" s="1"/>
  <c r="C923" i="3" a="1"/>
  <c r="C923" i="3" s="1"/>
  <c r="D923" i="3" a="1"/>
  <c r="D923" i="3" s="1"/>
  <c r="E923" i="3" a="1"/>
  <c r="E923" i="3" s="1"/>
  <c r="F923" i="3" a="1"/>
  <c r="F923" i="3"/>
  <c r="G923" i="3" a="1"/>
  <c r="G923" i="3"/>
  <c r="H923" i="3" a="1"/>
  <c r="H923" i="3"/>
  <c r="I923" i="3" a="1"/>
  <c r="I923" i="3"/>
  <c r="B924" i="3" a="1"/>
  <c r="B924" i="3"/>
  <c r="C924" i="3" a="1"/>
  <c r="C924" i="3" s="1"/>
  <c r="D924" i="3" a="1"/>
  <c r="D924" i="3" s="1"/>
  <c r="E924" i="3" a="1"/>
  <c r="E924" i="3" s="1"/>
  <c r="F924" i="3" a="1"/>
  <c r="F924" i="3" s="1"/>
  <c r="G924" i="3" a="1"/>
  <c r="G924" i="3" s="1"/>
  <c r="H924" i="3" a="1"/>
  <c r="H924" i="3" s="1"/>
  <c r="I924" i="3" a="1"/>
  <c r="I924" i="3" s="1"/>
  <c r="B925" i="3" a="1"/>
  <c r="B925" i="3"/>
  <c r="C925" i="3" a="1"/>
  <c r="C925" i="3"/>
  <c r="D925" i="3" a="1"/>
  <c r="D925" i="3"/>
  <c r="E925" i="3" a="1"/>
  <c r="E925" i="3"/>
  <c r="F925" i="3" a="1"/>
  <c r="F925" i="3"/>
  <c r="G925" i="3" a="1"/>
  <c r="G925" i="3" s="1"/>
  <c r="H925" i="3" a="1"/>
  <c r="H925" i="3" s="1"/>
  <c r="I925" i="3" a="1"/>
  <c r="I925" i="3" s="1"/>
  <c r="B926" i="3" a="1"/>
  <c r="B926" i="3" s="1"/>
  <c r="C926" i="3" a="1"/>
  <c r="C926" i="3" s="1"/>
  <c r="D926" i="3" a="1"/>
  <c r="D926" i="3" s="1"/>
  <c r="E926" i="3" a="1"/>
  <c r="E926" i="3" s="1"/>
  <c r="F926" i="3" a="1"/>
  <c r="F926" i="3"/>
  <c r="G926" i="3" a="1"/>
  <c r="G926" i="3"/>
  <c r="H926" i="3" a="1"/>
  <c r="H926" i="3"/>
  <c r="I926" i="3" a="1"/>
  <c r="I926" i="3"/>
  <c r="B927" i="3" a="1"/>
  <c r="B927" i="3"/>
  <c r="C927" i="3" a="1"/>
  <c r="C927" i="3" s="1"/>
  <c r="D927" i="3" a="1"/>
  <c r="D927" i="3" s="1"/>
  <c r="E927" i="3" a="1"/>
  <c r="E927" i="3" s="1"/>
  <c r="F927" i="3" a="1"/>
  <c r="F927" i="3" s="1"/>
  <c r="G927" i="3" a="1"/>
  <c r="G927" i="3" s="1"/>
  <c r="H927" i="3" a="1"/>
  <c r="H927" i="3" s="1"/>
  <c r="I927" i="3" a="1"/>
  <c r="I927" i="3" s="1"/>
  <c r="B928" i="3" a="1"/>
  <c r="B928" i="3"/>
  <c r="C928" i="3" a="1"/>
  <c r="C928" i="3"/>
  <c r="D928" i="3" a="1"/>
  <c r="D928" i="3"/>
  <c r="E928" i="3" a="1"/>
  <c r="E928" i="3"/>
  <c r="F928" i="3" a="1"/>
  <c r="F928" i="3"/>
  <c r="G928" i="3" a="1"/>
  <c r="G928" i="3" s="1"/>
  <c r="H928" i="3" a="1"/>
  <c r="H928" i="3" s="1"/>
  <c r="I928" i="3" a="1"/>
  <c r="I928" i="3" s="1"/>
  <c r="B929" i="3" a="1"/>
  <c r="B929" i="3" s="1"/>
  <c r="C929" i="3" a="1"/>
  <c r="C929" i="3" s="1"/>
  <c r="D929" i="3" a="1"/>
  <c r="D929" i="3" s="1"/>
  <c r="E929" i="3" a="1"/>
  <c r="E929" i="3" s="1"/>
  <c r="F929" i="3" a="1"/>
  <c r="F929" i="3"/>
  <c r="G929" i="3" a="1"/>
  <c r="G929" i="3"/>
  <c r="H929" i="3" a="1"/>
  <c r="H929" i="3"/>
  <c r="I929" i="3" a="1"/>
  <c r="I929" i="3"/>
  <c r="B930" i="3" a="1"/>
  <c r="B930" i="3"/>
  <c r="C930" i="3" a="1"/>
  <c r="C930" i="3" s="1"/>
  <c r="D930" i="3" a="1"/>
  <c r="D930" i="3" s="1"/>
  <c r="E930" i="3" a="1"/>
  <c r="E930" i="3" s="1"/>
  <c r="F930" i="3" a="1"/>
  <c r="F930" i="3" s="1"/>
  <c r="G930" i="3" a="1"/>
  <c r="G930" i="3" s="1"/>
  <c r="H930" i="3" a="1"/>
  <c r="H930" i="3" s="1"/>
  <c r="I930" i="3" a="1"/>
  <c r="I930" i="3" s="1"/>
  <c r="B931" i="3" a="1"/>
  <c r="B931" i="3"/>
  <c r="C931" i="3" a="1"/>
  <c r="C931" i="3"/>
  <c r="D931" i="3" a="1"/>
  <c r="D931" i="3"/>
  <c r="E931" i="3" a="1"/>
  <c r="E931" i="3"/>
  <c r="F931" i="3" a="1"/>
  <c r="F931" i="3"/>
  <c r="G931" i="3" a="1"/>
  <c r="G931" i="3" s="1"/>
  <c r="H931" i="3" a="1"/>
  <c r="H931" i="3" s="1"/>
  <c r="I931" i="3" a="1"/>
  <c r="I931" i="3" s="1"/>
  <c r="B932" i="3" a="1"/>
  <c r="B932" i="3" s="1"/>
  <c r="C932" i="3" a="1"/>
  <c r="C932" i="3" s="1"/>
  <c r="D932" i="3" a="1"/>
  <c r="D932" i="3" s="1"/>
  <c r="E932" i="3" a="1"/>
  <c r="E932" i="3" s="1"/>
  <c r="F932" i="3" a="1"/>
  <c r="F932" i="3"/>
  <c r="G932" i="3" a="1"/>
  <c r="G932" i="3"/>
  <c r="H932" i="3" a="1"/>
  <c r="H932" i="3"/>
  <c r="I932" i="3" a="1"/>
  <c r="I932" i="3"/>
  <c r="B933" i="3" a="1"/>
  <c r="B933" i="3"/>
  <c r="C933" i="3" a="1"/>
  <c r="C933" i="3" s="1"/>
  <c r="D933" i="3" a="1"/>
  <c r="D933" i="3" s="1"/>
  <c r="E933" i="3" a="1"/>
  <c r="E933" i="3" s="1"/>
  <c r="F933" i="3" a="1"/>
  <c r="F933" i="3" s="1"/>
  <c r="G933" i="3" a="1"/>
  <c r="G933" i="3" s="1"/>
  <c r="H933" i="3" a="1"/>
  <c r="H933" i="3" s="1"/>
  <c r="I933" i="3" a="1"/>
  <c r="I933" i="3" s="1"/>
  <c r="B934" i="3" a="1"/>
  <c r="B934" i="3"/>
  <c r="C934" i="3" a="1"/>
  <c r="C934" i="3"/>
  <c r="D934" i="3" a="1"/>
  <c r="D934" i="3"/>
  <c r="E934" i="3" a="1"/>
  <c r="E934" i="3"/>
  <c r="F934" i="3" a="1"/>
  <c r="F934" i="3"/>
  <c r="G934" i="3" a="1"/>
  <c r="G934" i="3" s="1"/>
  <c r="H934" i="3" a="1"/>
  <c r="H934" i="3" s="1"/>
  <c r="I934" i="3" a="1"/>
  <c r="I934" i="3" s="1"/>
  <c r="B935" i="3" a="1"/>
  <c r="B935" i="3" s="1"/>
  <c r="C935" i="3" a="1"/>
  <c r="C935" i="3" s="1"/>
  <c r="D935" i="3" a="1"/>
  <c r="D935" i="3" s="1"/>
  <c r="E935" i="3" a="1"/>
  <c r="E935" i="3" s="1"/>
  <c r="F935" i="3" a="1"/>
  <c r="F935" i="3"/>
  <c r="G935" i="3" a="1"/>
  <c r="G935" i="3"/>
  <c r="H935" i="3" a="1"/>
  <c r="H935" i="3"/>
  <c r="I935" i="3" a="1"/>
  <c r="I935" i="3"/>
  <c r="B936" i="3" a="1"/>
  <c r="B936" i="3"/>
  <c r="C936" i="3" a="1"/>
  <c r="C936" i="3" s="1"/>
  <c r="D936" i="3" a="1"/>
  <c r="D936" i="3" s="1"/>
  <c r="E936" i="3" a="1"/>
  <c r="E936" i="3" s="1"/>
  <c r="F936" i="3" a="1"/>
  <c r="F936" i="3" s="1"/>
  <c r="G936" i="3" a="1"/>
  <c r="G936" i="3" s="1"/>
  <c r="H936" i="3" a="1"/>
  <c r="H936" i="3" s="1"/>
  <c r="I936" i="3" a="1"/>
  <c r="I936" i="3" s="1"/>
  <c r="B937" i="3" a="1"/>
  <c r="B937" i="3"/>
  <c r="C937" i="3" a="1"/>
  <c r="C937" i="3"/>
  <c r="D937" i="3" a="1"/>
  <c r="D937" i="3"/>
  <c r="E937" i="3" a="1"/>
  <c r="E937" i="3"/>
  <c r="F937" i="3" a="1"/>
  <c r="F937" i="3"/>
  <c r="G937" i="3" a="1"/>
  <c r="G937" i="3" s="1"/>
  <c r="H937" i="3" a="1"/>
  <c r="H937" i="3" s="1"/>
  <c r="I937" i="3" a="1"/>
  <c r="I937" i="3" s="1"/>
  <c r="B938" i="3" a="1"/>
  <c r="B938" i="3" s="1"/>
  <c r="C938" i="3" a="1"/>
  <c r="C938" i="3" s="1"/>
  <c r="D938" i="3" a="1"/>
  <c r="D938" i="3" s="1"/>
  <c r="E938" i="3" a="1"/>
  <c r="E938" i="3" s="1"/>
  <c r="F938" i="3" a="1"/>
  <c r="F938" i="3"/>
  <c r="G938" i="3" a="1"/>
  <c r="G938" i="3"/>
  <c r="H938" i="3" a="1"/>
  <c r="H938" i="3"/>
  <c r="I938" i="3" a="1"/>
  <c r="I938" i="3"/>
  <c r="B939" i="3" a="1"/>
  <c r="B939" i="3"/>
  <c r="C939" i="3" a="1"/>
  <c r="C939" i="3" s="1"/>
  <c r="D939" i="3" a="1"/>
  <c r="D939" i="3" s="1"/>
  <c r="E939" i="3" a="1"/>
  <c r="E939" i="3" s="1"/>
  <c r="F939" i="3" a="1"/>
  <c r="F939" i="3" s="1"/>
  <c r="G939" i="3" a="1"/>
  <c r="G939" i="3" s="1"/>
  <c r="H939" i="3" a="1"/>
  <c r="H939" i="3" s="1"/>
  <c r="I939" i="3" a="1"/>
  <c r="I939" i="3" s="1"/>
  <c r="B940" i="3" a="1"/>
  <c r="B940" i="3"/>
  <c r="C940" i="3" a="1"/>
  <c r="C940" i="3"/>
  <c r="D940" i="3" a="1"/>
  <c r="D940" i="3"/>
  <c r="E940" i="3" a="1"/>
  <c r="E940" i="3"/>
  <c r="F940" i="3" a="1"/>
  <c r="F940" i="3"/>
  <c r="G940" i="3" a="1"/>
  <c r="G940" i="3" s="1"/>
  <c r="H940" i="3" a="1"/>
  <c r="H940" i="3" s="1"/>
  <c r="I940" i="3" a="1"/>
  <c r="I940" i="3" s="1"/>
  <c r="B941" i="3" a="1"/>
  <c r="B941" i="3" s="1"/>
  <c r="C941" i="3" a="1"/>
  <c r="C941" i="3" s="1"/>
  <c r="D941" i="3" a="1"/>
  <c r="D941" i="3" s="1"/>
  <c r="E941" i="3" a="1"/>
  <c r="E941" i="3" s="1"/>
  <c r="F941" i="3" a="1"/>
  <c r="F941" i="3"/>
  <c r="G941" i="3" a="1"/>
  <c r="G941" i="3"/>
  <c r="H941" i="3" a="1"/>
  <c r="H941" i="3"/>
  <c r="I941" i="3" a="1"/>
  <c r="I941" i="3"/>
  <c r="B942" i="3" a="1"/>
  <c r="B942" i="3"/>
  <c r="C942" i="3" a="1"/>
  <c r="C942" i="3" s="1"/>
  <c r="D942" i="3" a="1"/>
  <c r="D942" i="3" s="1"/>
  <c r="E942" i="3" a="1"/>
  <c r="E942" i="3" s="1"/>
  <c r="F942" i="3" a="1"/>
  <c r="F942" i="3" s="1"/>
  <c r="G942" i="3" a="1"/>
  <c r="G942" i="3" s="1"/>
  <c r="H942" i="3" a="1"/>
  <c r="H942" i="3" s="1"/>
  <c r="I942" i="3" a="1"/>
  <c r="I942" i="3" s="1"/>
  <c r="B943" i="3" a="1"/>
  <c r="B943" i="3"/>
  <c r="C943" i="3" a="1"/>
  <c r="C943" i="3"/>
  <c r="D943" i="3" a="1"/>
  <c r="D943" i="3"/>
  <c r="E943" i="3" a="1"/>
  <c r="E943" i="3"/>
  <c r="F943" i="3" a="1"/>
  <c r="F943" i="3"/>
  <c r="G943" i="3" a="1"/>
  <c r="G943" i="3" s="1"/>
  <c r="H943" i="3" a="1"/>
  <c r="H943" i="3" s="1"/>
  <c r="I943" i="3" a="1"/>
  <c r="I943" i="3" s="1"/>
  <c r="B944" i="3" a="1"/>
  <c r="B944" i="3" s="1"/>
  <c r="C944" i="3" a="1"/>
  <c r="C944" i="3" s="1"/>
  <c r="D944" i="3" a="1"/>
  <c r="D944" i="3" s="1"/>
  <c r="E944" i="3" a="1"/>
  <c r="E944" i="3" s="1"/>
  <c r="F944" i="3" a="1"/>
  <c r="F944" i="3"/>
  <c r="G944" i="3" a="1"/>
  <c r="G944" i="3"/>
  <c r="H944" i="3" a="1"/>
  <c r="H944" i="3"/>
  <c r="I944" i="3" a="1"/>
  <c r="I944" i="3"/>
  <c r="B945" i="3" a="1"/>
  <c r="B945" i="3"/>
  <c r="C945" i="3" a="1"/>
  <c r="C945" i="3" s="1"/>
  <c r="D945" i="3" a="1"/>
  <c r="D945" i="3" s="1"/>
  <c r="E945" i="3" a="1"/>
  <c r="E945" i="3" s="1"/>
  <c r="F945" i="3" a="1"/>
  <c r="F945" i="3" s="1"/>
  <c r="G945" i="3" a="1"/>
  <c r="G945" i="3" s="1"/>
  <c r="H945" i="3" a="1"/>
  <c r="H945" i="3" s="1"/>
  <c r="I945" i="3" a="1"/>
  <c r="I945" i="3" s="1"/>
  <c r="B946" i="3" a="1"/>
  <c r="B946" i="3"/>
  <c r="C946" i="3" a="1"/>
  <c r="C946" i="3"/>
  <c r="D946" i="3" a="1"/>
  <c r="D946" i="3"/>
  <c r="E946" i="3" a="1"/>
  <c r="E946" i="3"/>
  <c r="F946" i="3" a="1"/>
  <c r="F946" i="3"/>
  <c r="G946" i="3" a="1"/>
  <c r="G946" i="3" s="1"/>
  <c r="H946" i="3" a="1"/>
  <c r="H946" i="3" s="1"/>
  <c r="I946" i="3" a="1"/>
  <c r="I946" i="3" s="1"/>
  <c r="B947" i="3" a="1"/>
  <c r="B947" i="3" s="1"/>
  <c r="C947" i="3" a="1"/>
  <c r="C947" i="3" s="1"/>
  <c r="D947" i="3" a="1"/>
  <c r="D947" i="3" s="1"/>
  <c r="E947" i="3" a="1"/>
  <c r="E947" i="3" s="1"/>
  <c r="F947" i="3" a="1"/>
  <c r="F947" i="3"/>
  <c r="G947" i="3" a="1"/>
  <c r="G947" i="3"/>
  <c r="H947" i="3" a="1"/>
  <c r="H947" i="3"/>
  <c r="I947" i="3" a="1"/>
  <c r="I947" i="3"/>
  <c r="B948" i="3" a="1"/>
  <c r="B948" i="3"/>
  <c r="C948" i="3" a="1"/>
  <c r="C948" i="3" s="1"/>
  <c r="D948" i="3" a="1"/>
  <c r="D948" i="3" s="1"/>
  <c r="E948" i="3" a="1"/>
  <c r="E948" i="3" s="1"/>
  <c r="F948" i="3" a="1"/>
  <c r="F948" i="3" s="1"/>
  <c r="G948" i="3" a="1"/>
  <c r="G948" i="3" s="1"/>
  <c r="H948" i="3" a="1"/>
  <c r="H948" i="3" s="1"/>
  <c r="I948" i="3" a="1"/>
  <c r="I948" i="3" s="1"/>
  <c r="B949" i="3" a="1"/>
  <c r="B949" i="3"/>
  <c r="C949" i="3" a="1"/>
  <c r="C949" i="3"/>
  <c r="D949" i="3" a="1"/>
  <c r="D949" i="3"/>
  <c r="E949" i="3" a="1"/>
  <c r="E949" i="3"/>
  <c r="F949" i="3" a="1"/>
  <c r="F949" i="3"/>
  <c r="G949" i="3" a="1"/>
  <c r="G949" i="3" s="1"/>
  <c r="H949" i="3" a="1"/>
  <c r="H949" i="3" s="1"/>
  <c r="I949" i="3" a="1"/>
  <c r="I949" i="3" s="1"/>
  <c r="B950" i="3" a="1"/>
  <c r="B950" i="3" s="1"/>
  <c r="C950" i="3" a="1"/>
  <c r="C950" i="3" s="1"/>
  <c r="D950" i="3" a="1"/>
  <c r="D950" i="3" s="1"/>
  <c r="E950" i="3" a="1"/>
  <c r="E950" i="3" s="1"/>
  <c r="F950" i="3" a="1"/>
  <c r="F950" i="3"/>
  <c r="G950" i="3" a="1"/>
  <c r="G950" i="3"/>
  <c r="H950" i="3" a="1"/>
  <c r="H950" i="3"/>
  <c r="I950" i="3" a="1"/>
  <c r="I950" i="3"/>
  <c r="B951" i="3" a="1"/>
  <c r="B951" i="3"/>
  <c r="C951" i="3" a="1"/>
  <c r="C951" i="3" s="1"/>
  <c r="D951" i="3" a="1"/>
  <c r="D951" i="3" s="1"/>
  <c r="E951" i="3" a="1"/>
  <c r="E951" i="3" s="1"/>
  <c r="F951" i="3" a="1"/>
  <c r="F951" i="3" s="1"/>
  <c r="G951" i="3" a="1"/>
  <c r="G951" i="3" s="1"/>
  <c r="H951" i="3" a="1"/>
  <c r="H951" i="3" s="1"/>
  <c r="I951" i="3" a="1"/>
  <c r="I951" i="3" s="1"/>
  <c r="B952" i="3" a="1"/>
  <c r="B952" i="3"/>
  <c r="C952" i="3" a="1"/>
  <c r="C952" i="3"/>
  <c r="D952" i="3" a="1"/>
  <c r="D952" i="3"/>
  <c r="E952" i="3" a="1"/>
  <c r="E952" i="3"/>
  <c r="F952" i="3" a="1"/>
  <c r="F952" i="3"/>
  <c r="G952" i="3" a="1"/>
  <c r="G952" i="3" s="1"/>
  <c r="H952" i="3" a="1"/>
  <c r="H952" i="3" s="1"/>
  <c r="I952" i="3" a="1"/>
  <c r="I952" i="3" s="1"/>
  <c r="B953" i="3" a="1"/>
  <c r="B953" i="3" s="1"/>
  <c r="C953" i="3" a="1"/>
  <c r="C953" i="3" s="1"/>
  <c r="D953" i="3" a="1"/>
  <c r="D953" i="3" s="1"/>
  <c r="E953" i="3" a="1"/>
  <c r="E953" i="3" s="1"/>
  <c r="F953" i="3" a="1"/>
  <c r="F953" i="3"/>
  <c r="G953" i="3" a="1"/>
  <c r="G953" i="3"/>
  <c r="H953" i="3" a="1"/>
  <c r="H953" i="3"/>
  <c r="I953" i="3" a="1"/>
  <c r="I953" i="3"/>
  <c r="B954" i="3" a="1"/>
  <c r="B954" i="3"/>
  <c r="C954" i="3" a="1"/>
  <c r="C954" i="3" s="1"/>
  <c r="D954" i="3" a="1"/>
  <c r="D954" i="3" s="1"/>
  <c r="E954" i="3" a="1"/>
  <c r="E954" i="3" s="1"/>
  <c r="F954" i="3" a="1"/>
  <c r="F954" i="3" s="1"/>
  <c r="G954" i="3" a="1"/>
  <c r="G954" i="3" s="1"/>
  <c r="H954" i="3" a="1"/>
  <c r="H954" i="3" s="1"/>
  <c r="I954" i="3" a="1"/>
  <c r="I954" i="3" s="1"/>
  <c r="B955" i="3" a="1"/>
  <c r="B955" i="3"/>
  <c r="C955" i="3" a="1"/>
  <c r="C955" i="3"/>
  <c r="D955" i="3" a="1"/>
  <c r="D955" i="3"/>
  <c r="E955" i="3" a="1"/>
  <c r="E955" i="3"/>
  <c r="F955" i="3" a="1"/>
  <c r="F955" i="3"/>
  <c r="G955" i="3" a="1"/>
  <c r="G955" i="3" s="1"/>
  <c r="H955" i="3" a="1"/>
  <c r="H955" i="3" s="1"/>
  <c r="I955" i="3" a="1"/>
  <c r="I955" i="3" s="1"/>
  <c r="B956" i="3" a="1"/>
  <c r="B956" i="3" s="1"/>
  <c r="C956" i="3" a="1"/>
  <c r="C956" i="3" s="1"/>
  <c r="D956" i="3" a="1"/>
  <c r="D956" i="3" s="1"/>
  <c r="E956" i="3" a="1"/>
  <c r="E956" i="3" s="1"/>
  <c r="F956" i="3" a="1"/>
  <c r="F956" i="3"/>
  <c r="G956" i="3" a="1"/>
  <c r="G956" i="3"/>
  <c r="H956" i="3" a="1"/>
  <c r="H956" i="3"/>
  <c r="I956" i="3" a="1"/>
  <c r="I956" i="3"/>
  <c r="B957" i="3" a="1"/>
  <c r="B957" i="3"/>
  <c r="C957" i="3" a="1"/>
  <c r="C957" i="3" s="1"/>
  <c r="D957" i="3" a="1"/>
  <c r="D957" i="3" s="1"/>
  <c r="E957" i="3" a="1"/>
  <c r="E957" i="3" s="1"/>
  <c r="F957" i="3" a="1"/>
  <c r="F957" i="3" s="1"/>
  <c r="G957" i="3" a="1"/>
  <c r="G957" i="3" s="1"/>
  <c r="H957" i="3" a="1"/>
  <c r="H957" i="3" s="1"/>
  <c r="I957" i="3" a="1"/>
  <c r="I957" i="3" s="1"/>
  <c r="B958" i="3" a="1"/>
  <c r="B958" i="3"/>
  <c r="C958" i="3" a="1"/>
  <c r="C958" i="3"/>
  <c r="D958" i="3" a="1"/>
  <c r="D958" i="3"/>
  <c r="E958" i="3" a="1"/>
  <c r="E958" i="3"/>
  <c r="F958" i="3" a="1"/>
  <c r="F958" i="3"/>
  <c r="G958" i="3" a="1"/>
  <c r="G958" i="3" s="1"/>
  <c r="H958" i="3" a="1"/>
  <c r="H958" i="3" s="1"/>
  <c r="I958" i="3" a="1"/>
  <c r="I958" i="3" s="1"/>
  <c r="B959" i="3" a="1"/>
  <c r="B959" i="3" s="1"/>
  <c r="C959" i="3" a="1"/>
  <c r="C959" i="3" s="1"/>
  <c r="D959" i="3" a="1"/>
  <c r="D959" i="3" s="1"/>
  <c r="E959" i="3" a="1"/>
  <c r="E959" i="3" s="1"/>
  <c r="F959" i="3" a="1"/>
  <c r="F959" i="3"/>
  <c r="G959" i="3" a="1"/>
  <c r="G959" i="3"/>
  <c r="H959" i="3" a="1"/>
  <c r="H959" i="3"/>
  <c r="I959" i="3" a="1"/>
  <c r="I959" i="3"/>
  <c r="B960" i="3" a="1"/>
  <c r="B960" i="3"/>
  <c r="C960" i="3" a="1"/>
  <c r="C960" i="3" s="1"/>
  <c r="D960" i="3" a="1"/>
  <c r="D960" i="3" s="1"/>
  <c r="E960" i="3" a="1"/>
  <c r="E960" i="3" s="1"/>
  <c r="F960" i="3" a="1"/>
  <c r="F960" i="3" s="1"/>
  <c r="G960" i="3" a="1"/>
  <c r="G960" i="3" s="1"/>
  <c r="H960" i="3" a="1"/>
  <c r="H960" i="3" s="1"/>
  <c r="I960" i="3" a="1"/>
  <c r="I960" i="3" s="1"/>
  <c r="B961" i="3" a="1"/>
  <c r="B961" i="3"/>
  <c r="C961" i="3" a="1"/>
  <c r="C961" i="3"/>
  <c r="D961" i="3" a="1"/>
  <c r="D961" i="3"/>
  <c r="E961" i="3" a="1"/>
  <c r="E961" i="3"/>
  <c r="F961" i="3" a="1"/>
  <c r="F961" i="3"/>
  <c r="G961" i="3" a="1"/>
  <c r="G961" i="3" s="1"/>
  <c r="H961" i="3" a="1"/>
  <c r="H961" i="3" s="1"/>
  <c r="I961" i="3" a="1"/>
  <c r="I961" i="3" s="1"/>
  <c r="B962" i="3" a="1"/>
  <c r="B962" i="3" s="1"/>
  <c r="C962" i="3" a="1"/>
  <c r="C962" i="3" s="1"/>
  <c r="D962" i="3" a="1"/>
  <c r="D962" i="3" s="1"/>
  <c r="E962" i="3" a="1"/>
  <c r="E962" i="3" s="1"/>
  <c r="F962" i="3" a="1"/>
  <c r="F962" i="3"/>
  <c r="G962" i="3" a="1"/>
  <c r="G962" i="3"/>
  <c r="H962" i="3" a="1"/>
  <c r="H962" i="3"/>
  <c r="I962" i="3" a="1"/>
  <c r="I962" i="3"/>
  <c r="B963" i="3" a="1"/>
  <c r="B963" i="3"/>
  <c r="C963" i="3" a="1"/>
  <c r="C963" i="3" s="1"/>
  <c r="D963" i="3" a="1"/>
  <c r="D963" i="3" s="1"/>
  <c r="E963" i="3" a="1"/>
  <c r="E963" i="3" s="1"/>
  <c r="F963" i="3" a="1"/>
  <c r="F963" i="3" s="1"/>
  <c r="G963" i="3" a="1"/>
  <c r="G963" i="3" s="1"/>
  <c r="H963" i="3" a="1"/>
  <c r="H963" i="3" s="1"/>
  <c r="I963" i="3" a="1"/>
  <c r="I963" i="3" s="1"/>
  <c r="B964" i="3" a="1"/>
  <c r="B964" i="3"/>
  <c r="C964" i="3" a="1"/>
  <c r="C964" i="3"/>
  <c r="D964" i="3" a="1"/>
  <c r="D964" i="3"/>
  <c r="E964" i="3" a="1"/>
  <c r="E964" i="3"/>
  <c r="F964" i="3" a="1"/>
  <c r="F964" i="3"/>
  <c r="G964" i="3" a="1"/>
  <c r="G964" i="3" s="1"/>
  <c r="H964" i="3" a="1"/>
  <c r="H964" i="3" s="1"/>
  <c r="I964" i="3" a="1"/>
  <c r="I964" i="3" s="1"/>
  <c r="B965" i="3" a="1"/>
  <c r="B965" i="3" s="1"/>
  <c r="C965" i="3" a="1"/>
  <c r="C965" i="3" s="1"/>
  <c r="D965" i="3" a="1"/>
  <c r="D965" i="3" s="1"/>
  <c r="E965" i="3" a="1"/>
  <c r="E965" i="3" s="1"/>
  <c r="F965" i="3" a="1"/>
  <c r="F965" i="3"/>
  <c r="G965" i="3" a="1"/>
  <c r="G965" i="3"/>
  <c r="H965" i="3" a="1"/>
  <c r="H965" i="3"/>
  <c r="I965" i="3" a="1"/>
  <c r="I965" i="3"/>
  <c r="B966" i="3" a="1"/>
  <c r="B966" i="3"/>
  <c r="C966" i="3" a="1"/>
  <c r="C966" i="3" s="1"/>
  <c r="D966" i="3" a="1"/>
  <c r="D966" i="3" s="1"/>
  <c r="E966" i="3" a="1"/>
  <c r="E966" i="3" s="1"/>
  <c r="F966" i="3" a="1"/>
  <c r="F966" i="3" s="1"/>
  <c r="G966" i="3" a="1"/>
  <c r="G966" i="3" s="1"/>
  <c r="H966" i="3" a="1"/>
  <c r="H966" i="3" s="1"/>
  <c r="I966" i="3" a="1"/>
  <c r="I966" i="3" s="1"/>
  <c r="B967" i="3" a="1"/>
  <c r="B967" i="3"/>
  <c r="C967" i="3" a="1"/>
  <c r="C967" i="3"/>
  <c r="D967" i="3" a="1"/>
  <c r="D967" i="3"/>
  <c r="E967" i="3" a="1"/>
  <c r="E967" i="3"/>
  <c r="F967" i="3" a="1"/>
  <c r="F967" i="3"/>
  <c r="G967" i="3" a="1"/>
  <c r="G967" i="3" s="1"/>
  <c r="H967" i="3" a="1"/>
  <c r="H967" i="3" s="1"/>
  <c r="I967" i="3" a="1"/>
  <c r="I967" i="3" s="1"/>
  <c r="B968" i="3" a="1"/>
  <c r="B968" i="3" s="1"/>
  <c r="C968" i="3" a="1"/>
  <c r="C968" i="3" s="1"/>
  <c r="D968" i="3" a="1"/>
  <c r="D968" i="3" s="1"/>
  <c r="E968" i="3" a="1"/>
  <c r="E968" i="3" s="1"/>
  <c r="F968" i="3" a="1"/>
  <c r="F968" i="3"/>
  <c r="G968" i="3" a="1"/>
  <c r="G968" i="3"/>
  <c r="H968" i="3" a="1"/>
  <c r="H968" i="3"/>
  <c r="I968" i="3" a="1"/>
  <c r="I968" i="3"/>
  <c r="B969" i="3" a="1"/>
  <c r="B969" i="3"/>
  <c r="C969" i="3" a="1"/>
  <c r="C969" i="3" s="1"/>
  <c r="D969" i="3" a="1"/>
  <c r="D969" i="3" s="1"/>
  <c r="E969" i="3" a="1"/>
  <c r="E969" i="3" s="1"/>
  <c r="F969" i="3" a="1"/>
  <c r="F969" i="3" s="1"/>
  <c r="G969" i="3" a="1"/>
  <c r="G969" i="3" s="1"/>
  <c r="H969" i="3" a="1"/>
  <c r="H969" i="3" s="1"/>
  <c r="I969" i="3" a="1"/>
  <c r="I969" i="3" s="1"/>
  <c r="B970" i="3" a="1"/>
  <c r="B970" i="3"/>
  <c r="C970" i="3" a="1"/>
  <c r="C970" i="3"/>
  <c r="D970" i="3" a="1"/>
  <c r="D970" i="3"/>
  <c r="E970" i="3" a="1"/>
  <c r="E970" i="3"/>
  <c r="F970" i="3" a="1"/>
  <c r="F970" i="3"/>
  <c r="G970" i="3" a="1"/>
  <c r="G970" i="3" s="1"/>
  <c r="H970" i="3" a="1"/>
  <c r="H970" i="3" s="1"/>
  <c r="I970" i="3" a="1"/>
  <c r="I970" i="3" s="1"/>
  <c r="B971" i="3" a="1"/>
  <c r="B971" i="3" s="1"/>
  <c r="C971" i="3" a="1"/>
  <c r="C971" i="3" s="1"/>
  <c r="D971" i="3" a="1"/>
  <c r="D971" i="3" s="1"/>
  <c r="E971" i="3" a="1"/>
  <c r="E971" i="3" s="1"/>
  <c r="F971" i="3" a="1"/>
  <c r="F971" i="3" s="1"/>
  <c r="G971" i="3" a="1"/>
  <c r="G971" i="3"/>
  <c r="H971" i="3" a="1"/>
  <c r="H971" i="3"/>
  <c r="I971" i="3" a="1"/>
  <c r="I971" i="3"/>
  <c r="B972" i="3" a="1"/>
  <c r="B972" i="3"/>
  <c r="C972" i="3" a="1"/>
  <c r="C972" i="3" s="1"/>
  <c r="D972" i="3" a="1"/>
  <c r="D972" i="3"/>
  <c r="E972" i="3" a="1"/>
  <c r="E972" i="3"/>
  <c r="F972" i="3" a="1"/>
  <c r="F972" i="3" s="1"/>
  <c r="G972" i="3" a="1"/>
  <c r="G972" i="3" s="1"/>
  <c r="H972" i="3" a="1"/>
  <c r="H972" i="3" s="1"/>
  <c r="I972" i="3" a="1"/>
  <c r="I972" i="3" s="1"/>
  <c r="B973" i="3" a="1"/>
  <c r="B973" i="3"/>
  <c r="C973" i="3" a="1"/>
  <c r="C973" i="3" s="1"/>
  <c r="D973" i="3" a="1"/>
  <c r="D973" i="3"/>
  <c r="E973" i="3" a="1"/>
  <c r="E973" i="3"/>
  <c r="F973" i="3" a="1"/>
  <c r="F973" i="3"/>
  <c r="G973" i="3" a="1"/>
  <c r="G973" i="3" s="1"/>
  <c r="H973" i="3" a="1"/>
  <c r="H973" i="3" s="1"/>
  <c r="I973" i="3" a="1"/>
  <c r="I973" i="3"/>
  <c r="B974" i="3" a="1"/>
  <c r="B974" i="3" s="1"/>
  <c r="C974" i="3" a="1"/>
  <c r="C974" i="3" s="1"/>
  <c r="D974" i="3" a="1"/>
  <c r="D974" i="3" s="1"/>
  <c r="E974" i="3" a="1"/>
  <c r="E974" i="3" s="1"/>
  <c r="F974" i="3" a="1"/>
  <c r="F974" i="3"/>
  <c r="G974" i="3" a="1"/>
  <c r="G974" i="3"/>
  <c r="H974" i="3" a="1"/>
  <c r="H974" i="3" s="1"/>
  <c r="I974" i="3" a="1"/>
  <c r="I974" i="3"/>
  <c r="B975" i="3" a="1"/>
  <c r="B975" i="3"/>
  <c r="C975" i="3" a="1"/>
  <c r="C975" i="3" s="1"/>
  <c r="D975" i="3" a="1"/>
  <c r="D975" i="3" s="1"/>
  <c r="E975" i="3" a="1"/>
  <c r="E975" i="3" s="1"/>
  <c r="F975" i="3" a="1"/>
  <c r="F975" i="3" s="1"/>
  <c r="G975" i="3" a="1"/>
  <c r="G975" i="3"/>
  <c r="H975" i="3" a="1"/>
  <c r="H975" i="3" s="1"/>
  <c r="I975" i="3" a="1"/>
  <c r="I975" i="3" s="1"/>
  <c r="B976" i="3" a="1"/>
  <c r="B976" i="3"/>
  <c r="C976" i="3" a="1"/>
  <c r="C976" i="3"/>
  <c r="D976" i="3" a="1"/>
  <c r="D976" i="3"/>
  <c r="E976" i="3" a="1"/>
  <c r="E976" i="3" s="1"/>
  <c r="F976" i="3" a="1"/>
  <c r="F976" i="3"/>
  <c r="G976" i="3" a="1"/>
  <c r="G976" i="3" s="1"/>
  <c r="H976" i="3" a="1"/>
  <c r="H976" i="3" s="1"/>
  <c r="I976" i="3" a="1"/>
  <c r="I976" i="3" s="1"/>
  <c r="B977" i="3" a="1"/>
  <c r="B977" i="3" s="1"/>
  <c r="C977" i="3" a="1"/>
  <c r="C977" i="3"/>
  <c r="D977" i="3" a="1"/>
  <c r="D977" i="3"/>
  <c r="E977" i="3" a="1"/>
  <c r="E977" i="3" s="1"/>
  <c r="F977" i="3" a="1"/>
  <c r="F977" i="3"/>
  <c r="G977" i="3" a="1"/>
  <c r="G977" i="3"/>
  <c r="H977" i="3" a="1"/>
  <c r="H977" i="3"/>
  <c r="I977" i="3" a="1"/>
  <c r="I977" i="3"/>
  <c r="B978" i="3" a="1"/>
  <c r="B978" i="3" s="1"/>
  <c r="C978" i="3" a="1"/>
  <c r="C978" i="3" s="1"/>
  <c r="D978" i="3" a="1"/>
  <c r="D978" i="3" s="1"/>
  <c r="E978" i="3" a="1"/>
  <c r="E978" i="3" s="1"/>
  <c r="F978" i="3" a="1"/>
  <c r="F978" i="3" s="1"/>
  <c r="G978" i="3" a="1"/>
  <c r="G978" i="3" s="1"/>
  <c r="H978" i="3" a="1"/>
  <c r="H978" i="3"/>
  <c r="I978" i="3" a="1"/>
  <c r="I978" i="3" s="1"/>
  <c r="B979" i="3" a="1"/>
  <c r="B979" i="3"/>
  <c r="C979" i="3" a="1"/>
  <c r="C979" i="3"/>
  <c r="D979" i="3" a="1"/>
  <c r="D979" i="3"/>
  <c r="E979" i="3" a="1"/>
  <c r="E979" i="3"/>
  <c r="F979" i="3" a="1"/>
  <c r="F979" i="3"/>
  <c r="G979" i="3" a="1"/>
  <c r="G979" i="3" s="1"/>
  <c r="H979" i="3" a="1"/>
  <c r="H979" i="3" s="1"/>
  <c r="I979" i="3" a="1"/>
  <c r="I979" i="3" s="1"/>
  <c r="B980" i="3" a="1"/>
  <c r="B980" i="3" s="1"/>
  <c r="C980" i="3" a="1"/>
  <c r="C980" i="3" s="1"/>
  <c r="D980" i="3" a="1"/>
  <c r="D980" i="3" s="1"/>
  <c r="E980" i="3" a="1"/>
  <c r="E980" i="3" s="1"/>
  <c r="F980" i="3" a="1"/>
  <c r="F980" i="3" s="1"/>
  <c r="G980" i="3" a="1"/>
  <c r="G980" i="3"/>
  <c r="H980" i="3" a="1"/>
  <c r="H980" i="3"/>
  <c r="I980" i="3" a="1"/>
  <c r="I980" i="3"/>
  <c r="B981" i="3" a="1"/>
  <c r="B981" i="3"/>
  <c r="C981" i="3" a="1"/>
  <c r="C981" i="3" s="1"/>
  <c r="D981" i="3" a="1"/>
  <c r="D981" i="3"/>
  <c r="E981" i="3" a="1"/>
  <c r="E981" i="3"/>
  <c r="F981" i="3" a="1"/>
  <c r="F981" i="3" s="1"/>
  <c r="G981" i="3" a="1"/>
  <c r="G981" i="3" s="1"/>
  <c r="H981" i="3" a="1"/>
  <c r="H981" i="3" s="1"/>
  <c r="I981" i="3" a="1"/>
  <c r="I981" i="3" s="1"/>
  <c r="B982" i="3" a="1"/>
  <c r="B982" i="3"/>
  <c r="C982" i="3" a="1"/>
  <c r="C982" i="3" s="1"/>
  <c r="D982" i="3" a="1"/>
  <c r="D982" i="3"/>
  <c r="E982" i="3" a="1"/>
  <c r="E982" i="3"/>
  <c r="F982" i="3" a="1"/>
  <c r="F982" i="3"/>
  <c r="G982" i="3" a="1"/>
  <c r="G982" i="3" s="1"/>
  <c r="H982" i="3" a="1"/>
  <c r="H982" i="3" s="1"/>
  <c r="I982" i="3" a="1"/>
  <c r="I982" i="3"/>
  <c r="B983" i="3" a="1"/>
  <c r="B983" i="3" s="1"/>
  <c r="C983" i="3" a="1"/>
  <c r="C983" i="3" s="1"/>
  <c r="D983" i="3" a="1"/>
  <c r="D983" i="3" s="1"/>
  <c r="E983" i="3" a="1"/>
  <c r="E983" i="3" s="1"/>
  <c r="F983" i="3" a="1"/>
  <c r="F983" i="3"/>
  <c r="G983" i="3" a="1"/>
  <c r="G983" i="3"/>
  <c r="H983" i="3" a="1"/>
  <c r="H983" i="3"/>
  <c r="I983" i="3" a="1"/>
  <c r="I983" i="3" s="1"/>
  <c r="B984" i="3" a="1"/>
  <c r="B984" i="3"/>
  <c r="C984" i="3" a="1"/>
  <c r="C984" i="3" s="1"/>
  <c r="D984" i="3" a="1"/>
  <c r="D984" i="3" s="1"/>
  <c r="E984" i="3" a="1"/>
  <c r="E984" i="3" s="1"/>
  <c r="F984" i="3" a="1"/>
  <c r="F984" i="3"/>
  <c r="G984" i="3" a="1"/>
  <c r="G984" i="3"/>
  <c r="H984" i="3" a="1"/>
  <c r="H984" i="3" s="1"/>
  <c r="I984" i="3" a="1"/>
  <c r="I984" i="3" s="1"/>
  <c r="B985" i="3" a="1"/>
  <c r="B985" i="3"/>
  <c r="C985" i="3" a="1"/>
  <c r="C985" i="3"/>
  <c r="D985" i="3" a="1"/>
  <c r="D985" i="3" s="1"/>
  <c r="E985" i="3" a="1"/>
  <c r="E985" i="3"/>
  <c r="F985" i="3" a="1"/>
  <c r="F985" i="3"/>
  <c r="G985" i="3" a="1"/>
  <c r="G985" i="3" s="1"/>
  <c r="H985" i="3" a="1"/>
  <c r="H985" i="3" s="1"/>
  <c r="I985" i="3" a="1"/>
  <c r="I985" i="3" s="1"/>
  <c r="B986" i="3" a="1"/>
  <c r="B986" i="3" s="1"/>
  <c r="C986" i="3" a="1"/>
  <c r="C986" i="3"/>
  <c r="D986" i="3" a="1"/>
  <c r="D986" i="3" s="1"/>
  <c r="E986" i="3" a="1"/>
  <c r="E986" i="3" s="1"/>
  <c r="F986" i="3" a="1"/>
  <c r="F986" i="3"/>
  <c r="G986" i="3" a="1"/>
  <c r="G986" i="3"/>
  <c r="H986" i="3" a="1"/>
  <c r="H986" i="3"/>
  <c r="I986" i="3" a="1"/>
  <c r="I986" i="3"/>
  <c r="B987" i="3" a="1"/>
  <c r="B987" i="3" s="1"/>
  <c r="C987" i="3" a="1"/>
  <c r="C987" i="3" s="1"/>
  <c r="D987" i="3" a="1"/>
  <c r="D987" i="3" s="1"/>
  <c r="E987" i="3" a="1"/>
  <c r="E987" i="3" s="1"/>
  <c r="F987" i="3" a="1"/>
  <c r="F987" i="3" s="1"/>
  <c r="G987" i="3" a="1"/>
  <c r="G987" i="3" s="1"/>
  <c r="H987" i="3" a="1"/>
  <c r="H987" i="3"/>
  <c r="I987" i="3" a="1"/>
  <c r="I987" i="3" s="1"/>
  <c r="B988" i="3" a="1"/>
  <c r="B988" i="3"/>
  <c r="C988" i="3" a="1"/>
  <c r="C988" i="3"/>
  <c r="D988" i="3" a="1"/>
  <c r="D988" i="3"/>
  <c r="E988" i="3" a="1"/>
  <c r="E988" i="3"/>
  <c r="F988" i="3" a="1"/>
  <c r="F988" i="3" s="1"/>
  <c r="G988" i="3" a="1"/>
  <c r="G988" i="3" s="1"/>
  <c r="H988" i="3" a="1"/>
  <c r="H988" i="3"/>
  <c r="I988" i="3" a="1"/>
  <c r="I988" i="3" s="1"/>
  <c r="B989" i="3" a="1"/>
  <c r="B989" i="3" s="1"/>
  <c r="C989" i="3" a="1"/>
  <c r="C989" i="3" s="1"/>
  <c r="D989" i="3" a="1"/>
  <c r="D989" i="3" s="1"/>
  <c r="E989" i="3" a="1"/>
  <c r="E989" i="3"/>
  <c r="F989" i="3" a="1"/>
  <c r="F989" i="3" s="1"/>
  <c r="G989" i="3" a="1"/>
  <c r="G989" i="3" s="1"/>
  <c r="H989" i="3" a="1"/>
  <c r="H989" i="3" s="1"/>
  <c r="I989" i="3" a="1"/>
  <c r="I989" i="3" s="1"/>
  <c r="B990" i="3" a="1"/>
  <c r="B990" i="3" s="1"/>
  <c r="C990" i="3" a="1"/>
  <c r="C990" i="3"/>
  <c r="D990" i="3" a="1"/>
  <c r="D990" i="3"/>
  <c r="E990" i="3" a="1"/>
  <c r="E990" i="3" s="1"/>
  <c r="F990" i="3" a="1"/>
  <c r="F990" i="3" s="1"/>
  <c r="G990" i="3" a="1"/>
  <c r="G990" i="3" s="1"/>
  <c r="H990" i="3" a="1"/>
  <c r="H990" i="3" s="1"/>
  <c r="I990" i="3" a="1"/>
  <c r="I990" i="3"/>
  <c r="B991" i="3" a="1"/>
  <c r="B991" i="3" s="1"/>
  <c r="C991" i="3" a="1"/>
  <c r="C991" i="3" s="1"/>
  <c r="D991" i="3" a="1"/>
  <c r="D991" i="3" s="1"/>
  <c r="E991" i="3" a="1"/>
  <c r="E991" i="3" s="1"/>
  <c r="F991" i="3" a="1"/>
  <c r="F991" i="3" s="1"/>
  <c r="G991" i="3" a="1"/>
  <c r="G991" i="3"/>
  <c r="H991" i="3" a="1"/>
  <c r="H991" i="3"/>
  <c r="I991" i="3" a="1"/>
  <c r="I991" i="3" s="1"/>
  <c r="B992" i="3" a="1"/>
  <c r="B992" i="3" s="1"/>
  <c r="C992" i="3" a="1"/>
  <c r="C992" i="3" s="1"/>
  <c r="D992" i="3" a="1"/>
  <c r="D992" i="3" s="1"/>
  <c r="E992" i="3" a="1"/>
  <c r="E992" i="3"/>
  <c r="F992" i="3" a="1"/>
  <c r="F992" i="3" s="1"/>
  <c r="G992" i="3" a="1"/>
  <c r="G992" i="3" s="1"/>
  <c r="H992" i="3" a="1"/>
  <c r="H992" i="3" s="1"/>
  <c r="I992" i="3" a="1"/>
  <c r="I992" i="3" s="1"/>
  <c r="B993" i="3" a="1"/>
  <c r="B993" i="3" s="1"/>
  <c r="C993" i="3" a="1"/>
  <c r="C993" i="3"/>
  <c r="D993" i="3" a="1"/>
  <c r="D993" i="3"/>
  <c r="E993" i="3" a="1"/>
  <c r="E993" i="3" s="1"/>
  <c r="F993" i="3" a="1"/>
  <c r="F993" i="3" s="1"/>
  <c r="G993" i="3" a="1"/>
  <c r="G993" i="3" s="1"/>
  <c r="H993" i="3" a="1"/>
  <c r="H993" i="3" s="1"/>
  <c r="I993" i="3" a="1"/>
  <c r="I993" i="3"/>
  <c r="B994" i="3" a="1"/>
  <c r="B994" i="3" s="1"/>
  <c r="C994" i="3" a="1"/>
  <c r="C994" i="3" s="1"/>
  <c r="D994" i="3" a="1"/>
  <c r="D994" i="3" s="1"/>
  <c r="E994" i="3" a="1"/>
  <c r="E994" i="3" s="1"/>
  <c r="F994" i="3" a="1"/>
  <c r="F994" i="3" s="1"/>
  <c r="G994" i="3" a="1"/>
  <c r="G994" i="3"/>
  <c r="H994" i="3" a="1"/>
  <c r="H994" i="3"/>
  <c r="I994" i="3" a="1"/>
  <c r="I994" i="3" s="1"/>
  <c r="B995" i="3" a="1"/>
  <c r="B995" i="3" s="1"/>
  <c r="C995" i="3" a="1"/>
  <c r="C995" i="3" s="1"/>
  <c r="D995" i="3" a="1"/>
  <c r="D995" i="3" s="1"/>
  <c r="E995" i="3" a="1"/>
  <c r="E995" i="3"/>
  <c r="F995" i="3" a="1"/>
  <c r="F995" i="3" s="1"/>
  <c r="G995" i="3" a="1"/>
  <c r="G995" i="3" s="1"/>
  <c r="H995" i="3" a="1"/>
  <c r="H995" i="3" s="1"/>
  <c r="I995" i="3" a="1"/>
  <c r="I995" i="3" s="1"/>
  <c r="B996" i="3" a="1"/>
  <c r="B996" i="3" s="1"/>
  <c r="C996" i="3" a="1"/>
  <c r="C996" i="3"/>
  <c r="D996" i="3" a="1"/>
  <c r="D996" i="3"/>
  <c r="E996" i="3" a="1"/>
  <c r="E996" i="3" s="1"/>
  <c r="F996" i="3" a="1"/>
  <c r="F996" i="3" s="1"/>
  <c r="G996" i="3" a="1"/>
  <c r="G996" i="3" s="1"/>
  <c r="H996" i="3" a="1"/>
  <c r="H996" i="3" s="1"/>
  <c r="I996" i="3" a="1"/>
  <c r="I996" i="3"/>
  <c r="B997" i="3" a="1"/>
  <c r="B997" i="3" s="1"/>
  <c r="C997" i="3" a="1"/>
  <c r="C997" i="3" s="1"/>
  <c r="D997" i="3" a="1"/>
  <c r="D997" i="3" s="1"/>
  <c r="E997" i="3" a="1"/>
  <c r="E997" i="3" s="1"/>
  <c r="F997" i="3" a="1"/>
  <c r="F997" i="3" s="1"/>
  <c r="G997" i="3" a="1"/>
  <c r="G997" i="3"/>
  <c r="H997" i="3" a="1"/>
  <c r="H997" i="3"/>
  <c r="I997" i="3" a="1"/>
  <c r="I997" i="3" s="1"/>
  <c r="B998" i="3" a="1"/>
  <c r="B998" i="3" s="1"/>
  <c r="C998" i="3" a="1"/>
  <c r="C998" i="3" s="1"/>
  <c r="D998" i="3" a="1"/>
  <c r="D998" i="3" s="1"/>
  <c r="E998" i="3" a="1"/>
  <c r="E998" i="3"/>
  <c r="F998" i="3" a="1"/>
  <c r="F998" i="3" s="1"/>
  <c r="G998" i="3" a="1"/>
  <c r="G998" i="3" s="1"/>
  <c r="H998" i="3" a="1"/>
  <c r="H998" i="3" s="1"/>
  <c r="I998" i="3" a="1"/>
  <c r="I998" i="3" s="1"/>
  <c r="B999" i="3" a="1"/>
  <c r="B999" i="3" s="1"/>
  <c r="C999" i="3" a="1"/>
  <c r="C999" i="3"/>
  <c r="D999" i="3" a="1"/>
  <c r="D999" i="3"/>
  <c r="E999" i="3" a="1"/>
  <c r="E999" i="3" s="1"/>
  <c r="F999" i="3" a="1"/>
  <c r="F999" i="3" s="1"/>
  <c r="G999" i="3" a="1"/>
  <c r="G999" i="3" s="1"/>
  <c r="H999" i="3" a="1"/>
  <c r="H999" i="3" s="1"/>
  <c r="I999" i="3" a="1"/>
  <c r="I999" i="3"/>
  <c r="B1000" i="3" a="1"/>
  <c r="B1000" i="3" s="1"/>
  <c r="C1000" i="3" a="1"/>
  <c r="C1000" i="3" s="1"/>
  <c r="D1000" i="3" a="1"/>
  <c r="D1000" i="3" s="1"/>
  <c r="E1000" i="3" a="1"/>
  <c r="E1000" i="3" s="1"/>
  <c r="F1000" i="3" a="1"/>
  <c r="F1000" i="3" s="1"/>
  <c r="G1000" i="3" a="1"/>
  <c r="G1000" i="3"/>
  <c r="H1000" i="3" a="1"/>
  <c r="H1000" i="3"/>
  <c r="I1000" i="3" a="1"/>
  <c r="I1000" i="3" s="1"/>
  <c r="B1001" i="3" a="1"/>
  <c r="B1001" i="3" s="1"/>
  <c r="C1001" i="3" a="1"/>
  <c r="C1001" i="3" s="1"/>
  <c r="D1001" i="3" a="1"/>
  <c r="D1001" i="3" s="1"/>
  <c r="E1001" i="3" a="1"/>
  <c r="E1001" i="3"/>
  <c r="F1001" i="3" a="1"/>
  <c r="F1001" i="3" s="1"/>
  <c r="G1001" i="3" a="1"/>
  <c r="G1001" i="3" s="1"/>
  <c r="H1001" i="3" a="1"/>
  <c r="H1001" i="3" s="1"/>
  <c r="I1001" i="3" a="1"/>
  <c r="I1001" i="3" s="1"/>
  <c r="B1002" i="3" a="1"/>
  <c r="B1002" i="3" s="1"/>
  <c r="C1002" i="3" a="1"/>
  <c r="C1002" i="3"/>
  <c r="D1002" i="3" a="1"/>
  <c r="D1002" i="3"/>
  <c r="E1002" i="3" a="1"/>
  <c r="E1002" i="3" s="1"/>
  <c r="F1002" i="3" a="1"/>
  <c r="F1002" i="3" s="1"/>
  <c r="G1002" i="3" a="1"/>
  <c r="G1002" i="3" s="1"/>
  <c r="H1002" i="3" a="1"/>
  <c r="H1002" i="3" s="1"/>
  <c r="I1002" i="3" a="1"/>
  <c r="I1002" i="3"/>
  <c r="B1003" i="3" a="1"/>
  <c r="B1003" i="3" s="1"/>
  <c r="C1003" i="3" a="1"/>
  <c r="C1003" i="3" s="1"/>
  <c r="D1003" i="3" a="1"/>
  <c r="D1003" i="3" s="1"/>
  <c r="E1003" i="3" a="1"/>
  <c r="E1003" i="3" s="1"/>
  <c r="F1003" i="3" a="1"/>
  <c r="F1003" i="3" s="1"/>
  <c r="G1003" i="3" a="1"/>
  <c r="G1003" i="3"/>
  <c r="H1003" i="3" a="1"/>
  <c r="H1003" i="3"/>
  <c r="I1003" i="3" a="1"/>
  <c r="I1003" i="3" s="1"/>
  <c r="B1004" i="3" a="1"/>
  <c r="B1004" i="3" s="1"/>
  <c r="C1004" i="3" a="1"/>
  <c r="C1004" i="3" s="1"/>
  <c r="D1004" i="3" a="1"/>
  <c r="D1004" i="3" s="1"/>
  <c r="E1004" i="3" a="1"/>
  <c r="E1004" i="3"/>
  <c r="F1004" i="3" a="1"/>
  <c r="F1004" i="3" s="1"/>
  <c r="G1004" i="3" a="1"/>
  <c r="G1004" i="3" s="1"/>
  <c r="H1004" i="3" a="1"/>
  <c r="H1004" i="3" s="1"/>
  <c r="I1004" i="3" a="1"/>
  <c r="I1004" i="3" s="1"/>
  <c r="B1005" i="3" a="1"/>
  <c r="B1005" i="3" s="1"/>
  <c r="C1005" i="3" a="1"/>
  <c r="C1005" i="3"/>
  <c r="D1005" i="3" a="1"/>
  <c r="D1005" i="3"/>
  <c r="E1005" i="3" a="1"/>
  <c r="E1005" i="3" s="1"/>
  <c r="F1005" i="3" a="1"/>
  <c r="F1005" i="3" s="1"/>
  <c r="G1005" i="3" a="1"/>
  <c r="G1005" i="3" s="1"/>
  <c r="H1005" i="3" a="1"/>
  <c r="H1005" i="3" s="1"/>
  <c r="I1005" i="3" a="1"/>
  <c r="I1005" i="3"/>
  <c r="B1006" i="3" a="1"/>
  <c r="B1006" i="3" s="1"/>
  <c r="C1006" i="3" a="1"/>
  <c r="C1006" i="3" s="1"/>
  <c r="D1006" i="3" a="1"/>
  <c r="D1006" i="3" s="1"/>
  <c r="E1006" i="3" a="1"/>
  <c r="E1006" i="3" s="1"/>
  <c r="F1006" i="3" a="1"/>
  <c r="F1006" i="3" s="1"/>
  <c r="G1006" i="3" a="1"/>
  <c r="G1006" i="3"/>
  <c r="H1006" i="3" a="1"/>
  <c r="H1006" i="3"/>
  <c r="I1006" i="3" a="1"/>
  <c r="I1006" i="3" s="1"/>
  <c r="B1007" i="3" a="1"/>
  <c r="B1007" i="3" s="1"/>
  <c r="C1007" i="3" a="1"/>
  <c r="C1007" i="3" s="1"/>
  <c r="D1007" i="3" a="1"/>
  <c r="D1007" i="3" s="1"/>
  <c r="E1007" i="3" a="1"/>
  <c r="E1007" i="3"/>
  <c r="F1007" i="3" a="1"/>
  <c r="F1007" i="3" s="1"/>
  <c r="G1007" i="3" a="1"/>
  <c r="G1007" i="3" s="1"/>
  <c r="H1007" i="3" a="1"/>
  <c r="H1007" i="3" s="1"/>
  <c r="I1007" i="3" a="1"/>
  <c r="I1007" i="3" s="1"/>
  <c r="B1008" i="3" a="1"/>
  <c r="B1008" i="3" s="1"/>
  <c r="C1008" i="3" a="1"/>
  <c r="C1008" i="3"/>
  <c r="D1008" i="3" a="1"/>
  <c r="D1008" i="3"/>
  <c r="E1008" i="3" a="1"/>
  <c r="E1008" i="3" s="1"/>
  <c r="F1008" i="3" a="1"/>
  <c r="F1008" i="3" s="1"/>
  <c r="G1008" i="3" a="1"/>
  <c r="G1008" i="3" s="1"/>
  <c r="H1008" i="3" a="1"/>
  <c r="H1008" i="3" s="1"/>
  <c r="I1008" i="3" a="1"/>
  <c r="I1008" i="3"/>
  <c r="B1009" i="3" a="1"/>
  <c r="B1009" i="3" s="1"/>
  <c r="C1009" i="3" a="1"/>
  <c r="C1009" i="3" s="1"/>
  <c r="D1009" i="3" a="1"/>
  <c r="D1009" i="3" s="1"/>
  <c r="E1009" i="3" a="1"/>
  <c r="E1009" i="3" s="1"/>
  <c r="F1009" i="3" a="1"/>
  <c r="F1009" i="3" s="1"/>
  <c r="G1009" i="3" a="1"/>
  <c r="G1009" i="3"/>
  <c r="H1009" i="3" a="1"/>
  <c r="H1009" i="3"/>
  <c r="I1009" i="3" a="1"/>
  <c r="I1009" i="3" s="1"/>
  <c r="B1010" i="3" a="1"/>
  <c r="B1010" i="3" s="1"/>
  <c r="C1010" i="3" a="1"/>
  <c r="C1010" i="3" s="1"/>
  <c r="D1010" i="3" a="1"/>
  <c r="D1010" i="3" s="1"/>
  <c r="E1010" i="3" a="1"/>
  <c r="E1010" i="3"/>
  <c r="F1010" i="3" a="1"/>
  <c r="F1010" i="3" s="1"/>
  <c r="G1010" i="3" a="1"/>
  <c r="G1010" i="3" s="1"/>
  <c r="H1010" i="3" a="1"/>
  <c r="H1010" i="3" s="1"/>
  <c r="I1010" i="3" a="1"/>
  <c r="I1010" i="3" s="1"/>
  <c r="B1011" i="3" a="1"/>
  <c r="B1011" i="3" s="1"/>
  <c r="C1011" i="3" a="1"/>
  <c r="C1011" i="3"/>
  <c r="D1011" i="3" a="1"/>
  <c r="D1011" i="3"/>
  <c r="E1011" i="3" a="1"/>
  <c r="E1011" i="3" s="1"/>
  <c r="F1011" i="3" a="1"/>
  <c r="F1011" i="3" s="1"/>
  <c r="G1011" i="3" a="1"/>
  <c r="G1011" i="3" s="1"/>
  <c r="H1011" i="3" a="1"/>
  <c r="H1011" i="3" s="1"/>
  <c r="I1011" i="3" a="1"/>
  <c r="I1011" i="3"/>
  <c r="B1012" i="3" a="1"/>
  <c r="B1012" i="3" s="1"/>
  <c r="C1012" i="3" a="1"/>
  <c r="C1012" i="3" s="1"/>
  <c r="D1012" i="3" a="1"/>
  <c r="D1012" i="3" s="1"/>
  <c r="E1012" i="3" a="1"/>
  <c r="E1012" i="3" s="1"/>
  <c r="F1012" i="3" a="1"/>
  <c r="F1012" i="3" s="1"/>
  <c r="G1012" i="3" a="1"/>
  <c r="G1012" i="3"/>
  <c r="H1012" i="3" a="1"/>
  <c r="H1012" i="3"/>
  <c r="I1012" i="3" a="1"/>
  <c r="I1012" i="3" s="1"/>
  <c r="B1013" i="3" a="1"/>
  <c r="B1013" i="3" s="1"/>
  <c r="C1013" i="3" a="1"/>
  <c r="C1013" i="3" s="1"/>
  <c r="D1013" i="3" a="1"/>
  <c r="D1013" i="3" s="1"/>
  <c r="E1013" i="3" a="1"/>
  <c r="E1013" i="3"/>
  <c r="F1013" i="3" a="1"/>
  <c r="F1013" i="3" s="1"/>
  <c r="G1013" i="3" a="1"/>
  <c r="G1013" i="3" s="1"/>
  <c r="H1013" i="3" a="1"/>
  <c r="H1013" i="3" s="1"/>
  <c r="I1013" i="3" a="1"/>
  <c r="I1013" i="3" s="1"/>
  <c r="B1014" i="3" a="1"/>
  <c r="B1014" i="3" s="1"/>
  <c r="C1014" i="3" a="1"/>
  <c r="C1014" i="3"/>
  <c r="D1014" i="3" a="1"/>
  <c r="D1014" i="3"/>
  <c r="E1014" i="3" a="1"/>
  <c r="E1014" i="3" s="1"/>
  <c r="F1014" i="3" a="1"/>
  <c r="F1014" i="3" s="1"/>
  <c r="G1014" i="3" a="1"/>
  <c r="G1014" i="3" s="1"/>
  <c r="H1014" i="3" a="1"/>
  <c r="H1014" i="3" s="1"/>
  <c r="I1014" i="3" a="1"/>
  <c r="I1014" i="3"/>
  <c r="B1015" i="3" a="1"/>
  <c r="B1015" i="3" s="1"/>
  <c r="C1015" i="3" a="1"/>
  <c r="C1015" i="3" s="1"/>
  <c r="D1015" i="3" a="1"/>
  <c r="D1015" i="3" s="1"/>
  <c r="E1015" i="3" a="1"/>
  <c r="E1015" i="3" s="1"/>
  <c r="F1015" i="3" a="1"/>
  <c r="F1015" i="3" s="1"/>
  <c r="G1015" i="3" a="1"/>
  <c r="G1015" i="3"/>
  <c r="H1015" i="3" a="1"/>
  <c r="H1015" i="3"/>
  <c r="I1015" i="3" a="1"/>
  <c r="I1015" i="3" s="1"/>
  <c r="B1016" i="3" a="1"/>
  <c r="B1016" i="3" s="1"/>
  <c r="C1016" i="3" a="1"/>
  <c r="C1016" i="3" s="1"/>
  <c r="D1016" i="3" a="1"/>
  <c r="D1016" i="3" s="1"/>
  <c r="E1016" i="3" a="1"/>
  <c r="E1016" i="3"/>
  <c r="F1016" i="3" a="1"/>
  <c r="F1016" i="3" s="1"/>
  <c r="G1016" i="3" a="1"/>
  <c r="G1016" i="3" s="1"/>
  <c r="H1016" i="3" a="1"/>
  <c r="H1016" i="3" s="1"/>
  <c r="I1016" i="3" a="1"/>
  <c r="I1016" i="3" s="1"/>
  <c r="B1017" i="3" a="1"/>
  <c r="B1017" i="3" s="1"/>
  <c r="C1017" i="3" a="1"/>
  <c r="C1017" i="3"/>
  <c r="D1017" i="3" a="1"/>
  <c r="D1017" i="3"/>
  <c r="E1017" i="3" a="1"/>
  <c r="E1017" i="3" s="1"/>
  <c r="F1017" i="3" a="1"/>
  <c r="F1017" i="3" s="1"/>
  <c r="G1017" i="3" a="1"/>
  <c r="G1017" i="3" s="1"/>
  <c r="H1017" i="3" a="1"/>
  <c r="H1017" i="3" s="1"/>
  <c r="I1017" i="3" a="1"/>
  <c r="I1017" i="3"/>
  <c r="B1018" i="3" a="1"/>
  <c r="B1018" i="3" s="1"/>
  <c r="C1018" i="3" a="1"/>
  <c r="C1018" i="3" s="1"/>
  <c r="D1018" i="3" a="1"/>
  <c r="D1018" i="3" s="1"/>
  <c r="E1018" i="3" a="1"/>
  <c r="E1018" i="3" s="1"/>
  <c r="F1018" i="3" a="1"/>
  <c r="F1018" i="3" s="1"/>
  <c r="G1018" i="3" a="1"/>
  <c r="G1018" i="3"/>
  <c r="H1018" i="3" a="1"/>
  <c r="H1018" i="3"/>
  <c r="I1018" i="3" a="1"/>
  <c r="I1018" i="3" s="1"/>
  <c r="B1019" i="3" a="1"/>
  <c r="B1019" i="3" s="1"/>
  <c r="C1019" i="3" a="1"/>
  <c r="C1019" i="3" s="1"/>
  <c r="D1019" i="3" a="1"/>
  <c r="D1019" i="3" s="1"/>
  <c r="E1019" i="3" a="1"/>
  <c r="E1019" i="3"/>
  <c r="F1019" i="3" a="1"/>
  <c r="F1019" i="3" s="1"/>
  <c r="G1019" i="3" a="1"/>
  <c r="G1019" i="3" s="1"/>
  <c r="H1019" i="3" a="1"/>
  <c r="H1019" i="3" s="1"/>
  <c r="I1019" i="3" a="1"/>
  <c r="I1019" i="3" s="1"/>
  <c r="B1020" i="3" a="1"/>
  <c r="B1020" i="3" s="1"/>
  <c r="C1020" i="3" a="1"/>
  <c r="C1020" i="3"/>
  <c r="D1020" i="3" a="1"/>
  <c r="D1020" i="3"/>
  <c r="E1020" i="3" a="1"/>
  <c r="E1020" i="3" s="1"/>
  <c r="F1020" i="3" a="1"/>
  <c r="F1020" i="3" s="1"/>
  <c r="G1020" i="3" a="1"/>
  <c r="G1020" i="3" s="1"/>
  <c r="H1020" i="3" a="1"/>
  <c r="H1020" i="3" s="1"/>
  <c r="I1020" i="3" a="1"/>
  <c r="I1020" i="3"/>
  <c r="B1021" i="3" a="1"/>
  <c r="B1021" i="3" s="1"/>
  <c r="C1021" i="3" a="1"/>
  <c r="C1021" i="3" s="1"/>
  <c r="D1021" i="3" a="1"/>
  <c r="D1021" i="3" s="1"/>
  <c r="E1021" i="3" a="1"/>
  <c r="E1021" i="3" s="1"/>
  <c r="F1021" i="3" a="1"/>
  <c r="F1021" i="3" s="1"/>
  <c r="G1021" i="3" a="1"/>
  <c r="G1021" i="3"/>
  <c r="H1021" i="3" a="1"/>
  <c r="H1021" i="3"/>
  <c r="I1021" i="3" a="1"/>
  <c r="I1021" i="3" s="1"/>
  <c r="B1022" i="3" a="1"/>
  <c r="B1022" i="3" s="1"/>
  <c r="C1022" i="3" a="1"/>
  <c r="C1022" i="3" s="1"/>
  <c r="D1022" i="3" a="1"/>
  <c r="D1022" i="3" s="1"/>
  <c r="E1022" i="3" a="1"/>
  <c r="E1022" i="3"/>
  <c r="F1022" i="3" a="1"/>
  <c r="F1022" i="3" s="1"/>
  <c r="G1022" i="3" a="1"/>
  <c r="G1022" i="3" s="1"/>
  <c r="H1022" i="3" a="1"/>
  <c r="H1022" i="3" s="1"/>
  <c r="I1022" i="3" a="1"/>
  <c r="I1022" i="3" s="1"/>
  <c r="B1023" i="3" a="1"/>
  <c r="B1023" i="3" s="1"/>
  <c r="C1023" i="3" a="1"/>
  <c r="C1023" i="3"/>
  <c r="D1023" i="3" a="1"/>
  <c r="D1023" i="3"/>
  <c r="E1023" i="3" a="1"/>
  <c r="E1023" i="3" s="1"/>
  <c r="F1023" i="3" a="1"/>
  <c r="F1023" i="3" s="1"/>
  <c r="G1023" i="3" a="1"/>
  <c r="G1023" i="3" s="1"/>
  <c r="H1023" i="3" a="1"/>
  <c r="H1023" i="3" s="1"/>
  <c r="I1023" i="3" a="1"/>
  <c r="I1023" i="3"/>
  <c r="B1024" i="3" a="1"/>
  <c r="B1024" i="3" s="1"/>
  <c r="C1024" i="3" a="1"/>
  <c r="C1024" i="3" s="1"/>
  <c r="D1024" i="3" a="1"/>
  <c r="D1024" i="3" s="1"/>
  <c r="E1024" i="3" a="1"/>
  <c r="E1024" i="3" s="1"/>
  <c r="F1024" i="3" a="1"/>
  <c r="F1024" i="3" s="1"/>
  <c r="G1024" i="3" a="1"/>
  <c r="G1024" i="3"/>
  <c r="H1024" i="3" a="1"/>
  <c r="H1024" i="3"/>
  <c r="I1024" i="3" a="1"/>
  <c r="I1024" i="3" s="1"/>
  <c r="B1025" i="3" a="1"/>
  <c r="B1025" i="3" s="1"/>
  <c r="C1025" i="3" a="1"/>
  <c r="C1025" i="3" s="1"/>
  <c r="D1025" i="3" a="1"/>
  <c r="D1025" i="3" s="1"/>
  <c r="E1025" i="3" a="1"/>
  <c r="E1025" i="3"/>
  <c r="F1025" i="3" a="1"/>
  <c r="F1025" i="3" s="1"/>
  <c r="G1025" i="3" a="1"/>
  <c r="G1025" i="3" s="1"/>
  <c r="H1025" i="3" a="1"/>
  <c r="H1025" i="3" s="1"/>
  <c r="I1025" i="3" a="1"/>
  <c r="I1025" i="3" s="1"/>
  <c r="B1026" i="3" a="1"/>
  <c r="B1026" i="3" s="1"/>
  <c r="C1026" i="3" a="1"/>
  <c r="C1026" i="3"/>
  <c r="D1026" i="3" a="1"/>
  <c r="D1026" i="3"/>
  <c r="E1026" i="3" a="1"/>
  <c r="E1026" i="3" s="1"/>
  <c r="F1026" i="3" a="1"/>
  <c r="F1026" i="3" s="1"/>
  <c r="G1026" i="3" a="1"/>
  <c r="G1026" i="3" s="1"/>
  <c r="H1026" i="3" a="1"/>
  <c r="H1026" i="3" s="1"/>
  <c r="I1026" i="3" a="1"/>
  <c r="I1026" i="3"/>
  <c r="B1027" i="3" a="1"/>
  <c r="B1027" i="3" s="1"/>
  <c r="C1027" i="3" a="1"/>
  <c r="C1027" i="3" s="1"/>
  <c r="D1027" i="3" a="1"/>
  <c r="D1027" i="3" s="1"/>
  <c r="E1027" i="3" a="1"/>
  <c r="E1027" i="3" s="1"/>
  <c r="F1027" i="3" a="1"/>
  <c r="F1027" i="3" s="1"/>
  <c r="G1027" i="3" a="1"/>
  <c r="G1027" i="3"/>
  <c r="H1027" i="3" a="1"/>
  <c r="H1027" i="3"/>
  <c r="I1027" i="3" a="1"/>
  <c r="I1027" i="3" s="1"/>
  <c r="B1028" i="3" a="1"/>
  <c r="B1028" i="3" s="1"/>
  <c r="C1028" i="3" a="1"/>
  <c r="C1028" i="3" s="1"/>
  <c r="D1028" i="3" a="1"/>
  <c r="D1028" i="3" s="1"/>
  <c r="E1028" i="3" a="1"/>
  <c r="E1028" i="3"/>
  <c r="F1028" i="3" a="1"/>
  <c r="F1028" i="3" s="1"/>
  <c r="G1028" i="3" a="1"/>
  <c r="G1028" i="3" s="1"/>
  <c r="H1028" i="3" a="1"/>
  <c r="H1028" i="3" s="1"/>
  <c r="I1028" i="3" a="1"/>
  <c r="I1028" i="3" s="1"/>
  <c r="B1029" i="3" a="1"/>
  <c r="B1029" i="3" s="1"/>
  <c r="C1029" i="3" a="1"/>
  <c r="C1029" i="3"/>
  <c r="D1029" i="3" a="1"/>
  <c r="D1029" i="3"/>
  <c r="E1029" i="3" a="1"/>
  <c r="E1029" i="3" s="1"/>
  <c r="F1029" i="3" a="1"/>
  <c r="F1029" i="3" s="1"/>
  <c r="G1029" i="3" a="1"/>
  <c r="G1029" i="3" s="1"/>
  <c r="H1029" i="3" a="1"/>
  <c r="H1029" i="3" s="1"/>
  <c r="I1029" i="3" a="1"/>
  <c r="I1029" i="3"/>
  <c r="B1030" i="3" a="1"/>
  <c r="B1030" i="3" s="1"/>
  <c r="C1030" i="3" a="1"/>
  <c r="C1030" i="3" s="1"/>
  <c r="D1030" i="3" a="1"/>
  <c r="D1030" i="3" s="1"/>
  <c r="E1030" i="3" a="1"/>
  <c r="E1030" i="3" s="1"/>
  <c r="F1030" i="3" a="1"/>
  <c r="F1030" i="3" s="1"/>
  <c r="G1030" i="3" a="1"/>
  <c r="G1030" i="3"/>
  <c r="H1030" i="3" a="1"/>
  <c r="H1030" i="3"/>
  <c r="I1030" i="3" a="1"/>
  <c r="I1030" i="3" s="1"/>
  <c r="B1031" i="3" a="1"/>
  <c r="B1031" i="3" s="1"/>
  <c r="C1031" i="3" a="1"/>
  <c r="C1031" i="3" s="1"/>
  <c r="D1031" i="3" a="1"/>
  <c r="D1031" i="3" s="1"/>
  <c r="E1031" i="3" a="1"/>
  <c r="E1031" i="3"/>
  <c r="F1031" i="3" a="1"/>
  <c r="F1031" i="3" s="1"/>
  <c r="G1031" i="3" a="1"/>
  <c r="G1031" i="3" s="1"/>
  <c r="H1031" i="3" a="1"/>
  <c r="H1031" i="3" s="1"/>
  <c r="I1031" i="3" a="1"/>
  <c r="I1031" i="3" s="1"/>
  <c r="B1032" i="3" a="1"/>
  <c r="B1032" i="3" s="1"/>
  <c r="C1032" i="3" a="1"/>
  <c r="C1032" i="3"/>
  <c r="D1032" i="3" a="1"/>
  <c r="D1032" i="3"/>
  <c r="E1032" i="3" a="1"/>
  <c r="E1032" i="3" s="1"/>
  <c r="F1032" i="3" a="1"/>
  <c r="F1032" i="3" s="1"/>
  <c r="G1032" i="3" a="1"/>
  <c r="G1032" i="3" s="1"/>
  <c r="H1032" i="3" a="1"/>
  <c r="H1032" i="3" s="1"/>
  <c r="I1032" i="3" a="1"/>
  <c r="I1032" i="3"/>
  <c r="B1033" i="3" a="1"/>
  <c r="B1033" i="3" s="1"/>
  <c r="C1033" i="3" a="1"/>
  <c r="C1033" i="3" s="1"/>
  <c r="D1033" i="3" a="1"/>
  <c r="D1033" i="3" s="1"/>
  <c r="E1033" i="3" a="1"/>
  <c r="E1033" i="3" s="1"/>
  <c r="F1033" i="3" a="1"/>
  <c r="F1033" i="3" s="1"/>
  <c r="G1033" i="3" a="1"/>
  <c r="G1033" i="3"/>
  <c r="H1033" i="3" a="1"/>
  <c r="H1033" i="3"/>
  <c r="I1033" i="3" a="1"/>
  <c r="I1033" i="3" s="1"/>
  <c r="B1034" i="3" a="1"/>
  <c r="B1034" i="3" s="1"/>
  <c r="C1034" i="3" a="1"/>
  <c r="C1034" i="3" s="1"/>
  <c r="D1034" i="3" a="1"/>
  <c r="D1034" i="3" s="1"/>
  <c r="E1034" i="3" a="1"/>
  <c r="E1034" i="3"/>
  <c r="F1034" i="3" a="1"/>
  <c r="F1034" i="3" s="1"/>
  <c r="G1034" i="3" a="1"/>
  <c r="G1034" i="3" s="1"/>
  <c r="H1034" i="3" a="1"/>
  <c r="H1034" i="3" s="1"/>
  <c r="I1034" i="3" a="1"/>
  <c r="I1034" i="3" s="1"/>
  <c r="B1035" i="3" a="1"/>
  <c r="B1035" i="3" s="1"/>
  <c r="C1035" i="3" a="1"/>
  <c r="C1035" i="3"/>
  <c r="D1035" i="3" a="1"/>
  <c r="D1035" i="3"/>
  <c r="E1035" i="3" a="1"/>
  <c r="E1035" i="3" s="1"/>
  <c r="F1035" i="3" a="1"/>
  <c r="F1035" i="3" s="1"/>
  <c r="G1035" i="3" a="1"/>
  <c r="G1035" i="3" s="1"/>
  <c r="H1035" i="3" a="1"/>
  <c r="H1035" i="3" s="1"/>
  <c r="I1035" i="3" a="1"/>
  <c r="I1035" i="3"/>
  <c r="B1036" i="3" a="1"/>
  <c r="B1036" i="3" s="1"/>
  <c r="C1036" i="3" a="1"/>
  <c r="C1036" i="3" s="1"/>
  <c r="D1036" i="3" a="1"/>
  <c r="D1036" i="3" s="1"/>
  <c r="E1036" i="3" a="1"/>
  <c r="E1036" i="3" s="1"/>
  <c r="F1036" i="3" a="1"/>
  <c r="F1036" i="3" s="1"/>
  <c r="G1036" i="3" a="1"/>
  <c r="G1036" i="3"/>
  <c r="H1036" i="3" a="1"/>
  <c r="H1036" i="3"/>
  <c r="I1036" i="3" a="1"/>
  <c r="I1036" i="3" s="1"/>
  <c r="B1037" i="3" a="1"/>
  <c r="B1037" i="3" s="1"/>
  <c r="C1037" i="3" a="1"/>
  <c r="C1037" i="3" s="1"/>
  <c r="D1037" i="3" a="1"/>
  <c r="D1037" i="3" s="1"/>
  <c r="E1037" i="3" a="1"/>
  <c r="E1037" i="3"/>
  <c r="F1037" i="3" a="1"/>
  <c r="F1037" i="3" s="1"/>
  <c r="G1037" i="3" a="1"/>
  <c r="G1037" i="3" s="1"/>
  <c r="H1037" i="3" a="1"/>
  <c r="H1037" i="3" s="1"/>
  <c r="I1037" i="3" a="1"/>
  <c r="I1037" i="3" s="1"/>
  <c r="B1038" i="3" a="1"/>
  <c r="B1038" i="3" s="1"/>
  <c r="C1038" i="3" a="1"/>
  <c r="C1038" i="3"/>
  <c r="D1038" i="3" a="1"/>
  <c r="D1038" i="3"/>
  <c r="E1038" i="3" a="1"/>
  <c r="E1038" i="3" s="1"/>
  <c r="F1038" i="3" a="1"/>
  <c r="F1038" i="3" s="1"/>
  <c r="G1038" i="3" a="1"/>
  <c r="G1038" i="3" s="1"/>
  <c r="H1038" i="3" a="1"/>
  <c r="H1038" i="3" s="1"/>
  <c r="I1038" i="3" a="1"/>
  <c r="I1038" i="3"/>
  <c r="B1039" i="3" a="1"/>
  <c r="B1039" i="3" s="1"/>
  <c r="C1039" i="3" a="1"/>
  <c r="C1039" i="3" s="1"/>
  <c r="D1039" i="3" a="1"/>
  <c r="D1039" i="3" s="1"/>
  <c r="E1039" i="3" a="1"/>
  <c r="E1039" i="3" s="1"/>
  <c r="F1039" i="3" a="1"/>
  <c r="F1039" i="3" s="1"/>
  <c r="G1039" i="3" a="1"/>
  <c r="G1039" i="3"/>
  <c r="H1039" i="3" a="1"/>
  <c r="H1039" i="3"/>
  <c r="I1039" i="3" a="1"/>
  <c r="I1039" i="3" s="1"/>
  <c r="B1040" i="3" a="1"/>
  <c r="B1040" i="3" s="1"/>
  <c r="C1040" i="3" a="1"/>
  <c r="C1040" i="3" s="1"/>
  <c r="D1040" i="3" a="1"/>
  <c r="D1040" i="3" s="1"/>
  <c r="E1040" i="3" a="1"/>
  <c r="E1040" i="3"/>
  <c r="F1040" i="3" a="1"/>
  <c r="F1040" i="3" s="1"/>
  <c r="G1040" i="3" a="1"/>
  <c r="G1040" i="3" s="1"/>
  <c r="H1040" i="3" a="1"/>
  <c r="H1040" i="3" s="1"/>
  <c r="I1040" i="3" a="1"/>
  <c r="I1040" i="3" s="1"/>
  <c r="B1041" i="3" a="1"/>
  <c r="B1041" i="3" s="1"/>
  <c r="C1041" i="3" a="1"/>
  <c r="C1041" i="3"/>
  <c r="D1041" i="3" a="1"/>
  <c r="D1041" i="3"/>
  <c r="E1041" i="3" a="1"/>
  <c r="E1041" i="3" s="1"/>
  <c r="F1041" i="3" a="1"/>
  <c r="F1041" i="3" s="1"/>
  <c r="G1041" i="3" a="1"/>
  <c r="G1041" i="3" s="1"/>
  <c r="H1041" i="3" a="1"/>
  <c r="H1041" i="3" s="1"/>
  <c r="I1041" i="3" a="1"/>
  <c r="I1041" i="3"/>
  <c r="B1042" i="3" a="1"/>
  <c r="B1042" i="3" s="1"/>
  <c r="C1042" i="3" a="1"/>
  <c r="C1042" i="3" s="1"/>
  <c r="D1042" i="3" a="1"/>
  <c r="D1042" i="3" s="1"/>
  <c r="E1042" i="3" a="1"/>
  <c r="E1042" i="3" s="1"/>
  <c r="F1042" i="3" a="1"/>
  <c r="F1042" i="3" s="1"/>
  <c r="G1042" i="3" a="1"/>
  <c r="G1042" i="3"/>
  <c r="H1042" i="3" a="1"/>
  <c r="H1042" i="3"/>
  <c r="I1042" i="3" a="1"/>
  <c r="I1042" i="3" s="1"/>
  <c r="B1043" i="3" a="1"/>
  <c r="B1043" i="3" s="1"/>
  <c r="C1043" i="3" a="1"/>
  <c r="C1043" i="3" s="1"/>
  <c r="D1043" i="3" a="1"/>
  <c r="D1043" i="3" s="1"/>
  <c r="E1043" i="3" a="1"/>
  <c r="E1043" i="3"/>
  <c r="F1043" i="3" a="1"/>
  <c r="F1043" i="3" s="1"/>
  <c r="G1043" i="3" a="1"/>
  <c r="G1043" i="3" s="1"/>
  <c r="H1043" i="3" a="1"/>
  <c r="H1043" i="3" s="1"/>
  <c r="I1043" i="3" a="1"/>
  <c r="I1043" i="3" s="1"/>
  <c r="B1044" i="3" a="1"/>
  <c r="B1044" i="3" s="1"/>
  <c r="C1044" i="3" a="1"/>
  <c r="C1044" i="3"/>
  <c r="D1044" i="3" a="1"/>
  <c r="D1044" i="3"/>
  <c r="E1044" i="3" a="1"/>
  <c r="E1044" i="3" s="1"/>
  <c r="F1044" i="3" a="1"/>
  <c r="F1044" i="3" s="1"/>
  <c r="G1044" i="3" a="1"/>
  <c r="G1044" i="3" s="1"/>
  <c r="H1044" i="3" a="1"/>
  <c r="H1044" i="3" s="1"/>
  <c r="I1044" i="3" a="1"/>
  <c r="I1044" i="3"/>
  <c r="B1045" i="3" a="1"/>
  <c r="B1045" i="3" s="1"/>
  <c r="C1045" i="3" a="1"/>
  <c r="C1045" i="3" s="1"/>
  <c r="D1045" i="3" a="1"/>
  <c r="D1045" i="3" s="1"/>
  <c r="E1045" i="3" a="1"/>
  <c r="E1045" i="3" s="1"/>
  <c r="F1045" i="3" a="1"/>
  <c r="F1045" i="3" s="1"/>
  <c r="G1045" i="3" a="1"/>
  <c r="G1045" i="3"/>
  <c r="H1045" i="3" a="1"/>
  <c r="H1045" i="3"/>
  <c r="I1045" i="3" a="1"/>
  <c r="I1045" i="3" s="1"/>
  <c r="B1046" i="3" a="1"/>
  <c r="B1046" i="3" s="1"/>
  <c r="C1046" i="3" a="1"/>
  <c r="C1046" i="3" s="1"/>
  <c r="D1046" i="3" a="1"/>
  <c r="D1046" i="3" s="1"/>
  <c r="E1046" i="3" a="1"/>
  <c r="E1046" i="3"/>
  <c r="F1046" i="3" a="1"/>
  <c r="F1046" i="3" s="1"/>
  <c r="G1046" i="3" a="1"/>
  <c r="G1046" i="3" s="1"/>
  <c r="H1046" i="3" a="1"/>
  <c r="H1046" i="3" s="1"/>
  <c r="I1046" i="3" a="1"/>
  <c r="I1046" i="3" s="1"/>
  <c r="B1047" i="3" a="1"/>
  <c r="B1047" i="3" s="1"/>
  <c r="C1047" i="3" a="1"/>
  <c r="C1047" i="3"/>
  <c r="D1047" i="3" a="1"/>
  <c r="D1047" i="3"/>
  <c r="E1047" i="3" a="1"/>
  <c r="E1047" i="3" s="1"/>
  <c r="F1047" i="3" a="1"/>
  <c r="F1047" i="3" s="1"/>
  <c r="G1047" i="3" a="1"/>
  <c r="G1047" i="3" s="1"/>
  <c r="H1047" i="3" a="1"/>
  <c r="H1047" i="3" s="1"/>
  <c r="I1047" i="3" a="1"/>
  <c r="I1047" i="3"/>
  <c r="B1048" i="3" a="1"/>
  <c r="B1048" i="3" s="1"/>
  <c r="C1048" i="3" a="1"/>
  <c r="C1048" i="3" s="1"/>
  <c r="D1048" i="3" a="1"/>
  <c r="D1048" i="3" s="1"/>
  <c r="E1048" i="3" a="1"/>
  <c r="E1048" i="3" s="1"/>
  <c r="F1048" i="3" a="1"/>
  <c r="F1048" i="3" s="1"/>
  <c r="G1048" i="3" a="1"/>
  <c r="G1048" i="3"/>
  <c r="H1048" i="3" a="1"/>
  <c r="H1048" i="3"/>
  <c r="I1048" i="3" a="1"/>
  <c r="I1048" i="3" s="1"/>
  <c r="B1049" i="3" a="1"/>
  <c r="B1049" i="3" s="1"/>
  <c r="C1049" i="3" a="1"/>
  <c r="C1049" i="3" s="1"/>
  <c r="D1049" i="3" a="1"/>
  <c r="D1049" i="3" s="1"/>
  <c r="E1049" i="3" a="1"/>
  <c r="E1049" i="3"/>
  <c r="F1049" i="3" a="1"/>
  <c r="F1049" i="3" s="1"/>
  <c r="G1049" i="3" a="1"/>
  <c r="G1049" i="3" s="1"/>
  <c r="H1049" i="3" a="1"/>
  <c r="H1049" i="3" s="1"/>
  <c r="I1049" i="3" a="1"/>
  <c r="I1049" i="3" s="1"/>
  <c r="B1050" i="3" a="1"/>
  <c r="B1050" i="3" s="1"/>
  <c r="C1050" i="3" a="1"/>
  <c r="C1050" i="3"/>
  <c r="D1050" i="3" a="1"/>
  <c r="D1050" i="3"/>
  <c r="E1050" i="3" a="1"/>
  <c r="E1050" i="3" s="1"/>
  <c r="F1050" i="3" a="1"/>
  <c r="F1050" i="3" s="1"/>
  <c r="G1050" i="3" a="1"/>
  <c r="G1050" i="3" s="1"/>
  <c r="H1050" i="3" a="1"/>
  <c r="H1050" i="3" s="1"/>
  <c r="I1050" i="3" a="1"/>
  <c r="I1050" i="3"/>
  <c r="B1051" i="3" a="1"/>
  <c r="B1051" i="3" s="1"/>
  <c r="C1051" i="3" a="1"/>
  <c r="C1051" i="3" s="1"/>
  <c r="D1051" i="3" a="1"/>
  <c r="D1051" i="3" s="1"/>
  <c r="E1051" i="3" a="1"/>
  <c r="E1051" i="3" s="1"/>
  <c r="F1051" i="3" a="1"/>
  <c r="F1051" i="3" s="1"/>
  <c r="G1051" i="3" a="1"/>
  <c r="G1051" i="3"/>
  <c r="H1051" i="3" a="1"/>
  <c r="H1051" i="3"/>
  <c r="I1051" i="3" a="1"/>
  <c r="I1051" i="3" s="1"/>
  <c r="B1052" i="3" a="1"/>
  <c r="B1052" i="3" s="1"/>
  <c r="C1052" i="3" a="1"/>
  <c r="C1052" i="3" s="1"/>
  <c r="D1052" i="3" a="1"/>
  <c r="D1052" i="3" s="1"/>
  <c r="E1052" i="3" a="1"/>
  <c r="E1052" i="3"/>
  <c r="F1052" i="3" a="1"/>
  <c r="F1052" i="3" s="1"/>
  <c r="G1052" i="3" a="1"/>
  <c r="G1052" i="3" s="1"/>
  <c r="H1052" i="3" a="1"/>
  <c r="H1052" i="3" s="1"/>
  <c r="I1052" i="3" a="1"/>
  <c r="I1052" i="3" s="1"/>
  <c r="B1053" i="3" a="1"/>
  <c r="B1053" i="3" s="1"/>
  <c r="C1053" i="3" a="1"/>
  <c r="C1053" i="3"/>
  <c r="D1053" i="3" a="1"/>
  <c r="D1053" i="3"/>
  <c r="E1053" i="3" a="1"/>
  <c r="E1053" i="3" s="1"/>
  <c r="F1053" i="3" a="1"/>
  <c r="F1053" i="3" s="1"/>
  <c r="G1053" i="3" a="1"/>
  <c r="G1053" i="3" s="1"/>
  <c r="H1053" i="3" a="1"/>
  <c r="H1053" i="3" s="1"/>
  <c r="I1053" i="3" a="1"/>
  <c r="I1053" i="3"/>
  <c r="B1054" i="3" a="1"/>
  <c r="B1054" i="3" s="1"/>
  <c r="C1054" i="3" a="1"/>
  <c r="C1054" i="3" s="1"/>
  <c r="D1054" i="3" a="1"/>
  <c r="D1054" i="3" s="1"/>
  <c r="E1054" i="3" a="1"/>
  <c r="E1054" i="3" s="1"/>
  <c r="F1054" i="3" a="1"/>
  <c r="F1054" i="3" s="1"/>
  <c r="G1054" i="3" a="1"/>
  <c r="G1054" i="3"/>
  <c r="H1054" i="3" a="1"/>
  <c r="H1054" i="3"/>
  <c r="I1054" i="3" a="1"/>
  <c r="I1054" i="3" s="1"/>
  <c r="B1055" i="3" a="1"/>
  <c r="B1055" i="3" s="1"/>
  <c r="C1055" i="3" a="1"/>
  <c r="C1055" i="3" s="1"/>
  <c r="D1055" i="3" a="1"/>
  <c r="D1055" i="3" s="1"/>
  <c r="E1055" i="3" a="1"/>
  <c r="E1055" i="3"/>
  <c r="F1055" i="3" a="1"/>
  <c r="F1055" i="3" s="1"/>
  <c r="G1055" i="3" a="1"/>
  <c r="G1055" i="3" s="1"/>
  <c r="H1055" i="3" a="1"/>
  <c r="H1055" i="3" s="1"/>
  <c r="I1055" i="3" a="1"/>
  <c r="I1055" i="3" s="1"/>
  <c r="B1056" i="3" a="1"/>
  <c r="B1056" i="3" s="1"/>
  <c r="C1056" i="3" a="1"/>
  <c r="C1056" i="3"/>
  <c r="D1056" i="3" a="1"/>
  <c r="D1056" i="3"/>
  <c r="E1056" i="3" a="1"/>
  <c r="E1056" i="3" s="1"/>
  <c r="F1056" i="3" a="1"/>
  <c r="F1056" i="3" s="1"/>
  <c r="G1056" i="3" a="1"/>
  <c r="G1056" i="3" s="1"/>
  <c r="H1056" i="3" a="1"/>
  <c r="H1056" i="3" s="1"/>
  <c r="I1056" i="3" a="1"/>
  <c r="I1056" i="3"/>
  <c r="B1057" i="3" a="1"/>
  <c r="B1057" i="3" s="1"/>
  <c r="C1057" i="3" a="1"/>
  <c r="C1057" i="3" s="1"/>
  <c r="D1057" i="3" a="1"/>
  <c r="D1057" i="3" s="1"/>
  <c r="E1057" i="3" a="1"/>
  <c r="E1057" i="3" s="1"/>
  <c r="F1057" i="3" a="1"/>
  <c r="F1057" i="3" s="1"/>
  <c r="G1057" i="3" a="1"/>
  <c r="G1057" i="3"/>
  <c r="H1057" i="3" a="1"/>
  <c r="H1057" i="3"/>
  <c r="I1057" i="3" a="1"/>
  <c r="I1057" i="3" s="1"/>
  <c r="B1058" i="3" a="1"/>
  <c r="B1058" i="3" s="1"/>
  <c r="C1058" i="3" a="1"/>
  <c r="C1058" i="3" s="1"/>
  <c r="D1058" i="3" a="1"/>
  <c r="D1058" i="3" s="1"/>
  <c r="E1058" i="3" a="1"/>
  <c r="E1058" i="3"/>
  <c r="F1058" i="3" a="1"/>
  <c r="F1058" i="3" s="1"/>
  <c r="G1058" i="3" a="1"/>
  <c r="G1058" i="3" s="1"/>
  <c r="H1058" i="3" a="1"/>
  <c r="H1058" i="3" s="1"/>
  <c r="I1058" i="3" a="1"/>
  <c r="I1058" i="3" s="1"/>
  <c r="B1059" i="3" a="1"/>
  <c r="B1059" i="3" s="1"/>
  <c r="C1059" i="3" a="1"/>
  <c r="C1059" i="3"/>
  <c r="D1059" i="3" a="1"/>
  <c r="D1059" i="3"/>
  <c r="E1059" i="3" a="1"/>
  <c r="E1059" i="3" s="1"/>
  <c r="F1059" i="3" a="1"/>
  <c r="F1059" i="3" s="1"/>
  <c r="G1059" i="3" a="1"/>
  <c r="G1059" i="3" s="1"/>
  <c r="H1059" i="3" a="1"/>
  <c r="H1059" i="3" s="1"/>
  <c r="I1059" i="3" a="1"/>
  <c r="I1059" i="3"/>
  <c r="B1060" i="3" a="1"/>
  <c r="B1060" i="3" s="1"/>
  <c r="C1060" i="3" a="1"/>
  <c r="C1060" i="3" s="1"/>
  <c r="D1060" i="3" a="1"/>
  <c r="D1060" i="3" s="1"/>
  <c r="E1060" i="3" a="1"/>
  <c r="E1060" i="3" s="1"/>
  <c r="F1060" i="3" a="1"/>
  <c r="F1060" i="3" s="1"/>
  <c r="G1060" i="3" a="1"/>
  <c r="G1060" i="3"/>
  <c r="H1060" i="3" a="1"/>
  <c r="H1060" i="3"/>
  <c r="I1060" i="3" a="1"/>
  <c r="I1060" i="3" s="1"/>
  <c r="B1061" i="3" a="1"/>
  <c r="B1061" i="3" s="1"/>
  <c r="C1061" i="3" a="1"/>
  <c r="C1061" i="3" s="1"/>
  <c r="D1061" i="3" a="1"/>
  <c r="D1061" i="3" s="1"/>
  <c r="E1061" i="3" a="1"/>
  <c r="E1061" i="3"/>
  <c r="F1061" i="3" a="1"/>
  <c r="F1061" i="3" s="1"/>
  <c r="G1061" i="3" a="1"/>
  <c r="G1061" i="3" s="1"/>
  <c r="H1061" i="3" a="1"/>
  <c r="H1061" i="3" s="1"/>
  <c r="I1061" i="3" a="1"/>
  <c r="I1061" i="3" s="1"/>
  <c r="B1062" i="3" a="1"/>
  <c r="B1062" i="3" s="1"/>
  <c r="C1062" i="3" a="1"/>
  <c r="C1062" i="3"/>
  <c r="D1062" i="3" a="1"/>
  <c r="D1062" i="3"/>
  <c r="E1062" i="3" a="1"/>
  <c r="E1062" i="3" s="1"/>
  <c r="F1062" i="3" a="1"/>
  <c r="F1062" i="3" s="1"/>
  <c r="G1062" i="3" a="1"/>
  <c r="G1062" i="3" s="1"/>
  <c r="H1062" i="3" a="1"/>
  <c r="H1062" i="3" s="1"/>
  <c r="I1062" i="3" a="1"/>
  <c r="I1062" i="3"/>
  <c r="B1063" i="3" a="1"/>
  <c r="B1063" i="3" s="1"/>
  <c r="C1063" i="3" a="1"/>
  <c r="C1063" i="3" s="1"/>
  <c r="D1063" i="3" a="1"/>
  <c r="D1063" i="3" s="1"/>
  <c r="E1063" i="3" a="1"/>
  <c r="E1063" i="3" s="1"/>
  <c r="F1063" i="3" a="1"/>
  <c r="F1063" i="3" s="1"/>
  <c r="G1063" i="3" a="1"/>
  <c r="G1063" i="3"/>
  <c r="H1063" i="3" a="1"/>
  <c r="H1063" i="3"/>
  <c r="I1063" i="3" a="1"/>
  <c r="I1063" i="3" s="1"/>
  <c r="B1064" i="3" a="1"/>
  <c r="B1064" i="3" s="1"/>
  <c r="C1064" i="3" a="1"/>
  <c r="C1064" i="3" s="1"/>
  <c r="D1064" i="3" a="1"/>
  <c r="D1064" i="3" s="1"/>
  <c r="E1064" i="3" a="1"/>
  <c r="E1064" i="3"/>
  <c r="F1064" i="3" a="1"/>
  <c r="F1064" i="3" s="1"/>
  <c r="G1064" i="3" a="1"/>
  <c r="G1064" i="3" s="1"/>
  <c r="H1064" i="3" a="1"/>
  <c r="H1064" i="3" s="1"/>
  <c r="I1064" i="3" a="1"/>
  <c r="I1064" i="3" s="1"/>
  <c r="B1065" i="3" a="1"/>
  <c r="B1065" i="3" s="1"/>
  <c r="C1065" i="3" a="1"/>
  <c r="C1065" i="3"/>
  <c r="D1065" i="3" a="1"/>
  <c r="D1065" i="3"/>
  <c r="E1065" i="3" a="1"/>
  <c r="E1065" i="3" s="1"/>
  <c r="F1065" i="3" a="1"/>
  <c r="F1065" i="3" s="1"/>
  <c r="G1065" i="3" a="1"/>
  <c r="G1065" i="3" s="1"/>
  <c r="H1065" i="3" a="1"/>
  <c r="H1065" i="3" s="1"/>
  <c r="I1065" i="3" a="1"/>
  <c r="I1065" i="3"/>
  <c r="B1066" i="3" a="1"/>
  <c r="B1066" i="3" s="1"/>
  <c r="C1066" i="3" a="1"/>
  <c r="C1066" i="3" s="1"/>
  <c r="D1066" i="3" a="1"/>
  <c r="D1066" i="3" s="1"/>
  <c r="E1066" i="3" a="1"/>
  <c r="E1066" i="3" s="1"/>
  <c r="F1066" i="3" a="1"/>
  <c r="F1066" i="3" s="1"/>
  <c r="G1066" i="3" a="1"/>
  <c r="G1066" i="3"/>
  <c r="H1066" i="3" a="1"/>
  <c r="H1066" i="3"/>
  <c r="I1066" i="3" a="1"/>
  <c r="I1066" i="3" s="1"/>
  <c r="B1067" i="3" a="1"/>
  <c r="B1067" i="3" s="1"/>
  <c r="C1067" i="3" a="1"/>
  <c r="C1067" i="3" s="1"/>
  <c r="D1067" i="3" a="1"/>
  <c r="D1067" i="3" s="1"/>
  <c r="E1067" i="3" a="1"/>
  <c r="E1067" i="3"/>
  <c r="F1067" i="3" a="1"/>
  <c r="F1067" i="3" s="1"/>
  <c r="G1067" i="3" a="1"/>
  <c r="G1067" i="3" s="1"/>
  <c r="H1067" i="3" a="1"/>
  <c r="H1067" i="3" s="1"/>
  <c r="I1067" i="3" a="1"/>
  <c r="I1067" i="3" s="1"/>
  <c r="B1068" i="3" a="1"/>
  <c r="B1068" i="3" s="1"/>
  <c r="C1068" i="3" a="1"/>
  <c r="C1068" i="3"/>
  <c r="D1068" i="3" a="1"/>
  <c r="D1068" i="3"/>
  <c r="E1068" i="3" a="1"/>
  <c r="E1068" i="3" s="1"/>
  <c r="F1068" i="3" a="1"/>
  <c r="F1068" i="3" s="1"/>
  <c r="G1068" i="3" a="1"/>
  <c r="G1068" i="3" s="1"/>
  <c r="H1068" i="3" a="1"/>
  <c r="H1068" i="3" s="1"/>
  <c r="I1068" i="3" a="1"/>
  <c r="I1068" i="3"/>
  <c r="B1069" i="3" a="1"/>
  <c r="B1069" i="3" s="1"/>
  <c r="C1069" i="3" a="1"/>
  <c r="C1069" i="3" s="1"/>
  <c r="D1069" i="3" a="1"/>
  <c r="D1069" i="3" s="1"/>
  <c r="E1069" i="3" a="1"/>
  <c r="E1069" i="3" s="1"/>
  <c r="F1069" i="3" a="1"/>
  <c r="F1069" i="3" s="1"/>
  <c r="G1069" i="3" a="1"/>
  <c r="G1069" i="3"/>
  <c r="H1069" i="3" a="1"/>
  <c r="H1069" i="3"/>
  <c r="I1069" i="3" a="1"/>
  <c r="I1069" i="3" s="1"/>
  <c r="B1070" i="3" a="1"/>
  <c r="B1070" i="3" s="1"/>
  <c r="C1070" i="3" a="1"/>
  <c r="C1070" i="3" s="1"/>
  <c r="D1070" i="3" a="1"/>
  <c r="D1070" i="3" s="1"/>
  <c r="E1070" i="3" a="1"/>
  <c r="E1070" i="3"/>
  <c r="F1070" i="3" a="1"/>
  <c r="F1070" i="3" s="1"/>
  <c r="G1070" i="3" a="1"/>
  <c r="G1070" i="3" s="1"/>
  <c r="H1070" i="3" a="1"/>
  <c r="H1070" i="3" s="1"/>
  <c r="I1070" i="3" a="1"/>
  <c r="I1070" i="3" s="1"/>
  <c r="B1071" i="3" a="1"/>
  <c r="B1071" i="3" s="1"/>
  <c r="C1071" i="3" a="1"/>
  <c r="C1071" i="3"/>
  <c r="D1071" i="3" a="1"/>
  <c r="D1071" i="3"/>
  <c r="E1071" i="3" a="1"/>
  <c r="E1071" i="3" s="1"/>
  <c r="F1071" i="3" a="1"/>
  <c r="F1071" i="3" s="1"/>
  <c r="G1071" i="3" a="1"/>
  <c r="G1071" i="3" s="1"/>
  <c r="H1071" i="3" a="1"/>
  <c r="H1071" i="3"/>
  <c r="I1071" i="3" a="1"/>
  <c r="I1071" i="3" s="1"/>
  <c r="B1072" i="3" a="1"/>
  <c r="B1072" i="3"/>
  <c r="C1072" i="3" a="1"/>
  <c r="C1072" i="3"/>
  <c r="D1072" i="3" a="1"/>
  <c r="D1072" i="3" s="1"/>
  <c r="E1072" i="3" a="1"/>
  <c r="E1072" i="3"/>
  <c r="F1072" i="3" a="1"/>
  <c r="F1072" i="3"/>
  <c r="G1072" i="3" a="1"/>
  <c r="G1072" i="3" s="1"/>
  <c r="H1072" i="3" a="1"/>
  <c r="H1072" i="3"/>
  <c r="I1072" i="3" a="1"/>
  <c r="I1072" i="3"/>
  <c r="B1073" i="3" a="1"/>
  <c r="B1073" i="3" s="1"/>
  <c r="C1073" i="3" a="1"/>
  <c r="C1073" i="3"/>
  <c r="D1073" i="3" a="1"/>
  <c r="D1073" i="3"/>
  <c r="E1073" i="3" a="1"/>
  <c r="E1073" i="3" s="1"/>
  <c r="F1073" i="3" a="1"/>
  <c r="F1073" i="3"/>
  <c r="G1073" i="3" a="1"/>
  <c r="G1073" i="3" s="1"/>
  <c r="H1073" i="3" a="1"/>
  <c r="H1073" i="3" s="1"/>
  <c r="I1073" i="3" a="1"/>
  <c r="I1073" i="3"/>
  <c r="B1074" i="3" a="1"/>
  <c r="B1074" i="3"/>
  <c r="C1074" i="3" a="1"/>
  <c r="C1074" i="3" s="1"/>
  <c r="D1074" i="3" a="1"/>
  <c r="D1074" i="3"/>
  <c r="E1074" i="3" a="1"/>
  <c r="E1074" i="3" s="1"/>
  <c r="F1074" i="3" a="1"/>
  <c r="F1074" i="3" s="1"/>
  <c r="G1074" i="3" a="1"/>
  <c r="G1074" i="3"/>
  <c r="H1074" i="3" a="1"/>
  <c r="H1074" i="3"/>
  <c r="I1074" i="3" a="1"/>
  <c r="I1074" i="3" s="1"/>
  <c r="B1075" i="3" a="1"/>
  <c r="B1075" i="3"/>
  <c r="C1075" i="3" a="1"/>
  <c r="C1075" i="3" s="1"/>
  <c r="D1075" i="3" a="1"/>
  <c r="D1075" i="3" s="1"/>
  <c r="E1075" i="3" a="1"/>
  <c r="E1075" i="3"/>
  <c r="F1075" i="3" a="1"/>
  <c r="F1075" i="3"/>
  <c r="G1075" i="3" a="1"/>
  <c r="G1075" i="3" s="1"/>
  <c r="H1075" i="3" a="1"/>
  <c r="H1075" i="3"/>
  <c r="I1075" i="3" a="1"/>
  <c r="I1075" i="3" s="1"/>
  <c r="B1076" i="3" a="1"/>
  <c r="B1076" i="3" s="1"/>
  <c r="C1076" i="3" a="1"/>
  <c r="C1076" i="3"/>
  <c r="D1076" i="3" a="1"/>
  <c r="D1076" i="3"/>
  <c r="E1076" i="3" a="1"/>
  <c r="E1076" i="3" s="1"/>
  <c r="F1076" i="3" a="1"/>
  <c r="F1076" i="3"/>
  <c r="G1076" i="3" a="1"/>
  <c r="G1076" i="3" s="1"/>
  <c r="H1076" i="3" a="1"/>
  <c r="H1076" i="3" s="1"/>
  <c r="I1076" i="3" a="1"/>
  <c r="I1076" i="3"/>
  <c r="B1077" i="3" a="1"/>
  <c r="B1077" i="3"/>
  <c r="C1077" i="3" a="1"/>
  <c r="C1077" i="3" s="1"/>
  <c r="D1077" i="3" a="1"/>
  <c r="D1077" i="3"/>
  <c r="E1077" i="3" a="1"/>
  <c r="E1077" i="3" s="1"/>
  <c r="F1077" i="3" a="1"/>
  <c r="F1077" i="3" s="1"/>
  <c r="G1077" i="3" a="1"/>
  <c r="G1077" i="3"/>
  <c r="H1077" i="3" a="1"/>
  <c r="H1077" i="3"/>
  <c r="I1077" i="3" a="1"/>
  <c r="I1077" i="3" s="1"/>
  <c r="B1078" i="3" a="1"/>
  <c r="B1078" i="3"/>
  <c r="C1078" i="3" a="1"/>
  <c r="C1078" i="3" s="1"/>
  <c r="D1078" i="3" a="1"/>
  <c r="D1078" i="3" s="1"/>
  <c r="E1078" i="3" a="1"/>
  <c r="E1078" i="3"/>
  <c r="F1078" i="3" a="1"/>
  <c r="F1078" i="3" s="1"/>
  <c r="G1078" i="3" a="1"/>
  <c r="G1078" i="3" s="1"/>
  <c r="H1078" i="3" a="1"/>
  <c r="H1078" i="3"/>
  <c r="I1078" i="3" a="1"/>
  <c r="I1078" i="3" s="1"/>
  <c r="B1079" i="3" a="1"/>
  <c r="B1079" i="3" s="1"/>
  <c r="C1079" i="3" a="1"/>
  <c r="C1079" i="3"/>
  <c r="D1079" i="3" a="1"/>
  <c r="D1079" i="3" s="1"/>
  <c r="E1079" i="3" a="1"/>
  <c r="E1079" i="3" s="1"/>
  <c r="F1079" i="3" a="1"/>
  <c r="F1079" i="3"/>
  <c r="G1079" i="3" a="1"/>
  <c r="G1079" i="3" s="1"/>
  <c r="H1079" i="3" a="1"/>
  <c r="H1079" i="3" s="1"/>
  <c r="I1079" i="3" a="1"/>
  <c r="I1079" i="3"/>
  <c r="B1080" i="3" a="1"/>
  <c r="B1080" i="3" s="1"/>
  <c r="C1080" i="3" a="1"/>
  <c r="C1080" i="3" s="1"/>
  <c r="D1080" i="3" a="1"/>
  <c r="D1080" i="3" s="1"/>
  <c r="E1080" i="3" a="1"/>
  <c r="E1080" i="3" s="1"/>
  <c r="F1080" i="3" a="1"/>
  <c r="F1080" i="3" s="1"/>
  <c r="G1080" i="3" a="1"/>
  <c r="G1080" i="3" s="1"/>
  <c r="H1080" i="3" a="1"/>
  <c r="H1080" i="3" s="1"/>
  <c r="G539" i="5" s="1"/>
  <c r="I1080" i="3" a="1"/>
  <c r="I1080" i="3" s="1"/>
  <c r="B1081" i="3" a="1"/>
  <c r="B1081" i="3" s="1"/>
  <c r="C1081" i="3" a="1"/>
  <c r="C1081" i="3" s="1"/>
  <c r="D1081" i="3" a="1"/>
  <c r="D1081" i="3" s="1"/>
  <c r="E1081" i="3" a="1"/>
  <c r="E1081" i="3" s="1"/>
  <c r="F1081" i="3" a="1"/>
  <c r="F1081" i="3"/>
  <c r="G1081" i="3" a="1"/>
  <c r="G1081" i="3" s="1"/>
  <c r="H1081" i="3" a="1"/>
  <c r="H1081" i="3" s="1"/>
  <c r="I1081" i="3" a="1"/>
  <c r="I1081" i="3" s="1"/>
  <c r="B1082" i="3" a="1"/>
  <c r="B1082" i="3" s="1"/>
  <c r="C1082" i="3" a="1"/>
  <c r="C1082" i="3" s="1"/>
  <c r="D1082" i="3" a="1"/>
  <c r="D1082" i="3"/>
  <c r="E1082" i="3" a="1"/>
  <c r="E1082" i="3" s="1"/>
  <c r="F1082" i="3" a="1"/>
  <c r="F1082" i="3" s="1"/>
  <c r="G1082" i="3" a="1"/>
  <c r="G1082" i="3" s="1"/>
  <c r="H1082" i="3" a="1"/>
  <c r="H1082" i="3" s="1"/>
  <c r="I1082" i="3" a="1"/>
  <c r="I1082" i="3" s="1"/>
  <c r="B1083" i="3" a="1"/>
  <c r="B1083" i="3" s="1"/>
  <c r="C1083" i="3" a="1"/>
  <c r="C1083" i="3" s="1"/>
  <c r="D1083" i="3" a="1"/>
  <c r="D1083" i="3" s="1"/>
  <c r="E1083" i="3" a="1"/>
  <c r="E1083" i="3" s="1"/>
  <c r="F1083" i="3" a="1"/>
  <c r="F1083" i="3" s="1"/>
  <c r="G1083" i="3" a="1"/>
  <c r="G1083" i="3" s="1"/>
  <c r="H1083" i="3" a="1"/>
  <c r="H1083" i="3"/>
  <c r="I1083" i="3" a="1"/>
  <c r="I1083" i="3" s="1"/>
  <c r="B1084" i="3" a="1"/>
  <c r="B1084" i="3" s="1"/>
  <c r="C1084" i="3" a="1"/>
  <c r="C1084" i="3" s="1"/>
  <c r="D1084" i="3" a="1"/>
  <c r="D1084" i="3" s="1"/>
  <c r="E1084" i="3" a="1"/>
  <c r="E1084" i="3" s="1"/>
  <c r="F1084" i="3" a="1"/>
  <c r="F1084" i="3" s="1"/>
  <c r="G1084" i="3" a="1"/>
  <c r="G1084" i="3" s="1"/>
  <c r="H1084" i="3" a="1"/>
  <c r="H1084" i="3" s="1"/>
  <c r="I1084" i="3" a="1"/>
  <c r="I1084" i="3" s="1"/>
  <c r="B1085" i="3" a="1"/>
  <c r="B1085" i="3" s="1"/>
  <c r="C1085" i="3" a="1"/>
  <c r="C1085" i="3" s="1"/>
  <c r="D1085" i="3" a="1"/>
  <c r="D1085" i="3" s="1"/>
  <c r="E1085" i="3" a="1"/>
  <c r="E1085" i="3" s="1"/>
  <c r="F1085" i="3" a="1"/>
  <c r="F1085" i="3" s="1"/>
  <c r="G1085" i="3" a="1"/>
  <c r="G1085" i="3" s="1"/>
  <c r="H1085" i="3" a="1"/>
  <c r="H1085" i="3" s="1"/>
  <c r="I1085" i="3" a="1"/>
  <c r="I1085" i="3" s="1"/>
  <c r="B1086" i="3" a="1"/>
  <c r="B1086" i="3"/>
  <c r="C1086" i="3" a="1"/>
  <c r="C1086" i="3" s="1"/>
  <c r="D1086" i="3" a="1"/>
  <c r="D1086" i="3" s="1"/>
  <c r="E1086" i="3" a="1"/>
  <c r="E1086" i="3" s="1"/>
  <c r="F1086" i="3" a="1"/>
  <c r="F1086" i="3" s="1"/>
  <c r="G1086" i="3" a="1"/>
  <c r="G1086" i="3" s="1"/>
  <c r="H1086" i="3" a="1"/>
  <c r="H1086" i="3"/>
  <c r="G545" i="5" s="1"/>
  <c r="I1086" i="3" a="1"/>
  <c r="I1086" i="3" s="1"/>
  <c r="B1087" i="3" a="1"/>
  <c r="B1087" i="3" s="1"/>
  <c r="C1087" i="3" a="1"/>
  <c r="C1087" i="3" s="1"/>
  <c r="D1087" i="3" a="1"/>
  <c r="D1087" i="3" s="1"/>
  <c r="E1087" i="3" a="1"/>
  <c r="E1087" i="3" s="1"/>
  <c r="F1087" i="3" a="1"/>
  <c r="F1087" i="3" s="1"/>
  <c r="G1087" i="3" a="1"/>
  <c r="G1087" i="3" s="1"/>
  <c r="H1087" i="3" a="1"/>
  <c r="H1087" i="3" s="1"/>
  <c r="I1087" i="3" a="1"/>
  <c r="I1087" i="3" s="1"/>
  <c r="B1088" i="3" a="1"/>
  <c r="B1088" i="3" s="1"/>
  <c r="C1088" i="3" a="1"/>
  <c r="C1088" i="3" s="1"/>
  <c r="D1088" i="3" a="1"/>
  <c r="D1088" i="3" s="1"/>
  <c r="E1088" i="3" a="1"/>
  <c r="E1088" i="3" s="1"/>
  <c r="F1088" i="3" a="1"/>
  <c r="F1088" i="3" s="1"/>
  <c r="G1088" i="3" a="1"/>
  <c r="G1088" i="3" s="1"/>
  <c r="H1088" i="3" a="1"/>
  <c r="H1088" i="3" s="1"/>
  <c r="I1088" i="3" a="1"/>
  <c r="I1088" i="3" s="1"/>
  <c r="B1089" i="3" a="1"/>
  <c r="B1089" i="3" s="1"/>
  <c r="C1089" i="3" a="1"/>
  <c r="C1089" i="3" s="1"/>
  <c r="D1089" i="3" a="1"/>
  <c r="D1089" i="3" s="1"/>
  <c r="E1089" i="3" a="1"/>
  <c r="E1089" i="3" s="1"/>
  <c r="F1089" i="3" a="1"/>
  <c r="F1089" i="3" s="1"/>
  <c r="G1089" i="3" a="1"/>
  <c r="G1089" i="3" s="1"/>
  <c r="H1089" i="3" a="1"/>
  <c r="H1089" i="3" s="1"/>
  <c r="G548" i="5" s="1"/>
  <c r="I1089" i="3" a="1"/>
  <c r="I1089" i="3" s="1"/>
  <c r="B1090" i="3" a="1"/>
  <c r="B1090" i="3" s="1"/>
  <c r="C1090" i="3" a="1"/>
  <c r="C1090" i="3" s="1"/>
  <c r="D1090" i="3" a="1"/>
  <c r="D1090" i="3" s="1"/>
  <c r="E1090" i="3" a="1"/>
  <c r="E1090" i="3" s="1"/>
  <c r="F1090" i="3" a="1"/>
  <c r="F1090" i="3"/>
  <c r="G1090" i="3" a="1"/>
  <c r="G1090" i="3" s="1"/>
  <c r="H1090" i="3" a="1"/>
  <c r="H1090" i="3" s="1"/>
  <c r="I1090" i="3" a="1"/>
  <c r="I1090" i="3" s="1"/>
  <c r="B1091" i="3" a="1"/>
  <c r="B1091" i="3" s="1"/>
  <c r="C1091" i="3" a="1"/>
  <c r="C1091" i="3" s="1"/>
  <c r="D1091" i="3" a="1"/>
  <c r="D1091" i="3"/>
  <c r="E1091" i="3" a="1"/>
  <c r="E1091" i="3" s="1"/>
  <c r="F1091" i="3" a="1"/>
  <c r="F1091" i="3" s="1"/>
  <c r="G1091" i="3" a="1"/>
  <c r="G1091" i="3" s="1"/>
  <c r="H1091" i="3" a="1"/>
  <c r="H1091" i="3" s="1"/>
  <c r="I1091" i="3" a="1"/>
  <c r="I1091" i="3" s="1"/>
  <c r="B1092" i="3" a="1"/>
  <c r="B1092" i="3" s="1"/>
  <c r="C1092" i="3" a="1"/>
  <c r="C1092" i="3" s="1"/>
  <c r="D1092" i="3" a="1"/>
  <c r="D1092" i="3" s="1"/>
  <c r="E1092" i="3" a="1"/>
  <c r="E1092" i="3" s="1"/>
  <c r="F1092" i="3" a="1"/>
  <c r="F1092" i="3" s="1"/>
  <c r="G1092" i="3" a="1"/>
  <c r="G1092" i="3" s="1"/>
  <c r="H1092" i="3" a="1"/>
  <c r="H1092" i="3" s="1"/>
  <c r="G551" i="5" s="1"/>
  <c r="I1092" i="3" a="1"/>
  <c r="I1092" i="3" s="1"/>
  <c r="B1093" i="3" a="1"/>
  <c r="B1093" i="3" s="1"/>
  <c r="C1093" i="3" a="1"/>
  <c r="C1093" i="3" s="1"/>
  <c r="D1093" i="3" a="1"/>
  <c r="D1093" i="3" s="1"/>
  <c r="E1093" i="3" a="1"/>
  <c r="E1093" i="3" s="1"/>
  <c r="F1093" i="3" a="1"/>
  <c r="F1093" i="3"/>
  <c r="G1093" i="3" a="1"/>
  <c r="G1093" i="3" s="1"/>
  <c r="H1093" i="3" a="1"/>
  <c r="H1093" i="3" s="1"/>
  <c r="I1093" i="3" a="1"/>
  <c r="I1093" i="3" s="1"/>
  <c r="B1094" i="3" a="1"/>
  <c r="B1094" i="3" s="1"/>
  <c r="C1094" i="3" a="1"/>
  <c r="C1094" i="3"/>
  <c r="D1094" i="3" a="1"/>
  <c r="D1094" i="3" s="1"/>
  <c r="E1094" i="3" a="1"/>
  <c r="E1094" i="3" s="1"/>
  <c r="F1094" i="3" a="1"/>
  <c r="F1094" i="3" s="1"/>
  <c r="G1094" i="3" a="1"/>
  <c r="G1094" i="3" s="1"/>
  <c r="H1094" i="3" a="1"/>
  <c r="H1094" i="3" s="1"/>
  <c r="I1094" i="3" a="1"/>
  <c r="I1094" i="3" s="1"/>
  <c r="G553" i="5" s="1"/>
  <c r="B1095" i="3" a="1"/>
  <c r="B1095" i="3" s="1"/>
  <c r="C1095" i="3" a="1"/>
  <c r="C1095" i="3" s="1"/>
  <c r="D1095" i="3" a="1"/>
  <c r="D1095" i="3" s="1"/>
  <c r="E1095" i="3" a="1"/>
  <c r="E1095" i="3" s="1"/>
  <c r="F1095" i="3" a="1"/>
  <c r="F1095" i="3" s="1"/>
  <c r="G1095" i="3" a="1"/>
  <c r="G1095" i="3" s="1"/>
  <c r="H1095" i="3" a="1"/>
  <c r="H1095" i="3" s="1"/>
  <c r="G554" i="5" s="1"/>
  <c r="I1095" i="3" a="1"/>
  <c r="I1095" i="3" s="1"/>
  <c r="B1096" i="3" a="1"/>
  <c r="B1096" i="3" s="1"/>
  <c r="C1096" i="3" a="1"/>
  <c r="C1096" i="3" s="1"/>
  <c r="D1096" i="3" a="1"/>
  <c r="D1096" i="3" s="1"/>
  <c r="E1096" i="3" a="1"/>
  <c r="E1096" i="3"/>
  <c r="F1096" i="3" a="1"/>
  <c r="F1096" i="3" s="1"/>
  <c r="G1096" i="3" a="1"/>
  <c r="G1096" i="3" s="1"/>
  <c r="H1096" i="3" a="1"/>
  <c r="H1096" i="3" s="1"/>
  <c r="I1096" i="3" a="1"/>
  <c r="I1096" i="3" s="1"/>
  <c r="B1097" i="3" a="1"/>
  <c r="B1097" i="3" s="1"/>
  <c r="C1097" i="3" a="1"/>
  <c r="C1097" i="3" s="1"/>
  <c r="D1097" i="3" a="1"/>
  <c r="D1097" i="3" s="1"/>
  <c r="E1097" i="3" a="1"/>
  <c r="E1097" i="3" s="1"/>
  <c r="F1097" i="3" a="1"/>
  <c r="F1097" i="3" s="1"/>
  <c r="G1097" i="3" a="1"/>
  <c r="G1097" i="3" s="1"/>
  <c r="H1097" i="3" a="1"/>
  <c r="H1097" i="3" s="1"/>
  <c r="I1097" i="3" a="1"/>
  <c r="I1097" i="3" s="1"/>
  <c r="B1098" i="3" a="1"/>
  <c r="B1098" i="3" s="1"/>
  <c r="C1098" i="3" a="1"/>
  <c r="C1098" i="3" s="1"/>
  <c r="D1098" i="3" a="1"/>
  <c r="D1098" i="3" s="1"/>
  <c r="E1098" i="3" a="1"/>
  <c r="E1098" i="3" s="1"/>
  <c r="F1098" i="3" a="1"/>
  <c r="F1098" i="3" s="1"/>
  <c r="G1098" i="3" a="1"/>
  <c r="G1098" i="3"/>
  <c r="H1098" i="3" a="1"/>
  <c r="H1098" i="3" s="1"/>
  <c r="G557" i="5" s="1"/>
  <c r="I1098" i="3" a="1"/>
  <c r="I1098" i="3" s="1"/>
  <c r="B1099" i="3" a="1"/>
  <c r="B1099" i="3" s="1"/>
  <c r="C1099" i="3" a="1"/>
  <c r="C1099" i="3" s="1"/>
  <c r="D1099" i="3" a="1"/>
  <c r="D1099" i="3" s="1"/>
  <c r="E1099" i="3" a="1"/>
  <c r="E1099" i="3" s="1"/>
  <c r="F1099" i="3" a="1"/>
  <c r="F1099" i="3" s="1"/>
  <c r="G1099" i="3" a="1"/>
  <c r="G1099" i="3" s="1"/>
  <c r="H1099" i="3" a="1"/>
  <c r="H1099" i="3" s="1"/>
  <c r="I1099" i="3" a="1"/>
  <c r="I1099" i="3" s="1"/>
  <c r="B1100" i="3" a="1"/>
  <c r="B1100" i="3" s="1"/>
  <c r="C1100" i="3" a="1"/>
  <c r="C1100" i="3" s="1"/>
  <c r="D1100" i="3" a="1"/>
  <c r="D1100" i="3" s="1"/>
  <c r="E1100" i="3" a="1"/>
  <c r="E1100" i="3" s="1"/>
  <c r="F1100" i="3" a="1"/>
  <c r="F1100" i="3" s="1"/>
  <c r="G1100" i="3" a="1"/>
  <c r="G1100" i="3" s="1"/>
  <c r="H1100" i="3" a="1"/>
  <c r="H1100" i="3" s="1"/>
  <c r="I1100" i="3" a="1"/>
  <c r="I1100" i="3"/>
  <c r="B1101" i="3" a="1"/>
  <c r="B1101" i="3" s="1"/>
  <c r="C1101" i="3" a="1"/>
  <c r="C1101" i="3" s="1"/>
  <c r="D1101" i="3" a="1"/>
  <c r="D1101" i="3" s="1"/>
  <c r="E1101" i="3" a="1"/>
  <c r="E1101" i="3" s="1"/>
  <c r="F1101" i="3" a="1"/>
  <c r="F1101" i="3" s="1"/>
  <c r="G1101" i="3" a="1"/>
  <c r="G1101" i="3" s="1"/>
  <c r="H1101" i="3" a="1"/>
  <c r="H1101" i="3" s="1"/>
  <c r="G560" i="5" s="1"/>
  <c r="I1101" i="3" a="1"/>
  <c r="I1101" i="3" s="1"/>
  <c r="B1102" i="3" a="1"/>
  <c r="B1102" i="3" s="1"/>
  <c r="C1102" i="3" a="1"/>
  <c r="C1102" i="3" s="1"/>
  <c r="D1102" i="3" a="1"/>
  <c r="D1102" i="3" s="1"/>
  <c r="E1102" i="3" a="1"/>
  <c r="E1102" i="3" s="1"/>
  <c r="F1102" i="3" a="1"/>
  <c r="F1102" i="3" s="1"/>
  <c r="G1102" i="3" a="1"/>
  <c r="G1102" i="3" s="1"/>
  <c r="H1102" i="3" a="1"/>
  <c r="H1102" i="3" s="1"/>
  <c r="I1102" i="3" a="1"/>
  <c r="I1102" i="3" s="1"/>
  <c r="B1103" i="3" a="1"/>
  <c r="B1103" i="3" s="1"/>
  <c r="C1103" i="3" a="1"/>
  <c r="C1103" i="3" s="1"/>
  <c r="D1103" i="3" a="1"/>
  <c r="D1103" i="3" s="1"/>
  <c r="E1103" i="3" a="1"/>
  <c r="E1103" i="3" s="1"/>
  <c r="F1103" i="3" a="1"/>
  <c r="F1103" i="3" s="1"/>
  <c r="G1103" i="3" a="1"/>
  <c r="G1103" i="3" s="1"/>
  <c r="H1103" i="3" a="1"/>
  <c r="H1103" i="3" s="1"/>
  <c r="I1103" i="3" a="1"/>
  <c r="I1103" i="3" s="1"/>
  <c r="G562" i="5" s="1"/>
  <c r="B1104" i="3" a="1"/>
  <c r="B1104" i="3" s="1"/>
  <c r="C1104" i="3" a="1"/>
  <c r="C1104" i="3" s="1"/>
  <c r="D1104" i="3" a="1"/>
  <c r="D1104" i="3" s="1"/>
  <c r="E1104" i="3" a="1"/>
  <c r="E1104" i="3" s="1"/>
  <c r="F1104" i="3" a="1"/>
  <c r="F1104" i="3" s="1"/>
  <c r="G1104" i="3" a="1"/>
  <c r="G1104" i="3" s="1"/>
  <c r="H1104" i="3" a="1"/>
  <c r="H1104" i="3" s="1"/>
  <c r="G563" i="5" s="1"/>
  <c r="I1104" i="3" a="1"/>
  <c r="I1104" i="3" s="1"/>
  <c r="B1105" i="3" a="1"/>
  <c r="B1105" i="3" s="1"/>
  <c r="C1105" i="3" a="1"/>
  <c r="C1105" i="3" s="1"/>
  <c r="D1105" i="3" a="1"/>
  <c r="D1105" i="3" s="1"/>
  <c r="E1105" i="3" a="1"/>
  <c r="E1105" i="3" s="1"/>
  <c r="F1105" i="3" a="1"/>
  <c r="F1105" i="3" s="1"/>
  <c r="G1105" i="3" a="1"/>
  <c r="G1105" i="3" s="1"/>
  <c r="H1105" i="3" a="1"/>
  <c r="H1105" i="3" s="1"/>
  <c r="I1105" i="3" a="1"/>
  <c r="I1105" i="3" s="1"/>
  <c r="B1106" i="3" a="1"/>
  <c r="B1106" i="3" s="1"/>
  <c r="C1106" i="3" a="1"/>
  <c r="C1106" i="3" s="1"/>
  <c r="D1106" i="3" a="1"/>
  <c r="D1106" i="3" s="1"/>
  <c r="E1106" i="3" a="1"/>
  <c r="E1106" i="3" s="1"/>
  <c r="F1106" i="3" a="1"/>
  <c r="F1106" i="3" s="1"/>
  <c r="G1106" i="3" a="1"/>
  <c r="G1106" i="3" s="1"/>
  <c r="H1106" i="3" a="1"/>
  <c r="H1106" i="3" s="1"/>
  <c r="I1106" i="3" a="1"/>
  <c r="I1106" i="3" s="1"/>
  <c r="G565" i="5" s="1"/>
  <c r="B1107" i="3" a="1"/>
  <c r="B1107" i="3" s="1"/>
  <c r="C1107" i="3" a="1"/>
  <c r="C1107" i="3" s="1"/>
  <c r="D1107" i="3" a="1"/>
  <c r="D1107" i="3" s="1"/>
  <c r="E1107" i="3" a="1"/>
  <c r="E1107" i="3" s="1"/>
  <c r="F1107" i="3" a="1"/>
  <c r="F1107" i="3" s="1"/>
  <c r="G1107" i="3" a="1"/>
  <c r="G1107" i="3" s="1"/>
  <c r="H1107" i="3" a="1"/>
  <c r="H1107" i="3" s="1"/>
  <c r="G566" i="5" s="1"/>
  <c r="I1107" i="3" a="1"/>
  <c r="I1107" i="3" s="1"/>
  <c r="B1108" i="3" a="1"/>
  <c r="B1108" i="3" s="1"/>
  <c r="C1108" i="3" a="1"/>
  <c r="C1108" i="3" s="1"/>
  <c r="D1108" i="3" a="1"/>
  <c r="D1108" i="3" s="1"/>
  <c r="E1108" i="3" a="1"/>
  <c r="E1108" i="3" s="1"/>
  <c r="F1108" i="3" a="1"/>
  <c r="F1108" i="3" s="1"/>
  <c r="G1108" i="3" a="1"/>
  <c r="G1108" i="3" s="1"/>
  <c r="H1108" i="3" a="1"/>
  <c r="H1108" i="3" s="1"/>
  <c r="I1108" i="3" a="1"/>
  <c r="I1108" i="3" s="1"/>
  <c r="B1109" i="3" a="1"/>
  <c r="B1109" i="3" s="1"/>
  <c r="C1109" i="3" a="1"/>
  <c r="C1109" i="3" s="1"/>
  <c r="D1109" i="3" a="1"/>
  <c r="D1109" i="3" s="1"/>
  <c r="E1109" i="3" a="1"/>
  <c r="E1109" i="3" s="1"/>
  <c r="F1109" i="3" a="1"/>
  <c r="F1109" i="3" s="1"/>
  <c r="G1109" i="3" a="1"/>
  <c r="G1109" i="3" s="1"/>
  <c r="H1109" i="3" a="1"/>
  <c r="H1109" i="3" s="1"/>
  <c r="I1109" i="3" a="1"/>
  <c r="I1109" i="3" s="1"/>
  <c r="G568" i="5" s="1"/>
  <c r="B1110" i="3" a="1"/>
  <c r="B1110" i="3" s="1"/>
  <c r="C1110" i="3" a="1"/>
  <c r="C1110" i="3" s="1"/>
  <c r="D1110" i="3" a="1"/>
  <c r="D1110" i="3" s="1"/>
  <c r="E1110" i="3" a="1"/>
  <c r="E1110" i="3" s="1"/>
  <c r="F1110" i="3" a="1"/>
  <c r="F1110" i="3"/>
  <c r="G1110" i="3" a="1"/>
  <c r="G1110" i="3"/>
  <c r="H1110" i="3" a="1"/>
  <c r="H1110" i="3"/>
  <c r="I1110" i="3" a="1"/>
  <c r="I1110" i="3" s="1"/>
  <c r="B1111" i="3" a="1"/>
  <c r="B1111" i="3" s="1"/>
  <c r="C1111" i="3" a="1"/>
  <c r="C1111" i="3" s="1"/>
  <c r="D1111" i="3" a="1"/>
  <c r="D1111" i="3" s="1"/>
  <c r="E1111" i="3" a="1"/>
  <c r="E1111" i="3" s="1"/>
  <c r="F1111" i="3" a="1"/>
  <c r="F1111" i="3" s="1"/>
  <c r="G1111" i="3" a="1"/>
  <c r="G1111" i="3" s="1"/>
  <c r="H1111" i="3" a="1"/>
  <c r="H1111" i="3" s="1"/>
  <c r="I1111" i="3" a="1"/>
  <c r="I1111" i="3" s="1"/>
  <c r="B1112" i="3" a="1"/>
  <c r="B1112" i="3"/>
  <c r="C1112" i="3" a="1"/>
  <c r="C1112" i="3"/>
  <c r="D1112" i="3" a="1"/>
  <c r="D1112" i="3"/>
  <c r="E1112" i="3" a="1"/>
  <c r="E1112" i="3" s="1"/>
  <c r="F1112" i="3" a="1"/>
  <c r="F1112" i="3" s="1"/>
  <c r="G1112" i="3" a="1"/>
  <c r="G1112" i="3" s="1"/>
  <c r="H1112" i="3" a="1"/>
  <c r="H1112" i="3" s="1"/>
  <c r="G571" i="5" s="1"/>
  <c r="I1112" i="3" a="1"/>
  <c r="I1112" i="3" s="1"/>
  <c r="B1113" i="3" a="1"/>
  <c r="B1113" i="3" s="1"/>
  <c r="C1113" i="3" a="1"/>
  <c r="C1113" i="3" s="1"/>
  <c r="D1113" i="3" a="1"/>
  <c r="D1113" i="3" s="1"/>
  <c r="E1113" i="3" a="1"/>
  <c r="E1113" i="3" s="1"/>
  <c r="F1113" i="3" a="1"/>
  <c r="F1113" i="3"/>
  <c r="G1113" i="3" a="1"/>
  <c r="G1113" i="3"/>
  <c r="H1113" i="3" a="1"/>
  <c r="H1113" i="3"/>
  <c r="G572" i="5" s="1"/>
  <c r="I1113" i="3" a="1"/>
  <c r="I1113" i="3" s="1"/>
  <c r="B1114" i="3" a="1"/>
  <c r="B1114" i="3" s="1"/>
  <c r="C1114" i="3" a="1"/>
  <c r="C1114" i="3" s="1"/>
  <c r="D1114" i="3" a="1"/>
  <c r="D1114" i="3" s="1"/>
  <c r="E1114" i="3" a="1"/>
  <c r="E1114" i="3" s="1"/>
  <c r="F1114" i="3" a="1"/>
  <c r="F1114" i="3" s="1"/>
  <c r="G1114" i="3" a="1"/>
  <c r="G1114" i="3" s="1"/>
  <c r="H1114" i="3" a="1"/>
  <c r="H1114" i="3" s="1"/>
  <c r="I1114" i="3" a="1"/>
  <c r="I1114" i="3" s="1"/>
  <c r="B1115" i="3" a="1"/>
  <c r="B1115" i="3"/>
  <c r="C1115" i="3" a="1"/>
  <c r="C1115" i="3"/>
  <c r="D1115" i="3" a="1"/>
  <c r="D1115" i="3"/>
  <c r="E1115" i="3" a="1"/>
  <c r="E1115" i="3" s="1"/>
  <c r="F1115" i="3" a="1"/>
  <c r="F1115" i="3" s="1"/>
  <c r="G1115" i="3" a="1"/>
  <c r="G1115" i="3" s="1"/>
  <c r="H1115" i="3" a="1"/>
  <c r="H1115" i="3" s="1"/>
  <c r="I1115" i="3" a="1"/>
  <c r="I1115" i="3" s="1"/>
  <c r="B1116" i="3" a="1"/>
  <c r="B1116" i="3" s="1"/>
  <c r="C1116" i="3" a="1"/>
  <c r="C1116" i="3" s="1"/>
  <c r="D1116" i="3" a="1"/>
  <c r="D1116" i="3" s="1"/>
  <c r="E1116" i="3" a="1"/>
  <c r="E1116" i="3" s="1"/>
  <c r="F1116" i="3" a="1"/>
  <c r="F1116" i="3"/>
  <c r="G1116" i="3" a="1"/>
  <c r="G1116" i="3"/>
  <c r="H1116" i="3" a="1"/>
  <c r="H1116" i="3"/>
  <c r="I1116" i="3" a="1"/>
  <c r="I1116" i="3" s="1"/>
  <c r="B1117" i="3" a="1"/>
  <c r="B1117" i="3" s="1"/>
  <c r="C1117" i="3" a="1"/>
  <c r="C1117" i="3" s="1"/>
  <c r="D1117" i="3" a="1"/>
  <c r="D1117" i="3" s="1"/>
  <c r="E1117" i="3" a="1"/>
  <c r="E1117" i="3" s="1"/>
  <c r="F1117" i="3" a="1"/>
  <c r="F1117" i="3" s="1"/>
  <c r="G1117" i="3" a="1"/>
  <c r="G1117" i="3" s="1"/>
  <c r="H1117" i="3" a="1"/>
  <c r="H1117" i="3" s="1"/>
  <c r="I1117" i="3" a="1"/>
  <c r="I1117" i="3" s="1"/>
  <c r="B1118" i="3" a="1"/>
  <c r="B1118" i="3"/>
  <c r="C1118" i="3" a="1"/>
  <c r="C1118" i="3"/>
  <c r="D1118" i="3" a="1"/>
  <c r="D1118" i="3"/>
  <c r="E1118" i="3" a="1"/>
  <c r="E1118" i="3" s="1"/>
  <c r="F1118" i="3" a="1"/>
  <c r="F1118" i="3" s="1"/>
  <c r="G1118" i="3" a="1"/>
  <c r="G1118" i="3" s="1"/>
  <c r="H1118" i="3" a="1"/>
  <c r="H1118" i="3" s="1"/>
  <c r="G577" i="5" s="1"/>
  <c r="I1118" i="3" a="1"/>
  <c r="I1118" i="3" s="1"/>
  <c r="B1119" i="3" a="1"/>
  <c r="B1119" i="3" s="1"/>
  <c r="C1119" i="3" a="1"/>
  <c r="C1119" i="3" s="1"/>
  <c r="D1119" i="3" a="1"/>
  <c r="D1119" i="3" s="1"/>
  <c r="E1119" i="3" a="1"/>
  <c r="E1119" i="3" s="1"/>
  <c r="F1119" i="3" a="1"/>
  <c r="F1119" i="3"/>
  <c r="G1119" i="3" a="1"/>
  <c r="G1119" i="3"/>
  <c r="H1119" i="3" a="1"/>
  <c r="H1119" i="3"/>
  <c r="I1119" i="3" a="1"/>
  <c r="I1119" i="3" s="1"/>
  <c r="B1120" i="3" a="1"/>
  <c r="B1120" i="3" s="1"/>
  <c r="C1120" i="3" a="1"/>
  <c r="C1120" i="3" s="1"/>
  <c r="D1120" i="3" a="1"/>
  <c r="D1120" i="3" s="1"/>
  <c r="E1120" i="3" a="1"/>
  <c r="E1120" i="3" s="1"/>
  <c r="F1120" i="3" a="1"/>
  <c r="F1120" i="3" s="1"/>
  <c r="G1120" i="3" a="1"/>
  <c r="G1120" i="3" s="1"/>
  <c r="H1120" i="3" a="1"/>
  <c r="H1120" i="3" s="1"/>
  <c r="I1120" i="3" a="1"/>
  <c r="I1120" i="3" s="1"/>
  <c r="B1121" i="3" a="1"/>
  <c r="B1121" i="3"/>
  <c r="C1121" i="3" a="1"/>
  <c r="C1121" i="3"/>
  <c r="D1121" i="3" a="1"/>
  <c r="D1121" i="3"/>
  <c r="E1121" i="3" a="1"/>
  <c r="E1121" i="3" s="1"/>
  <c r="F1121" i="3" a="1"/>
  <c r="F1121" i="3" s="1"/>
  <c r="G1121" i="3" a="1"/>
  <c r="G1121" i="3" s="1"/>
  <c r="H1121" i="3" a="1"/>
  <c r="H1121" i="3" s="1"/>
  <c r="G580" i="5" s="1"/>
  <c r="I1121" i="3" a="1"/>
  <c r="I1121" i="3" s="1"/>
  <c r="B1122" i="3" a="1"/>
  <c r="B1122" i="3" s="1"/>
  <c r="C1122" i="3" a="1"/>
  <c r="C1122" i="3" s="1"/>
  <c r="D1122" i="3" a="1"/>
  <c r="D1122" i="3" s="1"/>
  <c r="E1122" i="3" a="1"/>
  <c r="E1122" i="3" s="1"/>
  <c r="F1122" i="3" a="1"/>
  <c r="F1122" i="3"/>
  <c r="G1122" i="3" a="1"/>
  <c r="G1122" i="3"/>
  <c r="H1122" i="3" a="1"/>
  <c r="H1122" i="3"/>
  <c r="I1122" i="3" a="1"/>
  <c r="I1122" i="3" s="1"/>
  <c r="B1123" i="3" a="1"/>
  <c r="B1123" i="3" s="1"/>
  <c r="C1123" i="3" a="1"/>
  <c r="C1123" i="3" s="1"/>
  <c r="D1123" i="3" a="1"/>
  <c r="D1123" i="3" s="1"/>
  <c r="E1123" i="3" a="1"/>
  <c r="E1123" i="3" s="1"/>
  <c r="F1123" i="3" a="1"/>
  <c r="F1123" i="3" s="1"/>
  <c r="G1123" i="3" a="1"/>
  <c r="G1123" i="3" s="1"/>
  <c r="H1123" i="3" a="1"/>
  <c r="H1123" i="3" s="1"/>
  <c r="I1123" i="3" a="1"/>
  <c r="I1123" i="3" s="1"/>
  <c r="B1124" i="3" a="1"/>
  <c r="B1124" i="3"/>
  <c r="C1124" i="3" a="1"/>
  <c r="C1124" i="3"/>
  <c r="D1124" i="3" a="1"/>
  <c r="D1124" i="3"/>
  <c r="E1124" i="3" a="1"/>
  <c r="E1124" i="3" s="1"/>
  <c r="F1124" i="3" a="1"/>
  <c r="F1124" i="3" s="1"/>
  <c r="G1124" i="3" a="1"/>
  <c r="G1124" i="3" s="1"/>
  <c r="H1124" i="3" a="1"/>
  <c r="H1124" i="3" s="1"/>
  <c r="G583" i="5" s="1"/>
  <c r="I1124" i="3" a="1"/>
  <c r="I1124" i="3" s="1"/>
  <c r="B1125" i="3" a="1"/>
  <c r="B1125" i="3" s="1"/>
  <c r="C1125" i="3" a="1"/>
  <c r="C1125" i="3" s="1"/>
  <c r="D1125" i="3" a="1"/>
  <c r="D1125" i="3" s="1"/>
  <c r="E1125" i="3" a="1"/>
  <c r="E1125" i="3" s="1"/>
  <c r="F1125" i="3" a="1"/>
  <c r="F1125" i="3"/>
  <c r="G1125" i="3" a="1"/>
  <c r="G1125" i="3"/>
  <c r="H1125" i="3" a="1"/>
  <c r="H1125" i="3"/>
  <c r="G584" i="5" s="1"/>
  <c r="I1125" i="3" a="1"/>
  <c r="I1125" i="3" s="1"/>
  <c r="B1126" i="3" a="1"/>
  <c r="B1126" i="3" s="1"/>
  <c r="C1126" i="3" a="1"/>
  <c r="C1126" i="3" s="1"/>
  <c r="D1126" i="3" a="1"/>
  <c r="D1126" i="3" s="1"/>
  <c r="E1126" i="3" a="1"/>
  <c r="E1126" i="3" s="1"/>
  <c r="F1126" i="3" a="1"/>
  <c r="F1126" i="3" s="1"/>
  <c r="G1126" i="3" a="1"/>
  <c r="G1126" i="3" s="1"/>
  <c r="H1126" i="3" a="1"/>
  <c r="H1126" i="3" s="1"/>
  <c r="I1126" i="3" a="1"/>
  <c r="I1126" i="3" s="1"/>
  <c r="B1127" i="3" a="1"/>
  <c r="B1127" i="3"/>
  <c r="C1127" i="3" a="1"/>
  <c r="C1127" i="3"/>
  <c r="D1127" i="3" a="1"/>
  <c r="D1127" i="3"/>
  <c r="E1127" i="3" a="1"/>
  <c r="E1127" i="3" s="1"/>
  <c r="F1127" i="3" a="1"/>
  <c r="F1127" i="3" s="1"/>
  <c r="G1127" i="3" a="1"/>
  <c r="G1127" i="3" s="1"/>
  <c r="H1127" i="3" a="1"/>
  <c r="H1127" i="3" s="1"/>
  <c r="G586" i="5" s="1"/>
  <c r="I1127" i="3" a="1"/>
  <c r="I1127" i="3" s="1"/>
  <c r="B1128" i="3" a="1"/>
  <c r="B1128" i="3" s="1"/>
  <c r="C1128" i="3" a="1"/>
  <c r="C1128" i="3" s="1"/>
  <c r="D1128" i="3" a="1"/>
  <c r="D1128" i="3" s="1"/>
  <c r="E1128" i="3" a="1"/>
  <c r="E1128" i="3" s="1"/>
  <c r="F1128" i="3" a="1"/>
  <c r="F1128" i="3"/>
  <c r="G1128" i="3" a="1"/>
  <c r="G1128" i="3"/>
  <c r="H1128" i="3" a="1"/>
  <c r="H1128" i="3"/>
  <c r="I1128" i="3" a="1"/>
  <c r="I1128" i="3" s="1"/>
  <c r="B1129" i="3" a="1"/>
  <c r="B1129" i="3" s="1"/>
  <c r="C1129" i="3" a="1"/>
  <c r="C1129" i="3" s="1"/>
  <c r="D1129" i="3" a="1"/>
  <c r="D1129" i="3" s="1"/>
  <c r="E1129" i="3" a="1"/>
  <c r="E1129" i="3" s="1"/>
  <c r="F1129" i="3" a="1"/>
  <c r="F1129" i="3" s="1"/>
  <c r="G1129" i="3" a="1"/>
  <c r="G1129" i="3" s="1"/>
  <c r="H1129" i="3" a="1"/>
  <c r="H1129" i="3" s="1"/>
  <c r="I1129" i="3" a="1"/>
  <c r="I1129" i="3" s="1"/>
  <c r="B1130" i="3" a="1"/>
  <c r="B1130" i="3"/>
  <c r="C1130" i="3" a="1"/>
  <c r="C1130" i="3"/>
  <c r="D1130" i="3" a="1"/>
  <c r="D1130" i="3"/>
  <c r="E1130" i="3" a="1"/>
  <c r="E1130" i="3" s="1"/>
  <c r="F1130" i="3" a="1"/>
  <c r="F1130" i="3" s="1"/>
  <c r="G1130" i="3" a="1"/>
  <c r="G1130" i="3" s="1"/>
  <c r="H1130" i="3" a="1"/>
  <c r="H1130" i="3" s="1"/>
  <c r="G589" i="5" s="1"/>
  <c r="I1130" i="3" a="1"/>
  <c r="I1130" i="3" s="1"/>
  <c r="B1131" i="3" a="1"/>
  <c r="B1131" i="3" s="1"/>
  <c r="C1131" i="3" a="1"/>
  <c r="C1131" i="3" s="1"/>
  <c r="D1131" i="3" a="1"/>
  <c r="D1131" i="3" s="1"/>
  <c r="E1131" i="3" a="1"/>
  <c r="E1131" i="3" s="1"/>
  <c r="F1131" i="3" a="1"/>
  <c r="F1131" i="3"/>
  <c r="G1131" i="3" a="1"/>
  <c r="G1131" i="3"/>
  <c r="H1131" i="3" a="1"/>
  <c r="H1131" i="3"/>
  <c r="I1131" i="3" a="1"/>
  <c r="I1131" i="3" s="1"/>
  <c r="B1132" i="3" a="1"/>
  <c r="B1132" i="3" s="1"/>
  <c r="C1132" i="3" a="1"/>
  <c r="C1132" i="3" s="1"/>
  <c r="D1132" i="3" a="1"/>
  <c r="D1132" i="3" s="1"/>
  <c r="E1132" i="3" a="1"/>
  <c r="E1132" i="3" s="1"/>
  <c r="F1132" i="3" a="1"/>
  <c r="F1132" i="3" s="1"/>
  <c r="G1132" i="3" a="1"/>
  <c r="G1132" i="3" s="1"/>
  <c r="H1132" i="3" a="1"/>
  <c r="H1132" i="3" s="1"/>
  <c r="I1132" i="3" a="1"/>
  <c r="I1132" i="3" s="1"/>
  <c r="B1133" i="3" a="1"/>
  <c r="B1133" i="3"/>
  <c r="C1133" i="3" a="1"/>
  <c r="C1133" i="3"/>
  <c r="D1133" i="3" a="1"/>
  <c r="D1133" i="3"/>
  <c r="E1133" i="3" a="1"/>
  <c r="E1133" i="3" s="1"/>
  <c r="F1133" i="3" a="1"/>
  <c r="F1133" i="3" s="1"/>
  <c r="G1133" i="3" a="1"/>
  <c r="G1133" i="3" s="1"/>
  <c r="H1133" i="3" a="1"/>
  <c r="H1133" i="3" s="1"/>
  <c r="G592" i="5" s="1"/>
  <c r="I1133" i="3" a="1"/>
  <c r="I1133" i="3" s="1"/>
  <c r="B1134" i="3" a="1"/>
  <c r="B1134" i="3" s="1"/>
  <c r="C1134" i="3" a="1"/>
  <c r="C1134" i="3" s="1"/>
  <c r="D1134" i="3" a="1"/>
  <c r="D1134" i="3" s="1"/>
  <c r="E1134" i="3" a="1"/>
  <c r="E1134" i="3" s="1"/>
  <c r="F1134" i="3" a="1"/>
  <c r="F1134" i="3"/>
  <c r="G1134" i="3" a="1"/>
  <c r="G1134" i="3"/>
  <c r="H1134" i="3" a="1"/>
  <c r="H1134" i="3"/>
  <c r="I1134" i="3" a="1"/>
  <c r="I1134" i="3" s="1"/>
  <c r="B1135" i="3" a="1"/>
  <c r="B1135" i="3" s="1"/>
  <c r="C1135" i="3" a="1"/>
  <c r="C1135" i="3" s="1"/>
  <c r="D1135" i="3" a="1"/>
  <c r="D1135" i="3" s="1"/>
  <c r="E1135" i="3" a="1"/>
  <c r="E1135" i="3" s="1"/>
  <c r="F1135" i="3" a="1"/>
  <c r="F1135" i="3" s="1"/>
  <c r="G1135" i="3" a="1"/>
  <c r="G1135" i="3" s="1"/>
  <c r="H1135" i="3" a="1"/>
  <c r="H1135" i="3" s="1"/>
  <c r="I1135" i="3" a="1"/>
  <c r="I1135" i="3" s="1"/>
  <c r="B1136" i="3" a="1"/>
  <c r="B1136" i="3"/>
  <c r="C1136" i="3" a="1"/>
  <c r="C1136" i="3"/>
  <c r="D1136" i="3" a="1"/>
  <c r="D1136" i="3"/>
  <c r="E1136" i="3" a="1"/>
  <c r="E1136" i="3" s="1"/>
  <c r="F1136" i="3" a="1"/>
  <c r="F1136" i="3" s="1"/>
  <c r="G1136" i="3" a="1"/>
  <c r="G1136" i="3" s="1"/>
  <c r="H1136" i="3" a="1"/>
  <c r="H1136" i="3" s="1"/>
  <c r="G595" i="5" s="1"/>
  <c r="I1136" i="3" a="1"/>
  <c r="I1136" i="3" s="1"/>
  <c r="B1137" i="3" a="1"/>
  <c r="B1137" i="3" s="1"/>
  <c r="C1137" i="3" a="1"/>
  <c r="C1137" i="3" s="1"/>
  <c r="D1137" i="3" a="1"/>
  <c r="D1137" i="3" s="1"/>
  <c r="E1137" i="3" a="1"/>
  <c r="E1137" i="3" s="1"/>
  <c r="F1137" i="3" a="1"/>
  <c r="F1137" i="3"/>
  <c r="G1137" i="3" a="1"/>
  <c r="G1137" i="3"/>
  <c r="H1137" i="3" a="1"/>
  <c r="H1137" i="3"/>
  <c r="I1137" i="3" a="1"/>
  <c r="I1137" i="3" s="1"/>
  <c r="B1138" i="3" a="1"/>
  <c r="B1138" i="3" s="1"/>
  <c r="C1138" i="3" a="1"/>
  <c r="C1138" i="3" s="1"/>
  <c r="D1138" i="3" a="1"/>
  <c r="D1138" i="3" s="1"/>
  <c r="E1138" i="3" a="1"/>
  <c r="E1138" i="3" s="1"/>
  <c r="F1138" i="3" a="1"/>
  <c r="F1138" i="3" s="1"/>
  <c r="G1138" i="3" a="1"/>
  <c r="G1138" i="3" s="1"/>
  <c r="H1138" i="3" a="1"/>
  <c r="H1138" i="3" s="1"/>
  <c r="I1138" i="3" a="1"/>
  <c r="I1138" i="3" s="1"/>
  <c r="B1139" i="3" a="1"/>
  <c r="B1139" i="3"/>
  <c r="C1139" i="3" a="1"/>
  <c r="C1139" i="3"/>
  <c r="D1139" i="3" a="1"/>
  <c r="D1139" i="3"/>
  <c r="E1139" i="3" a="1"/>
  <c r="E1139" i="3" s="1"/>
  <c r="F1139" i="3" a="1"/>
  <c r="F1139" i="3" s="1"/>
  <c r="G1139" i="3" a="1"/>
  <c r="G1139" i="3" s="1"/>
  <c r="H1139" i="3" a="1"/>
  <c r="H1139" i="3" s="1"/>
  <c r="G598" i="5" s="1"/>
  <c r="I1139" i="3" a="1"/>
  <c r="I1139" i="3" s="1"/>
  <c r="B1140" i="3" a="1"/>
  <c r="B1140" i="3" s="1"/>
  <c r="C1140" i="3" a="1"/>
  <c r="C1140" i="3" s="1"/>
  <c r="D1140" i="3" a="1"/>
  <c r="D1140" i="3" s="1"/>
  <c r="E1140" i="3" a="1"/>
  <c r="E1140" i="3" s="1"/>
  <c r="F1140" i="3" a="1"/>
  <c r="F1140" i="3"/>
  <c r="G1140" i="3" a="1"/>
  <c r="G1140" i="3"/>
  <c r="H1140" i="3" a="1"/>
  <c r="H1140" i="3"/>
  <c r="I1140" i="3" a="1"/>
  <c r="I1140" i="3" s="1"/>
  <c r="B1141" i="3" a="1"/>
  <c r="B1141" i="3" s="1"/>
  <c r="C1141" i="3" a="1"/>
  <c r="C1141" i="3" s="1"/>
  <c r="D1141" i="3" a="1"/>
  <c r="D1141" i="3" s="1"/>
  <c r="E1141" i="3" a="1"/>
  <c r="E1141" i="3" s="1"/>
  <c r="F1141" i="3" a="1"/>
  <c r="F1141" i="3" s="1"/>
  <c r="G1141" i="3" a="1"/>
  <c r="G1141" i="3" s="1"/>
  <c r="H1141" i="3" a="1"/>
  <c r="H1141" i="3" s="1"/>
  <c r="I1141" i="3" a="1"/>
  <c r="I1141" i="3" s="1"/>
  <c r="B1142" i="3" a="1"/>
  <c r="B1142" i="3"/>
  <c r="C1142" i="3" a="1"/>
  <c r="C1142" i="3"/>
  <c r="D1142" i="3" a="1"/>
  <c r="D1142" i="3"/>
  <c r="E1142" i="3" a="1"/>
  <c r="E1142" i="3" s="1"/>
  <c r="F1142" i="3" a="1"/>
  <c r="F1142" i="3" s="1"/>
  <c r="G1142" i="3" a="1"/>
  <c r="G1142" i="3" s="1"/>
  <c r="H1142" i="3" a="1"/>
  <c r="H1142" i="3" s="1"/>
  <c r="G601" i="5" s="1"/>
  <c r="I1142" i="3" a="1"/>
  <c r="I1142" i="3" s="1"/>
  <c r="B1143" i="3" a="1"/>
  <c r="B1143" i="3" s="1"/>
  <c r="C1143" i="3" a="1"/>
  <c r="C1143" i="3" s="1"/>
  <c r="D1143" i="3" a="1"/>
  <c r="D1143" i="3" s="1"/>
  <c r="E1143" i="3" a="1"/>
  <c r="E1143" i="3" s="1"/>
  <c r="F1143" i="3" a="1"/>
  <c r="F1143" i="3"/>
  <c r="G1143" i="3" a="1"/>
  <c r="G1143" i="3"/>
  <c r="H1143" i="3" a="1"/>
  <c r="H1143" i="3"/>
  <c r="I1143" i="3" a="1"/>
  <c r="I1143" i="3" s="1"/>
  <c r="B1144" i="3" a="1"/>
  <c r="B1144" i="3" s="1"/>
  <c r="C1144" i="3" a="1"/>
  <c r="C1144" i="3" s="1"/>
  <c r="D1144" i="3" a="1"/>
  <c r="D1144" i="3" s="1"/>
  <c r="E1144" i="3" a="1"/>
  <c r="E1144" i="3" s="1"/>
  <c r="F1144" i="3" a="1"/>
  <c r="F1144" i="3" s="1"/>
  <c r="G1144" i="3" a="1"/>
  <c r="G1144" i="3" s="1"/>
  <c r="H1144" i="3" a="1"/>
  <c r="H1144" i="3" s="1"/>
  <c r="I1144" i="3" a="1"/>
  <c r="I1144" i="3" s="1"/>
  <c r="B1145" i="3" a="1"/>
  <c r="B1145" i="3"/>
  <c r="C1145" i="3" a="1"/>
  <c r="C1145" i="3"/>
  <c r="D1145" i="3" a="1"/>
  <c r="D1145" i="3"/>
  <c r="E1145" i="3" a="1"/>
  <c r="E1145" i="3" s="1"/>
  <c r="F1145" i="3" a="1"/>
  <c r="F1145" i="3" s="1"/>
  <c r="G1145" i="3" a="1"/>
  <c r="G1145" i="3" s="1"/>
  <c r="H1145" i="3" a="1"/>
  <c r="H1145" i="3" s="1"/>
  <c r="G604" i="5" s="1"/>
  <c r="I1145" i="3" a="1"/>
  <c r="I1145" i="3" s="1"/>
  <c r="B1146" i="3" a="1"/>
  <c r="B1146" i="3" s="1"/>
  <c r="C1146" i="3" a="1"/>
  <c r="C1146" i="3" s="1"/>
  <c r="D1146" i="3" a="1"/>
  <c r="D1146" i="3" s="1"/>
  <c r="E1146" i="3" a="1"/>
  <c r="E1146" i="3" s="1"/>
  <c r="F1146" i="3" a="1"/>
  <c r="F1146" i="3"/>
  <c r="G1146" i="3" a="1"/>
  <c r="G1146" i="3"/>
  <c r="H1146" i="3" a="1"/>
  <c r="H1146" i="3"/>
  <c r="I1146" i="3" a="1"/>
  <c r="I1146" i="3" s="1"/>
  <c r="B1147" i="3" a="1"/>
  <c r="B1147" i="3" s="1"/>
  <c r="C1147" i="3" a="1"/>
  <c r="C1147" i="3" s="1"/>
  <c r="D1147" i="3" a="1"/>
  <c r="D1147" i="3" s="1"/>
  <c r="E1147" i="3" a="1"/>
  <c r="E1147" i="3" s="1"/>
  <c r="F1147" i="3" a="1"/>
  <c r="F1147" i="3" s="1"/>
  <c r="G1147" i="3" a="1"/>
  <c r="G1147" i="3" s="1"/>
  <c r="H1147" i="3" a="1"/>
  <c r="H1147" i="3" s="1"/>
  <c r="I1147" i="3" a="1"/>
  <c r="I1147" i="3" s="1"/>
  <c r="B1148" i="3" a="1"/>
  <c r="B1148" i="3"/>
  <c r="C1148" i="3" a="1"/>
  <c r="C1148" i="3"/>
  <c r="D1148" i="3" a="1"/>
  <c r="D1148" i="3"/>
  <c r="E1148" i="3" a="1"/>
  <c r="E1148" i="3" s="1"/>
  <c r="F1148" i="3" a="1"/>
  <c r="F1148" i="3" s="1"/>
  <c r="G1148" i="3" a="1"/>
  <c r="G1148" i="3" s="1"/>
  <c r="H1148" i="3" a="1"/>
  <c r="H1148" i="3" s="1"/>
  <c r="G607" i="5" s="1"/>
  <c r="I1148" i="3" a="1"/>
  <c r="I1148" i="3" s="1"/>
  <c r="B1149" i="3" a="1"/>
  <c r="B1149" i="3" s="1"/>
  <c r="C1149" i="3" a="1"/>
  <c r="C1149" i="3" s="1"/>
  <c r="D1149" i="3" a="1"/>
  <c r="D1149" i="3" s="1"/>
  <c r="E1149" i="3" a="1"/>
  <c r="E1149" i="3" s="1"/>
  <c r="F1149" i="3" a="1"/>
  <c r="F1149" i="3"/>
  <c r="G1149" i="3" a="1"/>
  <c r="G1149" i="3"/>
  <c r="H1149" i="3" a="1"/>
  <c r="H1149" i="3"/>
  <c r="I1149" i="3" a="1"/>
  <c r="I1149" i="3" s="1"/>
  <c r="B1150" i="3" a="1"/>
  <c r="B1150" i="3" s="1"/>
  <c r="C1150" i="3" a="1"/>
  <c r="C1150" i="3" s="1"/>
  <c r="D1150" i="3" a="1"/>
  <c r="D1150" i="3" s="1"/>
  <c r="E1150" i="3" a="1"/>
  <c r="E1150" i="3" s="1"/>
  <c r="F1150" i="3" a="1"/>
  <c r="F1150" i="3" s="1"/>
  <c r="G1150" i="3" a="1"/>
  <c r="G1150" i="3" s="1"/>
  <c r="H1150" i="3" a="1"/>
  <c r="H1150" i="3" s="1"/>
  <c r="I1150" i="3" a="1"/>
  <c r="I1150" i="3" s="1"/>
  <c r="B1151" i="3" a="1"/>
  <c r="B1151" i="3"/>
  <c r="C1151" i="3" a="1"/>
  <c r="C1151" i="3"/>
  <c r="D1151" i="3" a="1"/>
  <c r="D1151" i="3"/>
  <c r="E1151" i="3" a="1"/>
  <c r="E1151" i="3" s="1"/>
  <c r="F1151" i="3" a="1"/>
  <c r="F1151" i="3" s="1"/>
  <c r="G1151" i="3" a="1"/>
  <c r="G1151" i="3" s="1"/>
  <c r="H1151" i="3" a="1"/>
  <c r="H1151" i="3" s="1"/>
  <c r="G610" i="5" s="1"/>
  <c r="I1151" i="3" a="1"/>
  <c r="I1151" i="3" s="1"/>
  <c r="B1152" i="3" a="1"/>
  <c r="B1152" i="3" s="1"/>
  <c r="C1152" i="3" a="1"/>
  <c r="C1152" i="3" s="1"/>
  <c r="D1152" i="3" a="1"/>
  <c r="D1152" i="3" s="1"/>
  <c r="E1152" i="3" a="1"/>
  <c r="E1152" i="3" s="1"/>
  <c r="F1152" i="3" a="1"/>
  <c r="F1152" i="3"/>
  <c r="G1152" i="3" a="1"/>
  <c r="G1152" i="3"/>
  <c r="H1152" i="3" a="1"/>
  <c r="H1152" i="3"/>
  <c r="I1152" i="3" a="1"/>
  <c r="I1152" i="3" s="1"/>
  <c r="B1153" i="3" a="1"/>
  <c r="B1153" i="3" s="1"/>
  <c r="C1153" i="3" a="1"/>
  <c r="C1153" i="3" s="1"/>
  <c r="D1153" i="3" a="1"/>
  <c r="D1153" i="3" s="1"/>
  <c r="E1153" i="3" a="1"/>
  <c r="E1153" i="3" s="1"/>
  <c r="F1153" i="3" a="1"/>
  <c r="F1153" i="3" s="1"/>
  <c r="G1153" i="3" a="1"/>
  <c r="G1153" i="3" s="1"/>
  <c r="H1153" i="3" a="1"/>
  <c r="H1153" i="3" s="1"/>
  <c r="I1153" i="3" a="1"/>
  <c r="I1153" i="3" s="1"/>
  <c r="B1154" i="3" a="1"/>
  <c r="B1154" i="3"/>
  <c r="C1154" i="3" a="1"/>
  <c r="C1154" i="3"/>
  <c r="D1154" i="3" a="1"/>
  <c r="D1154" i="3"/>
  <c r="E1154" i="3" a="1"/>
  <c r="E1154" i="3" s="1"/>
  <c r="F1154" i="3" a="1"/>
  <c r="F1154" i="3" s="1"/>
  <c r="G1154" i="3" a="1"/>
  <c r="G1154" i="3" s="1"/>
  <c r="H1154" i="3" a="1"/>
  <c r="H1154" i="3" s="1"/>
  <c r="G613" i="5" s="1"/>
  <c r="I1154" i="3" a="1"/>
  <c r="I1154" i="3" s="1"/>
  <c r="B1155" i="3" a="1"/>
  <c r="B1155" i="3" s="1"/>
  <c r="C1155" i="3" a="1"/>
  <c r="C1155" i="3" s="1"/>
  <c r="D1155" i="3" a="1"/>
  <c r="D1155" i="3" s="1"/>
  <c r="E1155" i="3" a="1"/>
  <c r="E1155" i="3" s="1"/>
  <c r="F1155" i="3" a="1"/>
  <c r="F1155" i="3"/>
  <c r="G1155" i="3" a="1"/>
  <c r="G1155" i="3"/>
  <c r="H1155" i="3" a="1"/>
  <c r="H1155" i="3"/>
  <c r="G614" i="5" s="1"/>
  <c r="I1155" i="3" a="1"/>
  <c r="I1155" i="3" s="1"/>
  <c r="B1156" i="3" a="1"/>
  <c r="B1156" i="3" s="1"/>
  <c r="C1156" i="3" a="1"/>
  <c r="C1156" i="3" s="1"/>
  <c r="D1156" i="3" a="1"/>
  <c r="D1156" i="3" s="1"/>
  <c r="E1156" i="3" a="1"/>
  <c r="E1156" i="3" s="1"/>
  <c r="F1156" i="3" a="1"/>
  <c r="F1156" i="3" s="1"/>
  <c r="G1156" i="3" a="1"/>
  <c r="G1156" i="3" s="1"/>
  <c r="H1156" i="3" a="1"/>
  <c r="H1156" i="3" s="1"/>
  <c r="I1156" i="3" a="1"/>
  <c r="I1156" i="3" s="1"/>
  <c r="B1157" i="3" a="1"/>
  <c r="B1157" i="3"/>
  <c r="C1157" i="3" a="1"/>
  <c r="C1157" i="3"/>
  <c r="D1157" i="3" a="1"/>
  <c r="D1157" i="3"/>
  <c r="E1157" i="3" a="1"/>
  <c r="E1157" i="3" s="1"/>
  <c r="F1157" i="3" a="1"/>
  <c r="F1157" i="3" s="1"/>
  <c r="G1157" i="3" a="1"/>
  <c r="G1157" i="3" s="1"/>
  <c r="H1157" i="3" a="1"/>
  <c r="H1157" i="3" s="1"/>
  <c r="G616" i="5" s="1"/>
  <c r="I1157" i="3" a="1"/>
  <c r="I1157" i="3" s="1"/>
  <c r="B1158" i="3" a="1"/>
  <c r="B1158" i="3" s="1"/>
  <c r="C1158" i="3" a="1"/>
  <c r="C1158" i="3" s="1"/>
  <c r="D1158" i="3" a="1"/>
  <c r="D1158" i="3" s="1"/>
  <c r="E1158" i="3" a="1"/>
  <c r="E1158" i="3" s="1"/>
  <c r="F1158" i="3" a="1"/>
  <c r="F1158" i="3"/>
  <c r="G1158" i="3" a="1"/>
  <c r="G1158" i="3"/>
  <c r="H1158" i="3" a="1"/>
  <c r="H1158" i="3"/>
  <c r="I1158" i="3" a="1"/>
  <c r="I1158" i="3" s="1"/>
  <c r="B1159" i="3" a="1"/>
  <c r="B1159" i="3" s="1"/>
  <c r="C1159" i="3" a="1"/>
  <c r="C1159" i="3" s="1"/>
  <c r="D1159" i="3" a="1"/>
  <c r="D1159" i="3" s="1"/>
  <c r="E1159" i="3" a="1"/>
  <c r="E1159" i="3" s="1"/>
  <c r="F1159" i="3" a="1"/>
  <c r="F1159" i="3" s="1"/>
  <c r="G1159" i="3" a="1"/>
  <c r="G1159" i="3" s="1"/>
  <c r="H1159" i="3" a="1"/>
  <c r="H1159" i="3" s="1"/>
  <c r="I1159" i="3" a="1"/>
  <c r="I1159" i="3" s="1"/>
  <c r="B1160" i="3" a="1"/>
  <c r="B1160" i="3"/>
  <c r="C1160" i="3" a="1"/>
  <c r="C1160" i="3"/>
  <c r="D1160" i="3" a="1"/>
  <c r="D1160" i="3"/>
  <c r="E1160" i="3" a="1"/>
  <c r="E1160" i="3" s="1"/>
  <c r="F1160" i="3" a="1"/>
  <c r="F1160" i="3" s="1"/>
  <c r="G1160" i="3" a="1"/>
  <c r="G1160" i="3" s="1"/>
  <c r="H1160" i="3" a="1"/>
  <c r="H1160" i="3" s="1"/>
  <c r="G619" i="5" s="1"/>
  <c r="I1160" i="3" a="1"/>
  <c r="I1160" i="3" s="1"/>
  <c r="B1161" i="3" a="1"/>
  <c r="B1161" i="3" s="1"/>
  <c r="C1161" i="3" a="1"/>
  <c r="C1161" i="3" s="1"/>
  <c r="D1161" i="3" a="1"/>
  <c r="D1161" i="3" s="1"/>
  <c r="E1161" i="3" a="1"/>
  <c r="E1161" i="3" s="1"/>
  <c r="F1161" i="3" a="1"/>
  <c r="F1161" i="3"/>
  <c r="G1161" i="3" a="1"/>
  <c r="G1161" i="3"/>
  <c r="H1161" i="3" a="1"/>
  <c r="H1161" i="3"/>
  <c r="I1161" i="3" a="1"/>
  <c r="I1161" i="3" s="1"/>
  <c r="B1162" i="3" a="1"/>
  <c r="B1162" i="3" s="1"/>
  <c r="C1162" i="3" a="1"/>
  <c r="C1162" i="3" s="1"/>
  <c r="D1162" i="3" a="1"/>
  <c r="D1162" i="3" s="1"/>
  <c r="E1162" i="3" a="1"/>
  <c r="E1162" i="3" s="1"/>
  <c r="F1162" i="3" a="1"/>
  <c r="F1162" i="3" s="1"/>
  <c r="G1162" i="3" a="1"/>
  <c r="G1162" i="3" s="1"/>
  <c r="H1162" i="3" a="1"/>
  <c r="H1162" i="3" s="1"/>
  <c r="I1162" i="3" a="1"/>
  <c r="I1162" i="3" s="1"/>
  <c r="B1163" i="3" a="1"/>
  <c r="B1163" i="3"/>
  <c r="C1163" i="3" a="1"/>
  <c r="C1163" i="3"/>
  <c r="D1163" i="3" a="1"/>
  <c r="D1163" i="3"/>
  <c r="E1163" i="3" a="1"/>
  <c r="E1163" i="3" s="1"/>
  <c r="F1163" i="3" a="1"/>
  <c r="F1163" i="3" s="1"/>
  <c r="G1163" i="3" a="1"/>
  <c r="G1163" i="3" s="1"/>
  <c r="H1163" i="3" a="1"/>
  <c r="H1163" i="3" s="1"/>
  <c r="G622" i="5" s="1"/>
  <c r="I1163" i="3" a="1"/>
  <c r="I1163" i="3" s="1"/>
  <c r="B1164" i="3" a="1"/>
  <c r="B1164" i="3" s="1"/>
  <c r="C1164" i="3" a="1"/>
  <c r="C1164" i="3" s="1"/>
  <c r="D1164" i="3" a="1"/>
  <c r="D1164" i="3" s="1"/>
  <c r="E1164" i="3" a="1"/>
  <c r="E1164" i="3" s="1"/>
  <c r="F1164" i="3" a="1"/>
  <c r="F1164" i="3"/>
  <c r="G1164" i="3" a="1"/>
  <c r="G1164" i="3"/>
  <c r="H1164" i="3" a="1"/>
  <c r="H1164" i="3"/>
  <c r="I1164" i="3" a="1"/>
  <c r="I1164" i="3" s="1"/>
  <c r="B1165" i="3" a="1"/>
  <c r="B1165" i="3" s="1"/>
  <c r="C1165" i="3" a="1"/>
  <c r="C1165" i="3" s="1"/>
  <c r="D1165" i="3" a="1"/>
  <c r="D1165" i="3" s="1"/>
  <c r="E1165" i="3" a="1"/>
  <c r="E1165" i="3" s="1"/>
  <c r="F1165" i="3" a="1"/>
  <c r="F1165" i="3" s="1"/>
  <c r="G1165" i="3" a="1"/>
  <c r="G1165" i="3" s="1"/>
  <c r="H1165" i="3" a="1"/>
  <c r="H1165" i="3" s="1"/>
  <c r="I1165" i="3" a="1"/>
  <c r="I1165" i="3" s="1"/>
  <c r="B1166" i="3" a="1"/>
  <c r="B1166" i="3"/>
  <c r="C1166" i="3" a="1"/>
  <c r="C1166" i="3" s="1"/>
  <c r="D1166" i="3" a="1"/>
  <c r="D1166" i="3"/>
  <c r="E1166" i="3" a="1"/>
  <c r="E1166" i="3" s="1"/>
  <c r="F1166" i="3" a="1"/>
  <c r="F1166" i="3" s="1"/>
  <c r="G1166" i="3" a="1"/>
  <c r="G1166" i="3" s="1"/>
  <c r="H1166" i="3" a="1"/>
  <c r="H1166" i="3" s="1"/>
  <c r="I1166" i="3" a="1"/>
  <c r="I1166" i="3" s="1"/>
  <c r="B1167" i="3" a="1"/>
  <c r="B1167" i="3" s="1"/>
  <c r="C1167" i="3" a="1"/>
  <c r="C1167" i="3" s="1"/>
  <c r="D1167" i="3" a="1"/>
  <c r="D1167" i="3" s="1"/>
  <c r="E1167" i="3" a="1"/>
  <c r="E1167" i="3" s="1"/>
  <c r="F1167" i="3" a="1"/>
  <c r="F1167" i="3"/>
  <c r="G1167" i="3" a="1"/>
  <c r="G1167" i="3"/>
  <c r="H1167" i="3" a="1"/>
  <c r="H1167" i="3"/>
  <c r="I1167" i="3" a="1"/>
  <c r="I1167" i="3" s="1"/>
  <c r="B1168" i="3" a="1"/>
  <c r="B1168" i="3" s="1"/>
  <c r="C1168" i="3" a="1"/>
  <c r="C1168" i="3" s="1"/>
  <c r="D1168" i="3" a="1"/>
  <c r="D1168" i="3" s="1"/>
  <c r="E1168" i="3" a="1"/>
  <c r="E1168" i="3" s="1"/>
  <c r="F1168" i="3" a="1"/>
  <c r="F1168" i="3" s="1"/>
  <c r="G1168" i="3" a="1"/>
  <c r="G1168" i="3" s="1"/>
  <c r="H1168" i="3" a="1"/>
  <c r="H1168" i="3" s="1"/>
  <c r="I1168" i="3" a="1"/>
  <c r="I1168" i="3" s="1"/>
  <c r="B1169" i="3" a="1"/>
  <c r="B1169" i="3"/>
  <c r="C1169" i="3" a="1"/>
  <c r="C1169" i="3" s="1"/>
  <c r="D1169" i="3" a="1"/>
  <c r="D1169" i="3"/>
  <c r="E1169" i="3" a="1"/>
  <c r="E1169" i="3" s="1"/>
  <c r="F1169" i="3" a="1"/>
  <c r="F1169" i="3" s="1"/>
  <c r="G1169" i="3" a="1"/>
  <c r="G1169" i="3" s="1"/>
  <c r="H1169" i="3" a="1"/>
  <c r="H1169" i="3" s="1"/>
  <c r="G628" i="5" s="1"/>
  <c r="I1169" i="3" a="1"/>
  <c r="I1169" i="3" s="1"/>
  <c r="B1170" i="3" a="1"/>
  <c r="B1170" i="3" s="1"/>
  <c r="C1170" i="3" a="1"/>
  <c r="C1170" i="3" s="1"/>
  <c r="D1170" i="3" a="1"/>
  <c r="D1170" i="3" s="1"/>
  <c r="E1170" i="3" a="1"/>
  <c r="E1170" i="3" s="1"/>
  <c r="F1170" i="3" a="1"/>
  <c r="F1170" i="3"/>
  <c r="G1170" i="3" a="1"/>
  <c r="G1170" i="3"/>
  <c r="H1170" i="3" a="1"/>
  <c r="H1170" i="3"/>
  <c r="G629" i="5" s="1"/>
  <c r="I1170" i="3" a="1"/>
  <c r="I1170" i="3" s="1"/>
  <c r="B1171" i="3" a="1"/>
  <c r="B1171" i="3" s="1"/>
  <c r="C1171" i="3" a="1"/>
  <c r="C1171" i="3" s="1"/>
  <c r="D1171" i="3" a="1"/>
  <c r="D1171" i="3" s="1"/>
  <c r="E1171" i="3" a="1"/>
  <c r="E1171" i="3" s="1"/>
  <c r="F1171" i="3" a="1"/>
  <c r="F1171" i="3" s="1"/>
  <c r="G1171" i="3" a="1"/>
  <c r="G1171" i="3" s="1"/>
  <c r="H1171" i="3" a="1"/>
  <c r="H1171" i="3" s="1"/>
  <c r="I1171" i="3" a="1"/>
  <c r="I1171" i="3" s="1"/>
  <c r="B1172" i="3" a="1"/>
  <c r="B1172" i="3"/>
  <c r="C1172" i="3" a="1"/>
  <c r="C1172" i="3" s="1"/>
  <c r="D1172" i="3" a="1"/>
  <c r="D1172" i="3"/>
  <c r="E1172" i="3" a="1"/>
  <c r="E1172" i="3" s="1"/>
  <c r="F1172" i="3" a="1"/>
  <c r="F1172" i="3" s="1"/>
  <c r="G1172" i="3" a="1"/>
  <c r="G1172" i="3" s="1"/>
  <c r="H1172" i="3" a="1"/>
  <c r="H1172" i="3" s="1"/>
  <c r="I1172" i="3" a="1"/>
  <c r="I1172" i="3" s="1"/>
  <c r="B1173" i="3" a="1"/>
  <c r="B1173" i="3" s="1"/>
  <c r="C1173" i="3" a="1"/>
  <c r="C1173" i="3" s="1"/>
  <c r="D1173" i="3" a="1"/>
  <c r="D1173" i="3" s="1"/>
  <c r="E1173" i="3" a="1"/>
  <c r="E1173" i="3" s="1"/>
  <c r="F1173" i="3" a="1"/>
  <c r="F1173" i="3"/>
  <c r="G1173" i="3" a="1"/>
  <c r="G1173" i="3"/>
  <c r="H1173" i="3" a="1"/>
  <c r="H1173" i="3"/>
  <c r="G632" i="5" s="1"/>
  <c r="I1173" i="3" a="1"/>
  <c r="I1173" i="3" s="1"/>
  <c r="B1174" i="3" a="1"/>
  <c r="B1174" i="3" s="1"/>
  <c r="C1174" i="3" a="1"/>
  <c r="C1174" i="3" s="1"/>
  <c r="D1174" i="3" a="1"/>
  <c r="D1174" i="3" s="1"/>
  <c r="E1174" i="3" a="1"/>
  <c r="E1174" i="3" s="1"/>
  <c r="F1174" i="3" a="1"/>
  <c r="F1174" i="3" s="1"/>
  <c r="G1174" i="3" a="1"/>
  <c r="G1174" i="3" s="1"/>
  <c r="H1174" i="3" a="1"/>
  <c r="H1174" i="3" s="1"/>
  <c r="I1174" i="3" a="1"/>
  <c r="I1174" i="3" s="1"/>
  <c r="B1175" i="3" a="1"/>
  <c r="B1175" i="3"/>
  <c r="C1175" i="3" a="1"/>
  <c r="C1175" i="3" s="1"/>
  <c r="D1175" i="3" a="1"/>
  <c r="D1175" i="3"/>
  <c r="E1175" i="3" a="1"/>
  <c r="E1175" i="3" s="1"/>
  <c r="F1175" i="3" a="1"/>
  <c r="F1175" i="3" s="1"/>
  <c r="G1175" i="3" a="1"/>
  <c r="G1175" i="3" s="1"/>
  <c r="H1175" i="3" a="1"/>
  <c r="H1175" i="3" s="1"/>
  <c r="G634" i="5" s="1"/>
  <c r="I1175" i="3" a="1"/>
  <c r="I1175" i="3" s="1"/>
  <c r="B1176" i="3" a="1"/>
  <c r="B1176" i="3" s="1"/>
  <c r="C1176" i="3" a="1"/>
  <c r="C1176" i="3" s="1"/>
  <c r="D1176" i="3" a="1"/>
  <c r="D1176" i="3" s="1"/>
  <c r="E1176" i="3" a="1"/>
  <c r="E1176" i="3" s="1"/>
  <c r="F1176" i="3" a="1"/>
  <c r="F1176" i="3"/>
  <c r="G1176" i="3" a="1"/>
  <c r="G1176" i="3"/>
  <c r="H1176" i="3" a="1"/>
  <c r="H1176" i="3"/>
  <c r="G635" i="5" s="1"/>
  <c r="I1176" i="3" a="1"/>
  <c r="I1176" i="3" s="1"/>
  <c r="B1177" i="3" a="1"/>
  <c r="B1177" i="3" s="1"/>
  <c r="C1177" i="3" a="1"/>
  <c r="C1177" i="3" s="1"/>
  <c r="D1177" i="3" a="1"/>
  <c r="D1177" i="3" s="1"/>
  <c r="E1177" i="3" a="1"/>
  <c r="E1177" i="3" s="1"/>
  <c r="F1177" i="3" a="1"/>
  <c r="F1177" i="3" s="1"/>
  <c r="G1177" i="3" a="1"/>
  <c r="G1177" i="3" s="1"/>
  <c r="H1177" i="3" a="1"/>
  <c r="H1177" i="3" s="1"/>
  <c r="I1177" i="3" a="1"/>
  <c r="I1177" i="3" s="1"/>
  <c r="B1178" i="3" a="1"/>
  <c r="B1178" i="3"/>
  <c r="C1178" i="3" a="1"/>
  <c r="C1178" i="3" s="1"/>
  <c r="D1178" i="3" a="1"/>
  <c r="D1178" i="3"/>
  <c r="E1178" i="3" a="1"/>
  <c r="E1178" i="3" s="1"/>
  <c r="F1178" i="3" a="1"/>
  <c r="F1178" i="3" s="1"/>
  <c r="G1178" i="3" a="1"/>
  <c r="G1178" i="3" s="1"/>
  <c r="H1178" i="3" a="1"/>
  <c r="H1178" i="3" s="1"/>
  <c r="I1178" i="3" a="1"/>
  <c r="I1178" i="3" s="1"/>
  <c r="C4" i="5"/>
  <c r="B5" i="5"/>
  <c r="C7" i="5"/>
  <c r="E8" i="5"/>
  <c r="C10" i="5"/>
  <c r="B11" i="5"/>
  <c r="B14" i="5"/>
  <c r="C16" i="5"/>
  <c r="B17" i="5"/>
  <c r="C19" i="5"/>
  <c r="E20" i="5"/>
  <c r="C22" i="5"/>
  <c r="B23" i="5"/>
  <c r="B26" i="5"/>
  <c r="C28" i="5"/>
  <c r="C29" i="5"/>
  <c r="C30" i="5"/>
  <c r="E31" i="5"/>
  <c r="B33" i="5"/>
  <c r="C35" i="5"/>
  <c r="B36" i="5"/>
  <c r="E37" i="5"/>
  <c r="C38" i="5"/>
  <c r="F39" i="5"/>
  <c r="E40" i="5"/>
  <c r="D45" i="5"/>
  <c r="E49" i="5"/>
  <c r="B51" i="5"/>
  <c r="C54" i="5"/>
  <c r="F55" i="5"/>
  <c r="D57" i="5"/>
  <c r="D59" i="5"/>
  <c r="G103" i="5"/>
  <c r="B106" i="5"/>
  <c r="D108" i="5"/>
  <c r="E109" i="5"/>
  <c r="F110" i="5"/>
  <c r="E224" i="5"/>
  <c r="D251" i="5"/>
  <c r="B252" i="5"/>
  <c r="E292" i="5"/>
  <c r="G294" i="5"/>
  <c r="D300" i="5"/>
  <c r="G302" i="5"/>
  <c r="E308" i="5"/>
  <c r="G313" i="5"/>
  <c r="E316" i="5"/>
  <c r="E323" i="5"/>
  <c r="G324" i="5"/>
  <c r="E326" i="5"/>
  <c r="G327" i="5"/>
  <c r="G330" i="5"/>
  <c r="E332" i="5"/>
  <c r="E335" i="5"/>
  <c r="G336" i="5"/>
  <c r="E338" i="5"/>
  <c r="G339" i="5"/>
  <c r="G342" i="5"/>
  <c r="E344" i="5"/>
  <c r="E347" i="5"/>
  <c r="D374" i="5"/>
  <c r="F398" i="5"/>
  <c r="B401" i="5"/>
  <c r="F407" i="5"/>
  <c r="D415" i="5"/>
  <c r="F416" i="5"/>
  <c r="G425" i="5"/>
  <c r="B434" i="5"/>
  <c r="D445" i="5"/>
  <c r="G446" i="5"/>
  <c r="B460" i="5"/>
  <c r="B494" i="5"/>
  <c r="B504" i="5"/>
  <c r="B506" i="5"/>
  <c r="C508" i="5"/>
  <c r="C510" i="5"/>
  <c r="C513" i="5"/>
  <c r="C515" i="5"/>
  <c r="G544" i="5"/>
  <c r="G547" i="5"/>
  <c r="G549" i="5"/>
  <c r="G550" i="5"/>
  <c r="G555" i="5"/>
  <c r="G559" i="5"/>
  <c r="G564" i="5"/>
  <c r="G567" i="5"/>
  <c r="G569" i="5"/>
  <c r="G573" i="5"/>
  <c r="G575" i="5"/>
  <c r="G576" i="5"/>
  <c r="G578" i="5"/>
  <c r="G579" i="5"/>
  <c r="G582" i="5"/>
  <c r="G585" i="5"/>
  <c r="G593" i="5"/>
  <c r="G594" i="5"/>
  <c r="G596" i="5"/>
  <c r="G600" i="5"/>
  <c r="G602" i="5"/>
  <c r="G603" i="5"/>
  <c r="G611" i="5"/>
  <c r="G615" i="5"/>
  <c r="G618" i="5"/>
  <c r="G620" i="5"/>
  <c r="G621" i="5"/>
  <c r="P346" i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2" i="6"/>
  <c r="B3" i="5"/>
  <c r="C3" i="5"/>
  <c r="D3" i="5"/>
  <c r="E3" i="5"/>
  <c r="F3" i="5"/>
  <c r="B4" i="5"/>
  <c r="D4" i="5"/>
  <c r="E4" i="5"/>
  <c r="F4" i="5"/>
  <c r="E5" i="5"/>
  <c r="F5" i="5"/>
  <c r="B6" i="5"/>
  <c r="C6" i="5"/>
  <c r="D6" i="5"/>
  <c r="E6" i="5"/>
  <c r="F6" i="5"/>
  <c r="B7" i="5"/>
  <c r="D7" i="5"/>
  <c r="E7" i="5"/>
  <c r="F7" i="5"/>
  <c r="B8" i="5"/>
  <c r="C8" i="5"/>
  <c r="D8" i="5"/>
  <c r="B9" i="5"/>
  <c r="C9" i="5"/>
  <c r="D9" i="5"/>
  <c r="E9" i="5"/>
  <c r="F9" i="5"/>
  <c r="B10" i="5"/>
  <c r="D10" i="5"/>
  <c r="E10" i="5"/>
  <c r="F10" i="5"/>
  <c r="B12" i="5"/>
  <c r="C12" i="5"/>
  <c r="D12" i="5"/>
  <c r="E12" i="5"/>
  <c r="F12" i="5"/>
  <c r="B13" i="5"/>
  <c r="C13" i="5"/>
  <c r="D13" i="5"/>
  <c r="E13" i="5"/>
  <c r="F13" i="5"/>
  <c r="B15" i="5"/>
  <c r="C15" i="5"/>
  <c r="D15" i="5"/>
  <c r="E15" i="5"/>
  <c r="F15" i="5"/>
  <c r="B16" i="5"/>
  <c r="D16" i="5"/>
  <c r="E16" i="5"/>
  <c r="F16" i="5"/>
  <c r="E17" i="5"/>
  <c r="F17" i="5"/>
  <c r="B18" i="5"/>
  <c r="C18" i="5"/>
  <c r="D18" i="5"/>
  <c r="E18" i="5"/>
  <c r="F18" i="5"/>
  <c r="B19" i="5"/>
  <c r="D19" i="5"/>
  <c r="E19" i="5"/>
  <c r="F19" i="5"/>
  <c r="B20" i="5"/>
  <c r="C20" i="5"/>
  <c r="D20" i="5"/>
  <c r="B21" i="5"/>
  <c r="C21" i="5"/>
  <c r="D21" i="5"/>
  <c r="E21" i="5"/>
  <c r="F21" i="5"/>
  <c r="B22" i="5"/>
  <c r="D22" i="5"/>
  <c r="E22" i="5"/>
  <c r="F22" i="5"/>
  <c r="B24" i="5"/>
  <c r="C24" i="5"/>
  <c r="D24" i="5"/>
  <c r="E24" i="5"/>
  <c r="F24" i="5"/>
  <c r="B25" i="5"/>
  <c r="C25" i="5"/>
  <c r="D25" i="5"/>
  <c r="E25" i="5"/>
  <c r="F25" i="5"/>
  <c r="B27" i="5"/>
  <c r="C27" i="5"/>
  <c r="D27" i="5"/>
  <c r="E27" i="5"/>
  <c r="F27" i="5"/>
  <c r="B28" i="5"/>
  <c r="D28" i="5"/>
  <c r="E28" i="5"/>
  <c r="F28" i="5"/>
  <c r="B29" i="5"/>
  <c r="D29" i="5"/>
  <c r="E29" i="5"/>
  <c r="F29" i="5"/>
  <c r="B30" i="5"/>
  <c r="B31" i="5"/>
  <c r="C31" i="5"/>
  <c r="D31" i="5"/>
  <c r="F31" i="5"/>
  <c r="B32" i="5"/>
  <c r="C32" i="5"/>
  <c r="D32" i="5"/>
  <c r="E32" i="5"/>
  <c r="F32" i="5"/>
  <c r="B34" i="5"/>
  <c r="C34" i="5"/>
  <c r="D34" i="5"/>
  <c r="E34" i="5"/>
  <c r="F34" i="5"/>
  <c r="B35" i="5"/>
  <c r="D35" i="5"/>
  <c r="E35" i="5"/>
  <c r="F35" i="5"/>
  <c r="F36" i="5"/>
  <c r="B37" i="5"/>
  <c r="C37" i="5"/>
  <c r="D37" i="5"/>
  <c r="F37" i="5"/>
  <c r="B38" i="5"/>
  <c r="D38" i="5"/>
  <c r="E38" i="5"/>
  <c r="F38" i="5"/>
  <c r="C39" i="5"/>
  <c r="D39" i="5"/>
  <c r="E39" i="5"/>
  <c r="B40" i="5"/>
  <c r="C40" i="5"/>
  <c r="D40" i="5"/>
  <c r="F40" i="5"/>
  <c r="B41" i="5"/>
  <c r="C41" i="5"/>
  <c r="D41" i="5"/>
  <c r="E41" i="5"/>
  <c r="F41" i="5"/>
  <c r="B42" i="5"/>
  <c r="C42" i="5"/>
  <c r="D42" i="5"/>
  <c r="E42" i="5"/>
  <c r="F42" i="5"/>
  <c r="B43" i="5"/>
  <c r="C43" i="5"/>
  <c r="D43" i="5"/>
  <c r="E43" i="5"/>
  <c r="F43" i="5"/>
  <c r="B44" i="5"/>
  <c r="C44" i="5"/>
  <c r="D44" i="5"/>
  <c r="E44" i="5"/>
  <c r="F44" i="5"/>
  <c r="B45" i="5"/>
  <c r="C45" i="5"/>
  <c r="E45" i="5"/>
  <c r="F45" i="5"/>
  <c r="B46" i="5"/>
  <c r="C46" i="5"/>
  <c r="D46" i="5"/>
  <c r="E46" i="5"/>
  <c r="F46" i="5"/>
  <c r="B47" i="5"/>
  <c r="C47" i="5"/>
  <c r="D47" i="5"/>
  <c r="E47" i="5"/>
  <c r="F47" i="5"/>
  <c r="B48" i="5"/>
  <c r="C48" i="5"/>
  <c r="D48" i="5"/>
  <c r="E48" i="5"/>
  <c r="F48" i="5"/>
  <c r="B49" i="5"/>
  <c r="C49" i="5"/>
  <c r="D49" i="5"/>
  <c r="F49" i="5"/>
  <c r="B50" i="5"/>
  <c r="C50" i="5"/>
  <c r="D50" i="5"/>
  <c r="E50" i="5"/>
  <c r="F50" i="5"/>
  <c r="C51" i="5"/>
  <c r="D51" i="5"/>
  <c r="E51" i="5"/>
  <c r="F51" i="5"/>
  <c r="B52" i="5"/>
  <c r="C52" i="5"/>
  <c r="D52" i="5"/>
  <c r="E52" i="5"/>
  <c r="F52" i="5"/>
  <c r="B53" i="5"/>
  <c r="C53" i="5"/>
  <c r="D53" i="5"/>
  <c r="E53" i="5"/>
  <c r="F53" i="5"/>
  <c r="B54" i="5"/>
  <c r="B55" i="5"/>
  <c r="C55" i="5"/>
  <c r="D55" i="5"/>
  <c r="E55" i="5"/>
  <c r="B56" i="5"/>
  <c r="C56" i="5"/>
  <c r="D56" i="5"/>
  <c r="E56" i="5"/>
  <c r="F56" i="5"/>
  <c r="B57" i="5"/>
  <c r="C57" i="5"/>
  <c r="E57" i="5"/>
  <c r="F57" i="5"/>
  <c r="B58" i="5"/>
  <c r="C58" i="5"/>
  <c r="D58" i="5"/>
  <c r="E58" i="5"/>
  <c r="F58" i="5"/>
  <c r="B59" i="5"/>
  <c r="C59" i="5"/>
  <c r="E59" i="5"/>
  <c r="F59" i="5"/>
  <c r="B60" i="5"/>
  <c r="C60" i="5"/>
  <c r="D60" i="5"/>
  <c r="E60" i="5"/>
  <c r="F60" i="5"/>
  <c r="B61" i="5"/>
  <c r="C61" i="5"/>
  <c r="D61" i="5"/>
  <c r="E61" i="5"/>
  <c r="F61" i="5"/>
  <c r="B62" i="5"/>
  <c r="C62" i="5"/>
  <c r="D62" i="5"/>
  <c r="E62" i="5"/>
  <c r="F62" i="5"/>
  <c r="B63" i="5"/>
  <c r="C63" i="5"/>
  <c r="D63" i="5"/>
  <c r="E63" i="5"/>
  <c r="F63" i="5"/>
  <c r="B64" i="5"/>
  <c r="C64" i="5"/>
  <c r="D64" i="5"/>
  <c r="E64" i="5"/>
  <c r="F64" i="5"/>
  <c r="B65" i="5"/>
  <c r="C65" i="5"/>
  <c r="D65" i="5"/>
  <c r="E65" i="5"/>
  <c r="F65" i="5"/>
  <c r="B66" i="5"/>
  <c r="C66" i="5"/>
  <c r="D66" i="5"/>
  <c r="E66" i="5"/>
  <c r="F66" i="5"/>
  <c r="B67" i="5"/>
  <c r="C67" i="5"/>
  <c r="D67" i="5"/>
  <c r="E67" i="5"/>
  <c r="F67" i="5"/>
  <c r="B68" i="5"/>
  <c r="C68" i="5"/>
  <c r="D68" i="5"/>
  <c r="E68" i="5"/>
  <c r="F68" i="5"/>
  <c r="B69" i="5"/>
  <c r="C69" i="5"/>
  <c r="D69" i="5"/>
  <c r="E69" i="5"/>
  <c r="F69" i="5"/>
  <c r="B70" i="5"/>
  <c r="C70" i="5"/>
  <c r="D70" i="5"/>
  <c r="E70" i="5"/>
  <c r="F70" i="5"/>
  <c r="B71" i="5"/>
  <c r="C71" i="5"/>
  <c r="D71" i="5"/>
  <c r="E71" i="5"/>
  <c r="F71" i="5"/>
  <c r="B72" i="5"/>
  <c r="C72" i="5"/>
  <c r="D72" i="5"/>
  <c r="E72" i="5"/>
  <c r="F72" i="5"/>
  <c r="B73" i="5"/>
  <c r="C73" i="5"/>
  <c r="D73" i="5"/>
  <c r="E73" i="5"/>
  <c r="F73" i="5"/>
  <c r="B74" i="5"/>
  <c r="C74" i="5"/>
  <c r="D74" i="5"/>
  <c r="E74" i="5"/>
  <c r="F74" i="5"/>
  <c r="B75" i="5"/>
  <c r="C75" i="5"/>
  <c r="D75" i="5"/>
  <c r="E75" i="5"/>
  <c r="F75" i="5"/>
  <c r="B76" i="5"/>
  <c r="C76" i="5"/>
  <c r="D76" i="5"/>
  <c r="E76" i="5"/>
  <c r="F76" i="5"/>
  <c r="B77" i="5"/>
  <c r="C77" i="5"/>
  <c r="D77" i="5"/>
  <c r="E77" i="5"/>
  <c r="F77" i="5"/>
  <c r="B78" i="5"/>
  <c r="C78" i="5"/>
  <c r="D78" i="5"/>
  <c r="E78" i="5"/>
  <c r="F78" i="5"/>
  <c r="B79" i="5"/>
  <c r="C79" i="5"/>
  <c r="D79" i="5"/>
  <c r="E79" i="5"/>
  <c r="F79" i="5"/>
  <c r="B80" i="5"/>
  <c r="C80" i="5"/>
  <c r="D80" i="5"/>
  <c r="E80" i="5"/>
  <c r="F80" i="5"/>
  <c r="B81" i="5"/>
  <c r="C81" i="5"/>
  <c r="D81" i="5"/>
  <c r="E81" i="5"/>
  <c r="F81" i="5"/>
  <c r="B82" i="5"/>
  <c r="C82" i="5"/>
  <c r="D82" i="5"/>
  <c r="E82" i="5"/>
  <c r="F82" i="5"/>
  <c r="B83" i="5"/>
  <c r="C83" i="5"/>
  <c r="D83" i="5"/>
  <c r="E83" i="5"/>
  <c r="F83" i="5"/>
  <c r="B84" i="5"/>
  <c r="C84" i="5"/>
  <c r="D84" i="5"/>
  <c r="E84" i="5"/>
  <c r="F84" i="5"/>
  <c r="B85" i="5"/>
  <c r="C85" i="5"/>
  <c r="D85" i="5"/>
  <c r="E85" i="5"/>
  <c r="F85" i="5"/>
  <c r="B86" i="5"/>
  <c r="C86" i="5"/>
  <c r="D86" i="5"/>
  <c r="E86" i="5"/>
  <c r="F86" i="5"/>
  <c r="B87" i="5"/>
  <c r="C87" i="5"/>
  <c r="D87" i="5"/>
  <c r="E87" i="5"/>
  <c r="F87" i="5"/>
  <c r="B88" i="5"/>
  <c r="C88" i="5"/>
  <c r="D88" i="5"/>
  <c r="E88" i="5"/>
  <c r="F88" i="5"/>
  <c r="B89" i="5"/>
  <c r="C89" i="5"/>
  <c r="D89" i="5"/>
  <c r="E89" i="5"/>
  <c r="F89" i="5"/>
  <c r="B90" i="5"/>
  <c r="C90" i="5"/>
  <c r="D90" i="5"/>
  <c r="E90" i="5"/>
  <c r="F90" i="5"/>
  <c r="B91" i="5"/>
  <c r="C91" i="5"/>
  <c r="D91" i="5"/>
  <c r="E91" i="5"/>
  <c r="F91" i="5"/>
  <c r="B92" i="5"/>
  <c r="C92" i="5"/>
  <c r="D92" i="5"/>
  <c r="E92" i="5"/>
  <c r="F92" i="5"/>
  <c r="B93" i="5"/>
  <c r="C93" i="5"/>
  <c r="D93" i="5"/>
  <c r="E93" i="5"/>
  <c r="F93" i="5"/>
  <c r="B94" i="5"/>
  <c r="C94" i="5"/>
  <c r="D94" i="5"/>
  <c r="E94" i="5"/>
  <c r="F94" i="5"/>
  <c r="B95" i="5"/>
  <c r="C95" i="5"/>
  <c r="D95" i="5"/>
  <c r="E95" i="5"/>
  <c r="F95" i="5"/>
  <c r="B96" i="5"/>
  <c r="C96" i="5"/>
  <c r="D96" i="5"/>
  <c r="E96" i="5"/>
  <c r="F96" i="5"/>
  <c r="B97" i="5"/>
  <c r="C97" i="5"/>
  <c r="D97" i="5"/>
  <c r="E97" i="5"/>
  <c r="F97" i="5"/>
  <c r="B98" i="5"/>
  <c r="C98" i="5"/>
  <c r="D98" i="5"/>
  <c r="E98" i="5"/>
  <c r="F98" i="5"/>
  <c r="B99" i="5"/>
  <c r="C99" i="5"/>
  <c r="D99" i="5"/>
  <c r="E99" i="5"/>
  <c r="F99" i="5"/>
  <c r="B100" i="5"/>
  <c r="C100" i="5"/>
  <c r="D100" i="5"/>
  <c r="E100" i="5"/>
  <c r="F100" i="5"/>
  <c r="B101" i="5"/>
  <c r="C101" i="5"/>
  <c r="D101" i="5"/>
  <c r="E101" i="5"/>
  <c r="F101" i="5"/>
  <c r="B102" i="5"/>
  <c r="C102" i="5"/>
  <c r="D102" i="5"/>
  <c r="E102" i="5"/>
  <c r="F102" i="5"/>
  <c r="B103" i="5"/>
  <c r="C103" i="5"/>
  <c r="D103" i="5"/>
  <c r="E103" i="5"/>
  <c r="F103" i="5"/>
  <c r="B104" i="5"/>
  <c r="C104" i="5"/>
  <c r="D104" i="5"/>
  <c r="E104" i="5"/>
  <c r="F104" i="5"/>
  <c r="B105" i="5"/>
  <c r="C105" i="5"/>
  <c r="D105" i="5"/>
  <c r="E105" i="5"/>
  <c r="F105" i="5"/>
  <c r="C106" i="5"/>
  <c r="D106" i="5"/>
  <c r="E106" i="5"/>
  <c r="F106" i="5"/>
  <c r="B107" i="5"/>
  <c r="C107" i="5"/>
  <c r="D107" i="5"/>
  <c r="E107" i="5"/>
  <c r="F107" i="5"/>
  <c r="B108" i="5"/>
  <c r="C108" i="5"/>
  <c r="E108" i="5"/>
  <c r="F108" i="5"/>
  <c r="B109" i="5"/>
  <c r="C109" i="5"/>
  <c r="D109" i="5"/>
  <c r="F109" i="5"/>
  <c r="B110" i="5"/>
  <c r="C110" i="5"/>
  <c r="D110" i="5"/>
  <c r="E110" i="5"/>
  <c r="B111" i="5"/>
  <c r="C111" i="5"/>
  <c r="D111" i="5"/>
  <c r="E111" i="5"/>
  <c r="F111" i="5"/>
  <c r="B112" i="5"/>
  <c r="C112" i="5"/>
  <c r="D112" i="5"/>
  <c r="E112" i="5"/>
  <c r="F112" i="5"/>
  <c r="B113" i="5"/>
  <c r="C113" i="5"/>
  <c r="D113" i="5"/>
  <c r="E113" i="5"/>
  <c r="F113" i="5"/>
  <c r="B114" i="5"/>
  <c r="C114" i="5"/>
  <c r="D114" i="5"/>
  <c r="E114" i="5"/>
  <c r="F114" i="5"/>
  <c r="B115" i="5"/>
  <c r="C115" i="5"/>
  <c r="D115" i="5"/>
  <c r="E115" i="5"/>
  <c r="F115" i="5"/>
  <c r="B116" i="5"/>
  <c r="C116" i="5"/>
  <c r="D116" i="5"/>
  <c r="E116" i="5"/>
  <c r="F116" i="5"/>
  <c r="B117" i="5"/>
  <c r="C117" i="5"/>
  <c r="D117" i="5"/>
  <c r="E117" i="5"/>
  <c r="F117" i="5"/>
  <c r="B118" i="5"/>
  <c r="C118" i="5"/>
  <c r="D118" i="5"/>
  <c r="E118" i="5"/>
  <c r="F118" i="5"/>
  <c r="B119" i="5"/>
  <c r="C119" i="5"/>
  <c r="D119" i="5"/>
  <c r="E119" i="5"/>
  <c r="F119" i="5"/>
  <c r="B120" i="5"/>
  <c r="C120" i="5"/>
  <c r="D120" i="5"/>
  <c r="E120" i="5"/>
  <c r="F120" i="5"/>
  <c r="B121" i="5"/>
  <c r="C121" i="5"/>
  <c r="D121" i="5"/>
  <c r="E121" i="5"/>
  <c r="F121" i="5"/>
  <c r="B122" i="5"/>
  <c r="C122" i="5"/>
  <c r="D122" i="5"/>
  <c r="E122" i="5"/>
  <c r="F122" i="5"/>
  <c r="B123" i="5"/>
  <c r="C123" i="5"/>
  <c r="D123" i="5"/>
  <c r="E123" i="5"/>
  <c r="F123" i="5"/>
  <c r="B124" i="5"/>
  <c r="C124" i="5"/>
  <c r="D124" i="5"/>
  <c r="E124" i="5"/>
  <c r="F124" i="5"/>
  <c r="B125" i="5"/>
  <c r="C125" i="5"/>
  <c r="D125" i="5"/>
  <c r="E125" i="5"/>
  <c r="F125" i="5"/>
  <c r="B126" i="5"/>
  <c r="C126" i="5"/>
  <c r="D126" i="5"/>
  <c r="E126" i="5"/>
  <c r="F126" i="5"/>
  <c r="B127" i="5"/>
  <c r="C127" i="5"/>
  <c r="D127" i="5"/>
  <c r="E127" i="5"/>
  <c r="F127" i="5"/>
  <c r="B128" i="5"/>
  <c r="C128" i="5"/>
  <c r="D128" i="5"/>
  <c r="E128" i="5"/>
  <c r="F128" i="5"/>
  <c r="B129" i="5"/>
  <c r="C129" i="5"/>
  <c r="D129" i="5"/>
  <c r="E129" i="5"/>
  <c r="F129" i="5"/>
  <c r="B130" i="5"/>
  <c r="C130" i="5"/>
  <c r="D130" i="5"/>
  <c r="E130" i="5"/>
  <c r="F130" i="5"/>
  <c r="B131" i="5"/>
  <c r="C131" i="5"/>
  <c r="D131" i="5"/>
  <c r="E131" i="5"/>
  <c r="F131" i="5"/>
  <c r="B132" i="5"/>
  <c r="C132" i="5"/>
  <c r="D132" i="5"/>
  <c r="E132" i="5"/>
  <c r="F132" i="5"/>
  <c r="B133" i="5"/>
  <c r="C133" i="5"/>
  <c r="D133" i="5"/>
  <c r="E133" i="5"/>
  <c r="F133" i="5"/>
  <c r="B134" i="5"/>
  <c r="C134" i="5"/>
  <c r="D134" i="5"/>
  <c r="E134" i="5"/>
  <c r="F134" i="5"/>
  <c r="B135" i="5"/>
  <c r="C135" i="5"/>
  <c r="D135" i="5"/>
  <c r="E135" i="5"/>
  <c r="F135" i="5"/>
  <c r="B136" i="5"/>
  <c r="C136" i="5"/>
  <c r="D136" i="5"/>
  <c r="E136" i="5"/>
  <c r="F136" i="5"/>
  <c r="B137" i="5"/>
  <c r="C137" i="5"/>
  <c r="D137" i="5"/>
  <c r="E137" i="5"/>
  <c r="F137" i="5"/>
  <c r="B138" i="5"/>
  <c r="C138" i="5"/>
  <c r="D138" i="5"/>
  <c r="E138" i="5"/>
  <c r="F138" i="5"/>
  <c r="B139" i="5"/>
  <c r="C139" i="5"/>
  <c r="D139" i="5"/>
  <c r="E139" i="5"/>
  <c r="F139" i="5"/>
  <c r="B140" i="5"/>
  <c r="C140" i="5"/>
  <c r="D140" i="5"/>
  <c r="E140" i="5"/>
  <c r="F140" i="5"/>
  <c r="B141" i="5"/>
  <c r="C141" i="5"/>
  <c r="D141" i="5"/>
  <c r="E141" i="5"/>
  <c r="F141" i="5"/>
  <c r="B142" i="5"/>
  <c r="C142" i="5"/>
  <c r="D142" i="5"/>
  <c r="E142" i="5"/>
  <c r="F142" i="5"/>
  <c r="B143" i="5"/>
  <c r="C143" i="5"/>
  <c r="D143" i="5"/>
  <c r="E143" i="5"/>
  <c r="F143" i="5"/>
  <c r="B144" i="5"/>
  <c r="C144" i="5"/>
  <c r="D144" i="5"/>
  <c r="E144" i="5"/>
  <c r="F144" i="5"/>
  <c r="B145" i="5"/>
  <c r="C145" i="5"/>
  <c r="D145" i="5"/>
  <c r="E145" i="5"/>
  <c r="F145" i="5"/>
  <c r="B146" i="5"/>
  <c r="C146" i="5"/>
  <c r="D146" i="5"/>
  <c r="E146" i="5"/>
  <c r="F146" i="5"/>
  <c r="B147" i="5"/>
  <c r="C147" i="5"/>
  <c r="D147" i="5"/>
  <c r="E147" i="5"/>
  <c r="F147" i="5"/>
  <c r="B148" i="5"/>
  <c r="C148" i="5"/>
  <c r="D148" i="5"/>
  <c r="E148" i="5"/>
  <c r="F148" i="5"/>
  <c r="B149" i="5"/>
  <c r="C149" i="5"/>
  <c r="D149" i="5"/>
  <c r="E149" i="5"/>
  <c r="F149" i="5"/>
  <c r="B150" i="5"/>
  <c r="C150" i="5"/>
  <c r="D150" i="5"/>
  <c r="E150" i="5"/>
  <c r="F150" i="5"/>
  <c r="B151" i="5"/>
  <c r="C151" i="5"/>
  <c r="D151" i="5"/>
  <c r="E151" i="5"/>
  <c r="F151" i="5"/>
  <c r="B152" i="5"/>
  <c r="C152" i="5"/>
  <c r="D152" i="5"/>
  <c r="E152" i="5"/>
  <c r="F152" i="5"/>
  <c r="B153" i="5"/>
  <c r="C153" i="5"/>
  <c r="D153" i="5"/>
  <c r="E153" i="5"/>
  <c r="F153" i="5"/>
  <c r="B154" i="5"/>
  <c r="C154" i="5"/>
  <c r="D154" i="5"/>
  <c r="E154" i="5"/>
  <c r="F154" i="5"/>
  <c r="B155" i="5"/>
  <c r="C155" i="5"/>
  <c r="D155" i="5"/>
  <c r="E155" i="5"/>
  <c r="F155" i="5"/>
  <c r="B156" i="5"/>
  <c r="C156" i="5"/>
  <c r="D156" i="5"/>
  <c r="E156" i="5"/>
  <c r="F156" i="5"/>
  <c r="B157" i="5"/>
  <c r="C157" i="5"/>
  <c r="D157" i="5"/>
  <c r="E157" i="5"/>
  <c r="F157" i="5"/>
  <c r="B158" i="5"/>
  <c r="C158" i="5"/>
  <c r="D158" i="5"/>
  <c r="E158" i="5"/>
  <c r="F158" i="5"/>
  <c r="B159" i="5"/>
  <c r="C159" i="5"/>
  <c r="D159" i="5"/>
  <c r="E159" i="5"/>
  <c r="F159" i="5"/>
  <c r="B160" i="5"/>
  <c r="C160" i="5"/>
  <c r="D160" i="5"/>
  <c r="E160" i="5"/>
  <c r="F160" i="5"/>
  <c r="B161" i="5"/>
  <c r="C161" i="5"/>
  <c r="D161" i="5"/>
  <c r="E161" i="5"/>
  <c r="F161" i="5"/>
  <c r="B162" i="5"/>
  <c r="C162" i="5"/>
  <c r="D162" i="5"/>
  <c r="E162" i="5"/>
  <c r="F162" i="5"/>
  <c r="B163" i="5"/>
  <c r="C163" i="5"/>
  <c r="D163" i="5"/>
  <c r="E163" i="5"/>
  <c r="F163" i="5"/>
  <c r="B164" i="5"/>
  <c r="C164" i="5"/>
  <c r="D164" i="5"/>
  <c r="E164" i="5"/>
  <c r="F164" i="5"/>
  <c r="B165" i="5"/>
  <c r="C165" i="5"/>
  <c r="D165" i="5"/>
  <c r="E165" i="5"/>
  <c r="F165" i="5"/>
  <c r="B166" i="5"/>
  <c r="C166" i="5"/>
  <c r="D166" i="5"/>
  <c r="E166" i="5"/>
  <c r="F166" i="5"/>
  <c r="B167" i="5"/>
  <c r="C167" i="5"/>
  <c r="D167" i="5"/>
  <c r="E167" i="5"/>
  <c r="F167" i="5"/>
  <c r="B168" i="5"/>
  <c r="C168" i="5"/>
  <c r="D168" i="5"/>
  <c r="E168" i="5"/>
  <c r="F168" i="5"/>
  <c r="B169" i="5"/>
  <c r="C169" i="5"/>
  <c r="D169" i="5"/>
  <c r="E169" i="5"/>
  <c r="F169" i="5"/>
  <c r="B170" i="5"/>
  <c r="C170" i="5"/>
  <c r="D170" i="5"/>
  <c r="E170" i="5"/>
  <c r="F170" i="5"/>
  <c r="B171" i="5"/>
  <c r="C171" i="5"/>
  <c r="D171" i="5"/>
  <c r="E171" i="5"/>
  <c r="F171" i="5"/>
  <c r="B172" i="5"/>
  <c r="C172" i="5"/>
  <c r="D172" i="5"/>
  <c r="E172" i="5"/>
  <c r="F172" i="5"/>
  <c r="B173" i="5"/>
  <c r="C173" i="5"/>
  <c r="D173" i="5"/>
  <c r="E173" i="5"/>
  <c r="F173" i="5"/>
  <c r="B174" i="5"/>
  <c r="C174" i="5"/>
  <c r="D174" i="5"/>
  <c r="E174" i="5"/>
  <c r="F174" i="5"/>
  <c r="B175" i="5"/>
  <c r="C175" i="5"/>
  <c r="D175" i="5"/>
  <c r="E175" i="5"/>
  <c r="F175" i="5"/>
  <c r="B176" i="5"/>
  <c r="C176" i="5"/>
  <c r="D176" i="5"/>
  <c r="E176" i="5"/>
  <c r="F176" i="5"/>
  <c r="B177" i="5"/>
  <c r="C177" i="5"/>
  <c r="D177" i="5"/>
  <c r="E177" i="5"/>
  <c r="F177" i="5"/>
  <c r="B178" i="5"/>
  <c r="C178" i="5"/>
  <c r="D178" i="5"/>
  <c r="E178" i="5"/>
  <c r="F178" i="5"/>
  <c r="B179" i="5"/>
  <c r="C179" i="5"/>
  <c r="D179" i="5"/>
  <c r="E179" i="5"/>
  <c r="F179" i="5"/>
  <c r="B180" i="5"/>
  <c r="C180" i="5"/>
  <c r="D180" i="5"/>
  <c r="E180" i="5"/>
  <c r="F180" i="5"/>
  <c r="B181" i="5"/>
  <c r="C181" i="5"/>
  <c r="D181" i="5"/>
  <c r="E181" i="5"/>
  <c r="F181" i="5"/>
  <c r="B182" i="5"/>
  <c r="C182" i="5"/>
  <c r="D182" i="5"/>
  <c r="E182" i="5"/>
  <c r="F182" i="5"/>
  <c r="B183" i="5"/>
  <c r="C183" i="5"/>
  <c r="D183" i="5"/>
  <c r="E183" i="5"/>
  <c r="F183" i="5"/>
  <c r="B184" i="5"/>
  <c r="C184" i="5"/>
  <c r="D184" i="5"/>
  <c r="E184" i="5"/>
  <c r="F184" i="5"/>
  <c r="B185" i="5"/>
  <c r="C185" i="5"/>
  <c r="D185" i="5"/>
  <c r="E185" i="5"/>
  <c r="F185" i="5"/>
  <c r="B186" i="5"/>
  <c r="C186" i="5"/>
  <c r="D186" i="5"/>
  <c r="E186" i="5"/>
  <c r="F186" i="5"/>
  <c r="B187" i="5"/>
  <c r="C187" i="5"/>
  <c r="D187" i="5"/>
  <c r="E187" i="5"/>
  <c r="F187" i="5"/>
  <c r="B188" i="5"/>
  <c r="C188" i="5"/>
  <c r="D188" i="5"/>
  <c r="E188" i="5"/>
  <c r="F188" i="5"/>
  <c r="B189" i="5"/>
  <c r="C189" i="5"/>
  <c r="D189" i="5"/>
  <c r="E189" i="5"/>
  <c r="F189" i="5"/>
  <c r="B190" i="5"/>
  <c r="C190" i="5"/>
  <c r="D190" i="5"/>
  <c r="E190" i="5"/>
  <c r="F190" i="5"/>
  <c r="B191" i="5"/>
  <c r="C191" i="5"/>
  <c r="D191" i="5"/>
  <c r="E191" i="5"/>
  <c r="F191" i="5"/>
  <c r="B192" i="5"/>
  <c r="C192" i="5"/>
  <c r="D192" i="5"/>
  <c r="E192" i="5"/>
  <c r="F192" i="5"/>
  <c r="B193" i="5"/>
  <c r="C193" i="5"/>
  <c r="D193" i="5"/>
  <c r="E193" i="5"/>
  <c r="F193" i="5"/>
  <c r="B194" i="5"/>
  <c r="C194" i="5"/>
  <c r="D194" i="5"/>
  <c r="E194" i="5"/>
  <c r="F194" i="5"/>
  <c r="B195" i="5"/>
  <c r="C195" i="5"/>
  <c r="D195" i="5"/>
  <c r="E195" i="5"/>
  <c r="F195" i="5"/>
  <c r="B196" i="5"/>
  <c r="C196" i="5"/>
  <c r="D196" i="5"/>
  <c r="E196" i="5"/>
  <c r="F196" i="5"/>
  <c r="B197" i="5"/>
  <c r="C197" i="5"/>
  <c r="D197" i="5"/>
  <c r="E197" i="5"/>
  <c r="F197" i="5"/>
  <c r="B198" i="5"/>
  <c r="C198" i="5"/>
  <c r="D198" i="5"/>
  <c r="E198" i="5"/>
  <c r="F198" i="5"/>
  <c r="B199" i="5"/>
  <c r="C199" i="5"/>
  <c r="D199" i="5"/>
  <c r="E199" i="5"/>
  <c r="F199" i="5"/>
  <c r="B200" i="5"/>
  <c r="C200" i="5"/>
  <c r="D200" i="5"/>
  <c r="E200" i="5"/>
  <c r="F200" i="5"/>
  <c r="B201" i="5"/>
  <c r="C201" i="5"/>
  <c r="D201" i="5"/>
  <c r="E201" i="5"/>
  <c r="F201" i="5"/>
  <c r="B202" i="5"/>
  <c r="C202" i="5"/>
  <c r="D202" i="5"/>
  <c r="E202" i="5"/>
  <c r="F202" i="5"/>
  <c r="B203" i="5"/>
  <c r="C203" i="5"/>
  <c r="D203" i="5"/>
  <c r="E203" i="5"/>
  <c r="F203" i="5"/>
  <c r="B204" i="5"/>
  <c r="C204" i="5"/>
  <c r="D204" i="5"/>
  <c r="E204" i="5"/>
  <c r="F204" i="5"/>
  <c r="B205" i="5"/>
  <c r="C205" i="5"/>
  <c r="D205" i="5"/>
  <c r="E205" i="5"/>
  <c r="F205" i="5"/>
  <c r="B206" i="5"/>
  <c r="C206" i="5"/>
  <c r="D206" i="5"/>
  <c r="E206" i="5"/>
  <c r="F206" i="5"/>
  <c r="B207" i="5"/>
  <c r="C207" i="5"/>
  <c r="D207" i="5"/>
  <c r="E207" i="5"/>
  <c r="F207" i="5"/>
  <c r="B208" i="5"/>
  <c r="C208" i="5"/>
  <c r="D208" i="5"/>
  <c r="E208" i="5"/>
  <c r="F208" i="5"/>
  <c r="B209" i="5"/>
  <c r="C209" i="5"/>
  <c r="D209" i="5"/>
  <c r="E209" i="5"/>
  <c r="F209" i="5"/>
  <c r="B210" i="5"/>
  <c r="C210" i="5"/>
  <c r="D210" i="5"/>
  <c r="E210" i="5"/>
  <c r="F210" i="5"/>
  <c r="B211" i="5"/>
  <c r="C211" i="5"/>
  <c r="D211" i="5"/>
  <c r="E211" i="5"/>
  <c r="F211" i="5"/>
  <c r="B212" i="5"/>
  <c r="C212" i="5"/>
  <c r="D212" i="5"/>
  <c r="E212" i="5"/>
  <c r="F212" i="5"/>
  <c r="B213" i="5"/>
  <c r="C213" i="5"/>
  <c r="D213" i="5"/>
  <c r="E213" i="5"/>
  <c r="F213" i="5"/>
  <c r="B214" i="5"/>
  <c r="C214" i="5"/>
  <c r="D214" i="5"/>
  <c r="E214" i="5"/>
  <c r="F214" i="5"/>
  <c r="B215" i="5"/>
  <c r="C215" i="5"/>
  <c r="D215" i="5"/>
  <c r="E215" i="5"/>
  <c r="F215" i="5"/>
  <c r="B216" i="5"/>
  <c r="C216" i="5"/>
  <c r="D216" i="5"/>
  <c r="E216" i="5"/>
  <c r="F216" i="5"/>
  <c r="B217" i="5"/>
  <c r="C217" i="5"/>
  <c r="D217" i="5"/>
  <c r="E217" i="5"/>
  <c r="F217" i="5"/>
  <c r="B218" i="5"/>
  <c r="C218" i="5"/>
  <c r="D218" i="5"/>
  <c r="E218" i="5"/>
  <c r="F218" i="5"/>
  <c r="B219" i="5"/>
  <c r="C219" i="5"/>
  <c r="D219" i="5"/>
  <c r="E219" i="5"/>
  <c r="F219" i="5"/>
  <c r="B220" i="5"/>
  <c r="C220" i="5"/>
  <c r="D220" i="5"/>
  <c r="E220" i="5"/>
  <c r="F220" i="5"/>
  <c r="B221" i="5"/>
  <c r="C221" i="5"/>
  <c r="D221" i="5"/>
  <c r="E221" i="5"/>
  <c r="F221" i="5"/>
  <c r="B222" i="5"/>
  <c r="C222" i="5"/>
  <c r="D222" i="5"/>
  <c r="E222" i="5"/>
  <c r="F222" i="5"/>
  <c r="B223" i="5"/>
  <c r="C223" i="5"/>
  <c r="D223" i="5"/>
  <c r="E223" i="5"/>
  <c r="F223" i="5"/>
  <c r="B224" i="5"/>
  <c r="C224" i="5"/>
  <c r="D224" i="5"/>
  <c r="B225" i="5"/>
  <c r="C225" i="5"/>
  <c r="D225" i="5"/>
  <c r="E225" i="5"/>
  <c r="F225" i="5"/>
  <c r="B226" i="5"/>
  <c r="C226" i="5"/>
  <c r="D226" i="5"/>
  <c r="E226" i="5"/>
  <c r="F226" i="5"/>
  <c r="B227" i="5"/>
  <c r="C227" i="5"/>
  <c r="D227" i="5"/>
  <c r="E227" i="5"/>
  <c r="F227" i="5"/>
  <c r="B228" i="5"/>
  <c r="C228" i="5"/>
  <c r="D228" i="5"/>
  <c r="E228" i="5"/>
  <c r="F228" i="5"/>
  <c r="B229" i="5"/>
  <c r="C229" i="5"/>
  <c r="D229" i="5"/>
  <c r="E229" i="5"/>
  <c r="F229" i="5"/>
  <c r="B230" i="5"/>
  <c r="C230" i="5"/>
  <c r="D230" i="5"/>
  <c r="E230" i="5"/>
  <c r="F230" i="5"/>
  <c r="B231" i="5"/>
  <c r="C231" i="5"/>
  <c r="D231" i="5"/>
  <c r="E231" i="5"/>
  <c r="F231" i="5"/>
  <c r="B232" i="5"/>
  <c r="C232" i="5"/>
  <c r="D232" i="5"/>
  <c r="E232" i="5"/>
  <c r="F232" i="5"/>
  <c r="B233" i="5"/>
  <c r="C233" i="5"/>
  <c r="D233" i="5"/>
  <c r="E233" i="5"/>
  <c r="F233" i="5"/>
  <c r="B234" i="5"/>
  <c r="C234" i="5"/>
  <c r="D234" i="5"/>
  <c r="E234" i="5"/>
  <c r="F234" i="5"/>
  <c r="B235" i="5"/>
  <c r="C235" i="5"/>
  <c r="D235" i="5"/>
  <c r="E235" i="5"/>
  <c r="F235" i="5"/>
  <c r="B236" i="5"/>
  <c r="C236" i="5"/>
  <c r="D236" i="5"/>
  <c r="E236" i="5"/>
  <c r="F236" i="5"/>
  <c r="B237" i="5"/>
  <c r="C237" i="5"/>
  <c r="D237" i="5"/>
  <c r="E237" i="5"/>
  <c r="F237" i="5"/>
  <c r="B238" i="5"/>
  <c r="C238" i="5"/>
  <c r="D238" i="5"/>
  <c r="E238" i="5"/>
  <c r="F238" i="5"/>
  <c r="B239" i="5"/>
  <c r="C239" i="5"/>
  <c r="D239" i="5"/>
  <c r="E239" i="5"/>
  <c r="F239" i="5"/>
  <c r="B240" i="5"/>
  <c r="C240" i="5"/>
  <c r="D240" i="5"/>
  <c r="E240" i="5"/>
  <c r="F240" i="5"/>
  <c r="B241" i="5"/>
  <c r="C241" i="5"/>
  <c r="D241" i="5"/>
  <c r="E241" i="5"/>
  <c r="F241" i="5"/>
  <c r="B242" i="5"/>
  <c r="C242" i="5"/>
  <c r="D242" i="5"/>
  <c r="E242" i="5"/>
  <c r="F242" i="5"/>
  <c r="B243" i="5"/>
  <c r="C243" i="5"/>
  <c r="D243" i="5"/>
  <c r="E243" i="5"/>
  <c r="F243" i="5"/>
  <c r="B244" i="5"/>
  <c r="C244" i="5"/>
  <c r="D244" i="5"/>
  <c r="E244" i="5"/>
  <c r="F244" i="5"/>
  <c r="B245" i="5"/>
  <c r="C245" i="5"/>
  <c r="D245" i="5"/>
  <c r="E245" i="5"/>
  <c r="F245" i="5"/>
  <c r="B246" i="5"/>
  <c r="C246" i="5"/>
  <c r="D246" i="5"/>
  <c r="E246" i="5"/>
  <c r="F246" i="5"/>
  <c r="B247" i="5"/>
  <c r="C247" i="5"/>
  <c r="D247" i="5"/>
  <c r="E247" i="5"/>
  <c r="F247" i="5"/>
  <c r="B248" i="5"/>
  <c r="C248" i="5"/>
  <c r="D248" i="5"/>
  <c r="E248" i="5"/>
  <c r="F248" i="5"/>
  <c r="B249" i="5"/>
  <c r="C249" i="5"/>
  <c r="D249" i="5"/>
  <c r="E249" i="5"/>
  <c r="F249" i="5"/>
  <c r="B250" i="5"/>
  <c r="C250" i="5"/>
  <c r="D250" i="5"/>
  <c r="E250" i="5"/>
  <c r="F250" i="5"/>
  <c r="B251" i="5"/>
  <c r="C251" i="5"/>
  <c r="E251" i="5"/>
  <c r="F251" i="5"/>
  <c r="F252" i="5"/>
  <c r="B253" i="5"/>
  <c r="C253" i="5"/>
  <c r="D253" i="5"/>
  <c r="E253" i="5"/>
  <c r="F253" i="5"/>
  <c r="B254" i="5"/>
  <c r="C254" i="5"/>
  <c r="D254" i="5"/>
  <c r="E254" i="5"/>
  <c r="F254" i="5"/>
  <c r="B255" i="5"/>
  <c r="C255" i="5"/>
  <c r="D255" i="5"/>
  <c r="E255" i="5"/>
  <c r="F255" i="5"/>
  <c r="B256" i="5"/>
  <c r="C256" i="5"/>
  <c r="D256" i="5"/>
  <c r="E256" i="5"/>
  <c r="F256" i="5"/>
  <c r="B257" i="5"/>
  <c r="C257" i="5"/>
  <c r="D257" i="5"/>
  <c r="E257" i="5"/>
  <c r="F257" i="5"/>
  <c r="B258" i="5"/>
  <c r="C258" i="5"/>
  <c r="D258" i="5"/>
  <c r="E258" i="5"/>
  <c r="F258" i="5"/>
  <c r="B259" i="5"/>
  <c r="C259" i="5"/>
  <c r="D259" i="5"/>
  <c r="E259" i="5"/>
  <c r="F259" i="5"/>
  <c r="B260" i="5"/>
  <c r="C260" i="5"/>
  <c r="D260" i="5"/>
  <c r="E260" i="5"/>
  <c r="F260" i="5"/>
  <c r="B261" i="5"/>
  <c r="C261" i="5"/>
  <c r="D261" i="5"/>
  <c r="E261" i="5"/>
  <c r="F261" i="5"/>
  <c r="B262" i="5"/>
  <c r="C262" i="5"/>
  <c r="D262" i="5"/>
  <c r="E262" i="5"/>
  <c r="F262" i="5"/>
  <c r="B263" i="5"/>
  <c r="C263" i="5"/>
  <c r="D263" i="5"/>
  <c r="E263" i="5"/>
  <c r="F263" i="5"/>
  <c r="B264" i="5"/>
  <c r="C264" i="5"/>
  <c r="D264" i="5"/>
  <c r="E264" i="5"/>
  <c r="F264" i="5"/>
  <c r="B265" i="5"/>
  <c r="C265" i="5"/>
  <c r="D265" i="5"/>
  <c r="E265" i="5"/>
  <c r="F265" i="5"/>
  <c r="B266" i="5"/>
  <c r="C266" i="5"/>
  <c r="D266" i="5"/>
  <c r="E266" i="5"/>
  <c r="F266" i="5"/>
  <c r="B267" i="5"/>
  <c r="C267" i="5"/>
  <c r="D267" i="5"/>
  <c r="E267" i="5"/>
  <c r="F267" i="5"/>
  <c r="B268" i="5"/>
  <c r="C268" i="5"/>
  <c r="D268" i="5"/>
  <c r="E268" i="5"/>
  <c r="F268" i="5"/>
  <c r="B269" i="5"/>
  <c r="C269" i="5"/>
  <c r="D269" i="5"/>
  <c r="E269" i="5"/>
  <c r="F269" i="5"/>
  <c r="B270" i="5"/>
  <c r="C270" i="5"/>
  <c r="D270" i="5"/>
  <c r="E270" i="5"/>
  <c r="F270" i="5"/>
  <c r="B271" i="5"/>
  <c r="C271" i="5"/>
  <c r="D271" i="5"/>
  <c r="E271" i="5"/>
  <c r="F271" i="5"/>
  <c r="B272" i="5"/>
  <c r="C272" i="5"/>
  <c r="D272" i="5"/>
  <c r="E272" i="5"/>
  <c r="F272" i="5"/>
  <c r="B273" i="5"/>
  <c r="C273" i="5"/>
  <c r="D273" i="5"/>
  <c r="E273" i="5"/>
  <c r="F273" i="5"/>
  <c r="B274" i="5"/>
  <c r="C274" i="5"/>
  <c r="D274" i="5"/>
  <c r="E274" i="5"/>
  <c r="F274" i="5"/>
  <c r="B275" i="5"/>
  <c r="C275" i="5"/>
  <c r="D275" i="5"/>
  <c r="E275" i="5"/>
  <c r="F275" i="5"/>
  <c r="B276" i="5"/>
  <c r="C276" i="5"/>
  <c r="D276" i="5"/>
  <c r="E276" i="5"/>
  <c r="F276" i="5"/>
  <c r="B277" i="5"/>
  <c r="C277" i="5"/>
  <c r="D277" i="5"/>
  <c r="E277" i="5"/>
  <c r="F277" i="5"/>
  <c r="B278" i="5"/>
  <c r="C278" i="5"/>
  <c r="D278" i="5"/>
  <c r="E278" i="5"/>
  <c r="F278" i="5"/>
  <c r="B279" i="5"/>
  <c r="C279" i="5"/>
  <c r="D279" i="5"/>
  <c r="E279" i="5"/>
  <c r="F279" i="5"/>
  <c r="B280" i="5"/>
  <c r="C280" i="5"/>
  <c r="D280" i="5"/>
  <c r="E280" i="5"/>
  <c r="F280" i="5"/>
  <c r="B281" i="5"/>
  <c r="C281" i="5"/>
  <c r="D281" i="5"/>
  <c r="E281" i="5"/>
  <c r="F281" i="5"/>
  <c r="B282" i="5"/>
  <c r="C282" i="5"/>
  <c r="D282" i="5"/>
  <c r="E282" i="5"/>
  <c r="F282" i="5"/>
  <c r="B283" i="5"/>
  <c r="C283" i="5"/>
  <c r="D283" i="5"/>
  <c r="E283" i="5"/>
  <c r="F283" i="5"/>
  <c r="B284" i="5"/>
  <c r="C284" i="5"/>
  <c r="D284" i="5"/>
  <c r="E284" i="5"/>
  <c r="F284" i="5"/>
  <c r="B285" i="5"/>
  <c r="C285" i="5"/>
  <c r="D285" i="5"/>
  <c r="E285" i="5"/>
  <c r="F285" i="5"/>
  <c r="B286" i="5"/>
  <c r="C286" i="5"/>
  <c r="D286" i="5"/>
  <c r="E286" i="5"/>
  <c r="F286" i="5"/>
  <c r="B287" i="5"/>
  <c r="C287" i="5"/>
  <c r="D287" i="5"/>
  <c r="E287" i="5"/>
  <c r="F287" i="5"/>
  <c r="B288" i="5"/>
  <c r="C288" i="5"/>
  <c r="D288" i="5"/>
  <c r="E288" i="5"/>
  <c r="F288" i="5"/>
  <c r="B289" i="5"/>
  <c r="C289" i="5"/>
  <c r="D289" i="5"/>
  <c r="E289" i="5"/>
  <c r="F289" i="5"/>
  <c r="B290" i="5"/>
  <c r="C290" i="5"/>
  <c r="D290" i="5"/>
  <c r="E290" i="5"/>
  <c r="F290" i="5"/>
  <c r="B291" i="5"/>
  <c r="C291" i="5"/>
  <c r="D291" i="5"/>
  <c r="E291" i="5"/>
  <c r="F291" i="5"/>
  <c r="B292" i="5"/>
  <c r="C292" i="5"/>
  <c r="D292" i="5"/>
  <c r="F292" i="5"/>
  <c r="B293" i="5"/>
  <c r="C293" i="5"/>
  <c r="D293" i="5"/>
  <c r="E293" i="5"/>
  <c r="F293" i="5"/>
  <c r="B294" i="5"/>
  <c r="C294" i="5"/>
  <c r="D294" i="5"/>
  <c r="E294" i="5"/>
  <c r="F294" i="5"/>
  <c r="B295" i="5"/>
  <c r="C295" i="5"/>
  <c r="D295" i="5"/>
  <c r="E295" i="5"/>
  <c r="F295" i="5"/>
  <c r="B296" i="5"/>
  <c r="C296" i="5"/>
  <c r="D296" i="5"/>
  <c r="E296" i="5"/>
  <c r="F296" i="5"/>
  <c r="B297" i="5"/>
  <c r="C297" i="5"/>
  <c r="D297" i="5"/>
  <c r="E297" i="5"/>
  <c r="F297" i="5"/>
  <c r="B298" i="5"/>
  <c r="C298" i="5"/>
  <c r="D298" i="5"/>
  <c r="E298" i="5"/>
  <c r="F298" i="5"/>
  <c r="B299" i="5"/>
  <c r="C299" i="5"/>
  <c r="D299" i="5"/>
  <c r="E299" i="5"/>
  <c r="F299" i="5"/>
  <c r="B300" i="5"/>
  <c r="C300" i="5"/>
  <c r="E300" i="5"/>
  <c r="F300" i="5"/>
  <c r="B301" i="5"/>
  <c r="C301" i="5"/>
  <c r="D301" i="5"/>
  <c r="E301" i="5"/>
  <c r="F301" i="5"/>
  <c r="B302" i="5"/>
  <c r="C302" i="5"/>
  <c r="D302" i="5"/>
  <c r="E302" i="5"/>
  <c r="F302" i="5"/>
  <c r="B303" i="5"/>
  <c r="C303" i="5"/>
  <c r="D303" i="5"/>
  <c r="E303" i="5"/>
  <c r="F303" i="5"/>
  <c r="B304" i="5"/>
  <c r="C304" i="5"/>
  <c r="D304" i="5"/>
  <c r="E304" i="5"/>
  <c r="F304" i="5"/>
  <c r="B305" i="5"/>
  <c r="C305" i="5"/>
  <c r="D305" i="5"/>
  <c r="E305" i="5"/>
  <c r="F305" i="5"/>
  <c r="B306" i="5"/>
  <c r="C306" i="5"/>
  <c r="D306" i="5"/>
  <c r="E306" i="5"/>
  <c r="F306" i="5"/>
  <c r="B307" i="5"/>
  <c r="C307" i="5"/>
  <c r="D307" i="5"/>
  <c r="E307" i="5"/>
  <c r="F307" i="5"/>
  <c r="B308" i="5"/>
  <c r="C308" i="5"/>
  <c r="D308" i="5"/>
  <c r="F308" i="5"/>
  <c r="B309" i="5"/>
  <c r="C309" i="5"/>
  <c r="D309" i="5"/>
  <c r="E309" i="5"/>
  <c r="F309" i="5"/>
  <c r="B310" i="5"/>
  <c r="C310" i="5"/>
  <c r="D310" i="5"/>
  <c r="E310" i="5"/>
  <c r="F310" i="5"/>
  <c r="B311" i="5"/>
  <c r="C311" i="5"/>
  <c r="D311" i="5"/>
  <c r="E311" i="5"/>
  <c r="F311" i="5"/>
  <c r="B312" i="5"/>
  <c r="C312" i="5"/>
  <c r="D312" i="5"/>
  <c r="E312" i="5"/>
  <c r="F312" i="5"/>
  <c r="B313" i="5"/>
  <c r="C313" i="5"/>
  <c r="D313" i="5"/>
  <c r="E313" i="5"/>
  <c r="F313" i="5"/>
  <c r="B314" i="5"/>
  <c r="C314" i="5"/>
  <c r="D314" i="5"/>
  <c r="E314" i="5"/>
  <c r="F314" i="5"/>
  <c r="B315" i="5"/>
  <c r="C315" i="5"/>
  <c r="D315" i="5"/>
  <c r="E315" i="5"/>
  <c r="F315" i="5"/>
  <c r="B316" i="5"/>
  <c r="C316" i="5"/>
  <c r="D316" i="5"/>
  <c r="F316" i="5"/>
  <c r="B317" i="5"/>
  <c r="C317" i="5"/>
  <c r="D317" i="5"/>
  <c r="E317" i="5"/>
  <c r="F317" i="5"/>
  <c r="B318" i="5"/>
  <c r="C318" i="5"/>
  <c r="D318" i="5"/>
  <c r="E318" i="5"/>
  <c r="F318" i="5"/>
  <c r="B319" i="5"/>
  <c r="C319" i="5"/>
  <c r="D319" i="5"/>
  <c r="E319" i="5"/>
  <c r="F319" i="5"/>
  <c r="B320" i="5"/>
  <c r="C320" i="5"/>
  <c r="D320" i="5"/>
  <c r="E320" i="5"/>
  <c r="F320" i="5"/>
  <c r="B321" i="5"/>
  <c r="C321" i="5"/>
  <c r="D321" i="5"/>
  <c r="E321" i="5"/>
  <c r="F321" i="5"/>
  <c r="B322" i="5"/>
  <c r="C322" i="5"/>
  <c r="D322" i="5"/>
  <c r="E322" i="5"/>
  <c r="F322" i="5"/>
  <c r="B323" i="5"/>
  <c r="C323" i="5"/>
  <c r="D323" i="5"/>
  <c r="F323" i="5"/>
  <c r="B324" i="5"/>
  <c r="C324" i="5"/>
  <c r="D324" i="5"/>
  <c r="E324" i="5"/>
  <c r="F324" i="5"/>
  <c r="B325" i="5"/>
  <c r="C325" i="5"/>
  <c r="D325" i="5"/>
  <c r="E325" i="5"/>
  <c r="F325" i="5"/>
  <c r="B326" i="5"/>
  <c r="C326" i="5"/>
  <c r="D326" i="5"/>
  <c r="F326" i="5"/>
  <c r="B327" i="5"/>
  <c r="C327" i="5"/>
  <c r="D327" i="5"/>
  <c r="E327" i="5"/>
  <c r="F327" i="5"/>
  <c r="B328" i="5"/>
  <c r="C328" i="5"/>
  <c r="D328" i="5"/>
  <c r="E328" i="5"/>
  <c r="F328" i="5"/>
  <c r="B329" i="5"/>
  <c r="C329" i="5"/>
  <c r="D329" i="5"/>
  <c r="E329" i="5"/>
  <c r="F329" i="5"/>
  <c r="B330" i="5"/>
  <c r="C330" i="5"/>
  <c r="D330" i="5"/>
  <c r="E330" i="5"/>
  <c r="F330" i="5"/>
  <c r="B331" i="5"/>
  <c r="C331" i="5"/>
  <c r="D331" i="5"/>
  <c r="E331" i="5"/>
  <c r="F331" i="5"/>
  <c r="B332" i="5"/>
  <c r="C332" i="5"/>
  <c r="D332" i="5"/>
  <c r="F332" i="5"/>
  <c r="B333" i="5"/>
  <c r="C333" i="5"/>
  <c r="D333" i="5"/>
  <c r="E333" i="5"/>
  <c r="F333" i="5"/>
  <c r="B334" i="5"/>
  <c r="C334" i="5"/>
  <c r="D334" i="5"/>
  <c r="E334" i="5"/>
  <c r="F334" i="5"/>
  <c r="B335" i="5"/>
  <c r="C335" i="5"/>
  <c r="D335" i="5"/>
  <c r="F335" i="5"/>
  <c r="B336" i="5"/>
  <c r="C336" i="5"/>
  <c r="D336" i="5"/>
  <c r="E336" i="5"/>
  <c r="F336" i="5"/>
  <c r="B337" i="5"/>
  <c r="C337" i="5"/>
  <c r="D337" i="5"/>
  <c r="E337" i="5"/>
  <c r="F337" i="5"/>
  <c r="B338" i="5"/>
  <c r="C338" i="5"/>
  <c r="D338" i="5"/>
  <c r="F338" i="5"/>
  <c r="B339" i="5"/>
  <c r="C339" i="5"/>
  <c r="D339" i="5"/>
  <c r="E339" i="5"/>
  <c r="F339" i="5"/>
  <c r="B340" i="5"/>
  <c r="C340" i="5"/>
  <c r="D340" i="5"/>
  <c r="E340" i="5"/>
  <c r="F340" i="5"/>
  <c r="B341" i="5"/>
  <c r="C341" i="5"/>
  <c r="D341" i="5"/>
  <c r="E341" i="5"/>
  <c r="F341" i="5"/>
  <c r="B342" i="5"/>
  <c r="C342" i="5"/>
  <c r="D342" i="5"/>
  <c r="E342" i="5"/>
  <c r="F342" i="5"/>
  <c r="B343" i="5"/>
  <c r="C343" i="5"/>
  <c r="D343" i="5"/>
  <c r="E343" i="5"/>
  <c r="F343" i="5"/>
  <c r="B344" i="5"/>
  <c r="C344" i="5"/>
  <c r="D344" i="5"/>
  <c r="F344" i="5"/>
  <c r="B345" i="5"/>
  <c r="C345" i="5"/>
  <c r="D345" i="5"/>
  <c r="E345" i="5"/>
  <c r="F345" i="5"/>
  <c r="B346" i="5"/>
  <c r="C346" i="5"/>
  <c r="D346" i="5"/>
  <c r="E346" i="5"/>
  <c r="F346" i="5"/>
  <c r="B347" i="5"/>
  <c r="C347" i="5"/>
  <c r="D347" i="5"/>
  <c r="F347" i="5"/>
  <c r="B348" i="5"/>
  <c r="C348" i="5"/>
  <c r="D348" i="5"/>
  <c r="E348" i="5"/>
  <c r="F348" i="5"/>
  <c r="B349" i="5"/>
  <c r="C349" i="5"/>
  <c r="D349" i="5"/>
  <c r="E349" i="5"/>
  <c r="F349" i="5"/>
  <c r="B350" i="5"/>
  <c r="C350" i="5"/>
  <c r="D350" i="5"/>
  <c r="E350" i="5"/>
  <c r="F350" i="5"/>
  <c r="B351" i="5"/>
  <c r="C351" i="5"/>
  <c r="D351" i="5"/>
  <c r="E351" i="5"/>
  <c r="F351" i="5"/>
  <c r="B352" i="5"/>
  <c r="C352" i="5"/>
  <c r="D352" i="5"/>
  <c r="E352" i="5"/>
  <c r="F352" i="5"/>
  <c r="B353" i="5"/>
  <c r="C353" i="5"/>
  <c r="D353" i="5"/>
  <c r="E353" i="5"/>
  <c r="F353" i="5"/>
  <c r="B354" i="5"/>
  <c r="C354" i="5"/>
  <c r="D354" i="5"/>
  <c r="E354" i="5"/>
  <c r="F354" i="5"/>
  <c r="B355" i="5"/>
  <c r="C355" i="5"/>
  <c r="D355" i="5"/>
  <c r="E355" i="5"/>
  <c r="F355" i="5"/>
  <c r="B356" i="5"/>
  <c r="C356" i="5"/>
  <c r="D356" i="5"/>
  <c r="E356" i="5"/>
  <c r="F356" i="5"/>
  <c r="B357" i="5"/>
  <c r="C357" i="5"/>
  <c r="D357" i="5"/>
  <c r="E357" i="5"/>
  <c r="F357" i="5"/>
  <c r="B358" i="5"/>
  <c r="C358" i="5"/>
  <c r="D358" i="5"/>
  <c r="E358" i="5"/>
  <c r="F358" i="5"/>
  <c r="B359" i="5"/>
  <c r="C359" i="5"/>
  <c r="D359" i="5"/>
  <c r="E359" i="5"/>
  <c r="F359" i="5"/>
  <c r="B360" i="5"/>
  <c r="C360" i="5"/>
  <c r="D360" i="5"/>
  <c r="E360" i="5"/>
  <c r="F360" i="5"/>
  <c r="B361" i="5"/>
  <c r="C361" i="5"/>
  <c r="D361" i="5"/>
  <c r="E361" i="5"/>
  <c r="F361" i="5"/>
  <c r="B362" i="5"/>
  <c r="C362" i="5"/>
  <c r="D362" i="5"/>
  <c r="E362" i="5"/>
  <c r="F362" i="5"/>
  <c r="B363" i="5"/>
  <c r="C363" i="5"/>
  <c r="D363" i="5"/>
  <c r="E363" i="5"/>
  <c r="F363" i="5"/>
  <c r="B364" i="5"/>
  <c r="C364" i="5"/>
  <c r="D364" i="5"/>
  <c r="E364" i="5"/>
  <c r="F364" i="5"/>
  <c r="B365" i="5"/>
  <c r="C365" i="5"/>
  <c r="D365" i="5"/>
  <c r="E365" i="5"/>
  <c r="F365" i="5"/>
  <c r="B366" i="5"/>
  <c r="C366" i="5"/>
  <c r="D366" i="5"/>
  <c r="E366" i="5"/>
  <c r="F366" i="5"/>
  <c r="B367" i="5"/>
  <c r="C367" i="5"/>
  <c r="D367" i="5"/>
  <c r="E367" i="5"/>
  <c r="F367" i="5"/>
  <c r="B368" i="5"/>
  <c r="C368" i="5"/>
  <c r="D368" i="5"/>
  <c r="E368" i="5"/>
  <c r="F368" i="5"/>
  <c r="B369" i="5"/>
  <c r="C369" i="5"/>
  <c r="D369" i="5"/>
  <c r="E369" i="5"/>
  <c r="F369" i="5"/>
  <c r="B370" i="5"/>
  <c r="C370" i="5"/>
  <c r="D370" i="5"/>
  <c r="E370" i="5"/>
  <c r="F370" i="5"/>
  <c r="B371" i="5"/>
  <c r="C371" i="5"/>
  <c r="D371" i="5"/>
  <c r="E371" i="5"/>
  <c r="F371" i="5"/>
  <c r="B372" i="5"/>
  <c r="C372" i="5"/>
  <c r="D372" i="5"/>
  <c r="E372" i="5"/>
  <c r="F372" i="5"/>
  <c r="B373" i="5"/>
  <c r="C373" i="5"/>
  <c r="D373" i="5"/>
  <c r="E373" i="5"/>
  <c r="F373" i="5"/>
  <c r="B374" i="5"/>
  <c r="C374" i="5"/>
  <c r="E374" i="5"/>
  <c r="F374" i="5"/>
  <c r="B375" i="5"/>
  <c r="C375" i="5"/>
  <c r="D375" i="5"/>
  <c r="E375" i="5"/>
  <c r="F375" i="5"/>
  <c r="B376" i="5"/>
  <c r="C376" i="5"/>
  <c r="D376" i="5"/>
  <c r="E376" i="5"/>
  <c r="F376" i="5"/>
  <c r="B377" i="5"/>
  <c r="C377" i="5"/>
  <c r="D377" i="5"/>
  <c r="E377" i="5"/>
  <c r="F377" i="5"/>
  <c r="B378" i="5"/>
  <c r="C378" i="5"/>
  <c r="D378" i="5"/>
  <c r="E378" i="5"/>
  <c r="F378" i="5"/>
  <c r="B379" i="5"/>
  <c r="C379" i="5"/>
  <c r="D379" i="5"/>
  <c r="E379" i="5"/>
  <c r="F379" i="5"/>
  <c r="B380" i="5"/>
  <c r="C380" i="5"/>
  <c r="D380" i="5"/>
  <c r="E380" i="5"/>
  <c r="F380" i="5"/>
  <c r="B381" i="5"/>
  <c r="C381" i="5"/>
  <c r="D381" i="5"/>
  <c r="E381" i="5"/>
  <c r="F381" i="5"/>
  <c r="B382" i="5"/>
  <c r="C382" i="5"/>
  <c r="D382" i="5"/>
  <c r="E382" i="5"/>
  <c r="F382" i="5"/>
  <c r="B383" i="5"/>
  <c r="C383" i="5"/>
  <c r="D383" i="5"/>
  <c r="E383" i="5"/>
  <c r="F383" i="5"/>
  <c r="B384" i="5"/>
  <c r="C384" i="5"/>
  <c r="D384" i="5"/>
  <c r="E384" i="5"/>
  <c r="F384" i="5"/>
  <c r="B385" i="5"/>
  <c r="C385" i="5"/>
  <c r="D385" i="5"/>
  <c r="E385" i="5"/>
  <c r="F385" i="5"/>
  <c r="B386" i="5"/>
  <c r="C386" i="5"/>
  <c r="D386" i="5"/>
  <c r="E386" i="5"/>
  <c r="F386" i="5"/>
  <c r="B387" i="5"/>
  <c r="C387" i="5"/>
  <c r="D387" i="5"/>
  <c r="E387" i="5"/>
  <c r="F387" i="5"/>
  <c r="B388" i="5"/>
  <c r="C388" i="5"/>
  <c r="D388" i="5"/>
  <c r="E388" i="5"/>
  <c r="F388" i="5"/>
  <c r="B389" i="5"/>
  <c r="C389" i="5"/>
  <c r="D389" i="5"/>
  <c r="E389" i="5"/>
  <c r="F389" i="5"/>
  <c r="B390" i="5"/>
  <c r="C390" i="5"/>
  <c r="D390" i="5"/>
  <c r="E390" i="5"/>
  <c r="F390" i="5"/>
  <c r="B391" i="5"/>
  <c r="C391" i="5"/>
  <c r="D391" i="5"/>
  <c r="E391" i="5"/>
  <c r="F391" i="5"/>
  <c r="B392" i="5"/>
  <c r="C392" i="5"/>
  <c r="D392" i="5"/>
  <c r="E392" i="5"/>
  <c r="F392" i="5"/>
  <c r="B393" i="5"/>
  <c r="C393" i="5"/>
  <c r="D393" i="5"/>
  <c r="E393" i="5"/>
  <c r="F393" i="5"/>
  <c r="B394" i="5"/>
  <c r="C394" i="5"/>
  <c r="D394" i="5"/>
  <c r="E394" i="5"/>
  <c r="F394" i="5"/>
  <c r="B395" i="5"/>
  <c r="C395" i="5"/>
  <c r="D395" i="5"/>
  <c r="E395" i="5"/>
  <c r="F395" i="5"/>
  <c r="B396" i="5"/>
  <c r="C396" i="5"/>
  <c r="D396" i="5"/>
  <c r="E396" i="5"/>
  <c r="F396" i="5"/>
  <c r="B397" i="5"/>
  <c r="C397" i="5"/>
  <c r="D397" i="5"/>
  <c r="E397" i="5"/>
  <c r="F397" i="5"/>
  <c r="B398" i="5"/>
  <c r="C398" i="5"/>
  <c r="D398" i="5"/>
  <c r="E398" i="5"/>
  <c r="B399" i="5"/>
  <c r="C399" i="5"/>
  <c r="D399" i="5"/>
  <c r="E399" i="5"/>
  <c r="F399" i="5"/>
  <c r="B400" i="5"/>
  <c r="C400" i="5"/>
  <c r="D400" i="5"/>
  <c r="E400" i="5"/>
  <c r="F400" i="5"/>
  <c r="C401" i="5"/>
  <c r="D401" i="5"/>
  <c r="E401" i="5"/>
  <c r="F401" i="5"/>
  <c r="B402" i="5"/>
  <c r="C402" i="5"/>
  <c r="D402" i="5"/>
  <c r="E402" i="5"/>
  <c r="F402" i="5"/>
  <c r="B403" i="5"/>
  <c r="C403" i="5"/>
  <c r="D403" i="5"/>
  <c r="E403" i="5"/>
  <c r="F403" i="5"/>
  <c r="B404" i="5"/>
  <c r="C404" i="5"/>
  <c r="D404" i="5"/>
  <c r="E404" i="5"/>
  <c r="F404" i="5"/>
  <c r="B405" i="5"/>
  <c r="C405" i="5"/>
  <c r="D405" i="5"/>
  <c r="E405" i="5"/>
  <c r="F405" i="5"/>
  <c r="B406" i="5"/>
  <c r="C406" i="5"/>
  <c r="D406" i="5"/>
  <c r="E406" i="5"/>
  <c r="F406" i="5"/>
  <c r="B407" i="5"/>
  <c r="C407" i="5"/>
  <c r="D407" i="5"/>
  <c r="E407" i="5"/>
  <c r="B408" i="5"/>
  <c r="C408" i="5"/>
  <c r="D408" i="5"/>
  <c r="E408" i="5"/>
  <c r="F408" i="5"/>
  <c r="B409" i="5"/>
  <c r="C409" i="5"/>
  <c r="D409" i="5"/>
  <c r="E409" i="5"/>
  <c r="F409" i="5"/>
  <c r="B410" i="5"/>
  <c r="C410" i="5"/>
  <c r="D410" i="5"/>
  <c r="E410" i="5"/>
  <c r="F410" i="5"/>
  <c r="B411" i="5"/>
  <c r="C411" i="5"/>
  <c r="D411" i="5"/>
  <c r="E411" i="5"/>
  <c r="F411" i="5"/>
  <c r="B412" i="5"/>
  <c r="C412" i="5"/>
  <c r="D412" i="5"/>
  <c r="E412" i="5"/>
  <c r="F412" i="5"/>
  <c r="B413" i="5"/>
  <c r="C413" i="5"/>
  <c r="D413" i="5"/>
  <c r="E413" i="5"/>
  <c r="F413" i="5"/>
  <c r="B414" i="5"/>
  <c r="C414" i="5"/>
  <c r="D414" i="5"/>
  <c r="E414" i="5"/>
  <c r="F414" i="5"/>
  <c r="B415" i="5"/>
  <c r="C415" i="5"/>
  <c r="E415" i="5"/>
  <c r="F415" i="5"/>
  <c r="B416" i="5"/>
  <c r="C416" i="5"/>
  <c r="D416" i="5"/>
  <c r="E416" i="5"/>
  <c r="B417" i="5"/>
  <c r="C417" i="5"/>
  <c r="D417" i="5"/>
  <c r="E417" i="5"/>
  <c r="F417" i="5"/>
  <c r="B418" i="5"/>
  <c r="C418" i="5"/>
  <c r="D418" i="5"/>
  <c r="E418" i="5"/>
  <c r="F418" i="5"/>
  <c r="B419" i="5"/>
  <c r="C419" i="5"/>
  <c r="D419" i="5"/>
  <c r="E419" i="5"/>
  <c r="F419" i="5"/>
  <c r="B420" i="5"/>
  <c r="C420" i="5"/>
  <c r="D420" i="5"/>
  <c r="E420" i="5"/>
  <c r="F420" i="5"/>
  <c r="B421" i="5"/>
  <c r="C421" i="5"/>
  <c r="D421" i="5"/>
  <c r="E421" i="5"/>
  <c r="F421" i="5"/>
  <c r="B422" i="5"/>
  <c r="C422" i="5"/>
  <c r="D422" i="5"/>
  <c r="E422" i="5"/>
  <c r="F422" i="5"/>
  <c r="B423" i="5"/>
  <c r="C423" i="5"/>
  <c r="D423" i="5"/>
  <c r="E423" i="5"/>
  <c r="F423" i="5"/>
  <c r="B424" i="5"/>
  <c r="C424" i="5"/>
  <c r="D424" i="5"/>
  <c r="E424" i="5"/>
  <c r="F424" i="5"/>
  <c r="B425" i="5"/>
  <c r="C425" i="5"/>
  <c r="D425" i="5"/>
  <c r="E425" i="5"/>
  <c r="F425" i="5"/>
  <c r="B426" i="5"/>
  <c r="C426" i="5"/>
  <c r="D426" i="5"/>
  <c r="E426" i="5"/>
  <c r="F426" i="5"/>
  <c r="B427" i="5"/>
  <c r="C427" i="5"/>
  <c r="D427" i="5"/>
  <c r="E427" i="5"/>
  <c r="F427" i="5"/>
  <c r="B428" i="5"/>
  <c r="C428" i="5"/>
  <c r="D428" i="5"/>
  <c r="E428" i="5"/>
  <c r="F428" i="5"/>
  <c r="B429" i="5"/>
  <c r="C429" i="5"/>
  <c r="D429" i="5"/>
  <c r="E429" i="5"/>
  <c r="F429" i="5"/>
  <c r="B430" i="5"/>
  <c r="C430" i="5"/>
  <c r="D430" i="5"/>
  <c r="E430" i="5"/>
  <c r="F430" i="5"/>
  <c r="B431" i="5"/>
  <c r="C431" i="5"/>
  <c r="D431" i="5"/>
  <c r="E431" i="5"/>
  <c r="F431" i="5"/>
  <c r="B432" i="5"/>
  <c r="C432" i="5"/>
  <c r="D432" i="5"/>
  <c r="E432" i="5"/>
  <c r="F432" i="5"/>
  <c r="B433" i="5"/>
  <c r="C433" i="5"/>
  <c r="D433" i="5"/>
  <c r="E433" i="5"/>
  <c r="F433" i="5"/>
  <c r="C434" i="5"/>
  <c r="D434" i="5"/>
  <c r="E434" i="5"/>
  <c r="F434" i="5"/>
  <c r="B435" i="5"/>
  <c r="C435" i="5"/>
  <c r="D435" i="5"/>
  <c r="E435" i="5"/>
  <c r="F435" i="5"/>
  <c r="B436" i="5"/>
  <c r="C436" i="5"/>
  <c r="D436" i="5"/>
  <c r="E436" i="5"/>
  <c r="F436" i="5"/>
  <c r="B437" i="5"/>
  <c r="C437" i="5"/>
  <c r="D437" i="5"/>
  <c r="E437" i="5"/>
  <c r="F437" i="5"/>
  <c r="B438" i="5"/>
  <c r="C438" i="5"/>
  <c r="D438" i="5"/>
  <c r="E438" i="5"/>
  <c r="F438" i="5"/>
  <c r="B439" i="5"/>
  <c r="C439" i="5"/>
  <c r="D439" i="5"/>
  <c r="E439" i="5"/>
  <c r="F439" i="5"/>
  <c r="B440" i="5"/>
  <c r="C440" i="5"/>
  <c r="D440" i="5"/>
  <c r="E440" i="5"/>
  <c r="F440" i="5"/>
  <c r="B441" i="5"/>
  <c r="C441" i="5"/>
  <c r="D441" i="5"/>
  <c r="E441" i="5"/>
  <c r="F441" i="5"/>
  <c r="B442" i="5"/>
  <c r="C442" i="5"/>
  <c r="D442" i="5"/>
  <c r="E442" i="5"/>
  <c r="F442" i="5"/>
  <c r="B443" i="5"/>
  <c r="C443" i="5"/>
  <c r="D443" i="5"/>
  <c r="E443" i="5"/>
  <c r="F443" i="5"/>
  <c r="B444" i="5"/>
  <c r="C444" i="5"/>
  <c r="D444" i="5"/>
  <c r="E444" i="5"/>
  <c r="F444" i="5"/>
  <c r="B445" i="5"/>
  <c r="C445" i="5"/>
  <c r="E445" i="5"/>
  <c r="F445" i="5"/>
  <c r="B446" i="5"/>
  <c r="C446" i="5"/>
  <c r="D446" i="5"/>
  <c r="E446" i="5"/>
  <c r="F446" i="5"/>
  <c r="B447" i="5"/>
  <c r="C447" i="5"/>
  <c r="D447" i="5"/>
  <c r="E447" i="5"/>
  <c r="F447" i="5"/>
  <c r="B448" i="5"/>
  <c r="C448" i="5"/>
  <c r="D448" i="5"/>
  <c r="E448" i="5"/>
  <c r="F448" i="5"/>
  <c r="B449" i="5"/>
  <c r="C449" i="5"/>
  <c r="D449" i="5"/>
  <c r="E449" i="5"/>
  <c r="F449" i="5"/>
  <c r="B450" i="5"/>
  <c r="C450" i="5"/>
  <c r="D450" i="5"/>
  <c r="E450" i="5"/>
  <c r="F450" i="5"/>
  <c r="B451" i="5"/>
  <c r="C451" i="5"/>
  <c r="D451" i="5"/>
  <c r="E451" i="5"/>
  <c r="F451" i="5"/>
  <c r="B452" i="5"/>
  <c r="C452" i="5"/>
  <c r="D452" i="5"/>
  <c r="E452" i="5"/>
  <c r="F452" i="5"/>
  <c r="B453" i="5"/>
  <c r="C453" i="5"/>
  <c r="D453" i="5"/>
  <c r="E453" i="5"/>
  <c r="F453" i="5"/>
  <c r="B454" i="5"/>
  <c r="C454" i="5"/>
  <c r="D454" i="5"/>
  <c r="E454" i="5"/>
  <c r="F454" i="5"/>
  <c r="B455" i="5"/>
  <c r="C455" i="5"/>
  <c r="D455" i="5"/>
  <c r="E455" i="5"/>
  <c r="F455" i="5"/>
  <c r="B456" i="5"/>
  <c r="C456" i="5"/>
  <c r="D456" i="5"/>
  <c r="E456" i="5"/>
  <c r="F456" i="5"/>
  <c r="B457" i="5"/>
  <c r="C457" i="5"/>
  <c r="D457" i="5"/>
  <c r="E457" i="5"/>
  <c r="F457" i="5"/>
  <c r="B458" i="5"/>
  <c r="C458" i="5"/>
  <c r="D458" i="5"/>
  <c r="E458" i="5"/>
  <c r="F458" i="5"/>
  <c r="B459" i="5"/>
  <c r="C459" i="5"/>
  <c r="D459" i="5"/>
  <c r="E459" i="5"/>
  <c r="F459" i="5"/>
  <c r="B461" i="5"/>
  <c r="C461" i="5"/>
  <c r="D461" i="5"/>
  <c r="E461" i="5"/>
  <c r="F461" i="5"/>
  <c r="B462" i="5"/>
  <c r="C462" i="5"/>
  <c r="D462" i="5"/>
  <c r="E462" i="5"/>
  <c r="F462" i="5"/>
  <c r="B463" i="5"/>
  <c r="C463" i="5"/>
  <c r="D463" i="5"/>
  <c r="E463" i="5"/>
  <c r="F463" i="5"/>
  <c r="B464" i="5"/>
  <c r="C464" i="5"/>
  <c r="D464" i="5"/>
  <c r="E464" i="5"/>
  <c r="F464" i="5"/>
  <c r="B465" i="5"/>
  <c r="C465" i="5"/>
  <c r="D465" i="5"/>
  <c r="E465" i="5"/>
  <c r="F465" i="5"/>
  <c r="B466" i="5"/>
  <c r="C466" i="5"/>
  <c r="D466" i="5"/>
  <c r="E466" i="5"/>
  <c r="F466" i="5"/>
  <c r="B467" i="5"/>
  <c r="C467" i="5"/>
  <c r="D467" i="5"/>
  <c r="E467" i="5"/>
  <c r="F467" i="5"/>
  <c r="B468" i="5"/>
  <c r="C468" i="5"/>
  <c r="D468" i="5"/>
  <c r="E468" i="5"/>
  <c r="F468" i="5"/>
  <c r="B469" i="5"/>
  <c r="C469" i="5"/>
  <c r="D469" i="5"/>
  <c r="E469" i="5"/>
  <c r="F469" i="5"/>
  <c r="B470" i="5"/>
  <c r="C470" i="5"/>
  <c r="D470" i="5"/>
  <c r="E470" i="5"/>
  <c r="F470" i="5"/>
  <c r="B471" i="5"/>
  <c r="C471" i="5"/>
  <c r="D471" i="5"/>
  <c r="E471" i="5"/>
  <c r="F471" i="5"/>
  <c r="B472" i="5"/>
  <c r="C472" i="5"/>
  <c r="D472" i="5"/>
  <c r="E472" i="5"/>
  <c r="F472" i="5"/>
  <c r="B473" i="5"/>
  <c r="C473" i="5"/>
  <c r="D473" i="5"/>
  <c r="E473" i="5"/>
  <c r="F473" i="5"/>
  <c r="B474" i="5"/>
  <c r="C474" i="5"/>
  <c r="D474" i="5"/>
  <c r="E474" i="5"/>
  <c r="F474" i="5"/>
  <c r="B475" i="5"/>
  <c r="C475" i="5"/>
  <c r="D475" i="5"/>
  <c r="E475" i="5"/>
  <c r="F475" i="5"/>
  <c r="B476" i="5"/>
  <c r="C476" i="5"/>
  <c r="D476" i="5"/>
  <c r="E476" i="5"/>
  <c r="F476" i="5"/>
  <c r="B477" i="5"/>
  <c r="C477" i="5"/>
  <c r="D477" i="5"/>
  <c r="E477" i="5"/>
  <c r="F477" i="5"/>
  <c r="B478" i="5"/>
  <c r="C478" i="5"/>
  <c r="D478" i="5"/>
  <c r="E478" i="5"/>
  <c r="F478" i="5"/>
  <c r="B479" i="5"/>
  <c r="C479" i="5"/>
  <c r="D479" i="5"/>
  <c r="E479" i="5"/>
  <c r="F479" i="5"/>
  <c r="B480" i="5"/>
  <c r="C480" i="5"/>
  <c r="D480" i="5"/>
  <c r="E480" i="5"/>
  <c r="F480" i="5"/>
  <c r="B481" i="5"/>
  <c r="C481" i="5"/>
  <c r="D481" i="5"/>
  <c r="E481" i="5"/>
  <c r="F481" i="5"/>
  <c r="B482" i="5"/>
  <c r="C482" i="5"/>
  <c r="D482" i="5"/>
  <c r="E482" i="5"/>
  <c r="F482" i="5"/>
  <c r="B483" i="5"/>
  <c r="C483" i="5"/>
  <c r="D483" i="5"/>
  <c r="E483" i="5"/>
  <c r="F483" i="5"/>
  <c r="B484" i="5"/>
  <c r="C484" i="5"/>
  <c r="D484" i="5"/>
  <c r="E484" i="5"/>
  <c r="F484" i="5"/>
  <c r="B485" i="5"/>
  <c r="C485" i="5"/>
  <c r="D485" i="5"/>
  <c r="E485" i="5"/>
  <c r="F485" i="5"/>
  <c r="B486" i="5"/>
  <c r="C486" i="5"/>
  <c r="D486" i="5"/>
  <c r="E486" i="5"/>
  <c r="F486" i="5"/>
  <c r="B487" i="5"/>
  <c r="C487" i="5"/>
  <c r="D487" i="5"/>
  <c r="E487" i="5"/>
  <c r="F487" i="5"/>
  <c r="B488" i="5"/>
  <c r="C488" i="5"/>
  <c r="D488" i="5"/>
  <c r="E488" i="5"/>
  <c r="F488" i="5"/>
  <c r="B489" i="5"/>
  <c r="C489" i="5"/>
  <c r="D489" i="5"/>
  <c r="E489" i="5"/>
  <c r="F489" i="5"/>
  <c r="B490" i="5"/>
  <c r="C490" i="5"/>
  <c r="D490" i="5"/>
  <c r="E490" i="5"/>
  <c r="F490" i="5"/>
  <c r="B491" i="5"/>
  <c r="C491" i="5"/>
  <c r="D491" i="5"/>
  <c r="E491" i="5"/>
  <c r="F491" i="5"/>
  <c r="B492" i="5"/>
  <c r="C492" i="5"/>
  <c r="D492" i="5"/>
  <c r="E492" i="5"/>
  <c r="F492" i="5"/>
  <c r="B493" i="5"/>
  <c r="C493" i="5"/>
  <c r="D493" i="5"/>
  <c r="E493" i="5"/>
  <c r="F493" i="5"/>
  <c r="C494" i="5"/>
  <c r="D494" i="5"/>
  <c r="E494" i="5"/>
  <c r="F494" i="5"/>
  <c r="B495" i="5"/>
  <c r="C495" i="5"/>
  <c r="D495" i="5"/>
  <c r="E495" i="5"/>
  <c r="F495" i="5"/>
  <c r="B496" i="5"/>
  <c r="C496" i="5"/>
  <c r="D496" i="5"/>
  <c r="E496" i="5"/>
  <c r="F496" i="5"/>
  <c r="B497" i="5"/>
  <c r="C497" i="5"/>
  <c r="D497" i="5"/>
  <c r="E497" i="5"/>
  <c r="F497" i="5"/>
  <c r="B498" i="5"/>
  <c r="C498" i="5"/>
  <c r="D498" i="5"/>
  <c r="E498" i="5"/>
  <c r="F498" i="5"/>
  <c r="B499" i="5"/>
  <c r="C499" i="5"/>
  <c r="D499" i="5"/>
  <c r="E499" i="5"/>
  <c r="F499" i="5"/>
  <c r="B500" i="5"/>
  <c r="C500" i="5"/>
  <c r="D500" i="5"/>
  <c r="E500" i="5"/>
  <c r="F500" i="5"/>
  <c r="B501" i="5"/>
  <c r="C501" i="5"/>
  <c r="D501" i="5"/>
  <c r="E501" i="5"/>
  <c r="F501" i="5"/>
  <c r="B502" i="5"/>
  <c r="C502" i="5"/>
  <c r="D502" i="5"/>
  <c r="E502" i="5"/>
  <c r="F502" i="5"/>
  <c r="B503" i="5"/>
  <c r="C503" i="5"/>
  <c r="D503" i="5"/>
  <c r="E503" i="5"/>
  <c r="F503" i="5"/>
  <c r="C504" i="5"/>
  <c r="D504" i="5"/>
  <c r="E504" i="5"/>
  <c r="F504" i="5"/>
  <c r="B505" i="5"/>
  <c r="C505" i="5"/>
  <c r="D505" i="5"/>
  <c r="E505" i="5"/>
  <c r="F505" i="5"/>
  <c r="C506" i="5"/>
  <c r="D506" i="5"/>
  <c r="E506" i="5"/>
  <c r="F506" i="5"/>
  <c r="B507" i="5"/>
  <c r="C507" i="5"/>
  <c r="D507" i="5"/>
  <c r="E507" i="5"/>
  <c r="F507" i="5"/>
  <c r="B508" i="5"/>
  <c r="D508" i="5"/>
  <c r="E508" i="5"/>
  <c r="F508" i="5"/>
  <c r="B509" i="5"/>
  <c r="C509" i="5"/>
  <c r="D509" i="5"/>
  <c r="E509" i="5"/>
  <c r="F509" i="5"/>
  <c r="B510" i="5"/>
  <c r="D510" i="5"/>
  <c r="E510" i="5"/>
  <c r="F510" i="5"/>
  <c r="B511" i="5"/>
  <c r="C511" i="5"/>
  <c r="D511" i="5"/>
  <c r="E511" i="5"/>
  <c r="F511" i="5"/>
  <c r="B512" i="5"/>
  <c r="C512" i="5"/>
  <c r="D512" i="5"/>
  <c r="E512" i="5"/>
  <c r="F512" i="5"/>
  <c r="B513" i="5"/>
  <c r="D513" i="5"/>
  <c r="E513" i="5"/>
  <c r="F513" i="5"/>
  <c r="B514" i="5"/>
  <c r="C514" i="5"/>
  <c r="D514" i="5"/>
  <c r="E514" i="5"/>
  <c r="F514" i="5"/>
  <c r="B515" i="5"/>
  <c r="D515" i="5"/>
  <c r="E515" i="5"/>
  <c r="F515" i="5"/>
  <c r="B516" i="5"/>
  <c r="C516" i="5"/>
  <c r="D516" i="5"/>
  <c r="E516" i="5"/>
  <c r="F516" i="5"/>
  <c r="C2" i="5"/>
  <c r="D2" i="5"/>
  <c r="E2" i="5"/>
  <c r="F2" i="5"/>
  <c r="B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5" i="5"/>
  <c r="G296" i="5"/>
  <c r="G297" i="5"/>
  <c r="G298" i="5"/>
  <c r="G299" i="5"/>
  <c r="G300" i="5"/>
  <c r="G301" i="5"/>
  <c r="G303" i="5"/>
  <c r="G304" i="5"/>
  <c r="G305" i="5"/>
  <c r="G306" i="5"/>
  <c r="G307" i="5"/>
  <c r="G308" i="5"/>
  <c r="G309" i="5"/>
  <c r="G310" i="5"/>
  <c r="G311" i="5"/>
  <c r="G312" i="5"/>
  <c r="G314" i="5"/>
  <c r="G315" i="5"/>
  <c r="G316" i="5"/>
  <c r="G317" i="5"/>
  <c r="G318" i="5"/>
  <c r="G319" i="5"/>
  <c r="G320" i="5"/>
  <c r="G321" i="5"/>
  <c r="G322" i="5"/>
  <c r="G323" i="5"/>
  <c r="G325" i="5"/>
  <c r="G326" i="5"/>
  <c r="G328" i="5"/>
  <c r="G329" i="5"/>
  <c r="G331" i="5"/>
  <c r="G332" i="5"/>
  <c r="G333" i="5"/>
  <c r="G334" i="5"/>
  <c r="G335" i="5"/>
  <c r="G337" i="5"/>
  <c r="G338" i="5"/>
  <c r="G340" i="5"/>
  <c r="G341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40" i="5"/>
  <c r="G541" i="5"/>
  <c r="G542" i="5"/>
  <c r="G543" i="5"/>
  <c r="G552" i="5"/>
  <c r="G561" i="5"/>
  <c r="G581" i="5"/>
  <c r="G590" i="5"/>
  <c r="G597" i="5"/>
  <c r="G599" i="5"/>
  <c r="G608" i="5"/>
  <c r="G617" i="5"/>
  <c r="G626" i="5"/>
  <c r="G633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2" i="4"/>
  <c r="I3" i="2" a="1"/>
  <c r="I3" i="2"/>
  <c r="I4" i="2" a="1"/>
  <c r="I4" i="2"/>
  <c r="I5" i="2" a="1"/>
  <c r="I5" i="2" s="1"/>
  <c r="I6" i="2" a="1"/>
  <c r="I6" i="2" s="1"/>
  <c r="I7" i="2" a="1"/>
  <c r="I7" i="2" s="1"/>
  <c r="I8" i="2" a="1"/>
  <c r="I8" i="2"/>
  <c r="I9" i="2" a="1"/>
  <c r="I9" i="2"/>
  <c r="I10" i="2" a="1"/>
  <c r="I10" i="2"/>
  <c r="I11" i="2" a="1"/>
  <c r="I11" i="2" s="1"/>
  <c r="I12" i="2" a="1"/>
  <c r="I12" i="2"/>
  <c r="I13" i="2" a="1"/>
  <c r="I13" i="2" s="1"/>
  <c r="I14" i="2" a="1"/>
  <c r="I14" i="2"/>
  <c r="I15" i="2" a="1"/>
  <c r="I15" i="2" s="1"/>
  <c r="I16" i="2" a="1"/>
  <c r="I16" i="2"/>
  <c r="I17" i="2" a="1"/>
  <c r="I17" i="2" s="1"/>
  <c r="I18" i="2" a="1"/>
  <c r="I18" i="2" s="1"/>
  <c r="I19" i="2" a="1"/>
  <c r="I19" i="2" s="1"/>
  <c r="I20" i="2" a="1"/>
  <c r="I20" i="2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/>
  <c r="I99" i="2" a="1"/>
  <c r="I99" i="2" s="1"/>
  <c r="I100" i="2" a="1"/>
  <c r="I100" i="2" s="1"/>
  <c r="I101" i="2" a="1"/>
  <c r="I101" i="2" s="1"/>
  <c r="I102" i="2" a="1"/>
  <c r="I102" i="2" s="1"/>
  <c r="I103" i="2" a="1"/>
  <c r="I103" i="2" s="1"/>
  <c r="I104" i="2" a="1"/>
  <c r="I104" i="2" s="1"/>
  <c r="I105" i="2" a="1"/>
  <c r="I105" i="2" s="1"/>
  <c r="I106" i="2" a="1"/>
  <c r="I106" i="2" s="1"/>
  <c r="I107" i="2" a="1"/>
  <c r="I107" i="2" s="1"/>
  <c r="I108" i="2" a="1"/>
  <c r="I108" i="2" s="1"/>
  <c r="I109" i="2" a="1"/>
  <c r="I109" i="2" s="1"/>
  <c r="I110" i="2" a="1"/>
  <c r="I110" i="2"/>
  <c r="I111" i="2" a="1"/>
  <c r="I111" i="2" s="1"/>
  <c r="I112" i="2" a="1"/>
  <c r="I112" i="2" s="1"/>
  <c r="I113" i="2" a="1"/>
  <c r="I113" i="2" s="1"/>
  <c r="I114" i="2" a="1"/>
  <c r="I114" i="2" s="1"/>
  <c r="I115" i="2" a="1"/>
  <c r="I115" i="2" s="1"/>
  <c r="I116" i="2" a="1"/>
  <c r="I116" i="2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 s="1"/>
  <c r="I127" i="2" a="1"/>
  <c r="I127" i="2" s="1"/>
  <c r="I128" i="2" a="1"/>
  <c r="I128" i="2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/>
  <c r="I135" i="2" a="1"/>
  <c r="I135" i="2" s="1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 s="1"/>
  <c r="I143" i="2" a="1"/>
  <c r="I143" i="2" s="1"/>
  <c r="I144" i="2" a="1"/>
  <c r="I144" i="2" s="1"/>
  <c r="I145" i="2" a="1"/>
  <c r="I145" i="2" s="1"/>
  <c r="I146" i="2" a="1"/>
  <c r="I146" i="2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 s="1"/>
  <c r="I169" i="2" a="1"/>
  <c r="I169" i="2" s="1"/>
  <c r="I170" i="2" a="1"/>
  <c r="I170" i="2"/>
  <c r="I171" i="2" a="1"/>
  <c r="I171" i="2" s="1"/>
  <c r="I172" i="2" a="1"/>
  <c r="I172" i="2" s="1"/>
  <c r="I173" i="2" a="1"/>
  <c r="I173" i="2" s="1"/>
  <c r="I174" i="2" a="1"/>
  <c r="I174" i="2" s="1"/>
  <c r="I175" i="2" a="1"/>
  <c r="I175" i="2" s="1"/>
  <c r="I176" i="2" a="1"/>
  <c r="I176" i="2" s="1"/>
  <c r="I177" i="2" a="1"/>
  <c r="I177" i="2" s="1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/>
  <c r="I189" i="2" a="1"/>
  <c r="I189" i="2" s="1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 s="1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 s="1"/>
  <c r="I206" i="2" a="1"/>
  <c r="I206" i="2"/>
  <c r="I207" i="2" a="1"/>
  <c r="I207" i="2" s="1"/>
  <c r="I208" i="2" a="1"/>
  <c r="I208" i="2" s="1"/>
  <c r="I209" i="2" a="1"/>
  <c r="I209" i="2" s="1"/>
  <c r="I210" i="2" a="1"/>
  <c r="I210" i="2" s="1"/>
  <c r="I211" i="2" a="1"/>
  <c r="I211" i="2" s="1"/>
  <c r="I212" i="2" a="1"/>
  <c r="I212" i="2" s="1"/>
  <c r="I213" i="2" a="1"/>
  <c r="I213" i="2" s="1"/>
  <c r="I214" i="2" a="1"/>
  <c r="I214" i="2" s="1"/>
  <c r="I215" i="2" a="1"/>
  <c r="I215" i="2" s="1"/>
  <c r="I216" i="2" a="1"/>
  <c r="I216" i="2" s="1"/>
  <c r="I217" i="2" a="1"/>
  <c r="I217" i="2" s="1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/>
  <c r="I225" i="2" a="1"/>
  <c r="I225" i="2" s="1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 s="1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 s="1"/>
  <c r="I241" i="2" a="1"/>
  <c r="I241" i="2" s="1"/>
  <c r="I242" i="2" a="1"/>
  <c r="I242" i="2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 s="1"/>
  <c r="I254" i="2" a="1"/>
  <c r="I254" i="2" s="1"/>
  <c r="I255" i="2" a="1"/>
  <c r="I255" i="2" s="1"/>
  <c r="I256" i="2" a="1"/>
  <c r="I256" i="2" s="1"/>
  <c r="I257" i="2" a="1"/>
  <c r="I257" i="2" s="1"/>
  <c r="I258" i="2" a="1"/>
  <c r="I258" i="2"/>
  <c r="I259" i="2" a="1"/>
  <c r="I259" i="2" s="1"/>
  <c r="I260" i="2" a="1"/>
  <c r="I260" i="2" s="1"/>
  <c r="I261" i="2" a="1"/>
  <c r="I261" i="2" s="1"/>
  <c r="I262" i="2" a="1"/>
  <c r="I262" i="2" s="1"/>
  <c r="I263" i="2" a="1"/>
  <c r="I263" i="2" s="1"/>
  <c r="I264" i="2" a="1"/>
  <c r="I264" i="2"/>
  <c r="I265" i="2" a="1"/>
  <c r="I265" i="2" s="1"/>
  <c r="I266" i="2" a="1"/>
  <c r="I266" i="2"/>
  <c r="I267" i="2" a="1"/>
  <c r="I267" i="2"/>
  <c r="I268" i="2" a="1"/>
  <c r="I268" i="2" s="1"/>
  <c r="I269" i="2" a="1"/>
  <c r="I269" i="2"/>
  <c r="I270" i="2" a="1"/>
  <c r="I270" i="2" s="1"/>
  <c r="I271" i="2" a="1"/>
  <c r="I271" i="2" s="1"/>
  <c r="I272" i="2" a="1"/>
  <c r="I272" i="2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/>
  <c r="I279" i="2" a="1"/>
  <c r="I279" i="2"/>
  <c r="I280" i="2" a="1"/>
  <c r="I280" i="2"/>
  <c r="I281" i="2" a="1"/>
  <c r="I281" i="2" s="1"/>
  <c r="I282" i="2" a="1"/>
  <c r="I282" i="2"/>
  <c r="I283" i="2" a="1"/>
  <c r="I283" i="2" s="1"/>
  <c r="I284" i="2" a="1"/>
  <c r="I284" i="2"/>
  <c r="I285" i="2" a="1"/>
  <c r="I285" i="2"/>
  <c r="I286" i="2" a="1"/>
  <c r="I286" i="2" s="1"/>
  <c r="I287" i="2" a="1"/>
  <c r="I287" i="2" s="1"/>
  <c r="I288" i="2" a="1"/>
  <c r="I288" i="2" s="1"/>
  <c r="I289" i="2" a="1"/>
  <c r="I289" i="2" s="1"/>
  <c r="I290" i="2" a="1"/>
  <c r="I290" i="2" s="1"/>
  <c r="I291" i="2" a="1"/>
  <c r="I291" i="2"/>
  <c r="I292" i="2" a="1"/>
  <c r="I292" i="2"/>
  <c r="I293" i="2" a="1"/>
  <c r="I293" i="2"/>
  <c r="I294" i="2" a="1"/>
  <c r="I294" i="2" s="1"/>
  <c r="I295" i="2" a="1"/>
  <c r="I295" i="2" s="1"/>
  <c r="I296" i="2" a="1"/>
  <c r="I296" i="2" s="1"/>
  <c r="I297" i="2" a="1"/>
  <c r="I297" i="2"/>
  <c r="I298" i="2" a="1"/>
  <c r="I298" i="2"/>
  <c r="I299" i="2" a="1"/>
  <c r="I299" i="2" s="1"/>
  <c r="I300" i="2" a="1"/>
  <c r="I300" i="2" s="1"/>
  <c r="I301" i="2" a="1"/>
  <c r="I301" i="2" s="1"/>
  <c r="I302" i="2" a="1"/>
  <c r="I302" i="2"/>
  <c r="I303" i="2" a="1"/>
  <c r="I303" i="2" s="1"/>
  <c r="I304" i="2" a="1"/>
  <c r="I304" i="2"/>
  <c r="I305" i="2" a="1"/>
  <c r="I305" i="2"/>
  <c r="I306" i="2" a="1"/>
  <c r="I306" i="2"/>
  <c r="I307" i="2" a="1"/>
  <c r="I307" i="2" s="1"/>
  <c r="I308" i="2" a="1"/>
  <c r="I308" i="2"/>
  <c r="I309" i="2" a="1"/>
  <c r="I309" i="2" s="1"/>
  <c r="I310" i="2" a="1"/>
  <c r="I310" i="2"/>
  <c r="I311" i="2" a="1"/>
  <c r="I311" i="2"/>
  <c r="I312" i="2" a="1"/>
  <c r="I312" i="2" s="1"/>
  <c r="I313" i="2" a="1"/>
  <c r="I313" i="2" s="1"/>
  <c r="I314" i="2" a="1"/>
  <c r="I314" i="2" s="1"/>
  <c r="I315" i="2" a="1"/>
  <c r="I315" i="2"/>
  <c r="I316" i="2" a="1"/>
  <c r="I316" i="2" s="1"/>
  <c r="I317" i="2" a="1"/>
  <c r="I317" i="2"/>
  <c r="I318" i="2" a="1"/>
  <c r="I318" i="2"/>
  <c r="I319" i="2" a="1"/>
  <c r="I319" i="2" s="1"/>
  <c r="I320" i="2" a="1"/>
  <c r="I320" i="2" s="1"/>
  <c r="I321" i="2" a="1"/>
  <c r="I321" i="2"/>
  <c r="I322" i="2" a="1"/>
  <c r="I322" i="2" s="1"/>
  <c r="I323" i="2" a="1"/>
  <c r="I323" i="2"/>
  <c r="I324" i="2" a="1"/>
  <c r="I324" i="2"/>
  <c r="I325" i="2" a="1"/>
  <c r="I325" i="2" s="1"/>
  <c r="I326" i="2" a="1"/>
  <c r="I326" i="2"/>
  <c r="I327" i="2" a="1"/>
  <c r="I327" i="2" s="1"/>
  <c r="I328" i="2" a="1"/>
  <c r="I328" i="2"/>
  <c r="I329" i="2" a="1"/>
  <c r="I329" i="2" s="1"/>
  <c r="I330" i="2" a="1"/>
  <c r="I330" i="2"/>
  <c r="I331" i="2" a="1"/>
  <c r="I331" i="2" s="1"/>
  <c r="I332" i="2" a="1"/>
  <c r="I332" i="2" s="1"/>
  <c r="I333" i="2" a="1"/>
  <c r="I333" i="2" s="1"/>
  <c r="I334" i="2" a="1"/>
  <c r="I334" i="2" s="1"/>
  <c r="I335" i="2" a="1"/>
  <c r="I335" i="2"/>
  <c r="I336" i="2" a="1"/>
  <c r="I336" i="2"/>
  <c r="I337" i="2" a="1"/>
  <c r="I337" i="2" s="1"/>
  <c r="I338" i="2" a="1"/>
  <c r="I338" i="2"/>
  <c r="I339" i="2" a="1"/>
  <c r="I339" i="2"/>
  <c r="I340" i="2" a="1"/>
  <c r="I340" i="2" s="1"/>
  <c r="I341" i="2" a="1"/>
  <c r="I341" i="2"/>
  <c r="I342" i="2" a="1"/>
  <c r="I342" i="2" s="1"/>
  <c r="I343" i="2" a="1"/>
  <c r="I343" i="2" s="1"/>
  <c r="I344" i="2" a="1"/>
  <c r="I344" i="2"/>
  <c r="I345" i="2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/>
  <c r="I351" i="2" a="1"/>
  <c r="I351" i="2"/>
  <c r="I352" i="2" a="1"/>
  <c r="I352" i="2"/>
  <c r="I353" i="2" a="1"/>
  <c r="I353" i="2" s="1"/>
  <c r="I354" i="2" a="1"/>
  <c r="I354" i="2"/>
  <c r="I355" i="2" a="1"/>
  <c r="I355" i="2" s="1"/>
  <c r="I356" i="2" a="1"/>
  <c r="I356" i="2"/>
  <c r="I357" i="2" a="1"/>
  <c r="I357" i="2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/>
  <c r="I364" i="2" a="1"/>
  <c r="I364" i="2"/>
  <c r="I365" i="2" a="1"/>
  <c r="I365" i="2"/>
  <c r="I366" i="2" a="1"/>
  <c r="I366" i="2" s="1"/>
  <c r="I367" i="2" a="1"/>
  <c r="I367" i="2" s="1"/>
  <c r="I368" i="2" a="1"/>
  <c r="I368" i="2" s="1"/>
  <c r="I369" i="2" a="1"/>
  <c r="I369" i="2"/>
  <c r="I370" i="2" a="1"/>
  <c r="I370" i="2"/>
  <c r="I371" i="2" a="1"/>
  <c r="I371" i="2" s="1"/>
  <c r="I372" i="2" a="1"/>
  <c r="I372" i="2" s="1"/>
  <c r="I373" i="2" a="1"/>
  <c r="I373" i="2" s="1"/>
  <c r="I374" i="2" a="1"/>
  <c r="I374" i="2"/>
  <c r="I375" i="2" a="1"/>
  <c r="I375" i="2" s="1"/>
  <c r="I376" i="2" a="1"/>
  <c r="I376" i="2"/>
  <c r="I377" i="2" a="1"/>
  <c r="I377" i="2"/>
  <c r="I378" i="2" a="1"/>
  <c r="I378" i="2"/>
  <c r="I379" i="2" a="1"/>
  <c r="I379" i="2" s="1"/>
  <c r="I380" i="2" a="1"/>
  <c r="I380" i="2" s="1"/>
  <c r="I381" i="2" a="1"/>
  <c r="I381" i="2" s="1"/>
  <c r="I382" i="2" a="1"/>
  <c r="I382" i="2"/>
  <c r="I383" i="2" a="1"/>
  <c r="I383" i="2"/>
  <c r="I384" i="2" a="1"/>
  <c r="I384" i="2" s="1"/>
  <c r="I385" i="2" a="1"/>
  <c r="I385" i="2" s="1"/>
  <c r="I386" i="2" a="1"/>
  <c r="I386" i="2" s="1"/>
  <c r="I387" i="2" a="1"/>
  <c r="I387" i="2"/>
  <c r="I388" i="2" a="1"/>
  <c r="I388" i="2" s="1"/>
  <c r="I389" i="2" a="1"/>
  <c r="I389" i="2"/>
  <c r="I390" i="2" a="1"/>
  <c r="I390" i="2"/>
  <c r="I391" i="2" a="1"/>
  <c r="I391" i="2" s="1"/>
  <c r="I392" i="2" a="1"/>
  <c r="I392" i="2" s="1"/>
  <c r="I393" i="2" a="1"/>
  <c r="I393" i="2" s="1"/>
  <c r="I394" i="2" a="1"/>
  <c r="I394" i="2" s="1"/>
  <c r="I395" i="2" a="1"/>
  <c r="I395" i="2"/>
  <c r="I396" i="2" a="1"/>
  <c r="I396" i="2"/>
  <c r="I397" i="2" a="1"/>
  <c r="I397" i="2" s="1"/>
  <c r="I398" i="2" a="1"/>
  <c r="I398" i="2"/>
  <c r="I399" i="2" a="1"/>
  <c r="I399" i="2" s="1"/>
  <c r="I400" i="2" a="1"/>
  <c r="I400" i="2"/>
  <c r="I401" i="2" a="1"/>
  <c r="I401" i="2" s="1"/>
  <c r="I402" i="2" a="1"/>
  <c r="I402" i="2"/>
  <c r="I403" i="2" a="1"/>
  <c r="I403" i="2" s="1"/>
  <c r="I404" i="2" a="1"/>
  <c r="I404" i="2" s="1"/>
  <c r="I405" i="2" a="1"/>
  <c r="I405" i="2" s="1"/>
  <c r="I406" i="2" a="1"/>
  <c r="I406" i="2" s="1"/>
  <c r="I407" i="2" a="1"/>
  <c r="I407" i="2"/>
  <c r="I408" i="2" a="1"/>
  <c r="I408" i="2"/>
  <c r="I409" i="2" a="1"/>
  <c r="I409" i="2" s="1"/>
  <c r="I410" i="2" a="1"/>
  <c r="I410" i="2" s="1"/>
  <c r="I411" i="2" a="1"/>
  <c r="I411" i="2"/>
  <c r="I412" i="2" a="1"/>
  <c r="I412" i="2" s="1"/>
  <c r="I413" i="2" a="1"/>
  <c r="I413" i="2"/>
  <c r="I414" i="2" a="1"/>
  <c r="I414" i="2" s="1"/>
  <c r="I415" i="2" a="1"/>
  <c r="I415" i="2" s="1"/>
  <c r="I416" i="2" a="1"/>
  <c r="I416" i="2"/>
  <c r="I417" i="2" a="1"/>
  <c r="I417" i="2" s="1"/>
  <c r="I418" i="2" a="1"/>
  <c r="I418" i="2" s="1"/>
  <c r="I419" i="2" a="1"/>
  <c r="I419" i="2" s="1"/>
  <c r="I420" i="2" a="1"/>
  <c r="I420" i="2"/>
  <c r="I421" i="2" a="1"/>
  <c r="I421" i="2" s="1"/>
  <c r="I422" i="2" a="1"/>
  <c r="I422" i="2"/>
  <c r="I423" i="2" a="1"/>
  <c r="I423" i="2"/>
  <c r="I424" i="2" a="1"/>
  <c r="I424" i="2"/>
  <c r="I425" i="2" a="1"/>
  <c r="I425" i="2" s="1"/>
  <c r="I426" i="2" a="1"/>
  <c r="I426" i="2"/>
  <c r="I427" i="2" a="1"/>
  <c r="I427" i="2" s="1"/>
  <c r="I428" i="2" a="1"/>
  <c r="I428" i="2"/>
  <c r="I429" i="2" a="1"/>
  <c r="I429" i="2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/>
  <c r="I436" i="2" a="1"/>
  <c r="I436" i="2" s="1"/>
  <c r="I437" i="2" a="1"/>
  <c r="I437" i="2"/>
  <c r="I438" i="2" a="1"/>
  <c r="I438" i="2" s="1"/>
  <c r="I439" i="2" a="1"/>
  <c r="I439" i="2" s="1"/>
  <c r="I440" i="2" a="1"/>
  <c r="I440" i="2" s="1"/>
  <c r="I441" i="2" a="1"/>
  <c r="I441" i="2"/>
  <c r="I442" i="2" a="1"/>
  <c r="I442" i="2"/>
  <c r="I443" i="2" a="1"/>
  <c r="I443" i="2" s="1"/>
  <c r="I444" i="2" a="1"/>
  <c r="I444" i="2" s="1"/>
  <c r="I445" i="2" a="1"/>
  <c r="I445" i="2" s="1"/>
  <c r="I446" i="2" a="1"/>
  <c r="I446" i="2"/>
  <c r="I447" i="2" a="1"/>
  <c r="I447" i="2" s="1"/>
  <c r="I448" i="2" a="1"/>
  <c r="I448" i="2"/>
  <c r="I449" i="2" a="1"/>
  <c r="I449" i="2" s="1"/>
  <c r="I450" i="2" a="1"/>
  <c r="I450" i="2" s="1"/>
  <c r="I451" i="2" a="1"/>
  <c r="I451" i="2" s="1"/>
  <c r="I452" i="2" a="1"/>
  <c r="I452" i="2" s="1"/>
  <c r="I453" i="2" a="1"/>
  <c r="I453" i="2"/>
  <c r="I454" i="2" a="1"/>
  <c r="I454" i="2"/>
  <c r="I455" i="2" a="1"/>
  <c r="I455" i="2"/>
  <c r="I456" i="2" a="1"/>
  <c r="I456" i="2" s="1"/>
  <c r="I457" i="2" a="1"/>
  <c r="I457" i="2" s="1"/>
  <c r="I458" i="2" a="1"/>
  <c r="I458" i="2" s="1"/>
  <c r="I459" i="2" a="1"/>
  <c r="I459" i="2"/>
  <c r="I460" i="2" a="1"/>
  <c r="I460" i="2" s="1"/>
  <c r="I461" i="2" a="1"/>
  <c r="I461" i="2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/>
  <c r="I468" i="2" a="1"/>
  <c r="I468" i="2"/>
  <c r="I469" i="2" a="1"/>
  <c r="I469" i="2" s="1"/>
  <c r="I470" i="2" a="1"/>
  <c r="I470" i="2" s="1"/>
  <c r="I471" i="2" a="1"/>
  <c r="I471" i="2"/>
  <c r="I472" i="2" a="1"/>
  <c r="I472" i="2"/>
  <c r="I473" i="2" a="1"/>
  <c r="I473" i="2" s="1"/>
  <c r="I474" i="2" a="1"/>
  <c r="I474" i="2"/>
  <c r="I475" i="2" a="1"/>
  <c r="I475" i="2" s="1"/>
  <c r="I476" i="2" a="1"/>
  <c r="I476" i="2" s="1"/>
  <c r="I477" i="2" a="1"/>
  <c r="I477" i="2" s="1"/>
  <c r="I478" i="2" a="1"/>
  <c r="I478" i="2"/>
  <c r="I479" i="2" a="1"/>
  <c r="I479" i="2"/>
  <c r="I480" i="2" a="1"/>
  <c r="I480" i="2"/>
  <c r="I481" i="2" a="1"/>
  <c r="I481" i="2" s="1"/>
  <c r="I482" i="2" a="1"/>
  <c r="I482" i="2" s="1"/>
  <c r="I483" i="2" a="1"/>
  <c r="I483" i="2"/>
  <c r="I484" i="2" a="1"/>
  <c r="I484" i="2" s="1"/>
  <c r="I485" i="2" a="1"/>
  <c r="I485" i="2" s="1"/>
  <c r="I486" i="2" a="1"/>
  <c r="I486" i="2" s="1"/>
  <c r="I487" i="2" a="1"/>
  <c r="I487" i="2" s="1"/>
  <c r="I488" i="2" a="1"/>
  <c r="I488" i="2"/>
  <c r="I489" i="2" a="1"/>
  <c r="I489" i="2" s="1"/>
  <c r="I490" i="2" a="1"/>
  <c r="I490" i="2"/>
  <c r="I491" i="2" a="1"/>
  <c r="I491" i="2" s="1"/>
  <c r="I492" i="2" a="1"/>
  <c r="I492" i="2" s="1"/>
  <c r="I493" i="2" a="1"/>
  <c r="I493" i="2" s="1"/>
  <c r="I494" i="2" a="1"/>
  <c r="I494" i="2"/>
  <c r="I495" i="2" a="1"/>
  <c r="I495" i="2" s="1"/>
  <c r="I496" i="2" a="1"/>
  <c r="I496" i="2" s="1"/>
  <c r="I497" i="2" a="1"/>
  <c r="I497" i="2" s="1"/>
  <c r="I498" i="2" a="1"/>
  <c r="I498" i="2"/>
  <c r="I499" i="2" a="1"/>
  <c r="I499" i="2" s="1"/>
  <c r="I500" i="2" a="1"/>
  <c r="I500" i="2"/>
  <c r="I501" i="2" a="1"/>
  <c r="I501" i="2"/>
  <c r="I502" i="2" a="1"/>
  <c r="I502" i="2" s="1"/>
  <c r="I503" i="2" a="1"/>
  <c r="I503" i="2"/>
  <c r="I504" i="2" a="1"/>
  <c r="I504" i="2" s="1"/>
  <c r="I505" i="2" a="1"/>
  <c r="I505" i="2" s="1"/>
  <c r="I506" i="2" a="1"/>
  <c r="I506" i="2" s="1"/>
  <c r="I507" i="2" a="1"/>
  <c r="I507" i="2"/>
  <c r="I508" i="2" a="1"/>
  <c r="I508" i="2"/>
  <c r="I509" i="2" a="1"/>
  <c r="I509" i="2" s="1"/>
  <c r="I510" i="2" a="1"/>
  <c r="I510" i="2"/>
  <c r="I511" i="2" a="1"/>
  <c r="I511" i="2" s="1"/>
  <c r="I512" i="2" a="1"/>
  <c r="I512" i="2"/>
  <c r="I513" i="2" a="1"/>
  <c r="I513" i="2"/>
  <c r="I514" i="2" a="1"/>
  <c r="I514" i="2"/>
  <c r="I515" i="2" a="1"/>
  <c r="I515" i="2" s="1"/>
  <c r="I516" i="2" a="1"/>
  <c r="I516" i="2" s="1"/>
  <c r="I517" i="2" a="1"/>
  <c r="I517" i="2" s="1"/>
  <c r="I518" i="2" a="1"/>
  <c r="I518" i="2"/>
  <c r="I519" i="2" a="1"/>
  <c r="I519" i="2"/>
  <c r="I520" i="2" a="1"/>
  <c r="I520" i="2"/>
  <c r="I521" i="2" a="1"/>
  <c r="I521" i="2" s="1"/>
  <c r="I522" i="2" a="1"/>
  <c r="I522" i="2" s="1"/>
  <c r="I523" i="2" a="1"/>
  <c r="I523" i="2" s="1"/>
  <c r="I524" i="2" a="1"/>
  <c r="I524" i="2"/>
  <c r="I525" i="2" a="1"/>
  <c r="I525" i="2"/>
  <c r="I526" i="2" a="1"/>
  <c r="I526" i="2"/>
  <c r="I527" i="2" a="1"/>
  <c r="I527" i="2" s="1"/>
  <c r="I528" i="2" a="1"/>
  <c r="I528" i="2" s="1"/>
  <c r="I529" i="2" a="1"/>
  <c r="I529" i="2" s="1"/>
  <c r="I530" i="2" a="1"/>
  <c r="I530" i="2"/>
  <c r="I531" i="2" a="1"/>
  <c r="I531" i="2"/>
  <c r="I532" i="2" a="1"/>
  <c r="I532" i="2"/>
  <c r="I533" i="2" a="1"/>
  <c r="I533" i="2" s="1"/>
  <c r="I534" i="2" a="1"/>
  <c r="I534" i="2" s="1"/>
  <c r="I535" i="2" a="1"/>
  <c r="I535" i="2" s="1"/>
  <c r="I536" i="2" a="1"/>
  <c r="I536" i="2"/>
  <c r="I537" i="2" a="1"/>
  <c r="I537" i="2" s="1"/>
  <c r="I538" i="2" a="1"/>
  <c r="I538" i="2" s="1"/>
  <c r="I539" i="2" a="1"/>
  <c r="I539" i="2"/>
  <c r="I540" i="2" a="1"/>
  <c r="I540" i="2"/>
  <c r="I541" i="2" a="1"/>
  <c r="I541" i="2"/>
  <c r="I542" i="2" a="1"/>
  <c r="I542" i="2"/>
  <c r="I543" i="2" a="1"/>
  <c r="I543" i="2" s="1"/>
  <c r="I544" i="2" a="1"/>
  <c r="I544" i="2"/>
  <c r="I545" i="2" a="1"/>
  <c r="I545" i="2"/>
  <c r="I546" i="2" a="1"/>
  <c r="I546" i="2" s="1"/>
  <c r="I547" i="2" a="1"/>
  <c r="I547" i="2" s="1"/>
  <c r="I548" i="2" a="1"/>
  <c r="I548" i="2" s="1"/>
  <c r="I549" i="2" a="1"/>
  <c r="I549" i="2" s="1"/>
  <c r="I550" i="2" a="1"/>
  <c r="I550" i="2" s="1"/>
  <c r="I551" i="2" a="1"/>
  <c r="I551" i="2" s="1"/>
  <c r="I552" i="2" a="1"/>
  <c r="I552" i="2"/>
  <c r="I553" i="2" a="1"/>
  <c r="I553" i="2"/>
  <c r="I554" i="2" a="1"/>
  <c r="I554" i="2"/>
  <c r="I555" i="2" a="1"/>
  <c r="I555" i="2" s="1"/>
  <c r="I556" i="2" a="1"/>
  <c r="I556" i="2"/>
  <c r="I557" i="2" a="1"/>
  <c r="I557" i="2"/>
  <c r="I558" i="2" a="1"/>
  <c r="I558" i="2"/>
  <c r="I559" i="2" a="1"/>
  <c r="I559" i="2" s="1"/>
  <c r="I560" i="2" a="1"/>
  <c r="I560" i="2" s="1"/>
  <c r="I561" i="2" a="1"/>
  <c r="I561" i="2" s="1"/>
  <c r="I562" i="2" a="1"/>
  <c r="I562" i="2"/>
  <c r="I563" i="2" a="1"/>
  <c r="I563" i="2" s="1"/>
  <c r="I564" i="2" a="1"/>
  <c r="I564" i="2" s="1"/>
  <c r="I565" i="2" a="1"/>
  <c r="I565" i="2"/>
  <c r="I566" i="2" a="1"/>
  <c r="I566" i="2"/>
  <c r="I567" i="2" a="1"/>
  <c r="I567" i="2" s="1"/>
  <c r="I568" i="2" a="1"/>
  <c r="I568" i="2" s="1"/>
  <c r="I569" i="2" a="1"/>
  <c r="I569" i="2"/>
  <c r="I570" i="2" a="1"/>
  <c r="I570" i="2"/>
  <c r="I571" i="2" a="1"/>
  <c r="I571" i="2"/>
  <c r="I572" i="2" a="1"/>
  <c r="I572" i="2" s="1"/>
  <c r="I573" i="2" a="1"/>
  <c r="I573" i="2" s="1"/>
  <c r="I574" i="2" a="1"/>
  <c r="I574" i="2"/>
  <c r="I575" i="2" a="1"/>
  <c r="I575" i="2"/>
  <c r="I576" i="2" a="1"/>
  <c r="I576" i="2" s="1"/>
  <c r="I577" i="2" a="1"/>
  <c r="I577" i="2" s="1"/>
  <c r="I578" i="2" a="1"/>
  <c r="I578" i="2"/>
  <c r="I579" i="2" a="1"/>
  <c r="I579" i="2" s="1"/>
  <c r="I580" i="2" a="1"/>
  <c r="I580" i="2" s="1"/>
  <c r="I581" i="2" a="1"/>
  <c r="I581" i="2" s="1"/>
  <c r="I582" i="2" a="1"/>
  <c r="I582" i="2"/>
  <c r="I583" i="2" a="1"/>
  <c r="I583" i="2"/>
  <c r="I584" i="2" a="1"/>
  <c r="I584" i="2"/>
  <c r="I585" i="2" a="1"/>
  <c r="I585" i="2" s="1"/>
  <c r="I586" i="2" a="1"/>
  <c r="I586" i="2"/>
  <c r="I587" i="2" a="1"/>
  <c r="I587" i="2"/>
  <c r="I588" i="2" a="1"/>
  <c r="I588" i="2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/>
  <c r="I596" i="2" a="1"/>
  <c r="I596" i="2"/>
  <c r="I597" i="2" a="1"/>
  <c r="I597" i="2" s="1"/>
  <c r="I598" i="2" a="1"/>
  <c r="I598" i="2"/>
  <c r="I599" i="2" a="1"/>
  <c r="I599" i="2"/>
  <c r="I600" i="2" a="1"/>
  <c r="I600" i="2"/>
  <c r="I601" i="2" a="1"/>
  <c r="I601" i="2"/>
  <c r="I602" i="2" a="1"/>
  <c r="I602" i="2" s="1"/>
  <c r="I603" i="2" a="1"/>
  <c r="I603" i="2" s="1"/>
  <c r="I604" i="2" a="1"/>
  <c r="I604" i="2"/>
  <c r="I605" i="2" a="1"/>
  <c r="I605" i="2" s="1"/>
  <c r="I606" i="2" a="1"/>
  <c r="I606" i="2" s="1"/>
  <c r="I607" i="2" a="1"/>
  <c r="I607" i="2" s="1"/>
  <c r="I608" i="2" a="1"/>
  <c r="I608" i="2"/>
  <c r="I609" i="2" a="1"/>
  <c r="I609" i="2" s="1"/>
  <c r="I610" i="2" a="1"/>
  <c r="I610" i="2" s="1"/>
  <c r="I611" i="2" a="1"/>
  <c r="I611" i="2"/>
  <c r="I612" i="2" a="1"/>
  <c r="I612" i="2"/>
  <c r="I613" i="2" a="1"/>
  <c r="I613" i="2"/>
  <c r="I614" i="2" a="1"/>
  <c r="I614" i="2"/>
  <c r="I615" i="2" a="1"/>
  <c r="I615" i="2" s="1"/>
  <c r="I616" i="2" a="1"/>
  <c r="I616" i="2"/>
  <c r="I617" i="2" a="1"/>
  <c r="I617" i="2"/>
  <c r="I618" i="2" a="1"/>
  <c r="I618" i="2" s="1"/>
  <c r="I619" i="2" a="1"/>
  <c r="I619" i="2" s="1"/>
  <c r="I620" i="2" a="1"/>
  <c r="I620" i="2" s="1"/>
  <c r="I621" i="2" a="1"/>
  <c r="I621" i="2" s="1"/>
  <c r="I622" i="2" a="1"/>
  <c r="I622" i="2" s="1"/>
  <c r="I623" i="2" a="1"/>
  <c r="I623" i="2" s="1"/>
  <c r="I624" i="2" a="1"/>
  <c r="I624" i="2"/>
  <c r="I625" i="2" a="1"/>
  <c r="I625" i="2"/>
  <c r="I626" i="2" a="1"/>
  <c r="I626" i="2"/>
  <c r="I627" i="2" a="1"/>
  <c r="I627" i="2" s="1"/>
  <c r="I628" i="2" a="1"/>
  <c r="I628" i="2"/>
  <c r="I629" i="2" a="1"/>
  <c r="I629" i="2"/>
  <c r="I630" i="2" a="1"/>
  <c r="I630" i="2"/>
  <c r="I631" i="2" a="1"/>
  <c r="I631" i="2" s="1"/>
  <c r="I632" i="2" a="1"/>
  <c r="I632" i="2" s="1"/>
  <c r="I633" i="2" a="1"/>
  <c r="I633" i="2" s="1"/>
  <c r="I634" i="2" a="1"/>
  <c r="I634" i="2"/>
  <c r="I635" i="2" a="1"/>
  <c r="I635" i="2" s="1"/>
  <c r="I636" i="2" a="1"/>
  <c r="I636" i="2" s="1"/>
  <c r="I637" i="2" a="1"/>
  <c r="I637" i="2"/>
  <c r="I638" i="2" a="1"/>
  <c r="I638" i="2"/>
  <c r="I639" i="2" a="1"/>
  <c r="I639" i="2" s="1"/>
  <c r="I640" i="2" a="1"/>
  <c r="I640" i="2" s="1"/>
  <c r="I641" i="2" a="1"/>
  <c r="I641" i="2"/>
  <c r="I642" i="2" a="1"/>
  <c r="I642" i="2"/>
  <c r="I643" i="2" a="1"/>
  <c r="I643" i="2"/>
  <c r="I644" i="2" a="1"/>
  <c r="I644" i="2" s="1"/>
  <c r="I645" i="2" a="1"/>
  <c r="I645" i="2" s="1"/>
  <c r="I646" i="2" a="1"/>
  <c r="I646" i="2"/>
  <c r="I647" i="2" a="1"/>
  <c r="I647" i="2"/>
  <c r="I648" i="2" a="1"/>
  <c r="I648" i="2" s="1"/>
  <c r="I649" i="2" a="1"/>
  <c r="I649" i="2" s="1"/>
  <c r="I650" i="2" a="1"/>
  <c r="I650" i="2"/>
  <c r="I651" i="2" a="1"/>
  <c r="I651" i="2" s="1"/>
  <c r="I652" i="2" a="1"/>
  <c r="I652" i="2" s="1"/>
  <c r="I653" i="2" a="1"/>
  <c r="I653" i="2" s="1"/>
  <c r="I654" i="2" a="1"/>
  <c r="I654" i="2"/>
  <c r="I655" i="2" a="1"/>
  <c r="I655" i="2"/>
  <c r="I656" i="2" a="1"/>
  <c r="I656" i="2"/>
  <c r="I657" i="2" a="1"/>
  <c r="I657" i="2" s="1"/>
  <c r="I658" i="2" a="1"/>
  <c r="I658" i="2"/>
  <c r="I659" i="2" a="1"/>
  <c r="I659" i="2"/>
  <c r="I660" i="2" a="1"/>
  <c r="I660" i="2"/>
  <c r="I661" i="2" a="1"/>
  <c r="I661" i="2" s="1"/>
  <c r="I662" i="2" a="1"/>
  <c r="I662" i="2" s="1"/>
  <c r="I663" i="2" a="1"/>
  <c r="I663" i="2" s="1"/>
  <c r="I664" i="2" a="1"/>
  <c r="I664" i="2" s="1"/>
  <c r="I665" i="2" a="1"/>
  <c r="I665" i="2" s="1"/>
  <c r="I666" i="2" a="1"/>
  <c r="I666" i="2" s="1"/>
  <c r="I667" i="2" a="1"/>
  <c r="I667" i="2"/>
  <c r="I668" i="2" a="1"/>
  <c r="I668" i="2"/>
  <c r="I669" i="2" a="1"/>
  <c r="I669" i="2" s="1"/>
  <c r="I670" i="2" a="1"/>
  <c r="I670" i="2"/>
  <c r="I671" i="2" a="1"/>
  <c r="I671" i="2" s="1"/>
  <c r="I672" i="2" a="1"/>
  <c r="I672" i="2"/>
  <c r="I673" i="2" a="1"/>
  <c r="I673" i="2"/>
  <c r="I674" i="2" a="1"/>
  <c r="I674" i="2" s="1"/>
  <c r="I675" i="2" a="1"/>
  <c r="I675" i="2" s="1"/>
  <c r="I676" i="2" a="1"/>
  <c r="I676" i="2"/>
  <c r="I677" i="2" a="1"/>
  <c r="I677" i="2" s="1"/>
  <c r="I678" i="2" a="1"/>
  <c r="I678" i="2" s="1"/>
  <c r="I679" i="2" a="1"/>
  <c r="I679" i="2" s="1"/>
  <c r="I680" i="2" a="1"/>
  <c r="I680" i="2"/>
  <c r="I681" i="2" a="1"/>
  <c r="I681" i="2" s="1"/>
  <c r="I682" i="2" a="1"/>
  <c r="I682" i="2" s="1"/>
  <c r="I683" i="2" a="1"/>
  <c r="I683" i="2"/>
  <c r="I684" i="2" a="1"/>
  <c r="I684" i="2"/>
  <c r="I685" i="2" a="1"/>
  <c r="I685" i="2"/>
  <c r="I686" i="2" a="1"/>
  <c r="I686" i="2" s="1"/>
  <c r="I687" i="2" a="1"/>
  <c r="I687" i="2" s="1"/>
  <c r="I688" i="2" a="1"/>
  <c r="I688" i="2"/>
  <c r="I689" i="2" a="1"/>
  <c r="I689" i="2"/>
  <c r="I690" i="2" a="1"/>
  <c r="I690" i="2" s="1"/>
  <c r="I691" i="2" a="1"/>
  <c r="I691" i="2" s="1"/>
  <c r="I692" i="2" a="1"/>
  <c r="I692" i="2" s="1"/>
  <c r="I693" i="2" a="1"/>
  <c r="I693" i="2" s="1"/>
  <c r="I694" i="2" a="1"/>
  <c r="I694" i="2" s="1"/>
  <c r="I695" i="2" a="1"/>
  <c r="I695" i="2" s="1"/>
  <c r="I696" i="2" a="1"/>
  <c r="I696" i="2"/>
  <c r="I697" i="2" a="1"/>
  <c r="I697" i="2" s="1"/>
  <c r="I698" i="2" a="1"/>
  <c r="I698" i="2"/>
  <c r="I699" i="2" a="1"/>
  <c r="I699" i="2" s="1"/>
  <c r="I700" i="2" a="1"/>
  <c r="I700" i="2"/>
  <c r="I701" i="2" a="1"/>
  <c r="I701" i="2"/>
  <c r="I702" i="2" a="1"/>
  <c r="I702" i="2"/>
  <c r="I703" i="2" a="1"/>
  <c r="I703" i="2" s="1"/>
  <c r="I704" i="2" a="1"/>
  <c r="I704" i="2" s="1"/>
  <c r="I705" i="2" a="1"/>
  <c r="I705" i="2" s="1"/>
  <c r="I706" i="2" a="1"/>
  <c r="I706" i="2"/>
  <c r="I707" i="2" a="1"/>
  <c r="I707" i="2" s="1"/>
  <c r="I708" i="2" a="1"/>
  <c r="I708" i="2" s="1"/>
  <c r="I709" i="2" a="1"/>
  <c r="I709" i="2"/>
  <c r="I710" i="2" a="1"/>
  <c r="I710" i="2"/>
  <c r="I711" i="2" a="1"/>
  <c r="I711" i="2" s="1"/>
  <c r="I712" i="2" a="1"/>
  <c r="I712" i="2" s="1"/>
  <c r="I713" i="2" a="1"/>
  <c r="I713" i="2"/>
  <c r="I714" i="2" a="1"/>
  <c r="I714" i="2"/>
  <c r="I715" i="2" a="1"/>
  <c r="I715" i="2"/>
  <c r="I716" i="2" a="1"/>
  <c r="I716" i="2" s="1"/>
  <c r="I717" i="2" a="1"/>
  <c r="I717" i="2" s="1"/>
  <c r="I718" i="2" a="1"/>
  <c r="I718" i="2"/>
  <c r="I719" i="2" a="1"/>
  <c r="I719" i="2"/>
  <c r="I720" i="2" a="1"/>
  <c r="I720" i="2" s="1"/>
  <c r="I721" i="2" a="1"/>
  <c r="I721" i="2" s="1"/>
  <c r="I722" i="2" a="1"/>
  <c r="I722" i="2"/>
  <c r="I723" i="2" a="1"/>
  <c r="I723" i="2" s="1"/>
  <c r="I724" i="2" a="1"/>
  <c r="I724" i="2" s="1"/>
  <c r="I725" i="2" a="1"/>
  <c r="I725" i="2" s="1"/>
  <c r="I726" i="2" a="1"/>
  <c r="I726" i="2"/>
  <c r="I727" i="2" a="1"/>
  <c r="I727" i="2"/>
  <c r="I728" i="2" a="1"/>
  <c r="I728" i="2"/>
  <c r="I729" i="2" a="1"/>
  <c r="I729" i="2" s="1"/>
  <c r="I730" i="2" a="1"/>
  <c r="I730" i="2" s="1"/>
  <c r="I731" i="2" a="1"/>
  <c r="I731" i="2"/>
  <c r="I732" i="2" a="1"/>
  <c r="I732" i="2"/>
  <c r="I733" i="2" a="1"/>
  <c r="I733" i="2" s="1"/>
  <c r="I734" i="2" a="1"/>
  <c r="I734" i="2" s="1"/>
  <c r="I735" i="2" a="1"/>
  <c r="I735" i="2" s="1"/>
  <c r="I736" i="2" a="1"/>
  <c r="I736" i="2" s="1"/>
  <c r="I737" i="2" a="1"/>
  <c r="I737" i="2" s="1"/>
  <c r="I738" i="2" a="1"/>
  <c r="I738" i="2" s="1"/>
  <c r="I739" i="2" a="1"/>
  <c r="I739" i="2"/>
  <c r="I740" i="2" a="1"/>
  <c r="I740" i="2"/>
  <c r="I741" i="2" a="1"/>
  <c r="I741" i="2" s="1"/>
  <c r="I742" i="2" a="1"/>
  <c r="I742" i="2"/>
  <c r="I743" i="2" a="1"/>
  <c r="I743" i="2" s="1"/>
  <c r="I744" i="2" a="1"/>
  <c r="I744" i="2"/>
  <c r="I745" i="2" a="1"/>
  <c r="I745" i="2"/>
  <c r="I746" i="2" a="1"/>
  <c r="I746" i="2" s="1"/>
  <c r="I747" i="2" a="1"/>
  <c r="I747" i="2" s="1"/>
  <c r="I748" i="2" a="1"/>
  <c r="I748" i="2"/>
  <c r="I749" i="2" a="1"/>
  <c r="I749" i="2" s="1"/>
  <c r="I750" i="2" a="1"/>
  <c r="I750" i="2" s="1"/>
  <c r="I751" i="2" a="1"/>
  <c r="I751" i="2" s="1"/>
  <c r="I752" i="2" a="1"/>
  <c r="I752" i="2"/>
  <c r="I753" i="2" a="1"/>
  <c r="I753" i="2" s="1"/>
  <c r="I754" i="2" a="1"/>
  <c r="I754" i="2" s="1"/>
  <c r="I755" i="2" a="1"/>
  <c r="I755" i="2"/>
  <c r="I756" i="2" a="1"/>
  <c r="I756" i="2" s="1"/>
  <c r="I757" i="2" a="1"/>
  <c r="I757" i="2"/>
  <c r="I758" i="2" a="1"/>
  <c r="I758" i="2"/>
  <c r="I759" i="2" a="1"/>
  <c r="I759" i="2" s="1"/>
  <c r="I760" i="2" a="1"/>
  <c r="I760" i="2"/>
  <c r="I761" i="2" a="1"/>
  <c r="I761" i="2"/>
  <c r="I762" i="2" a="1"/>
  <c r="I762" i="2" s="1"/>
  <c r="I763" i="2" a="1"/>
  <c r="I763" i="2" s="1"/>
  <c r="I764" i="2" a="1"/>
  <c r="I764" i="2" s="1"/>
  <c r="I765" i="2" a="1"/>
  <c r="I765" i="2" s="1"/>
  <c r="I766" i="2" a="1"/>
  <c r="I766" i="2" s="1"/>
  <c r="I767" i="2" a="1"/>
  <c r="I767" i="2" s="1"/>
  <c r="I768" i="2" a="1"/>
  <c r="I768" i="2"/>
  <c r="I769" i="2" a="1"/>
  <c r="I769" i="2" s="1"/>
  <c r="I770" i="2" a="1"/>
  <c r="I770" i="2"/>
  <c r="I771" i="2" a="1"/>
  <c r="I771" i="2" s="1"/>
  <c r="I772" i="2" a="1"/>
  <c r="I772" i="2"/>
  <c r="I773" i="2" a="1"/>
  <c r="I773" i="2"/>
  <c r="I774" i="2" a="1"/>
  <c r="I774" i="2"/>
  <c r="I775" i="2" a="1"/>
  <c r="I775" i="2" s="1"/>
  <c r="I776" i="2" a="1"/>
  <c r="I776" i="2" s="1"/>
  <c r="I777" i="2" a="1"/>
  <c r="I777" i="2" s="1"/>
  <c r="I778" i="2" a="1"/>
  <c r="I778" i="2"/>
  <c r="I779" i="2" a="1"/>
  <c r="I779" i="2" s="1"/>
  <c r="I780" i="2" a="1"/>
  <c r="I780" i="2" s="1"/>
  <c r="I781" i="2" a="1"/>
  <c r="I781" i="2"/>
  <c r="I782" i="2" a="1"/>
  <c r="I782" i="2" s="1"/>
  <c r="I783" i="2" a="1"/>
  <c r="I783" i="2" s="1"/>
  <c r="I784" i="2" a="1"/>
  <c r="I784" i="2" s="1"/>
  <c r="I785" i="2" a="1"/>
  <c r="I785" i="2"/>
  <c r="I786" i="2" a="1"/>
  <c r="I786" i="2"/>
  <c r="I787" i="2" a="1"/>
  <c r="I787" i="2"/>
  <c r="I788" i="2" a="1"/>
  <c r="I788" i="2" s="1"/>
  <c r="I789" i="2" a="1"/>
  <c r="I789" i="2" s="1"/>
  <c r="I790" i="2" a="1"/>
  <c r="I790" i="2"/>
  <c r="I791" i="2" a="1"/>
  <c r="I791" i="2"/>
  <c r="I792" i="2" a="1"/>
  <c r="I792" i="2" s="1"/>
  <c r="I793" i="2" a="1"/>
  <c r="I793" i="2" s="1"/>
  <c r="I794" i="2" a="1"/>
  <c r="I794" i="2"/>
  <c r="I795" i="2" a="1"/>
  <c r="I795" i="2" s="1"/>
  <c r="I796" i="2" a="1"/>
  <c r="I796" i="2" s="1"/>
  <c r="I797" i="2" a="1"/>
  <c r="I797" i="2" s="1"/>
  <c r="I798" i="2" a="1"/>
  <c r="I798" i="2"/>
  <c r="I799" i="2" a="1"/>
  <c r="I799" i="2"/>
  <c r="I800" i="2" a="1"/>
  <c r="I800" i="2"/>
  <c r="I801" i="2" a="1"/>
  <c r="I801" i="2" s="1"/>
  <c r="I802" i="2" a="1"/>
  <c r="I802" i="2" s="1"/>
  <c r="I803" i="2" a="1"/>
  <c r="I803" i="2"/>
  <c r="I804" i="2" a="1"/>
  <c r="I804" i="2"/>
  <c r="I805" i="2" a="1"/>
  <c r="I805" i="2" s="1"/>
  <c r="I806" i="2" a="1"/>
  <c r="I806" i="2" s="1"/>
  <c r="I807" i="2" a="1"/>
  <c r="I807" i="2" s="1"/>
  <c r="I808" i="2" a="1"/>
  <c r="I808" i="2" s="1"/>
  <c r="I809" i="2" a="1"/>
  <c r="I809" i="2" s="1"/>
  <c r="I810" i="2" a="1"/>
  <c r="I810" i="2" s="1"/>
  <c r="I811" i="2" a="1"/>
  <c r="I811" i="2"/>
  <c r="I812" i="2" a="1"/>
  <c r="I812" i="2"/>
  <c r="I813" i="2" a="1"/>
  <c r="I813" i="2" s="1"/>
  <c r="I814" i="2" a="1"/>
  <c r="I814" i="2"/>
  <c r="I815" i="2" a="1"/>
  <c r="I815" i="2" s="1"/>
  <c r="I816" i="2" a="1"/>
  <c r="I816" i="2"/>
  <c r="I817" i="2" a="1"/>
  <c r="I817" i="2"/>
  <c r="I818" i="2" a="1"/>
  <c r="I818" i="2" s="1"/>
  <c r="I819" i="2" a="1"/>
  <c r="I819" i="2" s="1"/>
  <c r="I820" i="2" a="1"/>
  <c r="I820" i="2"/>
  <c r="I821" i="2" a="1"/>
  <c r="I821" i="2" s="1"/>
  <c r="I822" i="2" a="1"/>
  <c r="I822" i="2" s="1"/>
  <c r="I823" i="2" a="1"/>
  <c r="I823" i="2" s="1"/>
  <c r="I824" i="2" a="1"/>
  <c r="I824" i="2"/>
  <c r="I825" i="2" a="1"/>
  <c r="I825" i="2" s="1"/>
  <c r="I826" i="2" a="1"/>
  <c r="I826" i="2" s="1"/>
  <c r="I827" i="2" a="1"/>
  <c r="I827" i="2"/>
  <c r="I828" i="2" a="1"/>
  <c r="I828" i="2" s="1"/>
  <c r="I829" i="2" a="1"/>
  <c r="I829" i="2"/>
  <c r="I830" i="2" a="1"/>
  <c r="I830" i="2"/>
  <c r="I831" i="2" a="1"/>
  <c r="I831" i="2" s="1"/>
  <c r="I832" i="2" a="1"/>
  <c r="I832" i="2"/>
  <c r="I833" i="2" a="1"/>
  <c r="I833" i="2"/>
  <c r="I834" i="2" a="1"/>
  <c r="I834" i="2" s="1"/>
  <c r="I835" i="2" a="1"/>
  <c r="I835" i="2" s="1"/>
  <c r="I836" i="2" a="1"/>
  <c r="I836" i="2" s="1"/>
  <c r="I837" i="2" a="1"/>
  <c r="I837" i="2" s="1"/>
  <c r="I838" i="2" a="1"/>
  <c r="I838" i="2" s="1"/>
  <c r="I839" i="2" a="1"/>
  <c r="I839" i="2" s="1"/>
  <c r="I840" i="2" a="1"/>
  <c r="I840" i="2"/>
  <c r="I841" i="2" a="1"/>
  <c r="I841" i="2"/>
  <c r="I842" i="2" a="1"/>
  <c r="I842" i="2"/>
  <c r="I843" i="2" a="1"/>
  <c r="I843" i="2" s="1"/>
  <c r="I844" i="2" a="1"/>
  <c r="I844" i="2"/>
  <c r="I845" i="2" a="1"/>
  <c r="I845" i="2"/>
  <c r="I846" i="2" a="1"/>
  <c r="I846" i="2"/>
  <c r="I847" i="2" a="1"/>
  <c r="I847" i="2" s="1"/>
  <c r="I848" i="2" a="1"/>
  <c r="I848" i="2" s="1"/>
  <c r="I849" i="2" a="1"/>
  <c r="I849" i="2" s="1"/>
  <c r="I850" i="2" a="1"/>
  <c r="I850" i="2"/>
  <c r="I851" i="2" a="1"/>
  <c r="I851" i="2" s="1"/>
  <c r="I852" i="2" a="1"/>
  <c r="I852" i="2" s="1"/>
  <c r="I853" i="2" a="1"/>
  <c r="I853" i="2"/>
  <c r="I854" i="2" a="1"/>
  <c r="I854" i="2" s="1"/>
  <c r="I855" i="2" a="1"/>
  <c r="I855" i="2" s="1"/>
  <c r="I856" i="2" a="1"/>
  <c r="I856" i="2" s="1"/>
  <c r="I857" i="2" a="1"/>
  <c r="I857" i="2"/>
  <c r="I858" i="2" a="1"/>
  <c r="I858" i="2"/>
  <c r="I859" i="2" a="1"/>
  <c r="I859" i="2"/>
  <c r="I860" i="2" a="1"/>
  <c r="I860" i="2" s="1"/>
  <c r="I861" i="2" a="1"/>
  <c r="I861" i="2" s="1"/>
  <c r="I862" i="2" a="1"/>
  <c r="I862" i="2"/>
  <c r="I863" i="2" a="1"/>
  <c r="I863" i="2"/>
  <c r="I864" i="2" a="1"/>
  <c r="I864" i="2" s="1"/>
  <c r="I865" i="2" a="1"/>
  <c r="I865" i="2" s="1"/>
  <c r="I866" i="2" a="1"/>
  <c r="I866" i="2"/>
  <c r="I867" i="2" a="1"/>
  <c r="I867" i="2" s="1"/>
  <c r="I868" i="2" a="1"/>
  <c r="I868" i="2" s="1"/>
  <c r="I869" i="2" a="1"/>
  <c r="I869" i="2" s="1"/>
  <c r="I870" i="2" a="1"/>
  <c r="I870" i="2"/>
  <c r="I871" i="2" a="1"/>
  <c r="I871" i="2"/>
  <c r="I872" i="2" a="1"/>
  <c r="I872" i="2"/>
  <c r="I873" i="2" a="1"/>
  <c r="I873" i="2" s="1"/>
  <c r="I874" i="2" a="1"/>
  <c r="I874" i="2" s="1"/>
  <c r="I875" i="2" a="1"/>
  <c r="I875" i="2"/>
  <c r="I876" i="2" a="1"/>
  <c r="I876" i="2"/>
  <c r="I877" i="2" a="1"/>
  <c r="I877" i="2" s="1"/>
  <c r="I878" i="2" a="1"/>
  <c r="I878" i="2" s="1"/>
  <c r="I879" i="2" a="1"/>
  <c r="I879" i="2" s="1"/>
  <c r="I880" i="2" a="1"/>
  <c r="I880" i="2" s="1"/>
  <c r="I881" i="2" a="1"/>
  <c r="I881" i="2" s="1"/>
  <c r="I882" i="2" a="1"/>
  <c r="I882" i="2" s="1"/>
  <c r="I883" i="2" a="1"/>
  <c r="I883" i="2"/>
  <c r="I884" i="2" a="1"/>
  <c r="I884" i="2"/>
  <c r="I885" i="2" a="1"/>
  <c r="I885" i="2" s="1"/>
  <c r="I886" i="2" a="1"/>
  <c r="I886" i="2"/>
  <c r="I887" i="2" a="1"/>
  <c r="I887" i="2" s="1"/>
  <c r="I888" i="2" a="1"/>
  <c r="I888" i="2"/>
  <c r="I889" i="2" a="1"/>
  <c r="I889" i="2"/>
  <c r="I890" i="2" a="1"/>
  <c r="I890" i="2" s="1"/>
  <c r="I891" i="2" a="1"/>
  <c r="I891" i="2" s="1"/>
  <c r="I892" i="2" a="1"/>
  <c r="I892" i="2"/>
  <c r="I893" i="2" a="1"/>
  <c r="I893" i="2" s="1"/>
  <c r="I894" i="2" a="1"/>
  <c r="I894" i="2" s="1"/>
  <c r="I895" i="2" a="1"/>
  <c r="I895" i="2" s="1"/>
  <c r="I896" i="2" a="1"/>
  <c r="I896" i="2"/>
  <c r="I897" i="2" a="1"/>
  <c r="I897" i="2" s="1"/>
  <c r="I898" i="2" a="1"/>
  <c r="I898" i="2" s="1"/>
  <c r="I899" i="2" a="1"/>
  <c r="I899" i="2"/>
  <c r="I900" i="2" a="1"/>
  <c r="I900" i="2" s="1"/>
  <c r="I901" i="2" a="1"/>
  <c r="I901" i="2"/>
  <c r="I902" i="2" a="1"/>
  <c r="I902" i="2"/>
  <c r="I903" i="2" a="1"/>
  <c r="I903" i="2" s="1"/>
  <c r="I904" i="2" a="1"/>
  <c r="I904" i="2"/>
  <c r="I905" i="2" a="1"/>
  <c r="I905" i="2"/>
  <c r="I906" i="2" a="1"/>
  <c r="I906" i="2" s="1"/>
  <c r="I907" i="2" a="1"/>
  <c r="I907" i="2" s="1"/>
  <c r="I908" i="2" a="1"/>
  <c r="I908" i="2" s="1"/>
  <c r="I909" i="2" a="1"/>
  <c r="I909" i="2" s="1"/>
  <c r="I910" i="2" a="1"/>
  <c r="I910" i="2" s="1"/>
  <c r="I911" i="2" a="1"/>
  <c r="I911" i="2" s="1"/>
  <c r="I912" i="2" a="1"/>
  <c r="I912" i="2"/>
  <c r="I913" i="2" a="1"/>
  <c r="I913" i="2" s="1"/>
  <c r="I914" i="2" a="1"/>
  <c r="I914" i="2"/>
  <c r="I915" i="2" a="1"/>
  <c r="I915" i="2" s="1"/>
  <c r="I916" i="2" a="1"/>
  <c r="I916" i="2"/>
  <c r="I917" i="2" a="1"/>
  <c r="I917" i="2"/>
  <c r="I918" i="2" a="1"/>
  <c r="I918" i="2"/>
  <c r="I919" i="2" a="1"/>
  <c r="I919" i="2" s="1"/>
  <c r="I920" i="2" a="1"/>
  <c r="I920" i="2" s="1"/>
  <c r="I921" i="2" a="1"/>
  <c r="I921" i="2" s="1"/>
  <c r="I922" i="2" a="1"/>
  <c r="I922" i="2"/>
  <c r="I923" i="2" a="1"/>
  <c r="I923" i="2" s="1"/>
  <c r="I924" i="2" a="1"/>
  <c r="I924" i="2" s="1"/>
  <c r="I925" i="2" a="1"/>
  <c r="I925" i="2"/>
  <c r="I926" i="2" a="1"/>
  <c r="I926" i="2" s="1"/>
  <c r="I927" i="2" a="1"/>
  <c r="I927" i="2" s="1"/>
  <c r="I928" i="2" a="1"/>
  <c r="I928" i="2" s="1"/>
  <c r="I929" i="2" a="1"/>
  <c r="I929" i="2"/>
  <c r="I930" i="2" a="1"/>
  <c r="I930" i="2"/>
  <c r="I931" i="2" a="1"/>
  <c r="I931" i="2"/>
  <c r="I932" i="2" a="1"/>
  <c r="I932" i="2" s="1"/>
  <c r="I933" i="2" a="1"/>
  <c r="I933" i="2" s="1"/>
  <c r="I934" i="2" a="1"/>
  <c r="I934" i="2"/>
  <c r="I935" i="2" a="1"/>
  <c r="I935" i="2"/>
  <c r="I936" i="2" a="1"/>
  <c r="I936" i="2" s="1"/>
  <c r="I937" i="2" a="1"/>
  <c r="I937" i="2" s="1"/>
  <c r="I938" i="2" a="1"/>
  <c r="I938" i="2"/>
  <c r="I939" i="2" a="1"/>
  <c r="I939" i="2" s="1"/>
  <c r="I940" i="2" a="1"/>
  <c r="I940" i="2" s="1"/>
  <c r="I941" i="2" a="1"/>
  <c r="I941" i="2" s="1"/>
  <c r="I942" i="2" a="1"/>
  <c r="I942" i="2"/>
  <c r="I943" i="2" a="1"/>
  <c r="I943" i="2"/>
  <c r="I944" i="2" a="1"/>
  <c r="I944" i="2"/>
  <c r="I945" i="2" a="1"/>
  <c r="I945" i="2" s="1"/>
  <c r="I946" i="2" a="1"/>
  <c r="I946" i="2"/>
  <c r="I947" i="2" a="1"/>
  <c r="I947" i="2"/>
  <c r="I948" i="2" a="1"/>
  <c r="I948" i="2"/>
  <c r="I949" i="2" a="1"/>
  <c r="I949" i="2" s="1"/>
  <c r="I950" i="2" a="1"/>
  <c r="I950" i="2" s="1"/>
  <c r="I951" i="2" a="1"/>
  <c r="I951" i="2" s="1"/>
  <c r="I952" i="2" a="1"/>
  <c r="I952" i="2" s="1"/>
  <c r="I953" i="2" a="1"/>
  <c r="I953" i="2" s="1"/>
  <c r="I954" i="2" a="1"/>
  <c r="I954" i="2" s="1"/>
  <c r="I955" i="2" a="1"/>
  <c r="I955" i="2"/>
  <c r="I956" i="2" a="1"/>
  <c r="I956" i="2"/>
  <c r="I957" i="2" a="1"/>
  <c r="I957" i="2" s="1"/>
  <c r="I958" i="2" a="1"/>
  <c r="I958" i="2"/>
  <c r="I959" i="2" a="1"/>
  <c r="I959" i="2" s="1"/>
  <c r="I960" i="2" a="1"/>
  <c r="I960" i="2"/>
  <c r="I961" i="2" a="1"/>
  <c r="I961" i="2"/>
  <c r="I962" i="2" a="1"/>
  <c r="I962" i="2" s="1"/>
  <c r="I963" i="2" a="1"/>
  <c r="I963" i="2" s="1"/>
  <c r="I964" i="2" a="1"/>
  <c r="I964" i="2"/>
  <c r="I965" i="2" a="1"/>
  <c r="I965" i="2" s="1"/>
  <c r="I966" i="2" a="1"/>
  <c r="I966" i="2" s="1"/>
  <c r="I967" i="2" a="1"/>
  <c r="I967" i="2" s="1"/>
  <c r="I968" i="2" a="1"/>
  <c r="I968" i="2"/>
  <c r="I969" i="2" a="1"/>
  <c r="I969" i="2"/>
  <c r="I970" i="2" a="1"/>
  <c r="I970" i="2"/>
  <c r="I971" i="2" a="1"/>
  <c r="I971" i="2" s="1"/>
  <c r="I972" i="2" a="1"/>
  <c r="I972" i="2" s="1"/>
  <c r="I973" i="2" a="1"/>
  <c r="I973" i="2" s="1"/>
  <c r="I974" i="2" a="1"/>
  <c r="I974" i="2"/>
  <c r="I975" i="2" a="1"/>
  <c r="I975" i="2"/>
  <c r="I976" i="2" a="1"/>
  <c r="I976" i="2"/>
  <c r="I977" i="2" a="1"/>
  <c r="I977" i="2" s="1"/>
  <c r="I978" i="2" a="1"/>
  <c r="I978" i="2" s="1"/>
  <c r="I979" i="2" a="1"/>
  <c r="I979" i="2" s="1"/>
  <c r="I980" i="2" a="1"/>
  <c r="I980" i="2"/>
  <c r="I981" i="2" a="1"/>
  <c r="I981" i="2"/>
  <c r="I982" i="2" a="1"/>
  <c r="I982" i="2"/>
  <c r="I983" i="2" a="1"/>
  <c r="I983" i="2" s="1"/>
  <c r="I984" i="2" a="1"/>
  <c r="I984" i="2" s="1"/>
  <c r="I985" i="2" a="1"/>
  <c r="I985" i="2" s="1"/>
  <c r="I986" i="2" a="1"/>
  <c r="I986" i="2"/>
  <c r="I987" i="2" a="1"/>
  <c r="I987" i="2"/>
  <c r="I988" i="2" a="1"/>
  <c r="I988" i="2"/>
  <c r="I989" i="2" a="1"/>
  <c r="I989" i="2" s="1"/>
  <c r="I990" i="2" a="1"/>
  <c r="I990" i="2" s="1"/>
  <c r="I991" i="2" a="1"/>
  <c r="I991" i="2" s="1"/>
  <c r="I992" i="2" a="1"/>
  <c r="I992" i="2"/>
  <c r="I993" i="2" a="1"/>
  <c r="I993" i="2" s="1"/>
  <c r="I994" i="2" a="1"/>
  <c r="I994" i="2"/>
  <c r="I995" i="2" a="1"/>
  <c r="I995" i="2" s="1"/>
  <c r="I996" i="2" a="1"/>
  <c r="I996" i="2" s="1"/>
  <c r="I997" i="2" a="1"/>
  <c r="I997" i="2" s="1"/>
  <c r="I998" i="2" a="1"/>
  <c r="I998" i="2" s="1"/>
  <c r="I999" i="2" a="1"/>
  <c r="I999" i="2" s="1"/>
  <c r="I1000" i="2" a="1"/>
  <c r="I1000" i="2"/>
  <c r="I1001" i="2" a="1"/>
  <c r="I1001" i="2" s="1"/>
  <c r="I1002" i="2" a="1"/>
  <c r="I1002" i="2" s="1"/>
  <c r="I1003" i="2" a="1"/>
  <c r="I1003" i="2" s="1"/>
  <c r="I1004" i="2" a="1"/>
  <c r="I1004" i="2" s="1"/>
  <c r="I1005" i="2" a="1"/>
  <c r="I1005" i="2" s="1"/>
  <c r="I1006" i="2" a="1"/>
  <c r="I1006" i="2"/>
  <c r="I1007" i="2" a="1"/>
  <c r="I1007" i="2" s="1"/>
  <c r="I1008" i="2" a="1"/>
  <c r="I1008" i="2" s="1"/>
  <c r="I1009" i="2" a="1"/>
  <c r="I1009" i="2" s="1"/>
  <c r="I1010" i="2" a="1"/>
  <c r="I1010" i="2" s="1"/>
  <c r="I1011" i="2" a="1"/>
  <c r="I1011" i="2" s="1"/>
  <c r="I1012" i="2" a="1"/>
  <c r="I1012" i="2"/>
  <c r="I1013" i="2" a="1"/>
  <c r="I1013" i="2" s="1"/>
  <c r="I1014" i="2" a="1"/>
  <c r="I1014" i="2" s="1"/>
  <c r="I1015" i="2" a="1"/>
  <c r="I1015" i="2" s="1"/>
  <c r="I1016" i="2" a="1"/>
  <c r="I1016" i="2" s="1"/>
  <c r="I1017" i="2" a="1"/>
  <c r="I1017" i="2" s="1"/>
  <c r="I1018" i="2" a="1"/>
  <c r="I1018" i="2"/>
  <c r="I1019" i="2" a="1"/>
  <c r="I1019" i="2" s="1"/>
  <c r="I1020" i="2" a="1"/>
  <c r="I1020" i="2" s="1"/>
  <c r="I1021" i="2" a="1"/>
  <c r="I1021" i="2" s="1"/>
  <c r="I1022" i="2" a="1"/>
  <c r="I1022" i="2" s="1"/>
  <c r="I1023" i="2" a="1"/>
  <c r="I1023" i="2" s="1"/>
  <c r="I1024" i="2" a="1"/>
  <c r="I1024" i="2"/>
  <c r="I1025" i="2" a="1"/>
  <c r="I1025" i="2" s="1"/>
  <c r="I1026" i="2" a="1"/>
  <c r="I1026" i="2" s="1"/>
  <c r="I1027" i="2" a="1"/>
  <c r="I1027" i="2" s="1"/>
  <c r="I1028" i="2" a="1"/>
  <c r="I1028" i="2" s="1"/>
  <c r="I1029" i="2" a="1"/>
  <c r="I1029" i="2" s="1"/>
  <c r="I1030" i="2" a="1"/>
  <c r="I1030" i="2" s="1"/>
  <c r="I1031" i="2" a="1"/>
  <c r="I1031" i="2" s="1"/>
  <c r="I1032" i="2" a="1"/>
  <c r="I1032" i="2" s="1"/>
  <c r="I1033" i="2" a="1"/>
  <c r="I1033" i="2" s="1"/>
  <c r="I1034" i="2" a="1"/>
  <c r="I1034" i="2" s="1"/>
  <c r="I1035" i="2" a="1"/>
  <c r="I1035" i="2" s="1"/>
  <c r="I1036" i="2" a="1"/>
  <c r="I1036" i="2" s="1"/>
  <c r="I1037" i="2" a="1"/>
  <c r="I1037" i="2" s="1"/>
  <c r="I1038" i="2" a="1"/>
  <c r="I1038" i="2" s="1"/>
  <c r="I1039" i="2" a="1"/>
  <c r="I1039" i="2" s="1"/>
  <c r="I1040" i="2" a="1"/>
  <c r="I1040" i="2" s="1"/>
  <c r="I1041" i="2" a="1"/>
  <c r="I1041" i="2" s="1"/>
  <c r="I1042" i="2" a="1"/>
  <c r="I1042" i="2" s="1"/>
  <c r="I1043" i="2" a="1"/>
  <c r="I1043" i="2" s="1"/>
  <c r="I1044" i="2" a="1"/>
  <c r="I1044" i="2" s="1"/>
  <c r="I1045" i="2" a="1"/>
  <c r="I1045" i="2" s="1"/>
  <c r="I1046" i="2" a="1"/>
  <c r="I1046" i="2" s="1"/>
  <c r="I1047" i="2" a="1"/>
  <c r="I1047" i="2" s="1"/>
  <c r="I1048" i="2" a="1"/>
  <c r="I1048" i="2" s="1"/>
  <c r="I1049" i="2" a="1"/>
  <c r="I1049" i="2" s="1"/>
  <c r="I1050" i="2" a="1"/>
  <c r="I1050" i="2" s="1"/>
  <c r="I1051" i="2" a="1"/>
  <c r="I1051" i="2" s="1"/>
  <c r="I1052" i="2" a="1"/>
  <c r="I1052" i="2" s="1"/>
  <c r="I1053" i="2" a="1"/>
  <c r="I1053" i="2" s="1"/>
  <c r="I1054" i="2" a="1"/>
  <c r="I1054" i="2" s="1"/>
  <c r="I1055" i="2" a="1"/>
  <c r="I1055" i="2" s="1"/>
  <c r="I1056" i="2" a="1"/>
  <c r="I1056" i="2" s="1"/>
  <c r="I1057" i="2" a="1"/>
  <c r="I1057" i="2" s="1"/>
  <c r="I2" i="2" a="1"/>
  <c r="I2" i="2" s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346" i="1"/>
  <c r="B3" i="4"/>
  <c r="C3" i="4"/>
  <c r="D3" i="4"/>
  <c r="E3" i="4"/>
  <c r="F3" i="4"/>
  <c r="B4" i="4"/>
  <c r="C4" i="4"/>
  <c r="D4" i="4"/>
  <c r="E4" i="4"/>
  <c r="F4" i="4"/>
  <c r="B5" i="4"/>
  <c r="C5" i="4"/>
  <c r="D5" i="4"/>
  <c r="E5" i="4"/>
  <c r="F5" i="4"/>
  <c r="B6" i="4"/>
  <c r="C6" i="4"/>
  <c r="D6" i="4"/>
  <c r="E6" i="4"/>
  <c r="F6" i="4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0" i="4"/>
  <c r="C10" i="4"/>
  <c r="D10" i="4"/>
  <c r="E10" i="4"/>
  <c r="F10" i="4"/>
  <c r="B11" i="4"/>
  <c r="C11" i="4"/>
  <c r="D11" i="4"/>
  <c r="E11" i="4"/>
  <c r="F11" i="4"/>
  <c r="B12" i="4"/>
  <c r="C12" i="4"/>
  <c r="D12" i="4"/>
  <c r="E12" i="4"/>
  <c r="F12" i="4"/>
  <c r="B13" i="4"/>
  <c r="C13" i="4"/>
  <c r="D13" i="4"/>
  <c r="E13" i="4"/>
  <c r="F13" i="4"/>
  <c r="B14" i="4"/>
  <c r="C14" i="4"/>
  <c r="D14" i="4"/>
  <c r="E14" i="4"/>
  <c r="F14" i="4"/>
  <c r="B15" i="4"/>
  <c r="C15" i="4"/>
  <c r="D15" i="4"/>
  <c r="E15" i="4"/>
  <c r="F15" i="4"/>
  <c r="B16" i="4"/>
  <c r="C16" i="4"/>
  <c r="D16" i="4"/>
  <c r="E16" i="4"/>
  <c r="F16" i="4"/>
  <c r="B17" i="4"/>
  <c r="C17" i="4"/>
  <c r="D17" i="4"/>
  <c r="E17" i="4"/>
  <c r="F17" i="4"/>
  <c r="B18" i="4"/>
  <c r="C18" i="4"/>
  <c r="D18" i="4"/>
  <c r="E18" i="4"/>
  <c r="F18" i="4"/>
  <c r="B19" i="4"/>
  <c r="C19" i="4"/>
  <c r="D19" i="4"/>
  <c r="E19" i="4"/>
  <c r="F19" i="4"/>
  <c r="B20" i="4"/>
  <c r="C20" i="4"/>
  <c r="D20" i="4"/>
  <c r="E20" i="4"/>
  <c r="F20" i="4"/>
  <c r="B21" i="4"/>
  <c r="C21" i="4"/>
  <c r="D21" i="4"/>
  <c r="E21" i="4"/>
  <c r="F21" i="4"/>
  <c r="B22" i="4"/>
  <c r="C22" i="4"/>
  <c r="D22" i="4"/>
  <c r="E22" i="4"/>
  <c r="F22" i="4"/>
  <c r="B23" i="4"/>
  <c r="C23" i="4"/>
  <c r="D23" i="4"/>
  <c r="E23" i="4"/>
  <c r="F23" i="4"/>
  <c r="B24" i="4"/>
  <c r="C24" i="4"/>
  <c r="D24" i="4"/>
  <c r="E24" i="4"/>
  <c r="F24" i="4"/>
  <c r="B25" i="4"/>
  <c r="C25" i="4"/>
  <c r="D25" i="4"/>
  <c r="E25" i="4"/>
  <c r="F25" i="4"/>
  <c r="B26" i="4"/>
  <c r="C26" i="4"/>
  <c r="D26" i="4"/>
  <c r="E26" i="4"/>
  <c r="F26" i="4"/>
  <c r="B27" i="4"/>
  <c r="C27" i="4"/>
  <c r="D27" i="4"/>
  <c r="E27" i="4"/>
  <c r="F27" i="4"/>
  <c r="B28" i="4"/>
  <c r="C28" i="4"/>
  <c r="D28" i="4"/>
  <c r="E28" i="4"/>
  <c r="F28" i="4"/>
  <c r="B29" i="4"/>
  <c r="C29" i="4"/>
  <c r="D29" i="4"/>
  <c r="E29" i="4"/>
  <c r="F29" i="4"/>
  <c r="B30" i="4"/>
  <c r="C30" i="4"/>
  <c r="D30" i="4"/>
  <c r="E30" i="4"/>
  <c r="F30" i="4"/>
  <c r="B31" i="4"/>
  <c r="C31" i="4"/>
  <c r="D31" i="4"/>
  <c r="E31" i="4"/>
  <c r="F31" i="4"/>
  <c r="B32" i="4"/>
  <c r="C32" i="4"/>
  <c r="D32" i="4"/>
  <c r="E32" i="4"/>
  <c r="F32" i="4"/>
  <c r="B33" i="4"/>
  <c r="C33" i="4"/>
  <c r="D33" i="4"/>
  <c r="E33" i="4"/>
  <c r="F33" i="4"/>
  <c r="B34" i="4"/>
  <c r="C34" i="4"/>
  <c r="D34" i="4"/>
  <c r="E34" i="4"/>
  <c r="F34" i="4"/>
  <c r="B35" i="4"/>
  <c r="C35" i="4"/>
  <c r="D35" i="4"/>
  <c r="E35" i="4"/>
  <c r="F35" i="4"/>
  <c r="B36" i="4"/>
  <c r="C36" i="4"/>
  <c r="D36" i="4"/>
  <c r="E36" i="4"/>
  <c r="F36" i="4"/>
  <c r="B37" i="4"/>
  <c r="C37" i="4"/>
  <c r="D37" i="4"/>
  <c r="E37" i="4"/>
  <c r="F37" i="4"/>
  <c r="B38" i="4"/>
  <c r="C38" i="4"/>
  <c r="D38" i="4"/>
  <c r="E38" i="4"/>
  <c r="F38" i="4"/>
  <c r="B39" i="4"/>
  <c r="C39" i="4"/>
  <c r="D39" i="4"/>
  <c r="E39" i="4"/>
  <c r="F39" i="4"/>
  <c r="B40" i="4"/>
  <c r="C40" i="4"/>
  <c r="D40" i="4"/>
  <c r="E40" i="4"/>
  <c r="F40" i="4"/>
  <c r="B41" i="4"/>
  <c r="C41" i="4"/>
  <c r="D41" i="4"/>
  <c r="E41" i="4"/>
  <c r="F41" i="4"/>
  <c r="B42" i="4"/>
  <c r="C42" i="4"/>
  <c r="D42" i="4"/>
  <c r="E42" i="4"/>
  <c r="F42" i="4"/>
  <c r="B43" i="4"/>
  <c r="C43" i="4"/>
  <c r="D43" i="4"/>
  <c r="E43" i="4"/>
  <c r="F43" i="4"/>
  <c r="B44" i="4"/>
  <c r="C44" i="4"/>
  <c r="D44" i="4"/>
  <c r="E44" i="4"/>
  <c r="F44" i="4"/>
  <c r="B45" i="4"/>
  <c r="C45" i="4"/>
  <c r="D45" i="4"/>
  <c r="E45" i="4"/>
  <c r="F45" i="4"/>
  <c r="B46" i="4"/>
  <c r="C46" i="4"/>
  <c r="D46" i="4"/>
  <c r="E46" i="4"/>
  <c r="F46" i="4"/>
  <c r="B47" i="4"/>
  <c r="C47" i="4"/>
  <c r="D47" i="4"/>
  <c r="E47" i="4"/>
  <c r="F47" i="4"/>
  <c r="B48" i="4"/>
  <c r="C48" i="4"/>
  <c r="D48" i="4"/>
  <c r="E48" i="4"/>
  <c r="F48" i="4"/>
  <c r="B49" i="4"/>
  <c r="C49" i="4"/>
  <c r="D49" i="4"/>
  <c r="E49" i="4"/>
  <c r="F49" i="4"/>
  <c r="B50" i="4"/>
  <c r="C50" i="4"/>
  <c r="D50" i="4"/>
  <c r="E50" i="4"/>
  <c r="F50" i="4"/>
  <c r="B51" i="4"/>
  <c r="C51" i="4"/>
  <c r="D51" i="4"/>
  <c r="E51" i="4"/>
  <c r="F51" i="4"/>
  <c r="B52" i="4"/>
  <c r="C52" i="4"/>
  <c r="D52" i="4"/>
  <c r="E52" i="4"/>
  <c r="F52" i="4"/>
  <c r="B53" i="4"/>
  <c r="C53" i="4"/>
  <c r="D53" i="4"/>
  <c r="E53" i="4"/>
  <c r="F53" i="4"/>
  <c r="B54" i="4"/>
  <c r="C54" i="4"/>
  <c r="D54" i="4"/>
  <c r="E54" i="4"/>
  <c r="F54" i="4"/>
  <c r="B55" i="4"/>
  <c r="C55" i="4"/>
  <c r="D55" i="4"/>
  <c r="E55" i="4"/>
  <c r="F55" i="4"/>
  <c r="B56" i="4"/>
  <c r="C56" i="4"/>
  <c r="D56" i="4"/>
  <c r="E56" i="4"/>
  <c r="F56" i="4"/>
  <c r="B57" i="4"/>
  <c r="C57" i="4"/>
  <c r="D57" i="4"/>
  <c r="E57" i="4"/>
  <c r="F57" i="4"/>
  <c r="B58" i="4"/>
  <c r="C58" i="4"/>
  <c r="D58" i="4"/>
  <c r="E58" i="4"/>
  <c r="F58" i="4"/>
  <c r="B59" i="4"/>
  <c r="C59" i="4"/>
  <c r="D59" i="4"/>
  <c r="E59" i="4"/>
  <c r="F59" i="4"/>
  <c r="B60" i="4"/>
  <c r="C60" i="4"/>
  <c r="D60" i="4"/>
  <c r="E60" i="4"/>
  <c r="F60" i="4"/>
  <c r="B61" i="4"/>
  <c r="C61" i="4"/>
  <c r="D61" i="4"/>
  <c r="E61" i="4"/>
  <c r="F61" i="4"/>
  <c r="B62" i="4"/>
  <c r="C62" i="4"/>
  <c r="D62" i="4"/>
  <c r="E62" i="4"/>
  <c r="F62" i="4"/>
  <c r="B63" i="4"/>
  <c r="C63" i="4"/>
  <c r="D63" i="4"/>
  <c r="E63" i="4"/>
  <c r="F63" i="4"/>
  <c r="B64" i="4"/>
  <c r="C64" i="4"/>
  <c r="D64" i="4"/>
  <c r="E64" i="4"/>
  <c r="F64" i="4"/>
  <c r="B65" i="4"/>
  <c r="C65" i="4"/>
  <c r="D65" i="4"/>
  <c r="E65" i="4"/>
  <c r="F65" i="4"/>
  <c r="B66" i="4"/>
  <c r="C66" i="4"/>
  <c r="D66" i="4"/>
  <c r="E66" i="4"/>
  <c r="F66" i="4"/>
  <c r="B67" i="4"/>
  <c r="C67" i="4"/>
  <c r="D67" i="4"/>
  <c r="E67" i="4"/>
  <c r="F67" i="4"/>
  <c r="B68" i="4"/>
  <c r="C68" i="4"/>
  <c r="D68" i="4"/>
  <c r="E68" i="4"/>
  <c r="F68" i="4"/>
  <c r="B69" i="4"/>
  <c r="C69" i="4"/>
  <c r="D69" i="4"/>
  <c r="E69" i="4"/>
  <c r="F69" i="4"/>
  <c r="B70" i="4"/>
  <c r="C70" i="4"/>
  <c r="D70" i="4"/>
  <c r="E70" i="4"/>
  <c r="F70" i="4"/>
  <c r="B71" i="4"/>
  <c r="C71" i="4"/>
  <c r="D71" i="4"/>
  <c r="E71" i="4"/>
  <c r="F71" i="4"/>
  <c r="B72" i="4"/>
  <c r="C72" i="4"/>
  <c r="D72" i="4"/>
  <c r="E72" i="4"/>
  <c r="F72" i="4"/>
  <c r="B73" i="4"/>
  <c r="C73" i="4"/>
  <c r="D73" i="4"/>
  <c r="E73" i="4"/>
  <c r="F73" i="4"/>
  <c r="B74" i="4"/>
  <c r="C74" i="4"/>
  <c r="D74" i="4"/>
  <c r="E74" i="4"/>
  <c r="F74" i="4"/>
  <c r="B75" i="4"/>
  <c r="C75" i="4"/>
  <c r="D75" i="4"/>
  <c r="E75" i="4"/>
  <c r="F75" i="4"/>
  <c r="B76" i="4"/>
  <c r="C76" i="4"/>
  <c r="D76" i="4"/>
  <c r="E76" i="4"/>
  <c r="F76" i="4"/>
  <c r="B77" i="4"/>
  <c r="C77" i="4"/>
  <c r="D77" i="4"/>
  <c r="E77" i="4"/>
  <c r="F77" i="4"/>
  <c r="B78" i="4"/>
  <c r="C78" i="4"/>
  <c r="D78" i="4"/>
  <c r="E78" i="4"/>
  <c r="F78" i="4"/>
  <c r="B79" i="4"/>
  <c r="C79" i="4"/>
  <c r="D79" i="4"/>
  <c r="E79" i="4"/>
  <c r="F79" i="4"/>
  <c r="B80" i="4"/>
  <c r="C80" i="4"/>
  <c r="D80" i="4"/>
  <c r="E80" i="4"/>
  <c r="F80" i="4"/>
  <c r="B81" i="4"/>
  <c r="C81" i="4"/>
  <c r="D81" i="4"/>
  <c r="E81" i="4"/>
  <c r="F81" i="4"/>
  <c r="B82" i="4"/>
  <c r="C82" i="4"/>
  <c r="D82" i="4"/>
  <c r="E82" i="4"/>
  <c r="F82" i="4"/>
  <c r="B83" i="4"/>
  <c r="C83" i="4"/>
  <c r="D83" i="4"/>
  <c r="E83" i="4"/>
  <c r="F83" i="4"/>
  <c r="B84" i="4"/>
  <c r="C84" i="4"/>
  <c r="D84" i="4"/>
  <c r="E84" i="4"/>
  <c r="F84" i="4"/>
  <c r="B85" i="4"/>
  <c r="C85" i="4"/>
  <c r="D85" i="4"/>
  <c r="E85" i="4"/>
  <c r="F85" i="4"/>
  <c r="B86" i="4"/>
  <c r="C86" i="4"/>
  <c r="D86" i="4"/>
  <c r="E86" i="4"/>
  <c r="F86" i="4"/>
  <c r="B87" i="4"/>
  <c r="C87" i="4"/>
  <c r="D87" i="4"/>
  <c r="E87" i="4"/>
  <c r="F87" i="4"/>
  <c r="B88" i="4"/>
  <c r="C88" i="4"/>
  <c r="D88" i="4"/>
  <c r="E88" i="4"/>
  <c r="F88" i="4"/>
  <c r="B89" i="4"/>
  <c r="C89" i="4"/>
  <c r="D89" i="4"/>
  <c r="E89" i="4"/>
  <c r="F89" i="4"/>
  <c r="B90" i="4"/>
  <c r="C90" i="4"/>
  <c r="D90" i="4"/>
  <c r="E90" i="4"/>
  <c r="F90" i="4"/>
  <c r="B91" i="4"/>
  <c r="C91" i="4"/>
  <c r="D91" i="4"/>
  <c r="E91" i="4"/>
  <c r="F91" i="4"/>
  <c r="B92" i="4"/>
  <c r="C92" i="4"/>
  <c r="D92" i="4"/>
  <c r="E92" i="4"/>
  <c r="F92" i="4"/>
  <c r="B93" i="4"/>
  <c r="C93" i="4"/>
  <c r="D93" i="4"/>
  <c r="E93" i="4"/>
  <c r="F93" i="4"/>
  <c r="B94" i="4"/>
  <c r="C94" i="4"/>
  <c r="D94" i="4"/>
  <c r="E94" i="4"/>
  <c r="F94" i="4"/>
  <c r="B95" i="4"/>
  <c r="C95" i="4"/>
  <c r="D95" i="4"/>
  <c r="E95" i="4"/>
  <c r="F95" i="4"/>
  <c r="B96" i="4"/>
  <c r="C96" i="4"/>
  <c r="D96" i="4"/>
  <c r="E96" i="4"/>
  <c r="F96" i="4"/>
  <c r="B97" i="4"/>
  <c r="C97" i="4"/>
  <c r="D97" i="4"/>
  <c r="E97" i="4"/>
  <c r="F97" i="4"/>
  <c r="B98" i="4"/>
  <c r="C98" i="4"/>
  <c r="D98" i="4"/>
  <c r="E98" i="4"/>
  <c r="F98" i="4"/>
  <c r="B99" i="4"/>
  <c r="C99" i="4"/>
  <c r="D99" i="4"/>
  <c r="E99" i="4"/>
  <c r="F99" i="4"/>
  <c r="B100" i="4"/>
  <c r="C100" i="4"/>
  <c r="D100" i="4"/>
  <c r="E100" i="4"/>
  <c r="F100" i="4"/>
  <c r="B101" i="4"/>
  <c r="C101" i="4"/>
  <c r="D101" i="4"/>
  <c r="E101" i="4"/>
  <c r="F101" i="4"/>
  <c r="B102" i="4"/>
  <c r="C102" i="4"/>
  <c r="D102" i="4"/>
  <c r="E102" i="4"/>
  <c r="F102" i="4"/>
  <c r="B103" i="4"/>
  <c r="C103" i="4"/>
  <c r="D103" i="4"/>
  <c r="E103" i="4"/>
  <c r="F103" i="4"/>
  <c r="B104" i="4"/>
  <c r="C104" i="4"/>
  <c r="D104" i="4"/>
  <c r="E104" i="4"/>
  <c r="F104" i="4"/>
  <c r="B105" i="4"/>
  <c r="C105" i="4"/>
  <c r="D105" i="4"/>
  <c r="E105" i="4"/>
  <c r="F105" i="4"/>
  <c r="B106" i="4"/>
  <c r="C106" i="4"/>
  <c r="D106" i="4"/>
  <c r="E106" i="4"/>
  <c r="F106" i="4"/>
  <c r="B107" i="4"/>
  <c r="C107" i="4"/>
  <c r="D107" i="4"/>
  <c r="E107" i="4"/>
  <c r="F107" i="4"/>
  <c r="B108" i="4"/>
  <c r="C108" i="4"/>
  <c r="D108" i="4"/>
  <c r="E108" i="4"/>
  <c r="F108" i="4"/>
  <c r="B109" i="4"/>
  <c r="C109" i="4"/>
  <c r="D109" i="4"/>
  <c r="E109" i="4"/>
  <c r="F109" i="4"/>
  <c r="B110" i="4"/>
  <c r="C110" i="4"/>
  <c r="D110" i="4"/>
  <c r="E110" i="4"/>
  <c r="F110" i="4"/>
  <c r="B111" i="4"/>
  <c r="C111" i="4"/>
  <c r="D111" i="4"/>
  <c r="E111" i="4"/>
  <c r="F111" i="4"/>
  <c r="B112" i="4"/>
  <c r="C112" i="4"/>
  <c r="D112" i="4"/>
  <c r="E112" i="4"/>
  <c r="F112" i="4"/>
  <c r="B113" i="4"/>
  <c r="C113" i="4"/>
  <c r="D113" i="4"/>
  <c r="E113" i="4"/>
  <c r="F113" i="4"/>
  <c r="B114" i="4"/>
  <c r="C114" i="4"/>
  <c r="D114" i="4"/>
  <c r="E114" i="4"/>
  <c r="F114" i="4"/>
  <c r="B115" i="4"/>
  <c r="C115" i="4"/>
  <c r="D115" i="4"/>
  <c r="E115" i="4"/>
  <c r="F115" i="4"/>
  <c r="B116" i="4"/>
  <c r="C116" i="4"/>
  <c r="D116" i="4"/>
  <c r="E116" i="4"/>
  <c r="F116" i="4"/>
  <c r="B117" i="4"/>
  <c r="C117" i="4"/>
  <c r="D117" i="4"/>
  <c r="E117" i="4"/>
  <c r="F117" i="4"/>
  <c r="B118" i="4"/>
  <c r="C118" i="4"/>
  <c r="D118" i="4"/>
  <c r="E118" i="4"/>
  <c r="F118" i="4"/>
  <c r="B119" i="4"/>
  <c r="C119" i="4"/>
  <c r="D119" i="4"/>
  <c r="E119" i="4"/>
  <c r="F119" i="4"/>
  <c r="B120" i="4"/>
  <c r="C120" i="4"/>
  <c r="D120" i="4"/>
  <c r="E120" i="4"/>
  <c r="F120" i="4"/>
  <c r="B121" i="4"/>
  <c r="C121" i="4"/>
  <c r="D121" i="4"/>
  <c r="E121" i="4"/>
  <c r="F121" i="4"/>
  <c r="B122" i="4"/>
  <c r="C122" i="4"/>
  <c r="D122" i="4"/>
  <c r="E122" i="4"/>
  <c r="F122" i="4"/>
  <c r="B123" i="4"/>
  <c r="C123" i="4"/>
  <c r="D123" i="4"/>
  <c r="E123" i="4"/>
  <c r="F123" i="4"/>
  <c r="B124" i="4"/>
  <c r="C124" i="4"/>
  <c r="D124" i="4"/>
  <c r="E124" i="4"/>
  <c r="F124" i="4"/>
  <c r="B125" i="4"/>
  <c r="C125" i="4"/>
  <c r="D125" i="4"/>
  <c r="E125" i="4"/>
  <c r="F125" i="4"/>
  <c r="B126" i="4"/>
  <c r="C126" i="4"/>
  <c r="D126" i="4"/>
  <c r="E126" i="4"/>
  <c r="F126" i="4"/>
  <c r="B127" i="4"/>
  <c r="C127" i="4"/>
  <c r="D127" i="4"/>
  <c r="E127" i="4"/>
  <c r="F127" i="4"/>
  <c r="B128" i="4"/>
  <c r="C128" i="4"/>
  <c r="D128" i="4"/>
  <c r="E128" i="4"/>
  <c r="F128" i="4"/>
  <c r="B129" i="4"/>
  <c r="C129" i="4"/>
  <c r="D129" i="4"/>
  <c r="E129" i="4"/>
  <c r="F129" i="4"/>
  <c r="B130" i="4"/>
  <c r="C130" i="4"/>
  <c r="D130" i="4"/>
  <c r="E130" i="4"/>
  <c r="F130" i="4"/>
  <c r="B131" i="4"/>
  <c r="C131" i="4"/>
  <c r="D131" i="4"/>
  <c r="E131" i="4"/>
  <c r="F131" i="4"/>
  <c r="B132" i="4"/>
  <c r="C132" i="4"/>
  <c r="D132" i="4"/>
  <c r="E132" i="4"/>
  <c r="F132" i="4"/>
  <c r="B133" i="4"/>
  <c r="C133" i="4"/>
  <c r="D133" i="4"/>
  <c r="E133" i="4"/>
  <c r="F133" i="4"/>
  <c r="B134" i="4"/>
  <c r="C134" i="4"/>
  <c r="D134" i="4"/>
  <c r="E134" i="4"/>
  <c r="F134" i="4"/>
  <c r="B135" i="4"/>
  <c r="C135" i="4"/>
  <c r="D135" i="4"/>
  <c r="E135" i="4"/>
  <c r="F135" i="4"/>
  <c r="B136" i="4"/>
  <c r="C136" i="4"/>
  <c r="D136" i="4"/>
  <c r="E136" i="4"/>
  <c r="F136" i="4"/>
  <c r="B137" i="4"/>
  <c r="C137" i="4"/>
  <c r="D137" i="4"/>
  <c r="E137" i="4"/>
  <c r="F137" i="4"/>
  <c r="B138" i="4"/>
  <c r="C138" i="4"/>
  <c r="D138" i="4"/>
  <c r="E138" i="4"/>
  <c r="F138" i="4"/>
  <c r="B139" i="4"/>
  <c r="C139" i="4"/>
  <c r="D139" i="4"/>
  <c r="E139" i="4"/>
  <c r="F139" i="4"/>
  <c r="B140" i="4"/>
  <c r="C140" i="4"/>
  <c r="D140" i="4"/>
  <c r="E140" i="4"/>
  <c r="F140" i="4"/>
  <c r="B141" i="4"/>
  <c r="C141" i="4"/>
  <c r="D141" i="4"/>
  <c r="E141" i="4"/>
  <c r="F141" i="4"/>
  <c r="B142" i="4"/>
  <c r="C142" i="4"/>
  <c r="D142" i="4"/>
  <c r="E142" i="4"/>
  <c r="F142" i="4"/>
  <c r="B143" i="4"/>
  <c r="C143" i="4"/>
  <c r="D143" i="4"/>
  <c r="E143" i="4"/>
  <c r="F143" i="4"/>
  <c r="B144" i="4"/>
  <c r="C144" i="4"/>
  <c r="D144" i="4"/>
  <c r="E144" i="4"/>
  <c r="F144" i="4"/>
  <c r="B145" i="4"/>
  <c r="C145" i="4"/>
  <c r="D145" i="4"/>
  <c r="E145" i="4"/>
  <c r="F145" i="4"/>
  <c r="B146" i="4"/>
  <c r="C146" i="4"/>
  <c r="D146" i="4"/>
  <c r="E146" i="4"/>
  <c r="F146" i="4"/>
  <c r="B147" i="4"/>
  <c r="C147" i="4"/>
  <c r="D147" i="4"/>
  <c r="E147" i="4"/>
  <c r="F147" i="4"/>
  <c r="B148" i="4"/>
  <c r="C148" i="4"/>
  <c r="D148" i="4"/>
  <c r="E148" i="4"/>
  <c r="F148" i="4"/>
  <c r="B149" i="4"/>
  <c r="C149" i="4"/>
  <c r="D149" i="4"/>
  <c r="E149" i="4"/>
  <c r="F149" i="4"/>
  <c r="B150" i="4"/>
  <c r="C150" i="4"/>
  <c r="D150" i="4"/>
  <c r="E150" i="4"/>
  <c r="F150" i="4"/>
  <c r="B151" i="4"/>
  <c r="C151" i="4"/>
  <c r="D151" i="4"/>
  <c r="E151" i="4"/>
  <c r="F151" i="4"/>
  <c r="B152" i="4"/>
  <c r="C152" i="4"/>
  <c r="D152" i="4"/>
  <c r="E152" i="4"/>
  <c r="F152" i="4"/>
  <c r="B153" i="4"/>
  <c r="C153" i="4"/>
  <c r="D153" i="4"/>
  <c r="E153" i="4"/>
  <c r="F153" i="4"/>
  <c r="B154" i="4"/>
  <c r="C154" i="4"/>
  <c r="D154" i="4"/>
  <c r="E154" i="4"/>
  <c r="F154" i="4"/>
  <c r="B155" i="4"/>
  <c r="C155" i="4"/>
  <c r="D155" i="4"/>
  <c r="E155" i="4"/>
  <c r="F155" i="4"/>
  <c r="B156" i="4"/>
  <c r="C156" i="4"/>
  <c r="D156" i="4"/>
  <c r="E156" i="4"/>
  <c r="F156" i="4"/>
  <c r="B157" i="4"/>
  <c r="C157" i="4"/>
  <c r="D157" i="4"/>
  <c r="E157" i="4"/>
  <c r="F157" i="4"/>
  <c r="B158" i="4"/>
  <c r="C158" i="4"/>
  <c r="D158" i="4"/>
  <c r="E158" i="4"/>
  <c r="F158" i="4"/>
  <c r="B159" i="4"/>
  <c r="C159" i="4"/>
  <c r="D159" i="4"/>
  <c r="E159" i="4"/>
  <c r="F159" i="4"/>
  <c r="B160" i="4"/>
  <c r="C160" i="4"/>
  <c r="D160" i="4"/>
  <c r="E160" i="4"/>
  <c r="F160" i="4"/>
  <c r="B161" i="4"/>
  <c r="C161" i="4"/>
  <c r="D161" i="4"/>
  <c r="E161" i="4"/>
  <c r="F161" i="4"/>
  <c r="B162" i="4"/>
  <c r="C162" i="4"/>
  <c r="D162" i="4"/>
  <c r="E162" i="4"/>
  <c r="F162" i="4"/>
  <c r="B163" i="4"/>
  <c r="C163" i="4"/>
  <c r="D163" i="4"/>
  <c r="E163" i="4"/>
  <c r="F163" i="4"/>
  <c r="B164" i="4"/>
  <c r="C164" i="4"/>
  <c r="D164" i="4"/>
  <c r="E164" i="4"/>
  <c r="F164" i="4"/>
  <c r="B165" i="4"/>
  <c r="C165" i="4"/>
  <c r="D165" i="4"/>
  <c r="E165" i="4"/>
  <c r="F165" i="4"/>
  <c r="B166" i="4"/>
  <c r="C166" i="4"/>
  <c r="D166" i="4"/>
  <c r="E166" i="4"/>
  <c r="F166" i="4"/>
  <c r="B167" i="4"/>
  <c r="C167" i="4"/>
  <c r="D167" i="4"/>
  <c r="E167" i="4"/>
  <c r="F167" i="4"/>
  <c r="B168" i="4"/>
  <c r="C168" i="4"/>
  <c r="D168" i="4"/>
  <c r="E168" i="4"/>
  <c r="F168" i="4"/>
  <c r="B169" i="4"/>
  <c r="C169" i="4"/>
  <c r="D169" i="4"/>
  <c r="E169" i="4"/>
  <c r="F169" i="4"/>
  <c r="B170" i="4"/>
  <c r="C170" i="4"/>
  <c r="D170" i="4"/>
  <c r="E170" i="4"/>
  <c r="F170" i="4"/>
  <c r="B171" i="4"/>
  <c r="C171" i="4"/>
  <c r="D171" i="4"/>
  <c r="E171" i="4"/>
  <c r="F171" i="4"/>
  <c r="B172" i="4"/>
  <c r="C172" i="4"/>
  <c r="D172" i="4"/>
  <c r="E172" i="4"/>
  <c r="F172" i="4"/>
  <c r="B173" i="4"/>
  <c r="C173" i="4"/>
  <c r="D173" i="4"/>
  <c r="E173" i="4"/>
  <c r="F173" i="4"/>
  <c r="B174" i="4"/>
  <c r="C174" i="4"/>
  <c r="D174" i="4"/>
  <c r="E174" i="4"/>
  <c r="F174" i="4"/>
  <c r="B175" i="4"/>
  <c r="C175" i="4"/>
  <c r="D175" i="4"/>
  <c r="E175" i="4"/>
  <c r="F175" i="4"/>
  <c r="B176" i="4"/>
  <c r="C176" i="4"/>
  <c r="D176" i="4"/>
  <c r="E176" i="4"/>
  <c r="F176" i="4"/>
  <c r="B177" i="4"/>
  <c r="C177" i="4"/>
  <c r="D177" i="4"/>
  <c r="E177" i="4"/>
  <c r="F177" i="4"/>
  <c r="B178" i="4"/>
  <c r="C178" i="4"/>
  <c r="D178" i="4"/>
  <c r="E178" i="4"/>
  <c r="F178" i="4"/>
  <c r="B179" i="4"/>
  <c r="C179" i="4"/>
  <c r="D179" i="4"/>
  <c r="E179" i="4"/>
  <c r="F179" i="4"/>
  <c r="B180" i="4"/>
  <c r="C180" i="4"/>
  <c r="D180" i="4"/>
  <c r="E180" i="4"/>
  <c r="F180" i="4"/>
  <c r="B181" i="4"/>
  <c r="C181" i="4"/>
  <c r="D181" i="4"/>
  <c r="E181" i="4"/>
  <c r="F181" i="4"/>
  <c r="B182" i="4"/>
  <c r="C182" i="4"/>
  <c r="D182" i="4"/>
  <c r="E182" i="4"/>
  <c r="F182" i="4"/>
  <c r="B183" i="4"/>
  <c r="C183" i="4"/>
  <c r="D183" i="4"/>
  <c r="E183" i="4"/>
  <c r="F183" i="4"/>
  <c r="B184" i="4"/>
  <c r="C184" i="4"/>
  <c r="D184" i="4"/>
  <c r="E184" i="4"/>
  <c r="F184" i="4"/>
  <c r="B185" i="4"/>
  <c r="C185" i="4"/>
  <c r="D185" i="4"/>
  <c r="E185" i="4"/>
  <c r="F185" i="4"/>
  <c r="B186" i="4"/>
  <c r="C186" i="4"/>
  <c r="D186" i="4"/>
  <c r="E186" i="4"/>
  <c r="F186" i="4"/>
  <c r="B187" i="4"/>
  <c r="C187" i="4"/>
  <c r="D187" i="4"/>
  <c r="E187" i="4"/>
  <c r="F187" i="4"/>
  <c r="B188" i="4"/>
  <c r="C188" i="4"/>
  <c r="D188" i="4"/>
  <c r="E188" i="4"/>
  <c r="F188" i="4"/>
  <c r="B189" i="4"/>
  <c r="C189" i="4"/>
  <c r="D189" i="4"/>
  <c r="E189" i="4"/>
  <c r="F189" i="4"/>
  <c r="B190" i="4"/>
  <c r="C190" i="4"/>
  <c r="D190" i="4"/>
  <c r="E190" i="4"/>
  <c r="F190" i="4"/>
  <c r="B191" i="4"/>
  <c r="C191" i="4"/>
  <c r="D191" i="4"/>
  <c r="E191" i="4"/>
  <c r="F191" i="4"/>
  <c r="B192" i="4"/>
  <c r="C192" i="4"/>
  <c r="D192" i="4"/>
  <c r="E192" i="4"/>
  <c r="F192" i="4"/>
  <c r="B193" i="4"/>
  <c r="C193" i="4"/>
  <c r="D193" i="4"/>
  <c r="E193" i="4"/>
  <c r="F193" i="4"/>
  <c r="B194" i="4"/>
  <c r="C194" i="4"/>
  <c r="D194" i="4"/>
  <c r="E194" i="4"/>
  <c r="F194" i="4"/>
  <c r="B195" i="4"/>
  <c r="C195" i="4"/>
  <c r="D195" i="4"/>
  <c r="E195" i="4"/>
  <c r="F195" i="4"/>
  <c r="B196" i="4"/>
  <c r="C196" i="4"/>
  <c r="D196" i="4"/>
  <c r="E196" i="4"/>
  <c r="F196" i="4"/>
  <c r="B197" i="4"/>
  <c r="C197" i="4"/>
  <c r="D197" i="4"/>
  <c r="E197" i="4"/>
  <c r="F197" i="4"/>
  <c r="B198" i="4"/>
  <c r="C198" i="4"/>
  <c r="D198" i="4"/>
  <c r="E198" i="4"/>
  <c r="F198" i="4"/>
  <c r="B199" i="4"/>
  <c r="C199" i="4"/>
  <c r="D199" i="4"/>
  <c r="E199" i="4"/>
  <c r="F199" i="4"/>
  <c r="B200" i="4"/>
  <c r="C200" i="4"/>
  <c r="D200" i="4"/>
  <c r="E200" i="4"/>
  <c r="F200" i="4"/>
  <c r="B201" i="4"/>
  <c r="C201" i="4"/>
  <c r="D201" i="4"/>
  <c r="E201" i="4"/>
  <c r="F201" i="4"/>
  <c r="B202" i="4"/>
  <c r="C202" i="4"/>
  <c r="D202" i="4"/>
  <c r="E202" i="4"/>
  <c r="F202" i="4"/>
  <c r="B203" i="4"/>
  <c r="C203" i="4"/>
  <c r="D203" i="4"/>
  <c r="E203" i="4"/>
  <c r="F203" i="4"/>
  <c r="B204" i="4"/>
  <c r="C204" i="4"/>
  <c r="D204" i="4"/>
  <c r="E204" i="4"/>
  <c r="F204" i="4"/>
  <c r="B205" i="4"/>
  <c r="C205" i="4"/>
  <c r="D205" i="4"/>
  <c r="E205" i="4"/>
  <c r="F205" i="4"/>
  <c r="B206" i="4"/>
  <c r="C206" i="4"/>
  <c r="D206" i="4"/>
  <c r="E206" i="4"/>
  <c r="F206" i="4"/>
  <c r="B207" i="4"/>
  <c r="C207" i="4"/>
  <c r="D207" i="4"/>
  <c r="E207" i="4"/>
  <c r="F207" i="4"/>
  <c r="B208" i="4"/>
  <c r="C208" i="4"/>
  <c r="D208" i="4"/>
  <c r="E208" i="4"/>
  <c r="F208" i="4"/>
  <c r="B209" i="4"/>
  <c r="C209" i="4"/>
  <c r="D209" i="4"/>
  <c r="E209" i="4"/>
  <c r="F209" i="4"/>
  <c r="B210" i="4"/>
  <c r="C210" i="4"/>
  <c r="D210" i="4"/>
  <c r="E210" i="4"/>
  <c r="F210" i="4"/>
  <c r="B211" i="4"/>
  <c r="C211" i="4"/>
  <c r="D211" i="4"/>
  <c r="E211" i="4"/>
  <c r="F211" i="4"/>
  <c r="B212" i="4"/>
  <c r="C212" i="4"/>
  <c r="D212" i="4"/>
  <c r="E212" i="4"/>
  <c r="F212" i="4"/>
  <c r="B213" i="4"/>
  <c r="C213" i="4"/>
  <c r="D213" i="4"/>
  <c r="E213" i="4"/>
  <c r="F213" i="4"/>
  <c r="B214" i="4"/>
  <c r="C214" i="4"/>
  <c r="D214" i="4"/>
  <c r="E214" i="4"/>
  <c r="F214" i="4"/>
  <c r="B215" i="4"/>
  <c r="C215" i="4"/>
  <c r="D215" i="4"/>
  <c r="E215" i="4"/>
  <c r="F215" i="4"/>
  <c r="B216" i="4"/>
  <c r="C216" i="4"/>
  <c r="D216" i="4"/>
  <c r="E216" i="4"/>
  <c r="F216" i="4"/>
  <c r="B217" i="4"/>
  <c r="C217" i="4"/>
  <c r="D217" i="4"/>
  <c r="E217" i="4"/>
  <c r="F217" i="4"/>
  <c r="B218" i="4"/>
  <c r="C218" i="4"/>
  <c r="D218" i="4"/>
  <c r="E218" i="4"/>
  <c r="F218" i="4"/>
  <c r="B219" i="4"/>
  <c r="C219" i="4"/>
  <c r="D219" i="4"/>
  <c r="E219" i="4"/>
  <c r="F219" i="4"/>
  <c r="B220" i="4"/>
  <c r="C220" i="4"/>
  <c r="D220" i="4"/>
  <c r="E220" i="4"/>
  <c r="F220" i="4"/>
  <c r="B221" i="4"/>
  <c r="C221" i="4"/>
  <c r="D221" i="4"/>
  <c r="E221" i="4"/>
  <c r="F221" i="4"/>
  <c r="B222" i="4"/>
  <c r="C222" i="4"/>
  <c r="D222" i="4"/>
  <c r="E222" i="4"/>
  <c r="F222" i="4"/>
  <c r="B223" i="4"/>
  <c r="C223" i="4"/>
  <c r="D223" i="4"/>
  <c r="E223" i="4"/>
  <c r="F223" i="4"/>
  <c r="B224" i="4"/>
  <c r="C224" i="4"/>
  <c r="D224" i="4"/>
  <c r="E224" i="4"/>
  <c r="F224" i="4"/>
  <c r="B225" i="4"/>
  <c r="C225" i="4"/>
  <c r="D225" i="4"/>
  <c r="E225" i="4"/>
  <c r="F225" i="4"/>
  <c r="B226" i="4"/>
  <c r="C226" i="4"/>
  <c r="D226" i="4"/>
  <c r="E226" i="4"/>
  <c r="F226" i="4"/>
  <c r="B227" i="4"/>
  <c r="C227" i="4"/>
  <c r="D227" i="4"/>
  <c r="E227" i="4"/>
  <c r="F227" i="4"/>
  <c r="B228" i="4"/>
  <c r="C228" i="4"/>
  <c r="D228" i="4"/>
  <c r="E228" i="4"/>
  <c r="F228" i="4"/>
  <c r="B229" i="4"/>
  <c r="C229" i="4"/>
  <c r="D229" i="4"/>
  <c r="E229" i="4"/>
  <c r="F229" i="4"/>
  <c r="B230" i="4"/>
  <c r="C230" i="4"/>
  <c r="D230" i="4"/>
  <c r="E230" i="4"/>
  <c r="F230" i="4"/>
  <c r="B231" i="4"/>
  <c r="C231" i="4"/>
  <c r="D231" i="4"/>
  <c r="E231" i="4"/>
  <c r="F231" i="4"/>
  <c r="B232" i="4"/>
  <c r="C232" i="4"/>
  <c r="D232" i="4"/>
  <c r="E232" i="4"/>
  <c r="F232" i="4"/>
  <c r="B233" i="4"/>
  <c r="C233" i="4"/>
  <c r="D233" i="4"/>
  <c r="E233" i="4"/>
  <c r="F233" i="4"/>
  <c r="B234" i="4"/>
  <c r="C234" i="4"/>
  <c r="D234" i="4"/>
  <c r="E234" i="4"/>
  <c r="F234" i="4"/>
  <c r="B235" i="4"/>
  <c r="C235" i="4"/>
  <c r="D235" i="4"/>
  <c r="E235" i="4"/>
  <c r="F235" i="4"/>
  <c r="B236" i="4"/>
  <c r="C236" i="4"/>
  <c r="D236" i="4"/>
  <c r="E236" i="4"/>
  <c r="F236" i="4"/>
  <c r="B237" i="4"/>
  <c r="C237" i="4"/>
  <c r="D237" i="4"/>
  <c r="E237" i="4"/>
  <c r="F237" i="4"/>
  <c r="B238" i="4"/>
  <c r="C238" i="4"/>
  <c r="D238" i="4"/>
  <c r="E238" i="4"/>
  <c r="F238" i="4"/>
  <c r="B239" i="4"/>
  <c r="C239" i="4"/>
  <c r="D239" i="4"/>
  <c r="E239" i="4"/>
  <c r="F239" i="4"/>
  <c r="B240" i="4"/>
  <c r="C240" i="4"/>
  <c r="D240" i="4"/>
  <c r="E240" i="4"/>
  <c r="F240" i="4"/>
  <c r="B241" i="4"/>
  <c r="C241" i="4"/>
  <c r="D241" i="4"/>
  <c r="E241" i="4"/>
  <c r="F241" i="4"/>
  <c r="B242" i="4"/>
  <c r="C242" i="4"/>
  <c r="D242" i="4"/>
  <c r="E242" i="4"/>
  <c r="F242" i="4"/>
  <c r="B243" i="4"/>
  <c r="C243" i="4"/>
  <c r="D243" i="4"/>
  <c r="E243" i="4"/>
  <c r="F243" i="4"/>
  <c r="B244" i="4"/>
  <c r="C244" i="4"/>
  <c r="D244" i="4"/>
  <c r="E244" i="4"/>
  <c r="F244" i="4"/>
  <c r="B245" i="4"/>
  <c r="C245" i="4"/>
  <c r="D245" i="4"/>
  <c r="E245" i="4"/>
  <c r="F245" i="4"/>
  <c r="B246" i="4"/>
  <c r="C246" i="4"/>
  <c r="D246" i="4"/>
  <c r="E246" i="4"/>
  <c r="F246" i="4"/>
  <c r="B247" i="4"/>
  <c r="C247" i="4"/>
  <c r="D247" i="4"/>
  <c r="E247" i="4"/>
  <c r="F247" i="4"/>
  <c r="B248" i="4"/>
  <c r="C248" i="4"/>
  <c r="D248" i="4"/>
  <c r="E248" i="4"/>
  <c r="F248" i="4"/>
  <c r="B249" i="4"/>
  <c r="C249" i="4"/>
  <c r="D249" i="4"/>
  <c r="E249" i="4"/>
  <c r="F249" i="4"/>
  <c r="B250" i="4"/>
  <c r="C250" i="4"/>
  <c r="D250" i="4"/>
  <c r="E250" i="4"/>
  <c r="F250" i="4"/>
  <c r="B251" i="4"/>
  <c r="C251" i="4"/>
  <c r="D251" i="4"/>
  <c r="E251" i="4"/>
  <c r="F251" i="4"/>
  <c r="B252" i="4"/>
  <c r="C252" i="4"/>
  <c r="D252" i="4"/>
  <c r="E252" i="4"/>
  <c r="F252" i="4"/>
  <c r="B253" i="4"/>
  <c r="C253" i="4"/>
  <c r="D253" i="4"/>
  <c r="E253" i="4"/>
  <c r="F253" i="4"/>
  <c r="B254" i="4"/>
  <c r="C254" i="4"/>
  <c r="D254" i="4"/>
  <c r="E254" i="4"/>
  <c r="F254" i="4"/>
  <c r="B255" i="4"/>
  <c r="C255" i="4"/>
  <c r="D255" i="4"/>
  <c r="E255" i="4"/>
  <c r="F255" i="4"/>
  <c r="B256" i="4"/>
  <c r="C256" i="4"/>
  <c r="D256" i="4"/>
  <c r="E256" i="4"/>
  <c r="F256" i="4"/>
  <c r="B257" i="4"/>
  <c r="C257" i="4"/>
  <c r="D257" i="4"/>
  <c r="E257" i="4"/>
  <c r="F257" i="4"/>
  <c r="B258" i="4"/>
  <c r="C258" i="4"/>
  <c r="D258" i="4"/>
  <c r="E258" i="4"/>
  <c r="F258" i="4"/>
  <c r="B259" i="4"/>
  <c r="C259" i="4"/>
  <c r="D259" i="4"/>
  <c r="E259" i="4"/>
  <c r="F259" i="4"/>
  <c r="B260" i="4"/>
  <c r="C260" i="4"/>
  <c r="D260" i="4"/>
  <c r="E260" i="4"/>
  <c r="F260" i="4"/>
  <c r="B261" i="4"/>
  <c r="C261" i="4"/>
  <c r="D261" i="4"/>
  <c r="E261" i="4"/>
  <c r="F261" i="4"/>
  <c r="B262" i="4"/>
  <c r="C262" i="4"/>
  <c r="D262" i="4"/>
  <c r="E262" i="4"/>
  <c r="F262" i="4"/>
  <c r="B263" i="4"/>
  <c r="C263" i="4"/>
  <c r="D263" i="4"/>
  <c r="E263" i="4"/>
  <c r="F263" i="4"/>
  <c r="B264" i="4"/>
  <c r="C264" i="4"/>
  <c r="D264" i="4"/>
  <c r="E264" i="4"/>
  <c r="F264" i="4"/>
  <c r="B265" i="4"/>
  <c r="C265" i="4"/>
  <c r="D265" i="4"/>
  <c r="E265" i="4"/>
  <c r="F265" i="4"/>
  <c r="B266" i="4"/>
  <c r="C266" i="4"/>
  <c r="D266" i="4"/>
  <c r="E266" i="4"/>
  <c r="F266" i="4"/>
  <c r="B267" i="4"/>
  <c r="C267" i="4"/>
  <c r="D267" i="4"/>
  <c r="E267" i="4"/>
  <c r="F267" i="4"/>
  <c r="B268" i="4"/>
  <c r="C268" i="4"/>
  <c r="D268" i="4"/>
  <c r="E268" i="4"/>
  <c r="F268" i="4"/>
  <c r="B269" i="4"/>
  <c r="C269" i="4"/>
  <c r="D269" i="4"/>
  <c r="E269" i="4"/>
  <c r="F269" i="4"/>
  <c r="B270" i="4"/>
  <c r="C270" i="4"/>
  <c r="D270" i="4"/>
  <c r="E270" i="4"/>
  <c r="F270" i="4"/>
  <c r="B271" i="4"/>
  <c r="C271" i="4"/>
  <c r="D271" i="4"/>
  <c r="E271" i="4"/>
  <c r="F271" i="4"/>
  <c r="B272" i="4"/>
  <c r="C272" i="4"/>
  <c r="D272" i="4"/>
  <c r="E272" i="4"/>
  <c r="F272" i="4"/>
  <c r="B273" i="4"/>
  <c r="C273" i="4"/>
  <c r="D273" i="4"/>
  <c r="E273" i="4"/>
  <c r="F273" i="4"/>
  <c r="B274" i="4"/>
  <c r="C274" i="4"/>
  <c r="D274" i="4"/>
  <c r="E274" i="4"/>
  <c r="F274" i="4"/>
  <c r="B275" i="4"/>
  <c r="C275" i="4"/>
  <c r="D275" i="4"/>
  <c r="E275" i="4"/>
  <c r="F275" i="4"/>
  <c r="B276" i="4"/>
  <c r="C276" i="4"/>
  <c r="D276" i="4"/>
  <c r="E276" i="4"/>
  <c r="F276" i="4"/>
  <c r="B277" i="4"/>
  <c r="C277" i="4"/>
  <c r="D277" i="4"/>
  <c r="E277" i="4"/>
  <c r="F277" i="4"/>
  <c r="B278" i="4"/>
  <c r="C278" i="4"/>
  <c r="D278" i="4"/>
  <c r="E278" i="4"/>
  <c r="F278" i="4"/>
  <c r="B279" i="4"/>
  <c r="C279" i="4"/>
  <c r="D279" i="4"/>
  <c r="E279" i="4"/>
  <c r="F279" i="4"/>
  <c r="B280" i="4"/>
  <c r="C280" i="4"/>
  <c r="D280" i="4"/>
  <c r="E280" i="4"/>
  <c r="F280" i="4"/>
  <c r="B281" i="4"/>
  <c r="C281" i="4"/>
  <c r="D281" i="4"/>
  <c r="E281" i="4"/>
  <c r="F281" i="4"/>
  <c r="B282" i="4"/>
  <c r="C282" i="4"/>
  <c r="D282" i="4"/>
  <c r="E282" i="4"/>
  <c r="F282" i="4"/>
  <c r="B283" i="4"/>
  <c r="C283" i="4"/>
  <c r="D283" i="4"/>
  <c r="E283" i="4"/>
  <c r="F283" i="4"/>
  <c r="B284" i="4"/>
  <c r="C284" i="4"/>
  <c r="D284" i="4"/>
  <c r="E284" i="4"/>
  <c r="F284" i="4"/>
  <c r="B285" i="4"/>
  <c r="C285" i="4"/>
  <c r="D285" i="4"/>
  <c r="E285" i="4"/>
  <c r="F285" i="4"/>
  <c r="B286" i="4"/>
  <c r="C286" i="4"/>
  <c r="D286" i="4"/>
  <c r="E286" i="4"/>
  <c r="F286" i="4"/>
  <c r="B287" i="4"/>
  <c r="C287" i="4"/>
  <c r="D287" i="4"/>
  <c r="E287" i="4"/>
  <c r="F287" i="4"/>
  <c r="B288" i="4"/>
  <c r="C288" i="4"/>
  <c r="D288" i="4"/>
  <c r="E288" i="4"/>
  <c r="F288" i="4"/>
  <c r="B289" i="4"/>
  <c r="C289" i="4"/>
  <c r="D289" i="4"/>
  <c r="E289" i="4"/>
  <c r="F289" i="4"/>
  <c r="B290" i="4"/>
  <c r="C290" i="4"/>
  <c r="D290" i="4"/>
  <c r="E290" i="4"/>
  <c r="F290" i="4"/>
  <c r="B291" i="4"/>
  <c r="C291" i="4"/>
  <c r="D291" i="4"/>
  <c r="E291" i="4"/>
  <c r="F291" i="4"/>
  <c r="B292" i="4"/>
  <c r="C292" i="4"/>
  <c r="D292" i="4"/>
  <c r="E292" i="4"/>
  <c r="F292" i="4"/>
  <c r="B293" i="4"/>
  <c r="C293" i="4"/>
  <c r="D293" i="4"/>
  <c r="E293" i="4"/>
  <c r="F293" i="4"/>
  <c r="B294" i="4"/>
  <c r="C294" i="4"/>
  <c r="D294" i="4"/>
  <c r="E294" i="4"/>
  <c r="F294" i="4"/>
  <c r="B295" i="4"/>
  <c r="C295" i="4"/>
  <c r="D295" i="4"/>
  <c r="E295" i="4"/>
  <c r="F295" i="4"/>
  <c r="B296" i="4"/>
  <c r="C296" i="4"/>
  <c r="D296" i="4"/>
  <c r="E296" i="4"/>
  <c r="F296" i="4"/>
  <c r="B297" i="4"/>
  <c r="C297" i="4"/>
  <c r="D297" i="4"/>
  <c r="E297" i="4"/>
  <c r="F297" i="4"/>
  <c r="B298" i="4"/>
  <c r="C298" i="4"/>
  <c r="D298" i="4"/>
  <c r="E298" i="4"/>
  <c r="F298" i="4"/>
  <c r="B299" i="4"/>
  <c r="C299" i="4"/>
  <c r="D299" i="4"/>
  <c r="E299" i="4"/>
  <c r="F299" i="4"/>
  <c r="B300" i="4"/>
  <c r="C300" i="4"/>
  <c r="D300" i="4"/>
  <c r="E300" i="4"/>
  <c r="F300" i="4"/>
  <c r="B301" i="4"/>
  <c r="C301" i="4"/>
  <c r="D301" i="4"/>
  <c r="E301" i="4"/>
  <c r="F301" i="4"/>
  <c r="B302" i="4"/>
  <c r="C302" i="4"/>
  <c r="D302" i="4"/>
  <c r="E302" i="4"/>
  <c r="F302" i="4"/>
  <c r="B303" i="4"/>
  <c r="C303" i="4"/>
  <c r="D303" i="4"/>
  <c r="E303" i="4"/>
  <c r="F303" i="4"/>
  <c r="B304" i="4"/>
  <c r="C304" i="4"/>
  <c r="D304" i="4"/>
  <c r="E304" i="4"/>
  <c r="F304" i="4"/>
  <c r="B305" i="4"/>
  <c r="C305" i="4"/>
  <c r="D305" i="4"/>
  <c r="E305" i="4"/>
  <c r="F305" i="4"/>
  <c r="B306" i="4"/>
  <c r="C306" i="4"/>
  <c r="D306" i="4"/>
  <c r="E306" i="4"/>
  <c r="F306" i="4"/>
  <c r="B307" i="4"/>
  <c r="C307" i="4"/>
  <c r="D307" i="4"/>
  <c r="E307" i="4"/>
  <c r="F307" i="4"/>
  <c r="B308" i="4"/>
  <c r="C308" i="4"/>
  <c r="D308" i="4"/>
  <c r="E308" i="4"/>
  <c r="F308" i="4"/>
  <c r="B309" i="4"/>
  <c r="C309" i="4"/>
  <c r="D309" i="4"/>
  <c r="E309" i="4"/>
  <c r="F309" i="4"/>
  <c r="B310" i="4"/>
  <c r="C310" i="4"/>
  <c r="D310" i="4"/>
  <c r="E310" i="4"/>
  <c r="F310" i="4"/>
  <c r="B311" i="4"/>
  <c r="C311" i="4"/>
  <c r="D311" i="4"/>
  <c r="E311" i="4"/>
  <c r="F311" i="4"/>
  <c r="B312" i="4"/>
  <c r="C312" i="4"/>
  <c r="D312" i="4"/>
  <c r="E312" i="4"/>
  <c r="F312" i="4"/>
  <c r="B313" i="4"/>
  <c r="C313" i="4"/>
  <c r="D313" i="4"/>
  <c r="E313" i="4"/>
  <c r="F313" i="4"/>
  <c r="B314" i="4"/>
  <c r="C314" i="4"/>
  <c r="D314" i="4"/>
  <c r="E314" i="4"/>
  <c r="F314" i="4"/>
  <c r="B315" i="4"/>
  <c r="C315" i="4"/>
  <c r="D315" i="4"/>
  <c r="E315" i="4"/>
  <c r="F315" i="4"/>
  <c r="B316" i="4"/>
  <c r="C316" i="4"/>
  <c r="D316" i="4"/>
  <c r="E316" i="4"/>
  <c r="F316" i="4"/>
  <c r="B317" i="4"/>
  <c r="C317" i="4"/>
  <c r="D317" i="4"/>
  <c r="E317" i="4"/>
  <c r="F317" i="4"/>
  <c r="B318" i="4"/>
  <c r="C318" i="4"/>
  <c r="D318" i="4"/>
  <c r="E318" i="4"/>
  <c r="F318" i="4"/>
  <c r="B319" i="4"/>
  <c r="C319" i="4"/>
  <c r="D319" i="4"/>
  <c r="E319" i="4"/>
  <c r="F319" i="4"/>
  <c r="B320" i="4"/>
  <c r="C320" i="4"/>
  <c r="D320" i="4"/>
  <c r="E320" i="4"/>
  <c r="F320" i="4"/>
  <c r="B321" i="4"/>
  <c r="C321" i="4"/>
  <c r="D321" i="4"/>
  <c r="E321" i="4"/>
  <c r="F321" i="4"/>
  <c r="B322" i="4"/>
  <c r="C322" i="4"/>
  <c r="D322" i="4"/>
  <c r="E322" i="4"/>
  <c r="F322" i="4"/>
  <c r="B323" i="4"/>
  <c r="C323" i="4"/>
  <c r="D323" i="4"/>
  <c r="E323" i="4"/>
  <c r="F323" i="4"/>
  <c r="B324" i="4"/>
  <c r="C324" i="4"/>
  <c r="D324" i="4"/>
  <c r="E324" i="4"/>
  <c r="F324" i="4"/>
  <c r="B325" i="4"/>
  <c r="C325" i="4"/>
  <c r="D325" i="4"/>
  <c r="E325" i="4"/>
  <c r="F325" i="4"/>
  <c r="B326" i="4"/>
  <c r="C326" i="4"/>
  <c r="D326" i="4"/>
  <c r="E326" i="4"/>
  <c r="F326" i="4"/>
  <c r="B327" i="4"/>
  <c r="C327" i="4"/>
  <c r="D327" i="4"/>
  <c r="E327" i="4"/>
  <c r="F327" i="4"/>
  <c r="B328" i="4"/>
  <c r="C328" i="4"/>
  <c r="D328" i="4"/>
  <c r="E328" i="4"/>
  <c r="F328" i="4"/>
  <c r="B329" i="4"/>
  <c r="C329" i="4"/>
  <c r="D329" i="4"/>
  <c r="E329" i="4"/>
  <c r="F329" i="4"/>
  <c r="B330" i="4"/>
  <c r="C330" i="4"/>
  <c r="D330" i="4"/>
  <c r="E330" i="4"/>
  <c r="F330" i="4"/>
  <c r="B331" i="4"/>
  <c r="C331" i="4"/>
  <c r="D331" i="4"/>
  <c r="E331" i="4"/>
  <c r="F331" i="4"/>
  <c r="B332" i="4"/>
  <c r="C332" i="4"/>
  <c r="D332" i="4"/>
  <c r="E332" i="4"/>
  <c r="F332" i="4"/>
  <c r="B333" i="4"/>
  <c r="C333" i="4"/>
  <c r="D333" i="4"/>
  <c r="E333" i="4"/>
  <c r="F333" i="4"/>
  <c r="B334" i="4"/>
  <c r="C334" i="4"/>
  <c r="D334" i="4"/>
  <c r="E334" i="4"/>
  <c r="F334" i="4"/>
  <c r="B335" i="4"/>
  <c r="C335" i="4"/>
  <c r="D335" i="4"/>
  <c r="E335" i="4"/>
  <c r="F335" i="4"/>
  <c r="B336" i="4"/>
  <c r="C336" i="4"/>
  <c r="D336" i="4"/>
  <c r="E336" i="4"/>
  <c r="F336" i="4"/>
  <c r="B337" i="4"/>
  <c r="C337" i="4"/>
  <c r="D337" i="4"/>
  <c r="E337" i="4"/>
  <c r="F337" i="4"/>
  <c r="B338" i="4"/>
  <c r="C338" i="4"/>
  <c r="D338" i="4"/>
  <c r="E338" i="4"/>
  <c r="F338" i="4"/>
  <c r="B339" i="4"/>
  <c r="C339" i="4"/>
  <c r="D339" i="4"/>
  <c r="E339" i="4"/>
  <c r="F339" i="4"/>
  <c r="B340" i="4"/>
  <c r="C340" i="4"/>
  <c r="D340" i="4"/>
  <c r="E340" i="4"/>
  <c r="F340" i="4"/>
  <c r="B341" i="4"/>
  <c r="C341" i="4"/>
  <c r="D341" i="4"/>
  <c r="E341" i="4"/>
  <c r="F341" i="4"/>
  <c r="B342" i="4"/>
  <c r="C342" i="4"/>
  <c r="D342" i="4"/>
  <c r="E342" i="4"/>
  <c r="F342" i="4"/>
  <c r="B343" i="4"/>
  <c r="C343" i="4"/>
  <c r="D343" i="4"/>
  <c r="E343" i="4"/>
  <c r="F343" i="4"/>
  <c r="B344" i="4"/>
  <c r="C344" i="4"/>
  <c r="D344" i="4"/>
  <c r="E344" i="4"/>
  <c r="F344" i="4"/>
  <c r="B345" i="4"/>
  <c r="C345" i="4"/>
  <c r="D345" i="4"/>
  <c r="E345" i="4"/>
  <c r="F345" i="4"/>
  <c r="B346" i="4"/>
  <c r="C346" i="4"/>
  <c r="D346" i="4"/>
  <c r="E346" i="4"/>
  <c r="F346" i="4"/>
  <c r="B347" i="4"/>
  <c r="C347" i="4"/>
  <c r="D347" i="4"/>
  <c r="E347" i="4"/>
  <c r="F347" i="4"/>
  <c r="B348" i="4"/>
  <c r="C348" i="4"/>
  <c r="D348" i="4"/>
  <c r="E348" i="4"/>
  <c r="F348" i="4"/>
  <c r="B349" i="4"/>
  <c r="C349" i="4"/>
  <c r="D349" i="4"/>
  <c r="E349" i="4"/>
  <c r="F349" i="4"/>
  <c r="B350" i="4"/>
  <c r="C350" i="4"/>
  <c r="D350" i="4"/>
  <c r="E350" i="4"/>
  <c r="F350" i="4"/>
  <c r="B351" i="4"/>
  <c r="C351" i="4"/>
  <c r="D351" i="4"/>
  <c r="E351" i="4"/>
  <c r="F351" i="4"/>
  <c r="B352" i="4"/>
  <c r="C352" i="4"/>
  <c r="D352" i="4"/>
  <c r="E352" i="4"/>
  <c r="F352" i="4"/>
  <c r="B353" i="4"/>
  <c r="C353" i="4"/>
  <c r="D353" i="4"/>
  <c r="E353" i="4"/>
  <c r="F353" i="4"/>
  <c r="B354" i="4"/>
  <c r="C354" i="4"/>
  <c r="D354" i="4"/>
  <c r="E354" i="4"/>
  <c r="F354" i="4"/>
  <c r="B355" i="4"/>
  <c r="C355" i="4"/>
  <c r="D355" i="4"/>
  <c r="E355" i="4"/>
  <c r="F355" i="4"/>
  <c r="B356" i="4"/>
  <c r="C356" i="4"/>
  <c r="D356" i="4"/>
  <c r="E356" i="4"/>
  <c r="F356" i="4"/>
  <c r="B357" i="4"/>
  <c r="C357" i="4"/>
  <c r="D357" i="4"/>
  <c r="E357" i="4"/>
  <c r="F357" i="4"/>
  <c r="B358" i="4"/>
  <c r="C358" i="4"/>
  <c r="D358" i="4"/>
  <c r="E358" i="4"/>
  <c r="F358" i="4"/>
  <c r="B359" i="4"/>
  <c r="C359" i="4"/>
  <c r="D359" i="4"/>
  <c r="E359" i="4"/>
  <c r="F359" i="4"/>
  <c r="B360" i="4"/>
  <c r="C360" i="4"/>
  <c r="D360" i="4"/>
  <c r="E360" i="4"/>
  <c r="F360" i="4"/>
  <c r="B361" i="4"/>
  <c r="C361" i="4"/>
  <c r="D361" i="4"/>
  <c r="E361" i="4"/>
  <c r="F361" i="4"/>
  <c r="B362" i="4"/>
  <c r="C362" i="4"/>
  <c r="D362" i="4"/>
  <c r="E362" i="4"/>
  <c r="F362" i="4"/>
  <c r="B363" i="4"/>
  <c r="C363" i="4"/>
  <c r="D363" i="4"/>
  <c r="E363" i="4"/>
  <c r="F363" i="4"/>
  <c r="B364" i="4"/>
  <c r="C364" i="4"/>
  <c r="D364" i="4"/>
  <c r="E364" i="4"/>
  <c r="F364" i="4"/>
  <c r="B365" i="4"/>
  <c r="C365" i="4"/>
  <c r="D365" i="4"/>
  <c r="E365" i="4"/>
  <c r="F365" i="4"/>
  <c r="B366" i="4"/>
  <c r="C366" i="4"/>
  <c r="D366" i="4"/>
  <c r="E366" i="4"/>
  <c r="F366" i="4"/>
  <c r="B367" i="4"/>
  <c r="C367" i="4"/>
  <c r="D367" i="4"/>
  <c r="E367" i="4"/>
  <c r="F367" i="4"/>
  <c r="B368" i="4"/>
  <c r="C368" i="4"/>
  <c r="D368" i="4"/>
  <c r="E368" i="4"/>
  <c r="F368" i="4"/>
  <c r="B369" i="4"/>
  <c r="C369" i="4"/>
  <c r="D369" i="4"/>
  <c r="E369" i="4"/>
  <c r="F369" i="4"/>
  <c r="B370" i="4"/>
  <c r="C370" i="4"/>
  <c r="D370" i="4"/>
  <c r="E370" i="4"/>
  <c r="F370" i="4"/>
  <c r="B371" i="4"/>
  <c r="C371" i="4"/>
  <c r="D371" i="4"/>
  <c r="E371" i="4"/>
  <c r="F371" i="4"/>
  <c r="B372" i="4"/>
  <c r="C372" i="4"/>
  <c r="D372" i="4"/>
  <c r="E372" i="4"/>
  <c r="F372" i="4"/>
  <c r="B373" i="4"/>
  <c r="C373" i="4"/>
  <c r="D373" i="4"/>
  <c r="E373" i="4"/>
  <c r="F373" i="4"/>
  <c r="B374" i="4"/>
  <c r="C374" i="4"/>
  <c r="D374" i="4"/>
  <c r="E374" i="4"/>
  <c r="F374" i="4"/>
  <c r="B375" i="4"/>
  <c r="C375" i="4"/>
  <c r="D375" i="4"/>
  <c r="E375" i="4"/>
  <c r="F375" i="4"/>
  <c r="B376" i="4"/>
  <c r="C376" i="4"/>
  <c r="D376" i="4"/>
  <c r="E376" i="4"/>
  <c r="F376" i="4"/>
  <c r="B377" i="4"/>
  <c r="C377" i="4"/>
  <c r="D377" i="4"/>
  <c r="E377" i="4"/>
  <c r="F377" i="4"/>
  <c r="B378" i="4"/>
  <c r="C378" i="4"/>
  <c r="D378" i="4"/>
  <c r="E378" i="4"/>
  <c r="F378" i="4"/>
  <c r="B379" i="4"/>
  <c r="C379" i="4"/>
  <c r="D379" i="4"/>
  <c r="E379" i="4"/>
  <c r="F379" i="4"/>
  <c r="B380" i="4"/>
  <c r="C380" i="4"/>
  <c r="D380" i="4"/>
  <c r="E380" i="4"/>
  <c r="F380" i="4"/>
  <c r="B381" i="4"/>
  <c r="C381" i="4"/>
  <c r="D381" i="4"/>
  <c r="E381" i="4"/>
  <c r="F381" i="4"/>
  <c r="B382" i="4"/>
  <c r="C382" i="4"/>
  <c r="D382" i="4"/>
  <c r="E382" i="4"/>
  <c r="F382" i="4"/>
  <c r="B383" i="4"/>
  <c r="C383" i="4"/>
  <c r="D383" i="4"/>
  <c r="E383" i="4"/>
  <c r="F383" i="4"/>
  <c r="B384" i="4"/>
  <c r="C384" i="4"/>
  <c r="D384" i="4"/>
  <c r="E384" i="4"/>
  <c r="F384" i="4"/>
  <c r="B385" i="4"/>
  <c r="C385" i="4"/>
  <c r="D385" i="4"/>
  <c r="E385" i="4"/>
  <c r="F385" i="4"/>
  <c r="B386" i="4"/>
  <c r="C386" i="4"/>
  <c r="D386" i="4"/>
  <c r="E386" i="4"/>
  <c r="F386" i="4"/>
  <c r="B387" i="4"/>
  <c r="C387" i="4"/>
  <c r="D387" i="4"/>
  <c r="E387" i="4"/>
  <c r="F387" i="4"/>
  <c r="B388" i="4"/>
  <c r="C388" i="4"/>
  <c r="D388" i="4"/>
  <c r="E388" i="4"/>
  <c r="F388" i="4"/>
  <c r="B389" i="4"/>
  <c r="C389" i="4"/>
  <c r="D389" i="4"/>
  <c r="E389" i="4"/>
  <c r="F389" i="4"/>
  <c r="B390" i="4"/>
  <c r="C390" i="4"/>
  <c r="D390" i="4"/>
  <c r="E390" i="4"/>
  <c r="F390" i="4"/>
  <c r="B391" i="4"/>
  <c r="C391" i="4"/>
  <c r="D391" i="4"/>
  <c r="E391" i="4"/>
  <c r="F391" i="4"/>
  <c r="B392" i="4"/>
  <c r="C392" i="4"/>
  <c r="D392" i="4"/>
  <c r="E392" i="4"/>
  <c r="F392" i="4"/>
  <c r="B393" i="4"/>
  <c r="C393" i="4"/>
  <c r="D393" i="4"/>
  <c r="E393" i="4"/>
  <c r="F393" i="4"/>
  <c r="B394" i="4"/>
  <c r="C394" i="4"/>
  <c r="D394" i="4"/>
  <c r="E394" i="4"/>
  <c r="F394" i="4"/>
  <c r="B395" i="4"/>
  <c r="C395" i="4"/>
  <c r="D395" i="4"/>
  <c r="E395" i="4"/>
  <c r="F395" i="4"/>
  <c r="B396" i="4"/>
  <c r="C396" i="4"/>
  <c r="D396" i="4"/>
  <c r="E396" i="4"/>
  <c r="F396" i="4"/>
  <c r="B397" i="4"/>
  <c r="C397" i="4"/>
  <c r="D397" i="4"/>
  <c r="E397" i="4"/>
  <c r="F397" i="4"/>
  <c r="B398" i="4"/>
  <c r="C398" i="4"/>
  <c r="D398" i="4"/>
  <c r="E398" i="4"/>
  <c r="F398" i="4"/>
  <c r="B399" i="4"/>
  <c r="C399" i="4"/>
  <c r="D399" i="4"/>
  <c r="E399" i="4"/>
  <c r="F399" i="4"/>
  <c r="B400" i="4"/>
  <c r="C400" i="4"/>
  <c r="D400" i="4"/>
  <c r="E400" i="4"/>
  <c r="F400" i="4"/>
  <c r="B401" i="4"/>
  <c r="C401" i="4"/>
  <c r="D401" i="4"/>
  <c r="E401" i="4"/>
  <c r="F401" i="4"/>
  <c r="B402" i="4"/>
  <c r="C402" i="4"/>
  <c r="D402" i="4"/>
  <c r="E402" i="4"/>
  <c r="F402" i="4"/>
  <c r="B403" i="4"/>
  <c r="C403" i="4"/>
  <c r="D403" i="4"/>
  <c r="E403" i="4"/>
  <c r="F403" i="4"/>
  <c r="B404" i="4"/>
  <c r="C404" i="4"/>
  <c r="D404" i="4"/>
  <c r="E404" i="4"/>
  <c r="F404" i="4"/>
  <c r="B405" i="4"/>
  <c r="C405" i="4"/>
  <c r="D405" i="4"/>
  <c r="E405" i="4"/>
  <c r="F405" i="4"/>
  <c r="B406" i="4"/>
  <c r="C406" i="4"/>
  <c r="D406" i="4"/>
  <c r="E406" i="4"/>
  <c r="F406" i="4"/>
  <c r="B407" i="4"/>
  <c r="C407" i="4"/>
  <c r="D407" i="4"/>
  <c r="E407" i="4"/>
  <c r="F407" i="4"/>
  <c r="B408" i="4"/>
  <c r="C408" i="4"/>
  <c r="D408" i="4"/>
  <c r="E408" i="4"/>
  <c r="F408" i="4"/>
  <c r="B409" i="4"/>
  <c r="C409" i="4"/>
  <c r="D409" i="4"/>
  <c r="E409" i="4"/>
  <c r="F409" i="4"/>
  <c r="B410" i="4"/>
  <c r="C410" i="4"/>
  <c r="D410" i="4"/>
  <c r="E410" i="4"/>
  <c r="F410" i="4"/>
  <c r="B411" i="4"/>
  <c r="C411" i="4"/>
  <c r="D411" i="4"/>
  <c r="E411" i="4"/>
  <c r="F411" i="4"/>
  <c r="B412" i="4"/>
  <c r="C412" i="4"/>
  <c r="D412" i="4"/>
  <c r="E412" i="4"/>
  <c r="F412" i="4"/>
  <c r="B413" i="4"/>
  <c r="C413" i="4"/>
  <c r="D413" i="4"/>
  <c r="E413" i="4"/>
  <c r="F413" i="4"/>
  <c r="B414" i="4"/>
  <c r="C414" i="4"/>
  <c r="D414" i="4"/>
  <c r="E414" i="4"/>
  <c r="F414" i="4"/>
  <c r="B415" i="4"/>
  <c r="C415" i="4"/>
  <c r="D415" i="4"/>
  <c r="E415" i="4"/>
  <c r="F415" i="4"/>
  <c r="B416" i="4"/>
  <c r="C416" i="4"/>
  <c r="D416" i="4"/>
  <c r="E416" i="4"/>
  <c r="F416" i="4"/>
  <c r="B417" i="4"/>
  <c r="C417" i="4"/>
  <c r="D417" i="4"/>
  <c r="E417" i="4"/>
  <c r="F417" i="4"/>
  <c r="B418" i="4"/>
  <c r="C418" i="4"/>
  <c r="D418" i="4"/>
  <c r="E418" i="4"/>
  <c r="F418" i="4"/>
  <c r="B419" i="4"/>
  <c r="C419" i="4"/>
  <c r="D419" i="4"/>
  <c r="E419" i="4"/>
  <c r="F419" i="4"/>
  <c r="B420" i="4"/>
  <c r="C420" i="4"/>
  <c r="D420" i="4"/>
  <c r="E420" i="4"/>
  <c r="F420" i="4"/>
  <c r="B421" i="4"/>
  <c r="C421" i="4"/>
  <c r="D421" i="4"/>
  <c r="E421" i="4"/>
  <c r="F421" i="4"/>
  <c r="B422" i="4"/>
  <c r="C422" i="4"/>
  <c r="D422" i="4"/>
  <c r="E422" i="4"/>
  <c r="F422" i="4"/>
  <c r="B423" i="4"/>
  <c r="C423" i="4"/>
  <c r="D423" i="4"/>
  <c r="E423" i="4"/>
  <c r="F423" i="4"/>
  <c r="B424" i="4"/>
  <c r="C424" i="4"/>
  <c r="D424" i="4"/>
  <c r="E424" i="4"/>
  <c r="F424" i="4"/>
  <c r="B425" i="4"/>
  <c r="C425" i="4"/>
  <c r="D425" i="4"/>
  <c r="E425" i="4"/>
  <c r="F425" i="4"/>
  <c r="B426" i="4"/>
  <c r="C426" i="4"/>
  <c r="D426" i="4"/>
  <c r="E426" i="4"/>
  <c r="F426" i="4"/>
  <c r="B427" i="4"/>
  <c r="C427" i="4"/>
  <c r="D427" i="4"/>
  <c r="E427" i="4"/>
  <c r="F427" i="4"/>
  <c r="B428" i="4"/>
  <c r="C428" i="4"/>
  <c r="D428" i="4"/>
  <c r="E428" i="4"/>
  <c r="F428" i="4"/>
  <c r="B429" i="4"/>
  <c r="C429" i="4"/>
  <c r="D429" i="4"/>
  <c r="E429" i="4"/>
  <c r="F429" i="4"/>
  <c r="B430" i="4"/>
  <c r="C430" i="4"/>
  <c r="D430" i="4"/>
  <c r="E430" i="4"/>
  <c r="F430" i="4"/>
  <c r="B431" i="4"/>
  <c r="C431" i="4"/>
  <c r="D431" i="4"/>
  <c r="E431" i="4"/>
  <c r="F431" i="4"/>
  <c r="B432" i="4"/>
  <c r="C432" i="4"/>
  <c r="D432" i="4"/>
  <c r="E432" i="4"/>
  <c r="F432" i="4"/>
  <c r="B433" i="4"/>
  <c r="C433" i="4"/>
  <c r="D433" i="4"/>
  <c r="E433" i="4"/>
  <c r="F433" i="4"/>
  <c r="B434" i="4"/>
  <c r="C434" i="4"/>
  <c r="D434" i="4"/>
  <c r="E434" i="4"/>
  <c r="F434" i="4"/>
  <c r="B435" i="4"/>
  <c r="C435" i="4"/>
  <c r="D435" i="4"/>
  <c r="E435" i="4"/>
  <c r="F435" i="4"/>
  <c r="B436" i="4"/>
  <c r="C436" i="4"/>
  <c r="D436" i="4"/>
  <c r="E436" i="4"/>
  <c r="F436" i="4"/>
  <c r="B437" i="4"/>
  <c r="C437" i="4"/>
  <c r="D437" i="4"/>
  <c r="E437" i="4"/>
  <c r="F437" i="4"/>
  <c r="B438" i="4"/>
  <c r="C438" i="4"/>
  <c r="D438" i="4"/>
  <c r="E438" i="4"/>
  <c r="F438" i="4"/>
  <c r="B439" i="4"/>
  <c r="C439" i="4"/>
  <c r="D439" i="4"/>
  <c r="E439" i="4"/>
  <c r="F439" i="4"/>
  <c r="B440" i="4"/>
  <c r="C440" i="4"/>
  <c r="D440" i="4"/>
  <c r="E440" i="4"/>
  <c r="F440" i="4"/>
  <c r="B441" i="4"/>
  <c r="C441" i="4"/>
  <c r="D441" i="4"/>
  <c r="E441" i="4"/>
  <c r="F441" i="4"/>
  <c r="B442" i="4"/>
  <c r="C442" i="4"/>
  <c r="D442" i="4"/>
  <c r="E442" i="4"/>
  <c r="F442" i="4"/>
  <c r="B443" i="4"/>
  <c r="C443" i="4"/>
  <c r="D443" i="4"/>
  <c r="E443" i="4"/>
  <c r="F443" i="4"/>
  <c r="B444" i="4"/>
  <c r="C444" i="4"/>
  <c r="D444" i="4"/>
  <c r="E444" i="4"/>
  <c r="F444" i="4"/>
  <c r="B445" i="4"/>
  <c r="C445" i="4"/>
  <c r="D445" i="4"/>
  <c r="E445" i="4"/>
  <c r="F445" i="4"/>
  <c r="B446" i="4"/>
  <c r="C446" i="4"/>
  <c r="D446" i="4"/>
  <c r="E446" i="4"/>
  <c r="F446" i="4"/>
  <c r="B447" i="4"/>
  <c r="C447" i="4"/>
  <c r="D447" i="4"/>
  <c r="E447" i="4"/>
  <c r="F447" i="4"/>
  <c r="B448" i="4"/>
  <c r="C448" i="4"/>
  <c r="D448" i="4"/>
  <c r="E448" i="4"/>
  <c r="F448" i="4"/>
  <c r="B449" i="4"/>
  <c r="C449" i="4"/>
  <c r="D449" i="4"/>
  <c r="E449" i="4"/>
  <c r="F449" i="4"/>
  <c r="B450" i="4"/>
  <c r="C450" i="4"/>
  <c r="D450" i="4"/>
  <c r="E450" i="4"/>
  <c r="F450" i="4"/>
  <c r="B451" i="4"/>
  <c r="C451" i="4"/>
  <c r="D451" i="4"/>
  <c r="E451" i="4"/>
  <c r="F451" i="4"/>
  <c r="B452" i="4"/>
  <c r="C452" i="4"/>
  <c r="D452" i="4"/>
  <c r="E452" i="4"/>
  <c r="F452" i="4"/>
  <c r="B453" i="4"/>
  <c r="C453" i="4"/>
  <c r="D453" i="4"/>
  <c r="E453" i="4"/>
  <c r="F453" i="4"/>
  <c r="B454" i="4"/>
  <c r="C454" i="4"/>
  <c r="D454" i="4"/>
  <c r="E454" i="4"/>
  <c r="F454" i="4"/>
  <c r="B455" i="4"/>
  <c r="C455" i="4"/>
  <c r="D455" i="4"/>
  <c r="E455" i="4"/>
  <c r="F455" i="4"/>
  <c r="B456" i="4"/>
  <c r="C456" i="4"/>
  <c r="D456" i="4"/>
  <c r="E456" i="4"/>
  <c r="F456" i="4"/>
  <c r="B457" i="4"/>
  <c r="C457" i="4"/>
  <c r="D457" i="4"/>
  <c r="E457" i="4"/>
  <c r="F457" i="4"/>
  <c r="B458" i="4"/>
  <c r="C458" i="4"/>
  <c r="D458" i="4"/>
  <c r="E458" i="4"/>
  <c r="F458" i="4"/>
  <c r="B459" i="4"/>
  <c r="C459" i="4"/>
  <c r="D459" i="4"/>
  <c r="E459" i="4"/>
  <c r="F459" i="4"/>
  <c r="B460" i="4"/>
  <c r="C460" i="4"/>
  <c r="D460" i="4"/>
  <c r="E460" i="4"/>
  <c r="F460" i="4"/>
  <c r="B461" i="4"/>
  <c r="C461" i="4"/>
  <c r="D461" i="4"/>
  <c r="E461" i="4"/>
  <c r="F461" i="4"/>
  <c r="B462" i="4"/>
  <c r="C462" i="4"/>
  <c r="D462" i="4"/>
  <c r="E462" i="4"/>
  <c r="F462" i="4"/>
  <c r="B463" i="4"/>
  <c r="C463" i="4"/>
  <c r="D463" i="4"/>
  <c r="E463" i="4"/>
  <c r="F463" i="4"/>
  <c r="B464" i="4"/>
  <c r="C464" i="4"/>
  <c r="D464" i="4"/>
  <c r="E464" i="4"/>
  <c r="F464" i="4"/>
  <c r="B465" i="4"/>
  <c r="C465" i="4"/>
  <c r="D465" i="4"/>
  <c r="E465" i="4"/>
  <c r="F465" i="4"/>
  <c r="B466" i="4"/>
  <c r="C466" i="4"/>
  <c r="D466" i="4"/>
  <c r="E466" i="4"/>
  <c r="F466" i="4"/>
  <c r="B467" i="4"/>
  <c r="C467" i="4"/>
  <c r="D467" i="4"/>
  <c r="E467" i="4"/>
  <c r="F467" i="4"/>
  <c r="B468" i="4"/>
  <c r="C468" i="4"/>
  <c r="D468" i="4"/>
  <c r="E468" i="4"/>
  <c r="F468" i="4"/>
  <c r="B469" i="4"/>
  <c r="C469" i="4"/>
  <c r="D469" i="4"/>
  <c r="E469" i="4"/>
  <c r="F469" i="4"/>
  <c r="B470" i="4"/>
  <c r="C470" i="4"/>
  <c r="D470" i="4"/>
  <c r="E470" i="4"/>
  <c r="F470" i="4"/>
  <c r="B471" i="4"/>
  <c r="C471" i="4"/>
  <c r="D471" i="4"/>
  <c r="E471" i="4"/>
  <c r="F471" i="4"/>
  <c r="B472" i="4"/>
  <c r="C472" i="4"/>
  <c r="D472" i="4"/>
  <c r="E472" i="4"/>
  <c r="F472" i="4"/>
  <c r="B473" i="4"/>
  <c r="C473" i="4"/>
  <c r="D473" i="4"/>
  <c r="E473" i="4"/>
  <c r="F473" i="4"/>
  <c r="B474" i="4"/>
  <c r="C474" i="4"/>
  <c r="D474" i="4"/>
  <c r="E474" i="4"/>
  <c r="F474" i="4"/>
  <c r="B475" i="4"/>
  <c r="C475" i="4"/>
  <c r="D475" i="4"/>
  <c r="E475" i="4"/>
  <c r="F475" i="4"/>
  <c r="B476" i="4"/>
  <c r="C476" i="4"/>
  <c r="D476" i="4"/>
  <c r="E476" i="4"/>
  <c r="F476" i="4"/>
  <c r="B477" i="4"/>
  <c r="C477" i="4"/>
  <c r="D477" i="4"/>
  <c r="E477" i="4"/>
  <c r="F477" i="4"/>
  <c r="B478" i="4"/>
  <c r="C478" i="4"/>
  <c r="D478" i="4"/>
  <c r="E478" i="4"/>
  <c r="F478" i="4"/>
  <c r="B479" i="4"/>
  <c r="C479" i="4"/>
  <c r="D479" i="4"/>
  <c r="E479" i="4"/>
  <c r="F479" i="4"/>
  <c r="B480" i="4"/>
  <c r="C480" i="4"/>
  <c r="D480" i="4"/>
  <c r="E480" i="4"/>
  <c r="F480" i="4"/>
  <c r="B481" i="4"/>
  <c r="C481" i="4"/>
  <c r="D481" i="4"/>
  <c r="E481" i="4"/>
  <c r="F481" i="4"/>
  <c r="B482" i="4"/>
  <c r="C482" i="4"/>
  <c r="D482" i="4"/>
  <c r="E482" i="4"/>
  <c r="F482" i="4"/>
  <c r="B483" i="4"/>
  <c r="C483" i="4"/>
  <c r="D483" i="4"/>
  <c r="E483" i="4"/>
  <c r="F483" i="4"/>
  <c r="B484" i="4"/>
  <c r="C484" i="4"/>
  <c r="D484" i="4"/>
  <c r="E484" i="4"/>
  <c r="F484" i="4"/>
  <c r="B485" i="4"/>
  <c r="C485" i="4"/>
  <c r="D485" i="4"/>
  <c r="E485" i="4"/>
  <c r="F485" i="4"/>
  <c r="B486" i="4"/>
  <c r="C486" i="4"/>
  <c r="D486" i="4"/>
  <c r="E486" i="4"/>
  <c r="F486" i="4"/>
  <c r="B487" i="4"/>
  <c r="C487" i="4"/>
  <c r="D487" i="4"/>
  <c r="E487" i="4"/>
  <c r="F487" i="4"/>
  <c r="B488" i="4"/>
  <c r="C488" i="4"/>
  <c r="D488" i="4"/>
  <c r="E488" i="4"/>
  <c r="F488" i="4"/>
  <c r="B489" i="4"/>
  <c r="C489" i="4"/>
  <c r="D489" i="4"/>
  <c r="E489" i="4"/>
  <c r="F489" i="4"/>
  <c r="B490" i="4"/>
  <c r="C490" i="4"/>
  <c r="D490" i="4"/>
  <c r="E490" i="4"/>
  <c r="F490" i="4"/>
  <c r="B491" i="4"/>
  <c r="C491" i="4"/>
  <c r="D491" i="4"/>
  <c r="E491" i="4"/>
  <c r="F491" i="4"/>
  <c r="B492" i="4"/>
  <c r="C492" i="4"/>
  <c r="D492" i="4"/>
  <c r="E492" i="4"/>
  <c r="F492" i="4"/>
  <c r="B493" i="4"/>
  <c r="C493" i="4"/>
  <c r="D493" i="4"/>
  <c r="E493" i="4"/>
  <c r="F493" i="4"/>
  <c r="B494" i="4"/>
  <c r="C494" i="4"/>
  <c r="D494" i="4"/>
  <c r="E494" i="4"/>
  <c r="F494" i="4"/>
  <c r="B495" i="4"/>
  <c r="C495" i="4"/>
  <c r="D495" i="4"/>
  <c r="E495" i="4"/>
  <c r="F495" i="4"/>
  <c r="B496" i="4"/>
  <c r="C496" i="4"/>
  <c r="D496" i="4"/>
  <c r="E496" i="4"/>
  <c r="F496" i="4"/>
  <c r="B497" i="4"/>
  <c r="C497" i="4"/>
  <c r="D497" i="4"/>
  <c r="E497" i="4"/>
  <c r="F497" i="4"/>
  <c r="B498" i="4"/>
  <c r="C498" i="4"/>
  <c r="D498" i="4"/>
  <c r="E498" i="4"/>
  <c r="F498" i="4"/>
  <c r="B499" i="4"/>
  <c r="C499" i="4"/>
  <c r="D499" i="4"/>
  <c r="E499" i="4"/>
  <c r="F499" i="4"/>
  <c r="B500" i="4"/>
  <c r="C500" i="4"/>
  <c r="D500" i="4"/>
  <c r="E500" i="4"/>
  <c r="F500" i="4"/>
  <c r="B501" i="4"/>
  <c r="C501" i="4"/>
  <c r="D501" i="4"/>
  <c r="E501" i="4"/>
  <c r="F501" i="4"/>
  <c r="B502" i="4"/>
  <c r="C502" i="4"/>
  <c r="D502" i="4"/>
  <c r="E502" i="4"/>
  <c r="F502" i="4"/>
  <c r="B503" i="4"/>
  <c r="C503" i="4"/>
  <c r="D503" i="4"/>
  <c r="E503" i="4"/>
  <c r="F503" i="4"/>
  <c r="B504" i="4"/>
  <c r="C504" i="4"/>
  <c r="D504" i="4"/>
  <c r="E504" i="4"/>
  <c r="F504" i="4"/>
  <c r="B505" i="4"/>
  <c r="C505" i="4"/>
  <c r="D505" i="4"/>
  <c r="E505" i="4"/>
  <c r="F505" i="4"/>
  <c r="B506" i="4"/>
  <c r="C506" i="4"/>
  <c r="D506" i="4"/>
  <c r="E506" i="4"/>
  <c r="F506" i="4"/>
  <c r="B507" i="4"/>
  <c r="C507" i="4"/>
  <c r="D507" i="4"/>
  <c r="E507" i="4"/>
  <c r="F507" i="4"/>
  <c r="B508" i="4"/>
  <c r="C508" i="4"/>
  <c r="D508" i="4"/>
  <c r="E508" i="4"/>
  <c r="F508" i="4"/>
  <c r="B509" i="4"/>
  <c r="C509" i="4"/>
  <c r="D509" i="4"/>
  <c r="E509" i="4"/>
  <c r="F509" i="4"/>
  <c r="B510" i="4"/>
  <c r="C510" i="4"/>
  <c r="D510" i="4"/>
  <c r="E510" i="4"/>
  <c r="F510" i="4"/>
  <c r="B511" i="4"/>
  <c r="C511" i="4"/>
  <c r="D511" i="4"/>
  <c r="E511" i="4"/>
  <c r="F511" i="4"/>
  <c r="B512" i="4"/>
  <c r="C512" i="4"/>
  <c r="D512" i="4"/>
  <c r="E512" i="4"/>
  <c r="F512" i="4"/>
  <c r="B513" i="4"/>
  <c r="C513" i="4"/>
  <c r="D513" i="4"/>
  <c r="E513" i="4"/>
  <c r="F513" i="4"/>
  <c r="B514" i="4"/>
  <c r="C514" i="4"/>
  <c r="D514" i="4"/>
  <c r="E514" i="4"/>
  <c r="F514" i="4"/>
  <c r="B515" i="4"/>
  <c r="C515" i="4"/>
  <c r="D515" i="4"/>
  <c r="E515" i="4"/>
  <c r="F515" i="4"/>
  <c r="B516" i="4"/>
  <c r="C516" i="4"/>
  <c r="D516" i="4"/>
  <c r="E516" i="4"/>
  <c r="F516" i="4"/>
  <c r="B517" i="4"/>
  <c r="C517" i="4"/>
  <c r="D517" i="4"/>
  <c r="E517" i="4"/>
  <c r="F517" i="4"/>
  <c r="B518" i="4"/>
  <c r="C518" i="4"/>
  <c r="D518" i="4"/>
  <c r="E518" i="4"/>
  <c r="F518" i="4"/>
  <c r="B519" i="4"/>
  <c r="C519" i="4"/>
  <c r="D519" i="4"/>
  <c r="E519" i="4"/>
  <c r="F519" i="4"/>
  <c r="B520" i="4"/>
  <c r="C520" i="4"/>
  <c r="D520" i="4"/>
  <c r="E520" i="4"/>
  <c r="F520" i="4"/>
  <c r="B521" i="4"/>
  <c r="C521" i="4"/>
  <c r="D521" i="4"/>
  <c r="E521" i="4"/>
  <c r="F521" i="4"/>
  <c r="B522" i="4"/>
  <c r="C522" i="4"/>
  <c r="D522" i="4"/>
  <c r="E522" i="4"/>
  <c r="F522" i="4"/>
  <c r="B523" i="4"/>
  <c r="C523" i="4"/>
  <c r="D523" i="4"/>
  <c r="E523" i="4"/>
  <c r="F523" i="4"/>
  <c r="B524" i="4"/>
  <c r="C524" i="4"/>
  <c r="D524" i="4"/>
  <c r="E524" i="4"/>
  <c r="F524" i="4"/>
  <c r="B525" i="4"/>
  <c r="C525" i="4"/>
  <c r="D525" i="4"/>
  <c r="E525" i="4"/>
  <c r="F525" i="4"/>
  <c r="B526" i="4"/>
  <c r="C526" i="4"/>
  <c r="D526" i="4"/>
  <c r="E526" i="4"/>
  <c r="F526" i="4"/>
  <c r="B527" i="4"/>
  <c r="C527" i="4"/>
  <c r="D527" i="4"/>
  <c r="E527" i="4"/>
  <c r="F527" i="4"/>
  <c r="B528" i="4"/>
  <c r="C528" i="4"/>
  <c r="D528" i="4"/>
  <c r="E528" i="4"/>
  <c r="F528" i="4"/>
  <c r="B529" i="4"/>
  <c r="C529" i="4"/>
  <c r="D529" i="4"/>
  <c r="E529" i="4"/>
  <c r="F529" i="4"/>
  <c r="B530" i="4"/>
  <c r="C530" i="4"/>
  <c r="D530" i="4"/>
  <c r="E530" i="4"/>
  <c r="F530" i="4"/>
  <c r="B531" i="4"/>
  <c r="C531" i="4"/>
  <c r="D531" i="4"/>
  <c r="E531" i="4"/>
  <c r="F531" i="4"/>
  <c r="B532" i="4"/>
  <c r="C532" i="4"/>
  <c r="D532" i="4"/>
  <c r="E532" i="4"/>
  <c r="F532" i="4"/>
  <c r="B533" i="4"/>
  <c r="C533" i="4"/>
  <c r="D533" i="4"/>
  <c r="E533" i="4"/>
  <c r="F533" i="4"/>
  <c r="B534" i="4"/>
  <c r="C534" i="4"/>
  <c r="D534" i="4"/>
  <c r="E534" i="4"/>
  <c r="F534" i="4"/>
  <c r="B535" i="4"/>
  <c r="C535" i="4"/>
  <c r="D535" i="4"/>
  <c r="E535" i="4"/>
  <c r="F535" i="4"/>
  <c r="B536" i="4"/>
  <c r="C536" i="4"/>
  <c r="D536" i="4"/>
  <c r="E536" i="4"/>
  <c r="F536" i="4"/>
  <c r="B537" i="4"/>
  <c r="C537" i="4"/>
  <c r="D537" i="4"/>
  <c r="E537" i="4"/>
  <c r="F537" i="4"/>
  <c r="B538" i="4"/>
  <c r="C538" i="4"/>
  <c r="D538" i="4"/>
  <c r="E538" i="4"/>
  <c r="F538" i="4"/>
  <c r="B539" i="4"/>
  <c r="C539" i="4"/>
  <c r="D539" i="4"/>
  <c r="E539" i="4"/>
  <c r="F539" i="4"/>
  <c r="B540" i="4"/>
  <c r="C540" i="4"/>
  <c r="D540" i="4"/>
  <c r="E540" i="4"/>
  <c r="F540" i="4"/>
  <c r="B541" i="4"/>
  <c r="C541" i="4"/>
  <c r="D541" i="4"/>
  <c r="E541" i="4"/>
  <c r="F541" i="4"/>
  <c r="B542" i="4"/>
  <c r="C542" i="4"/>
  <c r="D542" i="4"/>
  <c r="E542" i="4"/>
  <c r="F542" i="4"/>
  <c r="B543" i="4"/>
  <c r="C543" i="4"/>
  <c r="D543" i="4"/>
  <c r="E543" i="4"/>
  <c r="F543" i="4"/>
  <c r="B544" i="4"/>
  <c r="C544" i="4"/>
  <c r="D544" i="4"/>
  <c r="E544" i="4"/>
  <c r="F544" i="4"/>
  <c r="B545" i="4"/>
  <c r="C545" i="4"/>
  <c r="D545" i="4"/>
  <c r="E545" i="4"/>
  <c r="F545" i="4"/>
  <c r="B546" i="4"/>
  <c r="C546" i="4"/>
  <c r="D546" i="4"/>
  <c r="E546" i="4"/>
  <c r="F546" i="4"/>
  <c r="B547" i="4"/>
  <c r="C547" i="4"/>
  <c r="D547" i="4"/>
  <c r="E547" i="4"/>
  <c r="F547" i="4"/>
  <c r="B548" i="4"/>
  <c r="C548" i="4"/>
  <c r="D548" i="4"/>
  <c r="E548" i="4"/>
  <c r="F548" i="4"/>
  <c r="B549" i="4"/>
  <c r="C549" i="4"/>
  <c r="D549" i="4"/>
  <c r="E549" i="4"/>
  <c r="F549" i="4"/>
  <c r="B550" i="4"/>
  <c r="C550" i="4"/>
  <c r="D550" i="4"/>
  <c r="E550" i="4"/>
  <c r="F550" i="4"/>
  <c r="B551" i="4"/>
  <c r="C551" i="4"/>
  <c r="D551" i="4"/>
  <c r="E551" i="4"/>
  <c r="F551" i="4"/>
  <c r="B552" i="4"/>
  <c r="C552" i="4"/>
  <c r="D552" i="4"/>
  <c r="E552" i="4"/>
  <c r="F552" i="4"/>
  <c r="B553" i="4"/>
  <c r="C553" i="4"/>
  <c r="D553" i="4"/>
  <c r="E553" i="4"/>
  <c r="F553" i="4"/>
  <c r="B554" i="4"/>
  <c r="C554" i="4"/>
  <c r="D554" i="4"/>
  <c r="E554" i="4"/>
  <c r="F554" i="4"/>
  <c r="B555" i="4"/>
  <c r="C555" i="4"/>
  <c r="D555" i="4"/>
  <c r="E555" i="4"/>
  <c r="F555" i="4"/>
  <c r="B556" i="4"/>
  <c r="C556" i="4"/>
  <c r="D556" i="4"/>
  <c r="E556" i="4"/>
  <c r="F556" i="4"/>
  <c r="B557" i="4"/>
  <c r="C557" i="4"/>
  <c r="D557" i="4"/>
  <c r="E557" i="4"/>
  <c r="F557" i="4"/>
  <c r="B558" i="4"/>
  <c r="C558" i="4"/>
  <c r="D558" i="4"/>
  <c r="E558" i="4"/>
  <c r="F558" i="4"/>
  <c r="B559" i="4"/>
  <c r="C559" i="4"/>
  <c r="D559" i="4"/>
  <c r="E559" i="4"/>
  <c r="F559" i="4"/>
  <c r="B560" i="4"/>
  <c r="C560" i="4"/>
  <c r="D560" i="4"/>
  <c r="E560" i="4"/>
  <c r="F560" i="4"/>
  <c r="B561" i="4"/>
  <c r="C561" i="4"/>
  <c r="D561" i="4"/>
  <c r="E561" i="4"/>
  <c r="F561" i="4"/>
  <c r="B562" i="4"/>
  <c r="C562" i="4"/>
  <c r="D562" i="4"/>
  <c r="E562" i="4"/>
  <c r="F562" i="4"/>
  <c r="B563" i="4"/>
  <c r="C563" i="4"/>
  <c r="D563" i="4"/>
  <c r="E563" i="4"/>
  <c r="F563" i="4"/>
  <c r="B564" i="4"/>
  <c r="C564" i="4"/>
  <c r="D564" i="4"/>
  <c r="E564" i="4"/>
  <c r="F564" i="4"/>
  <c r="B565" i="4"/>
  <c r="C565" i="4"/>
  <c r="D565" i="4"/>
  <c r="E565" i="4"/>
  <c r="F565" i="4"/>
  <c r="B566" i="4"/>
  <c r="C566" i="4"/>
  <c r="D566" i="4"/>
  <c r="E566" i="4"/>
  <c r="F566" i="4"/>
  <c r="B567" i="4"/>
  <c r="C567" i="4"/>
  <c r="D567" i="4"/>
  <c r="E567" i="4"/>
  <c r="F567" i="4"/>
  <c r="B568" i="4"/>
  <c r="C568" i="4"/>
  <c r="D568" i="4"/>
  <c r="E568" i="4"/>
  <c r="F568" i="4"/>
  <c r="B569" i="4"/>
  <c r="C569" i="4"/>
  <c r="D569" i="4"/>
  <c r="E569" i="4"/>
  <c r="F569" i="4"/>
  <c r="B570" i="4"/>
  <c r="C570" i="4"/>
  <c r="D570" i="4"/>
  <c r="E570" i="4"/>
  <c r="F570" i="4"/>
  <c r="B571" i="4"/>
  <c r="C571" i="4"/>
  <c r="D571" i="4"/>
  <c r="E571" i="4"/>
  <c r="F571" i="4"/>
  <c r="B572" i="4"/>
  <c r="C572" i="4"/>
  <c r="D572" i="4"/>
  <c r="E572" i="4"/>
  <c r="F572" i="4"/>
  <c r="B573" i="4"/>
  <c r="C573" i="4"/>
  <c r="D573" i="4"/>
  <c r="E573" i="4"/>
  <c r="F573" i="4"/>
  <c r="B574" i="4"/>
  <c r="C574" i="4"/>
  <c r="D574" i="4"/>
  <c r="E574" i="4"/>
  <c r="F574" i="4"/>
  <c r="B575" i="4"/>
  <c r="C575" i="4"/>
  <c r="D575" i="4"/>
  <c r="E575" i="4"/>
  <c r="F575" i="4"/>
  <c r="B576" i="4"/>
  <c r="C576" i="4"/>
  <c r="D576" i="4"/>
  <c r="E576" i="4"/>
  <c r="F576" i="4"/>
  <c r="B577" i="4"/>
  <c r="C577" i="4"/>
  <c r="D577" i="4"/>
  <c r="E577" i="4"/>
  <c r="F577" i="4"/>
  <c r="B578" i="4"/>
  <c r="C578" i="4"/>
  <c r="D578" i="4"/>
  <c r="E578" i="4"/>
  <c r="F578" i="4"/>
  <c r="B579" i="4"/>
  <c r="C579" i="4"/>
  <c r="D579" i="4"/>
  <c r="E579" i="4"/>
  <c r="F579" i="4"/>
  <c r="B580" i="4"/>
  <c r="C580" i="4"/>
  <c r="D580" i="4"/>
  <c r="E580" i="4"/>
  <c r="F580" i="4"/>
  <c r="B581" i="4"/>
  <c r="C581" i="4"/>
  <c r="D581" i="4"/>
  <c r="E581" i="4"/>
  <c r="F581" i="4"/>
  <c r="B582" i="4"/>
  <c r="C582" i="4"/>
  <c r="D582" i="4"/>
  <c r="E582" i="4"/>
  <c r="F582" i="4"/>
  <c r="B583" i="4"/>
  <c r="C583" i="4"/>
  <c r="D583" i="4"/>
  <c r="E583" i="4"/>
  <c r="F583" i="4"/>
  <c r="B584" i="4"/>
  <c r="C584" i="4"/>
  <c r="D584" i="4"/>
  <c r="E584" i="4"/>
  <c r="F584" i="4"/>
  <c r="B585" i="4"/>
  <c r="C585" i="4"/>
  <c r="D585" i="4"/>
  <c r="E585" i="4"/>
  <c r="F585" i="4"/>
  <c r="B586" i="4"/>
  <c r="C586" i="4"/>
  <c r="D586" i="4"/>
  <c r="E586" i="4"/>
  <c r="F586" i="4"/>
  <c r="B587" i="4"/>
  <c r="C587" i="4"/>
  <c r="D587" i="4"/>
  <c r="E587" i="4"/>
  <c r="F587" i="4"/>
  <c r="B588" i="4"/>
  <c r="C588" i="4"/>
  <c r="D588" i="4"/>
  <c r="E588" i="4"/>
  <c r="F588" i="4"/>
  <c r="B589" i="4"/>
  <c r="C589" i="4"/>
  <c r="D589" i="4"/>
  <c r="E589" i="4"/>
  <c r="F589" i="4"/>
  <c r="B590" i="4"/>
  <c r="C590" i="4"/>
  <c r="D590" i="4"/>
  <c r="E590" i="4"/>
  <c r="F590" i="4"/>
  <c r="B591" i="4"/>
  <c r="C591" i="4"/>
  <c r="D591" i="4"/>
  <c r="E591" i="4"/>
  <c r="F591" i="4"/>
  <c r="B592" i="4"/>
  <c r="C592" i="4"/>
  <c r="D592" i="4"/>
  <c r="E592" i="4"/>
  <c r="F592" i="4"/>
  <c r="B593" i="4"/>
  <c r="C593" i="4"/>
  <c r="D593" i="4"/>
  <c r="E593" i="4"/>
  <c r="F593" i="4"/>
  <c r="B594" i="4"/>
  <c r="C594" i="4"/>
  <c r="D594" i="4"/>
  <c r="E594" i="4"/>
  <c r="F594" i="4"/>
  <c r="B595" i="4"/>
  <c r="C595" i="4"/>
  <c r="D595" i="4"/>
  <c r="E595" i="4"/>
  <c r="F595" i="4"/>
  <c r="B596" i="4"/>
  <c r="C596" i="4"/>
  <c r="D596" i="4"/>
  <c r="E596" i="4"/>
  <c r="F596" i="4"/>
  <c r="B597" i="4"/>
  <c r="C597" i="4"/>
  <c r="D597" i="4"/>
  <c r="E597" i="4"/>
  <c r="F597" i="4"/>
  <c r="B598" i="4"/>
  <c r="C598" i="4"/>
  <c r="D598" i="4"/>
  <c r="E598" i="4"/>
  <c r="F598" i="4"/>
  <c r="B599" i="4"/>
  <c r="C599" i="4"/>
  <c r="D599" i="4"/>
  <c r="E599" i="4"/>
  <c r="F599" i="4"/>
  <c r="B600" i="4"/>
  <c r="C600" i="4"/>
  <c r="D600" i="4"/>
  <c r="E600" i="4"/>
  <c r="F600" i="4"/>
  <c r="B601" i="4"/>
  <c r="C601" i="4"/>
  <c r="D601" i="4"/>
  <c r="E601" i="4"/>
  <c r="F601" i="4"/>
  <c r="B602" i="4"/>
  <c r="C602" i="4"/>
  <c r="D602" i="4"/>
  <c r="E602" i="4"/>
  <c r="F602" i="4"/>
  <c r="B603" i="4"/>
  <c r="C603" i="4"/>
  <c r="D603" i="4"/>
  <c r="E603" i="4"/>
  <c r="F603" i="4"/>
  <c r="B604" i="4"/>
  <c r="C604" i="4"/>
  <c r="D604" i="4"/>
  <c r="E604" i="4"/>
  <c r="F604" i="4"/>
  <c r="B605" i="4"/>
  <c r="C605" i="4"/>
  <c r="D605" i="4"/>
  <c r="E605" i="4"/>
  <c r="F605" i="4"/>
  <c r="B606" i="4"/>
  <c r="C606" i="4"/>
  <c r="D606" i="4"/>
  <c r="E606" i="4"/>
  <c r="F606" i="4"/>
  <c r="B607" i="4"/>
  <c r="C607" i="4"/>
  <c r="D607" i="4"/>
  <c r="E607" i="4"/>
  <c r="F607" i="4"/>
  <c r="B608" i="4"/>
  <c r="C608" i="4"/>
  <c r="D608" i="4"/>
  <c r="E608" i="4"/>
  <c r="F608" i="4"/>
  <c r="B609" i="4"/>
  <c r="C609" i="4"/>
  <c r="D609" i="4"/>
  <c r="E609" i="4"/>
  <c r="F609" i="4"/>
  <c r="B610" i="4"/>
  <c r="C610" i="4"/>
  <c r="D610" i="4"/>
  <c r="E610" i="4"/>
  <c r="F610" i="4"/>
  <c r="B611" i="4"/>
  <c r="C611" i="4"/>
  <c r="D611" i="4"/>
  <c r="E611" i="4"/>
  <c r="F611" i="4"/>
  <c r="B612" i="4"/>
  <c r="C612" i="4"/>
  <c r="D612" i="4"/>
  <c r="E612" i="4"/>
  <c r="F612" i="4"/>
  <c r="B613" i="4"/>
  <c r="C613" i="4"/>
  <c r="D613" i="4"/>
  <c r="E613" i="4"/>
  <c r="F613" i="4"/>
  <c r="B614" i="4"/>
  <c r="C614" i="4"/>
  <c r="D614" i="4"/>
  <c r="E614" i="4"/>
  <c r="F614" i="4"/>
  <c r="B615" i="4"/>
  <c r="C615" i="4"/>
  <c r="D615" i="4"/>
  <c r="E615" i="4"/>
  <c r="F615" i="4"/>
  <c r="B616" i="4"/>
  <c r="C616" i="4"/>
  <c r="D616" i="4"/>
  <c r="E616" i="4"/>
  <c r="F616" i="4"/>
  <c r="B617" i="4"/>
  <c r="C617" i="4"/>
  <c r="D617" i="4"/>
  <c r="E617" i="4"/>
  <c r="F617" i="4"/>
  <c r="B618" i="4"/>
  <c r="C618" i="4"/>
  <c r="D618" i="4"/>
  <c r="E618" i="4"/>
  <c r="F618" i="4"/>
  <c r="B619" i="4"/>
  <c r="C619" i="4"/>
  <c r="D619" i="4"/>
  <c r="E619" i="4"/>
  <c r="F619" i="4"/>
  <c r="B620" i="4"/>
  <c r="C620" i="4"/>
  <c r="D620" i="4"/>
  <c r="E620" i="4"/>
  <c r="F620" i="4"/>
  <c r="B621" i="4"/>
  <c r="C621" i="4"/>
  <c r="D621" i="4"/>
  <c r="E621" i="4"/>
  <c r="F621" i="4"/>
  <c r="B622" i="4"/>
  <c r="C622" i="4"/>
  <c r="D622" i="4"/>
  <c r="E622" i="4"/>
  <c r="F622" i="4"/>
  <c r="B623" i="4"/>
  <c r="C623" i="4"/>
  <c r="D623" i="4"/>
  <c r="E623" i="4"/>
  <c r="F623" i="4"/>
  <c r="B624" i="4"/>
  <c r="C624" i="4"/>
  <c r="D624" i="4"/>
  <c r="E624" i="4"/>
  <c r="F624" i="4"/>
  <c r="B625" i="4"/>
  <c r="C625" i="4"/>
  <c r="D625" i="4"/>
  <c r="E625" i="4"/>
  <c r="F625" i="4"/>
  <c r="B626" i="4"/>
  <c r="C626" i="4"/>
  <c r="D626" i="4"/>
  <c r="E626" i="4"/>
  <c r="F626" i="4"/>
  <c r="B627" i="4"/>
  <c r="C627" i="4"/>
  <c r="D627" i="4"/>
  <c r="E627" i="4"/>
  <c r="F627" i="4"/>
  <c r="B628" i="4"/>
  <c r="C628" i="4"/>
  <c r="D628" i="4"/>
  <c r="E628" i="4"/>
  <c r="F628" i="4"/>
  <c r="B629" i="4"/>
  <c r="C629" i="4"/>
  <c r="D629" i="4"/>
  <c r="E629" i="4"/>
  <c r="F629" i="4"/>
  <c r="B630" i="4"/>
  <c r="C630" i="4"/>
  <c r="D630" i="4"/>
  <c r="E630" i="4"/>
  <c r="F630" i="4"/>
  <c r="B631" i="4"/>
  <c r="C631" i="4"/>
  <c r="D631" i="4"/>
  <c r="E631" i="4"/>
  <c r="F631" i="4"/>
  <c r="B632" i="4"/>
  <c r="C632" i="4"/>
  <c r="D632" i="4"/>
  <c r="E632" i="4"/>
  <c r="F632" i="4"/>
  <c r="B633" i="4"/>
  <c r="C633" i="4"/>
  <c r="D633" i="4"/>
  <c r="E633" i="4"/>
  <c r="F633" i="4"/>
  <c r="B634" i="4"/>
  <c r="C634" i="4"/>
  <c r="D634" i="4"/>
  <c r="E634" i="4"/>
  <c r="F634" i="4"/>
  <c r="B635" i="4"/>
  <c r="C635" i="4"/>
  <c r="D635" i="4"/>
  <c r="E635" i="4"/>
  <c r="F635" i="4"/>
  <c r="B636" i="4"/>
  <c r="C636" i="4"/>
  <c r="D636" i="4"/>
  <c r="E636" i="4"/>
  <c r="F636" i="4"/>
  <c r="B637" i="4"/>
  <c r="C637" i="4"/>
  <c r="D637" i="4"/>
  <c r="E637" i="4"/>
  <c r="F637" i="4"/>
  <c r="B638" i="4"/>
  <c r="C638" i="4"/>
  <c r="D638" i="4"/>
  <c r="E638" i="4"/>
  <c r="F638" i="4"/>
  <c r="B639" i="4"/>
  <c r="C639" i="4"/>
  <c r="D639" i="4"/>
  <c r="E639" i="4"/>
  <c r="F639" i="4"/>
  <c r="B640" i="4"/>
  <c r="C640" i="4"/>
  <c r="D640" i="4"/>
  <c r="E640" i="4"/>
  <c r="F640" i="4"/>
  <c r="B641" i="4"/>
  <c r="C641" i="4"/>
  <c r="D641" i="4"/>
  <c r="E641" i="4"/>
  <c r="F641" i="4"/>
  <c r="B642" i="4"/>
  <c r="C642" i="4"/>
  <c r="D642" i="4"/>
  <c r="E642" i="4"/>
  <c r="F642" i="4"/>
  <c r="B643" i="4"/>
  <c r="C643" i="4"/>
  <c r="D643" i="4"/>
  <c r="E643" i="4"/>
  <c r="F643" i="4"/>
  <c r="B644" i="4"/>
  <c r="C644" i="4"/>
  <c r="D644" i="4"/>
  <c r="E644" i="4"/>
  <c r="F644" i="4"/>
  <c r="B645" i="4"/>
  <c r="C645" i="4"/>
  <c r="D645" i="4"/>
  <c r="E645" i="4"/>
  <c r="F645" i="4"/>
  <c r="B646" i="4"/>
  <c r="C646" i="4"/>
  <c r="D646" i="4"/>
  <c r="E646" i="4"/>
  <c r="F646" i="4"/>
  <c r="B647" i="4"/>
  <c r="C647" i="4"/>
  <c r="D647" i="4"/>
  <c r="E647" i="4"/>
  <c r="F647" i="4"/>
  <c r="B648" i="4"/>
  <c r="C648" i="4"/>
  <c r="D648" i="4"/>
  <c r="E648" i="4"/>
  <c r="F648" i="4"/>
  <c r="B649" i="4"/>
  <c r="C649" i="4"/>
  <c r="D649" i="4"/>
  <c r="E649" i="4"/>
  <c r="F649" i="4"/>
  <c r="B650" i="4"/>
  <c r="C650" i="4"/>
  <c r="D650" i="4"/>
  <c r="E650" i="4"/>
  <c r="F650" i="4"/>
  <c r="B651" i="4"/>
  <c r="C651" i="4"/>
  <c r="D651" i="4"/>
  <c r="E651" i="4"/>
  <c r="F651" i="4"/>
  <c r="B652" i="4"/>
  <c r="C652" i="4"/>
  <c r="D652" i="4"/>
  <c r="E652" i="4"/>
  <c r="F652" i="4"/>
  <c r="B653" i="4"/>
  <c r="C653" i="4"/>
  <c r="D653" i="4"/>
  <c r="E653" i="4"/>
  <c r="F653" i="4"/>
  <c r="B654" i="4"/>
  <c r="C654" i="4"/>
  <c r="D654" i="4"/>
  <c r="E654" i="4"/>
  <c r="F654" i="4"/>
  <c r="B655" i="4"/>
  <c r="C655" i="4"/>
  <c r="D655" i="4"/>
  <c r="E655" i="4"/>
  <c r="F655" i="4"/>
  <c r="B656" i="4"/>
  <c r="C656" i="4"/>
  <c r="D656" i="4"/>
  <c r="E656" i="4"/>
  <c r="F656" i="4"/>
  <c r="B657" i="4"/>
  <c r="C657" i="4"/>
  <c r="D657" i="4"/>
  <c r="E657" i="4"/>
  <c r="F657" i="4"/>
  <c r="B658" i="4"/>
  <c r="C658" i="4"/>
  <c r="D658" i="4"/>
  <c r="E658" i="4"/>
  <c r="F658" i="4"/>
  <c r="B659" i="4"/>
  <c r="C659" i="4"/>
  <c r="D659" i="4"/>
  <c r="E659" i="4"/>
  <c r="F659" i="4"/>
  <c r="B660" i="4"/>
  <c r="C660" i="4"/>
  <c r="D660" i="4"/>
  <c r="E660" i="4"/>
  <c r="F660" i="4"/>
  <c r="B661" i="4"/>
  <c r="C661" i="4"/>
  <c r="D661" i="4"/>
  <c r="E661" i="4"/>
  <c r="F661" i="4"/>
  <c r="B662" i="4"/>
  <c r="C662" i="4"/>
  <c r="D662" i="4"/>
  <c r="E662" i="4"/>
  <c r="F662" i="4"/>
  <c r="B663" i="4"/>
  <c r="C663" i="4"/>
  <c r="D663" i="4"/>
  <c r="E663" i="4"/>
  <c r="F663" i="4"/>
  <c r="B664" i="4"/>
  <c r="C664" i="4"/>
  <c r="D664" i="4"/>
  <c r="E664" i="4"/>
  <c r="F664" i="4"/>
  <c r="B665" i="4"/>
  <c r="C665" i="4"/>
  <c r="D665" i="4"/>
  <c r="E665" i="4"/>
  <c r="F665" i="4"/>
  <c r="B666" i="4"/>
  <c r="C666" i="4"/>
  <c r="D666" i="4"/>
  <c r="E666" i="4"/>
  <c r="F666" i="4"/>
  <c r="B667" i="4"/>
  <c r="C667" i="4"/>
  <c r="D667" i="4"/>
  <c r="E667" i="4"/>
  <c r="F667" i="4"/>
  <c r="B668" i="4"/>
  <c r="C668" i="4"/>
  <c r="D668" i="4"/>
  <c r="E668" i="4"/>
  <c r="F668" i="4"/>
  <c r="B669" i="4"/>
  <c r="C669" i="4"/>
  <c r="D669" i="4"/>
  <c r="E669" i="4"/>
  <c r="F669" i="4"/>
  <c r="B670" i="4"/>
  <c r="C670" i="4"/>
  <c r="D670" i="4"/>
  <c r="E670" i="4"/>
  <c r="F670" i="4"/>
  <c r="B671" i="4"/>
  <c r="C671" i="4"/>
  <c r="D671" i="4"/>
  <c r="E671" i="4"/>
  <c r="F671" i="4"/>
  <c r="B672" i="4"/>
  <c r="C672" i="4"/>
  <c r="D672" i="4"/>
  <c r="E672" i="4"/>
  <c r="F672" i="4"/>
  <c r="B673" i="4"/>
  <c r="C673" i="4"/>
  <c r="D673" i="4"/>
  <c r="E673" i="4"/>
  <c r="F673" i="4"/>
  <c r="B674" i="4"/>
  <c r="C674" i="4"/>
  <c r="D674" i="4"/>
  <c r="E674" i="4"/>
  <c r="F674" i="4"/>
  <c r="B675" i="4"/>
  <c r="C675" i="4"/>
  <c r="D675" i="4"/>
  <c r="E675" i="4"/>
  <c r="F675" i="4"/>
  <c r="B676" i="4"/>
  <c r="C676" i="4"/>
  <c r="D676" i="4"/>
  <c r="E676" i="4"/>
  <c r="F676" i="4"/>
  <c r="B677" i="4"/>
  <c r="C677" i="4"/>
  <c r="D677" i="4"/>
  <c r="E677" i="4"/>
  <c r="F677" i="4"/>
  <c r="B678" i="4"/>
  <c r="C678" i="4"/>
  <c r="D678" i="4"/>
  <c r="E678" i="4"/>
  <c r="F678" i="4"/>
  <c r="B679" i="4"/>
  <c r="C679" i="4"/>
  <c r="D679" i="4"/>
  <c r="E679" i="4"/>
  <c r="F679" i="4"/>
  <c r="B680" i="4"/>
  <c r="C680" i="4"/>
  <c r="D680" i="4"/>
  <c r="E680" i="4"/>
  <c r="F680" i="4"/>
  <c r="B681" i="4"/>
  <c r="C681" i="4"/>
  <c r="D681" i="4"/>
  <c r="E681" i="4"/>
  <c r="F681" i="4"/>
  <c r="B682" i="4"/>
  <c r="C682" i="4"/>
  <c r="D682" i="4"/>
  <c r="E682" i="4"/>
  <c r="F682" i="4"/>
  <c r="B683" i="4"/>
  <c r="C683" i="4"/>
  <c r="D683" i="4"/>
  <c r="E683" i="4"/>
  <c r="F683" i="4"/>
  <c r="B684" i="4"/>
  <c r="C684" i="4"/>
  <c r="D684" i="4"/>
  <c r="E684" i="4"/>
  <c r="F684" i="4"/>
  <c r="B685" i="4"/>
  <c r="C685" i="4"/>
  <c r="D685" i="4"/>
  <c r="E685" i="4"/>
  <c r="F685" i="4"/>
  <c r="B686" i="4"/>
  <c r="C686" i="4"/>
  <c r="D686" i="4"/>
  <c r="E686" i="4"/>
  <c r="F686" i="4"/>
  <c r="B687" i="4"/>
  <c r="C687" i="4"/>
  <c r="D687" i="4"/>
  <c r="E687" i="4"/>
  <c r="F687" i="4"/>
  <c r="B688" i="4"/>
  <c r="C688" i="4"/>
  <c r="D688" i="4"/>
  <c r="E688" i="4"/>
  <c r="F688" i="4"/>
  <c r="B689" i="4"/>
  <c r="C689" i="4"/>
  <c r="D689" i="4"/>
  <c r="E689" i="4"/>
  <c r="F689" i="4"/>
  <c r="B690" i="4"/>
  <c r="C690" i="4"/>
  <c r="D690" i="4"/>
  <c r="E690" i="4"/>
  <c r="F690" i="4"/>
  <c r="B691" i="4"/>
  <c r="C691" i="4"/>
  <c r="D691" i="4"/>
  <c r="E691" i="4"/>
  <c r="F691" i="4"/>
  <c r="B692" i="4"/>
  <c r="C692" i="4"/>
  <c r="D692" i="4"/>
  <c r="E692" i="4"/>
  <c r="F692" i="4"/>
  <c r="B693" i="4"/>
  <c r="C693" i="4"/>
  <c r="D693" i="4"/>
  <c r="E693" i="4"/>
  <c r="F693" i="4"/>
  <c r="B694" i="4"/>
  <c r="C694" i="4"/>
  <c r="D694" i="4"/>
  <c r="E694" i="4"/>
  <c r="F694" i="4"/>
  <c r="B695" i="4"/>
  <c r="C695" i="4"/>
  <c r="D695" i="4"/>
  <c r="E695" i="4"/>
  <c r="F695" i="4"/>
  <c r="B696" i="4"/>
  <c r="C696" i="4"/>
  <c r="D696" i="4"/>
  <c r="E696" i="4"/>
  <c r="F696" i="4"/>
  <c r="B697" i="4"/>
  <c r="C697" i="4"/>
  <c r="D697" i="4"/>
  <c r="E697" i="4"/>
  <c r="F697" i="4"/>
  <c r="B698" i="4"/>
  <c r="C698" i="4"/>
  <c r="D698" i="4"/>
  <c r="E698" i="4"/>
  <c r="F698" i="4"/>
  <c r="B699" i="4"/>
  <c r="C699" i="4"/>
  <c r="D699" i="4"/>
  <c r="E699" i="4"/>
  <c r="F699" i="4"/>
  <c r="B700" i="4"/>
  <c r="C700" i="4"/>
  <c r="D700" i="4"/>
  <c r="E700" i="4"/>
  <c r="F700" i="4"/>
  <c r="B701" i="4"/>
  <c r="C701" i="4"/>
  <c r="D701" i="4"/>
  <c r="E701" i="4"/>
  <c r="F701" i="4"/>
  <c r="B702" i="4"/>
  <c r="C702" i="4"/>
  <c r="D702" i="4"/>
  <c r="E702" i="4"/>
  <c r="F702" i="4"/>
  <c r="B703" i="4"/>
  <c r="C703" i="4"/>
  <c r="D703" i="4"/>
  <c r="E703" i="4"/>
  <c r="F703" i="4"/>
  <c r="B704" i="4"/>
  <c r="C704" i="4"/>
  <c r="D704" i="4"/>
  <c r="E704" i="4"/>
  <c r="F704" i="4"/>
  <c r="B705" i="4"/>
  <c r="C705" i="4"/>
  <c r="D705" i="4"/>
  <c r="E705" i="4"/>
  <c r="F705" i="4"/>
  <c r="B706" i="4"/>
  <c r="C706" i="4"/>
  <c r="D706" i="4"/>
  <c r="E706" i="4"/>
  <c r="F706" i="4"/>
  <c r="B707" i="4"/>
  <c r="C707" i="4"/>
  <c r="D707" i="4"/>
  <c r="E707" i="4"/>
  <c r="F707" i="4"/>
  <c r="B708" i="4"/>
  <c r="C708" i="4"/>
  <c r="D708" i="4"/>
  <c r="E708" i="4"/>
  <c r="F708" i="4"/>
  <c r="B709" i="4"/>
  <c r="C709" i="4"/>
  <c r="D709" i="4"/>
  <c r="E709" i="4"/>
  <c r="F709" i="4"/>
  <c r="B710" i="4"/>
  <c r="C710" i="4"/>
  <c r="D710" i="4"/>
  <c r="E710" i="4"/>
  <c r="F710" i="4"/>
  <c r="B711" i="4"/>
  <c r="C711" i="4"/>
  <c r="D711" i="4"/>
  <c r="E711" i="4"/>
  <c r="F711" i="4"/>
  <c r="B712" i="4"/>
  <c r="C712" i="4"/>
  <c r="D712" i="4"/>
  <c r="E712" i="4"/>
  <c r="F712" i="4"/>
  <c r="B713" i="4"/>
  <c r="C713" i="4"/>
  <c r="D713" i="4"/>
  <c r="E713" i="4"/>
  <c r="F713" i="4"/>
  <c r="B714" i="4"/>
  <c r="C714" i="4"/>
  <c r="D714" i="4"/>
  <c r="E714" i="4"/>
  <c r="F714" i="4"/>
  <c r="B715" i="4"/>
  <c r="C715" i="4"/>
  <c r="D715" i="4"/>
  <c r="E715" i="4"/>
  <c r="F715" i="4"/>
  <c r="B716" i="4"/>
  <c r="C716" i="4"/>
  <c r="D716" i="4"/>
  <c r="E716" i="4"/>
  <c r="F716" i="4"/>
  <c r="B717" i="4"/>
  <c r="C717" i="4"/>
  <c r="D717" i="4"/>
  <c r="E717" i="4"/>
  <c r="F717" i="4"/>
  <c r="B718" i="4"/>
  <c r="C718" i="4"/>
  <c r="D718" i="4"/>
  <c r="E718" i="4"/>
  <c r="F718" i="4"/>
  <c r="B719" i="4"/>
  <c r="C719" i="4"/>
  <c r="D719" i="4"/>
  <c r="E719" i="4"/>
  <c r="F719" i="4"/>
  <c r="B720" i="4"/>
  <c r="C720" i="4"/>
  <c r="D720" i="4"/>
  <c r="E720" i="4"/>
  <c r="F720" i="4"/>
  <c r="B721" i="4"/>
  <c r="C721" i="4"/>
  <c r="D721" i="4"/>
  <c r="E721" i="4"/>
  <c r="F721" i="4"/>
  <c r="B722" i="4"/>
  <c r="C722" i="4"/>
  <c r="D722" i="4"/>
  <c r="E722" i="4"/>
  <c r="F722" i="4"/>
  <c r="B723" i="4"/>
  <c r="C723" i="4"/>
  <c r="D723" i="4"/>
  <c r="E723" i="4"/>
  <c r="F723" i="4"/>
  <c r="B724" i="4"/>
  <c r="C724" i="4"/>
  <c r="D724" i="4"/>
  <c r="E724" i="4"/>
  <c r="F724" i="4"/>
  <c r="B725" i="4"/>
  <c r="C725" i="4"/>
  <c r="D725" i="4"/>
  <c r="E725" i="4"/>
  <c r="F725" i="4"/>
  <c r="B726" i="4"/>
  <c r="C726" i="4"/>
  <c r="D726" i="4"/>
  <c r="E726" i="4"/>
  <c r="F726" i="4"/>
  <c r="B727" i="4"/>
  <c r="C727" i="4"/>
  <c r="D727" i="4"/>
  <c r="E727" i="4"/>
  <c r="F727" i="4"/>
  <c r="B728" i="4"/>
  <c r="C728" i="4"/>
  <c r="D728" i="4"/>
  <c r="E728" i="4"/>
  <c r="F728" i="4"/>
  <c r="B729" i="4"/>
  <c r="C729" i="4"/>
  <c r="D729" i="4"/>
  <c r="E729" i="4"/>
  <c r="F729" i="4"/>
  <c r="B730" i="4"/>
  <c r="C730" i="4"/>
  <c r="D730" i="4"/>
  <c r="E730" i="4"/>
  <c r="F730" i="4"/>
  <c r="B731" i="4"/>
  <c r="C731" i="4"/>
  <c r="D731" i="4"/>
  <c r="E731" i="4"/>
  <c r="F731" i="4"/>
  <c r="B732" i="4"/>
  <c r="C732" i="4"/>
  <c r="D732" i="4"/>
  <c r="E732" i="4"/>
  <c r="F732" i="4"/>
  <c r="B733" i="4"/>
  <c r="C733" i="4"/>
  <c r="D733" i="4"/>
  <c r="E733" i="4"/>
  <c r="F733" i="4"/>
  <c r="B734" i="4"/>
  <c r="C734" i="4"/>
  <c r="D734" i="4"/>
  <c r="E734" i="4"/>
  <c r="F734" i="4"/>
  <c r="B735" i="4"/>
  <c r="C735" i="4"/>
  <c r="D735" i="4"/>
  <c r="E735" i="4"/>
  <c r="F735" i="4"/>
  <c r="B736" i="4"/>
  <c r="C736" i="4"/>
  <c r="D736" i="4"/>
  <c r="E736" i="4"/>
  <c r="F736" i="4"/>
  <c r="B737" i="4"/>
  <c r="C737" i="4"/>
  <c r="D737" i="4"/>
  <c r="E737" i="4"/>
  <c r="F737" i="4"/>
  <c r="B738" i="4"/>
  <c r="C738" i="4"/>
  <c r="D738" i="4"/>
  <c r="E738" i="4"/>
  <c r="F738" i="4"/>
  <c r="B739" i="4"/>
  <c r="C739" i="4"/>
  <c r="D739" i="4"/>
  <c r="E739" i="4"/>
  <c r="F739" i="4"/>
  <c r="B740" i="4"/>
  <c r="C740" i="4"/>
  <c r="D740" i="4"/>
  <c r="E740" i="4"/>
  <c r="F740" i="4"/>
  <c r="B741" i="4"/>
  <c r="C741" i="4"/>
  <c r="D741" i="4"/>
  <c r="E741" i="4"/>
  <c r="F741" i="4"/>
  <c r="B742" i="4"/>
  <c r="C742" i="4"/>
  <c r="D742" i="4"/>
  <c r="E742" i="4"/>
  <c r="F742" i="4"/>
  <c r="B743" i="4"/>
  <c r="C743" i="4"/>
  <c r="D743" i="4"/>
  <c r="E743" i="4"/>
  <c r="F743" i="4"/>
  <c r="B744" i="4"/>
  <c r="C744" i="4"/>
  <c r="D744" i="4"/>
  <c r="E744" i="4"/>
  <c r="F744" i="4"/>
  <c r="B745" i="4"/>
  <c r="C745" i="4"/>
  <c r="D745" i="4"/>
  <c r="E745" i="4"/>
  <c r="F745" i="4"/>
  <c r="B746" i="4"/>
  <c r="C746" i="4"/>
  <c r="D746" i="4"/>
  <c r="E746" i="4"/>
  <c r="F746" i="4"/>
  <c r="B747" i="4"/>
  <c r="C747" i="4"/>
  <c r="D747" i="4"/>
  <c r="E747" i="4"/>
  <c r="F747" i="4"/>
  <c r="B748" i="4"/>
  <c r="C748" i="4"/>
  <c r="D748" i="4"/>
  <c r="E748" i="4"/>
  <c r="F748" i="4"/>
  <c r="B749" i="4"/>
  <c r="C749" i="4"/>
  <c r="D749" i="4"/>
  <c r="E749" i="4"/>
  <c r="F749" i="4"/>
  <c r="B750" i="4"/>
  <c r="C750" i="4"/>
  <c r="D750" i="4"/>
  <c r="E750" i="4"/>
  <c r="F750" i="4"/>
  <c r="B751" i="4"/>
  <c r="C751" i="4"/>
  <c r="D751" i="4"/>
  <c r="E751" i="4"/>
  <c r="F751" i="4"/>
  <c r="B752" i="4"/>
  <c r="C752" i="4"/>
  <c r="D752" i="4"/>
  <c r="E752" i="4"/>
  <c r="F752" i="4"/>
  <c r="B753" i="4"/>
  <c r="C753" i="4"/>
  <c r="D753" i="4"/>
  <c r="E753" i="4"/>
  <c r="F753" i="4"/>
  <c r="B754" i="4"/>
  <c r="C754" i="4"/>
  <c r="D754" i="4"/>
  <c r="E754" i="4"/>
  <c r="F754" i="4"/>
  <c r="B755" i="4"/>
  <c r="C755" i="4"/>
  <c r="D755" i="4"/>
  <c r="E755" i="4"/>
  <c r="F755" i="4"/>
  <c r="B756" i="4"/>
  <c r="C756" i="4"/>
  <c r="D756" i="4"/>
  <c r="E756" i="4"/>
  <c r="F756" i="4"/>
  <c r="B757" i="4"/>
  <c r="C757" i="4"/>
  <c r="D757" i="4"/>
  <c r="E757" i="4"/>
  <c r="F757" i="4"/>
  <c r="B758" i="4"/>
  <c r="C758" i="4"/>
  <c r="D758" i="4"/>
  <c r="E758" i="4"/>
  <c r="F758" i="4"/>
  <c r="B759" i="4"/>
  <c r="C759" i="4"/>
  <c r="D759" i="4"/>
  <c r="E759" i="4"/>
  <c r="F759" i="4"/>
  <c r="B760" i="4"/>
  <c r="C760" i="4"/>
  <c r="D760" i="4"/>
  <c r="E760" i="4"/>
  <c r="F760" i="4"/>
  <c r="B761" i="4"/>
  <c r="C761" i="4"/>
  <c r="D761" i="4"/>
  <c r="E761" i="4"/>
  <c r="F761" i="4"/>
  <c r="B762" i="4"/>
  <c r="C762" i="4"/>
  <c r="D762" i="4"/>
  <c r="E762" i="4"/>
  <c r="F762" i="4"/>
  <c r="B763" i="4"/>
  <c r="C763" i="4"/>
  <c r="D763" i="4"/>
  <c r="E763" i="4"/>
  <c r="F763" i="4"/>
  <c r="B764" i="4"/>
  <c r="C764" i="4"/>
  <c r="D764" i="4"/>
  <c r="E764" i="4"/>
  <c r="F764" i="4"/>
  <c r="B765" i="4"/>
  <c r="C765" i="4"/>
  <c r="D765" i="4"/>
  <c r="E765" i="4"/>
  <c r="F765" i="4"/>
  <c r="B766" i="4"/>
  <c r="C766" i="4"/>
  <c r="D766" i="4"/>
  <c r="E766" i="4"/>
  <c r="F766" i="4"/>
  <c r="B767" i="4"/>
  <c r="C767" i="4"/>
  <c r="D767" i="4"/>
  <c r="E767" i="4"/>
  <c r="F767" i="4"/>
  <c r="B768" i="4"/>
  <c r="C768" i="4"/>
  <c r="D768" i="4"/>
  <c r="E768" i="4"/>
  <c r="F768" i="4"/>
  <c r="B769" i="4"/>
  <c r="C769" i="4"/>
  <c r="D769" i="4"/>
  <c r="E769" i="4"/>
  <c r="F769" i="4"/>
  <c r="B770" i="4"/>
  <c r="C770" i="4"/>
  <c r="D770" i="4"/>
  <c r="E770" i="4"/>
  <c r="F770" i="4"/>
  <c r="B771" i="4"/>
  <c r="C771" i="4"/>
  <c r="D771" i="4"/>
  <c r="E771" i="4"/>
  <c r="F771" i="4"/>
  <c r="B772" i="4"/>
  <c r="C772" i="4"/>
  <c r="D772" i="4"/>
  <c r="E772" i="4"/>
  <c r="F772" i="4"/>
  <c r="B773" i="4"/>
  <c r="C773" i="4"/>
  <c r="D773" i="4"/>
  <c r="E773" i="4"/>
  <c r="F773" i="4"/>
  <c r="B774" i="4"/>
  <c r="C774" i="4"/>
  <c r="D774" i="4"/>
  <c r="E774" i="4"/>
  <c r="F774" i="4"/>
  <c r="B775" i="4"/>
  <c r="C775" i="4"/>
  <c r="D775" i="4"/>
  <c r="E775" i="4"/>
  <c r="F775" i="4"/>
  <c r="B776" i="4"/>
  <c r="C776" i="4"/>
  <c r="D776" i="4"/>
  <c r="E776" i="4"/>
  <c r="F776" i="4"/>
  <c r="B777" i="4"/>
  <c r="C777" i="4"/>
  <c r="D777" i="4"/>
  <c r="E777" i="4"/>
  <c r="F777" i="4"/>
  <c r="B778" i="4"/>
  <c r="C778" i="4"/>
  <c r="D778" i="4"/>
  <c r="E778" i="4"/>
  <c r="F778" i="4"/>
  <c r="B779" i="4"/>
  <c r="C779" i="4"/>
  <c r="D779" i="4"/>
  <c r="E779" i="4"/>
  <c r="F779" i="4"/>
  <c r="B780" i="4"/>
  <c r="C780" i="4"/>
  <c r="D780" i="4"/>
  <c r="E780" i="4"/>
  <c r="F780" i="4"/>
  <c r="B781" i="4"/>
  <c r="C781" i="4"/>
  <c r="D781" i="4"/>
  <c r="E781" i="4"/>
  <c r="F781" i="4"/>
  <c r="B782" i="4"/>
  <c r="C782" i="4"/>
  <c r="D782" i="4"/>
  <c r="E782" i="4"/>
  <c r="F782" i="4"/>
  <c r="B783" i="4"/>
  <c r="C783" i="4"/>
  <c r="D783" i="4"/>
  <c r="E783" i="4"/>
  <c r="F783" i="4"/>
  <c r="B784" i="4"/>
  <c r="C784" i="4"/>
  <c r="D784" i="4"/>
  <c r="E784" i="4"/>
  <c r="F784" i="4"/>
  <c r="B785" i="4"/>
  <c r="C785" i="4"/>
  <c r="D785" i="4"/>
  <c r="E785" i="4"/>
  <c r="F785" i="4"/>
  <c r="B786" i="4"/>
  <c r="C786" i="4"/>
  <c r="D786" i="4"/>
  <c r="E786" i="4"/>
  <c r="F786" i="4"/>
  <c r="B787" i="4"/>
  <c r="C787" i="4"/>
  <c r="D787" i="4"/>
  <c r="E787" i="4"/>
  <c r="F787" i="4"/>
  <c r="B788" i="4"/>
  <c r="C788" i="4"/>
  <c r="D788" i="4"/>
  <c r="E788" i="4"/>
  <c r="F788" i="4"/>
  <c r="B789" i="4"/>
  <c r="C789" i="4"/>
  <c r="D789" i="4"/>
  <c r="E789" i="4"/>
  <c r="F789" i="4"/>
  <c r="B790" i="4"/>
  <c r="C790" i="4"/>
  <c r="D790" i="4"/>
  <c r="E790" i="4"/>
  <c r="F790" i="4"/>
  <c r="B791" i="4"/>
  <c r="C791" i="4"/>
  <c r="D791" i="4"/>
  <c r="E791" i="4"/>
  <c r="F791" i="4"/>
  <c r="B792" i="4"/>
  <c r="C792" i="4"/>
  <c r="D792" i="4"/>
  <c r="E792" i="4"/>
  <c r="F792" i="4"/>
  <c r="B793" i="4"/>
  <c r="C793" i="4"/>
  <c r="D793" i="4"/>
  <c r="E793" i="4"/>
  <c r="F793" i="4"/>
  <c r="B794" i="4"/>
  <c r="C794" i="4"/>
  <c r="D794" i="4"/>
  <c r="E794" i="4"/>
  <c r="F794" i="4"/>
  <c r="B795" i="4"/>
  <c r="C795" i="4"/>
  <c r="D795" i="4"/>
  <c r="E795" i="4"/>
  <c r="F795" i="4"/>
  <c r="B796" i="4"/>
  <c r="C796" i="4"/>
  <c r="D796" i="4"/>
  <c r="E796" i="4"/>
  <c r="F796" i="4"/>
  <c r="B797" i="4"/>
  <c r="C797" i="4"/>
  <c r="D797" i="4"/>
  <c r="E797" i="4"/>
  <c r="F797" i="4"/>
  <c r="B798" i="4"/>
  <c r="C798" i="4"/>
  <c r="D798" i="4"/>
  <c r="E798" i="4"/>
  <c r="F798" i="4"/>
  <c r="B799" i="4"/>
  <c r="C799" i="4"/>
  <c r="D799" i="4"/>
  <c r="E799" i="4"/>
  <c r="F799" i="4"/>
  <c r="B800" i="4"/>
  <c r="C800" i="4"/>
  <c r="D800" i="4"/>
  <c r="E800" i="4"/>
  <c r="F800" i="4"/>
  <c r="B801" i="4"/>
  <c r="C801" i="4"/>
  <c r="D801" i="4"/>
  <c r="E801" i="4"/>
  <c r="F801" i="4"/>
  <c r="B802" i="4"/>
  <c r="C802" i="4"/>
  <c r="D802" i="4"/>
  <c r="E802" i="4"/>
  <c r="F802" i="4"/>
  <c r="B803" i="4"/>
  <c r="C803" i="4"/>
  <c r="D803" i="4"/>
  <c r="E803" i="4"/>
  <c r="F803" i="4"/>
  <c r="B804" i="4"/>
  <c r="C804" i="4"/>
  <c r="D804" i="4"/>
  <c r="E804" i="4"/>
  <c r="F804" i="4"/>
  <c r="B805" i="4"/>
  <c r="C805" i="4"/>
  <c r="D805" i="4"/>
  <c r="E805" i="4"/>
  <c r="F805" i="4"/>
  <c r="B806" i="4"/>
  <c r="C806" i="4"/>
  <c r="D806" i="4"/>
  <c r="E806" i="4"/>
  <c r="F806" i="4"/>
  <c r="B807" i="4"/>
  <c r="C807" i="4"/>
  <c r="D807" i="4"/>
  <c r="E807" i="4"/>
  <c r="F807" i="4"/>
  <c r="B808" i="4"/>
  <c r="C808" i="4"/>
  <c r="D808" i="4"/>
  <c r="E808" i="4"/>
  <c r="F808" i="4"/>
  <c r="B809" i="4"/>
  <c r="C809" i="4"/>
  <c r="D809" i="4"/>
  <c r="E809" i="4"/>
  <c r="F809" i="4"/>
  <c r="B810" i="4"/>
  <c r="C810" i="4"/>
  <c r="D810" i="4"/>
  <c r="E810" i="4"/>
  <c r="F810" i="4"/>
  <c r="B811" i="4"/>
  <c r="C811" i="4"/>
  <c r="D811" i="4"/>
  <c r="E811" i="4"/>
  <c r="F811" i="4"/>
  <c r="B812" i="4"/>
  <c r="C812" i="4"/>
  <c r="D812" i="4"/>
  <c r="E812" i="4"/>
  <c r="F812" i="4"/>
  <c r="B813" i="4"/>
  <c r="C813" i="4"/>
  <c r="D813" i="4"/>
  <c r="E813" i="4"/>
  <c r="F813" i="4"/>
  <c r="B814" i="4"/>
  <c r="C814" i="4"/>
  <c r="D814" i="4"/>
  <c r="E814" i="4"/>
  <c r="F814" i="4"/>
  <c r="B815" i="4"/>
  <c r="C815" i="4"/>
  <c r="D815" i="4"/>
  <c r="E815" i="4"/>
  <c r="F815" i="4"/>
  <c r="B816" i="4"/>
  <c r="C816" i="4"/>
  <c r="D816" i="4"/>
  <c r="E816" i="4"/>
  <c r="F816" i="4"/>
  <c r="B817" i="4"/>
  <c r="C817" i="4"/>
  <c r="D817" i="4"/>
  <c r="E817" i="4"/>
  <c r="F817" i="4"/>
  <c r="B818" i="4"/>
  <c r="C818" i="4"/>
  <c r="D818" i="4"/>
  <c r="E818" i="4"/>
  <c r="F818" i="4"/>
  <c r="B819" i="4"/>
  <c r="C819" i="4"/>
  <c r="D819" i="4"/>
  <c r="E819" i="4"/>
  <c r="F819" i="4"/>
  <c r="B820" i="4"/>
  <c r="C820" i="4"/>
  <c r="D820" i="4"/>
  <c r="E820" i="4"/>
  <c r="F820" i="4"/>
  <c r="B821" i="4"/>
  <c r="C821" i="4"/>
  <c r="D821" i="4"/>
  <c r="E821" i="4"/>
  <c r="F821" i="4"/>
  <c r="B822" i="4"/>
  <c r="C822" i="4"/>
  <c r="D822" i="4"/>
  <c r="E822" i="4"/>
  <c r="F822" i="4"/>
  <c r="B823" i="4"/>
  <c r="C823" i="4"/>
  <c r="D823" i="4"/>
  <c r="E823" i="4"/>
  <c r="F823" i="4"/>
  <c r="B824" i="4"/>
  <c r="C824" i="4"/>
  <c r="D824" i="4"/>
  <c r="E824" i="4"/>
  <c r="F824" i="4"/>
  <c r="B825" i="4"/>
  <c r="C825" i="4"/>
  <c r="D825" i="4"/>
  <c r="E825" i="4"/>
  <c r="F825" i="4"/>
  <c r="B826" i="4"/>
  <c r="C826" i="4"/>
  <c r="D826" i="4"/>
  <c r="E826" i="4"/>
  <c r="F826" i="4"/>
  <c r="B827" i="4"/>
  <c r="C827" i="4"/>
  <c r="D827" i="4"/>
  <c r="E827" i="4"/>
  <c r="F827" i="4"/>
  <c r="B828" i="4"/>
  <c r="C828" i="4"/>
  <c r="D828" i="4"/>
  <c r="E828" i="4"/>
  <c r="F828" i="4"/>
  <c r="B829" i="4"/>
  <c r="C829" i="4"/>
  <c r="D829" i="4"/>
  <c r="E829" i="4"/>
  <c r="F829" i="4"/>
  <c r="B830" i="4"/>
  <c r="C830" i="4"/>
  <c r="D830" i="4"/>
  <c r="E830" i="4"/>
  <c r="F830" i="4"/>
  <c r="B831" i="4"/>
  <c r="C831" i="4"/>
  <c r="D831" i="4"/>
  <c r="E831" i="4"/>
  <c r="F831" i="4"/>
  <c r="B832" i="4"/>
  <c r="C832" i="4"/>
  <c r="D832" i="4"/>
  <c r="E832" i="4"/>
  <c r="F832" i="4"/>
  <c r="B833" i="4"/>
  <c r="C833" i="4"/>
  <c r="D833" i="4"/>
  <c r="E833" i="4"/>
  <c r="F833" i="4"/>
  <c r="B834" i="4"/>
  <c r="C834" i="4"/>
  <c r="D834" i="4"/>
  <c r="E834" i="4"/>
  <c r="F834" i="4"/>
  <c r="B835" i="4"/>
  <c r="C835" i="4"/>
  <c r="D835" i="4"/>
  <c r="E835" i="4"/>
  <c r="F835" i="4"/>
  <c r="B836" i="4"/>
  <c r="C836" i="4"/>
  <c r="D836" i="4"/>
  <c r="E836" i="4"/>
  <c r="F836" i="4"/>
  <c r="B837" i="4"/>
  <c r="C837" i="4"/>
  <c r="D837" i="4"/>
  <c r="E837" i="4"/>
  <c r="F837" i="4"/>
  <c r="B838" i="4"/>
  <c r="C838" i="4"/>
  <c r="D838" i="4"/>
  <c r="E838" i="4"/>
  <c r="F838" i="4"/>
  <c r="B839" i="4"/>
  <c r="C839" i="4"/>
  <c r="D839" i="4"/>
  <c r="E839" i="4"/>
  <c r="F839" i="4"/>
  <c r="B840" i="4"/>
  <c r="C840" i="4"/>
  <c r="D840" i="4"/>
  <c r="E840" i="4"/>
  <c r="F840" i="4"/>
  <c r="B841" i="4"/>
  <c r="C841" i="4"/>
  <c r="D841" i="4"/>
  <c r="E841" i="4"/>
  <c r="F841" i="4"/>
  <c r="B842" i="4"/>
  <c r="C842" i="4"/>
  <c r="D842" i="4"/>
  <c r="E842" i="4"/>
  <c r="F842" i="4"/>
  <c r="B843" i="4"/>
  <c r="C843" i="4"/>
  <c r="D843" i="4"/>
  <c r="E843" i="4"/>
  <c r="F843" i="4"/>
  <c r="B844" i="4"/>
  <c r="C844" i="4"/>
  <c r="D844" i="4"/>
  <c r="E844" i="4"/>
  <c r="F844" i="4"/>
  <c r="B845" i="4"/>
  <c r="C845" i="4"/>
  <c r="D845" i="4"/>
  <c r="E845" i="4"/>
  <c r="F845" i="4"/>
  <c r="B846" i="4"/>
  <c r="C846" i="4"/>
  <c r="D846" i="4"/>
  <c r="E846" i="4"/>
  <c r="F846" i="4"/>
  <c r="B847" i="4"/>
  <c r="C847" i="4"/>
  <c r="D847" i="4"/>
  <c r="E847" i="4"/>
  <c r="F847" i="4"/>
  <c r="B848" i="4"/>
  <c r="C848" i="4"/>
  <c r="D848" i="4"/>
  <c r="E848" i="4"/>
  <c r="F848" i="4"/>
  <c r="B849" i="4"/>
  <c r="C849" i="4"/>
  <c r="D849" i="4"/>
  <c r="E849" i="4"/>
  <c r="F849" i="4"/>
  <c r="B850" i="4"/>
  <c r="C850" i="4"/>
  <c r="D850" i="4"/>
  <c r="E850" i="4"/>
  <c r="F850" i="4"/>
  <c r="B851" i="4"/>
  <c r="C851" i="4"/>
  <c r="D851" i="4"/>
  <c r="E851" i="4"/>
  <c r="F851" i="4"/>
  <c r="B852" i="4"/>
  <c r="C852" i="4"/>
  <c r="D852" i="4"/>
  <c r="E852" i="4"/>
  <c r="F852" i="4"/>
  <c r="B853" i="4"/>
  <c r="C853" i="4"/>
  <c r="D853" i="4"/>
  <c r="E853" i="4"/>
  <c r="F853" i="4"/>
  <c r="B854" i="4"/>
  <c r="C854" i="4"/>
  <c r="D854" i="4"/>
  <c r="E854" i="4"/>
  <c r="F854" i="4"/>
  <c r="B855" i="4"/>
  <c r="C855" i="4"/>
  <c r="D855" i="4"/>
  <c r="E855" i="4"/>
  <c r="F855" i="4"/>
  <c r="B856" i="4"/>
  <c r="C856" i="4"/>
  <c r="D856" i="4"/>
  <c r="E856" i="4"/>
  <c r="F856" i="4"/>
  <c r="B857" i="4"/>
  <c r="C857" i="4"/>
  <c r="D857" i="4"/>
  <c r="E857" i="4"/>
  <c r="F857" i="4"/>
  <c r="B858" i="4"/>
  <c r="C858" i="4"/>
  <c r="D858" i="4"/>
  <c r="E858" i="4"/>
  <c r="F858" i="4"/>
  <c r="B859" i="4"/>
  <c r="C859" i="4"/>
  <c r="D859" i="4"/>
  <c r="E859" i="4"/>
  <c r="F859" i="4"/>
  <c r="B860" i="4"/>
  <c r="C860" i="4"/>
  <c r="D860" i="4"/>
  <c r="E860" i="4"/>
  <c r="F860" i="4"/>
  <c r="B861" i="4"/>
  <c r="C861" i="4"/>
  <c r="D861" i="4"/>
  <c r="E861" i="4"/>
  <c r="F861" i="4"/>
  <c r="B862" i="4"/>
  <c r="C862" i="4"/>
  <c r="D862" i="4"/>
  <c r="E862" i="4"/>
  <c r="F862" i="4"/>
  <c r="B863" i="4"/>
  <c r="C863" i="4"/>
  <c r="D863" i="4"/>
  <c r="E863" i="4"/>
  <c r="F863" i="4"/>
  <c r="B864" i="4"/>
  <c r="C864" i="4"/>
  <c r="D864" i="4"/>
  <c r="E864" i="4"/>
  <c r="F864" i="4"/>
  <c r="B865" i="4"/>
  <c r="C865" i="4"/>
  <c r="D865" i="4"/>
  <c r="E865" i="4"/>
  <c r="F865" i="4"/>
  <c r="B866" i="4"/>
  <c r="C866" i="4"/>
  <c r="D866" i="4"/>
  <c r="E866" i="4"/>
  <c r="F866" i="4"/>
  <c r="B867" i="4"/>
  <c r="C867" i="4"/>
  <c r="D867" i="4"/>
  <c r="E867" i="4"/>
  <c r="F867" i="4"/>
  <c r="B868" i="4"/>
  <c r="C868" i="4"/>
  <c r="D868" i="4"/>
  <c r="E868" i="4"/>
  <c r="F868" i="4"/>
  <c r="B869" i="4"/>
  <c r="C869" i="4"/>
  <c r="D869" i="4"/>
  <c r="E869" i="4"/>
  <c r="F869" i="4"/>
  <c r="B870" i="4"/>
  <c r="C870" i="4"/>
  <c r="D870" i="4"/>
  <c r="E870" i="4"/>
  <c r="F870" i="4"/>
  <c r="B871" i="4"/>
  <c r="C871" i="4"/>
  <c r="D871" i="4"/>
  <c r="E871" i="4"/>
  <c r="F871" i="4"/>
  <c r="B872" i="4"/>
  <c r="C872" i="4"/>
  <c r="D872" i="4"/>
  <c r="E872" i="4"/>
  <c r="F872" i="4"/>
  <c r="B873" i="4"/>
  <c r="C873" i="4"/>
  <c r="D873" i="4"/>
  <c r="E873" i="4"/>
  <c r="F873" i="4"/>
  <c r="B874" i="4"/>
  <c r="C874" i="4"/>
  <c r="D874" i="4"/>
  <c r="E874" i="4"/>
  <c r="F874" i="4"/>
  <c r="B875" i="4"/>
  <c r="C875" i="4"/>
  <c r="D875" i="4"/>
  <c r="E875" i="4"/>
  <c r="F875" i="4"/>
  <c r="B876" i="4"/>
  <c r="C876" i="4"/>
  <c r="D876" i="4"/>
  <c r="E876" i="4"/>
  <c r="F876" i="4"/>
  <c r="B877" i="4"/>
  <c r="C877" i="4"/>
  <c r="D877" i="4"/>
  <c r="E877" i="4"/>
  <c r="F877" i="4"/>
  <c r="B878" i="4"/>
  <c r="C878" i="4"/>
  <c r="D878" i="4"/>
  <c r="E878" i="4"/>
  <c r="F878" i="4"/>
  <c r="B879" i="4"/>
  <c r="C879" i="4"/>
  <c r="D879" i="4"/>
  <c r="E879" i="4"/>
  <c r="F879" i="4"/>
  <c r="B880" i="4"/>
  <c r="C880" i="4"/>
  <c r="D880" i="4"/>
  <c r="E880" i="4"/>
  <c r="F880" i="4"/>
  <c r="B881" i="4"/>
  <c r="C881" i="4"/>
  <c r="D881" i="4"/>
  <c r="E881" i="4"/>
  <c r="F881" i="4"/>
  <c r="B882" i="4"/>
  <c r="C882" i="4"/>
  <c r="D882" i="4"/>
  <c r="E882" i="4"/>
  <c r="F882" i="4"/>
  <c r="B883" i="4"/>
  <c r="C883" i="4"/>
  <c r="D883" i="4"/>
  <c r="E883" i="4"/>
  <c r="F883" i="4"/>
  <c r="B884" i="4"/>
  <c r="C884" i="4"/>
  <c r="D884" i="4"/>
  <c r="E884" i="4"/>
  <c r="F884" i="4"/>
  <c r="B885" i="4"/>
  <c r="C885" i="4"/>
  <c r="D885" i="4"/>
  <c r="E885" i="4"/>
  <c r="F885" i="4"/>
  <c r="B886" i="4"/>
  <c r="C886" i="4"/>
  <c r="D886" i="4"/>
  <c r="E886" i="4"/>
  <c r="F886" i="4"/>
  <c r="B887" i="4"/>
  <c r="C887" i="4"/>
  <c r="D887" i="4"/>
  <c r="E887" i="4"/>
  <c r="F887" i="4"/>
  <c r="B888" i="4"/>
  <c r="C888" i="4"/>
  <c r="D888" i="4"/>
  <c r="E888" i="4"/>
  <c r="F888" i="4"/>
  <c r="B889" i="4"/>
  <c r="C889" i="4"/>
  <c r="D889" i="4"/>
  <c r="E889" i="4"/>
  <c r="F889" i="4"/>
  <c r="B890" i="4"/>
  <c r="C890" i="4"/>
  <c r="D890" i="4"/>
  <c r="E890" i="4"/>
  <c r="F890" i="4"/>
  <c r="B891" i="4"/>
  <c r="C891" i="4"/>
  <c r="D891" i="4"/>
  <c r="E891" i="4"/>
  <c r="F891" i="4"/>
  <c r="B892" i="4"/>
  <c r="C892" i="4"/>
  <c r="D892" i="4"/>
  <c r="E892" i="4"/>
  <c r="F892" i="4"/>
  <c r="B893" i="4"/>
  <c r="C893" i="4"/>
  <c r="D893" i="4"/>
  <c r="E893" i="4"/>
  <c r="F893" i="4"/>
  <c r="B894" i="4"/>
  <c r="C894" i="4"/>
  <c r="D894" i="4"/>
  <c r="E894" i="4"/>
  <c r="F894" i="4"/>
  <c r="B895" i="4"/>
  <c r="C895" i="4"/>
  <c r="D895" i="4"/>
  <c r="E895" i="4"/>
  <c r="F895" i="4"/>
  <c r="B896" i="4"/>
  <c r="C896" i="4"/>
  <c r="D896" i="4"/>
  <c r="E896" i="4"/>
  <c r="F896" i="4"/>
  <c r="B897" i="4"/>
  <c r="C897" i="4"/>
  <c r="D897" i="4"/>
  <c r="E897" i="4"/>
  <c r="F897" i="4"/>
  <c r="B898" i="4"/>
  <c r="C898" i="4"/>
  <c r="D898" i="4"/>
  <c r="E898" i="4"/>
  <c r="F898" i="4"/>
  <c r="B899" i="4"/>
  <c r="C899" i="4"/>
  <c r="D899" i="4"/>
  <c r="E899" i="4"/>
  <c r="F899" i="4"/>
  <c r="B900" i="4"/>
  <c r="C900" i="4"/>
  <c r="D900" i="4"/>
  <c r="E900" i="4"/>
  <c r="F900" i="4"/>
  <c r="B901" i="4"/>
  <c r="C901" i="4"/>
  <c r="D901" i="4"/>
  <c r="E901" i="4"/>
  <c r="F901" i="4"/>
  <c r="B902" i="4"/>
  <c r="C902" i="4"/>
  <c r="D902" i="4"/>
  <c r="E902" i="4"/>
  <c r="F902" i="4"/>
  <c r="B903" i="4"/>
  <c r="C903" i="4"/>
  <c r="D903" i="4"/>
  <c r="E903" i="4"/>
  <c r="F903" i="4"/>
  <c r="B904" i="4"/>
  <c r="C904" i="4"/>
  <c r="D904" i="4"/>
  <c r="E904" i="4"/>
  <c r="F904" i="4"/>
  <c r="B905" i="4"/>
  <c r="C905" i="4"/>
  <c r="D905" i="4"/>
  <c r="E905" i="4"/>
  <c r="F905" i="4"/>
  <c r="B906" i="4"/>
  <c r="C906" i="4"/>
  <c r="D906" i="4"/>
  <c r="E906" i="4"/>
  <c r="F906" i="4"/>
  <c r="B907" i="4"/>
  <c r="C907" i="4"/>
  <c r="D907" i="4"/>
  <c r="E907" i="4"/>
  <c r="F907" i="4"/>
  <c r="B908" i="4"/>
  <c r="C908" i="4"/>
  <c r="D908" i="4"/>
  <c r="E908" i="4"/>
  <c r="F908" i="4"/>
  <c r="B909" i="4"/>
  <c r="C909" i="4"/>
  <c r="D909" i="4"/>
  <c r="E909" i="4"/>
  <c r="F909" i="4"/>
  <c r="B910" i="4"/>
  <c r="C910" i="4"/>
  <c r="D910" i="4"/>
  <c r="E910" i="4"/>
  <c r="F910" i="4"/>
  <c r="B911" i="4"/>
  <c r="C911" i="4"/>
  <c r="D911" i="4"/>
  <c r="E911" i="4"/>
  <c r="F911" i="4"/>
  <c r="B912" i="4"/>
  <c r="C912" i="4"/>
  <c r="D912" i="4"/>
  <c r="E912" i="4"/>
  <c r="F912" i="4"/>
  <c r="B913" i="4"/>
  <c r="C913" i="4"/>
  <c r="D913" i="4"/>
  <c r="E913" i="4"/>
  <c r="F913" i="4"/>
  <c r="B914" i="4"/>
  <c r="C914" i="4"/>
  <c r="D914" i="4"/>
  <c r="E914" i="4"/>
  <c r="F914" i="4"/>
  <c r="B915" i="4"/>
  <c r="C915" i="4"/>
  <c r="D915" i="4"/>
  <c r="E915" i="4"/>
  <c r="F915" i="4"/>
  <c r="B916" i="4"/>
  <c r="C916" i="4"/>
  <c r="D916" i="4"/>
  <c r="E916" i="4"/>
  <c r="F916" i="4"/>
  <c r="B917" i="4"/>
  <c r="C917" i="4"/>
  <c r="D917" i="4"/>
  <c r="E917" i="4"/>
  <c r="F917" i="4"/>
  <c r="B918" i="4"/>
  <c r="C918" i="4"/>
  <c r="D918" i="4"/>
  <c r="E918" i="4"/>
  <c r="F918" i="4"/>
  <c r="B919" i="4"/>
  <c r="C919" i="4"/>
  <c r="D919" i="4"/>
  <c r="E919" i="4"/>
  <c r="F919" i="4"/>
  <c r="B920" i="4"/>
  <c r="C920" i="4"/>
  <c r="D920" i="4"/>
  <c r="E920" i="4"/>
  <c r="F920" i="4"/>
  <c r="B921" i="4"/>
  <c r="C921" i="4"/>
  <c r="D921" i="4"/>
  <c r="E921" i="4"/>
  <c r="F921" i="4"/>
  <c r="B922" i="4"/>
  <c r="C922" i="4"/>
  <c r="D922" i="4"/>
  <c r="E922" i="4"/>
  <c r="F922" i="4"/>
  <c r="B923" i="4"/>
  <c r="C923" i="4"/>
  <c r="D923" i="4"/>
  <c r="E923" i="4"/>
  <c r="F923" i="4"/>
  <c r="B924" i="4"/>
  <c r="C924" i="4"/>
  <c r="D924" i="4"/>
  <c r="E924" i="4"/>
  <c r="F924" i="4"/>
  <c r="B925" i="4"/>
  <c r="C925" i="4"/>
  <c r="D925" i="4"/>
  <c r="E925" i="4"/>
  <c r="F925" i="4"/>
  <c r="B926" i="4"/>
  <c r="C926" i="4"/>
  <c r="D926" i="4"/>
  <c r="E926" i="4"/>
  <c r="F926" i="4"/>
  <c r="B927" i="4"/>
  <c r="C927" i="4"/>
  <c r="D927" i="4"/>
  <c r="E927" i="4"/>
  <c r="F927" i="4"/>
  <c r="B928" i="4"/>
  <c r="C928" i="4"/>
  <c r="D928" i="4"/>
  <c r="E928" i="4"/>
  <c r="F928" i="4"/>
  <c r="B929" i="4"/>
  <c r="C929" i="4"/>
  <c r="D929" i="4"/>
  <c r="E929" i="4"/>
  <c r="F929" i="4"/>
  <c r="B930" i="4"/>
  <c r="C930" i="4"/>
  <c r="D930" i="4"/>
  <c r="E930" i="4"/>
  <c r="F930" i="4"/>
  <c r="B931" i="4"/>
  <c r="C931" i="4"/>
  <c r="D931" i="4"/>
  <c r="E931" i="4"/>
  <c r="F931" i="4"/>
  <c r="B932" i="4"/>
  <c r="C932" i="4"/>
  <c r="D932" i="4"/>
  <c r="E932" i="4"/>
  <c r="F932" i="4"/>
  <c r="B933" i="4"/>
  <c r="C933" i="4"/>
  <c r="D933" i="4"/>
  <c r="E933" i="4"/>
  <c r="F933" i="4"/>
  <c r="B934" i="4"/>
  <c r="C934" i="4"/>
  <c r="D934" i="4"/>
  <c r="E934" i="4"/>
  <c r="F934" i="4"/>
  <c r="B935" i="4"/>
  <c r="C935" i="4"/>
  <c r="D935" i="4"/>
  <c r="E935" i="4"/>
  <c r="F935" i="4"/>
  <c r="B936" i="4"/>
  <c r="C936" i="4"/>
  <c r="D936" i="4"/>
  <c r="E936" i="4"/>
  <c r="F936" i="4"/>
  <c r="B937" i="4"/>
  <c r="C937" i="4"/>
  <c r="D937" i="4"/>
  <c r="E937" i="4"/>
  <c r="F937" i="4"/>
  <c r="B938" i="4"/>
  <c r="C938" i="4"/>
  <c r="D938" i="4"/>
  <c r="E938" i="4"/>
  <c r="F938" i="4"/>
  <c r="B939" i="4"/>
  <c r="C939" i="4"/>
  <c r="D939" i="4"/>
  <c r="E939" i="4"/>
  <c r="F939" i="4"/>
  <c r="B940" i="4"/>
  <c r="C940" i="4"/>
  <c r="D940" i="4"/>
  <c r="E940" i="4"/>
  <c r="F940" i="4"/>
  <c r="B941" i="4"/>
  <c r="C941" i="4"/>
  <c r="D941" i="4"/>
  <c r="E941" i="4"/>
  <c r="F941" i="4"/>
  <c r="B942" i="4"/>
  <c r="C942" i="4"/>
  <c r="D942" i="4"/>
  <c r="E942" i="4"/>
  <c r="F942" i="4"/>
  <c r="B943" i="4"/>
  <c r="C943" i="4"/>
  <c r="D943" i="4"/>
  <c r="E943" i="4"/>
  <c r="F943" i="4"/>
  <c r="B944" i="4"/>
  <c r="C944" i="4"/>
  <c r="D944" i="4"/>
  <c r="E944" i="4"/>
  <c r="F944" i="4"/>
  <c r="B945" i="4"/>
  <c r="C945" i="4"/>
  <c r="D945" i="4"/>
  <c r="E945" i="4"/>
  <c r="F945" i="4"/>
  <c r="B946" i="4"/>
  <c r="C946" i="4"/>
  <c r="D946" i="4"/>
  <c r="E946" i="4"/>
  <c r="F946" i="4"/>
  <c r="B947" i="4"/>
  <c r="C947" i="4"/>
  <c r="D947" i="4"/>
  <c r="E947" i="4"/>
  <c r="F947" i="4"/>
  <c r="B948" i="4"/>
  <c r="C948" i="4"/>
  <c r="D948" i="4"/>
  <c r="E948" i="4"/>
  <c r="F948" i="4"/>
  <c r="B949" i="4"/>
  <c r="C949" i="4"/>
  <c r="D949" i="4"/>
  <c r="E949" i="4"/>
  <c r="F949" i="4"/>
  <c r="B950" i="4"/>
  <c r="C950" i="4"/>
  <c r="D950" i="4"/>
  <c r="E950" i="4"/>
  <c r="F950" i="4"/>
  <c r="B951" i="4"/>
  <c r="C951" i="4"/>
  <c r="D951" i="4"/>
  <c r="E951" i="4"/>
  <c r="F951" i="4"/>
  <c r="B952" i="4"/>
  <c r="C952" i="4"/>
  <c r="D952" i="4"/>
  <c r="E952" i="4"/>
  <c r="F952" i="4"/>
  <c r="B953" i="4"/>
  <c r="C953" i="4"/>
  <c r="D953" i="4"/>
  <c r="E953" i="4"/>
  <c r="F953" i="4"/>
  <c r="B954" i="4"/>
  <c r="C954" i="4"/>
  <c r="D954" i="4"/>
  <c r="E954" i="4"/>
  <c r="F954" i="4"/>
  <c r="B955" i="4"/>
  <c r="C955" i="4"/>
  <c r="D955" i="4"/>
  <c r="E955" i="4"/>
  <c r="F955" i="4"/>
  <c r="B956" i="4"/>
  <c r="C956" i="4"/>
  <c r="D956" i="4"/>
  <c r="E956" i="4"/>
  <c r="F956" i="4"/>
  <c r="B957" i="4"/>
  <c r="C957" i="4"/>
  <c r="D957" i="4"/>
  <c r="E957" i="4"/>
  <c r="F957" i="4"/>
  <c r="B958" i="4"/>
  <c r="C958" i="4"/>
  <c r="D958" i="4"/>
  <c r="E958" i="4"/>
  <c r="F958" i="4"/>
  <c r="B959" i="4"/>
  <c r="C959" i="4"/>
  <c r="D959" i="4"/>
  <c r="E959" i="4"/>
  <c r="F959" i="4"/>
  <c r="B960" i="4"/>
  <c r="C960" i="4"/>
  <c r="D960" i="4"/>
  <c r="E960" i="4"/>
  <c r="F960" i="4"/>
  <c r="B961" i="4"/>
  <c r="C961" i="4"/>
  <c r="D961" i="4"/>
  <c r="E961" i="4"/>
  <c r="F961" i="4"/>
  <c r="B962" i="4"/>
  <c r="C962" i="4"/>
  <c r="D962" i="4"/>
  <c r="E962" i="4"/>
  <c r="F962" i="4"/>
  <c r="B963" i="4"/>
  <c r="C963" i="4"/>
  <c r="D963" i="4"/>
  <c r="E963" i="4"/>
  <c r="F963" i="4"/>
  <c r="B964" i="4"/>
  <c r="C964" i="4"/>
  <c r="D964" i="4"/>
  <c r="E964" i="4"/>
  <c r="F964" i="4"/>
  <c r="B965" i="4"/>
  <c r="C965" i="4"/>
  <c r="D965" i="4"/>
  <c r="E965" i="4"/>
  <c r="F965" i="4"/>
  <c r="B966" i="4"/>
  <c r="C966" i="4"/>
  <c r="D966" i="4"/>
  <c r="E966" i="4"/>
  <c r="F966" i="4"/>
  <c r="B967" i="4"/>
  <c r="C967" i="4"/>
  <c r="D967" i="4"/>
  <c r="E967" i="4"/>
  <c r="F967" i="4"/>
  <c r="B968" i="4"/>
  <c r="C968" i="4"/>
  <c r="D968" i="4"/>
  <c r="E968" i="4"/>
  <c r="F968" i="4"/>
  <c r="B969" i="4"/>
  <c r="C969" i="4"/>
  <c r="D969" i="4"/>
  <c r="E969" i="4"/>
  <c r="F969" i="4"/>
  <c r="B970" i="4"/>
  <c r="C970" i="4"/>
  <c r="D970" i="4"/>
  <c r="E970" i="4"/>
  <c r="F970" i="4"/>
  <c r="B971" i="4"/>
  <c r="C971" i="4"/>
  <c r="D971" i="4"/>
  <c r="E971" i="4"/>
  <c r="F971" i="4"/>
  <c r="B972" i="4"/>
  <c r="C972" i="4"/>
  <c r="D972" i="4"/>
  <c r="E972" i="4"/>
  <c r="F972" i="4"/>
  <c r="B973" i="4"/>
  <c r="C973" i="4"/>
  <c r="D973" i="4"/>
  <c r="E973" i="4"/>
  <c r="F973" i="4"/>
  <c r="B974" i="4"/>
  <c r="C974" i="4"/>
  <c r="D974" i="4"/>
  <c r="E974" i="4"/>
  <c r="F974" i="4"/>
  <c r="B975" i="4"/>
  <c r="C975" i="4"/>
  <c r="D975" i="4"/>
  <c r="E975" i="4"/>
  <c r="F975" i="4"/>
  <c r="B976" i="4"/>
  <c r="C976" i="4"/>
  <c r="D976" i="4"/>
  <c r="E976" i="4"/>
  <c r="F976" i="4"/>
  <c r="B977" i="4"/>
  <c r="C977" i="4"/>
  <c r="D977" i="4"/>
  <c r="E977" i="4"/>
  <c r="F977" i="4"/>
  <c r="B978" i="4"/>
  <c r="C978" i="4"/>
  <c r="D978" i="4"/>
  <c r="E978" i="4"/>
  <c r="F978" i="4"/>
  <c r="B979" i="4"/>
  <c r="C979" i="4"/>
  <c r="D979" i="4"/>
  <c r="E979" i="4"/>
  <c r="F979" i="4"/>
  <c r="B980" i="4"/>
  <c r="C980" i="4"/>
  <c r="D980" i="4"/>
  <c r="E980" i="4"/>
  <c r="F980" i="4"/>
  <c r="B981" i="4"/>
  <c r="C981" i="4"/>
  <c r="D981" i="4"/>
  <c r="E981" i="4"/>
  <c r="F981" i="4"/>
  <c r="B982" i="4"/>
  <c r="C982" i="4"/>
  <c r="D982" i="4"/>
  <c r="E982" i="4"/>
  <c r="F982" i="4"/>
  <c r="B983" i="4"/>
  <c r="C983" i="4"/>
  <c r="D983" i="4"/>
  <c r="E983" i="4"/>
  <c r="F983" i="4"/>
  <c r="B984" i="4"/>
  <c r="C984" i="4"/>
  <c r="D984" i="4"/>
  <c r="E984" i="4"/>
  <c r="F984" i="4"/>
  <c r="B985" i="4"/>
  <c r="C985" i="4"/>
  <c r="D985" i="4"/>
  <c r="E985" i="4"/>
  <c r="F985" i="4"/>
  <c r="B986" i="4"/>
  <c r="C986" i="4"/>
  <c r="D986" i="4"/>
  <c r="E986" i="4"/>
  <c r="F986" i="4"/>
  <c r="B987" i="4"/>
  <c r="C987" i="4"/>
  <c r="D987" i="4"/>
  <c r="E987" i="4"/>
  <c r="F987" i="4"/>
  <c r="B988" i="4"/>
  <c r="C988" i="4"/>
  <c r="D988" i="4"/>
  <c r="E988" i="4"/>
  <c r="F988" i="4"/>
  <c r="B989" i="4"/>
  <c r="C989" i="4"/>
  <c r="D989" i="4"/>
  <c r="E989" i="4"/>
  <c r="F989" i="4"/>
  <c r="B990" i="4"/>
  <c r="C990" i="4"/>
  <c r="D990" i="4"/>
  <c r="E990" i="4"/>
  <c r="F990" i="4"/>
  <c r="B991" i="4"/>
  <c r="C991" i="4"/>
  <c r="D991" i="4"/>
  <c r="E991" i="4"/>
  <c r="F991" i="4"/>
  <c r="B992" i="4"/>
  <c r="C992" i="4"/>
  <c r="D992" i="4"/>
  <c r="E992" i="4"/>
  <c r="F992" i="4"/>
  <c r="B993" i="4"/>
  <c r="C993" i="4"/>
  <c r="D993" i="4"/>
  <c r="E993" i="4"/>
  <c r="F993" i="4"/>
  <c r="B994" i="4"/>
  <c r="C994" i="4"/>
  <c r="D994" i="4"/>
  <c r="E994" i="4"/>
  <c r="F994" i="4"/>
  <c r="B995" i="4"/>
  <c r="C995" i="4"/>
  <c r="D995" i="4"/>
  <c r="E995" i="4"/>
  <c r="F995" i="4"/>
  <c r="B996" i="4"/>
  <c r="C996" i="4"/>
  <c r="D996" i="4"/>
  <c r="E996" i="4"/>
  <c r="F996" i="4"/>
  <c r="B997" i="4"/>
  <c r="C997" i="4"/>
  <c r="D997" i="4"/>
  <c r="E997" i="4"/>
  <c r="F997" i="4"/>
  <c r="B998" i="4"/>
  <c r="C998" i="4"/>
  <c r="D998" i="4"/>
  <c r="E998" i="4"/>
  <c r="F998" i="4"/>
  <c r="B999" i="4"/>
  <c r="C999" i="4"/>
  <c r="D999" i="4"/>
  <c r="E999" i="4"/>
  <c r="F999" i="4"/>
  <c r="B1000" i="4"/>
  <c r="C1000" i="4"/>
  <c r="D1000" i="4"/>
  <c r="E1000" i="4"/>
  <c r="F1000" i="4"/>
  <c r="B1001" i="4"/>
  <c r="C1001" i="4"/>
  <c r="D1001" i="4"/>
  <c r="E1001" i="4"/>
  <c r="F1001" i="4"/>
  <c r="B1002" i="4"/>
  <c r="C1002" i="4"/>
  <c r="D1002" i="4"/>
  <c r="E1002" i="4"/>
  <c r="F1002" i="4"/>
  <c r="B1003" i="4"/>
  <c r="C1003" i="4"/>
  <c r="D1003" i="4"/>
  <c r="E1003" i="4"/>
  <c r="F1003" i="4"/>
  <c r="B1004" i="4"/>
  <c r="C1004" i="4"/>
  <c r="D1004" i="4"/>
  <c r="E1004" i="4"/>
  <c r="F1004" i="4"/>
  <c r="B1005" i="4"/>
  <c r="C1005" i="4"/>
  <c r="D1005" i="4"/>
  <c r="E1005" i="4"/>
  <c r="F1005" i="4"/>
  <c r="B1006" i="4"/>
  <c r="C1006" i="4"/>
  <c r="D1006" i="4"/>
  <c r="E1006" i="4"/>
  <c r="F1006" i="4"/>
  <c r="B1007" i="4"/>
  <c r="C1007" i="4"/>
  <c r="D1007" i="4"/>
  <c r="E1007" i="4"/>
  <c r="F1007" i="4"/>
  <c r="B1008" i="4"/>
  <c r="C1008" i="4"/>
  <c r="D1008" i="4"/>
  <c r="E1008" i="4"/>
  <c r="F1008" i="4"/>
  <c r="B1009" i="4"/>
  <c r="C1009" i="4"/>
  <c r="D1009" i="4"/>
  <c r="E1009" i="4"/>
  <c r="F1009" i="4"/>
  <c r="B1010" i="4"/>
  <c r="C1010" i="4"/>
  <c r="D1010" i="4"/>
  <c r="E1010" i="4"/>
  <c r="F1010" i="4"/>
  <c r="B1011" i="4"/>
  <c r="C1011" i="4"/>
  <c r="D1011" i="4"/>
  <c r="E1011" i="4"/>
  <c r="F1011" i="4"/>
  <c r="B1012" i="4"/>
  <c r="C1012" i="4"/>
  <c r="D1012" i="4"/>
  <c r="E1012" i="4"/>
  <c r="F1012" i="4"/>
  <c r="B1013" i="4"/>
  <c r="C1013" i="4"/>
  <c r="D1013" i="4"/>
  <c r="E1013" i="4"/>
  <c r="F1013" i="4"/>
  <c r="B1014" i="4"/>
  <c r="C1014" i="4"/>
  <c r="D1014" i="4"/>
  <c r="E1014" i="4"/>
  <c r="F1014" i="4"/>
  <c r="B1015" i="4"/>
  <c r="C1015" i="4"/>
  <c r="D1015" i="4"/>
  <c r="E1015" i="4"/>
  <c r="F1015" i="4"/>
  <c r="B1016" i="4"/>
  <c r="C1016" i="4"/>
  <c r="D1016" i="4"/>
  <c r="E1016" i="4"/>
  <c r="F1016" i="4"/>
  <c r="B1017" i="4"/>
  <c r="C1017" i="4"/>
  <c r="D1017" i="4"/>
  <c r="E1017" i="4"/>
  <c r="F1017" i="4"/>
  <c r="B1018" i="4"/>
  <c r="C1018" i="4"/>
  <c r="D1018" i="4"/>
  <c r="E1018" i="4"/>
  <c r="F1018" i="4"/>
  <c r="B1019" i="4"/>
  <c r="C1019" i="4"/>
  <c r="D1019" i="4"/>
  <c r="E1019" i="4"/>
  <c r="F1019" i="4"/>
  <c r="B1020" i="4"/>
  <c r="C1020" i="4"/>
  <c r="D1020" i="4"/>
  <c r="E1020" i="4"/>
  <c r="F1020" i="4"/>
  <c r="B1021" i="4"/>
  <c r="C1021" i="4"/>
  <c r="D1021" i="4"/>
  <c r="E1021" i="4"/>
  <c r="F1021" i="4"/>
  <c r="B1022" i="4"/>
  <c r="C1022" i="4"/>
  <c r="D1022" i="4"/>
  <c r="E1022" i="4"/>
  <c r="F1022" i="4"/>
  <c r="B1023" i="4"/>
  <c r="C1023" i="4"/>
  <c r="D1023" i="4"/>
  <c r="E1023" i="4"/>
  <c r="F1023" i="4"/>
  <c r="B1024" i="4"/>
  <c r="C1024" i="4"/>
  <c r="D1024" i="4"/>
  <c r="E1024" i="4"/>
  <c r="F1024" i="4"/>
  <c r="B1025" i="4"/>
  <c r="C1025" i="4"/>
  <c r="D1025" i="4"/>
  <c r="E1025" i="4"/>
  <c r="F1025" i="4"/>
  <c r="B1026" i="4"/>
  <c r="C1026" i="4"/>
  <c r="D1026" i="4"/>
  <c r="E1026" i="4"/>
  <c r="F1026" i="4"/>
  <c r="B1027" i="4"/>
  <c r="C1027" i="4"/>
  <c r="D1027" i="4"/>
  <c r="E1027" i="4"/>
  <c r="F1027" i="4"/>
  <c r="B1028" i="4"/>
  <c r="C1028" i="4"/>
  <c r="D1028" i="4"/>
  <c r="E1028" i="4"/>
  <c r="F1028" i="4"/>
  <c r="B1029" i="4"/>
  <c r="C1029" i="4"/>
  <c r="D1029" i="4"/>
  <c r="E1029" i="4"/>
  <c r="F1029" i="4"/>
  <c r="B1030" i="4"/>
  <c r="C1030" i="4"/>
  <c r="D1030" i="4"/>
  <c r="E1030" i="4"/>
  <c r="F1030" i="4"/>
  <c r="B1031" i="4"/>
  <c r="C1031" i="4"/>
  <c r="D1031" i="4"/>
  <c r="E1031" i="4"/>
  <c r="F1031" i="4"/>
  <c r="B1032" i="4"/>
  <c r="C1032" i="4"/>
  <c r="D1032" i="4"/>
  <c r="E1032" i="4"/>
  <c r="F1032" i="4"/>
  <c r="B1033" i="4"/>
  <c r="C1033" i="4"/>
  <c r="D1033" i="4"/>
  <c r="E1033" i="4"/>
  <c r="F1033" i="4"/>
  <c r="B1034" i="4"/>
  <c r="C1034" i="4"/>
  <c r="D1034" i="4"/>
  <c r="E1034" i="4"/>
  <c r="F1034" i="4"/>
  <c r="B1035" i="4"/>
  <c r="C1035" i="4"/>
  <c r="D1035" i="4"/>
  <c r="E1035" i="4"/>
  <c r="F1035" i="4"/>
  <c r="B1036" i="4"/>
  <c r="C1036" i="4"/>
  <c r="D1036" i="4"/>
  <c r="E1036" i="4"/>
  <c r="F1036" i="4"/>
  <c r="B1037" i="4"/>
  <c r="C1037" i="4"/>
  <c r="D1037" i="4"/>
  <c r="E1037" i="4"/>
  <c r="F1037" i="4"/>
  <c r="B1038" i="4"/>
  <c r="C1038" i="4"/>
  <c r="D1038" i="4"/>
  <c r="E1038" i="4"/>
  <c r="F1038" i="4"/>
  <c r="B1039" i="4"/>
  <c r="C1039" i="4"/>
  <c r="D1039" i="4"/>
  <c r="E1039" i="4"/>
  <c r="F1039" i="4"/>
  <c r="B1040" i="4"/>
  <c r="C1040" i="4"/>
  <c r="D1040" i="4"/>
  <c r="E1040" i="4"/>
  <c r="F1040" i="4"/>
  <c r="B1041" i="4"/>
  <c r="C1041" i="4"/>
  <c r="D1041" i="4"/>
  <c r="E1041" i="4"/>
  <c r="F1041" i="4"/>
  <c r="B1042" i="4"/>
  <c r="C1042" i="4"/>
  <c r="D1042" i="4"/>
  <c r="E1042" i="4"/>
  <c r="F1042" i="4"/>
  <c r="B1043" i="4"/>
  <c r="C1043" i="4"/>
  <c r="D1043" i="4"/>
  <c r="E1043" i="4"/>
  <c r="F1043" i="4"/>
  <c r="B1044" i="4"/>
  <c r="C1044" i="4"/>
  <c r="D1044" i="4"/>
  <c r="E1044" i="4"/>
  <c r="F1044" i="4"/>
  <c r="B1045" i="4"/>
  <c r="C1045" i="4"/>
  <c r="D1045" i="4"/>
  <c r="E1045" i="4"/>
  <c r="F1045" i="4"/>
  <c r="B1046" i="4"/>
  <c r="C1046" i="4"/>
  <c r="D1046" i="4"/>
  <c r="E1046" i="4"/>
  <c r="F1046" i="4"/>
  <c r="B1047" i="4"/>
  <c r="C1047" i="4"/>
  <c r="D1047" i="4"/>
  <c r="E1047" i="4"/>
  <c r="F1047" i="4"/>
  <c r="B1048" i="4"/>
  <c r="C1048" i="4"/>
  <c r="D1048" i="4"/>
  <c r="E1048" i="4"/>
  <c r="F1048" i="4"/>
  <c r="B1049" i="4"/>
  <c r="C1049" i="4"/>
  <c r="D1049" i="4"/>
  <c r="E1049" i="4"/>
  <c r="F1049" i="4"/>
  <c r="B1050" i="4"/>
  <c r="C1050" i="4"/>
  <c r="D1050" i="4"/>
  <c r="E1050" i="4"/>
  <c r="F1050" i="4"/>
  <c r="B1051" i="4"/>
  <c r="C1051" i="4"/>
  <c r="D1051" i="4"/>
  <c r="E1051" i="4"/>
  <c r="F1051" i="4"/>
  <c r="B1052" i="4"/>
  <c r="C1052" i="4"/>
  <c r="D1052" i="4"/>
  <c r="E1052" i="4"/>
  <c r="F1052" i="4"/>
  <c r="B1053" i="4"/>
  <c r="C1053" i="4"/>
  <c r="D1053" i="4"/>
  <c r="E1053" i="4"/>
  <c r="F1053" i="4"/>
  <c r="B1054" i="4"/>
  <c r="C1054" i="4"/>
  <c r="D1054" i="4"/>
  <c r="E1054" i="4"/>
  <c r="F1054" i="4"/>
  <c r="B1055" i="4"/>
  <c r="C1055" i="4"/>
  <c r="D1055" i="4"/>
  <c r="E1055" i="4"/>
  <c r="F1055" i="4"/>
  <c r="B1056" i="4"/>
  <c r="C1056" i="4"/>
  <c r="D1056" i="4"/>
  <c r="E1056" i="4"/>
  <c r="F1056" i="4"/>
  <c r="B1057" i="4"/>
  <c r="C1057" i="4"/>
  <c r="D1057" i="4"/>
  <c r="E1057" i="4"/>
  <c r="F1057" i="4"/>
  <c r="C2" i="4"/>
  <c r="D2" i="4"/>
  <c r="E2" i="4"/>
  <c r="F2" i="4"/>
  <c r="B2" i="4"/>
  <c r="G1" i="5"/>
  <c r="G1" i="4"/>
  <c r="H3" i="2" a="1"/>
  <c r="H3" i="2"/>
  <c r="H4" i="2" a="1"/>
  <c r="H4" i="2" s="1"/>
  <c r="H5" i="2" a="1"/>
  <c r="H5" i="2" s="1"/>
  <c r="H6" i="2" a="1"/>
  <c r="H6" i="2" s="1"/>
  <c r="H7" i="2" a="1"/>
  <c r="H7" i="2" s="1"/>
  <c r="H8" i="2" a="1"/>
  <c r="H8" i="2"/>
  <c r="H9" i="2" a="1"/>
  <c r="H9" i="2" s="1"/>
  <c r="H10" i="2" a="1"/>
  <c r="H10" i="2"/>
  <c r="H11" i="2" a="1"/>
  <c r="H11" i="2"/>
  <c r="H12" i="2" a="1"/>
  <c r="H12" i="2" s="1"/>
  <c r="H13" i="2" a="1"/>
  <c r="H13" i="2" s="1"/>
  <c r="H14" i="2" a="1"/>
  <c r="H14" i="2"/>
  <c r="H15" i="2" a="1"/>
  <c r="H15" i="2"/>
  <c r="H16" i="2" a="1"/>
  <c r="H16" i="2"/>
  <c r="H17" i="2" a="1"/>
  <c r="H17" i="2" s="1"/>
  <c r="H18" i="2" a="1"/>
  <c r="H18" i="2" s="1"/>
  <c r="H19" i="2" a="1"/>
  <c r="H19" i="2" s="1"/>
  <c r="H20" i="2" a="1"/>
  <c r="H20" i="2"/>
  <c r="H21" i="2" a="1"/>
  <c r="H21" i="2"/>
  <c r="H22" i="2" a="1"/>
  <c r="H22" i="2" s="1"/>
  <c r="H23" i="2" a="1"/>
  <c r="H23" i="2"/>
  <c r="H24" i="2" a="1"/>
  <c r="H24" i="2" s="1"/>
  <c r="H25" i="2" a="1"/>
  <c r="H25" i="2" s="1"/>
  <c r="H26" i="2" a="1"/>
  <c r="H26" i="2"/>
  <c r="H27" i="2" a="1"/>
  <c r="H27" i="2"/>
  <c r="H28" i="2" a="1"/>
  <c r="H28" i="2"/>
  <c r="H29" i="2" a="1"/>
  <c r="H29" i="2"/>
  <c r="H30" i="2" a="1"/>
  <c r="H30" i="2" s="1"/>
  <c r="H31" i="2" a="1"/>
  <c r="H31" i="2" s="1"/>
  <c r="H32" i="2" a="1"/>
  <c r="H32" i="2"/>
  <c r="H33" i="2" a="1"/>
  <c r="H33" i="2" s="1"/>
  <c r="H34" i="2" a="1"/>
  <c r="H34" i="2"/>
  <c r="H35" i="2" a="1"/>
  <c r="H35" i="2" s="1"/>
  <c r="H36" i="2" a="1"/>
  <c r="H36" i="2"/>
  <c r="H37" i="2" a="1"/>
  <c r="H37" i="2" s="1"/>
  <c r="H38" i="2" a="1"/>
  <c r="H38" i="2"/>
  <c r="H39" i="2" a="1"/>
  <c r="H39" i="2" s="1"/>
  <c r="H40" i="2" a="1"/>
  <c r="H40" i="2"/>
  <c r="H41" i="2" a="1"/>
  <c r="H41" i="2"/>
  <c r="H42" i="2" a="1"/>
  <c r="H42" i="2"/>
  <c r="H43" i="2" a="1"/>
  <c r="H43" i="2" s="1"/>
  <c r="H44" i="2" a="1"/>
  <c r="H44" i="2" s="1"/>
  <c r="H45" i="2" a="1"/>
  <c r="H45" i="2" s="1"/>
  <c r="H46" i="2" a="1"/>
  <c r="H46" i="2" s="1"/>
  <c r="H47" i="2" a="1"/>
  <c r="H47" i="2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/>
  <c r="H54" i="2" a="1"/>
  <c r="H54" i="2"/>
  <c r="H55" i="2" a="1"/>
  <c r="H55" i="2" s="1"/>
  <c r="H56" i="2" a="1"/>
  <c r="H56" i="2"/>
  <c r="H57" i="2" a="1"/>
  <c r="H57" i="2" s="1"/>
  <c r="H58" i="2" a="1"/>
  <c r="H58" i="2" s="1"/>
  <c r="H59" i="2" a="1"/>
  <c r="H59" i="2" s="1"/>
  <c r="H60" i="2" a="1"/>
  <c r="H60" i="2"/>
  <c r="H61" i="2" a="1"/>
  <c r="H61" i="2" s="1"/>
  <c r="H62" i="2" a="1"/>
  <c r="H62" i="2"/>
  <c r="H63" i="2" a="1"/>
  <c r="H63" i="2" s="1"/>
  <c r="H64" i="2" a="1"/>
  <c r="H64" i="2" s="1"/>
  <c r="H65" i="2" a="1"/>
  <c r="H65" i="2" s="1"/>
  <c r="H66" i="2" a="1"/>
  <c r="H66" i="2"/>
  <c r="H67" i="2" a="1"/>
  <c r="H67" i="2" s="1"/>
  <c r="H68" i="2" a="1"/>
  <c r="H68" i="2" s="1"/>
  <c r="H69" i="2" a="1"/>
  <c r="H69" i="2"/>
  <c r="H70" i="2" a="1"/>
  <c r="H70" i="2" s="1"/>
  <c r="H71" i="2" a="1"/>
  <c r="H71" i="2" s="1"/>
  <c r="H72" i="2" a="1"/>
  <c r="H72" i="2" s="1"/>
  <c r="H73" i="2" a="1"/>
  <c r="H73" i="2" s="1"/>
  <c r="H74" i="2" a="1"/>
  <c r="H74" i="2"/>
  <c r="H75" i="2" a="1"/>
  <c r="H75" i="2"/>
  <c r="H76" i="2" a="1"/>
  <c r="H76" i="2" s="1"/>
  <c r="H77" i="2" a="1"/>
  <c r="H77" i="2" s="1"/>
  <c r="H78" i="2" a="1"/>
  <c r="H78" i="2" s="1"/>
  <c r="H79" i="2" a="1"/>
  <c r="H79" i="2" s="1"/>
  <c r="H80" i="2" a="1"/>
  <c r="H80" i="2"/>
  <c r="H81" i="2" a="1"/>
  <c r="H81" i="2" s="1"/>
  <c r="H82" i="2" a="1"/>
  <c r="H82" i="2"/>
  <c r="H83" i="2" a="1"/>
  <c r="H83" i="2" s="1"/>
  <c r="H84" i="2" a="1"/>
  <c r="H84" i="2" s="1"/>
  <c r="H85" i="2" a="1"/>
  <c r="H85" i="2" s="1"/>
  <c r="H86" i="2" a="1"/>
  <c r="H86" i="2" s="1"/>
  <c r="H87" i="2" a="1"/>
  <c r="H87" i="2"/>
  <c r="H88" i="2" a="1"/>
  <c r="H88" i="2"/>
  <c r="H89" i="2" a="1"/>
  <c r="H89" i="2" s="1"/>
  <c r="H90" i="2" a="1"/>
  <c r="H90" i="2" s="1"/>
  <c r="H91" i="2" a="1"/>
  <c r="H91" i="2" s="1"/>
  <c r="H92" i="2" a="1"/>
  <c r="H92" i="2" s="1"/>
  <c r="H93" i="2" a="1"/>
  <c r="H93" i="2"/>
  <c r="H94" i="2" a="1"/>
  <c r="H94" i="2" s="1"/>
  <c r="H95" i="2" a="1"/>
  <c r="H95" i="2"/>
  <c r="H96" i="2" a="1"/>
  <c r="H96" i="2" s="1"/>
  <c r="H97" i="2" a="1"/>
  <c r="H97" i="2" s="1"/>
  <c r="H98" i="2" a="1"/>
  <c r="H98" i="2" s="1"/>
  <c r="H99" i="2" a="1"/>
  <c r="H99" i="2" s="1"/>
  <c r="H100" i="2" a="1"/>
  <c r="H100" i="2"/>
  <c r="H101" i="2" a="1"/>
  <c r="H101" i="2"/>
  <c r="H102" i="2" a="1"/>
  <c r="H102" i="2" s="1"/>
  <c r="H103" i="2" a="1"/>
  <c r="H103" i="2" s="1"/>
  <c r="H104" i="2" a="1"/>
  <c r="H104" i="2" s="1"/>
  <c r="H105" i="2" a="1"/>
  <c r="H105" i="2" s="1"/>
  <c r="H106" i="2" a="1"/>
  <c r="H106" i="2"/>
  <c r="H107" i="2" a="1"/>
  <c r="H107" i="2" s="1"/>
  <c r="H108" i="2" a="1"/>
  <c r="H108" i="2"/>
  <c r="H109" i="2" a="1"/>
  <c r="H109" i="2" s="1"/>
  <c r="H110" i="2" a="1"/>
  <c r="H110" i="2" s="1"/>
  <c r="H111" i="2" a="1"/>
  <c r="H111" i="2" s="1"/>
  <c r="H112" i="2" a="1"/>
  <c r="H112" i="2" s="1"/>
  <c r="H113" i="2" a="1"/>
  <c r="H113" i="2"/>
  <c r="H114" i="2" a="1"/>
  <c r="H114" i="2"/>
  <c r="H115" i="2" a="1"/>
  <c r="H115" i="2" s="1"/>
  <c r="H116" i="2" a="1"/>
  <c r="H116" i="2" s="1"/>
  <c r="H117" i="2" a="1"/>
  <c r="H117" i="2" s="1"/>
  <c r="H118" i="2" a="1"/>
  <c r="H118" i="2" s="1"/>
  <c r="H119" i="2" a="1"/>
  <c r="H119" i="2"/>
  <c r="H120" i="2" a="1"/>
  <c r="H120" i="2" s="1"/>
  <c r="H121" i="2" a="1"/>
  <c r="H121" i="2" s="1"/>
  <c r="H122" i="2" a="1"/>
  <c r="H122" i="2" s="1"/>
  <c r="H123" i="2" a="1"/>
  <c r="H123" i="2" s="1"/>
  <c r="H124" i="2" a="1"/>
  <c r="H124" i="2" s="1"/>
  <c r="H125" i="2" a="1"/>
  <c r="H125" i="2" s="1"/>
  <c r="H126" i="2" a="1"/>
  <c r="H126" i="2"/>
  <c r="H127" i="2" a="1"/>
  <c r="H127" i="2" s="1"/>
  <c r="H128" i="2" a="1"/>
  <c r="H128" i="2"/>
  <c r="H129" i="2" a="1"/>
  <c r="H129" i="2" s="1"/>
  <c r="H130" i="2" a="1"/>
  <c r="H130" i="2" s="1"/>
  <c r="H131" i="2" a="1"/>
  <c r="H131" i="2" s="1"/>
  <c r="H132" i="2" a="1"/>
  <c r="H132" i="2"/>
  <c r="H133" i="2" a="1"/>
  <c r="H133" i="2" s="1"/>
  <c r="H134" i="2" a="1"/>
  <c r="H134" i="2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0" i="2" a="1"/>
  <c r="H140" i="2" s="1"/>
  <c r="H141" i="2" a="1"/>
  <c r="H141" i="2"/>
  <c r="H142" i="2" a="1"/>
  <c r="H142" i="2" s="1"/>
  <c r="H143" i="2" a="1"/>
  <c r="H143" i="2" s="1"/>
  <c r="H144" i="2" a="1"/>
  <c r="H144" i="2" s="1"/>
  <c r="H145" i="2" a="1"/>
  <c r="H145" i="2" s="1"/>
  <c r="H146" i="2" a="1"/>
  <c r="H146" i="2"/>
  <c r="H147" i="2" a="1"/>
  <c r="H147" i="2"/>
  <c r="H148" i="2" a="1"/>
  <c r="H148" i="2" s="1"/>
  <c r="H149" i="2" a="1"/>
  <c r="H149" i="2" s="1"/>
  <c r="H150" i="2" a="1"/>
  <c r="H150" i="2" s="1"/>
  <c r="H151" i="2" a="1"/>
  <c r="H151" i="2" s="1"/>
  <c r="H152" i="2" a="1"/>
  <c r="H152" i="2"/>
  <c r="H153" i="2" a="1"/>
  <c r="H153" i="2" s="1"/>
  <c r="H154" i="2" a="1"/>
  <c r="H154" i="2"/>
  <c r="H155" i="2" a="1"/>
  <c r="H155" i="2" s="1"/>
  <c r="H156" i="2" a="1"/>
  <c r="H156" i="2" s="1"/>
  <c r="H157" i="2" a="1"/>
  <c r="H157" i="2" s="1"/>
  <c r="H158" i="2" a="1"/>
  <c r="H158" i="2" s="1"/>
  <c r="H159" i="2" a="1"/>
  <c r="H159" i="2"/>
  <c r="H160" i="2" a="1"/>
  <c r="H160" i="2"/>
  <c r="H161" i="2" a="1"/>
  <c r="H161" i="2" s="1"/>
  <c r="H162" i="2" a="1"/>
  <c r="H162" i="2" s="1"/>
  <c r="H163" i="2" a="1"/>
  <c r="H163" i="2" s="1"/>
  <c r="H164" i="2" a="1"/>
  <c r="H164" i="2" s="1"/>
  <c r="H165" i="2" a="1"/>
  <c r="H165" i="2"/>
  <c r="H166" i="2" a="1"/>
  <c r="H166" i="2" s="1"/>
  <c r="H167" i="2" a="1"/>
  <c r="H167" i="2"/>
  <c r="H168" i="2" a="1"/>
  <c r="H168" i="2" s="1"/>
  <c r="H169" i="2" a="1"/>
  <c r="H169" i="2" s="1"/>
  <c r="H170" i="2" a="1"/>
  <c r="H170" i="2" s="1"/>
  <c r="H171" i="2" a="1"/>
  <c r="H171" i="2" s="1"/>
  <c r="H172" i="2" a="1"/>
  <c r="H172" i="2"/>
  <c r="H173" i="2" a="1"/>
  <c r="H173" i="2"/>
  <c r="H174" i="2" a="1"/>
  <c r="H174" i="2" s="1"/>
  <c r="H175" i="2" a="1"/>
  <c r="H175" i="2" s="1"/>
  <c r="H176" i="2" a="1"/>
  <c r="H176" i="2" s="1"/>
  <c r="H177" i="2" a="1"/>
  <c r="H177" i="2" s="1"/>
  <c r="H178" i="2" a="1"/>
  <c r="H178" i="2"/>
  <c r="H179" i="2" a="1"/>
  <c r="H179" i="2" s="1"/>
  <c r="H180" i="2" a="1"/>
  <c r="H180" i="2"/>
  <c r="H181" i="2" a="1"/>
  <c r="H181" i="2" s="1"/>
  <c r="H182" i="2" a="1"/>
  <c r="H182" i="2" s="1"/>
  <c r="H183" i="2" a="1"/>
  <c r="H183" i="2" s="1"/>
  <c r="H184" i="2" a="1"/>
  <c r="H184" i="2" s="1"/>
  <c r="H185" i="2" a="1"/>
  <c r="H185" i="2"/>
  <c r="H186" i="2" a="1"/>
  <c r="H186" i="2"/>
  <c r="H187" i="2" a="1"/>
  <c r="H187" i="2" s="1"/>
  <c r="H188" i="2" a="1"/>
  <c r="H188" i="2" s="1"/>
  <c r="H189" i="2" a="1"/>
  <c r="H189" i="2" s="1"/>
  <c r="H190" i="2" a="1"/>
  <c r="H190" i="2" s="1"/>
  <c r="H191" i="2" a="1"/>
  <c r="H191" i="2"/>
  <c r="H192" i="2" a="1"/>
  <c r="H192" i="2" s="1"/>
  <c r="H193" i="2" a="1"/>
  <c r="H193" i="2" s="1"/>
  <c r="H194" i="2" a="1"/>
  <c r="H194" i="2" s="1"/>
  <c r="H195" i="2" a="1"/>
  <c r="H195" i="2" s="1"/>
  <c r="H196" i="2" a="1"/>
  <c r="H196" i="2" s="1"/>
  <c r="H197" i="2" a="1"/>
  <c r="H197" i="2" s="1"/>
  <c r="H198" i="2" a="1"/>
  <c r="H198" i="2"/>
  <c r="H199" i="2" a="1"/>
  <c r="H199" i="2" s="1"/>
  <c r="H200" i="2" a="1"/>
  <c r="H200" i="2"/>
  <c r="H201" i="2" a="1"/>
  <c r="H201" i="2" s="1"/>
  <c r="H202" i="2" a="1"/>
  <c r="H202" i="2" s="1"/>
  <c r="H203" i="2" a="1"/>
  <c r="H203" i="2" s="1"/>
  <c r="H204" i="2" a="1"/>
  <c r="H204" i="2"/>
  <c r="H205" i="2" a="1"/>
  <c r="H205" i="2" s="1"/>
  <c r="H206" i="2" a="1"/>
  <c r="H206" i="2"/>
  <c r="H207" i="2" a="1"/>
  <c r="H207" i="2" s="1"/>
  <c r="H208" i="2" a="1"/>
  <c r="H208" i="2" s="1"/>
  <c r="H209" i="2" a="1"/>
  <c r="H209" i="2" s="1"/>
  <c r="H210" i="2" a="1"/>
  <c r="H210" i="2" s="1"/>
  <c r="H211" i="2" a="1"/>
  <c r="H211" i="2" s="1"/>
  <c r="H212" i="2" a="1"/>
  <c r="H212" i="2" s="1"/>
  <c r="H213" i="2" a="1"/>
  <c r="H213" i="2"/>
  <c r="H214" i="2" a="1"/>
  <c r="H214" i="2" s="1"/>
  <c r="H215" i="2" a="1"/>
  <c r="H215" i="2" s="1"/>
  <c r="H216" i="2" a="1"/>
  <c r="H216" i="2" s="1"/>
  <c r="H217" i="2" a="1"/>
  <c r="H217" i="2" s="1"/>
  <c r="H218" i="2" a="1"/>
  <c r="H218" i="2"/>
  <c r="H219" i="2" a="1"/>
  <c r="H219" i="2"/>
  <c r="H220" i="2" a="1"/>
  <c r="H220" i="2" s="1"/>
  <c r="H221" i="2" a="1"/>
  <c r="H221" i="2" s="1"/>
  <c r="H222" i="2" a="1"/>
  <c r="H222" i="2" s="1"/>
  <c r="H223" i="2" a="1"/>
  <c r="H223" i="2" s="1"/>
  <c r="H224" i="2" a="1"/>
  <c r="H224" i="2"/>
  <c r="H225" i="2" a="1"/>
  <c r="H225" i="2" s="1"/>
  <c r="H226" i="2" a="1"/>
  <c r="H226" i="2"/>
  <c r="H227" i="2" a="1"/>
  <c r="H227" i="2" s="1"/>
  <c r="H228" i="2" a="1"/>
  <c r="H228" i="2" s="1"/>
  <c r="H229" i="2" a="1"/>
  <c r="H229" i="2" s="1"/>
  <c r="H230" i="2" a="1"/>
  <c r="H230" i="2" s="1"/>
  <c r="H231" i="2" a="1"/>
  <c r="H231" i="2"/>
  <c r="H232" i="2" a="1"/>
  <c r="H232" i="2"/>
  <c r="H233" i="2" a="1"/>
  <c r="H233" i="2" s="1"/>
  <c r="H234" i="2" a="1"/>
  <c r="H234" i="2" s="1"/>
  <c r="H235" i="2" a="1"/>
  <c r="H235" i="2" s="1"/>
  <c r="H236" i="2" a="1"/>
  <c r="H236" i="2" s="1"/>
  <c r="H237" i="2" a="1"/>
  <c r="H237" i="2"/>
  <c r="H238" i="2" a="1"/>
  <c r="H238" i="2" s="1"/>
  <c r="H239" i="2" a="1"/>
  <c r="H239" i="2"/>
  <c r="H240" i="2" a="1"/>
  <c r="H240" i="2" s="1"/>
  <c r="H241" i="2" a="1"/>
  <c r="H241" i="2" s="1"/>
  <c r="H242" i="2" a="1"/>
  <c r="H242" i="2" s="1"/>
  <c r="H243" i="2" a="1"/>
  <c r="H243" i="2" s="1"/>
  <c r="H244" i="2" a="1"/>
  <c r="H244" i="2"/>
  <c r="H245" i="2" a="1"/>
  <c r="H245" i="2"/>
  <c r="H246" i="2" a="1"/>
  <c r="H246" i="2" s="1"/>
  <c r="H247" i="2" a="1"/>
  <c r="H247" i="2" s="1"/>
  <c r="H248" i="2" a="1"/>
  <c r="H248" i="2" s="1"/>
  <c r="H249" i="2" a="1"/>
  <c r="H249" i="2" s="1"/>
  <c r="H250" i="2" a="1"/>
  <c r="H250" i="2"/>
  <c r="H251" i="2" a="1"/>
  <c r="H251" i="2" s="1"/>
  <c r="H252" i="2" a="1"/>
  <c r="H252" i="2"/>
  <c r="H253" i="2" a="1"/>
  <c r="H253" i="2" s="1"/>
  <c r="H254" i="2" a="1"/>
  <c r="H254" i="2" s="1"/>
  <c r="H255" i="2" a="1"/>
  <c r="H255" i="2" s="1"/>
  <c r="H256" i="2" a="1"/>
  <c r="H256" i="2" s="1"/>
  <c r="H257" i="2" a="1"/>
  <c r="H257" i="2"/>
  <c r="H258" i="2" a="1"/>
  <c r="H258" i="2"/>
  <c r="H259" i="2" a="1"/>
  <c r="H259" i="2" s="1"/>
  <c r="H260" i="2" a="1"/>
  <c r="H260" i="2" s="1"/>
  <c r="H261" i="2" a="1"/>
  <c r="H261" i="2" s="1"/>
  <c r="H262" i="2" a="1"/>
  <c r="H262" i="2" s="1"/>
  <c r="H263" i="2" a="1"/>
  <c r="H263" i="2"/>
  <c r="H264" i="2" a="1"/>
  <c r="H264" i="2" s="1"/>
  <c r="H265" i="2" a="1"/>
  <c r="H265" i="2" s="1"/>
  <c r="H266" i="2" a="1"/>
  <c r="H266" i="2" s="1"/>
  <c r="H267" i="2" a="1"/>
  <c r="H267" i="2" s="1"/>
  <c r="H268" i="2" a="1"/>
  <c r="H268" i="2" s="1"/>
  <c r="H269" i="2" a="1"/>
  <c r="H269" i="2" s="1"/>
  <c r="H270" i="2" a="1"/>
  <c r="H270" i="2"/>
  <c r="H271" i="2" a="1"/>
  <c r="H271" i="2" s="1"/>
  <c r="H272" i="2" a="1"/>
  <c r="H272" i="2"/>
  <c r="H273" i="2" a="1"/>
  <c r="H273" i="2" s="1"/>
  <c r="H274" i="2" a="1"/>
  <c r="H274" i="2" s="1"/>
  <c r="H275" i="2" a="1"/>
  <c r="H275" i="2" s="1"/>
  <c r="H276" i="2" a="1"/>
  <c r="H276" i="2"/>
  <c r="H277" i="2" a="1"/>
  <c r="H277" i="2" s="1"/>
  <c r="H278" i="2" a="1"/>
  <c r="H278" i="2"/>
  <c r="H279" i="2" a="1"/>
  <c r="H279" i="2" s="1"/>
  <c r="H280" i="2" a="1"/>
  <c r="H280" i="2" s="1"/>
  <c r="H281" i="2" a="1"/>
  <c r="H281" i="2" s="1"/>
  <c r="H282" i="2" a="1"/>
  <c r="H282" i="2" s="1"/>
  <c r="H283" i="2" a="1"/>
  <c r="H283" i="2" s="1"/>
  <c r="H284" i="2" a="1"/>
  <c r="H284" i="2" s="1"/>
  <c r="H285" i="2" a="1"/>
  <c r="H285" i="2"/>
  <c r="H286" i="2" a="1"/>
  <c r="H286" i="2" s="1"/>
  <c r="H287" i="2" a="1"/>
  <c r="H287" i="2" s="1"/>
  <c r="H288" i="2" a="1"/>
  <c r="H288" i="2" s="1"/>
  <c r="H289" i="2" a="1"/>
  <c r="H289" i="2" s="1"/>
  <c r="H290" i="2" a="1"/>
  <c r="H290" i="2"/>
  <c r="H291" i="2" a="1"/>
  <c r="H291" i="2"/>
  <c r="H292" i="2" a="1"/>
  <c r="H292" i="2" s="1"/>
  <c r="H293" i="2" a="1"/>
  <c r="H293" i="2" s="1"/>
  <c r="H294" i="2" a="1"/>
  <c r="H294" i="2" s="1"/>
  <c r="H295" i="2" a="1"/>
  <c r="H295" i="2" s="1"/>
  <c r="H296" i="2" a="1"/>
  <c r="H296" i="2"/>
  <c r="H297" i="2" a="1"/>
  <c r="H297" i="2" s="1"/>
  <c r="H298" i="2" a="1"/>
  <c r="H298" i="2"/>
  <c r="H299" i="2" a="1"/>
  <c r="H299" i="2" s="1"/>
  <c r="H300" i="2" a="1"/>
  <c r="H300" i="2" s="1"/>
  <c r="H301" i="2" a="1"/>
  <c r="H301" i="2" s="1"/>
  <c r="H302" i="2" a="1"/>
  <c r="H302" i="2" s="1"/>
  <c r="H303" i="2" a="1"/>
  <c r="H303" i="2"/>
  <c r="H304" i="2" a="1"/>
  <c r="H304" i="2"/>
  <c r="H305" i="2" a="1"/>
  <c r="H305" i="2" s="1"/>
  <c r="H306" i="2" a="1"/>
  <c r="H306" i="2"/>
  <c r="H307" i="2" a="1"/>
  <c r="H307" i="2" s="1"/>
  <c r="H308" i="2" a="1"/>
  <c r="H308" i="2" s="1"/>
  <c r="H309" i="2" a="1"/>
  <c r="H309" i="2"/>
  <c r="H310" i="2" a="1"/>
  <c r="H310" i="2" s="1"/>
  <c r="H311" i="2" a="1"/>
  <c r="H311" i="2"/>
  <c r="H312" i="2" a="1"/>
  <c r="H312" i="2" s="1"/>
  <c r="H313" i="2" a="1"/>
  <c r="H313" i="2" s="1"/>
  <c r="H314" i="2" a="1"/>
  <c r="H314" i="2" s="1"/>
  <c r="H315" i="2" a="1"/>
  <c r="H315" i="2" s="1"/>
  <c r="H316" i="2" a="1"/>
  <c r="H316" i="2"/>
  <c r="H317" i="2" a="1"/>
  <c r="H317" i="2"/>
  <c r="H318" i="2" a="1"/>
  <c r="H318" i="2" s="1"/>
  <c r="H319" i="2" a="1"/>
  <c r="H319" i="2" s="1"/>
  <c r="H320" i="2" a="1"/>
  <c r="H320" i="2" s="1"/>
  <c r="H321" i="2" a="1"/>
  <c r="H321" i="2" s="1"/>
  <c r="H322" i="2" a="1"/>
  <c r="H322" i="2"/>
  <c r="H323" i="2" a="1"/>
  <c r="H323" i="2" s="1"/>
  <c r="H324" i="2" a="1"/>
  <c r="H324" i="2"/>
  <c r="H325" i="2" a="1"/>
  <c r="H325" i="2" s="1"/>
  <c r="H326" i="2" a="1"/>
  <c r="H326" i="2"/>
  <c r="H327" i="2" a="1"/>
  <c r="H327" i="2" s="1"/>
  <c r="H328" i="2" a="1"/>
  <c r="H328" i="2" s="1"/>
  <c r="H329" i="2" a="1"/>
  <c r="H329" i="2"/>
  <c r="H330" i="2" a="1"/>
  <c r="H330" i="2"/>
  <c r="H331" i="2" a="1"/>
  <c r="H331" i="2" s="1"/>
  <c r="H332" i="2" a="1"/>
  <c r="H332" i="2" s="1"/>
  <c r="H333" i="2" a="1"/>
  <c r="H333" i="2" s="1"/>
  <c r="H334" i="2" a="1"/>
  <c r="H334" i="2" s="1"/>
  <c r="H335" i="2" a="1"/>
  <c r="H335" i="2"/>
  <c r="H336" i="2" a="1"/>
  <c r="H336" i="2" s="1"/>
  <c r="H337" i="2" a="1"/>
  <c r="H337" i="2" s="1"/>
  <c r="H338" i="2" a="1"/>
  <c r="H338" i="2" s="1"/>
  <c r="H339" i="2" a="1"/>
  <c r="H339" i="2"/>
  <c r="H340" i="2" a="1"/>
  <c r="H340" i="2" s="1"/>
  <c r="H341" i="2" a="1"/>
  <c r="H341" i="2" s="1"/>
  <c r="H342" i="2" a="1"/>
  <c r="H342" i="2"/>
  <c r="H343" i="2" a="1"/>
  <c r="H343" i="2" s="1"/>
  <c r="H344" i="2" a="1"/>
  <c r="H344" i="2"/>
  <c r="H345" i="2" a="1"/>
  <c r="H345" i="2" s="1"/>
  <c r="H346" i="2" a="1"/>
  <c r="H346" i="2" s="1"/>
  <c r="H347" i="2" a="1"/>
  <c r="H347" i="2" s="1"/>
  <c r="H348" i="2" a="1"/>
  <c r="H348" i="2"/>
  <c r="H349" i="2" a="1"/>
  <c r="H349" i="2" s="1"/>
  <c r="H350" i="2" a="1"/>
  <c r="H350" i="2" s="1"/>
  <c r="H351" i="2" a="1"/>
  <c r="H351" i="2" s="1"/>
  <c r="H352" i="2" a="1"/>
  <c r="H352" i="2"/>
  <c r="H353" i="2" a="1"/>
  <c r="H353" i="2" s="1"/>
  <c r="H354" i="2" a="1"/>
  <c r="H354" i="2" s="1"/>
  <c r="H355" i="2" a="1"/>
  <c r="H355" i="2" s="1"/>
  <c r="H356" i="2" a="1"/>
  <c r="H356" i="2" s="1"/>
  <c r="H357" i="2" a="1"/>
  <c r="H357" i="2"/>
  <c r="H358" i="2" a="1"/>
  <c r="H358" i="2" s="1"/>
  <c r="H359" i="2" a="1"/>
  <c r="H359" i="2" s="1"/>
  <c r="H360" i="2" a="1"/>
  <c r="H360" i="2" s="1"/>
  <c r="H361" i="2" a="1"/>
  <c r="H361" i="2" s="1"/>
  <c r="H362" i="2" a="1"/>
  <c r="H362" i="2"/>
  <c r="H363" i="2" a="1"/>
  <c r="H363" i="2" s="1"/>
  <c r="H364" i="2" a="1"/>
  <c r="H364" i="2" s="1"/>
  <c r="H365" i="2" a="1"/>
  <c r="H365" i="2"/>
  <c r="H366" i="2" a="1"/>
  <c r="H366" i="2" s="1"/>
  <c r="H367" i="2" a="1"/>
  <c r="H367" i="2" s="1"/>
  <c r="H368" i="2" a="1"/>
  <c r="H368" i="2"/>
  <c r="H369" i="2" a="1"/>
  <c r="H369" i="2" s="1"/>
  <c r="H370" i="2" a="1"/>
  <c r="H370" i="2"/>
  <c r="H371" i="2" a="1"/>
  <c r="H371" i="2" s="1"/>
  <c r="H372" i="2" a="1"/>
  <c r="H372" i="2" s="1"/>
  <c r="H373" i="2" a="1"/>
  <c r="H373" i="2" s="1"/>
  <c r="H374" i="2" a="1"/>
  <c r="H374" i="2" s="1"/>
  <c r="H375" i="2" a="1"/>
  <c r="H375" i="2"/>
  <c r="H376" i="2" a="1"/>
  <c r="H376" i="2" s="1"/>
  <c r="H377" i="2" a="1"/>
  <c r="H377" i="2" s="1"/>
  <c r="H378" i="2" a="1"/>
  <c r="H378" i="2"/>
  <c r="H379" i="2" a="1"/>
  <c r="H379" i="2" s="1"/>
  <c r="H380" i="2" a="1"/>
  <c r="H380" i="2" s="1"/>
  <c r="H381" i="2" a="1"/>
  <c r="H381" i="2"/>
  <c r="H382" i="2" a="1"/>
  <c r="H382" i="2" s="1"/>
  <c r="H383" i="2" a="1"/>
  <c r="H383" i="2"/>
  <c r="H384" i="2" a="1"/>
  <c r="H384" i="2" s="1"/>
  <c r="H385" i="2" a="1"/>
  <c r="H385" i="2" s="1"/>
  <c r="H386" i="2" a="1"/>
  <c r="H386" i="2" s="1"/>
  <c r="H387" i="2" a="1"/>
  <c r="H387" i="2" s="1"/>
  <c r="H388" i="2" a="1"/>
  <c r="H388" i="2"/>
  <c r="H389" i="2" a="1"/>
  <c r="H389" i="2"/>
  <c r="H390" i="2" a="1"/>
  <c r="H390" i="2" s="1"/>
  <c r="H391" i="2" a="1"/>
  <c r="H391" i="2" s="1"/>
  <c r="H392" i="2" a="1"/>
  <c r="H392" i="2" s="1"/>
  <c r="H393" i="2" a="1"/>
  <c r="H393" i="2" s="1"/>
  <c r="H394" i="2" a="1"/>
  <c r="H394" i="2"/>
  <c r="H395" i="2" a="1"/>
  <c r="H395" i="2" s="1"/>
  <c r="H396" i="2" a="1"/>
  <c r="H396" i="2"/>
  <c r="H397" i="2" a="1"/>
  <c r="H397" i="2" s="1"/>
  <c r="H398" i="2" a="1"/>
  <c r="H398" i="2"/>
  <c r="H399" i="2" a="1"/>
  <c r="H399" i="2" s="1"/>
  <c r="H400" i="2" a="1"/>
  <c r="H400" i="2" s="1"/>
  <c r="H401" i="2" a="1"/>
  <c r="H401" i="2"/>
  <c r="H402" i="2" a="1"/>
  <c r="H402" i="2"/>
  <c r="H403" i="2" a="1"/>
  <c r="H403" i="2" s="1"/>
  <c r="H404" i="2" a="1"/>
  <c r="H404" i="2" s="1"/>
  <c r="H405" i="2" a="1"/>
  <c r="H405" i="2" s="1"/>
  <c r="H406" i="2" a="1"/>
  <c r="H406" i="2" s="1"/>
  <c r="H407" i="2" a="1"/>
  <c r="H407" i="2"/>
  <c r="H408" i="2" a="1"/>
  <c r="H408" i="2" s="1"/>
  <c r="H409" i="2" a="1"/>
  <c r="H409" i="2" s="1"/>
  <c r="H410" i="2" a="1"/>
  <c r="H410" i="2" s="1"/>
  <c r="H411" i="2" a="1"/>
  <c r="H411" i="2"/>
  <c r="H412" i="2" a="1"/>
  <c r="H412" i="2" s="1"/>
  <c r="H413" i="2" a="1"/>
  <c r="H413" i="2" s="1"/>
  <c r="H414" i="2" a="1"/>
  <c r="H414" i="2"/>
  <c r="H415" i="2" a="1"/>
  <c r="H415" i="2" s="1"/>
  <c r="H416" i="2" a="1"/>
  <c r="H416" i="2"/>
  <c r="H417" i="2" a="1"/>
  <c r="H417" i="2"/>
  <c r="H418" i="2" a="1"/>
  <c r="H418" i="2" s="1"/>
  <c r="H419" i="2" a="1"/>
  <c r="H419" i="2" s="1"/>
  <c r="H420" i="2" a="1"/>
  <c r="H420" i="2"/>
  <c r="H421" i="2" a="1"/>
  <c r="H421" i="2" s="1"/>
  <c r="H422" i="2" a="1"/>
  <c r="H422" i="2"/>
  <c r="H423" i="2" a="1"/>
  <c r="H423" i="2"/>
  <c r="H424" i="2" a="1"/>
  <c r="H424" i="2" s="1"/>
  <c r="H425" i="2" a="1"/>
  <c r="H425" i="2" s="1"/>
  <c r="H426" i="2" a="1"/>
  <c r="H426" i="2" s="1"/>
  <c r="H427" i="2" a="1"/>
  <c r="H427" i="2" s="1"/>
  <c r="H428" i="2" a="1"/>
  <c r="H428" i="2" s="1"/>
  <c r="H429" i="2" a="1"/>
  <c r="H429" i="2"/>
  <c r="H430" i="2" a="1"/>
  <c r="H430" i="2" s="1"/>
  <c r="H431" i="2" a="1"/>
  <c r="H431" i="2"/>
  <c r="H432" i="2" a="1"/>
  <c r="H432" i="2" s="1"/>
  <c r="H433" i="2" a="1"/>
  <c r="H433" i="2" s="1"/>
  <c r="H434" i="2" a="1"/>
  <c r="H434" i="2"/>
  <c r="H435" i="2" a="1"/>
  <c r="H435" i="2"/>
  <c r="H436" i="2" a="1"/>
  <c r="H436" i="2"/>
  <c r="H437" i="2" a="1"/>
  <c r="H437" i="2" s="1"/>
  <c r="H438" i="2" a="1"/>
  <c r="H438" i="2" s="1"/>
  <c r="H439" i="2" a="1"/>
  <c r="H439" i="2" s="1"/>
  <c r="H440" i="2" a="1"/>
  <c r="H440" i="2"/>
  <c r="H441" i="2" a="1"/>
  <c r="H441" i="2" s="1"/>
  <c r="H442" i="2" a="1"/>
  <c r="H442" i="2" s="1"/>
  <c r="H443" i="2" a="1"/>
  <c r="H443" i="2"/>
  <c r="H444" i="2" a="1"/>
  <c r="H444" i="2" s="1"/>
  <c r="H445" i="2" a="1"/>
  <c r="H445" i="2" s="1"/>
  <c r="H446" i="2" a="1"/>
  <c r="H446" i="2" s="1"/>
  <c r="H447" i="2" a="1"/>
  <c r="H447" i="2" s="1"/>
  <c r="H448" i="2" a="1"/>
  <c r="H448" i="2" s="1"/>
  <c r="H449" i="2" a="1"/>
  <c r="H449" i="2" s="1"/>
  <c r="H450" i="2" a="1"/>
  <c r="H450" i="2"/>
  <c r="H451" i="2" a="1"/>
  <c r="H451" i="2" s="1"/>
  <c r="H452" i="2" a="1"/>
  <c r="H452" i="2" s="1"/>
  <c r="H453" i="2" a="1"/>
  <c r="H453" i="2"/>
  <c r="H454" i="2" a="1"/>
  <c r="H454" i="2" s="1"/>
  <c r="H455" i="2" a="1"/>
  <c r="H455" i="2" s="1"/>
  <c r="H456" i="2" a="1"/>
  <c r="H456" i="2" s="1"/>
  <c r="H457" i="2" a="1"/>
  <c r="H457" i="2" s="1"/>
  <c r="H458" i="2" a="1"/>
  <c r="H458" i="2" s="1"/>
  <c r="H459" i="2" a="1"/>
  <c r="H459" i="2"/>
  <c r="H460" i="2" a="1"/>
  <c r="H460" i="2" s="1"/>
  <c r="H461" i="2" a="1"/>
  <c r="H461" i="2" s="1"/>
  <c r="H462" i="2" a="1"/>
  <c r="H462" i="2" s="1"/>
  <c r="H463" i="2" a="1"/>
  <c r="H463" i="2" s="1"/>
  <c r="H464" i="2" a="1"/>
  <c r="H464" i="2"/>
  <c r="H465" i="2" a="1"/>
  <c r="H465" i="2" s="1"/>
  <c r="H466" i="2" a="1"/>
  <c r="H466" i="2"/>
  <c r="H467" i="2" a="1"/>
  <c r="H467" i="2" s="1"/>
  <c r="H468" i="2" a="1"/>
  <c r="H468" i="2" s="1"/>
  <c r="H469" i="2" a="1"/>
  <c r="H469" i="2" s="1"/>
  <c r="H470" i="2" a="1"/>
  <c r="H470" i="2"/>
  <c r="H471" i="2" a="1"/>
  <c r="H471" i="2" s="1"/>
  <c r="H472" i="2" a="1"/>
  <c r="H472" i="2"/>
  <c r="H473" i="2" a="1"/>
  <c r="H473" i="2" s="1"/>
  <c r="H474" i="2" a="1"/>
  <c r="H474" i="2" s="1"/>
  <c r="H475" i="2" a="1"/>
  <c r="H475" i="2" s="1"/>
  <c r="H476" i="2" a="1"/>
  <c r="H476" i="2"/>
  <c r="H477" i="2" a="1"/>
  <c r="H477" i="2" s="1"/>
  <c r="H478" i="2" a="1"/>
  <c r="H478" i="2" s="1"/>
  <c r="H479" i="2" a="1"/>
  <c r="H479" i="2"/>
  <c r="H480" i="2" a="1"/>
  <c r="H480" i="2" s="1"/>
  <c r="H481" i="2" a="1"/>
  <c r="H481" i="2" s="1"/>
  <c r="H482" i="2" a="1"/>
  <c r="H482" i="2"/>
  <c r="H483" i="2" a="1"/>
  <c r="H483" i="2"/>
  <c r="H484" i="2" a="1"/>
  <c r="H484" i="2" s="1"/>
  <c r="H485" i="2" a="1"/>
  <c r="H485" i="2"/>
  <c r="H486" i="2" a="1"/>
  <c r="H486" i="2"/>
  <c r="H487" i="2" a="1"/>
  <c r="H487" i="2" s="1"/>
  <c r="H488" i="2" a="1"/>
  <c r="H488" i="2"/>
  <c r="H489" i="2" a="1"/>
  <c r="H489" i="2"/>
  <c r="H490" i="2" a="1"/>
  <c r="H490" i="2"/>
  <c r="H491" i="2" a="1"/>
  <c r="H491" i="2" s="1"/>
  <c r="H492" i="2" a="1"/>
  <c r="H492" i="2"/>
  <c r="H493" i="2" a="1"/>
  <c r="H493" i="2" s="1"/>
  <c r="H494" i="2" a="1"/>
  <c r="H494" i="2"/>
  <c r="H495" i="2" a="1"/>
  <c r="H495" i="2"/>
  <c r="H496" i="2" a="1"/>
  <c r="H496" i="2"/>
  <c r="H497" i="2" a="1"/>
  <c r="H497" i="2" s="1"/>
  <c r="H498" i="2" a="1"/>
  <c r="H498" i="2"/>
  <c r="H499" i="2" a="1"/>
  <c r="H499" i="2" s="1"/>
  <c r="H500" i="2" a="1"/>
  <c r="H500" i="2"/>
  <c r="H501" i="2" a="1"/>
  <c r="H501" i="2"/>
  <c r="H502" i="2" a="1"/>
  <c r="H502" i="2"/>
  <c r="H503" i="2" a="1"/>
  <c r="H503" i="2" s="1"/>
  <c r="H504" i="2" a="1"/>
  <c r="H504" i="2" s="1"/>
  <c r="H505" i="2" a="1"/>
  <c r="H505" i="2" s="1"/>
  <c r="H506" i="2" a="1"/>
  <c r="H506" i="2" s="1"/>
  <c r="H507" i="2" a="1"/>
  <c r="H507" i="2"/>
  <c r="H508" i="2" a="1"/>
  <c r="H508" i="2" s="1"/>
  <c r="H509" i="2" a="1"/>
  <c r="H509" i="2"/>
  <c r="H510" i="2" a="1"/>
  <c r="H510" i="2" s="1"/>
  <c r="H511" i="2" a="1"/>
  <c r="H511" i="2" s="1"/>
  <c r="H512" i="2" a="1"/>
  <c r="H512" i="2"/>
  <c r="H513" i="2" a="1"/>
  <c r="H513" i="2" s="1"/>
  <c r="H514" i="2" a="1"/>
  <c r="H514" i="2"/>
  <c r="H515" i="2" a="1"/>
  <c r="H515" i="2" s="1"/>
  <c r="H516" i="2" a="1"/>
  <c r="H516" i="2"/>
  <c r="H517" i="2" a="1"/>
  <c r="H517" i="2" s="1"/>
  <c r="H518" i="2" a="1"/>
  <c r="H518" i="2"/>
  <c r="H519" i="2" a="1"/>
  <c r="H519" i="2" s="1"/>
  <c r="H520" i="2" a="1"/>
  <c r="H520" i="2" s="1"/>
  <c r="H521" i="2" a="1"/>
  <c r="H521" i="2"/>
  <c r="H522" i="2" a="1"/>
  <c r="H522" i="2" s="1"/>
  <c r="H523" i="2" a="1"/>
  <c r="H523" i="2" s="1"/>
  <c r="H524" i="2" a="1"/>
  <c r="H524" i="2"/>
  <c r="H525" i="2" a="1"/>
  <c r="H525" i="2"/>
  <c r="H526" i="2" a="1"/>
  <c r="H526" i="2" s="1"/>
  <c r="H527" i="2" a="1"/>
  <c r="H527" i="2"/>
  <c r="H528" i="2" a="1"/>
  <c r="H528" i="2" s="1"/>
  <c r="H529" i="2" a="1"/>
  <c r="H529" i="2" s="1"/>
  <c r="H530" i="2" a="1"/>
  <c r="H530" i="2"/>
  <c r="H531" i="2" a="1"/>
  <c r="H531" i="2" s="1"/>
  <c r="H532" i="2" a="1"/>
  <c r="H532" i="2" s="1"/>
  <c r="H533" i="2" a="1"/>
  <c r="H533" i="2" s="1"/>
  <c r="H534" i="2" a="1"/>
  <c r="H534" i="2"/>
  <c r="H535" i="2" a="1"/>
  <c r="H535" i="2" s="1"/>
  <c r="H536" i="2" a="1"/>
  <c r="H536" i="2"/>
  <c r="H537" i="2" a="1"/>
  <c r="H537" i="2" s="1"/>
  <c r="H538" i="2" a="1"/>
  <c r="H538" i="2"/>
  <c r="H539" i="2" a="1"/>
  <c r="H539" i="2" s="1"/>
  <c r="H540" i="2" a="1"/>
  <c r="H540" i="2"/>
  <c r="H541" i="2" a="1"/>
  <c r="H541" i="2" s="1"/>
  <c r="H542" i="2" a="1"/>
  <c r="H542" i="2" s="1"/>
  <c r="H543" i="2" a="1"/>
  <c r="H543" i="2"/>
  <c r="H544" i="2" a="1"/>
  <c r="H544" i="2" s="1"/>
  <c r="H545" i="2" a="1"/>
  <c r="H545" i="2" s="1"/>
  <c r="H546" i="2" a="1"/>
  <c r="H546" i="2" s="1"/>
  <c r="H547" i="2" a="1"/>
  <c r="H547" i="2" s="1"/>
  <c r="H548" i="2" a="1"/>
  <c r="H548" i="2" s="1"/>
  <c r="H549" i="2" a="1"/>
  <c r="H549" i="2"/>
  <c r="H550" i="2" a="1"/>
  <c r="H550" i="2" s="1"/>
  <c r="H551" i="2" a="1"/>
  <c r="H551" i="2"/>
  <c r="H552" i="2" a="1"/>
  <c r="H552" i="2" s="1"/>
  <c r="H553" i="2" a="1"/>
  <c r="H553" i="2" s="1"/>
  <c r="H554" i="2" a="1"/>
  <c r="H554" i="2"/>
  <c r="H555" i="2" a="1"/>
  <c r="H555" i="2" s="1"/>
  <c r="H556" i="2" a="1"/>
  <c r="H556" i="2"/>
  <c r="H557" i="2" a="1"/>
  <c r="H557" i="2" s="1"/>
  <c r="H558" i="2" a="1"/>
  <c r="H558" i="2" s="1"/>
  <c r="H559" i="2" a="1"/>
  <c r="H559" i="2" s="1"/>
  <c r="H560" i="2" a="1"/>
  <c r="H560" i="2"/>
  <c r="H561" i="2" a="1"/>
  <c r="H561" i="2" s="1"/>
  <c r="H562" i="2" a="1"/>
  <c r="H562" i="2"/>
  <c r="H563" i="2" a="1"/>
  <c r="H563" i="2" s="1"/>
  <c r="H564" i="2" a="1"/>
  <c r="H564" i="2"/>
  <c r="H565" i="2" a="1"/>
  <c r="H565" i="2" s="1"/>
  <c r="H566" i="2" a="1"/>
  <c r="H566" i="2" s="1"/>
  <c r="H567" i="2" a="1"/>
  <c r="H567" i="2"/>
  <c r="H568" i="2" a="1"/>
  <c r="H568" i="2" s="1"/>
  <c r="H569" i="2" a="1"/>
  <c r="H569" i="2"/>
  <c r="H570" i="2" a="1"/>
  <c r="H570" i="2" s="1"/>
  <c r="H571" i="2" a="1"/>
  <c r="H571" i="2" s="1"/>
  <c r="H572" i="2" a="1"/>
  <c r="H572" i="2" s="1"/>
  <c r="H573" i="2" a="1"/>
  <c r="H573" i="2"/>
  <c r="H574" i="2" a="1"/>
  <c r="H574" i="2" s="1"/>
  <c r="H575" i="2" a="1"/>
  <c r="H575" i="2"/>
  <c r="H576" i="2" a="1"/>
  <c r="H576" i="2" s="1"/>
  <c r="H577" i="2" a="1"/>
  <c r="H577" i="2" s="1"/>
  <c r="H578" i="2" a="1"/>
  <c r="H578" i="2" s="1"/>
  <c r="H579" i="2" a="1"/>
  <c r="H579" i="2" s="1"/>
  <c r="H580" i="2" a="1"/>
  <c r="H580" i="2"/>
  <c r="H581" i="2" a="1"/>
  <c r="H581" i="2" s="1"/>
  <c r="H582" i="2" a="1"/>
  <c r="H582" i="2"/>
  <c r="H583" i="2" a="1"/>
  <c r="H583" i="2" s="1"/>
  <c r="H584" i="2" a="1"/>
  <c r="H584" i="2"/>
  <c r="H585" i="2" a="1"/>
  <c r="H585" i="2" s="1"/>
  <c r="H586" i="2" a="1"/>
  <c r="H586" i="2"/>
  <c r="H587" i="2" a="1"/>
  <c r="H587" i="2" s="1"/>
  <c r="H588" i="2" a="1"/>
  <c r="H588" i="2"/>
  <c r="H589" i="2" a="1"/>
  <c r="H589" i="2" s="1"/>
  <c r="H590" i="2" a="1"/>
  <c r="H590" i="2" s="1"/>
  <c r="H591" i="2" a="1"/>
  <c r="H591" i="2" s="1"/>
  <c r="H592" i="2" a="1"/>
  <c r="H592" i="2" s="1"/>
  <c r="H593" i="2" a="1"/>
  <c r="H593" i="2"/>
  <c r="H594" i="2" a="1"/>
  <c r="H594" i="2" s="1"/>
  <c r="H595" i="2" a="1"/>
  <c r="H595" i="2" s="1"/>
  <c r="H596" i="2" a="1"/>
  <c r="H596" i="2" s="1"/>
  <c r="H597" i="2" a="1"/>
  <c r="H597" i="2"/>
  <c r="H598" i="2" a="1"/>
  <c r="H598" i="2" s="1"/>
  <c r="H599" i="2" a="1"/>
  <c r="H599" i="2"/>
  <c r="H600" i="2" a="1"/>
  <c r="H600" i="2" s="1"/>
  <c r="H601" i="2" a="1"/>
  <c r="H601" i="2" s="1"/>
  <c r="H602" i="2" a="1"/>
  <c r="H602" i="2"/>
  <c r="H603" i="2" a="1"/>
  <c r="H603" i="2" s="1"/>
  <c r="H604" i="2" a="1"/>
  <c r="H604" i="2" s="1"/>
  <c r="H605" i="2" a="1"/>
  <c r="H605" i="2" s="1"/>
  <c r="H606" i="2" a="1"/>
  <c r="H606" i="2"/>
  <c r="H607" i="2" a="1"/>
  <c r="H607" i="2" s="1"/>
  <c r="H608" i="2" a="1"/>
  <c r="H608" i="2"/>
  <c r="H609" i="2" a="1"/>
  <c r="H609" i="2" s="1"/>
  <c r="H610" i="2" a="1"/>
  <c r="H610" i="2"/>
  <c r="H611" i="2" a="1"/>
  <c r="H611" i="2" s="1"/>
  <c r="H612" i="2" a="1"/>
  <c r="H612" i="2"/>
  <c r="H613" i="2" a="1"/>
  <c r="H613" i="2" s="1"/>
  <c r="H614" i="2" a="1"/>
  <c r="H614" i="2" s="1"/>
  <c r="H615" i="2" a="1"/>
  <c r="H615" i="2"/>
  <c r="H616" i="2" a="1"/>
  <c r="H616" i="2" s="1"/>
  <c r="H617" i="2" a="1"/>
  <c r="H617" i="2" s="1"/>
  <c r="H618" i="2" a="1"/>
  <c r="H618" i="2" s="1"/>
  <c r="H619" i="2" a="1"/>
  <c r="H619" i="2" s="1"/>
  <c r="H620" i="2" a="1"/>
  <c r="H620" i="2" s="1"/>
  <c r="H621" i="2" a="1"/>
  <c r="H621" i="2"/>
  <c r="H622" i="2" a="1"/>
  <c r="H622" i="2" s="1"/>
  <c r="H623" i="2" a="1"/>
  <c r="H623" i="2"/>
  <c r="H624" i="2" a="1"/>
  <c r="H624" i="2" s="1"/>
  <c r="H625" i="2" a="1"/>
  <c r="H625" i="2" s="1"/>
  <c r="H626" i="2" a="1"/>
  <c r="H626" i="2"/>
  <c r="H627" i="2" a="1"/>
  <c r="H627" i="2" s="1"/>
  <c r="H628" i="2" a="1"/>
  <c r="H628" i="2"/>
  <c r="H629" i="2" a="1"/>
  <c r="H629" i="2" s="1"/>
  <c r="H630" i="2" a="1"/>
  <c r="H630" i="2" s="1"/>
  <c r="H631" i="2" a="1"/>
  <c r="H631" i="2" s="1"/>
  <c r="H632" i="2" a="1"/>
  <c r="H632" i="2"/>
  <c r="H633" i="2" a="1"/>
  <c r="H633" i="2" s="1"/>
  <c r="H634" i="2" a="1"/>
  <c r="H634" i="2"/>
  <c r="H635" i="2" a="1"/>
  <c r="H635" i="2" s="1"/>
  <c r="H636" i="2" a="1"/>
  <c r="H636" i="2"/>
  <c r="H637" i="2" a="1"/>
  <c r="H637" i="2" s="1"/>
  <c r="H638" i="2" a="1"/>
  <c r="H638" i="2" s="1"/>
  <c r="H639" i="2" a="1"/>
  <c r="H639" i="2"/>
  <c r="H640" i="2" a="1"/>
  <c r="H640" i="2" s="1"/>
  <c r="H641" i="2" a="1"/>
  <c r="H641" i="2"/>
  <c r="H642" i="2" a="1"/>
  <c r="H642" i="2" s="1"/>
  <c r="H643" i="2" a="1"/>
  <c r="H643" i="2" s="1"/>
  <c r="H644" i="2" a="1"/>
  <c r="H644" i="2" s="1"/>
  <c r="H645" i="2" a="1"/>
  <c r="H645" i="2"/>
  <c r="H646" i="2" a="1"/>
  <c r="H646" i="2" s="1"/>
  <c r="H647" i="2" a="1"/>
  <c r="H647" i="2"/>
  <c r="H648" i="2" a="1"/>
  <c r="H648" i="2" s="1"/>
  <c r="H649" i="2" a="1"/>
  <c r="H649" i="2" s="1"/>
  <c r="H650" i="2" a="1"/>
  <c r="H650" i="2" s="1"/>
  <c r="H651" i="2" a="1"/>
  <c r="H651" i="2" s="1"/>
  <c r="H652" i="2" a="1"/>
  <c r="H652" i="2"/>
  <c r="H653" i="2" a="1"/>
  <c r="H653" i="2" s="1"/>
  <c r="H654" i="2" a="1"/>
  <c r="H654" i="2"/>
  <c r="H655" i="2" a="1"/>
  <c r="H655" i="2" s="1"/>
  <c r="H656" i="2" a="1"/>
  <c r="H656" i="2"/>
  <c r="H657" i="2" a="1"/>
  <c r="H657" i="2" s="1"/>
  <c r="H658" i="2" a="1"/>
  <c r="H658" i="2"/>
  <c r="H659" i="2" a="1"/>
  <c r="H659" i="2" s="1"/>
  <c r="H660" i="2" a="1"/>
  <c r="H660" i="2"/>
  <c r="H661" i="2" a="1"/>
  <c r="H661" i="2" s="1"/>
  <c r="H662" i="2" a="1"/>
  <c r="H662" i="2" s="1"/>
  <c r="H663" i="2" a="1"/>
  <c r="H663" i="2" s="1"/>
  <c r="H664" i="2" a="1"/>
  <c r="H664" i="2" s="1"/>
  <c r="H665" i="2" a="1"/>
  <c r="H665" i="2"/>
  <c r="H666" i="2" a="1"/>
  <c r="H666" i="2" s="1"/>
  <c r="H667" i="2" a="1"/>
  <c r="H667" i="2" s="1"/>
  <c r="H668" i="2" a="1"/>
  <c r="H668" i="2" s="1"/>
  <c r="H669" i="2" a="1"/>
  <c r="H669" i="2"/>
  <c r="H670" i="2" a="1"/>
  <c r="H670" i="2" s="1"/>
  <c r="H671" i="2" a="1"/>
  <c r="H671" i="2"/>
  <c r="H672" i="2" a="1"/>
  <c r="H672" i="2" s="1"/>
  <c r="H673" i="2" a="1"/>
  <c r="H673" i="2" s="1"/>
  <c r="H674" i="2" a="1"/>
  <c r="H674" i="2"/>
  <c r="H675" i="2" a="1"/>
  <c r="H675" i="2" s="1"/>
  <c r="H676" i="2" a="1"/>
  <c r="H676" i="2" s="1"/>
  <c r="H677" i="2" a="1"/>
  <c r="H677" i="2" s="1"/>
  <c r="H678" i="2" a="1"/>
  <c r="H678" i="2"/>
  <c r="H679" i="2" a="1"/>
  <c r="H679" i="2" s="1"/>
  <c r="H680" i="2" a="1"/>
  <c r="H680" i="2"/>
  <c r="H681" i="2" a="1"/>
  <c r="H681" i="2" s="1"/>
  <c r="H682" i="2" a="1"/>
  <c r="H682" i="2"/>
  <c r="H683" i="2" a="1"/>
  <c r="H683" i="2" s="1"/>
  <c r="H684" i="2" a="1"/>
  <c r="H684" i="2"/>
  <c r="H685" i="2" a="1"/>
  <c r="H685" i="2" s="1"/>
  <c r="H686" i="2" a="1"/>
  <c r="H686" i="2" s="1"/>
  <c r="H687" i="2" a="1"/>
  <c r="H687" i="2"/>
  <c r="H688" i="2" a="1"/>
  <c r="H688" i="2" s="1"/>
  <c r="H689" i="2" a="1"/>
  <c r="H689" i="2" s="1"/>
  <c r="H690" i="2" a="1"/>
  <c r="H690" i="2" s="1"/>
  <c r="H691" i="2" a="1"/>
  <c r="H691" i="2" s="1"/>
  <c r="H692" i="2" a="1"/>
  <c r="H692" i="2" s="1"/>
  <c r="H693" i="2" a="1"/>
  <c r="H693" i="2"/>
  <c r="H694" i="2" a="1"/>
  <c r="H694" i="2" s="1"/>
  <c r="H695" i="2" a="1"/>
  <c r="H695" i="2"/>
  <c r="H696" i="2" a="1"/>
  <c r="H696" i="2" s="1"/>
  <c r="H697" i="2" a="1"/>
  <c r="H697" i="2" s="1"/>
  <c r="H698" i="2" a="1"/>
  <c r="H698" i="2"/>
  <c r="H699" i="2" a="1"/>
  <c r="H699" i="2" s="1"/>
  <c r="H700" i="2" a="1"/>
  <c r="H700" i="2"/>
  <c r="H701" i="2" a="1"/>
  <c r="H701" i="2" s="1"/>
  <c r="H702" i="2" a="1"/>
  <c r="H702" i="2" s="1"/>
  <c r="H703" i="2" a="1"/>
  <c r="H703" i="2" s="1"/>
  <c r="H704" i="2" a="1"/>
  <c r="H704" i="2"/>
  <c r="H705" i="2" a="1"/>
  <c r="H705" i="2" s="1"/>
  <c r="H706" i="2" a="1"/>
  <c r="H706" i="2"/>
  <c r="H707" i="2" a="1"/>
  <c r="H707" i="2" s="1"/>
  <c r="H708" i="2" a="1"/>
  <c r="H708" i="2"/>
  <c r="H709" i="2" a="1"/>
  <c r="H709" i="2" s="1"/>
  <c r="H710" i="2" a="1"/>
  <c r="H710" i="2" s="1"/>
  <c r="H711" i="2" a="1"/>
  <c r="H711" i="2"/>
  <c r="H712" i="2" a="1"/>
  <c r="H712" i="2" s="1"/>
  <c r="H713" i="2" a="1"/>
  <c r="H713" i="2"/>
  <c r="H714" i="2" a="1"/>
  <c r="H714" i="2" s="1"/>
  <c r="H715" i="2" a="1"/>
  <c r="H715" i="2" s="1"/>
  <c r="H716" i="2" a="1"/>
  <c r="H716" i="2" s="1"/>
  <c r="H717" i="2" a="1"/>
  <c r="H717" i="2"/>
  <c r="H718" i="2" a="1"/>
  <c r="H718" i="2" s="1"/>
  <c r="H719" i="2" a="1"/>
  <c r="H719" i="2"/>
  <c r="H720" i="2" a="1"/>
  <c r="H720" i="2" s="1"/>
  <c r="H721" i="2" a="1"/>
  <c r="H721" i="2" s="1"/>
  <c r="H722" i="2" a="1"/>
  <c r="H722" i="2" s="1"/>
  <c r="H723" i="2" a="1"/>
  <c r="H723" i="2" s="1"/>
  <c r="H724" i="2" a="1"/>
  <c r="H724" i="2"/>
  <c r="H725" i="2" a="1"/>
  <c r="H725" i="2" s="1"/>
  <c r="H726" i="2" a="1"/>
  <c r="H726" i="2"/>
  <c r="H727" i="2" a="1"/>
  <c r="H727" i="2" s="1"/>
  <c r="H728" i="2" a="1"/>
  <c r="H728" i="2"/>
  <c r="H729" i="2" a="1"/>
  <c r="H729" i="2" s="1"/>
  <c r="H730" i="2" a="1"/>
  <c r="H730" i="2"/>
  <c r="H731" i="2" a="1"/>
  <c r="H731" i="2" s="1"/>
  <c r="H732" i="2" a="1"/>
  <c r="H732" i="2"/>
  <c r="H733" i="2" a="1"/>
  <c r="H733" i="2" s="1"/>
  <c r="H734" i="2" a="1"/>
  <c r="H734" i="2" s="1"/>
  <c r="H735" i="2" a="1"/>
  <c r="H735" i="2" s="1"/>
  <c r="H736" i="2" a="1"/>
  <c r="H736" i="2" s="1"/>
  <c r="H737" i="2" a="1"/>
  <c r="H737" i="2"/>
  <c r="H738" i="2" a="1"/>
  <c r="H738" i="2" s="1"/>
  <c r="H739" i="2" a="1"/>
  <c r="H739" i="2" s="1"/>
  <c r="H740" i="2" a="1"/>
  <c r="H740" i="2" s="1"/>
  <c r="H741" i="2" a="1"/>
  <c r="H741" i="2"/>
  <c r="H742" i="2" a="1"/>
  <c r="H742" i="2" s="1"/>
  <c r="H743" i="2" a="1"/>
  <c r="H743" i="2"/>
  <c r="H744" i="2" a="1"/>
  <c r="H744" i="2" s="1"/>
  <c r="H745" i="2" a="1"/>
  <c r="H745" i="2" s="1"/>
  <c r="H746" i="2" a="1"/>
  <c r="H746" i="2"/>
  <c r="H747" i="2" a="1"/>
  <c r="H747" i="2" s="1"/>
  <c r="H748" i="2" a="1"/>
  <c r="H748" i="2" s="1"/>
  <c r="H749" i="2" a="1"/>
  <c r="H749" i="2" s="1"/>
  <c r="H750" i="2" a="1"/>
  <c r="H750" i="2"/>
  <c r="H751" i="2" a="1"/>
  <c r="H751" i="2" s="1"/>
  <c r="H752" i="2" a="1"/>
  <c r="H752" i="2"/>
  <c r="H753" i="2" a="1"/>
  <c r="H753" i="2" s="1"/>
  <c r="H754" i="2" a="1"/>
  <c r="H754" i="2"/>
  <c r="H755" i="2" a="1"/>
  <c r="H755" i="2" s="1"/>
  <c r="H756" i="2" a="1"/>
  <c r="H756" i="2"/>
  <c r="H757" i="2" a="1"/>
  <c r="H757" i="2" s="1"/>
  <c r="H758" i="2" a="1"/>
  <c r="H758" i="2" s="1"/>
  <c r="H759" i="2" a="1"/>
  <c r="H759" i="2"/>
  <c r="H760" i="2" a="1"/>
  <c r="H760" i="2" s="1"/>
  <c r="H761" i="2" a="1"/>
  <c r="H761" i="2" s="1"/>
  <c r="H762" i="2" a="1"/>
  <c r="H762" i="2" s="1"/>
  <c r="H763" i="2" a="1"/>
  <c r="H763" i="2" s="1"/>
  <c r="H764" i="2" a="1"/>
  <c r="H764" i="2" s="1"/>
  <c r="H765" i="2" a="1"/>
  <c r="H765" i="2"/>
  <c r="H766" i="2" a="1"/>
  <c r="H766" i="2" s="1"/>
  <c r="H767" i="2" a="1"/>
  <c r="H767" i="2"/>
  <c r="H768" i="2" a="1"/>
  <c r="H768" i="2" s="1"/>
  <c r="H769" i="2" a="1"/>
  <c r="H769" i="2" s="1"/>
  <c r="H770" i="2" a="1"/>
  <c r="H770" i="2"/>
  <c r="H771" i="2" a="1"/>
  <c r="H771" i="2" s="1"/>
  <c r="H772" i="2" a="1"/>
  <c r="H772" i="2"/>
  <c r="H773" i="2" a="1"/>
  <c r="H773" i="2" s="1"/>
  <c r="H774" i="2" a="1"/>
  <c r="H774" i="2" s="1"/>
  <c r="H775" i="2" a="1"/>
  <c r="H775" i="2" s="1"/>
  <c r="H776" i="2" a="1"/>
  <c r="H776" i="2"/>
  <c r="H777" i="2" a="1"/>
  <c r="H777" i="2" s="1"/>
  <c r="H778" i="2" a="1"/>
  <c r="H778" i="2"/>
  <c r="H779" i="2" a="1"/>
  <c r="H779" i="2" s="1"/>
  <c r="H780" i="2" a="1"/>
  <c r="H780" i="2"/>
  <c r="H781" i="2" a="1"/>
  <c r="H781" i="2" s="1"/>
  <c r="H782" i="2" a="1"/>
  <c r="H782" i="2" s="1"/>
  <c r="H783" i="2" a="1"/>
  <c r="H783" i="2"/>
  <c r="H784" i="2" a="1"/>
  <c r="H784" i="2" s="1"/>
  <c r="H785" i="2" a="1"/>
  <c r="H785" i="2"/>
  <c r="H786" i="2" a="1"/>
  <c r="H786" i="2" s="1"/>
  <c r="H787" i="2" a="1"/>
  <c r="H787" i="2" s="1"/>
  <c r="H788" i="2" a="1"/>
  <c r="H788" i="2" s="1"/>
  <c r="H789" i="2" a="1"/>
  <c r="H789" i="2"/>
  <c r="H790" i="2" a="1"/>
  <c r="H790" i="2" s="1"/>
  <c r="H791" i="2" a="1"/>
  <c r="H791" i="2"/>
  <c r="H792" i="2" a="1"/>
  <c r="H792" i="2" s="1"/>
  <c r="H793" i="2" a="1"/>
  <c r="H793" i="2" s="1"/>
  <c r="H794" i="2" a="1"/>
  <c r="H794" i="2" s="1"/>
  <c r="H795" i="2" a="1"/>
  <c r="H795" i="2" s="1"/>
  <c r="H796" i="2" a="1"/>
  <c r="H796" i="2"/>
  <c r="H797" i="2" a="1"/>
  <c r="H797" i="2" s="1"/>
  <c r="H798" i="2" a="1"/>
  <c r="H798" i="2"/>
  <c r="H799" i="2" a="1"/>
  <c r="H799" i="2" s="1"/>
  <c r="H800" i="2" a="1"/>
  <c r="H800" i="2"/>
  <c r="H801" i="2" a="1"/>
  <c r="H801" i="2" s="1"/>
  <c r="H802" i="2" a="1"/>
  <c r="H802" i="2"/>
  <c r="H803" i="2" a="1"/>
  <c r="H803" i="2" s="1"/>
  <c r="H804" i="2" a="1"/>
  <c r="H804" i="2"/>
  <c r="H805" i="2" a="1"/>
  <c r="H805" i="2" s="1"/>
  <c r="H806" i="2" a="1"/>
  <c r="H806" i="2" s="1"/>
  <c r="H807" i="2" a="1"/>
  <c r="H807" i="2" s="1"/>
  <c r="H808" i="2" a="1"/>
  <c r="H808" i="2" s="1"/>
  <c r="H809" i="2" a="1"/>
  <c r="H809" i="2"/>
  <c r="H810" i="2" a="1"/>
  <c r="H810" i="2" s="1"/>
  <c r="H811" i="2" a="1"/>
  <c r="H811" i="2" s="1"/>
  <c r="H812" i="2" a="1"/>
  <c r="H812" i="2" s="1"/>
  <c r="H813" i="2" a="1"/>
  <c r="H813" i="2"/>
  <c r="H814" i="2" a="1"/>
  <c r="H814" i="2" s="1"/>
  <c r="H815" i="2" a="1"/>
  <c r="H815" i="2"/>
  <c r="H816" i="2" a="1"/>
  <c r="H816" i="2" s="1"/>
  <c r="H817" i="2" a="1"/>
  <c r="H817" i="2" s="1"/>
  <c r="H818" i="2" a="1"/>
  <c r="H818" i="2"/>
  <c r="H819" i="2" a="1"/>
  <c r="H819" i="2" s="1"/>
  <c r="H820" i="2" a="1"/>
  <c r="H820" i="2" s="1"/>
  <c r="H821" i="2" a="1"/>
  <c r="H821" i="2" s="1"/>
  <c r="H822" i="2" a="1"/>
  <c r="H822" i="2"/>
  <c r="H823" i="2" a="1"/>
  <c r="H823" i="2" s="1"/>
  <c r="H824" i="2" a="1"/>
  <c r="H824" i="2" s="1"/>
  <c r="H825" i="2" a="1"/>
  <c r="H825" i="2" s="1"/>
  <c r="H826" i="2" a="1"/>
  <c r="H826" i="2" s="1"/>
  <c r="H827" i="2" a="1"/>
  <c r="H827" i="2" s="1"/>
  <c r="H828" i="2" a="1"/>
  <c r="H828" i="2"/>
  <c r="H829" i="2" a="1"/>
  <c r="H829" i="2" s="1"/>
  <c r="H830" i="2" a="1"/>
  <c r="H830" i="2" s="1"/>
  <c r="H831" i="2" a="1"/>
  <c r="H831" i="2" s="1"/>
  <c r="H832" i="2" a="1"/>
  <c r="H832" i="2" s="1"/>
  <c r="H833" i="2" a="1"/>
  <c r="H833" i="2" s="1"/>
  <c r="H834" i="2" a="1"/>
  <c r="H834" i="2"/>
  <c r="H835" i="2" a="1"/>
  <c r="H835" i="2" s="1"/>
  <c r="H836" i="2" a="1"/>
  <c r="H836" i="2" s="1"/>
  <c r="H837" i="2" a="1"/>
  <c r="H837" i="2" s="1"/>
  <c r="H838" i="2" a="1"/>
  <c r="H838" i="2" s="1"/>
  <c r="H839" i="2" a="1"/>
  <c r="H839" i="2" s="1"/>
  <c r="H840" i="2" a="1"/>
  <c r="H840" i="2"/>
  <c r="H841" i="2" a="1"/>
  <c r="H841" i="2" s="1"/>
  <c r="H842" i="2" a="1"/>
  <c r="H842" i="2" s="1"/>
  <c r="H843" i="2" a="1"/>
  <c r="H843" i="2" s="1"/>
  <c r="H844" i="2" a="1"/>
  <c r="H844" i="2" s="1"/>
  <c r="H845" i="2" a="1"/>
  <c r="H845" i="2" s="1"/>
  <c r="H846" i="2" a="1"/>
  <c r="H846" i="2"/>
  <c r="H847" i="2" a="1"/>
  <c r="H847" i="2" s="1"/>
  <c r="H848" i="2" a="1"/>
  <c r="H848" i="2" s="1"/>
  <c r="H849" i="2" a="1"/>
  <c r="H849" i="2" s="1"/>
  <c r="H850" i="2" a="1"/>
  <c r="H850" i="2" s="1"/>
  <c r="H851" i="2" a="1"/>
  <c r="H851" i="2" s="1"/>
  <c r="H852" i="2" a="1"/>
  <c r="H852" i="2"/>
  <c r="H853" i="2" a="1"/>
  <c r="H853" i="2" s="1"/>
  <c r="H854" i="2" a="1"/>
  <c r="H854" i="2" s="1"/>
  <c r="H855" i="2" a="1"/>
  <c r="H855" i="2" s="1"/>
  <c r="H856" i="2" a="1"/>
  <c r="H856" i="2" s="1"/>
  <c r="H857" i="2" a="1"/>
  <c r="H857" i="2" s="1"/>
  <c r="H858" i="2" a="1"/>
  <c r="H858" i="2"/>
  <c r="H859" i="2" a="1"/>
  <c r="H859" i="2" s="1"/>
  <c r="H860" i="2" a="1"/>
  <c r="H860" i="2" s="1"/>
  <c r="H861" i="2" a="1"/>
  <c r="H861" i="2" s="1"/>
  <c r="H862" i="2" a="1"/>
  <c r="H862" i="2" s="1"/>
  <c r="H863" i="2" a="1"/>
  <c r="H863" i="2" s="1"/>
  <c r="H864" i="2" a="1"/>
  <c r="H864" i="2"/>
  <c r="H865" i="2" a="1"/>
  <c r="H865" i="2" s="1"/>
  <c r="H866" i="2" a="1"/>
  <c r="H866" i="2" s="1"/>
  <c r="H867" i="2" a="1"/>
  <c r="H867" i="2" s="1"/>
  <c r="H868" i="2" a="1"/>
  <c r="H868" i="2" s="1"/>
  <c r="H869" i="2" a="1"/>
  <c r="H869" i="2" s="1"/>
  <c r="H870" i="2" a="1"/>
  <c r="H870" i="2"/>
  <c r="H871" i="2" a="1"/>
  <c r="H871" i="2" s="1"/>
  <c r="H872" i="2" a="1"/>
  <c r="H872" i="2" s="1"/>
  <c r="H873" i="2" a="1"/>
  <c r="H873" i="2" s="1"/>
  <c r="H874" i="2" a="1"/>
  <c r="H874" i="2" s="1"/>
  <c r="H875" i="2" a="1"/>
  <c r="H875" i="2" s="1"/>
  <c r="H876" i="2" a="1"/>
  <c r="H876" i="2"/>
  <c r="H877" i="2" a="1"/>
  <c r="H877" i="2" s="1"/>
  <c r="H878" i="2" a="1"/>
  <c r="H878" i="2" s="1"/>
  <c r="H879" i="2" a="1"/>
  <c r="H879" i="2" s="1"/>
  <c r="H880" i="2" a="1"/>
  <c r="H880" i="2" s="1"/>
  <c r="H881" i="2" a="1"/>
  <c r="H881" i="2" s="1"/>
  <c r="H882" i="2" a="1"/>
  <c r="H882" i="2"/>
  <c r="H883" i="2" a="1"/>
  <c r="H883" i="2" s="1"/>
  <c r="H884" i="2" a="1"/>
  <c r="H884" i="2" s="1"/>
  <c r="H885" i="2" a="1"/>
  <c r="H885" i="2" s="1"/>
  <c r="H886" i="2" a="1"/>
  <c r="H886" i="2" s="1"/>
  <c r="H887" i="2" a="1"/>
  <c r="H887" i="2" s="1"/>
  <c r="H888" i="2" a="1"/>
  <c r="H888" i="2"/>
  <c r="H889" i="2" a="1"/>
  <c r="H889" i="2" s="1"/>
  <c r="H890" i="2" a="1"/>
  <c r="H890" i="2" s="1"/>
  <c r="H891" i="2" a="1"/>
  <c r="H891" i="2" s="1"/>
  <c r="H892" i="2" a="1"/>
  <c r="H892" i="2" s="1"/>
  <c r="H893" i="2" a="1"/>
  <c r="H893" i="2" s="1"/>
  <c r="H894" i="2" a="1"/>
  <c r="H894" i="2"/>
  <c r="H895" i="2" a="1"/>
  <c r="H895" i="2" s="1"/>
  <c r="H896" i="2" a="1"/>
  <c r="H896" i="2" s="1"/>
  <c r="H897" i="2" a="1"/>
  <c r="H897" i="2" s="1"/>
  <c r="H898" i="2" a="1"/>
  <c r="H898" i="2" s="1"/>
  <c r="H899" i="2" a="1"/>
  <c r="H899" i="2" s="1"/>
  <c r="H900" i="2" a="1"/>
  <c r="H900" i="2"/>
  <c r="H901" i="2" a="1"/>
  <c r="H901" i="2" s="1"/>
  <c r="H902" i="2" a="1"/>
  <c r="H902" i="2" s="1"/>
  <c r="H903" i="2" a="1"/>
  <c r="H903" i="2" s="1"/>
  <c r="H904" i="2" a="1"/>
  <c r="H904" i="2" s="1"/>
  <c r="H905" i="2" a="1"/>
  <c r="H905" i="2" s="1"/>
  <c r="H906" i="2" a="1"/>
  <c r="H906" i="2"/>
  <c r="H907" i="2" a="1"/>
  <c r="H907" i="2" s="1"/>
  <c r="H908" i="2" a="1"/>
  <c r="H908" i="2" s="1"/>
  <c r="H909" i="2" a="1"/>
  <c r="H909" i="2" s="1"/>
  <c r="H910" i="2" a="1"/>
  <c r="H910" i="2" s="1"/>
  <c r="H911" i="2" a="1"/>
  <c r="H911" i="2" s="1"/>
  <c r="H912" i="2" a="1"/>
  <c r="H912" i="2"/>
  <c r="H913" i="2" a="1"/>
  <c r="H913" i="2" s="1"/>
  <c r="H914" i="2" a="1"/>
  <c r="H914" i="2" s="1"/>
  <c r="H915" i="2" a="1"/>
  <c r="H915" i="2" s="1"/>
  <c r="H916" i="2" a="1"/>
  <c r="H916" i="2" s="1"/>
  <c r="H917" i="2" a="1"/>
  <c r="H917" i="2" s="1"/>
  <c r="H918" i="2" a="1"/>
  <c r="H918" i="2"/>
  <c r="H919" i="2" a="1"/>
  <c r="H919" i="2" s="1"/>
  <c r="H920" i="2" a="1"/>
  <c r="H920" i="2" s="1"/>
  <c r="H921" i="2" a="1"/>
  <c r="H921" i="2" s="1"/>
  <c r="H922" i="2" a="1"/>
  <c r="H922" i="2" s="1"/>
  <c r="H923" i="2" a="1"/>
  <c r="H923" i="2" s="1"/>
  <c r="H924" i="2" a="1"/>
  <c r="H924" i="2" s="1"/>
  <c r="H925" i="2" a="1"/>
  <c r="H925" i="2" s="1"/>
  <c r="H926" i="2" a="1"/>
  <c r="H926" i="2" s="1"/>
  <c r="H927" i="2" a="1"/>
  <c r="H927" i="2" s="1"/>
  <c r="H928" i="2" a="1"/>
  <c r="H928" i="2" s="1"/>
  <c r="H929" i="2" a="1"/>
  <c r="H929" i="2" s="1"/>
  <c r="H930" i="2" a="1"/>
  <c r="H930" i="2" s="1"/>
  <c r="H931" i="2" a="1"/>
  <c r="H931" i="2" s="1"/>
  <c r="H932" i="2" a="1"/>
  <c r="H932" i="2" s="1"/>
  <c r="H933" i="2" a="1"/>
  <c r="H933" i="2" s="1"/>
  <c r="H934" i="2" a="1"/>
  <c r="H934" i="2" s="1"/>
  <c r="H935" i="2" a="1"/>
  <c r="H935" i="2" s="1"/>
  <c r="H936" i="2" a="1"/>
  <c r="H936" i="2" s="1"/>
  <c r="H937" i="2" a="1"/>
  <c r="H937" i="2" s="1"/>
  <c r="H938" i="2" a="1"/>
  <c r="H938" i="2" s="1"/>
  <c r="H939" i="2" a="1"/>
  <c r="H939" i="2" s="1"/>
  <c r="H940" i="2" a="1"/>
  <c r="H940" i="2" s="1"/>
  <c r="H941" i="2" a="1"/>
  <c r="H941" i="2" s="1"/>
  <c r="H942" i="2" a="1"/>
  <c r="H942" i="2" s="1"/>
  <c r="H943" i="2" a="1"/>
  <c r="H943" i="2" s="1"/>
  <c r="H944" i="2" a="1"/>
  <c r="H944" i="2" s="1"/>
  <c r="H945" i="2" a="1"/>
  <c r="H945" i="2" s="1"/>
  <c r="H946" i="2" a="1"/>
  <c r="H946" i="2" s="1"/>
  <c r="H947" i="2" a="1"/>
  <c r="H947" i="2" s="1"/>
  <c r="H948" i="2" a="1"/>
  <c r="H948" i="2" s="1"/>
  <c r="H949" i="2" a="1"/>
  <c r="H949" i="2" s="1"/>
  <c r="H950" i="2" a="1"/>
  <c r="H950" i="2" s="1"/>
  <c r="H951" i="2" a="1"/>
  <c r="H951" i="2" s="1"/>
  <c r="H952" i="2" a="1"/>
  <c r="H952" i="2" s="1"/>
  <c r="H953" i="2" a="1"/>
  <c r="H953" i="2" s="1"/>
  <c r="H954" i="2" a="1"/>
  <c r="H954" i="2" s="1"/>
  <c r="H955" i="2" a="1"/>
  <c r="H955" i="2" s="1"/>
  <c r="H956" i="2" a="1"/>
  <c r="H956" i="2" s="1"/>
  <c r="H957" i="2" a="1"/>
  <c r="H957" i="2" s="1"/>
  <c r="H958" i="2" a="1"/>
  <c r="H958" i="2" s="1"/>
  <c r="H959" i="2" a="1"/>
  <c r="H959" i="2" s="1"/>
  <c r="H960" i="2" a="1"/>
  <c r="H960" i="2" s="1"/>
  <c r="H961" i="2" a="1"/>
  <c r="H961" i="2" s="1"/>
  <c r="H962" i="2" a="1"/>
  <c r="H962" i="2" s="1"/>
  <c r="H963" i="2" a="1"/>
  <c r="H963" i="2" s="1"/>
  <c r="H964" i="2" a="1"/>
  <c r="H964" i="2" s="1"/>
  <c r="H965" i="2" a="1"/>
  <c r="H965" i="2" s="1"/>
  <c r="H966" i="2" a="1"/>
  <c r="H966" i="2" s="1"/>
  <c r="H967" i="2" a="1"/>
  <c r="H967" i="2" s="1"/>
  <c r="H968" i="2" a="1"/>
  <c r="H968" i="2" s="1"/>
  <c r="H969" i="2" a="1"/>
  <c r="H969" i="2" s="1"/>
  <c r="H970" i="2" a="1"/>
  <c r="H970" i="2" s="1"/>
  <c r="H971" i="2" a="1"/>
  <c r="H971" i="2" s="1"/>
  <c r="H972" i="2" a="1"/>
  <c r="H972" i="2" s="1"/>
  <c r="H973" i="2" a="1"/>
  <c r="H973" i="2" s="1"/>
  <c r="H974" i="2" a="1"/>
  <c r="H974" i="2" s="1"/>
  <c r="H975" i="2" a="1"/>
  <c r="H975" i="2" s="1"/>
  <c r="H976" i="2" a="1"/>
  <c r="H976" i="2" s="1"/>
  <c r="H977" i="2" a="1"/>
  <c r="H977" i="2" s="1"/>
  <c r="H978" i="2" a="1"/>
  <c r="H978" i="2" s="1"/>
  <c r="H979" i="2" a="1"/>
  <c r="H979" i="2" s="1"/>
  <c r="H980" i="2" a="1"/>
  <c r="H980" i="2" s="1"/>
  <c r="H981" i="2" a="1"/>
  <c r="H981" i="2" s="1"/>
  <c r="H982" i="2" a="1"/>
  <c r="H982" i="2" s="1"/>
  <c r="H983" i="2" a="1"/>
  <c r="H983" i="2" s="1"/>
  <c r="H984" i="2" a="1"/>
  <c r="H984" i="2" s="1"/>
  <c r="H985" i="2" a="1"/>
  <c r="H985" i="2" s="1"/>
  <c r="H986" i="2" a="1"/>
  <c r="H986" i="2" s="1"/>
  <c r="H987" i="2" a="1"/>
  <c r="H987" i="2" s="1"/>
  <c r="H988" i="2" a="1"/>
  <c r="H988" i="2" s="1"/>
  <c r="H989" i="2" a="1"/>
  <c r="H989" i="2" s="1"/>
  <c r="H990" i="2" a="1"/>
  <c r="H990" i="2" s="1"/>
  <c r="H991" i="2" a="1"/>
  <c r="H991" i="2" s="1"/>
  <c r="H992" i="2" a="1"/>
  <c r="H992" i="2" s="1"/>
  <c r="H993" i="2" a="1"/>
  <c r="H993" i="2" s="1"/>
  <c r="H994" i="2" a="1"/>
  <c r="H994" i="2" s="1"/>
  <c r="H995" i="2" a="1"/>
  <c r="H995" i="2" s="1"/>
  <c r="H996" i="2" a="1"/>
  <c r="H996" i="2" s="1"/>
  <c r="H997" i="2" a="1"/>
  <c r="H997" i="2" s="1"/>
  <c r="H998" i="2" a="1"/>
  <c r="H998" i="2" s="1"/>
  <c r="H999" i="2" a="1"/>
  <c r="H999" i="2" s="1"/>
  <c r="H1000" i="2" a="1"/>
  <c r="H1000" i="2" s="1"/>
  <c r="H1001" i="2" a="1"/>
  <c r="H1001" i="2" s="1"/>
  <c r="H1002" i="2" a="1"/>
  <c r="H1002" i="2" s="1"/>
  <c r="H1003" i="2" a="1"/>
  <c r="H1003" i="2" s="1"/>
  <c r="H1004" i="2" a="1"/>
  <c r="H1004" i="2" s="1"/>
  <c r="H1005" i="2" a="1"/>
  <c r="H1005" i="2" s="1"/>
  <c r="H1006" i="2" a="1"/>
  <c r="H1006" i="2" s="1"/>
  <c r="H1007" i="2" a="1"/>
  <c r="H1007" i="2" s="1"/>
  <c r="H1008" i="2" a="1"/>
  <c r="H1008" i="2" s="1"/>
  <c r="H1009" i="2" a="1"/>
  <c r="H1009" i="2" s="1"/>
  <c r="H1010" i="2" a="1"/>
  <c r="H1010" i="2" s="1"/>
  <c r="H1011" i="2" a="1"/>
  <c r="H1011" i="2" s="1"/>
  <c r="H1012" i="2" a="1"/>
  <c r="H1012" i="2" s="1"/>
  <c r="H1013" i="2" a="1"/>
  <c r="H1013" i="2" s="1"/>
  <c r="H1014" i="2" a="1"/>
  <c r="H1014" i="2" s="1"/>
  <c r="H1015" i="2" a="1"/>
  <c r="H1015" i="2" s="1"/>
  <c r="H1016" i="2" a="1"/>
  <c r="H1016" i="2" s="1"/>
  <c r="H1017" i="2" a="1"/>
  <c r="H1017" i="2" s="1"/>
  <c r="H1018" i="2" a="1"/>
  <c r="H1018" i="2" s="1"/>
  <c r="H1019" i="2" a="1"/>
  <c r="H1019" i="2" s="1"/>
  <c r="H1020" i="2" a="1"/>
  <c r="H1020" i="2" s="1"/>
  <c r="H1021" i="2" a="1"/>
  <c r="H1021" i="2" s="1"/>
  <c r="H1022" i="2" a="1"/>
  <c r="H1022" i="2" s="1"/>
  <c r="H1023" i="2" a="1"/>
  <c r="H1023" i="2" s="1"/>
  <c r="H1024" i="2" a="1"/>
  <c r="H1024" i="2" s="1"/>
  <c r="H1025" i="2" a="1"/>
  <c r="H1025" i="2" s="1"/>
  <c r="H1026" i="2" a="1"/>
  <c r="H1026" i="2" s="1"/>
  <c r="H1027" i="2" a="1"/>
  <c r="H1027" i="2" s="1"/>
  <c r="H1028" i="2" a="1"/>
  <c r="H1028" i="2" s="1"/>
  <c r="H1029" i="2" a="1"/>
  <c r="H1029" i="2" s="1"/>
  <c r="H1030" i="2" a="1"/>
  <c r="H1030" i="2" s="1"/>
  <c r="H1031" i="2" a="1"/>
  <c r="H1031" i="2" s="1"/>
  <c r="H1032" i="2" a="1"/>
  <c r="H1032" i="2" s="1"/>
  <c r="H1033" i="2" a="1"/>
  <c r="H1033" i="2" s="1"/>
  <c r="H1034" i="2" a="1"/>
  <c r="H1034" i="2" s="1"/>
  <c r="H1035" i="2" a="1"/>
  <c r="H1035" i="2" s="1"/>
  <c r="H1036" i="2" a="1"/>
  <c r="H1036" i="2" s="1"/>
  <c r="H1037" i="2" a="1"/>
  <c r="H1037" i="2" s="1"/>
  <c r="H1038" i="2" a="1"/>
  <c r="H1038" i="2" s="1"/>
  <c r="H1039" i="2" a="1"/>
  <c r="H1039" i="2" s="1"/>
  <c r="H1040" i="2" a="1"/>
  <c r="H1040" i="2" s="1"/>
  <c r="H1041" i="2" a="1"/>
  <c r="H1041" i="2" s="1"/>
  <c r="H1042" i="2" a="1"/>
  <c r="H1042" i="2" s="1"/>
  <c r="H1043" i="2" a="1"/>
  <c r="H1043" i="2" s="1"/>
  <c r="H1044" i="2" a="1"/>
  <c r="H1044" i="2" s="1"/>
  <c r="H1045" i="2" a="1"/>
  <c r="H1045" i="2" s="1"/>
  <c r="H1046" i="2" a="1"/>
  <c r="H1046" i="2" s="1"/>
  <c r="H1047" i="2" a="1"/>
  <c r="H1047" i="2" s="1"/>
  <c r="H1048" i="2" a="1"/>
  <c r="H1048" i="2" s="1"/>
  <c r="H1049" i="2" a="1"/>
  <c r="H1049" i="2" s="1"/>
  <c r="H1050" i="2" a="1"/>
  <c r="H1050" i="2" s="1"/>
  <c r="H1051" i="2" a="1"/>
  <c r="H1051" i="2" s="1"/>
  <c r="H1052" i="2" a="1"/>
  <c r="H1052" i="2" s="1"/>
  <c r="H1053" i="2" a="1"/>
  <c r="H1053" i="2" s="1"/>
  <c r="H1054" i="2" a="1"/>
  <c r="H1054" i="2" s="1"/>
  <c r="H1055" i="2" a="1"/>
  <c r="H1055" i="2" s="1"/>
  <c r="H1056" i="2" a="1"/>
  <c r="H1056" i="2" s="1"/>
  <c r="H1057" i="2" a="1"/>
  <c r="H1057" i="2" s="1"/>
  <c r="H2" i="2" a="1"/>
  <c r="H2" i="2" s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346" i="1"/>
  <c r="F1" i="5"/>
  <c r="E1" i="5"/>
  <c r="D1" i="5"/>
  <c r="C1" i="5"/>
  <c r="B1" i="5"/>
  <c r="C1" i="4"/>
  <c r="D1" i="4"/>
  <c r="E1" i="4"/>
  <c r="F1" i="4"/>
  <c r="B1" i="4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/>
  <c r="G123" i="2" a="1"/>
  <c r="G123" i="2" s="1"/>
  <c r="G124" i="2" a="1"/>
  <c r="G124" i="2" s="1"/>
  <c r="G125" i="2" a="1"/>
  <c r="G125" i="2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/>
  <c r="G201" i="2" a="1"/>
  <c r="G201" i="2" s="1"/>
  <c r="G202" i="2" a="1"/>
  <c r="G202" i="2" s="1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4" i="2" a="1"/>
  <c r="G214" i="2" s="1"/>
  <c r="G215" i="2" a="1"/>
  <c r="G215" i="2" s="1"/>
  <c r="G216" i="2" a="1"/>
  <c r="G216" i="2" s="1"/>
  <c r="G217" i="2" a="1"/>
  <c r="G217" i="2" s="1"/>
  <c r="G218" i="2" a="1"/>
  <c r="G218" i="2" s="1"/>
  <c r="G219" i="2" a="1"/>
  <c r="G219" i="2" s="1"/>
  <c r="G220" i="2" a="1"/>
  <c r="G220" i="2" s="1"/>
  <c r="G221" i="2" a="1"/>
  <c r="G221" i="2" s="1"/>
  <c r="G222" i="2" a="1"/>
  <c r="G222" i="2" s="1"/>
  <c r="G223" i="2" a="1"/>
  <c r="G223" i="2" s="1"/>
  <c r="G224" i="2" a="1"/>
  <c r="G224" i="2" s="1"/>
  <c r="G225" i="2" a="1"/>
  <c r="G225" i="2" s="1"/>
  <c r="G226" i="2" a="1"/>
  <c r="G226" i="2" s="1"/>
  <c r="G227" i="2" a="1"/>
  <c r="G227" i="2" s="1"/>
  <c r="G228" i="2" a="1"/>
  <c r="G228" i="2" s="1"/>
  <c r="G229" i="2" a="1"/>
  <c r="G229" i="2" s="1"/>
  <c r="G230" i="2" a="1"/>
  <c r="G230" i="2" s="1"/>
  <c r="G231" i="2" a="1"/>
  <c r="G231" i="2" s="1"/>
  <c r="G232" i="2" a="1"/>
  <c r="G232" i="2" s="1"/>
  <c r="G233" i="2" a="1"/>
  <c r="G233" i="2"/>
  <c r="G234" i="2" a="1"/>
  <c r="G234" i="2" s="1"/>
  <c r="G235" i="2" a="1"/>
  <c r="G235" i="2" s="1"/>
  <c r="G236" i="2" a="1"/>
  <c r="G236" i="2" s="1"/>
  <c r="G237" i="2" a="1"/>
  <c r="G237" i="2" s="1"/>
  <c r="G238" i="2" a="1"/>
  <c r="G238" i="2" s="1"/>
  <c r="G239" i="2" a="1"/>
  <c r="G239" i="2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6" i="2" a="1"/>
  <c r="G246" i="2" s="1"/>
  <c r="G247" i="2" a="1"/>
  <c r="G247" i="2" s="1"/>
  <c r="G248" i="2" a="1"/>
  <c r="G248" i="2" s="1"/>
  <c r="G249" i="2" a="1"/>
  <c r="G249" i="2" s="1"/>
  <c r="G250" i="2" a="1"/>
  <c r="G250" i="2" s="1"/>
  <c r="G251" i="2" a="1"/>
  <c r="G251" i="2" s="1"/>
  <c r="G252" i="2" a="1"/>
  <c r="G252" i="2" s="1"/>
  <c r="G253" i="2" a="1"/>
  <c r="G253" i="2" s="1"/>
  <c r="G254" i="2" a="1"/>
  <c r="G254" i="2"/>
  <c r="G255" i="2" a="1"/>
  <c r="G255" i="2" s="1"/>
  <c r="G256" i="2" a="1"/>
  <c r="G256" i="2" s="1"/>
  <c r="G257" i="2" a="1"/>
  <c r="G257" i="2" s="1"/>
  <c r="G258" i="2" a="1"/>
  <c r="G258" i="2"/>
  <c r="G259" i="2" a="1"/>
  <c r="G259" i="2" s="1"/>
  <c r="G260" i="2" a="1"/>
  <c r="G260" i="2" s="1"/>
  <c r="G261" i="2" a="1"/>
  <c r="G261" i="2" s="1"/>
  <c r="G262" i="2" a="1"/>
  <c r="G262" i="2" s="1"/>
  <c r="G263" i="2" a="1"/>
  <c r="G263" i="2" s="1"/>
  <c r="G264" i="2" a="1"/>
  <c r="G264" i="2" s="1"/>
  <c r="G265" i="2" a="1"/>
  <c r="G265" i="2" s="1"/>
  <c r="G266" i="2" a="1"/>
  <c r="G266" i="2" s="1"/>
  <c r="G267" i="2" a="1"/>
  <c r="G267" i="2" s="1"/>
  <c r="G268" i="2" a="1"/>
  <c r="G268" i="2" s="1"/>
  <c r="G269" i="2" a="1"/>
  <c r="G269" i="2" s="1"/>
  <c r="G270" i="2" a="1"/>
  <c r="G270" i="2" s="1"/>
  <c r="G271" i="2" a="1"/>
  <c r="G271" i="2" s="1"/>
  <c r="G272" i="2" a="1"/>
  <c r="G272" i="2" s="1"/>
  <c r="G273" i="2" a="1"/>
  <c r="G273" i="2" s="1"/>
  <c r="G274" i="2" a="1"/>
  <c r="G274" i="2" s="1"/>
  <c r="G275" i="2" a="1"/>
  <c r="G275" i="2" s="1"/>
  <c r="G276" i="2" a="1"/>
  <c r="G276" i="2" s="1"/>
  <c r="G277" i="2" a="1"/>
  <c r="G277" i="2" s="1"/>
  <c r="G278" i="2" a="1"/>
  <c r="G278" i="2" s="1"/>
  <c r="G279" i="2" a="1"/>
  <c r="G279" i="2" s="1"/>
  <c r="G280" i="2" a="1"/>
  <c r="G280" i="2" s="1"/>
  <c r="G281" i="2" a="1"/>
  <c r="G281" i="2" s="1"/>
  <c r="G282" i="2" a="1"/>
  <c r="G282" i="2" s="1"/>
  <c r="G283" i="2" a="1"/>
  <c r="G283" i="2" s="1"/>
  <c r="G284" i="2" a="1"/>
  <c r="G284" i="2" s="1"/>
  <c r="G285" i="2" a="1"/>
  <c r="G285" i="2" s="1"/>
  <c r="G286" i="2" a="1"/>
  <c r="G286" i="2" s="1"/>
  <c r="G287" i="2" a="1"/>
  <c r="G287" i="2" s="1"/>
  <c r="G288" i="2" a="1"/>
  <c r="G288" i="2" s="1"/>
  <c r="G289" i="2" a="1"/>
  <c r="G289" i="2" s="1"/>
  <c r="G290" i="2" a="1"/>
  <c r="G290" i="2" s="1"/>
  <c r="G291" i="2" a="1"/>
  <c r="G291" i="2" s="1"/>
  <c r="G292" i="2" a="1"/>
  <c r="G292" i="2" s="1"/>
  <c r="G293" i="2" a="1"/>
  <c r="G293" i="2" s="1"/>
  <c r="G294" i="2" a="1"/>
  <c r="G294" i="2" s="1"/>
  <c r="G295" i="2" a="1"/>
  <c r="G295" i="2" s="1"/>
  <c r="G296" i="2" a="1"/>
  <c r="G296" i="2"/>
  <c r="G297" i="2" a="1"/>
  <c r="G297" i="2" s="1"/>
  <c r="G298" i="2" a="1"/>
  <c r="G298" i="2" s="1"/>
  <c r="G299" i="2" a="1"/>
  <c r="G299" i="2" s="1"/>
  <c r="G300" i="2" a="1"/>
  <c r="G300" i="2" s="1"/>
  <c r="G301" i="2" a="1"/>
  <c r="G301" i="2" s="1"/>
  <c r="G302" i="2" a="1"/>
  <c r="G302" i="2" s="1"/>
  <c r="G303" i="2" a="1"/>
  <c r="G303" i="2" s="1"/>
  <c r="G304" i="2" a="1"/>
  <c r="G304" i="2" s="1"/>
  <c r="G305" i="2" a="1"/>
  <c r="G305" i="2" s="1"/>
  <c r="G306" i="2" a="1"/>
  <c r="G306" i="2" s="1"/>
  <c r="G307" i="2" a="1"/>
  <c r="G307" i="2" s="1"/>
  <c r="G308" i="2" a="1"/>
  <c r="G308" i="2" s="1"/>
  <c r="G309" i="2" a="1"/>
  <c r="G309" i="2" s="1"/>
  <c r="G310" i="2" a="1"/>
  <c r="G310" i="2" s="1"/>
  <c r="G311" i="2" a="1"/>
  <c r="G311" i="2" s="1"/>
  <c r="G312" i="2" a="1"/>
  <c r="G312" i="2" s="1"/>
  <c r="G313" i="2" a="1"/>
  <c r="G313" i="2" s="1"/>
  <c r="G314" i="2" a="1"/>
  <c r="G314" i="2" s="1"/>
  <c r="G315" i="2" a="1"/>
  <c r="G315" i="2" s="1"/>
  <c r="G316" i="2" a="1"/>
  <c r="G316" i="2" s="1"/>
  <c r="G317" i="2" a="1"/>
  <c r="G317" i="2"/>
  <c r="G318" i="2" a="1"/>
  <c r="G318" i="2" s="1"/>
  <c r="G319" i="2" a="1"/>
  <c r="G319" i="2" s="1"/>
  <c r="G320" i="2" a="1"/>
  <c r="G320" i="2" s="1"/>
  <c r="G321" i="2" a="1"/>
  <c r="G321" i="2" s="1"/>
  <c r="G322" i="2" a="1"/>
  <c r="G322" i="2" s="1"/>
  <c r="G323" i="2" a="1"/>
  <c r="G323" i="2" s="1"/>
  <c r="G324" i="2" a="1"/>
  <c r="G324" i="2" s="1"/>
  <c r="G325" i="2" a="1"/>
  <c r="G325" i="2" s="1"/>
  <c r="G326" i="2" a="1"/>
  <c r="G326" i="2" s="1"/>
  <c r="G327" i="2" a="1"/>
  <c r="G327" i="2" s="1"/>
  <c r="G328" i="2" a="1"/>
  <c r="G328" i="2" s="1"/>
  <c r="G329" i="2" a="1"/>
  <c r="G329" i="2" s="1"/>
  <c r="G330" i="2" a="1"/>
  <c r="G330" i="2" s="1"/>
  <c r="G331" i="2" a="1"/>
  <c r="G331" i="2" s="1"/>
  <c r="G332" i="2" a="1"/>
  <c r="G332" i="2" s="1"/>
  <c r="G333" i="2" a="1"/>
  <c r="G333" i="2" s="1"/>
  <c r="G334" i="2" a="1"/>
  <c r="G334" i="2" s="1"/>
  <c r="G335" i="2" a="1"/>
  <c r="G335" i="2" s="1"/>
  <c r="G336" i="2" a="1"/>
  <c r="G336" i="2" s="1"/>
  <c r="G337" i="2" a="1"/>
  <c r="G337" i="2" s="1"/>
  <c r="G338" i="2" a="1"/>
  <c r="G338" i="2" s="1"/>
  <c r="G339" i="2" a="1"/>
  <c r="G339" i="2" s="1"/>
  <c r="G340" i="2" a="1"/>
  <c r="G340" i="2" s="1"/>
  <c r="G341" i="2" a="1"/>
  <c r="G341" i="2" s="1"/>
  <c r="G342" i="2" a="1"/>
  <c r="G342" i="2" s="1"/>
  <c r="G343" i="2" a="1"/>
  <c r="G343" i="2" s="1"/>
  <c r="G344" i="2" a="1"/>
  <c r="G344" i="2" s="1"/>
  <c r="G345" i="2" a="1"/>
  <c r="G345" i="2" s="1"/>
  <c r="G346" i="2" a="1"/>
  <c r="G346" i="2" s="1"/>
  <c r="G347" i="2" a="1"/>
  <c r="G347" i="2" s="1"/>
  <c r="G348" i="2" a="1"/>
  <c r="G348" i="2" s="1"/>
  <c r="G349" i="2" a="1"/>
  <c r="G349" i="2" s="1"/>
  <c r="G350" i="2" a="1"/>
  <c r="G350" i="2" s="1"/>
  <c r="G351" i="2" a="1"/>
  <c r="G351" i="2" s="1"/>
  <c r="G352" i="2" a="1"/>
  <c r="G352" i="2" s="1"/>
  <c r="G353" i="2" a="1"/>
  <c r="G353" i="2" s="1"/>
  <c r="G354" i="2" a="1"/>
  <c r="G354" i="2" s="1"/>
  <c r="G355" i="2" a="1"/>
  <c r="G355" i="2" s="1"/>
  <c r="G356" i="2" a="1"/>
  <c r="G356" i="2" s="1"/>
  <c r="G357" i="2" a="1"/>
  <c r="G357" i="2" s="1"/>
  <c r="G358" i="2" a="1"/>
  <c r="G358" i="2" s="1"/>
  <c r="G359" i="2" a="1"/>
  <c r="G359" i="2"/>
  <c r="G360" i="2" a="1"/>
  <c r="G360" i="2" s="1"/>
  <c r="G361" i="2" a="1"/>
  <c r="G361" i="2" s="1"/>
  <c r="G362" i="2" a="1"/>
  <c r="G362" i="2" s="1"/>
  <c r="G363" i="2" a="1"/>
  <c r="G363" i="2" s="1"/>
  <c r="G364" i="2" a="1"/>
  <c r="G364" i="2" s="1"/>
  <c r="G365" i="2" a="1"/>
  <c r="G365" i="2" s="1"/>
  <c r="G366" i="2" a="1"/>
  <c r="G366" i="2" s="1"/>
  <c r="G367" i="2" a="1"/>
  <c r="G367" i="2" s="1"/>
  <c r="G368" i="2" a="1"/>
  <c r="G368" i="2" s="1"/>
  <c r="G369" i="2" a="1"/>
  <c r="G369" i="2" s="1"/>
  <c r="G370" i="2" a="1"/>
  <c r="G370" i="2" s="1"/>
  <c r="G371" i="2" a="1"/>
  <c r="G371" i="2" s="1"/>
  <c r="G372" i="2" a="1"/>
  <c r="G372" i="2" s="1"/>
  <c r="G373" i="2" a="1"/>
  <c r="G373" i="2" s="1"/>
  <c r="G374" i="2" a="1"/>
  <c r="G374" i="2" s="1"/>
  <c r="G375" i="2" a="1"/>
  <c r="G375" i="2" s="1"/>
  <c r="G376" i="2" a="1"/>
  <c r="G376" i="2" s="1"/>
  <c r="G377" i="2" a="1"/>
  <c r="G377" i="2" s="1"/>
  <c r="G378" i="2" a="1"/>
  <c r="G378" i="2" s="1"/>
  <c r="G379" i="2" a="1"/>
  <c r="G379" i="2" s="1"/>
  <c r="G380" i="2" a="1"/>
  <c r="G380" i="2" s="1"/>
  <c r="G381" i="2" a="1"/>
  <c r="G381" i="2" s="1"/>
  <c r="G382" i="2" a="1"/>
  <c r="G382" i="2" s="1"/>
  <c r="G383" i="2" a="1"/>
  <c r="G383" i="2"/>
  <c r="G384" i="2" a="1"/>
  <c r="G384" i="2" s="1"/>
  <c r="G385" i="2" a="1"/>
  <c r="G385" i="2" s="1"/>
  <c r="G386" i="2" a="1"/>
  <c r="G386" i="2" s="1"/>
  <c r="G387" i="2" a="1"/>
  <c r="G387" i="2" s="1"/>
  <c r="G388" i="2" a="1"/>
  <c r="G388" i="2" s="1"/>
  <c r="G389" i="2" a="1"/>
  <c r="G389" i="2" s="1"/>
  <c r="G390" i="2" a="1"/>
  <c r="G390" i="2" s="1"/>
  <c r="G391" i="2" a="1"/>
  <c r="G391" i="2" s="1"/>
  <c r="G392" i="2" a="1"/>
  <c r="G392" i="2" s="1"/>
  <c r="G393" i="2" a="1"/>
  <c r="G393" i="2" s="1"/>
  <c r="G394" i="2" a="1"/>
  <c r="G394" i="2" s="1"/>
  <c r="G395" i="2" a="1"/>
  <c r="G395" i="2" s="1"/>
  <c r="G396" i="2" a="1"/>
  <c r="G396" i="2" s="1"/>
  <c r="G397" i="2" a="1"/>
  <c r="G397" i="2" s="1"/>
  <c r="G398" i="2" a="1"/>
  <c r="G398" i="2" s="1"/>
  <c r="G399" i="2" a="1"/>
  <c r="G399" i="2" s="1"/>
  <c r="G400" i="2" a="1"/>
  <c r="G400" i="2" s="1"/>
  <c r="G401" i="2" a="1"/>
  <c r="G401" i="2" s="1"/>
  <c r="G402" i="2" a="1"/>
  <c r="G402" i="2" s="1"/>
  <c r="G403" i="2" a="1"/>
  <c r="G403" i="2" s="1"/>
  <c r="G404" i="2" a="1"/>
  <c r="G404" i="2" s="1"/>
  <c r="G405" i="2" a="1"/>
  <c r="G405" i="2" s="1"/>
  <c r="G406" i="2" a="1"/>
  <c r="G406" i="2" s="1"/>
  <c r="G407" i="2" a="1"/>
  <c r="G407" i="2" s="1"/>
  <c r="G408" i="2" a="1"/>
  <c r="G408" i="2" s="1"/>
  <c r="G409" i="2" a="1"/>
  <c r="G409" i="2" s="1"/>
  <c r="G410" i="2" a="1"/>
  <c r="G410" i="2" s="1"/>
  <c r="G411" i="2" a="1"/>
  <c r="G411" i="2" s="1"/>
  <c r="G412" i="2" a="1"/>
  <c r="G412" i="2" s="1"/>
  <c r="G413" i="2" a="1"/>
  <c r="G413" i="2" s="1"/>
  <c r="G414" i="2" a="1"/>
  <c r="G414" i="2" s="1"/>
  <c r="G415" i="2" a="1"/>
  <c r="G415" i="2" s="1"/>
  <c r="G416" i="2" a="1"/>
  <c r="G416" i="2" s="1"/>
  <c r="G417" i="2" a="1"/>
  <c r="G417" i="2" s="1"/>
  <c r="G418" i="2" a="1"/>
  <c r="G418" i="2" s="1"/>
  <c r="G419" i="2" a="1"/>
  <c r="G419" i="2"/>
  <c r="G420" i="2" a="1"/>
  <c r="G420" i="2" s="1"/>
  <c r="G421" i="2" a="1"/>
  <c r="G421" i="2" s="1"/>
  <c r="G422" i="2" a="1"/>
  <c r="G422" i="2" s="1"/>
  <c r="G423" i="2" a="1"/>
  <c r="G423" i="2" s="1"/>
  <c r="G424" i="2" a="1"/>
  <c r="G424" i="2" s="1"/>
  <c r="G425" i="2" a="1"/>
  <c r="G425" i="2" s="1"/>
  <c r="G426" i="2" a="1"/>
  <c r="G426" i="2"/>
  <c r="G427" i="2" a="1"/>
  <c r="G427" i="2" s="1"/>
  <c r="G428" i="2" a="1"/>
  <c r="G428" i="2" s="1"/>
  <c r="G429" i="2" a="1"/>
  <c r="G429" i="2" s="1"/>
  <c r="G430" i="2" a="1"/>
  <c r="G430" i="2" s="1"/>
  <c r="G431" i="2" a="1"/>
  <c r="G431" i="2" s="1"/>
  <c r="G432" i="2" a="1"/>
  <c r="G432" i="2" s="1"/>
  <c r="G433" i="2" a="1"/>
  <c r="G433" i="2" s="1"/>
  <c r="G434" i="2" a="1"/>
  <c r="G434" i="2" s="1"/>
  <c r="G435" i="2" a="1"/>
  <c r="G435" i="2" s="1"/>
  <c r="G436" i="2" a="1"/>
  <c r="G436" i="2" s="1"/>
  <c r="G437" i="2" a="1"/>
  <c r="G437" i="2" s="1"/>
  <c r="G438" i="2" a="1"/>
  <c r="G438" i="2" s="1"/>
  <c r="G439" i="2" a="1"/>
  <c r="G439" i="2" s="1"/>
  <c r="G440" i="2" a="1"/>
  <c r="G440" i="2" s="1"/>
  <c r="G441" i="2" a="1"/>
  <c r="G441" i="2" s="1"/>
  <c r="G442" i="2" a="1"/>
  <c r="G442" i="2" s="1"/>
  <c r="G443" i="2" a="1"/>
  <c r="G443" i="2" s="1"/>
  <c r="G444" i="2" a="1"/>
  <c r="G444" i="2" s="1"/>
  <c r="G445" i="2" a="1"/>
  <c r="G445" i="2" s="1"/>
  <c r="G446" i="2" a="1"/>
  <c r="G446" i="2" s="1"/>
  <c r="G447" i="2" a="1"/>
  <c r="G447" i="2" s="1"/>
  <c r="G448" i="2" a="1"/>
  <c r="G448" i="2" s="1"/>
  <c r="G449" i="2" a="1"/>
  <c r="G449" i="2" s="1"/>
  <c r="G450" i="2" a="1"/>
  <c r="G450" i="2" s="1"/>
  <c r="G451" i="2" a="1"/>
  <c r="G451" i="2" s="1"/>
  <c r="G452" i="2" a="1"/>
  <c r="G452" i="2" s="1"/>
  <c r="G453" i="2" a="1"/>
  <c r="G453" i="2" s="1"/>
  <c r="G454" i="2" a="1"/>
  <c r="G454" i="2" s="1"/>
  <c r="G455" i="2" a="1"/>
  <c r="G455" i="2" s="1"/>
  <c r="G456" i="2" a="1"/>
  <c r="G456" i="2" s="1"/>
  <c r="G457" i="2" a="1"/>
  <c r="G457" i="2" s="1"/>
  <c r="G458" i="2" a="1"/>
  <c r="G458" i="2" s="1"/>
  <c r="G459" i="2" a="1"/>
  <c r="G459" i="2" s="1"/>
  <c r="G460" i="2" a="1"/>
  <c r="G460" i="2" s="1"/>
  <c r="G461" i="2" a="1"/>
  <c r="G461" i="2" s="1"/>
  <c r="G462" i="2" a="1"/>
  <c r="G462" i="2" s="1"/>
  <c r="G463" i="2" a="1"/>
  <c r="G463" i="2" s="1"/>
  <c r="G464" i="2" a="1"/>
  <c r="G464" i="2" s="1"/>
  <c r="G465" i="2" a="1"/>
  <c r="G465" i="2" s="1"/>
  <c r="G466" i="2" a="1"/>
  <c r="G466" i="2" s="1"/>
  <c r="G467" i="2" a="1"/>
  <c r="G467" i="2" s="1"/>
  <c r="G468" i="2" a="1"/>
  <c r="G468" i="2" s="1"/>
  <c r="G469" i="2" a="1"/>
  <c r="G469" i="2" s="1"/>
  <c r="G470" i="2" a="1"/>
  <c r="G470" i="2" s="1"/>
  <c r="G471" i="2" a="1"/>
  <c r="G471" i="2" s="1"/>
  <c r="G472" i="2" a="1"/>
  <c r="G472" i="2" s="1"/>
  <c r="G473" i="2" a="1"/>
  <c r="G473" i="2" s="1"/>
  <c r="G474" i="2" a="1"/>
  <c r="G474" i="2" s="1"/>
  <c r="G475" i="2" a="1"/>
  <c r="G475" i="2"/>
  <c r="G476" i="2" a="1"/>
  <c r="G476" i="2"/>
  <c r="G477" i="2" a="1"/>
  <c r="G477" i="2" s="1"/>
  <c r="G478" i="2" a="1"/>
  <c r="G478" i="2" s="1"/>
  <c r="G479" i="2" a="1"/>
  <c r="G479" i="2" s="1"/>
  <c r="G480" i="2" a="1"/>
  <c r="G480" i="2" s="1"/>
  <c r="G481" i="2" a="1"/>
  <c r="G481" i="2" s="1"/>
  <c r="G482" i="2" a="1"/>
  <c r="G482" i="2" s="1"/>
  <c r="G483" i="2" a="1"/>
  <c r="G483" i="2" s="1"/>
  <c r="G484" i="2" a="1"/>
  <c r="G484" i="2" s="1"/>
  <c r="G485" i="2" a="1"/>
  <c r="G485" i="2"/>
  <c r="G486" i="2" a="1"/>
  <c r="G486" i="2" s="1"/>
  <c r="G487" i="2" a="1"/>
  <c r="G487" i="2" s="1"/>
  <c r="G488" i="2" a="1"/>
  <c r="G488" i="2"/>
  <c r="G489" i="2" a="1"/>
  <c r="G489" i="2" s="1"/>
  <c r="G490" i="2" a="1"/>
  <c r="G490" i="2" s="1"/>
  <c r="G491" i="2" a="1"/>
  <c r="G491" i="2" s="1"/>
  <c r="G492" i="2" a="1"/>
  <c r="G492" i="2" s="1"/>
  <c r="G493" i="2" a="1"/>
  <c r="G493" i="2" s="1"/>
  <c r="G494" i="2" a="1"/>
  <c r="G494" i="2" s="1"/>
  <c r="G495" i="2" a="1"/>
  <c r="G495" i="2" s="1"/>
  <c r="G496" i="2" a="1"/>
  <c r="G496" i="2" s="1"/>
  <c r="G497" i="2" a="1"/>
  <c r="G497" i="2" s="1"/>
  <c r="G498" i="2" a="1"/>
  <c r="G498" i="2" s="1"/>
  <c r="G499" i="2" a="1"/>
  <c r="G499" i="2" s="1"/>
  <c r="G500" i="2" a="1"/>
  <c r="G500" i="2" s="1"/>
  <c r="G501" i="2" a="1"/>
  <c r="G501" i="2" s="1"/>
  <c r="G502" i="2" a="1"/>
  <c r="G502" i="2" s="1"/>
  <c r="G503" i="2" a="1"/>
  <c r="G503" i="2" s="1"/>
  <c r="G504" i="2" a="1"/>
  <c r="G504" i="2" s="1"/>
  <c r="G505" i="2" a="1"/>
  <c r="G505" i="2"/>
  <c r="G506" i="2" a="1"/>
  <c r="G506" i="2" s="1"/>
  <c r="G507" i="2" a="1"/>
  <c r="G507" i="2" s="1"/>
  <c r="G508" i="2" a="1"/>
  <c r="G508" i="2" s="1"/>
  <c r="G509" i="2" a="1"/>
  <c r="G509" i="2" s="1"/>
  <c r="G510" i="2" a="1"/>
  <c r="G510" i="2" s="1"/>
  <c r="G511" i="2" a="1"/>
  <c r="G511" i="2" s="1"/>
  <c r="G512" i="2" a="1"/>
  <c r="G512" i="2"/>
  <c r="G513" i="2" a="1"/>
  <c r="G513" i="2" s="1"/>
  <c r="G514" i="2" a="1"/>
  <c r="G514" i="2" s="1"/>
  <c r="G515" i="2" a="1"/>
  <c r="G515" i="2" s="1"/>
  <c r="G516" i="2" a="1"/>
  <c r="G516" i="2" s="1"/>
  <c r="G517" i="2" a="1"/>
  <c r="G517" i="2" s="1"/>
  <c r="G518" i="2" a="1"/>
  <c r="G518" i="2" s="1"/>
  <c r="G519" i="2" a="1"/>
  <c r="G519" i="2" s="1"/>
  <c r="G520" i="2" a="1"/>
  <c r="G520" i="2" s="1"/>
  <c r="G521" i="2" a="1"/>
  <c r="G521" i="2" s="1"/>
  <c r="G522" i="2" a="1"/>
  <c r="G522" i="2" s="1"/>
  <c r="G523" i="2" a="1"/>
  <c r="G523" i="2" s="1"/>
  <c r="G524" i="2" a="1"/>
  <c r="G524" i="2" s="1"/>
  <c r="G525" i="2" a="1"/>
  <c r="G525" i="2" s="1"/>
  <c r="G526" i="2" a="1"/>
  <c r="G526" i="2" s="1"/>
  <c r="G527" i="2" a="1"/>
  <c r="G527" i="2" s="1"/>
  <c r="G528" i="2" a="1"/>
  <c r="G528" i="2" s="1"/>
  <c r="G529" i="2" a="1"/>
  <c r="G529" i="2" s="1"/>
  <c r="G530" i="2" a="1"/>
  <c r="G530" i="2"/>
  <c r="G531" i="2" a="1"/>
  <c r="G531" i="2" s="1"/>
  <c r="G532" i="2" a="1"/>
  <c r="G532" i="2" s="1"/>
  <c r="G533" i="2" a="1"/>
  <c r="G533" i="2" s="1"/>
  <c r="G534" i="2" a="1"/>
  <c r="G534" i="2"/>
  <c r="G535" i="2" a="1"/>
  <c r="G535" i="2" s="1"/>
  <c r="G536" i="2" a="1"/>
  <c r="G536" i="2" s="1"/>
  <c r="G537" i="2" a="1"/>
  <c r="G537" i="2" s="1"/>
  <c r="G538" i="2" a="1"/>
  <c r="G538" i="2" s="1"/>
  <c r="G539" i="2" a="1"/>
  <c r="G539" i="2" s="1"/>
  <c r="G540" i="2" a="1"/>
  <c r="G540" i="2" s="1"/>
  <c r="G541" i="2" a="1"/>
  <c r="G541" i="2"/>
  <c r="G542" i="2" a="1"/>
  <c r="G542" i="2" s="1"/>
  <c r="G543" i="2" a="1"/>
  <c r="G543" i="2" s="1"/>
  <c r="G544" i="2" a="1"/>
  <c r="G544" i="2" s="1"/>
  <c r="G545" i="2" a="1"/>
  <c r="G545" i="2" s="1"/>
  <c r="G546" i="2" a="1"/>
  <c r="G546" i="2" s="1"/>
  <c r="G547" i="2" a="1"/>
  <c r="G547" i="2" s="1"/>
  <c r="G548" i="2" a="1"/>
  <c r="G548" i="2"/>
  <c r="G549" i="2" a="1"/>
  <c r="G549" i="2" s="1"/>
  <c r="G550" i="2" a="1"/>
  <c r="G550" i="2" s="1"/>
  <c r="G551" i="2" a="1"/>
  <c r="G551" i="2" s="1"/>
  <c r="G552" i="2" a="1"/>
  <c r="G552" i="2" s="1"/>
  <c r="G553" i="2" a="1"/>
  <c r="G553" i="2" s="1"/>
  <c r="G554" i="2" a="1"/>
  <c r="G554" i="2" s="1"/>
  <c r="G555" i="2" a="1"/>
  <c r="G555" i="2" s="1"/>
  <c r="G556" i="2" a="1"/>
  <c r="G556" i="2" s="1"/>
  <c r="G557" i="2" a="1"/>
  <c r="G557" i="2" s="1"/>
  <c r="G558" i="2" a="1"/>
  <c r="G558" i="2" s="1"/>
  <c r="G559" i="2" a="1"/>
  <c r="G559" i="2"/>
  <c r="G560" i="2" a="1"/>
  <c r="G560" i="2" s="1"/>
  <c r="G561" i="2" a="1"/>
  <c r="G561" i="2" s="1"/>
  <c r="G562" i="2" a="1"/>
  <c r="G562" i="2" s="1"/>
  <c r="G563" i="2" a="1"/>
  <c r="G563" i="2" s="1"/>
  <c r="G564" i="2" a="1"/>
  <c r="G564" i="2" s="1"/>
  <c r="G565" i="2" a="1"/>
  <c r="G565" i="2" s="1"/>
  <c r="G566" i="2" a="1"/>
  <c r="G566" i="2"/>
  <c r="G567" i="2" a="1"/>
  <c r="G567" i="2" s="1"/>
  <c r="G568" i="2" a="1"/>
  <c r="G568" i="2" s="1"/>
  <c r="G569" i="2" a="1"/>
  <c r="G569" i="2" s="1"/>
  <c r="G570" i="2" a="1"/>
  <c r="G570" i="2" s="1"/>
  <c r="G571" i="2" a="1"/>
  <c r="G571" i="2" s="1"/>
  <c r="G572" i="2" a="1"/>
  <c r="G572" i="2" s="1"/>
  <c r="G573" i="2" a="1"/>
  <c r="G573" i="2" s="1"/>
  <c r="G574" i="2" a="1"/>
  <c r="G574" i="2" s="1"/>
  <c r="G575" i="2" a="1"/>
  <c r="G575" i="2" s="1"/>
  <c r="G576" i="2" a="1"/>
  <c r="G576" i="2" s="1"/>
  <c r="G577" i="2" a="1"/>
  <c r="G577" i="2"/>
  <c r="G578" i="2" a="1"/>
  <c r="G578" i="2"/>
  <c r="G579" i="2" a="1"/>
  <c r="G579" i="2" s="1"/>
  <c r="G580" i="2" a="1"/>
  <c r="G580" i="2" s="1"/>
  <c r="G581" i="2" a="1"/>
  <c r="G581" i="2" s="1"/>
  <c r="G582" i="2" a="1"/>
  <c r="G582" i="2" s="1"/>
  <c r="G583" i="2" a="1"/>
  <c r="G583" i="2" s="1"/>
  <c r="G584" i="2" a="1"/>
  <c r="G584" i="2" s="1"/>
  <c r="G585" i="2" a="1"/>
  <c r="G585" i="2" s="1"/>
  <c r="G586" i="2" a="1"/>
  <c r="G586" i="2" s="1"/>
  <c r="G587" i="2" a="1"/>
  <c r="G587" i="2" s="1"/>
  <c r="G588" i="2" a="1"/>
  <c r="G588" i="2" s="1"/>
  <c r="G589" i="2" a="1"/>
  <c r="G589" i="2" s="1"/>
  <c r="G590" i="2" a="1"/>
  <c r="G590" i="2" s="1"/>
  <c r="G591" i="2" a="1"/>
  <c r="G591" i="2"/>
  <c r="G592" i="2" a="1"/>
  <c r="G592" i="2" s="1"/>
  <c r="G593" i="2" a="1"/>
  <c r="G593" i="2" s="1"/>
  <c r="G594" i="2" a="1"/>
  <c r="G594" i="2" s="1"/>
  <c r="G595" i="2" a="1"/>
  <c r="G595" i="2" s="1"/>
  <c r="G596" i="2" a="1"/>
  <c r="G596" i="2" s="1"/>
  <c r="G597" i="2" a="1"/>
  <c r="G597" i="2" s="1"/>
  <c r="G598" i="2" a="1"/>
  <c r="G598" i="2" s="1"/>
  <c r="G599" i="2" a="1"/>
  <c r="G599" i="2" s="1"/>
  <c r="G600" i="2" a="1"/>
  <c r="G600" i="2" s="1"/>
  <c r="G601" i="2" a="1"/>
  <c r="G601" i="2"/>
  <c r="G602" i="2" a="1"/>
  <c r="G602" i="2" s="1"/>
  <c r="G603" i="2" a="1"/>
  <c r="G603" i="2" s="1"/>
  <c r="G604" i="2" a="1"/>
  <c r="G604" i="2" s="1"/>
  <c r="G605" i="2" a="1"/>
  <c r="G605" i="2" s="1"/>
  <c r="G606" i="2" a="1"/>
  <c r="G606" i="2" s="1"/>
  <c r="G607" i="2" a="1"/>
  <c r="G607" i="2"/>
  <c r="G608" i="2" a="1"/>
  <c r="G608" i="2" s="1"/>
  <c r="G609" i="2" a="1"/>
  <c r="G609" i="2" s="1"/>
  <c r="G610" i="2" a="1"/>
  <c r="G610" i="2" s="1"/>
  <c r="G611" i="2" a="1"/>
  <c r="G611" i="2" s="1"/>
  <c r="G612" i="2" a="1"/>
  <c r="G612" i="2" s="1"/>
  <c r="G613" i="2" a="1"/>
  <c r="G613" i="2" s="1"/>
  <c r="G614" i="2" a="1"/>
  <c r="G614" i="2" s="1"/>
  <c r="G615" i="2" a="1"/>
  <c r="G615" i="2" s="1"/>
  <c r="G616" i="2" a="1"/>
  <c r="G616" i="2" s="1"/>
  <c r="G617" i="2" a="1"/>
  <c r="G617" i="2" s="1"/>
  <c r="G618" i="2" a="1"/>
  <c r="G618" i="2" s="1"/>
  <c r="G619" i="2" a="1"/>
  <c r="G619" i="2" s="1"/>
  <c r="G620" i="2" a="1"/>
  <c r="G620" i="2" s="1"/>
  <c r="G621" i="2" a="1"/>
  <c r="G621" i="2" s="1"/>
  <c r="G622" i="2" a="1"/>
  <c r="G622" i="2" s="1"/>
  <c r="G623" i="2" a="1"/>
  <c r="G623" i="2" s="1"/>
  <c r="G624" i="2" a="1"/>
  <c r="G624" i="2" s="1"/>
  <c r="G625" i="2" a="1"/>
  <c r="G625" i="2"/>
  <c r="G626" i="2" a="1"/>
  <c r="G626" i="2"/>
  <c r="G627" i="2" a="1"/>
  <c r="G627" i="2" s="1"/>
  <c r="G628" i="2" a="1"/>
  <c r="G628" i="2" s="1"/>
  <c r="G629" i="2" a="1"/>
  <c r="G629" i="2" s="1"/>
  <c r="G630" i="2" a="1"/>
  <c r="G630" i="2" s="1"/>
  <c r="G631" i="2" a="1"/>
  <c r="G631" i="2" s="1"/>
  <c r="G632" i="2" a="1"/>
  <c r="G632" i="2" s="1"/>
  <c r="G633" i="2" a="1"/>
  <c r="G633" i="2" s="1"/>
  <c r="G634" i="2" a="1"/>
  <c r="G634" i="2" s="1"/>
  <c r="G635" i="2" a="1"/>
  <c r="G635" i="2" s="1"/>
  <c r="G636" i="2" a="1"/>
  <c r="G636" i="2" s="1"/>
  <c r="G637" i="2" a="1"/>
  <c r="G637" i="2" s="1"/>
  <c r="G638" i="2" a="1"/>
  <c r="G638" i="2" s="1"/>
  <c r="G639" i="2" a="1"/>
  <c r="G639" i="2" s="1"/>
  <c r="G640" i="2" a="1"/>
  <c r="G640" i="2" s="1"/>
  <c r="G641" i="2" a="1"/>
  <c r="G641" i="2" s="1"/>
  <c r="G642" i="2" a="1"/>
  <c r="G642" i="2" s="1"/>
  <c r="G643" i="2" a="1"/>
  <c r="G643" i="2" s="1"/>
  <c r="G644" i="2" a="1"/>
  <c r="G644" i="2" s="1"/>
  <c r="G645" i="2" a="1"/>
  <c r="G645" i="2" s="1"/>
  <c r="G646" i="2" a="1"/>
  <c r="G646" i="2" s="1"/>
  <c r="G647" i="2" a="1"/>
  <c r="G647" i="2" s="1"/>
  <c r="G648" i="2" a="1"/>
  <c r="G648" i="2" s="1"/>
  <c r="G649" i="2" a="1"/>
  <c r="G649" i="2" s="1"/>
  <c r="G650" i="2" a="1"/>
  <c r="G650" i="2" s="1"/>
  <c r="G651" i="2" a="1"/>
  <c r="G651" i="2"/>
  <c r="G652" i="2" a="1"/>
  <c r="G652" i="2" s="1"/>
  <c r="G653" i="2" a="1"/>
  <c r="G653" i="2" s="1"/>
  <c r="G654" i="2" a="1"/>
  <c r="G654" i="2" s="1"/>
  <c r="G655" i="2" a="1"/>
  <c r="G655" i="2" s="1"/>
  <c r="G656" i="2" a="1"/>
  <c r="G656" i="2" s="1"/>
  <c r="G657" i="2" a="1"/>
  <c r="G657" i="2" s="1"/>
  <c r="G658" i="2" a="1"/>
  <c r="G658" i="2" s="1"/>
  <c r="G659" i="2" a="1"/>
  <c r="G659" i="2" s="1"/>
  <c r="G660" i="2" a="1"/>
  <c r="G660" i="2" s="1"/>
  <c r="G661" i="2" a="1"/>
  <c r="G661" i="2" s="1"/>
  <c r="G662" i="2" a="1"/>
  <c r="G662" i="2"/>
  <c r="G663" i="2" a="1"/>
  <c r="G663" i="2" s="1"/>
  <c r="G664" i="2" a="1"/>
  <c r="G664" i="2" s="1"/>
  <c r="G665" i="2" a="1"/>
  <c r="G665" i="2" s="1"/>
  <c r="G666" i="2" a="1"/>
  <c r="G666" i="2" s="1"/>
  <c r="G667" i="2" a="1"/>
  <c r="G667" i="2"/>
  <c r="G668" i="2" a="1"/>
  <c r="G668" i="2" s="1"/>
  <c r="G669" i="2" a="1"/>
  <c r="G669" i="2" s="1"/>
  <c r="G670" i="2" a="1"/>
  <c r="G670" i="2" s="1"/>
  <c r="G671" i="2" a="1"/>
  <c r="G671" i="2" s="1"/>
  <c r="G672" i="2" a="1"/>
  <c r="G672" i="2" s="1"/>
  <c r="G673" i="2" a="1"/>
  <c r="G673" i="2" s="1"/>
  <c r="G674" i="2" a="1"/>
  <c r="G674" i="2" s="1"/>
  <c r="G675" i="2" a="1"/>
  <c r="G675" i="2" s="1"/>
  <c r="G676" i="2" a="1"/>
  <c r="G676" i="2" s="1"/>
  <c r="G677" i="2" a="1"/>
  <c r="G677" i="2" s="1"/>
  <c r="G678" i="2" a="1"/>
  <c r="G678" i="2" s="1"/>
  <c r="G679" i="2" a="1"/>
  <c r="G679" i="2" s="1"/>
  <c r="G680" i="2" a="1"/>
  <c r="G680" i="2" s="1"/>
  <c r="G681" i="2" a="1"/>
  <c r="G681" i="2" s="1"/>
  <c r="G682" i="2" a="1"/>
  <c r="G682" i="2" s="1"/>
  <c r="G683" i="2" a="1"/>
  <c r="G683" i="2" s="1"/>
  <c r="G684" i="2" a="1"/>
  <c r="G684" i="2" s="1"/>
  <c r="G685" i="2" a="1"/>
  <c r="G685" i="2" s="1"/>
  <c r="G686" i="2" a="1"/>
  <c r="G686" i="2" s="1"/>
  <c r="G687" i="2" a="1"/>
  <c r="G687" i="2" s="1"/>
  <c r="G688" i="2" a="1"/>
  <c r="G688" i="2" s="1"/>
  <c r="G689" i="2" a="1"/>
  <c r="G689" i="2" s="1"/>
  <c r="G690" i="2" a="1"/>
  <c r="G690" i="2" s="1"/>
  <c r="G691" i="2" a="1"/>
  <c r="G691" i="2"/>
  <c r="G692" i="2" a="1"/>
  <c r="G692" i="2" s="1"/>
  <c r="G693" i="2" a="1"/>
  <c r="G693" i="2" s="1"/>
  <c r="G694" i="2" a="1"/>
  <c r="G694" i="2" s="1"/>
  <c r="G695" i="2" a="1"/>
  <c r="G695" i="2" s="1"/>
  <c r="G696" i="2" a="1"/>
  <c r="G696" i="2" s="1"/>
  <c r="G697" i="2" a="1"/>
  <c r="G697" i="2" s="1"/>
  <c r="G698" i="2" a="1"/>
  <c r="G698" i="2" s="1"/>
  <c r="G699" i="2" a="1"/>
  <c r="G699" i="2" s="1"/>
  <c r="G700" i="2" a="1"/>
  <c r="G700" i="2" s="1"/>
  <c r="G701" i="2" a="1"/>
  <c r="G701" i="2" s="1"/>
  <c r="G702" i="2" a="1"/>
  <c r="G702" i="2" s="1"/>
  <c r="G703" i="2" a="1"/>
  <c r="G703" i="2" s="1"/>
  <c r="G704" i="2" a="1"/>
  <c r="G704" i="2" s="1"/>
  <c r="G705" i="2" a="1"/>
  <c r="G705" i="2" s="1"/>
  <c r="G706" i="2" a="1"/>
  <c r="G706" i="2" s="1"/>
  <c r="G707" i="2" a="1"/>
  <c r="G707" i="2" s="1"/>
  <c r="G708" i="2" a="1"/>
  <c r="G708" i="2" s="1"/>
  <c r="G709" i="2" a="1"/>
  <c r="G709" i="2" s="1"/>
  <c r="G710" i="2" a="1"/>
  <c r="G710" i="2" s="1"/>
  <c r="G711" i="2" a="1"/>
  <c r="G711" i="2" s="1"/>
  <c r="G712" i="2" a="1"/>
  <c r="G712" i="2" s="1"/>
  <c r="G713" i="2" a="1"/>
  <c r="G713" i="2" s="1"/>
  <c r="G714" i="2" a="1"/>
  <c r="G714" i="2" s="1"/>
  <c r="G715" i="2" a="1"/>
  <c r="G715" i="2"/>
  <c r="G716" i="2" a="1"/>
  <c r="G716" i="2" s="1"/>
  <c r="G717" i="2" a="1"/>
  <c r="G717" i="2" s="1"/>
  <c r="G718" i="2" a="1"/>
  <c r="G718" i="2" s="1"/>
  <c r="G719" i="2" a="1"/>
  <c r="G719" i="2" s="1"/>
  <c r="G720" i="2" a="1"/>
  <c r="G720" i="2" s="1"/>
  <c r="G721" i="2" a="1"/>
  <c r="G721" i="2" s="1"/>
  <c r="G722" i="2" a="1"/>
  <c r="G722" i="2" s="1"/>
  <c r="G723" i="2" a="1"/>
  <c r="G723" i="2" s="1"/>
  <c r="G724" i="2" a="1"/>
  <c r="G724" i="2" s="1"/>
  <c r="G725" i="2" a="1"/>
  <c r="G725" i="2" s="1"/>
  <c r="G726" i="2" a="1"/>
  <c r="G726" i="2" s="1"/>
  <c r="G727" i="2" a="1"/>
  <c r="G727" i="2" s="1"/>
  <c r="G728" i="2" a="1"/>
  <c r="G728" i="2" s="1"/>
  <c r="G729" i="2" a="1"/>
  <c r="G729" i="2" s="1"/>
  <c r="G730" i="2" a="1"/>
  <c r="G730" i="2" s="1"/>
  <c r="G731" i="2" a="1"/>
  <c r="G731" i="2" s="1"/>
  <c r="G732" i="2" a="1"/>
  <c r="G732" i="2" s="1"/>
  <c r="G733" i="2" a="1"/>
  <c r="G733" i="2" s="1"/>
  <c r="G734" i="2" a="1"/>
  <c r="G734" i="2" s="1"/>
  <c r="G735" i="2" a="1"/>
  <c r="G735" i="2" s="1"/>
  <c r="G736" i="2" a="1"/>
  <c r="G736" i="2" s="1"/>
  <c r="G737" i="2" a="1"/>
  <c r="G737" i="2" s="1"/>
  <c r="G738" i="2" a="1"/>
  <c r="G738" i="2" s="1"/>
  <c r="G739" i="2" a="1"/>
  <c r="G739" i="2"/>
  <c r="G740" i="2" a="1"/>
  <c r="G740" i="2" s="1"/>
  <c r="G741" i="2" a="1"/>
  <c r="G741" i="2" s="1"/>
  <c r="G742" i="2" a="1"/>
  <c r="G742" i="2" s="1"/>
  <c r="G743" i="2" a="1"/>
  <c r="G743" i="2" s="1"/>
  <c r="G744" i="2" a="1"/>
  <c r="G744" i="2" s="1"/>
  <c r="G745" i="2" a="1"/>
  <c r="G745" i="2" s="1"/>
  <c r="G746" i="2" a="1"/>
  <c r="G746" i="2" s="1"/>
  <c r="G747" i="2" a="1"/>
  <c r="G747" i="2"/>
  <c r="G748" i="2" a="1"/>
  <c r="G748" i="2" s="1"/>
  <c r="G749" i="2" a="1"/>
  <c r="G749" i="2" s="1"/>
  <c r="G750" i="2" a="1"/>
  <c r="G750" i="2" s="1"/>
  <c r="G751" i="2" a="1"/>
  <c r="G751" i="2"/>
  <c r="G752" i="2" a="1"/>
  <c r="G752" i="2" s="1"/>
  <c r="G753" i="2" a="1"/>
  <c r="G753" i="2" s="1"/>
  <c r="G754" i="2" a="1"/>
  <c r="G754" i="2" s="1"/>
  <c r="G755" i="2" a="1"/>
  <c r="G755" i="2" s="1"/>
  <c r="G756" i="2" a="1"/>
  <c r="G756" i="2" s="1"/>
  <c r="G757" i="2" a="1"/>
  <c r="G757" i="2" s="1"/>
  <c r="G758" i="2" a="1"/>
  <c r="G758" i="2"/>
  <c r="G759" i="2" a="1"/>
  <c r="G759" i="2"/>
  <c r="G760" i="2" a="1"/>
  <c r="G760" i="2" s="1"/>
  <c r="G761" i="2" a="1"/>
  <c r="G761" i="2" s="1"/>
  <c r="G762" i="2" a="1"/>
  <c r="G762" i="2" s="1"/>
  <c r="G763" i="2" a="1"/>
  <c r="G763" i="2" s="1"/>
  <c r="G764" i="2" a="1"/>
  <c r="G764" i="2" s="1"/>
  <c r="G765" i="2" a="1"/>
  <c r="G765" i="2" s="1"/>
  <c r="G766" i="2" a="1"/>
  <c r="G766" i="2" s="1"/>
  <c r="G767" i="2" a="1"/>
  <c r="G767" i="2" s="1"/>
  <c r="G768" i="2" a="1"/>
  <c r="G768" i="2" s="1"/>
  <c r="G769" i="2" a="1"/>
  <c r="G769" i="2" s="1"/>
  <c r="G770" i="2" a="1"/>
  <c r="G770" i="2" s="1"/>
  <c r="G771" i="2" a="1"/>
  <c r="G771" i="2" s="1"/>
  <c r="G772" i="2" a="1"/>
  <c r="G772" i="2" s="1"/>
  <c r="G773" i="2" a="1"/>
  <c r="G773" i="2" s="1"/>
  <c r="G774" i="2" a="1"/>
  <c r="G774" i="2" s="1"/>
  <c r="G775" i="2" a="1"/>
  <c r="G775" i="2" s="1"/>
  <c r="G776" i="2" a="1"/>
  <c r="G776" i="2" s="1"/>
  <c r="G777" i="2" a="1"/>
  <c r="G777" i="2" s="1"/>
  <c r="G778" i="2" a="1"/>
  <c r="G778" i="2" s="1"/>
  <c r="G779" i="2" a="1"/>
  <c r="G779" i="2" s="1"/>
  <c r="G780" i="2" a="1"/>
  <c r="G780" i="2" s="1"/>
  <c r="G781" i="2" a="1"/>
  <c r="G781" i="2" s="1"/>
  <c r="G782" i="2" a="1"/>
  <c r="G782" i="2" s="1"/>
  <c r="G783" i="2" a="1"/>
  <c r="G783" i="2" s="1"/>
  <c r="G784" i="2" a="1"/>
  <c r="G784" i="2" s="1"/>
  <c r="G785" i="2" a="1"/>
  <c r="G785" i="2" s="1"/>
  <c r="G786" i="2" a="1"/>
  <c r="G786" i="2" s="1"/>
  <c r="G787" i="2" a="1"/>
  <c r="G787" i="2"/>
  <c r="G788" i="2" a="1"/>
  <c r="G788" i="2" s="1"/>
  <c r="G789" i="2" a="1"/>
  <c r="G789" i="2" s="1"/>
  <c r="G790" i="2" a="1"/>
  <c r="G790" i="2" s="1"/>
  <c r="G791" i="2" a="1"/>
  <c r="G791" i="2" s="1"/>
  <c r="G792" i="2" a="1"/>
  <c r="G792" i="2" s="1"/>
  <c r="G793" i="2" a="1"/>
  <c r="G793" i="2" s="1"/>
  <c r="G794" i="2" a="1"/>
  <c r="G794" i="2" s="1"/>
  <c r="G795" i="2" a="1"/>
  <c r="G795" i="2"/>
  <c r="G796" i="2" a="1"/>
  <c r="G796" i="2" s="1"/>
  <c r="G797" i="2" a="1"/>
  <c r="G797" i="2" s="1"/>
  <c r="G798" i="2" a="1"/>
  <c r="G798" i="2" s="1"/>
  <c r="G799" i="2" a="1"/>
  <c r="G799" i="2" s="1"/>
  <c r="G800" i="2" a="1"/>
  <c r="G800" i="2" s="1"/>
  <c r="G801" i="2" a="1"/>
  <c r="G801" i="2" s="1"/>
  <c r="G802" i="2" a="1"/>
  <c r="G802" i="2" s="1"/>
  <c r="G803" i="2" a="1"/>
  <c r="G803" i="2" s="1"/>
  <c r="G804" i="2" a="1"/>
  <c r="G804" i="2" s="1"/>
  <c r="G805" i="2" a="1"/>
  <c r="G805" i="2" s="1"/>
  <c r="G806" i="2" a="1"/>
  <c r="G806" i="2" s="1"/>
  <c r="G807" i="2" a="1"/>
  <c r="G807" i="2"/>
  <c r="G808" i="2" a="1"/>
  <c r="G808" i="2" s="1"/>
  <c r="G809" i="2" a="1"/>
  <c r="G809" i="2" s="1"/>
  <c r="G810" i="2" a="1"/>
  <c r="G810" i="2" s="1"/>
  <c r="G811" i="2" a="1"/>
  <c r="G811" i="2" s="1"/>
  <c r="G812" i="2" a="1"/>
  <c r="G812" i="2" s="1"/>
  <c r="G813" i="2" a="1"/>
  <c r="G813" i="2" s="1"/>
  <c r="G814" i="2" a="1"/>
  <c r="G814" i="2" s="1"/>
  <c r="G815" i="2" a="1"/>
  <c r="G815" i="2" s="1"/>
  <c r="G816" i="2" a="1"/>
  <c r="G816" i="2" s="1"/>
  <c r="G817" i="2" a="1"/>
  <c r="G817" i="2"/>
  <c r="G818" i="2" a="1"/>
  <c r="G818" i="2" s="1"/>
  <c r="G819" i="2" a="1"/>
  <c r="G819" i="2" s="1"/>
  <c r="G820" i="2" a="1"/>
  <c r="G820" i="2" s="1"/>
  <c r="G821" i="2" a="1"/>
  <c r="G821" i="2" s="1"/>
  <c r="G822" i="2" a="1"/>
  <c r="G822" i="2" s="1"/>
  <c r="G823" i="2" a="1"/>
  <c r="G823" i="2" s="1"/>
  <c r="G824" i="2" a="1"/>
  <c r="G824" i="2" s="1"/>
  <c r="G825" i="2" a="1"/>
  <c r="G825" i="2" s="1"/>
  <c r="G826" i="2" a="1"/>
  <c r="G826" i="2" s="1"/>
  <c r="G827" i="2" a="1"/>
  <c r="G827" i="2" s="1"/>
  <c r="G828" i="2" a="1"/>
  <c r="G828" i="2" s="1"/>
  <c r="G829" i="2" a="1"/>
  <c r="G829" i="2" s="1"/>
  <c r="G830" i="2" a="1"/>
  <c r="G830" i="2" s="1"/>
  <c r="G831" i="2" a="1"/>
  <c r="G831" i="2" s="1"/>
  <c r="G832" i="2" a="1"/>
  <c r="G832" i="2" s="1"/>
  <c r="G833" i="2" a="1"/>
  <c r="G833" i="2" s="1"/>
  <c r="G834" i="2" a="1"/>
  <c r="G834" i="2" s="1"/>
  <c r="G835" i="2" a="1"/>
  <c r="G835" i="2"/>
  <c r="G836" i="2" a="1"/>
  <c r="G836" i="2" s="1"/>
  <c r="G837" i="2" a="1"/>
  <c r="G837" i="2" s="1"/>
  <c r="G838" i="2" a="1"/>
  <c r="G838" i="2" s="1"/>
  <c r="G839" i="2" a="1"/>
  <c r="G839" i="2" s="1"/>
  <c r="G840" i="2" a="1"/>
  <c r="G840" i="2" s="1"/>
  <c r="G841" i="2" a="1"/>
  <c r="G841" i="2" s="1"/>
  <c r="G842" i="2" a="1"/>
  <c r="G842" i="2" s="1"/>
  <c r="G843" i="2" a="1"/>
  <c r="G843" i="2" s="1"/>
  <c r="G844" i="2" a="1"/>
  <c r="G844" i="2" s="1"/>
  <c r="G845" i="2" a="1"/>
  <c r="G845" i="2" s="1"/>
  <c r="G846" i="2" a="1"/>
  <c r="G846" i="2" s="1"/>
  <c r="G847" i="2" a="1"/>
  <c r="G847" i="2"/>
  <c r="G848" i="2" a="1"/>
  <c r="G848" i="2" s="1"/>
  <c r="G849" i="2" a="1"/>
  <c r="G849" i="2" s="1"/>
  <c r="G850" i="2" a="1"/>
  <c r="G850" i="2" s="1"/>
  <c r="G851" i="2" a="1"/>
  <c r="G851" i="2" s="1"/>
  <c r="G852" i="2" a="1"/>
  <c r="G852" i="2" s="1"/>
  <c r="G853" i="2" a="1"/>
  <c r="G853" i="2" s="1"/>
  <c r="G854" i="2" a="1"/>
  <c r="G854" i="2"/>
  <c r="G855" i="2" a="1"/>
  <c r="G855" i="2" s="1"/>
  <c r="G856" i="2" a="1"/>
  <c r="G856" i="2" s="1"/>
  <c r="G857" i="2" a="1"/>
  <c r="G857" i="2" s="1"/>
  <c r="G858" i="2" a="1"/>
  <c r="G858" i="2" s="1"/>
  <c r="G859" i="2" a="1"/>
  <c r="G859" i="2" s="1"/>
  <c r="G860" i="2" a="1"/>
  <c r="G860" i="2" s="1"/>
  <c r="G861" i="2" a="1"/>
  <c r="G861" i="2" s="1"/>
  <c r="G862" i="2" a="1"/>
  <c r="G862" i="2" s="1"/>
  <c r="G863" i="2" a="1"/>
  <c r="G863" i="2" s="1"/>
  <c r="G864" i="2" a="1"/>
  <c r="G864" i="2" s="1"/>
  <c r="G865" i="2" a="1"/>
  <c r="G865" i="2"/>
  <c r="G866" i="2" a="1"/>
  <c r="G866" i="2" s="1"/>
  <c r="G867" i="2" a="1"/>
  <c r="G867" i="2" s="1"/>
  <c r="G868" i="2" a="1"/>
  <c r="G868" i="2" s="1"/>
  <c r="G869" i="2" a="1"/>
  <c r="G869" i="2" s="1"/>
  <c r="G870" i="2" a="1"/>
  <c r="G870" i="2" s="1"/>
  <c r="G871" i="2" a="1"/>
  <c r="G871" i="2" s="1"/>
  <c r="G872" i="2" a="1"/>
  <c r="G872" i="2" s="1"/>
  <c r="G873" i="2" a="1"/>
  <c r="G873" i="2" s="1"/>
  <c r="G874" i="2" a="1"/>
  <c r="G874" i="2" s="1"/>
  <c r="G875" i="2" a="1"/>
  <c r="G875" i="2" s="1"/>
  <c r="G876" i="2" a="1"/>
  <c r="G876" i="2" s="1"/>
  <c r="G877" i="2" a="1"/>
  <c r="G877" i="2" s="1"/>
  <c r="G878" i="2" a="1"/>
  <c r="G878" i="2" s="1"/>
  <c r="G879" i="2" a="1"/>
  <c r="G879" i="2" s="1"/>
  <c r="G880" i="2" a="1"/>
  <c r="G880" i="2" s="1"/>
  <c r="G881" i="2" a="1"/>
  <c r="G881" i="2" s="1"/>
  <c r="G882" i="2" a="1"/>
  <c r="G882" i="2" s="1"/>
  <c r="G883" i="2" a="1"/>
  <c r="G883" i="2"/>
  <c r="G884" i="2" a="1"/>
  <c r="G884" i="2" s="1"/>
  <c r="G885" i="2" a="1"/>
  <c r="G885" i="2" s="1"/>
  <c r="G886" i="2" a="1"/>
  <c r="G886" i="2" s="1"/>
  <c r="G887" i="2" a="1"/>
  <c r="G887" i="2" s="1"/>
  <c r="G888" i="2" a="1"/>
  <c r="G888" i="2" s="1"/>
  <c r="G889" i="2" a="1"/>
  <c r="G889" i="2" s="1"/>
  <c r="G890" i="2" a="1"/>
  <c r="G890" i="2" s="1"/>
  <c r="G891" i="2" a="1"/>
  <c r="G891" i="2"/>
  <c r="G892" i="2" a="1"/>
  <c r="G892" i="2" s="1"/>
  <c r="G893" i="2" a="1"/>
  <c r="G893" i="2" s="1"/>
  <c r="G894" i="2" a="1"/>
  <c r="G894" i="2" s="1"/>
  <c r="G895" i="2" a="1"/>
  <c r="G895" i="2" s="1"/>
  <c r="G896" i="2" a="1"/>
  <c r="G896" i="2" s="1"/>
  <c r="G897" i="2" a="1"/>
  <c r="G897" i="2" s="1"/>
  <c r="G898" i="2" a="1"/>
  <c r="G898" i="2" s="1"/>
  <c r="G899" i="2" a="1"/>
  <c r="G899" i="2" s="1"/>
  <c r="G900" i="2" a="1"/>
  <c r="G900" i="2" s="1"/>
  <c r="G901" i="2" a="1"/>
  <c r="G901" i="2"/>
  <c r="G902" i="2" a="1"/>
  <c r="G902" i="2" s="1"/>
  <c r="G903" i="2" a="1"/>
  <c r="G903" i="2" s="1"/>
  <c r="G904" i="2" a="1"/>
  <c r="G904" i="2" s="1"/>
  <c r="G905" i="2" a="1"/>
  <c r="G905" i="2" s="1"/>
  <c r="G906" i="2" a="1"/>
  <c r="G906" i="2" s="1"/>
  <c r="G907" i="2" a="1"/>
  <c r="G907" i="2" s="1"/>
  <c r="G908" i="2" a="1"/>
  <c r="G908" i="2" s="1"/>
  <c r="G909" i="2" a="1"/>
  <c r="G909" i="2" s="1"/>
  <c r="G910" i="2" a="1"/>
  <c r="G910" i="2" s="1"/>
  <c r="G911" i="2" a="1"/>
  <c r="G911" i="2" s="1"/>
  <c r="G912" i="2" a="1"/>
  <c r="G912" i="2" s="1"/>
  <c r="G913" i="2" a="1"/>
  <c r="G913" i="2" s="1"/>
  <c r="G914" i="2" a="1"/>
  <c r="G914" i="2" s="1"/>
  <c r="G915" i="2" a="1"/>
  <c r="G915" i="2" s="1"/>
  <c r="G916" i="2" a="1"/>
  <c r="G916" i="2" s="1"/>
  <c r="G917" i="2" a="1"/>
  <c r="G917" i="2" s="1"/>
  <c r="G918" i="2" a="1"/>
  <c r="G918" i="2" s="1"/>
  <c r="G919" i="2" a="1"/>
  <c r="G919" i="2"/>
  <c r="G920" i="2" a="1"/>
  <c r="G920" i="2" s="1"/>
  <c r="G921" i="2" a="1"/>
  <c r="G921" i="2" s="1"/>
  <c r="G922" i="2" a="1"/>
  <c r="G922" i="2" s="1"/>
  <c r="G923" i="2" a="1"/>
  <c r="G923" i="2" s="1"/>
  <c r="G924" i="2" a="1"/>
  <c r="G924" i="2" s="1"/>
  <c r="G925" i="2" a="1"/>
  <c r="G925" i="2" s="1"/>
  <c r="G926" i="2" a="1"/>
  <c r="G926" i="2" s="1"/>
  <c r="G927" i="2" a="1"/>
  <c r="G927" i="2" s="1"/>
  <c r="G928" i="2" a="1"/>
  <c r="G928" i="2" s="1"/>
  <c r="G929" i="2" a="1"/>
  <c r="G929" i="2" s="1"/>
  <c r="G930" i="2" a="1"/>
  <c r="G930" i="2" s="1"/>
  <c r="G931" i="2" a="1"/>
  <c r="G931" i="2" s="1"/>
  <c r="G932" i="2" a="1"/>
  <c r="G932" i="2" s="1"/>
  <c r="G933" i="2" a="1"/>
  <c r="G933" i="2" s="1"/>
  <c r="G934" i="2" a="1"/>
  <c r="G934" i="2" s="1"/>
  <c r="G935" i="2" a="1"/>
  <c r="G935" i="2" s="1"/>
  <c r="G936" i="2" a="1"/>
  <c r="G936" i="2" s="1"/>
  <c r="G937" i="2" a="1"/>
  <c r="G937" i="2"/>
  <c r="G938" i="2" a="1"/>
  <c r="G938" i="2" s="1"/>
  <c r="G939" i="2" a="1"/>
  <c r="G939" i="2"/>
  <c r="G940" i="2" a="1"/>
  <c r="G940" i="2" s="1"/>
  <c r="G941" i="2" a="1"/>
  <c r="G941" i="2" s="1"/>
  <c r="G942" i="2" a="1"/>
  <c r="G942" i="2" s="1"/>
  <c r="G943" i="2" a="1"/>
  <c r="G943" i="2" s="1"/>
  <c r="G944" i="2" a="1"/>
  <c r="G944" i="2" s="1"/>
  <c r="G945" i="2" a="1"/>
  <c r="G945" i="2" s="1"/>
  <c r="G946" i="2" a="1"/>
  <c r="G946" i="2" s="1"/>
  <c r="G947" i="2" a="1"/>
  <c r="G947" i="2" s="1"/>
  <c r="G948" i="2" a="1"/>
  <c r="G948" i="2" s="1"/>
  <c r="G949" i="2" a="1"/>
  <c r="G949" i="2"/>
  <c r="G950" i="2" a="1"/>
  <c r="G950" i="2" s="1"/>
  <c r="G951" i="2" a="1"/>
  <c r="G951" i="2" s="1"/>
  <c r="G952" i="2" a="1"/>
  <c r="G952" i="2" s="1"/>
  <c r="G953" i="2" a="1"/>
  <c r="G953" i="2" s="1"/>
  <c r="G954" i="2" a="1"/>
  <c r="G954" i="2" s="1"/>
  <c r="G955" i="2" a="1"/>
  <c r="G955" i="2" s="1"/>
  <c r="G956" i="2" a="1"/>
  <c r="G956" i="2" s="1"/>
  <c r="G957" i="2" a="1"/>
  <c r="G957" i="2" s="1"/>
  <c r="G958" i="2" a="1"/>
  <c r="G958" i="2" s="1"/>
  <c r="G959" i="2" a="1"/>
  <c r="G959" i="2" s="1"/>
  <c r="G960" i="2" a="1"/>
  <c r="G960" i="2" s="1"/>
  <c r="G961" i="2" a="1"/>
  <c r="G961" i="2" s="1"/>
  <c r="G962" i="2" a="1"/>
  <c r="G962" i="2" s="1"/>
  <c r="G963" i="2" a="1"/>
  <c r="G963" i="2" s="1"/>
  <c r="G964" i="2" a="1"/>
  <c r="G964" i="2" s="1"/>
  <c r="G965" i="2" a="1"/>
  <c r="G965" i="2" s="1"/>
  <c r="G966" i="2" a="1"/>
  <c r="G966" i="2" s="1"/>
  <c r="G967" i="2" a="1"/>
  <c r="G967" i="2"/>
  <c r="G968" i="2" a="1"/>
  <c r="G968" i="2" s="1"/>
  <c r="G969" i="2" a="1"/>
  <c r="G969" i="2" s="1"/>
  <c r="G970" i="2" a="1"/>
  <c r="G970" i="2" s="1"/>
  <c r="G971" i="2" a="1"/>
  <c r="G971" i="2" s="1"/>
  <c r="G972" i="2" a="1"/>
  <c r="G972" i="2" s="1"/>
  <c r="G973" i="2" a="1"/>
  <c r="G973" i="2" s="1"/>
  <c r="G974" i="2" a="1"/>
  <c r="G974" i="2"/>
  <c r="G975" i="2" a="1"/>
  <c r="G975" i="2" s="1"/>
  <c r="G976" i="2" a="1"/>
  <c r="G976" i="2" s="1"/>
  <c r="G977" i="2" a="1"/>
  <c r="G977" i="2" s="1"/>
  <c r="G978" i="2" a="1"/>
  <c r="G978" i="2" s="1"/>
  <c r="G979" i="2" a="1"/>
  <c r="G979" i="2"/>
  <c r="G980" i="2" a="1"/>
  <c r="G980" i="2" s="1"/>
  <c r="G981" i="2" a="1"/>
  <c r="G981" i="2" s="1"/>
  <c r="G982" i="2" a="1"/>
  <c r="G982" i="2" s="1"/>
  <c r="G983" i="2" a="1"/>
  <c r="G983" i="2" s="1"/>
  <c r="G984" i="2" a="1"/>
  <c r="G984" i="2" s="1"/>
  <c r="G985" i="2" a="1"/>
  <c r="G985" i="2" s="1"/>
  <c r="G986" i="2" a="1"/>
  <c r="G986" i="2" s="1"/>
  <c r="G987" i="2" a="1"/>
  <c r="G987" i="2"/>
  <c r="G988" i="2" a="1"/>
  <c r="G988" i="2" s="1"/>
  <c r="G989" i="2" a="1"/>
  <c r="G989" i="2" s="1"/>
  <c r="G990" i="2" a="1"/>
  <c r="G990" i="2" s="1"/>
  <c r="G991" i="2" a="1"/>
  <c r="G991" i="2" s="1"/>
  <c r="G992" i="2" a="1"/>
  <c r="G992" i="2" s="1"/>
  <c r="G993" i="2" a="1"/>
  <c r="G993" i="2" s="1"/>
  <c r="G994" i="2" a="1"/>
  <c r="G994" i="2" s="1"/>
  <c r="G995" i="2" a="1"/>
  <c r="G995" i="2" s="1"/>
  <c r="G996" i="2" a="1"/>
  <c r="G996" i="2" s="1"/>
  <c r="G997" i="2" a="1"/>
  <c r="G997" i="2" s="1"/>
  <c r="G998" i="2" a="1"/>
  <c r="G998" i="2"/>
  <c r="G999" i="2" a="1"/>
  <c r="G999" i="2" s="1"/>
  <c r="G1000" i="2" a="1"/>
  <c r="G1000" i="2" s="1"/>
  <c r="G1001" i="2" a="1"/>
  <c r="G1001" i="2" s="1"/>
  <c r="G1002" i="2" a="1"/>
  <c r="G1002" i="2" s="1"/>
  <c r="G1003" i="2" a="1"/>
  <c r="G1003" i="2" s="1"/>
  <c r="G1004" i="2" a="1"/>
  <c r="G1004" i="2"/>
  <c r="G1005" i="2" a="1"/>
  <c r="G1005" i="2" s="1"/>
  <c r="G1006" i="2" a="1"/>
  <c r="G1006" i="2" s="1"/>
  <c r="G1007" i="2" a="1"/>
  <c r="G1007" i="2" s="1"/>
  <c r="G1008" i="2" a="1"/>
  <c r="G1008" i="2" s="1"/>
  <c r="G1009" i="2" a="1"/>
  <c r="G1009" i="2" s="1"/>
  <c r="G1010" i="2" a="1"/>
  <c r="G1010" i="2" s="1"/>
  <c r="G1011" i="2" a="1"/>
  <c r="G1011" i="2" s="1"/>
  <c r="G1012" i="2" a="1"/>
  <c r="G1012" i="2" s="1"/>
  <c r="G1013" i="2" a="1"/>
  <c r="G1013" i="2" s="1"/>
  <c r="G1014" i="2" a="1"/>
  <c r="G1014" i="2" s="1"/>
  <c r="G1015" i="2" a="1"/>
  <c r="G1015" i="2" s="1"/>
  <c r="G1016" i="2" a="1"/>
  <c r="G1016" i="2"/>
  <c r="G1017" i="2" a="1"/>
  <c r="G1017" i="2" s="1"/>
  <c r="G1018" i="2" a="1"/>
  <c r="G1018" i="2" s="1"/>
  <c r="G1019" i="2" a="1"/>
  <c r="G1019" i="2" s="1"/>
  <c r="G1020" i="2" a="1"/>
  <c r="G1020" i="2" s="1"/>
  <c r="G1021" i="2" a="1"/>
  <c r="G1021" i="2" s="1"/>
  <c r="G1022" i="2" a="1"/>
  <c r="G1022" i="2" s="1"/>
  <c r="G1023" i="2" a="1"/>
  <c r="G1023" i="2" s="1"/>
  <c r="G1024" i="2" a="1"/>
  <c r="G1024" i="2" s="1"/>
  <c r="G1025" i="2" a="1"/>
  <c r="G1025" i="2" s="1"/>
  <c r="G1026" i="2" a="1"/>
  <c r="G1026" i="2" s="1"/>
  <c r="G1027" i="2" a="1"/>
  <c r="G1027" i="2" s="1"/>
  <c r="G1028" i="2" a="1"/>
  <c r="G1028" i="2" s="1"/>
  <c r="G1029" i="2" a="1"/>
  <c r="G1029" i="2" s="1"/>
  <c r="G1030" i="2" a="1"/>
  <c r="G1030" i="2" s="1"/>
  <c r="G1031" i="2" a="1"/>
  <c r="G1031" i="2" s="1"/>
  <c r="G1032" i="2" a="1"/>
  <c r="G1032" i="2" s="1"/>
  <c r="G1033" i="2" a="1"/>
  <c r="G1033" i="2" s="1"/>
  <c r="G1034" i="2" a="1"/>
  <c r="G1034" i="2" s="1"/>
  <c r="G1035" i="2" a="1"/>
  <c r="G1035" i="2" s="1"/>
  <c r="G1036" i="2" a="1"/>
  <c r="G1036" i="2" s="1"/>
  <c r="G1037" i="2" a="1"/>
  <c r="G1037" i="2" s="1"/>
  <c r="G1038" i="2" a="1"/>
  <c r="G1038" i="2" s="1"/>
  <c r="G1039" i="2" a="1"/>
  <c r="G1039" i="2" s="1"/>
  <c r="G1040" i="2" a="1"/>
  <c r="G1040" i="2" s="1"/>
  <c r="G1041" i="2" a="1"/>
  <c r="G1041" i="2" s="1"/>
  <c r="G1042" i="2" a="1"/>
  <c r="G1042" i="2" s="1"/>
  <c r="G1043" i="2" a="1"/>
  <c r="G1043" i="2" s="1"/>
  <c r="G1044" i="2" a="1"/>
  <c r="G1044" i="2" s="1"/>
  <c r="G1045" i="2" a="1"/>
  <c r="G1045" i="2" s="1"/>
  <c r="G1046" i="2" a="1"/>
  <c r="G1046" i="2" s="1"/>
  <c r="G1047" i="2" a="1"/>
  <c r="G1047" i="2"/>
  <c r="G1048" i="2" a="1"/>
  <c r="G1048" i="2" s="1"/>
  <c r="G1049" i="2" a="1"/>
  <c r="G1049" i="2" s="1"/>
  <c r="G1050" i="2" a="1"/>
  <c r="G1050" i="2" s="1"/>
  <c r="G1051" i="2" a="1"/>
  <c r="G1051" i="2" s="1"/>
  <c r="G1052" i="2" a="1"/>
  <c r="G1052" i="2"/>
  <c r="G1053" i="2" a="1"/>
  <c r="G1053" i="2" s="1"/>
  <c r="G1054" i="2" a="1"/>
  <c r="G1054" i="2" s="1"/>
  <c r="G1055" i="2" a="1"/>
  <c r="G1055" i="2" s="1"/>
  <c r="G1056" i="2" a="1"/>
  <c r="G1056" i="2" s="1"/>
  <c r="G1057" i="2" a="1"/>
  <c r="G1057" i="2"/>
  <c r="G2" i="2" a="1"/>
  <c r="G2" i="2" s="1"/>
  <c r="C1" i="3"/>
  <c r="D1" i="3"/>
  <c r="E1" i="3"/>
  <c r="F1" i="3"/>
  <c r="B1" i="3"/>
  <c r="C3" i="2" a="1"/>
  <c r="C3" i="2" s="1"/>
  <c r="D3" i="2" a="1"/>
  <c r="D3" i="2" s="1"/>
  <c r="E3" i="2" a="1"/>
  <c r="E3" i="2" s="1"/>
  <c r="F3" i="2" a="1"/>
  <c r="F3" i="2" s="1"/>
  <c r="C4" i="2" a="1"/>
  <c r="C4" i="2" s="1"/>
  <c r="D4" i="2" a="1"/>
  <c r="D4" i="2" s="1"/>
  <c r="E4" i="2" a="1"/>
  <c r="E4" i="2" s="1"/>
  <c r="F4" i="2" a="1"/>
  <c r="F4" i="2" s="1"/>
  <c r="C5" i="2" a="1"/>
  <c r="C5" i="2" s="1"/>
  <c r="D5" i="2" a="1"/>
  <c r="D5" i="2" s="1"/>
  <c r="E5" i="2" a="1"/>
  <c r="E5" i="2" s="1"/>
  <c r="F5" i="2" a="1"/>
  <c r="F5" i="2" s="1"/>
  <c r="C6" i="2" a="1"/>
  <c r="C6" i="2" s="1"/>
  <c r="D6" i="2" a="1"/>
  <c r="D6" i="2" s="1"/>
  <c r="E6" i="2" a="1"/>
  <c r="E6" i="2" s="1"/>
  <c r="F6" i="2" a="1"/>
  <c r="F6" i="2" s="1"/>
  <c r="C7" i="2" a="1"/>
  <c r="C7" i="2" s="1"/>
  <c r="D7" i="2" a="1"/>
  <c r="D7" i="2" s="1"/>
  <c r="E7" i="2" a="1"/>
  <c r="E7" i="2" s="1"/>
  <c r="F7" i="2" a="1"/>
  <c r="F7" i="2" s="1"/>
  <c r="C8" i="2" a="1"/>
  <c r="C8" i="2"/>
  <c r="D8" i="2" a="1"/>
  <c r="D8" i="2" s="1"/>
  <c r="E8" i="2" a="1"/>
  <c r="E8" i="2" s="1"/>
  <c r="F8" i="2" a="1"/>
  <c r="F8" i="2" s="1"/>
  <c r="C9" i="2" a="1"/>
  <c r="C9" i="2" s="1"/>
  <c r="D9" i="2" a="1"/>
  <c r="D9" i="2" s="1"/>
  <c r="E9" i="2" a="1"/>
  <c r="E9" i="2" s="1"/>
  <c r="F9" i="2" a="1"/>
  <c r="F9" i="2" s="1"/>
  <c r="C10" i="2" a="1"/>
  <c r="C10" i="2" s="1"/>
  <c r="D10" i="2" a="1"/>
  <c r="D10" i="2" s="1"/>
  <c r="E10" i="2" a="1"/>
  <c r="E10" i="2" s="1"/>
  <c r="F10" i="2" a="1"/>
  <c r="F10" i="2" s="1"/>
  <c r="C11" i="2" a="1"/>
  <c r="C11" i="2" s="1"/>
  <c r="D11" i="2" a="1"/>
  <c r="D11" i="2" s="1"/>
  <c r="E11" i="2" a="1"/>
  <c r="E11" i="2" s="1"/>
  <c r="F11" i="2" a="1"/>
  <c r="F11" i="2" s="1"/>
  <c r="C12" i="2" a="1"/>
  <c r="C12" i="2" s="1"/>
  <c r="D12" i="2" a="1"/>
  <c r="D12" i="2" s="1"/>
  <c r="E12" i="2" a="1"/>
  <c r="E12" i="2" s="1"/>
  <c r="F12" i="2" a="1"/>
  <c r="F12" i="2" s="1"/>
  <c r="C13" i="2" a="1"/>
  <c r="C13" i="2" s="1"/>
  <c r="D13" i="2" a="1"/>
  <c r="D13" i="2" s="1"/>
  <c r="E13" i="2" a="1"/>
  <c r="E13" i="2" s="1"/>
  <c r="F13" i="2" a="1"/>
  <c r="F13" i="2" s="1"/>
  <c r="C14" i="2" a="1"/>
  <c r="C14" i="2" s="1"/>
  <c r="D14" i="2" a="1"/>
  <c r="D14" i="2" s="1"/>
  <c r="E14" i="2" a="1"/>
  <c r="E14" i="2" s="1"/>
  <c r="F14" i="2" a="1"/>
  <c r="F14" i="2" s="1"/>
  <c r="C15" i="2" a="1"/>
  <c r="C15" i="2" s="1"/>
  <c r="D15" i="2" a="1"/>
  <c r="D15" i="2" s="1"/>
  <c r="E15" i="2" a="1"/>
  <c r="E15" i="2" s="1"/>
  <c r="F15" i="2" a="1"/>
  <c r="F15" i="2" s="1"/>
  <c r="C16" i="2" a="1"/>
  <c r="C16" i="2" s="1"/>
  <c r="D16" i="2" a="1"/>
  <c r="D16" i="2" s="1"/>
  <c r="E16" i="2" a="1"/>
  <c r="E16" i="2" s="1"/>
  <c r="F16" i="2" a="1"/>
  <c r="F16" i="2" s="1"/>
  <c r="C17" i="2" a="1"/>
  <c r="C17" i="2" s="1"/>
  <c r="D17" i="2" a="1"/>
  <c r="D17" i="2" s="1"/>
  <c r="E17" i="2" a="1"/>
  <c r="E17" i="2" s="1"/>
  <c r="F17" i="2" a="1"/>
  <c r="F17" i="2" s="1"/>
  <c r="C18" i="2" a="1"/>
  <c r="C18" i="2" s="1"/>
  <c r="D18" i="2" a="1"/>
  <c r="D18" i="2" s="1"/>
  <c r="E18" i="2" a="1"/>
  <c r="E18" i="2" s="1"/>
  <c r="F18" i="2" a="1"/>
  <c r="F18" i="2" s="1"/>
  <c r="C19" i="2" a="1"/>
  <c r="C19" i="2" s="1"/>
  <c r="D19" i="2" a="1"/>
  <c r="D19" i="2" s="1"/>
  <c r="E19" i="2" a="1"/>
  <c r="E19" i="2" s="1"/>
  <c r="F19" i="2" a="1"/>
  <c r="F19" i="2" s="1"/>
  <c r="C20" i="2" a="1"/>
  <c r="C20" i="2" s="1"/>
  <c r="D20" i="2" a="1"/>
  <c r="D20" i="2" s="1"/>
  <c r="E20" i="2" a="1"/>
  <c r="E20" i="2" s="1"/>
  <c r="F20" i="2" a="1"/>
  <c r="F20" i="2" s="1"/>
  <c r="C21" i="2" a="1"/>
  <c r="C21" i="2" s="1"/>
  <c r="D21" i="2" a="1"/>
  <c r="D21" i="2" s="1"/>
  <c r="E21" i="2" a="1"/>
  <c r="E21" i="2" s="1"/>
  <c r="F21" i="2" a="1"/>
  <c r="F21" i="2" s="1"/>
  <c r="C22" i="2" a="1"/>
  <c r="C22" i="2" s="1"/>
  <c r="D22" i="2" a="1"/>
  <c r="D22" i="2" s="1"/>
  <c r="E22" i="2" a="1"/>
  <c r="E22" i="2" s="1"/>
  <c r="F22" i="2" a="1"/>
  <c r="F22" i="2" s="1"/>
  <c r="C23" i="2" a="1"/>
  <c r="C23" i="2" s="1"/>
  <c r="D23" i="2" a="1"/>
  <c r="D23" i="2" s="1"/>
  <c r="E23" i="2" a="1"/>
  <c r="E23" i="2" s="1"/>
  <c r="F23" i="2" a="1"/>
  <c r="F23" i="2"/>
  <c r="C24" i="2" a="1"/>
  <c r="C24" i="2" s="1"/>
  <c r="D24" i="2" a="1"/>
  <c r="D24" i="2" s="1"/>
  <c r="E24" i="2" a="1"/>
  <c r="E24" i="2" s="1"/>
  <c r="F24" i="2" a="1"/>
  <c r="F24" i="2" s="1"/>
  <c r="C25" i="2" a="1"/>
  <c r="C25" i="2" s="1"/>
  <c r="D25" i="2" a="1"/>
  <c r="D25" i="2" s="1"/>
  <c r="E25" i="2" a="1"/>
  <c r="E25" i="2" s="1"/>
  <c r="F25" i="2" a="1"/>
  <c r="F25" i="2" s="1"/>
  <c r="C26" i="2" a="1"/>
  <c r="C26" i="2" s="1"/>
  <c r="D26" i="2" a="1"/>
  <c r="D26" i="2" s="1"/>
  <c r="E26" i="2" a="1"/>
  <c r="E26" i="2" s="1"/>
  <c r="F26" i="2" a="1"/>
  <c r="F26" i="2" s="1"/>
  <c r="C27" i="2" a="1"/>
  <c r="C27" i="2" s="1"/>
  <c r="D27" i="2" a="1"/>
  <c r="D27" i="2" s="1"/>
  <c r="E27" i="2" a="1"/>
  <c r="E27" i="2" s="1"/>
  <c r="F27" i="2" a="1"/>
  <c r="F27" i="2" s="1"/>
  <c r="C28" i="2" a="1"/>
  <c r="C28" i="2" s="1"/>
  <c r="D28" i="2" a="1"/>
  <c r="D28" i="2" s="1"/>
  <c r="E28" i="2" a="1"/>
  <c r="E28" i="2" s="1"/>
  <c r="F28" i="2" a="1"/>
  <c r="F28" i="2" s="1"/>
  <c r="C29" i="2" a="1"/>
  <c r="C29" i="2" s="1"/>
  <c r="D29" i="2" a="1"/>
  <c r="D29" i="2" s="1"/>
  <c r="E29" i="2" a="1"/>
  <c r="E29" i="2" s="1"/>
  <c r="F29" i="2" a="1"/>
  <c r="F29" i="2" s="1"/>
  <c r="C30" i="2" a="1"/>
  <c r="C30" i="2" s="1"/>
  <c r="D30" i="2" a="1"/>
  <c r="D30" i="2" s="1"/>
  <c r="E30" i="2" a="1"/>
  <c r="E30" i="2" s="1"/>
  <c r="F30" i="2" a="1"/>
  <c r="F30" i="2" s="1"/>
  <c r="C31" i="2" a="1"/>
  <c r="C31" i="2" s="1"/>
  <c r="D31" i="2" a="1"/>
  <c r="D31" i="2" s="1"/>
  <c r="E31" i="2" a="1"/>
  <c r="E31" i="2" s="1"/>
  <c r="F31" i="2" a="1"/>
  <c r="F31" i="2" s="1"/>
  <c r="C32" i="2" a="1"/>
  <c r="C32" i="2" s="1"/>
  <c r="D32" i="2" a="1"/>
  <c r="D32" i="2" s="1"/>
  <c r="E32" i="2" a="1"/>
  <c r="E32" i="2" s="1"/>
  <c r="F32" i="2" a="1"/>
  <c r="F32" i="2" s="1"/>
  <c r="C33" i="2" a="1"/>
  <c r="C33" i="2" s="1"/>
  <c r="D33" i="2" a="1"/>
  <c r="D33" i="2" s="1"/>
  <c r="E33" i="2" a="1"/>
  <c r="E33" i="2" s="1"/>
  <c r="F33" i="2" a="1"/>
  <c r="F33" i="2" s="1"/>
  <c r="C34" i="2" a="1"/>
  <c r="C34" i="2" s="1"/>
  <c r="D34" i="2" a="1"/>
  <c r="D34" i="2" s="1"/>
  <c r="E34" i="2" a="1"/>
  <c r="E34" i="2" s="1"/>
  <c r="F34" i="2" a="1"/>
  <c r="F34" i="2" s="1"/>
  <c r="C35" i="2" a="1"/>
  <c r="C35" i="2" s="1"/>
  <c r="D35" i="2" a="1"/>
  <c r="D35" i="2" s="1"/>
  <c r="E35" i="2" a="1"/>
  <c r="E35" i="2" s="1"/>
  <c r="F35" i="2" a="1"/>
  <c r="F35" i="2" s="1"/>
  <c r="C36" i="2" a="1"/>
  <c r="C36" i="2" s="1"/>
  <c r="D36" i="2" a="1"/>
  <c r="D36" i="2" s="1"/>
  <c r="E36" i="2" a="1"/>
  <c r="E36" i="2" s="1"/>
  <c r="F36" i="2" a="1"/>
  <c r="F36" i="2" s="1"/>
  <c r="C37" i="2" a="1"/>
  <c r="C37" i="2" s="1"/>
  <c r="D37" i="2" a="1"/>
  <c r="D37" i="2" s="1"/>
  <c r="E37" i="2" a="1"/>
  <c r="E37" i="2" s="1"/>
  <c r="F37" i="2" a="1"/>
  <c r="F37" i="2" s="1"/>
  <c r="C38" i="2" a="1"/>
  <c r="C38" i="2" s="1"/>
  <c r="D38" i="2" a="1"/>
  <c r="D38" i="2" s="1"/>
  <c r="E38" i="2" a="1"/>
  <c r="E38" i="2" s="1"/>
  <c r="F38" i="2" a="1"/>
  <c r="F38" i="2"/>
  <c r="C39" i="2" a="1"/>
  <c r="C39" i="2" s="1"/>
  <c r="D39" i="2" a="1"/>
  <c r="D39" i="2" s="1"/>
  <c r="E39" i="2" a="1"/>
  <c r="E39" i="2" s="1"/>
  <c r="F39" i="2" a="1"/>
  <c r="F39" i="2" s="1"/>
  <c r="C40" i="2" a="1"/>
  <c r="C40" i="2" s="1"/>
  <c r="D40" i="2" a="1"/>
  <c r="D40" i="2" s="1"/>
  <c r="E40" i="2" a="1"/>
  <c r="E40" i="2" s="1"/>
  <c r="F40" i="2" a="1"/>
  <c r="F40" i="2" s="1"/>
  <c r="C41" i="2" a="1"/>
  <c r="C41" i="2" s="1"/>
  <c r="D41" i="2" a="1"/>
  <c r="D41" i="2" s="1"/>
  <c r="E41" i="2" a="1"/>
  <c r="E41" i="2" s="1"/>
  <c r="F41" i="2" a="1"/>
  <c r="F41" i="2" s="1"/>
  <c r="C42" i="2" a="1"/>
  <c r="C42" i="2" s="1"/>
  <c r="D42" i="2" a="1"/>
  <c r="D42" i="2" s="1"/>
  <c r="E42" i="2" a="1"/>
  <c r="E42" i="2" s="1"/>
  <c r="F42" i="2" a="1"/>
  <c r="F42" i="2" s="1"/>
  <c r="C43" i="2" a="1"/>
  <c r="C43" i="2" s="1"/>
  <c r="D43" i="2" a="1"/>
  <c r="D43" i="2" s="1"/>
  <c r="E43" i="2" a="1"/>
  <c r="E43" i="2" s="1"/>
  <c r="F43" i="2" a="1"/>
  <c r="F43" i="2" s="1"/>
  <c r="C44" i="2" a="1"/>
  <c r="C44" i="2" s="1"/>
  <c r="D44" i="2" a="1"/>
  <c r="D44" i="2" s="1"/>
  <c r="E44" i="2" a="1"/>
  <c r="E44" i="2" s="1"/>
  <c r="F44" i="2" a="1"/>
  <c r="F44" i="2" s="1"/>
  <c r="C45" i="2" a="1"/>
  <c r="C45" i="2" s="1"/>
  <c r="D45" i="2" a="1"/>
  <c r="D45" i="2" s="1"/>
  <c r="E45" i="2" a="1"/>
  <c r="E45" i="2" s="1"/>
  <c r="F45" i="2" a="1"/>
  <c r="F45" i="2" s="1"/>
  <c r="C46" i="2" a="1"/>
  <c r="C46" i="2" s="1"/>
  <c r="D46" i="2" a="1"/>
  <c r="D46" i="2" s="1"/>
  <c r="E46" i="2" a="1"/>
  <c r="E46" i="2" s="1"/>
  <c r="F46" i="2" a="1"/>
  <c r="F46" i="2" s="1"/>
  <c r="C47" i="2" a="1"/>
  <c r="C47" i="2" s="1"/>
  <c r="D47" i="2" a="1"/>
  <c r="D47" i="2" s="1"/>
  <c r="E47" i="2" a="1"/>
  <c r="E47" i="2" s="1"/>
  <c r="F47" i="2" a="1"/>
  <c r="F47" i="2" s="1"/>
  <c r="C48" i="2" a="1"/>
  <c r="C48" i="2" s="1"/>
  <c r="D48" i="2" a="1"/>
  <c r="D48" i="2" s="1"/>
  <c r="E48" i="2" a="1"/>
  <c r="E48" i="2" s="1"/>
  <c r="F48" i="2" a="1"/>
  <c r="F48" i="2" s="1"/>
  <c r="C49" i="2" a="1"/>
  <c r="C49" i="2" s="1"/>
  <c r="D49" i="2" a="1"/>
  <c r="D49" i="2" s="1"/>
  <c r="E49" i="2" a="1"/>
  <c r="E49" i="2" s="1"/>
  <c r="F49" i="2" a="1"/>
  <c r="F49" i="2" s="1"/>
  <c r="C50" i="2" a="1"/>
  <c r="C50" i="2" s="1"/>
  <c r="D50" i="2" a="1"/>
  <c r="D50" i="2" s="1"/>
  <c r="E50" i="2" a="1"/>
  <c r="E50" i="2" s="1"/>
  <c r="F50" i="2" a="1"/>
  <c r="F50" i="2" s="1"/>
  <c r="C51" i="2" a="1"/>
  <c r="C51" i="2" s="1"/>
  <c r="D51" i="2" a="1"/>
  <c r="D51" i="2" s="1"/>
  <c r="E51" i="2" a="1"/>
  <c r="E51" i="2" s="1"/>
  <c r="F51" i="2" a="1"/>
  <c r="F51" i="2" s="1"/>
  <c r="C52" i="2" a="1"/>
  <c r="C52" i="2" s="1"/>
  <c r="D52" i="2" a="1"/>
  <c r="D52" i="2" s="1"/>
  <c r="E52" i="2" a="1"/>
  <c r="E52" i="2" s="1"/>
  <c r="F52" i="2" a="1"/>
  <c r="F52" i="2" s="1"/>
  <c r="C53" i="2" a="1"/>
  <c r="C53" i="2" s="1"/>
  <c r="D53" i="2" a="1"/>
  <c r="D53" i="2" s="1"/>
  <c r="E53" i="2" a="1"/>
  <c r="E53" i="2" s="1"/>
  <c r="F53" i="2" a="1"/>
  <c r="F53" i="2" s="1"/>
  <c r="C54" i="2" a="1"/>
  <c r="C54" i="2" s="1"/>
  <c r="D54" i="2" a="1"/>
  <c r="D54" i="2" s="1"/>
  <c r="E54" i="2" a="1"/>
  <c r="E54" i="2" s="1"/>
  <c r="F54" i="2" a="1"/>
  <c r="F54" i="2" s="1"/>
  <c r="C55" i="2" a="1"/>
  <c r="C55" i="2" s="1"/>
  <c r="D55" i="2" a="1"/>
  <c r="D55" i="2" s="1"/>
  <c r="E55" i="2" a="1"/>
  <c r="E55" i="2" s="1"/>
  <c r="F55" i="2" a="1"/>
  <c r="F55" i="2" s="1"/>
  <c r="C56" i="2" a="1"/>
  <c r="C56" i="2" s="1"/>
  <c r="D56" i="2" a="1"/>
  <c r="D56" i="2" s="1"/>
  <c r="E56" i="2" a="1"/>
  <c r="E56" i="2" s="1"/>
  <c r="F56" i="2" a="1"/>
  <c r="F56" i="2" s="1"/>
  <c r="C57" i="2" a="1"/>
  <c r="C57" i="2" s="1"/>
  <c r="D57" i="2" a="1"/>
  <c r="D57" i="2" s="1"/>
  <c r="E57" i="2" a="1"/>
  <c r="E57" i="2" s="1"/>
  <c r="F57" i="2" a="1"/>
  <c r="F57" i="2" s="1"/>
  <c r="C58" i="2" a="1"/>
  <c r="C58" i="2" s="1"/>
  <c r="D58" i="2" a="1"/>
  <c r="D58" i="2" s="1"/>
  <c r="E58" i="2" a="1"/>
  <c r="E58" i="2" s="1"/>
  <c r="F58" i="2" a="1"/>
  <c r="F58" i="2" s="1"/>
  <c r="C59" i="2" a="1"/>
  <c r="C59" i="2" s="1"/>
  <c r="D59" i="2" a="1"/>
  <c r="D59" i="2" s="1"/>
  <c r="E59" i="2" a="1"/>
  <c r="E59" i="2" s="1"/>
  <c r="F59" i="2" a="1"/>
  <c r="F59" i="2" s="1"/>
  <c r="C60" i="2" a="1"/>
  <c r="C60" i="2" s="1"/>
  <c r="D60" i="2" a="1"/>
  <c r="D60" i="2" s="1"/>
  <c r="E60" i="2" a="1"/>
  <c r="E60" i="2" s="1"/>
  <c r="F60" i="2" a="1"/>
  <c r="F60" i="2" s="1"/>
  <c r="C61" i="2" a="1"/>
  <c r="C61" i="2" s="1"/>
  <c r="D61" i="2" a="1"/>
  <c r="D61" i="2" s="1"/>
  <c r="E61" i="2" a="1"/>
  <c r="E61" i="2" s="1"/>
  <c r="F61" i="2" a="1"/>
  <c r="F61" i="2" s="1"/>
  <c r="C62" i="2" a="1"/>
  <c r="C62" i="2" s="1"/>
  <c r="D62" i="2" a="1"/>
  <c r="D62" i="2" s="1"/>
  <c r="E62" i="2" a="1"/>
  <c r="E62" i="2" s="1"/>
  <c r="F62" i="2" a="1"/>
  <c r="F62" i="2" s="1"/>
  <c r="C63" i="2" a="1"/>
  <c r="C63" i="2" s="1"/>
  <c r="D63" i="2" a="1"/>
  <c r="D63" i="2" s="1"/>
  <c r="E63" i="2" a="1"/>
  <c r="E63" i="2" s="1"/>
  <c r="F63" i="2" a="1"/>
  <c r="F63" i="2" s="1"/>
  <c r="C64" i="2" a="1"/>
  <c r="C64" i="2" s="1"/>
  <c r="D64" i="2" a="1"/>
  <c r="D64" i="2" s="1"/>
  <c r="E64" i="2" a="1"/>
  <c r="E64" i="2" s="1"/>
  <c r="F64" i="2" a="1"/>
  <c r="F64" i="2" s="1"/>
  <c r="C65" i="2" a="1"/>
  <c r="C65" i="2" s="1"/>
  <c r="D65" i="2" a="1"/>
  <c r="D65" i="2" s="1"/>
  <c r="E65" i="2" a="1"/>
  <c r="E65" i="2" s="1"/>
  <c r="F65" i="2" a="1"/>
  <c r="F65" i="2" s="1"/>
  <c r="C66" i="2" a="1"/>
  <c r="C66" i="2" s="1"/>
  <c r="D66" i="2" a="1"/>
  <c r="D66" i="2" s="1"/>
  <c r="E66" i="2" a="1"/>
  <c r="E66" i="2" s="1"/>
  <c r="F66" i="2" a="1"/>
  <c r="F66" i="2" s="1"/>
  <c r="C67" i="2" a="1"/>
  <c r="C67" i="2" s="1"/>
  <c r="D67" i="2" a="1"/>
  <c r="D67" i="2" s="1"/>
  <c r="E67" i="2" a="1"/>
  <c r="E67" i="2" s="1"/>
  <c r="F67" i="2" a="1"/>
  <c r="F67" i="2" s="1"/>
  <c r="C68" i="2" a="1"/>
  <c r="C68" i="2" s="1"/>
  <c r="D68" i="2" a="1"/>
  <c r="D68" i="2" s="1"/>
  <c r="E68" i="2" a="1"/>
  <c r="E68" i="2" s="1"/>
  <c r="F68" i="2" a="1"/>
  <c r="F68" i="2" s="1"/>
  <c r="C69" i="2" a="1"/>
  <c r="C69" i="2" s="1"/>
  <c r="D69" i="2" a="1"/>
  <c r="D69" i="2" s="1"/>
  <c r="E69" i="2" a="1"/>
  <c r="E69" i="2" s="1"/>
  <c r="F69" i="2" a="1"/>
  <c r="F69" i="2" s="1"/>
  <c r="C70" i="2" a="1"/>
  <c r="C70" i="2" s="1"/>
  <c r="D70" i="2" a="1"/>
  <c r="D70" i="2" s="1"/>
  <c r="E70" i="2" a="1"/>
  <c r="E70" i="2" s="1"/>
  <c r="F70" i="2" a="1"/>
  <c r="F70" i="2" s="1"/>
  <c r="C71" i="2" a="1"/>
  <c r="C71" i="2" s="1"/>
  <c r="D71" i="2" a="1"/>
  <c r="D71" i="2" s="1"/>
  <c r="E71" i="2" a="1"/>
  <c r="E71" i="2" s="1"/>
  <c r="F71" i="2" a="1"/>
  <c r="F71" i="2" s="1"/>
  <c r="C72" i="2" a="1"/>
  <c r="C72" i="2" s="1"/>
  <c r="D72" i="2" a="1"/>
  <c r="D72" i="2" s="1"/>
  <c r="E72" i="2" a="1"/>
  <c r="E72" i="2" s="1"/>
  <c r="F72" i="2" a="1"/>
  <c r="F72" i="2" s="1"/>
  <c r="C73" i="2" a="1"/>
  <c r="C73" i="2" s="1"/>
  <c r="D73" i="2" a="1"/>
  <c r="D73" i="2" s="1"/>
  <c r="E73" i="2" a="1"/>
  <c r="E73" i="2" s="1"/>
  <c r="F73" i="2" a="1"/>
  <c r="F73" i="2" s="1"/>
  <c r="C74" i="2" a="1"/>
  <c r="C74" i="2" s="1"/>
  <c r="D74" i="2" a="1"/>
  <c r="D74" i="2"/>
  <c r="E74" i="2" a="1"/>
  <c r="E74" i="2" s="1"/>
  <c r="F74" i="2" a="1"/>
  <c r="F74" i="2" s="1"/>
  <c r="C75" i="2" a="1"/>
  <c r="C75" i="2" s="1"/>
  <c r="D75" i="2" a="1"/>
  <c r="D75" i="2" s="1"/>
  <c r="E75" i="2" a="1"/>
  <c r="E75" i="2" s="1"/>
  <c r="F75" i="2" a="1"/>
  <c r="F75" i="2" s="1"/>
  <c r="C76" i="2" a="1"/>
  <c r="C76" i="2" s="1"/>
  <c r="D76" i="2" a="1"/>
  <c r="D76" i="2" s="1"/>
  <c r="E76" i="2" a="1"/>
  <c r="E76" i="2" s="1"/>
  <c r="F76" i="2" a="1"/>
  <c r="F76" i="2" s="1"/>
  <c r="C77" i="2" a="1"/>
  <c r="C77" i="2" s="1"/>
  <c r="D77" i="2" a="1"/>
  <c r="D77" i="2" s="1"/>
  <c r="E77" i="2" a="1"/>
  <c r="E77" i="2" s="1"/>
  <c r="F77" i="2" a="1"/>
  <c r="F77" i="2" s="1"/>
  <c r="C78" i="2" a="1"/>
  <c r="C78" i="2" s="1"/>
  <c r="D78" i="2" a="1"/>
  <c r="D78" i="2" s="1"/>
  <c r="E78" i="2" a="1"/>
  <c r="E78" i="2" s="1"/>
  <c r="F78" i="2" a="1"/>
  <c r="F78" i="2" s="1"/>
  <c r="C79" i="2" a="1"/>
  <c r="C79" i="2" s="1"/>
  <c r="D79" i="2" a="1"/>
  <c r="D79" i="2" s="1"/>
  <c r="E79" i="2" a="1"/>
  <c r="E79" i="2" s="1"/>
  <c r="F79" i="2" a="1"/>
  <c r="F79" i="2" s="1"/>
  <c r="C80" i="2" a="1"/>
  <c r="C80" i="2" s="1"/>
  <c r="D80" i="2" a="1"/>
  <c r="D80" i="2" s="1"/>
  <c r="E80" i="2" a="1"/>
  <c r="E80" i="2" s="1"/>
  <c r="F80" i="2" a="1"/>
  <c r="F80" i="2" s="1"/>
  <c r="C81" i="2" a="1"/>
  <c r="C81" i="2" s="1"/>
  <c r="D81" i="2" a="1"/>
  <c r="D81" i="2" s="1"/>
  <c r="E81" i="2" a="1"/>
  <c r="E81" i="2" s="1"/>
  <c r="F81" i="2" a="1"/>
  <c r="F81" i="2" s="1"/>
  <c r="C82" i="2" a="1"/>
  <c r="C82" i="2" s="1"/>
  <c r="D82" i="2" a="1"/>
  <c r="D82" i="2" s="1"/>
  <c r="E82" i="2" a="1"/>
  <c r="E82" i="2" s="1"/>
  <c r="F82" i="2" a="1"/>
  <c r="F82" i="2" s="1"/>
  <c r="C83" i="2" a="1"/>
  <c r="C83" i="2" s="1"/>
  <c r="D83" i="2" a="1"/>
  <c r="D83" i="2" s="1"/>
  <c r="E83" i="2" a="1"/>
  <c r="E83" i="2" s="1"/>
  <c r="F83" i="2" a="1"/>
  <c r="F83" i="2" s="1"/>
  <c r="C84" i="2" a="1"/>
  <c r="C84" i="2" s="1"/>
  <c r="D84" i="2" a="1"/>
  <c r="D84" i="2" s="1"/>
  <c r="E84" i="2" a="1"/>
  <c r="E84" i="2" s="1"/>
  <c r="F84" i="2" a="1"/>
  <c r="F84" i="2" s="1"/>
  <c r="C85" i="2" a="1"/>
  <c r="C85" i="2" s="1"/>
  <c r="D85" i="2" a="1"/>
  <c r="D85" i="2" s="1"/>
  <c r="E85" i="2" a="1"/>
  <c r="E85" i="2" s="1"/>
  <c r="F85" i="2" a="1"/>
  <c r="F85" i="2" s="1"/>
  <c r="C86" i="2" a="1"/>
  <c r="C86" i="2" s="1"/>
  <c r="D86" i="2" a="1"/>
  <c r="D86" i="2" s="1"/>
  <c r="E86" i="2" a="1"/>
  <c r="E86" i="2" s="1"/>
  <c r="F86" i="2" a="1"/>
  <c r="F86" i="2" s="1"/>
  <c r="C87" i="2" a="1"/>
  <c r="C87" i="2" s="1"/>
  <c r="D87" i="2" a="1"/>
  <c r="D87" i="2" s="1"/>
  <c r="E87" i="2" a="1"/>
  <c r="E87" i="2" s="1"/>
  <c r="F87" i="2" a="1"/>
  <c r="F87" i="2" s="1"/>
  <c r="C88" i="2" a="1"/>
  <c r="C88" i="2" s="1"/>
  <c r="D88" i="2" a="1"/>
  <c r="D88" i="2" s="1"/>
  <c r="E88" i="2" a="1"/>
  <c r="E88" i="2" s="1"/>
  <c r="F88" i="2" a="1"/>
  <c r="F88" i="2" s="1"/>
  <c r="C89" i="2" a="1"/>
  <c r="C89" i="2" s="1"/>
  <c r="D89" i="2" a="1"/>
  <c r="D89" i="2" s="1"/>
  <c r="E89" i="2" a="1"/>
  <c r="E89" i="2" s="1"/>
  <c r="F89" i="2" a="1"/>
  <c r="F89" i="2" s="1"/>
  <c r="C90" i="2" a="1"/>
  <c r="C90" i="2" s="1"/>
  <c r="D90" i="2" a="1"/>
  <c r="D90" i="2" s="1"/>
  <c r="E90" i="2" a="1"/>
  <c r="E90" i="2" s="1"/>
  <c r="F90" i="2" a="1"/>
  <c r="F90" i="2" s="1"/>
  <c r="C91" i="2" a="1"/>
  <c r="C91" i="2" s="1"/>
  <c r="D91" i="2" a="1"/>
  <c r="D91" i="2" s="1"/>
  <c r="E91" i="2" a="1"/>
  <c r="E91" i="2" s="1"/>
  <c r="F91" i="2" a="1"/>
  <c r="F91" i="2" s="1"/>
  <c r="C92" i="2" a="1"/>
  <c r="C92" i="2" s="1"/>
  <c r="D92" i="2" a="1"/>
  <c r="D92" i="2" s="1"/>
  <c r="E92" i="2" a="1"/>
  <c r="E92" i="2" s="1"/>
  <c r="F92" i="2" a="1"/>
  <c r="F92" i="2" s="1"/>
  <c r="C93" i="2" a="1"/>
  <c r="C93" i="2" s="1"/>
  <c r="D93" i="2" a="1"/>
  <c r="D93" i="2" s="1"/>
  <c r="E93" i="2" a="1"/>
  <c r="E93" i="2" s="1"/>
  <c r="F93" i="2" a="1"/>
  <c r="F93" i="2" s="1"/>
  <c r="C94" i="2" a="1"/>
  <c r="C94" i="2" s="1"/>
  <c r="D94" i="2" a="1"/>
  <c r="D94" i="2" s="1"/>
  <c r="E94" i="2" a="1"/>
  <c r="E94" i="2" s="1"/>
  <c r="F94" i="2" a="1"/>
  <c r="F94" i="2" s="1"/>
  <c r="C95" i="2" a="1"/>
  <c r="C95" i="2" s="1"/>
  <c r="D95" i="2" a="1"/>
  <c r="D95" i="2" s="1"/>
  <c r="E95" i="2" a="1"/>
  <c r="E95" i="2" s="1"/>
  <c r="F95" i="2" a="1"/>
  <c r="F95" i="2" s="1"/>
  <c r="C96" i="2" a="1"/>
  <c r="C96" i="2" s="1"/>
  <c r="D96" i="2" a="1"/>
  <c r="D96" i="2" s="1"/>
  <c r="E96" i="2" a="1"/>
  <c r="E96" i="2" s="1"/>
  <c r="F96" i="2" a="1"/>
  <c r="F96" i="2" s="1"/>
  <c r="C97" i="2" a="1"/>
  <c r="C97" i="2" s="1"/>
  <c r="D97" i="2" a="1"/>
  <c r="D97" i="2" s="1"/>
  <c r="E97" i="2" a="1"/>
  <c r="E97" i="2" s="1"/>
  <c r="F97" i="2" a="1"/>
  <c r="F97" i="2" s="1"/>
  <c r="C98" i="2" a="1"/>
  <c r="C98" i="2" s="1"/>
  <c r="D98" i="2" a="1"/>
  <c r="D98" i="2" s="1"/>
  <c r="E98" i="2" a="1"/>
  <c r="E98" i="2" s="1"/>
  <c r="F98" i="2" a="1"/>
  <c r="F98" i="2" s="1"/>
  <c r="C99" i="2" a="1"/>
  <c r="C99" i="2" s="1"/>
  <c r="D99" i="2" a="1"/>
  <c r="D99" i="2" s="1"/>
  <c r="E99" i="2" a="1"/>
  <c r="E99" i="2" s="1"/>
  <c r="F99" i="2" a="1"/>
  <c r="F99" i="2" s="1"/>
  <c r="C100" i="2" a="1"/>
  <c r="C100" i="2" s="1"/>
  <c r="D100" i="2" a="1"/>
  <c r="D100" i="2"/>
  <c r="E100" i="2" a="1"/>
  <c r="E100" i="2" s="1"/>
  <c r="F100" i="2" a="1"/>
  <c r="F100" i="2" s="1"/>
  <c r="C101" i="2" a="1"/>
  <c r="C101" i="2" s="1"/>
  <c r="D101" i="2" a="1"/>
  <c r="D101" i="2" s="1"/>
  <c r="E101" i="2" a="1"/>
  <c r="E101" i="2" s="1"/>
  <c r="F101" i="2" a="1"/>
  <c r="F101" i="2" s="1"/>
  <c r="C102" i="2" a="1"/>
  <c r="C102" i="2" s="1"/>
  <c r="D102" i="2" a="1"/>
  <c r="D102" i="2" s="1"/>
  <c r="E102" i="2" a="1"/>
  <c r="E102" i="2" s="1"/>
  <c r="F102" i="2" a="1"/>
  <c r="F102" i="2" s="1"/>
  <c r="C103" i="2" a="1"/>
  <c r="C103" i="2" s="1"/>
  <c r="D103" i="2" a="1"/>
  <c r="D103" i="2" s="1"/>
  <c r="E103" i="2" a="1"/>
  <c r="E103" i="2" s="1"/>
  <c r="F103" i="2" a="1"/>
  <c r="F103" i="2" s="1"/>
  <c r="C104" i="2" a="1"/>
  <c r="C104" i="2" s="1"/>
  <c r="D104" i="2" a="1"/>
  <c r="D104" i="2" s="1"/>
  <c r="E104" i="2" a="1"/>
  <c r="E104" i="2" s="1"/>
  <c r="F104" i="2" a="1"/>
  <c r="F104" i="2" s="1"/>
  <c r="C105" i="2" a="1"/>
  <c r="C105" i="2" s="1"/>
  <c r="D105" i="2" a="1"/>
  <c r="D105" i="2" s="1"/>
  <c r="E105" i="2" a="1"/>
  <c r="E105" i="2" s="1"/>
  <c r="F105" i="2" a="1"/>
  <c r="F105" i="2" s="1"/>
  <c r="C106" i="2" a="1"/>
  <c r="C106" i="2" s="1"/>
  <c r="D106" i="2" a="1"/>
  <c r="D106" i="2" s="1"/>
  <c r="E106" i="2" a="1"/>
  <c r="E106" i="2" s="1"/>
  <c r="F106" i="2" a="1"/>
  <c r="F106" i="2" s="1"/>
  <c r="C107" i="2" a="1"/>
  <c r="C107" i="2" s="1"/>
  <c r="D107" i="2" a="1"/>
  <c r="D107" i="2" s="1"/>
  <c r="E107" i="2" a="1"/>
  <c r="E107" i="2" s="1"/>
  <c r="F107" i="2" a="1"/>
  <c r="F107" i="2"/>
  <c r="C108" i="2" a="1"/>
  <c r="C108" i="2" s="1"/>
  <c r="D108" i="2" a="1"/>
  <c r="D108" i="2" s="1"/>
  <c r="E108" i="2" a="1"/>
  <c r="E108" i="2" s="1"/>
  <c r="F108" i="2" a="1"/>
  <c r="F108" i="2" s="1"/>
  <c r="C109" i="2" a="1"/>
  <c r="C109" i="2" s="1"/>
  <c r="D109" i="2" a="1"/>
  <c r="D109" i="2" s="1"/>
  <c r="E109" i="2" a="1"/>
  <c r="E109" i="2" s="1"/>
  <c r="F109" i="2" a="1"/>
  <c r="F109" i="2" s="1"/>
  <c r="C110" i="2" a="1"/>
  <c r="C110" i="2" s="1"/>
  <c r="D110" i="2" a="1"/>
  <c r="D110" i="2" s="1"/>
  <c r="E110" i="2" a="1"/>
  <c r="E110" i="2" s="1"/>
  <c r="F110" i="2" a="1"/>
  <c r="F110" i="2" s="1"/>
  <c r="C111" i="2" a="1"/>
  <c r="C111" i="2" s="1"/>
  <c r="D111" i="2" a="1"/>
  <c r="D111" i="2" s="1"/>
  <c r="E111" i="2" a="1"/>
  <c r="E111" i="2" s="1"/>
  <c r="F111" i="2" a="1"/>
  <c r="F111" i="2" s="1"/>
  <c r="C112" i="2" a="1"/>
  <c r="C112" i="2" s="1"/>
  <c r="D112" i="2" a="1"/>
  <c r="D112" i="2" s="1"/>
  <c r="E112" i="2" a="1"/>
  <c r="E112" i="2" s="1"/>
  <c r="F112" i="2" a="1"/>
  <c r="F112" i="2" s="1"/>
  <c r="C113" i="2" a="1"/>
  <c r="C113" i="2" s="1"/>
  <c r="D113" i="2" a="1"/>
  <c r="D113" i="2" s="1"/>
  <c r="E113" i="2" a="1"/>
  <c r="E113" i="2" s="1"/>
  <c r="F113" i="2" a="1"/>
  <c r="F113" i="2" s="1"/>
  <c r="C114" i="2" a="1"/>
  <c r="C114" i="2" s="1"/>
  <c r="D114" i="2" a="1"/>
  <c r="D114" i="2" s="1"/>
  <c r="E114" i="2" a="1"/>
  <c r="E114" i="2" s="1"/>
  <c r="F114" i="2" a="1"/>
  <c r="F114" i="2" s="1"/>
  <c r="C115" i="2" a="1"/>
  <c r="C115" i="2" s="1"/>
  <c r="D115" i="2" a="1"/>
  <c r="D115" i="2" s="1"/>
  <c r="E115" i="2" a="1"/>
  <c r="E115" i="2" s="1"/>
  <c r="F115" i="2" a="1"/>
  <c r="F115" i="2" s="1"/>
  <c r="C116" i="2" a="1"/>
  <c r="C116" i="2"/>
  <c r="D116" i="2" a="1"/>
  <c r="D116" i="2" s="1"/>
  <c r="E116" i="2" a="1"/>
  <c r="E116" i="2" s="1"/>
  <c r="F116" i="2" a="1"/>
  <c r="F116" i="2" s="1"/>
  <c r="C117" i="2" a="1"/>
  <c r="C117" i="2" s="1"/>
  <c r="D117" i="2" a="1"/>
  <c r="D117" i="2" s="1"/>
  <c r="E117" i="2" a="1"/>
  <c r="E117" i="2"/>
  <c r="F117" i="2" a="1"/>
  <c r="F117" i="2" s="1"/>
  <c r="C118" i="2" a="1"/>
  <c r="C118" i="2" s="1"/>
  <c r="D118" i="2" a="1"/>
  <c r="D118" i="2" s="1"/>
  <c r="E118" i="2" a="1"/>
  <c r="E118" i="2" s="1"/>
  <c r="F118" i="2" a="1"/>
  <c r="F118" i="2" s="1"/>
  <c r="C119" i="2" a="1"/>
  <c r="C119" i="2" s="1"/>
  <c r="D119" i="2" a="1"/>
  <c r="D119" i="2" s="1"/>
  <c r="E119" i="2" a="1"/>
  <c r="E119" i="2" s="1"/>
  <c r="F119" i="2" a="1"/>
  <c r="F119" i="2" s="1"/>
  <c r="C120" i="2" a="1"/>
  <c r="C120" i="2" s="1"/>
  <c r="D120" i="2" a="1"/>
  <c r="D120" i="2" s="1"/>
  <c r="E120" i="2" a="1"/>
  <c r="E120" i="2" s="1"/>
  <c r="F120" i="2" a="1"/>
  <c r="F120" i="2" s="1"/>
  <c r="C121" i="2" a="1"/>
  <c r="C121" i="2" s="1"/>
  <c r="D121" i="2" a="1"/>
  <c r="D121" i="2" s="1"/>
  <c r="E121" i="2" a="1"/>
  <c r="E121" i="2" s="1"/>
  <c r="F121" i="2" a="1"/>
  <c r="F121" i="2" s="1"/>
  <c r="C122" i="2" a="1"/>
  <c r="C122" i="2" s="1"/>
  <c r="D122" i="2" a="1"/>
  <c r="D122" i="2" s="1"/>
  <c r="E122" i="2" a="1"/>
  <c r="E122" i="2" s="1"/>
  <c r="F122" i="2" a="1"/>
  <c r="F122" i="2"/>
  <c r="C123" i="2" a="1"/>
  <c r="C123" i="2" s="1"/>
  <c r="D123" i="2" a="1"/>
  <c r="D123" i="2" s="1"/>
  <c r="E123" i="2" a="1"/>
  <c r="E123" i="2" s="1"/>
  <c r="F123" i="2" a="1"/>
  <c r="F123" i="2"/>
  <c r="C124" i="2" a="1"/>
  <c r="C124" i="2" s="1"/>
  <c r="D124" i="2" a="1"/>
  <c r="D124" i="2" s="1"/>
  <c r="E124" i="2" a="1"/>
  <c r="E124" i="2" s="1"/>
  <c r="F124" i="2" a="1"/>
  <c r="F124" i="2" s="1"/>
  <c r="C125" i="2" a="1"/>
  <c r="C125" i="2" s="1"/>
  <c r="D125" i="2" a="1"/>
  <c r="D125" i="2" s="1"/>
  <c r="E125" i="2" a="1"/>
  <c r="E125" i="2" s="1"/>
  <c r="F125" i="2" a="1"/>
  <c r="F125" i="2" s="1"/>
  <c r="C126" i="2" a="1"/>
  <c r="C126" i="2" s="1"/>
  <c r="D126" i="2" a="1"/>
  <c r="D126" i="2" s="1"/>
  <c r="E126" i="2" a="1"/>
  <c r="E126" i="2" s="1"/>
  <c r="F126" i="2" a="1"/>
  <c r="F126" i="2" s="1"/>
  <c r="C127" i="2" a="1"/>
  <c r="C127" i="2" s="1"/>
  <c r="D127" i="2" a="1"/>
  <c r="D127" i="2" s="1"/>
  <c r="E127" i="2" a="1"/>
  <c r="E127" i="2" s="1"/>
  <c r="F127" i="2" a="1"/>
  <c r="F127" i="2" s="1"/>
  <c r="C128" i="2" a="1"/>
  <c r="C128" i="2" s="1"/>
  <c r="D128" i="2" a="1"/>
  <c r="D128" i="2" s="1"/>
  <c r="E128" i="2" a="1"/>
  <c r="E128" i="2" s="1"/>
  <c r="F128" i="2" a="1"/>
  <c r="F128" i="2" s="1"/>
  <c r="C129" i="2" a="1"/>
  <c r="C129" i="2" s="1"/>
  <c r="D129" i="2" a="1"/>
  <c r="D129" i="2" s="1"/>
  <c r="E129" i="2" a="1"/>
  <c r="E129" i="2" s="1"/>
  <c r="F129" i="2" a="1"/>
  <c r="F129" i="2" s="1"/>
  <c r="C130" i="2" a="1"/>
  <c r="C130" i="2" s="1"/>
  <c r="D130" i="2" a="1"/>
  <c r="D130" i="2" s="1"/>
  <c r="E130" i="2" a="1"/>
  <c r="E130" i="2" s="1"/>
  <c r="F130" i="2" a="1"/>
  <c r="F130" i="2" s="1"/>
  <c r="C131" i="2" a="1"/>
  <c r="C131" i="2" s="1"/>
  <c r="D131" i="2" a="1"/>
  <c r="D131" i="2" s="1"/>
  <c r="E131" i="2" a="1"/>
  <c r="E131" i="2" s="1"/>
  <c r="F131" i="2" a="1"/>
  <c r="F131" i="2" s="1"/>
  <c r="C132" i="2" a="1"/>
  <c r="C132" i="2" s="1"/>
  <c r="D132" i="2" a="1"/>
  <c r="D132" i="2" s="1"/>
  <c r="E132" i="2" a="1"/>
  <c r="E132" i="2" s="1"/>
  <c r="F132" i="2" a="1"/>
  <c r="F132" i="2" s="1"/>
  <c r="C133" i="2" a="1"/>
  <c r="C133" i="2"/>
  <c r="D133" i="2" a="1"/>
  <c r="D133" i="2" s="1"/>
  <c r="E133" i="2" a="1"/>
  <c r="E133" i="2" s="1"/>
  <c r="F133" i="2" a="1"/>
  <c r="F133" i="2" s="1"/>
  <c r="C134" i="2" a="1"/>
  <c r="C134" i="2" s="1"/>
  <c r="D134" i="2" a="1"/>
  <c r="D134" i="2" s="1"/>
  <c r="E134" i="2" a="1"/>
  <c r="E134" i="2" s="1"/>
  <c r="F134" i="2" a="1"/>
  <c r="F134" i="2" s="1"/>
  <c r="C135" i="2" a="1"/>
  <c r="C135" i="2" s="1"/>
  <c r="D135" i="2" a="1"/>
  <c r="D135" i="2" s="1"/>
  <c r="E135" i="2" a="1"/>
  <c r="E135" i="2" s="1"/>
  <c r="F135" i="2" a="1"/>
  <c r="F135" i="2" s="1"/>
  <c r="C136" i="2" a="1"/>
  <c r="C136" i="2" s="1"/>
  <c r="D136" i="2" a="1"/>
  <c r="D136" i="2" s="1"/>
  <c r="E136" i="2" a="1"/>
  <c r="E136" i="2" s="1"/>
  <c r="F136" i="2" a="1"/>
  <c r="F136" i="2" s="1"/>
  <c r="C137" i="2" a="1"/>
  <c r="C137" i="2" s="1"/>
  <c r="D137" i="2" a="1"/>
  <c r="D137" i="2" s="1"/>
  <c r="E137" i="2" a="1"/>
  <c r="E137" i="2" s="1"/>
  <c r="F137" i="2" a="1"/>
  <c r="F137" i="2" s="1"/>
  <c r="C138" i="2" a="1"/>
  <c r="C138" i="2" s="1"/>
  <c r="D138" i="2" a="1"/>
  <c r="D138" i="2" s="1"/>
  <c r="E138" i="2" a="1"/>
  <c r="E138" i="2" s="1"/>
  <c r="F138" i="2" a="1"/>
  <c r="F138" i="2" s="1"/>
  <c r="C139" i="2" a="1"/>
  <c r="C139" i="2" s="1"/>
  <c r="D139" i="2" a="1"/>
  <c r="D139" i="2" s="1"/>
  <c r="E139" i="2" a="1"/>
  <c r="E139" i="2" s="1"/>
  <c r="F139" i="2" a="1"/>
  <c r="F139" i="2" s="1"/>
  <c r="C140" i="2" a="1"/>
  <c r="C140" i="2" s="1"/>
  <c r="D140" i="2" a="1"/>
  <c r="D140" i="2" s="1"/>
  <c r="E140" i="2" a="1"/>
  <c r="E140" i="2" s="1"/>
  <c r="F140" i="2" a="1"/>
  <c r="F140" i="2" s="1"/>
  <c r="C141" i="2" a="1"/>
  <c r="C141" i="2"/>
  <c r="D141" i="2" a="1"/>
  <c r="D141" i="2"/>
  <c r="E141" i="2" a="1"/>
  <c r="E141" i="2" s="1"/>
  <c r="F141" i="2" a="1"/>
  <c r="F141" i="2" s="1"/>
  <c r="C142" i="2" a="1"/>
  <c r="C142" i="2" s="1"/>
  <c r="D142" i="2" a="1"/>
  <c r="D142" i="2" s="1"/>
  <c r="E142" i="2" a="1"/>
  <c r="E142" i="2" s="1"/>
  <c r="F142" i="2" a="1"/>
  <c r="F142" i="2"/>
  <c r="C143" i="2" a="1"/>
  <c r="C143" i="2" s="1"/>
  <c r="D143" i="2" a="1"/>
  <c r="D143" i="2" s="1"/>
  <c r="E143" i="2" a="1"/>
  <c r="E143" i="2" s="1"/>
  <c r="F143" i="2" a="1"/>
  <c r="F143" i="2" s="1"/>
  <c r="C144" i="2" a="1"/>
  <c r="C144" i="2" s="1"/>
  <c r="D144" i="2" a="1"/>
  <c r="D144" i="2" s="1"/>
  <c r="E144" i="2" a="1"/>
  <c r="E144" i="2" s="1"/>
  <c r="F144" i="2" a="1"/>
  <c r="F144" i="2" s="1"/>
  <c r="C145" i="2" a="1"/>
  <c r="C145" i="2" s="1"/>
  <c r="D145" i="2" a="1"/>
  <c r="D145" i="2" s="1"/>
  <c r="E145" i="2" a="1"/>
  <c r="E145" i="2" s="1"/>
  <c r="F145" i="2" a="1"/>
  <c r="F145" i="2" s="1"/>
  <c r="C146" i="2" a="1"/>
  <c r="C146" i="2" s="1"/>
  <c r="D146" i="2" a="1"/>
  <c r="D146" i="2" s="1"/>
  <c r="E146" i="2" a="1"/>
  <c r="E146" i="2"/>
  <c r="F146" i="2" a="1"/>
  <c r="F146" i="2" s="1"/>
  <c r="C147" i="2" a="1"/>
  <c r="C147" i="2" s="1"/>
  <c r="D147" i="2" a="1"/>
  <c r="D147" i="2" s="1"/>
  <c r="E147" i="2" a="1"/>
  <c r="E147" i="2" s="1"/>
  <c r="F147" i="2" a="1"/>
  <c r="F147" i="2" s="1"/>
  <c r="C148" i="2" a="1"/>
  <c r="C148" i="2" s="1"/>
  <c r="D148" i="2" a="1"/>
  <c r="D148" i="2"/>
  <c r="E148" i="2" a="1"/>
  <c r="E148" i="2" s="1"/>
  <c r="F148" i="2" a="1"/>
  <c r="F148" i="2" s="1"/>
  <c r="C149" i="2" a="1"/>
  <c r="C149" i="2" s="1"/>
  <c r="D149" i="2" a="1"/>
  <c r="D149" i="2" s="1"/>
  <c r="E149" i="2" a="1"/>
  <c r="E149" i="2" s="1"/>
  <c r="F149" i="2" a="1"/>
  <c r="F149" i="2" s="1"/>
  <c r="C150" i="2" a="1"/>
  <c r="C150" i="2" s="1"/>
  <c r="D150" i="2" a="1"/>
  <c r="D150" i="2" s="1"/>
  <c r="E150" i="2" a="1"/>
  <c r="E150" i="2" s="1"/>
  <c r="F150" i="2" a="1"/>
  <c r="F150" i="2" s="1"/>
  <c r="C151" i="2" a="1"/>
  <c r="C151" i="2" s="1"/>
  <c r="D151" i="2" a="1"/>
  <c r="D151" i="2" s="1"/>
  <c r="E151" i="2" a="1"/>
  <c r="E151" i="2" s="1"/>
  <c r="F151" i="2" a="1"/>
  <c r="F151" i="2" s="1"/>
  <c r="C152" i="2" a="1"/>
  <c r="C152" i="2" s="1"/>
  <c r="D152" i="2" a="1"/>
  <c r="D152" i="2" s="1"/>
  <c r="E152" i="2" a="1"/>
  <c r="E152" i="2" s="1"/>
  <c r="F152" i="2" a="1"/>
  <c r="F152" i="2" s="1"/>
  <c r="C153" i="2" a="1"/>
  <c r="C153" i="2" s="1"/>
  <c r="D153" i="2" a="1"/>
  <c r="D153" i="2" s="1"/>
  <c r="E153" i="2" a="1"/>
  <c r="E153" i="2" s="1"/>
  <c r="F153" i="2" a="1"/>
  <c r="F153" i="2" s="1"/>
  <c r="C154" i="2" a="1"/>
  <c r="C154" i="2" s="1"/>
  <c r="D154" i="2" a="1"/>
  <c r="D154" i="2" s="1"/>
  <c r="E154" i="2" a="1"/>
  <c r="E154" i="2" s="1"/>
  <c r="F154" i="2" a="1"/>
  <c r="F154" i="2" s="1"/>
  <c r="C155" i="2" a="1"/>
  <c r="C155" i="2" s="1"/>
  <c r="D155" i="2" a="1"/>
  <c r="D155" i="2" s="1"/>
  <c r="E155" i="2" a="1"/>
  <c r="E155" i="2" s="1"/>
  <c r="F155" i="2" a="1"/>
  <c r="F155" i="2" s="1"/>
  <c r="C156" i="2" a="1"/>
  <c r="C156" i="2" s="1"/>
  <c r="D156" i="2" a="1"/>
  <c r="D156" i="2" s="1"/>
  <c r="E156" i="2" a="1"/>
  <c r="E156" i="2" s="1"/>
  <c r="F156" i="2" a="1"/>
  <c r="F156" i="2" s="1"/>
  <c r="C157" i="2" a="1"/>
  <c r="C157" i="2" s="1"/>
  <c r="D157" i="2" a="1"/>
  <c r="D157" i="2" s="1"/>
  <c r="E157" i="2" a="1"/>
  <c r="E157" i="2" s="1"/>
  <c r="F157" i="2" a="1"/>
  <c r="F157" i="2" s="1"/>
  <c r="C158" i="2" a="1"/>
  <c r="C158" i="2" s="1"/>
  <c r="D158" i="2" a="1"/>
  <c r="D158" i="2" s="1"/>
  <c r="E158" i="2" a="1"/>
  <c r="E158" i="2" s="1"/>
  <c r="F158" i="2" a="1"/>
  <c r="F158" i="2" s="1"/>
  <c r="C159" i="2" a="1"/>
  <c r="C159" i="2" s="1"/>
  <c r="D159" i="2" a="1"/>
  <c r="D159" i="2" s="1"/>
  <c r="E159" i="2" a="1"/>
  <c r="E159" i="2" s="1"/>
  <c r="F159" i="2" a="1"/>
  <c r="F159" i="2" s="1"/>
  <c r="C160" i="2" a="1"/>
  <c r="C160" i="2" s="1"/>
  <c r="D160" i="2" a="1"/>
  <c r="D160" i="2" s="1"/>
  <c r="E160" i="2" a="1"/>
  <c r="E160" i="2" s="1"/>
  <c r="F160" i="2" a="1"/>
  <c r="F160" i="2" s="1"/>
  <c r="C161" i="2" a="1"/>
  <c r="C161" i="2" s="1"/>
  <c r="D161" i="2" a="1"/>
  <c r="D161" i="2" s="1"/>
  <c r="E161" i="2" a="1"/>
  <c r="E161" i="2" s="1"/>
  <c r="F161" i="2" a="1"/>
  <c r="F161" i="2" s="1"/>
  <c r="C162" i="2" a="1"/>
  <c r="C162" i="2" s="1"/>
  <c r="D162" i="2" a="1"/>
  <c r="D162" i="2" s="1"/>
  <c r="E162" i="2" a="1"/>
  <c r="E162" i="2" s="1"/>
  <c r="F162" i="2" a="1"/>
  <c r="F162" i="2" s="1"/>
  <c r="C163" i="2" a="1"/>
  <c r="C163" i="2" s="1"/>
  <c r="D163" i="2" a="1"/>
  <c r="D163" i="2" s="1"/>
  <c r="E163" i="2" a="1"/>
  <c r="E163" i="2" s="1"/>
  <c r="F163" i="2" a="1"/>
  <c r="F163" i="2" s="1"/>
  <c r="C164" i="2" a="1"/>
  <c r="C164" i="2" s="1"/>
  <c r="D164" i="2" a="1"/>
  <c r="D164" i="2" s="1"/>
  <c r="E164" i="2" a="1"/>
  <c r="E164" i="2" s="1"/>
  <c r="F164" i="2" a="1"/>
  <c r="F164" i="2" s="1"/>
  <c r="C165" i="2" a="1"/>
  <c r="C165" i="2" s="1"/>
  <c r="D165" i="2" a="1"/>
  <c r="D165" i="2" s="1"/>
  <c r="E165" i="2" a="1"/>
  <c r="E165" i="2" s="1"/>
  <c r="F165" i="2" a="1"/>
  <c r="F165" i="2" s="1"/>
  <c r="C166" i="2" a="1"/>
  <c r="C166" i="2" s="1"/>
  <c r="D166" i="2" a="1"/>
  <c r="D166" i="2" s="1"/>
  <c r="E166" i="2" a="1"/>
  <c r="E166" i="2" s="1"/>
  <c r="F166" i="2" a="1"/>
  <c r="F166" i="2" s="1"/>
  <c r="C167" i="2" a="1"/>
  <c r="C167" i="2" s="1"/>
  <c r="D167" i="2" a="1"/>
  <c r="D167" i="2" s="1"/>
  <c r="E167" i="2" a="1"/>
  <c r="E167" i="2" s="1"/>
  <c r="F167" i="2" a="1"/>
  <c r="F167" i="2" s="1"/>
  <c r="C168" i="2" a="1"/>
  <c r="C168" i="2" s="1"/>
  <c r="D168" i="2" a="1"/>
  <c r="D168" i="2" s="1"/>
  <c r="E168" i="2" a="1"/>
  <c r="E168" i="2" s="1"/>
  <c r="F168" i="2" a="1"/>
  <c r="F168" i="2" s="1"/>
  <c r="C169" i="2" a="1"/>
  <c r="C169" i="2" s="1"/>
  <c r="D169" i="2" a="1"/>
  <c r="D169" i="2" s="1"/>
  <c r="E169" i="2" a="1"/>
  <c r="E169" i="2" s="1"/>
  <c r="F169" i="2" a="1"/>
  <c r="F169" i="2"/>
  <c r="C170" i="2" a="1"/>
  <c r="C170" i="2" s="1"/>
  <c r="D170" i="2" a="1"/>
  <c r="D170" i="2" s="1"/>
  <c r="E170" i="2" a="1"/>
  <c r="E170" i="2" s="1"/>
  <c r="F170" i="2" a="1"/>
  <c r="F170" i="2" s="1"/>
  <c r="C171" i="2" a="1"/>
  <c r="C171" i="2" s="1"/>
  <c r="D171" i="2" a="1"/>
  <c r="D171" i="2" s="1"/>
  <c r="E171" i="2" a="1"/>
  <c r="E171" i="2" s="1"/>
  <c r="F171" i="2" a="1"/>
  <c r="F171" i="2" s="1"/>
  <c r="C172" i="2" a="1"/>
  <c r="C172" i="2" s="1"/>
  <c r="D172" i="2" a="1"/>
  <c r="D172" i="2" s="1"/>
  <c r="E172" i="2" a="1"/>
  <c r="E172" i="2" s="1"/>
  <c r="F172" i="2" a="1"/>
  <c r="F172" i="2" s="1"/>
  <c r="C173" i="2" a="1"/>
  <c r="C173" i="2" s="1"/>
  <c r="D173" i="2" a="1"/>
  <c r="D173" i="2" s="1"/>
  <c r="E173" i="2" a="1"/>
  <c r="E173" i="2" s="1"/>
  <c r="F173" i="2" a="1"/>
  <c r="F173" i="2" s="1"/>
  <c r="C174" i="2" a="1"/>
  <c r="C174" i="2" s="1"/>
  <c r="D174" i="2" a="1"/>
  <c r="D174" i="2" s="1"/>
  <c r="E174" i="2" a="1"/>
  <c r="E174" i="2" s="1"/>
  <c r="F174" i="2" a="1"/>
  <c r="F174" i="2" s="1"/>
  <c r="C175" i="2" a="1"/>
  <c r="C175" i="2" s="1"/>
  <c r="D175" i="2" a="1"/>
  <c r="D175" i="2" s="1"/>
  <c r="E175" i="2" a="1"/>
  <c r="E175" i="2" s="1"/>
  <c r="F175" i="2" a="1"/>
  <c r="F175" i="2" s="1"/>
  <c r="C176" i="2" a="1"/>
  <c r="C176" i="2" s="1"/>
  <c r="D176" i="2" a="1"/>
  <c r="D176" i="2" s="1"/>
  <c r="E176" i="2" a="1"/>
  <c r="E176" i="2" s="1"/>
  <c r="F176" i="2" a="1"/>
  <c r="F176" i="2" s="1"/>
  <c r="C177" i="2" a="1"/>
  <c r="C177" i="2" s="1"/>
  <c r="D177" i="2" a="1"/>
  <c r="D177" i="2" s="1"/>
  <c r="E177" i="2" a="1"/>
  <c r="E177" i="2" s="1"/>
  <c r="F177" i="2" a="1"/>
  <c r="F177" i="2" s="1"/>
  <c r="C178" i="2" a="1"/>
  <c r="C178" i="2" s="1"/>
  <c r="D178" i="2" a="1"/>
  <c r="D178" i="2" s="1"/>
  <c r="E178" i="2" a="1"/>
  <c r="E178" i="2" s="1"/>
  <c r="F178" i="2" a="1"/>
  <c r="F178" i="2" s="1"/>
  <c r="C179" i="2" a="1"/>
  <c r="C179" i="2" s="1"/>
  <c r="D179" i="2" a="1"/>
  <c r="D179" i="2" s="1"/>
  <c r="E179" i="2" a="1"/>
  <c r="E179" i="2" s="1"/>
  <c r="F179" i="2" a="1"/>
  <c r="F179" i="2" s="1"/>
  <c r="C180" i="2" a="1"/>
  <c r="C180" i="2" s="1"/>
  <c r="D180" i="2" a="1"/>
  <c r="D180" i="2" s="1"/>
  <c r="E180" i="2" a="1"/>
  <c r="E180" i="2" s="1"/>
  <c r="F180" i="2" a="1"/>
  <c r="F180" i="2" s="1"/>
  <c r="C181" i="2" a="1"/>
  <c r="C181" i="2" s="1"/>
  <c r="D181" i="2" a="1"/>
  <c r="D181" i="2" s="1"/>
  <c r="E181" i="2" a="1"/>
  <c r="E181" i="2" s="1"/>
  <c r="F181" i="2" a="1"/>
  <c r="F181" i="2" s="1"/>
  <c r="C182" i="2" a="1"/>
  <c r="C182" i="2" s="1"/>
  <c r="D182" i="2" a="1"/>
  <c r="D182" i="2" s="1"/>
  <c r="E182" i="2" a="1"/>
  <c r="E182" i="2" s="1"/>
  <c r="F182" i="2" a="1"/>
  <c r="F182" i="2" s="1"/>
  <c r="C183" i="2" a="1"/>
  <c r="C183" i="2" s="1"/>
  <c r="D183" i="2" a="1"/>
  <c r="D183" i="2" s="1"/>
  <c r="E183" i="2" a="1"/>
  <c r="E183" i="2" s="1"/>
  <c r="F183" i="2" a="1"/>
  <c r="F183" i="2" s="1"/>
  <c r="C184" i="2" a="1"/>
  <c r="C184" i="2" s="1"/>
  <c r="D184" i="2" a="1"/>
  <c r="D184" i="2" s="1"/>
  <c r="E184" i="2" a="1"/>
  <c r="E184" i="2" s="1"/>
  <c r="F184" i="2" a="1"/>
  <c r="F184" i="2" s="1"/>
  <c r="C185" i="2" a="1"/>
  <c r="C185" i="2" s="1"/>
  <c r="D185" i="2" a="1"/>
  <c r="D185" i="2" s="1"/>
  <c r="E185" i="2" a="1"/>
  <c r="E185" i="2" s="1"/>
  <c r="F185" i="2" a="1"/>
  <c r="F185" i="2" s="1"/>
  <c r="C186" i="2" a="1"/>
  <c r="C186" i="2" s="1"/>
  <c r="D186" i="2" a="1"/>
  <c r="D186" i="2" s="1"/>
  <c r="E186" i="2" a="1"/>
  <c r="E186" i="2" s="1"/>
  <c r="F186" i="2" a="1"/>
  <c r="F186" i="2" s="1"/>
  <c r="C187" i="2" a="1"/>
  <c r="C187" i="2" s="1"/>
  <c r="D187" i="2" a="1"/>
  <c r="D187" i="2" s="1"/>
  <c r="E187" i="2" a="1"/>
  <c r="E187" i="2" s="1"/>
  <c r="F187" i="2" a="1"/>
  <c r="F187" i="2" s="1"/>
  <c r="C188" i="2" a="1"/>
  <c r="C188" i="2" s="1"/>
  <c r="D188" i="2" a="1"/>
  <c r="D188" i="2" s="1"/>
  <c r="E188" i="2" a="1"/>
  <c r="E188" i="2" s="1"/>
  <c r="F188" i="2" a="1"/>
  <c r="F188" i="2" s="1"/>
  <c r="C189" i="2" a="1"/>
  <c r="C189" i="2" s="1"/>
  <c r="D189" i="2" a="1"/>
  <c r="D189" i="2" s="1"/>
  <c r="E189" i="2" a="1"/>
  <c r="E189" i="2" s="1"/>
  <c r="F189" i="2" a="1"/>
  <c r="F189" i="2" s="1"/>
  <c r="C190" i="2" a="1"/>
  <c r="C190" i="2" s="1"/>
  <c r="D190" i="2" a="1"/>
  <c r="D190" i="2" s="1"/>
  <c r="E190" i="2" a="1"/>
  <c r="E190" i="2" s="1"/>
  <c r="F190" i="2" a="1"/>
  <c r="F190" i="2" s="1"/>
  <c r="C191" i="2" a="1"/>
  <c r="C191" i="2" s="1"/>
  <c r="D191" i="2" a="1"/>
  <c r="D191" i="2" s="1"/>
  <c r="E191" i="2" a="1"/>
  <c r="E191" i="2" s="1"/>
  <c r="F191" i="2" a="1"/>
  <c r="F191" i="2" s="1"/>
  <c r="C192" i="2" a="1"/>
  <c r="C192" i="2" s="1"/>
  <c r="D192" i="2" a="1"/>
  <c r="D192" i="2" s="1"/>
  <c r="E192" i="2" a="1"/>
  <c r="E192" i="2" s="1"/>
  <c r="F192" i="2" a="1"/>
  <c r="F192" i="2" s="1"/>
  <c r="C193" i="2" a="1"/>
  <c r="C193" i="2"/>
  <c r="D193" i="2" a="1"/>
  <c r="D193" i="2" s="1"/>
  <c r="E193" i="2" a="1"/>
  <c r="E193" i="2" s="1"/>
  <c r="F193" i="2" a="1"/>
  <c r="F193" i="2"/>
  <c r="C194" i="2" a="1"/>
  <c r="C194" i="2" s="1"/>
  <c r="D194" i="2" a="1"/>
  <c r="D194" i="2" s="1"/>
  <c r="E194" i="2" a="1"/>
  <c r="E194" i="2" s="1"/>
  <c r="F194" i="2" a="1"/>
  <c r="F194" i="2" s="1"/>
  <c r="C195" i="2" a="1"/>
  <c r="C195" i="2" s="1"/>
  <c r="D195" i="2" a="1"/>
  <c r="D195" i="2" s="1"/>
  <c r="E195" i="2" a="1"/>
  <c r="E195" i="2" s="1"/>
  <c r="F195" i="2" a="1"/>
  <c r="F195" i="2" s="1"/>
  <c r="C196" i="2" a="1"/>
  <c r="C196" i="2" s="1"/>
  <c r="D196" i="2" a="1"/>
  <c r="D196" i="2"/>
  <c r="E196" i="2" a="1"/>
  <c r="E196" i="2" s="1"/>
  <c r="F196" i="2" a="1"/>
  <c r="F196" i="2" s="1"/>
  <c r="C197" i="2" a="1"/>
  <c r="C197" i="2" s="1"/>
  <c r="D197" i="2" a="1"/>
  <c r="D197" i="2" s="1"/>
  <c r="E197" i="2" a="1"/>
  <c r="E197" i="2" s="1"/>
  <c r="F197" i="2" a="1"/>
  <c r="F197" i="2" s="1"/>
  <c r="C198" i="2" a="1"/>
  <c r="C198" i="2" s="1"/>
  <c r="D198" i="2" a="1"/>
  <c r="D198" i="2" s="1"/>
  <c r="E198" i="2" a="1"/>
  <c r="E198" i="2" s="1"/>
  <c r="F198" i="2" a="1"/>
  <c r="F198" i="2" s="1"/>
  <c r="C199" i="2" a="1"/>
  <c r="C199" i="2" s="1"/>
  <c r="D199" i="2" a="1"/>
  <c r="D199" i="2" s="1"/>
  <c r="E199" i="2" a="1"/>
  <c r="E199" i="2" s="1"/>
  <c r="F199" i="2" a="1"/>
  <c r="F199" i="2" s="1"/>
  <c r="C200" i="2" a="1"/>
  <c r="C200" i="2" s="1"/>
  <c r="D200" i="2" a="1"/>
  <c r="D200" i="2" s="1"/>
  <c r="E200" i="2" a="1"/>
  <c r="E200" i="2" s="1"/>
  <c r="F200" i="2" a="1"/>
  <c r="F200" i="2" s="1"/>
  <c r="C201" i="2" a="1"/>
  <c r="C201" i="2" s="1"/>
  <c r="D201" i="2" a="1"/>
  <c r="D201" i="2" s="1"/>
  <c r="E201" i="2" a="1"/>
  <c r="E201" i="2" s="1"/>
  <c r="F201" i="2" a="1"/>
  <c r="F201" i="2" s="1"/>
  <c r="C202" i="2" a="1"/>
  <c r="C202" i="2" s="1"/>
  <c r="D202" i="2" a="1"/>
  <c r="D202" i="2" s="1"/>
  <c r="E202" i="2" a="1"/>
  <c r="E202" i="2" s="1"/>
  <c r="F202" i="2" a="1"/>
  <c r="F202" i="2" s="1"/>
  <c r="C203" i="2" a="1"/>
  <c r="C203" i="2" s="1"/>
  <c r="D203" i="2" a="1"/>
  <c r="D203" i="2" s="1"/>
  <c r="E203" i="2" a="1"/>
  <c r="E203" i="2" s="1"/>
  <c r="F203" i="2" a="1"/>
  <c r="F203" i="2"/>
  <c r="C204" i="2" a="1"/>
  <c r="C204" i="2" s="1"/>
  <c r="D204" i="2" a="1"/>
  <c r="D204" i="2" s="1"/>
  <c r="E204" i="2" a="1"/>
  <c r="E204" i="2" s="1"/>
  <c r="F204" i="2" a="1"/>
  <c r="F204" i="2" s="1"/>
  <c r="C205" i="2" a="1"/>
  <c r="C205" i="2" s="1"/>
  <c r="D205" i="2" a="1"/>
  <c r="D205" i="2" s="1"/>
  <c r="E205" i="2" a="1"/>
  <c r="E205" i="2" s="1"/>
  <c r="F205" i="2" a="1"/>
  <c r="F205" i="2" s="1"/>
  <c r="C206" i="2" a="1"/>
  <c r="C206" i="2" s="1"/>
  <c r="D206" i="2" a="1"/>
  <c r="D206" i="2" s="1"/>
  <c r="E206" i="2" a="1"/>
  <c r="E206" i="2" s="1"/>
  <c r="F206" i="2" a="1"/>
  <c r="F206" i="2" s="1"/>
  <c r="C207" i="2" a="1"/>
  <c r="C207" i="2"/>
  <c r="D207" i="2" a="1"/>
  <c r="D207" i="2" s="1"/>
  <c r="E207" i="2" a="1"/>
  <c r="E207" i="2" s="1"/>
  <c r="F207" i="2" a="1"/>
  <c r="F207" i="2" s="1"/>
  <c r="C208" i="2" a="1"/>
  <c r="C208" i="2" s="1"/>
  <c r="D208" i="2" a="1"/>
  <c r="D208" i="2" s="1"/>
  <c r="E208" i="2" a="1"/>
  <c r="E208" i="2" s="1"/>
  <c r="F208" i="2" a="1"/>
  <c r="F208" i="2" s="1"/>
  <c r="C209" i="2" a="1"/>
  <c r="C209" i="2" s="1"/>
  <c r="D209" i="2" a="1"/>
  <c r="D209" i="2" s="1"/>
  <c r="E209" i="2" a="1"/>
  <c r="E209" i="2" s="1"/>
  <c r="F209" i="2" a="1"/>
  <c r="F209" i="2" s="1"/>
  <c r="C210" i="2" a="1"/>
  <c r="C210" i="2" s="1"/>
  <c r="D210" i="2" a="1"/>
  <c r="D210" i="2" s="1"/>
  <c r="E210" i="2" a="1"/>
  <c r="E210" i="2" s="1"/>
  <c r="F210" i="2" a="1"/>
  <c r="F210" i="2" s="1"/>
  <c r="C211" i="2" a="1"/>
  <c r="C211" i="2" s="1"/>
  <c r="D211" i="2" a="1"/>
  <c r="D211" i="2" s="1"/>
  <c r="E211" i="2" a="1"/>
  <c r="E211" i="2" s="1"/>
  <c r="F211" i="2" a="1"/>
  <c r="F211" i="2" s="1"/>
  <c r="C212" i="2" a="1"/>
  <c r="C212" i="2" s="1"/>
  <c r="D212" i="2" a="1"/>
  <c r="D212" i="2" s="1"/>
  <c r="E212" i="2" a="1"/>
  <c r="E212" i="2" s="1"/>
  <c r="F212" i="2" a="1"/>
  <c r="F212" i="2" s="1"/>
  <c r="C213" i="2" a="1"/>
  <c r="C213" i="2" s="1"/>
  <c r="D213" i="2" a="1"/>
  <c r="D213" i="2" s="1"/>
  <c r="E213" i="2" a="1"/>
  <c r="E213" i="2" s="1"/>
  <c r="F213" i="2" a="1"/>
  <c r="F213" i="2" s="1"/>
  <c r="C214" i="2" a="1"/>
  <c r="C214" i="2" s="1"/>
  <c r="D214" i="2" a="1"/>
  <c r="D214" i="2" s="1"/>
  <c r="E214" i="2" a="1"/>
  <c r="E214" i="2" s="1"/>
  <c r="F214" i="2" a="1"/>
  <c r="F214" i="2" s="1"/>
  <c r="C215" i="2" a="1"/>
  <c r="C215" i="2"/>
  <c r="D215" i="2" a="1"/>
  <c r="D215" i="2"/>
  <c r="E215" i="2" a="1"/>
  <c r="E215" i="2" s="1"/>
  <c r="F215" i="2" a="1"/>
  <c r="F215" i="2" s="1"/>
  <c r="C216" i="2" a="1"/>
  <c r="C216" i="2" s="1"/>
  <c r="D216" i="2" a="1"/>
  <c r="D216" i="2" s="1"/>
  <c r="E216" i="2" a="1"/>
  <c r="E216" i="2" s="1"/>
  <c r="F216" i="2" a="1"/>
  <c r="F216" i="2" s="1"/>
  <c r="C217" i="2" a="1"/>
  <c r="C217" i="2" s="1"/>
  <c r="D217" i="2" a="1"/>
  <c r="D217" i="2"/>
  <c r="E217" i="2" a="1"/>
  <c r="E217" i="2" s="1"/>
  <c r="F217" i="2" a="1"/>
  <c r="F217" i="2" s="1"/>
  <c r="C218" i="2" a="1"/>
  <c r="C218" i="2" s="1"/>
  <c r="D218" i="2" a="1"/>
  <c r="D218" i="2" s="1"/>
  <c r="E218" i="2" a="1"/>
  <c r="E218" i="2" s="1"/>
  <c r="F218" i="2" a="1"/>
  <c r="F218" i="2" s="1"/>
  <c r="C219" i="2" a="1"/>
  <c r="C219" i="2" s="1"/>
  <c r="D219" i="2" a="1"/>
  <c r="D219" i="2" s="1"/>
  <c r="E219" i="2" a="1"/>
  <c r="E219" i="2" s="1"/>
  <c r="F219" i="2" a="1"/>
  <c r="F219" i="2"/>
  <c r="C220" i="2" a="1"/>
  <c r="C220" i="2" s="1"/>
  <c r="D220" i="2" a="1"/>
  <c r="D220" i="2" s="1"/>
  <c r="E220" i="2" a="1"/>
  <c r="E220" i="2" s="1"/>
  <c r="F220" i="2" a="1"/>
  <c r="F220" i="2" s="1"/>
  <c r="C221" i="2" a="1"/>
  <c r="C221" i="2" s="1"/>
  <c r="D221" i="2" a="1"/>
  <c r="D221" i="2" s="1"/>
  <c r="E221" i="2" a="1"/>
  <c r="E221" i="2" s="1"/>
  <c r="F221" i="2" a="1"/>
  <c r="F221" i="2" s="1"/>
  <c r="C222" i="2" a="1"/>
  <c r="C222" i="2" s="1"/>
  <c r="D222" i="2" a="1"/>
  <c r="D222" i="2" s="1"/>
  <c r="E222" i="2" a="1"/>
  <c r="E222" i="2" s="1"/>
  <c r="F222" i="2" a="1"/>
  <c r="F222" i="2"/>
  <c r="C223" i="2" a="1"/>
  <c r="C223" i="2" s="1"/>
  <c r="D223" i="2" a="1"/>
  <c r="D223" i="2" s="1"/>
  <c r="E223" i="2" a="1"/>
  <c r="E223" i="2" s="1"/>
  <c r="F223" i="2" a="1"/>
  <c r="F223" i="2" s="1"/>
  <c r="C224" i="2" a="1"/>
  <c r="C224" i="2" s="1"/>
  <c r="D224" i="2" a="1"/>
  <c r="D224" i="2" s="1"/>
  <c r="E224" i="2" a="1"/>
  <c r="E224" i="2" s="1"/>
  <c r="F224" i="2" a="1"/>
  <c r="F224" i="2" s="1"/>
  <c r="C225" i="2" a="1"/>
  <c r="C225" i="2" s="1"/>
  <c r="D225" i="2" a="1"/>
  <c r="D225" i="2" s="1"/>
  <c r="E225" i="2" a="1"/>
  <c r="E225" i="2" s="1"/>
  <c r="F225" i="2" a="1"/>
  <c r="F225" i="2" s="1"/>
  <c r="C226" i="2" a="1"/>
  <c r="C226" i="2" s="1"/>
  <c r="D226" i="2" a="1"/>
  <c r="D226" i="2" s="1"/>
  <c r="E226" i="2" a="1"/>
  <c r="E226" i="2" s="1"/>
  <c r="F226" i="2" a="1"/>
  <c r="F226" i="2" s="1"/>
  <c r="C227" i="2" a="1"/>
  <c r="C227" i="2" s="1"/>
  <c r="D227" i="2" a="1"/>
  <c r="D227" i="2" s="1"/>
  <c r="E227" i="2" a="1"/>
  <c r="E227" i="2" s="1"/>
  <c r="F227" i="2" a="1"/>
  <c r="F227" i="2" s="1"/>
  <c r="C228" i="2" a="1"/>
  <c r="C228" i="2" s="1"/>
  <c r="D228" i="2" a="1"/>
  <c r="D228" i="2" s="1"/>
  <c r="E228" i="2" a="1"/>
  <c r="E228" i="2" s="1"/>
  <c r="F228" i="2" a="1"/>
  <c r="F228" i="2" s="1"/>
  <c r="C229" i="2" a="1"/>
  <c r="C229" i="2" s="1"/>
  <c r="D229" i="2" a="1"/>
  <c r="D229" i="2" s="1"/>
  <c r="E229" i="2" a="1"/>
  <c r="E229" i="2" s="1"/>
  <c r="F229" i="2" a="1"/>
  <c r="F229" i="2" s="1"/>
  <c r="C230" i="2" a="1"/>
  <c r="C230" i="2" s="1"/>
  <c r="D230" i="2" a="1"/>
  <c r="D230" i="2" s="1"/>
  <c r="E230" i="2" a="1"/>
  <c r="E230" i="2" s="1"/>
  <c r="F230" i="2" a="1"/>
  <c r="F230" i="2" s="1"/>
  <c r="C231" i="2" a="1"/>
  <c r="C231" i="2" s="1"/>
  <c r="D231" i="2" a="1"/>
  <c r="D231" i="2" s="1"/>
  <c r="E231" i="2" a="1"/>
  <c r="E231" i="2" s="1"/>
  <c r="F231" i="2" a="1"/>
  <c r="F231" i="2" s="1"/>
  <c r="C232" i="2" a="1"/>
  <c r="C232" i="2" s="1"/>
  <c r="D232" i="2" a="1"/>
  <c r="D232" i="2" s="1"/>
  <c r="E232" i="2" a="1"/>
  <c r="E232" i="2" s="1"/>
  <c r="F232" i="2" a="1"/>
  <c r="F232" i="2" s="1"/>
  <c r="C233" i="2" a="1"/>
  <c r="C233" i="2" s="1"/>
  <c r="D233" i="2" a="1"/>
  <c r="D233" i="2" s="1"/>
  <c r="E233" i="2" a="1"/>
  <c r="E233" i="2" s="1"/>
  <c r="F233" i="2" a="1"/>
  <c r="F233" i="2" s="1"/>
  <c r="C234" i="2" a="1"/>
  <c r="C234" i="2" s="1"/>
  <c r="D234" i="2" a="1"/>
  <c r="D234" i="2" s="1"/>
  <c r="E234" i="2" a="1"/>
  <c r="E234" i="2" s="1"/>
  <c r="F234" i="2" a="1"/>
  <c r="F234" i="2" s="1"/>
  <c r="C235" i="2" a="1"/>
  <c r="C235" i="2" s="1"/>
  <c r="D235" i="2" a="1"/>
  <c r="D235" i="2" s="1"/>
  <c r="E235" i="2" a="1"/>
  <c r="E235" i="2" s="1"/>
  <c r="F235" i="2" a="1"/>
  <c r="F235" i="2" s="1"/>
  <c r="C236" i="2" a="1"/>
  <c r="C236" i="2" s="1"/>
  <c r="D236" i="2" a="1"/>
  <c r="D236" i="2" s="1"/>
  <c r="E236" i="2" a="1"/>
  <c r="E236" i="2" s="1"/>
  <c r="F236" i="2" a="1"/>
  <c r="F236" i="2" s="1"/>
  <c r="C237" i="2" a="1"/>
  <c r="C237" i="2"/>
  <c r="D237" i="2" a="1"/>
  <c r="D237" i="2" s="1"/>
  <c r="E237" i="2" a="1"/>
  <c r="E237" i="2" s="1"/>
  <c r="F237" i="2" a="1"/>
  <c r="F237" i="2" s="1"/>
  <c r="C238" i="2" a="1"/>
  <c r="C238" i="2" s="1"/>
  <c r="D238" i="2" a="1"/>
  <c r="D238" i="2" s="1"/>
  <c r="E238" i="2" a="1"/>
  <c r="E238" i="2"/>
  <c r="F238" i="2" a="1"/>
  <c r="F238" i="2" s="1"/>
  <c r="C239" i="2" a="1"/>
  <c r="C239" i="2" s="1"/>
  <c r="D239" i="2" a="1"/>
  <c r="D239" i="2" s="1"/>
  <c r="E239" i="2" a="1"/>
  <c r="E239" i="2" s="1"/>
  <c r="F239" i="2" a="1"/>
  <c r="F239" i="2" s="1"/>
  <c r="C240" i="2" a="1"/>
  <c r="C240" i="2" s="1"/>
  <c r="D240" i="2" a="1"/>
  <c r="D240" i="2" s="1"/>
  <c r="E240" i="2" a="1"/>
  <c r="E240" i="2" s="1"/>
  <c r="F240" i="2" a="1"/>
  <c r="F240" i="2" s="1"/>
  <c r="C241" i="2" a="1"/>
  <c r="C241" i="2" s="1"/>
  <c r="D241" i="2" a="1"/>
  <c r="D241" i="2" s="1"/>
  <c r="E241" i="2" a="1"/>
  <c r="E241" i="2" s="1"/>
  <c r="F241" i="2" a="1"/>
  <c r="F241" i="2" s="1"/>
  <c r="C242" i="2" a="1"/>
  <c r="C242" i="2" s="1"/>
  <c r="D242" i="2" a="1"/>
  <c r="D242" i="2" s="1"/>
  <c r="E242" i="2" a="1"/>
  <c r="E242" i="2" s="1"/>
  <c r="F242" i="2" a="1"/>
  <c r="F242" i="2" s="1"/>
  <c r="C243" i="2" a="1"/>
  <c r="C243" i="2" s="1"/>
  <c r="D243" i="2" a="1"/>
  <c r="D243" i="2" s="1"/>
  <c r="E243" i="2" a="1"/>
  <c r="E243" i="2" s="1"/>
  <c r="F243" i="2" a="1"/>
  <c r="F243" i="2" s="1"/>
  <c r="C244" i="2" a="1"/>
  <c r="C244" i="2" s="1"/>
  <c r="D244" i="2" a="1"/>
  <c r="D244" i="2" s="1"/>
  <c r="E244" i="2" a="1"/>
  <c r="E244" i="2" s="1"/>
  <c r="F244" i="2" a="1"/>
  <c r="F244" i="2" s="1"/>
  <c r="C245" i="2" a="1"/>
  <c r="C245" i="2" s="1"/>
  <c r="D245" i="2" a="1"/>
  <c r="D245" i="2" s="1"/>
  <c r="E245" i="2" a="1"/>
  <c r="E245" i="2" s="1"/>
  <c r="F245" i="2" a="1"/>
  <c r="F245" i="2" s="1"/>
  <c r="C246" i="2" a="1"/>
  <c r="C246" i="2" s="1"/>
  <c r="D246" i="2" a="1"/>
  <c r="D246" i="2" s="1"/>
  <c r="E246" i="2" a="1"/>
  <c r="E246" i="2" s="1"/>
  <c r="F246" i="2" a="1"/>
  <c r="F246" i="2" s="1"/>
  <c r="C247" i="2" a="1"/>
  <c r="C247" i="2" s="1"/>
  <c r="D247" i="2" a="1"/>
  <c r="D247" i="2" s="1"/>
  <c r="E247" i="2" a="1"/>
  <c r="E247" i="2" s="1"/>
  <c r="F247" i="2" a="1"/>
  <c r="F247" i="2" s="1"/>
  <c r="C248" i="2" a="1"/>
  <c r="C248" i="2" s="1"/>
  <c r="D248" i="2" a="1"/>
  <c r="D248" i="2" s="1"/>
  <c r="E248" i="2" a="1"/>
  <c r="E248" i="2"/>
  <c r="F248" i="2" a="1"/>
  <c r="F248" i="2" s="1"/>
  <c r="C249" i="2" a="1"/>
  <c r="C249" i="2" s="1"/>
  <c r="D249" i="2" a="1"/>
  <c r="D249" i="2" s="1"/>
  <c r="E249" i="2" a="1"/>
  <c r="E249" i="2" s="1"/>
  <c r="F249" i="2" a="1"/>
  <c r="F249" i="2" s="1"/>
  <c r="C250" i="2" a="1"/>
  <c r="C250" i="2"/>
  <c r="D250" i="2" a="1"/>
  <c r="D250" i="2" s="1"/>
  <c r="E250" i="2" a="1"/>
  <c r="E250" i="2" s="1"/>
  <c r="F250" i="2" a="1"/>
  <c r="F250" i="2" s="1"/>
  <c r="C251" i="2" a="1"/>
  <c r="C251" i="2" s="1"/>
  <c r="D251" i="2" a="1"/>
  <c r="D251" i="2" s="1"/>
  <c r="E251" i="2" a="1"/>
  <c r="E251" i="2" s="1"/>
  <c r="F251" i="2" a="1"/>
  <c r="F251" i="2" s="1"/>
  <c r="C252" i="2" a="1"/>
  <c r="C252" i="2"/>
  <c r="D252" i="2" a="1"/>
  <c r="D252" i="2" s="1"/>
  <c r="E252" i="2" a="1"/>
  <c r="E252" i="2" s="1"/>
  <c r="F252" i="2" a="1"/>
  <c r="F252" i="2" s="1"/>
  <c r="C253" i="2" a="1"/>
  <c r="C253" i="2" s="1"/>
  <c r="D253" i="2" a="1"/>
  <c r="D253" i="2" s="1"/>
  <c r="E253" i="2" a="1"/>
  <c r="E253" i="2" s="1"/>
  <c r="F253" i="2" a="1"/>
  <c r="F253" i="2" s="1"/>
  <c r="C254" i="2" a="1"/>
  <c r="C254" i="2" s="1"/>
  <c r="D254" i="2" a="1"/>
  <c r="D254" i="2" s="1"/>
  <c r="E254" i="2" a="1"/>
  <c r="E254" i="2" s="1"/>
  <c r="F254" i="2" a="1"/>
  <c r="F254" i="2" s="1"/>
  <c r="C255" i="2" a="1"/>
  <c r="C255" i="2" s="1"/>
  <c r="D255" i="2" a="1"/>
  <c r="D255" i="2" s="1"/>
  <c r="E255" i="2" a="1"/>
  <c r="E255" i="2" s="1"/>
  <c r="F255" i="2" a="1"/>
  <c r="F255" i="2"/>
  <c r="C256" i="2" a="1"/>
  <c r="C256" i="2" s="1"/>
  <c r="D256" i="2" a="1"/>
  <c r="D256" i="2" s="1"/>
  <c r="E256" i="2" a="1"/>
  <c r="E256" i="2" s="1"/>
  <c r="F256" i="2" a="1"/>
  <c r="F256" i="2" s="1"/>
  <c r="C257" i="2" a="1"/>
  <c r="C257" i="2" s="1"/>
  <c r="D257" i="2" a="1"/>
  <c r="D257" i="2" s="1"/>
  <c r="E257" i="2" a="1"/>
  <c r="E257" i="2" s="1"/>
  <c r="F257" i="2" a="1"/>
  <c r="F257" i="2"/>
  <c r="C258" i="2" a="1"/>
  <c r="C258" i="2" s="1"/>
  <c r="D258" i="2" a="1"/>
  <c r="D258" i="2" s="1"/>
  <c r="E258" i="2" a="1"/>
  <c r="E258" i="2" s="1"/>
  <c r="F258" i="2" a="1"/>
  <c r="F258" i="2" s="1"/>
  <c r="C259" i="2" a="1"/>
  <c r="C259" i="2" s="1"/>
  <c r="D259" i="2" a="1"/>
  <c r="D259" i="2" s="1"/>
  <c r="E259" i="2" a="1"/>
  <c r="E259" i="2" s="1"/>
  <c r="F259" i="2" a="1"/>
  <c r="F259" i="2" s="1"/>
  <c r="C260" i="2" a="1"/>
  <c r="C260" i="2" s="1"/>
  <c r="D260" i="2" a="1"/>
  <c r="D260" i="2" s="1"/>
  <c r="E260" i="2" a="1"/>
  <c r="E260" i="2" s="1"/>
  <c r="F260" i="2" a="1"/>
  <c r="F260" i="2" s="1"/>
  <c r="C261" i="2" a="1"/>
  <c r="C261" i="2" s="1"/>
  <c r="D261" i="2" a="1"/>
  <c r="D261" i="2" s="1"/>
  <c r="E261" i="2" a="1"/>
  <c r="E261" i="2" s="1"/>
  <c r="F261" i="2" a="1"/>
  <c r="F261" i="2" s="1"/>
  <c r="C262" i="2" a="1"/>
  <c r="C262" i="2" s="1"/>
  <c r="D262" i="2" a="1"/>
  <c r="D262" i="2" s="1"/>
  <c r="E262" i="2" a="1"/>
  <c r="E262" i="2" s="1"/>
  <c r="F262" i="2" a="1"/>
  <c r="F262" i="2" s="1"/>
  <c r="C263" i="2" a="1"/>
  <c r="C263" i="2" s="1"/>
  <c r="D263" i="2" a="1"/>
  <c r="D263" i="2" s="1"/>
  <c r="E263" i="2" a="1"/>
  <c r="E263" i="2" s="1"/>
  <c r="F263" i="2" a="1"/>
  <c r="F263" i="2" s="1"/>
  <c r="C264" i="2" a="1"/>
  <c r="C264" i="2" s="1"/>
  <c r="D264" i="2" a="1"/>
  <c r="D264" i="2" s="1"/>
  <c r="E264" i="2" a="1"/>
  <c r="E264" i="2" s="1"/>
  <c r="F264" i="2" a="1"/>
  <c r="F264" i="2" s="1"/>
  <c r="C265" i="2" a="1"/>
  <c r="C265" i="2" s="1"/>
  <c r="D265" i="2" a="1"/>
  <c r="D265" i="2" s="1"/>
  <c r="E265" i="2" a="1"/>
  <c r="E265" i="2" s="1"/>
  <c r="F265" i="2" a="1"/>
  <c r="F265" i="2" s="1"/>
  <c r="C266" i="2" a="1"/>
  <c r="C266" i="2" s="1"/>
  <c r="D266" i="2" a="1"/>
  <c r="D266" i="2" s="1"/>
  <c r="E266" i="2" a="1"/>
  <c r="E266" i="2" s="1"/>
  <c r="F266" i="2" a="1"/>
  <c r="F266" i="2" s="1"/>
  <c r="C267" i="2" a="1"/>
  <c r="C267" i="2" s="1"/>
  <c r="D267" i="2" a="1"/>
  <c r="D267" i="2" s="1"/>
  <c r="E267" i="2" a="1"/>
  <c r="E267" i="2" s="1"/>
  <c r="F267" i="2" a="1"/>
  <c r="F267" i="2" s="1"/>
  <c r="C268" i="2" a="1"/>
  <c r="C268" i="2" s="1"/>
  <c r="D268" i="2" a="1"/>
  <c r="D268" i="2" s="1"/>
  <c r="E268" i="2" a="1"/>
  <c r="E268" i="2" s="1"/>
  <c r="F268" i="2" a="1"/>
  <c r="F268" i="2" s="1"/>
  <c r="C269" i="2" a="1"/>
  <c r="C269" i="2" s="1"/>
  <c r="D269" i="2" a="1"/>
  <c r="D269" i="2" s="1"/>
  <c r="E269" i="2" a="1"/>
  <c r="E269" i="2" s="1"/>
  <c r="F269" i="2" a="1"/>
  <c r="F269" i="2" s="1"/>
  <c r="C270" i="2" a="1"/>
  <c r="C270" i="2" s="1"/>
  <c r="D270" i="2" a="1"/>
  <c r="D270" i="2" s="1"/>
  <c r="E270" i="2" a="1"/>
  <c r="E270" i="2" s="1"/>
  <c r="F270" i="2" a="1"/>
  <c r="F270" i="2" s="1"/>
  <c r="C271" i="2" a="1"/>
  <c r="C271" i="2" s="1"/>
  <c r="D271" i="2" a="1"/>
  <c r="D271" i="2" s="1"/>
  <c r="E271" i="2" a="1"/>
  <c r="E271" i="2" s="1"/>
  <c r="F271" i="2" a="1"/>
  <c r="F271" i="2" s="1"/>
  <c r="C272" i="2" a="1"/>
  <c r="C272" i="2" s="1"/>
  <c r="D272" i="2" a="1"/>
  <c r="D272" i="2" s="1"/>
  <c r="E272" i="2" a="1"/>
  <c r="E272" i="2" s="1"/>
  <c r="F272" i="2" a="1"/>
  <c r="F272" i="2" s="1"/>
  <c r="C273" i="2" a="1"/>
  <c r="C273" i="2" s="1"/>
  <c r="D273" i="2" a="1"/>
  <c r="D273" i="2" s="1"/>
  <c r="E273" i="2" a="1"/>
  <c r="E273" i="2" s="1"/>
  <c r="F273" i="2" a="1"/>
  <c r="F273" i="2" s="1"/>
  <c r="C274" i="2" a="1"/>
  <c r="C274" i="2" s="1"/>
  <c r="D274" i="2" a="1"/>
  <c r="D274" i="2" s="1"/>
  <c r="E274" i="2" a="1"/>
  <c r="E274" i="2" s="1"/>
  <c r="F274" i="2" a="1"/>
  <c r="F274" i="2" s="1"/>
  <c r="C275" i="2" a="1"/>
  <c r="C275" i="2" s="1"/>
  <c r="D275" i="2" a="1"/>
  <c r="D275" i="2" s="1"/>
  <c r="E275" i="2" a="1"/>
  <c r="E275" i="2" s="1"/>
  <c r="F275" i="2" a="1"/>
  <c r="F275" i="2" s="1"/>
  <c r="C276" i="2" a="1"/>
  <c r="C276" i="2" s="1"/>
  <c r="D276" i="2" a="1"/>
  <c r="D276" i="2" s="1"/>
  <c r="E276" i="2" a="1"/>
  <c r="E276" i="2" s="1"/>
  <c r="F276" i="2" a="1"/>
  <c r="F276" i="2" s="1"/>
  <c r="C277" i="2" a="1"/>
  <c r="C277" i="2" s="1"/>
  <c r="D277" i="2" a="1"/>
  <c r="D277" i="2" s="1"/>
  <c r="E277" i="2" a="1"/>
  <c r="E277" i="2" s="1"/>
  <c r="F277" i="2" a="1"/>
  <c r="F277" i="2" s="1"/>
  <c r="C278" i="2" a="1"/>
  <c r="C278" i="2" s="1"/>
  <c r="D278" i="2" a="1"/>
  <c r="D278" i="2" s="1"/>
  <c r="E278" i="2" a="1"/>
  <c r="E278" i="2" s="1"/>
  <c r="F278" i="2" a="1"/>
  <c r="F278" i="2" s="1"/>
  <c r="C279" i="2" a="1"/>
  <c r="C279" i="2" s="1"/>
  <c r="D279" i="2" a="1"/>
  <c r="D279" i="2" s="1"/>
  <c r="E279" i="2" a="1"/>
  <c r="E279" i="2" s="1"/>
  <c r="F279" i="2" a="1"/>
  <c r="F279" i="2" s="1"/>
  <c r="C280" i="2" a="1"/>
  <c r="C280" i="2" s="1"/>
  <c r="D280" i="2" a="1"/>
  <c r="D280" i="2" s="1"/>
  <c r="E280" i="2" a="1"/>
  <c r="E280" i="2" s="1"/>
  <c r="F280" i="2" a="1"/>
  <c r="F280" i="2" s="1"/>
  <c r="C281" i="2" a="1"/>
  <c r="C281" i="2"/>
  <c r="D281" i="2" a="1"/>
  <c r="D281" i="2" s="1"/>
  <c r="E281" i="2" a="1"/>
  <c r="E281" i="2" s="1"/>
  <c r="F281" i="2" a="1"/>
  <c r="F281" i="2" s="1"/>
  <c r="C282" i="2" a="1"/>
  <c r="C282" i="2" s="1"/>
  <c r="D282" i="2" a="1"/>
  <c r="D282" i="2" s="1"/>
  <c r="E282" i="2" a="1"/>
  <c r="E282" i="2" s="1"/>
  <c r="F282" i="2" a="1"/>
  <c r="F282" i="2" s="1"/>
  <c r="C283" i="2" a="1"/>
  <c r="C283" i="2" s="1"/>
  <c r="D283" i="2" a="1"/>
  <c r="D283" i="2" s="1"/>
  <c r="E283" i="2" a="1"/>
  <c r="E283" i="2" s="1"/>
  <c r="F283" i="2" a="1"/>
  <c r="F283" i="2" s="1"/>
  <c r="C284" i="2" a="1"/>
  <c r="C284" i="2" s="1"/>
  <c r="D284" i="2" a="1"/>
  <c r="D284" i="2" s="1"/>
  <c r="E284" i="2" a="1"/>
  <c r="E284" i="2" s="1"/>
  <c r="F284" i="2" a="1"/>
  <c r="F284" i="2" s="1"/>
  <c r="C285" i="2" a="1"/>
  <c r="C285" i="2" s="1"/>
  <c r="D285" i="2" a="1"/>
  <c r="D285" i="2" s="1"/>
  <c r="E285" i="2" a="1"/>
  <c r="E285" i="2"/>
  <c r="F285" i="2" a="1"/>
  <c r="F285" i="2" s="1"/>
  <c r="C286" i="2" a="1"/>
  <c r="C286" i="2" s="1"/>
  <c r="D286" i="2" a="1"/>
  <c r="D286" i="2" s="1"/>
  <c r="E286" i="2" a="1"/>
  <c r="E286" i="2" s="1"/>
  <c r="F286" i="2" a="1"/>
  <c r="F286" i="2" s="1"/>
  <c r="C287" i="2" a="1"/>
  <c r="C287" i="2"/>
  <c r="D287" i="2" a="1"/>
  <c r="D287" i="2" s="1"/>
  <c r="E287" i="2" a="1"/>
  <c r="E287" i="2" s="1"/>
  <c r="F287" i="2" a="1"/>
  <c r="F287" i="2" s="1"/>
  <c r="C288" i="2" a="1"/>
  <c r="C288" i="2" s="1"/>
  <c r="D288" i="2" a="1"/>
  <c r="D288" i="2" s="1"/>
  <c r="E288" i="2" a="1"/>
  <c r="E288" i="2" s="1"/>
  <c r="F288" i="2" a="1"/>
  <c r="F288" i="2" s="1"/>
  <c r="C289" i="2" a="1"/>
  <c r="C289" i="2" s="1"/>
  <c r="D289" i="2" a="1"/>
  <c r="D289" i="2" s="1"/>
  <c r="E289" i="2" a="1"/>
  <c r="E289" i="2" s="1"/>
  <c r="F289" i="2" a="1"/>
  <c r="F289" i="2" s="1"/>
  <c r="C290" i="2" a="1"/>
  <c r="C290" i="2" s="1"/>
  <c r="D290" i="2" a="1"/>
  <c r="D290" i="2" s="1"/>
  <c r="E290" i="2" a="1"/>
  <c r="E290" i="2" s="1"/>
  <c r="F290" i="2" a="1"/>
  <c r="F290" i="2" s="1"/>
  <c r="C291" i="2" a="1"/>
  <c r="C291" i="2" s="1"/>
  <c r="D291" i="2" a="1"/>
  <c r="D291" i="2" s="1"/>
  <c r="E291" i="2" a="1"/>
  <c r="E291" i="2" s="1"/>
  <c r="F291" i="2" a="1"/>
  <c r="F291" i="2" s="1"/>
  <c r="C292" i="2" a="1"/>
  <c r="C292" i="2" s="1"/>
  <c r="D292" i="2" a="1"/>
  <c r="D292" i="2" s="1"/>
  <c r="E292" i="2" a="1"/>
  <c r="E292" i="2" s="1"/>
  <c r="F292" i="2" a="1"/>
  <c r="F292" i="2" s="1"/>
  <c r="C293" i="2" a="1"/>
  <c r="C293" i="2" s="1"/>
  <c r="D293" i="2" a="1"/>
  <c r="D293" i="2"/>
  <c r="E293" i="2" a="1"/>
  <c r="E293" i="2" s="1"/>
  <c r="F293" i="2" a="1"/>
  <c r="F293" i="2" s="1"/>
  <c r="C294" i="2" a="1"/>
  <c r="C294" i="2" s="1"/>
  <c r="D294" i="2" a="1"/>
  <c r="D294" i="2" s="1"/>
  <c r="E294" i="2" a="1"/>
  <c r="E294" i="2" s="1"/>
  <c r="F294" i="2" a="1"/>
  <c r="F294" i="2" s="1"/>
  <c r="C295" i="2" a="1"/>
  <c r="C295" i="2" s="1"/>
  <c r="D295" i="2" a="1"/>
  <c r="D295" i="2"/>
  <c r="E295" i="2" a="1"/>
  <c r="E295" i="2" s="1"/>
  <c r="F295" i="2" a="1"/>
  <c r="F295" i="2" s="1"/>
  <c r="C296" i="2" a="1"/>
  <c r="C296" i="2" s="1"/>
  <c r="D296" i="2" a="1"/>
  <c r="D296" i="2" s="1"/>
  <c r="E296" i="2" a="1"/>
  <c r="E296" i="2" s="1"/>
  <c r="F296" i="2" a="1"/>
  <c r="F296" i="2" s="1"/>
  <c r="C297" i="2" a="1"/>
  <c r="C297" i="2" s="1"/>
  <c r="D297" i="2" a="1"/>
  <c r="D297" i="2" s="1"/>
  <c r="E297" i="2" a="1"/>
  <c r="E297" i="2" s="1"/>
  <c r="F297" i="2" a="1"/>
  <c r="F297" i="2" s="1"/>
  <c r="C298" i="2" a="1"/>
  <c r="C298" i="2" s="1"/>
  <c r="D298" i="2" a="1"/>
  <c r="D298" i="2" s="1"/>
  <c r="E298" i="2" a="1"/>
  <c r="E298" i="2" s="1"/>
  <c r="F298" i="2" a="1"/>
  <c r="F298" i="2" s="1"/>
  <c r="C299" i="2" a="1"/>
  <c r="C299" i="2" s="1"/>
  <c r="D299" i="2" a="1"/>
  <c r="D299" i="2" s="1"/>
  <c r="E299" i="2" a="1"/>
  <c r="E299" i="2" s="1"/>
  <c r="F299" i="2" a="1"/>
  <c r="F299" i="2" s="1"/>
  <c r="C300" i="2" a="1"/>
  <c r="C300" i="2" s="1"/>
  <c r="D300" i="2" a="1"/>
  <c r="D300" i="2" s="1"/>
  <c r="E300" i="2" a="1"/>
  <c r="E300" i="2" s="1"/>
  <c r="F300" i="2" a="1"/>
  <c r="F300" i="2" s="1"/>
  <c r="C301" i="2" a="1"/>
  <c r="C301" i="2" s="1"/>
  <c r="D301" i="2" a="1"/>
  <c r="D301" i="2" s="1"/>
  <c r="E301" i="2" a="1"/>
  <c r="E301" i="2" s="1"/>
  <c r="F301" i="2" a="1"/>
  <c r="F301" i="2" s="1"/>
  <c r="C302" i="2" a="1"/>
  <c r="C302" i="2" s="1"/>
  <c r="D302" i="2" a="1"/>
  <c r="D302" i="2" s="1"/>
  <c r="E302" i="2" a="1"/>
  <c r="E302" i="2" s="1"/>
  <c r="F302" i="2" a="1"/>
  <c r="F302" i="2" s="1"/>
  <c r="C303" i="2" a="1"/>
  <c r="C303" i="2" s="1"/>
  <c r="D303" i="2" a="1"/>
  <c r="D303" i="2" s="1"/>
  <c r="E303" i="2" a="1"/>
  <c r="E303" i="2" s="1"/>
  <c r="F303" i="2" a="1"/>
  <c r="F303" i="2" s="1"/>
  <c r="C304" i="2" a="1"/>
  <c r="C304" i="2" s="1"/>
  <c r="D304" i="2" a="1"/>
  <c r="D304" i="2" s="1"/>
  <c r="E304" i="2" a="1"/>
  <c r="E304" i="2" s="1"/>
  <c r="F304" i="2" a="1"/>
  <c r="F304" i="2" s="1"/>
  <c r="C305" i="2" a="1"/>
  <c r="C305" i="2" s="1"/>
  <c r="D305" i="2" a="1"/>
  <c r="D305" i="2"/>
  <c r="E305" i="2" a="1"/>
  <c r="E305" i="2" s="1"/>
  <c r="F305" i="2" a="1"/>
  <c r="F305" i="2" s="1"/>
  <c r="C306" i="2" a="1"/>
  <c r="C306" i="2" s="1"/>
  <c r="D306" i="2" a="1"/>
  <c r="D306" i="2" s="1"/>
  <c r="E306" i="2" a="1"/>
  <c r="E306" i="2" s="1"/>
  <c r="F306" i="2" a="1"/>
  <c r="F306" i="2" s="1"/>
  <c r="C307" i="2" a="1"/>
  <c r="C307" i="2" s="1"/>
  <c r="D307" i="2" a="1"/>
  <c r="D307" i="2"/>
  <c r="E307" i="2" a="1"/>
  <c r="E307" i="2" s="1"/>
  <c r="F307" i="2" a="1"/>
  <c r="F307" i="2" s="1"/>
  <c r="C308" i="2" a="1"/>
  <c r="C308" i="2" s="1"/>
  <c r="D308" i="2" a="1"/>
  <c r="D308" i="2" s="1"/>
  <c r="E308" i="2" a="1"/>
  <c r="E308" i="2" s="1"/>
  <c r="F308" i="2" a="1"/>
  <c r="F308" i="2" s="1"/>
  <c r="C309" i="2" a="1"/>
  <c r="C309" i="2" s="1"/>
  <c r="D309" i="2" a="1"/>
  <c r="D309" i="2" s="1"/>
  <c r="E309" i="2" a="1"/>
  <c r="E309" i="2"/>
  <c r="F309" i="2" a="1"/>
  <c r="F309" i="2" s="1"/>
  <c r="C310" i="2" a="1"/>
  <c r="C310" i="2" s="1"/>
  <c r="D310" i="2" a="1"/>
  <c r="D310" i="2" s="1"/>
  <c r="E310" i="2" a="1"/>
  <c r="E310" i="2" s="1"/>
  <c r="F310" i="2" a="1"/>
  <c r="F310" i="2" s="1"/>
  <c r="C311" i="2" a="1"/>
  <c r="C311" i="2" s="1"/>
  <c r="D311" i="2" a="1"/>
  <c r="D311" i="2" s="1"/>
  <c r="E311" i="2" a="1"/>
  <c r="E311" i="2" s="1"/>
  <c r="F311" i="2" a="1"/>
  <c r="F311" i="2" s="1"/>
  <c r="C312" i="2" a="1"/>
  <c r="C312" i="2" s="1"/>
  <c r="D312" i="2" a="1"/>
  <c r="D312" i="2" s="1"/>
  <c r="E312" i="2" a="1"/>
  <c r="E312" i="2" s="1"/>
  <c r="F312" i="2" a="1"/>
  <c r="F312" i="2" s="1"/>
  <c r="C313" i="2" a="1"/>
  <c r="C313" i="2" s="1"/>
  <c r="D313" i="2" a="1"/>
  <c r="D313" i="2" s="1"/>
  <c r="E313" i="2" a="1"/>
  <c r="E313" i="2" s="1"/>
  <c r="F313" i="2" a="1"/>
  <c r="F313" i="2" s="1"/>
  <c r="C314" i="2" a="1"/>
  <c r="C314" i="2" s="1"/>
  <c r="D314" i="2" a="1"/>
  <c r="D314" i="2" s="1"/>
  <c r="E314" i="2" a="1"/>
  <c r="E314" i="2" s="1"/>
  <c r="F314" i="2" a="1"/>
  <c r="F314" i="2" s="1"/>
  <c r="C315" i="2" a="1"/>
  <c r="C315" i="2" s="1"/>
  <c r="D315" i="2" a="1"/>
  <c r="D315" i="2" s="1"/>
  <c r="E315" i="2" a="1"/>
  <c r="E315" i="2" s="1"/>
  <c r="F315" i="2" a="1"/>
  <c r="F315" i="2" s="1"/>
  <c r="C316" i="2" a="1"/>
  <c r="C316" i="2" s="1"/>
  <c r="D316" i="2" a="1"/>
  <c r="D316" i="2" s="1"/>
  <c r="E316" i="2" a="1"/>
  <c r="E316" i="2" s="1"/>
  <c r="F316" i="2" a="1"/>
  <c r="F316" i="2" s="1"/>
  <c r="C317" i="2" a="1"/>
  <c r="C317" i="2" s="1"/>
  <c r="D317" i="2" a="1"/>
  <c r="D317" i="2" s="1"/>
  <c r="E317" i="2" a="1"/>
  <c r="E317" i="2" s="1"/>
  <c r="F317" i="2" a="1"/>
  <c r="F317" i="2" s="1"/>
  <c r="C318" i="2" a="1"/>
  <c r="C318" i="2" s="1"/>
  <c r="D318" i="2" a="1"/>
  <c r="D318" i="2" s="1"/>
  <c r="E318" i="2" a="1"/>
  <c r="E318" i="2" s="1"/>
  <c r="F318" i="2" a="1"/>
  <c r="F318" i="2" s="1"/>
  <c r="C319" i="2" a="1"/>
  <c r="C319" i="2" s="1"/>
  <c r="D319" i="2" a="1"/>
  <c r="D319" i="2" s="1"/>
  <c r="E319" i="2" a="1"/>
  <c r="E319" i="2" s="1"/>
  <c r="F319" i="2" a="1"/>
  <c r="F319" i="2" s="1"/>
  <c r="C320" i="2" a="1"/>
  <c r="C320" i="2" s="1"/>
  <c r="D320" i="2" a="1"/>
  <c r="D320" i="2" s="1"/>
  <c r="E320" i="2" a="1"/>
  <c r="E320" i="2" s="1"/>
  <c r="F320" i="2" a="1"/>
  <c r="F320" i="2" s="1"/>
  <c r="C321" i="2" a="1"/>
  <c r="C321" i="2" s="1"/>
  <c r="D321" i="2" a="1"/>
  <c r="D321" i="2" s="1"/>
  <c r="E321" i="2" a="1"/>
  <c r="E321" i="2" s="1"/>
  <c r="F321" i="2" a="1"/>
  <c r="F321" i="2" s="1"/>
  <c r="C322" i="2" a="1"/>
  <c r="C322" i="2" s="1"/>
  <c r="D322" i="2" a="1"/>
  <c r="D322" i="2" s="1"/>
  <c r="E322" i="2" a="1"/>
  <c r="E322" i="2" s="1"/>
  <c r="F322" i="2" a="1"/>
  <c r="F322" i="2" s="1"/>
  <c r="C323" i="2" a="1"/>
  <c r="C323" i="2"/>
  <c r="D323" i="2" a="1"/>
  <c r="D323" i="2" s="1"/>
  <c r="E323" i="2" a="1"/>
  <c r="E323" i="2" s="1"/>
  <c r="F323" i="2" a="1"/>
  <c r="F323" i="2" s="1"/>
  <c r="C324" i="2" a="1"/>
  <c r="C324" i="2" s="1"/>
  <c r="D324" i="2" a="1"/>
  <c r="D324" i="2" s="1"/>
  <c r="E324" i="2" a="1"/>
  <c r="E324" i="2" s="1"/>
  <c r="F324" i="2" a="1"/>
  <c r="F324" i="2" s="1"/>
  <c r="C325" i="2" a="1"/>
  <c r="C325" i="2" s="1"/>
  <c r="D325" i="2" a="1"/>
  <c r="D325" i="2" s="1"/>
  <c r="E325" i="2" a="1"/>
  <c r="E325" i="2" s="1"/>
  <c r="F325" i="2" a="1"/>
  <c r="F325" i="2" s="1"/>
  <c r="C326" i="2" a="1"/>
  <c r="C326" i="2" s="1"/>
  <c r="D326" i="2" a="1"/>
  <c r="D326" i="2" s="1"/>
  <c r="E326" i="2" a="1"/>
  <c r="E326" i="2" s="1"/>
  <c r="F326" i="2" a="1"/>
  <c r="F326" i="2" s="1"/>
  <c r="C327" i="2" a="1"/>
  <c r="C327" i="2" s="1"/>
  <c r="D327" i="2" a="1"/>
  <c r="D327" i="2" s="1"/>
  <c r="E327" i="2" a="1"/>
  <c r="E327" i="2" s="1"/>
  <c r="F327" i="2" a="1"/>
  <c r="F327" i="2" s="1"/>
  <c r="C328" i="2" a="1"/>
  <c r="C328" i="2" s="1"/>
  <c r="D328" i="2" a="1"/>
  <c r="D328" i="2" s="1"/>
  <c r="E328" i="2" a="1"/>
  <c r="E328" i="2" s="1"/>
  <c r="F328" i="2" a="1"/>
  <c r="F328" i="2" s="1"/>
  <c r="C329" i="2" a="1"/>
  <c r="C329" i="2" s="1"/>
  <c r="D329" i="2" a="1"/>
  <c r="D329" i="2" s="1"/>
  <c r="E329" i="2" a="1"/>
  <c r="E329" i="2" s="1"/>
  <c r="F329" i="2" a="1"/>
  <c r="F329" i="2" s="1"/>
  <c r="C330" i="2" a="1"/>
  <c r="C330" i="2" s="1"/>
  <c r="D330" i="2" a="1"/>
  <c r="D330" i="2" s="1"/>
  <c r="E330" i="2" a="1"/>
  <c r="E330" i="2" s="1"/>
  <c r="F330" i="2" a="1"/>
  <c r="F330" i="2" s="1"/>
  <c r="C331" i="2" a="1"/>
  <c r="C331" i="2" s="1"/>
  <c r="D331" i="2" a="1"/>
  <c r="D331" i="2" s="1"/>
  <c r="E331" i="2" a="1"/>
  <c r="E331" i="2" s="1"/>
  <c r="F331" i="2" a="1"/>
  <c r="F331" i="2" s="1"/>
  <c r="C332" i="2" a="1"/>
  <c r="C332" i="2" s="1"/>
  <c r="D332" i="2" a="1"/>
  <c r="D332" i="2" s="1"/>
  <c r="E332" i="2" a="1"/>
  <c r="E332" i="2" s="1"/>
  <c r="F332" i="2" a="1"/>
  <c r="F332" i="2" s="1"/>
  <c r="C333" i="2" a="1"/>
  <c r="C333" i="2" s="1"/>
  <c r="D333" i="2" a="1"/>
  <c r="D333" i="2" s="1"/>
  <c r="E333" i="2" a="1"/>
  <c r="E333" i="2" s="1"/>
  <c r="F333" i="2" a="1"/>
  <c r="F333" i="2" s="1"/>
  <c r="C334" i="2" a="1"/>
  <c r="C334" i="2" s="1"/>
  <c r="D334" i="2" a="1"/>
  <c r="D334" i="2" s="1"/>
  <c r="E334" i="2" a="1"/>
  <c r="E334" i="2" s="1"/>
  <c r="F334" i="2" a="1"/>
  <c r="F334" i="2" s="1"/>
  <c r="C335" i="2" a="1"/>
  <c r="C335" i="2" s="1"/>
  <c r="D335" i="2" a="1"/>
  <c r="D335" i="2"/>
  <c r="E335" i="2" a="1"/>
  <c r="E335" i="2" s="1"/>
  <c r="F335" i="2" a="1"/>
  <c r="F335" i="2" s="1"/>
  <c r="C336" i="2" a="1"/>
  <c r="C336" i="2" s="1"/>
  <c r="D336" i="2" a="1"/>
  <c r="D336" i="2" s="1"/>
  <c r="E336" i="2" a="1"/>
  <c r="E336" i="2" s="1"/>
  <c r="F336" i="2" a="1"/>
  <c r="F336" i="2" s="1"/>
  <c r="C337" i="2" a="1"/>
  <c r="C337" i="2" s="1"/>
  <c r="D337" i="2" a="1"/>
  <c r="D337" i="2" s="1"/>
  <c r="E337" i="2" a="1"/>
  <c r="E337" i="2" s="1"/>
  <c r="F337" i="2" a="1"/>
  <c r="F337" i="2" s="1"/>
  <c r="C338" i="2" a="1"/>
  <c r="C338" i="2" s="1"/>
  <c r="D338" i="2" a="1"/>
  <c r="D338" i="2" s="1"/>
  <c r="E338" i="2" a="1"/>
  <c r="E338" i="2" s="1"/>
  <c r="F338" i="2" a="1"/>
  <c r="F338" i="2" s="1"/>
  <c r="C339" i="2" a="1"/>
  <c r="C339" i="2" s="1"/>
  <c r="D339" i="2" a="1"/>
  <c r="D339" i="2" s="1"/>
  <c r="E339" i="2" a="1"/>
  <c r="E339" i="2" s="1"/>
  <c r="F339" i="2" a="1"/>
  <c r="F339" i="2" s="1"/>
  <c r="C340" i="2" a="1"/>
  <c r="C340" i="2" s="1"/>
  <c r="D340" i="2" a="1"/>
  <c r="D340" i="2" s="1"/>
  <c r="E340" i="2" a="1"/>
  <c r="E340" i="2" s="1"/>
  <c r="F340" i="2" a="1"/>
  <c r="F340" i="2" s="1"/>
  <c r="C341" i="2" a="1"/>
  <c r="C341" i="2" s="1"/>
  <c r="D341" i="2" a="1"/>
  <c r="D341" i="2" s="1"/>
  <c r="E341" i="2" a="1"/>
  <c r="E341" i="2" s="1"/>
  <c r="F341" i="2" a="1"/>
  <c r="F341" i="2" s="1"/>
  <c r="C342" i="2" a="1"/>
  <c r="C342" i="2" s="1"/>
  <c r="D342" i="2" a="1"/>
  <c r="D342" i="2" s="1"/>
  <c r="E342" i="2" a="1"/>
  <c r="E342" i="2" s="1"/>
  <c r="F342" i="2" a="1"/>
  <c r="F342" i="2" s="1"/>
  <c r="C343" i="2" a="1"/>
  <c r="C343" i="2" s="1"/>
  <c r="D343" i="2" a="1"/>
  <c r="D343" i="2" s="1"/>
  <c r="E343" i="2" a="1"/>
  <c r="E343" i="2" s="1"/>
  <c r="F343" i="2" a="1"/>
  <c r="F343" i="2" s="1"/>
  <c r="C344" i="2" a="1"/>
  <c r="C344" i="2" s="1"/>
  <c r="D344" i="2" a="1"/>
  <c r="D344" i="2" s="1"/>
  <c r="E344" i="2" a="1"/>
  <c r="E344" i="2" s="1"/>
  <c r="F344" i="2" a="1"/>
  <c r="F344" i="2" s="1"/>
  <c r="C345" i="2" a="1"/>
  <c r="C345" i="2" s="1"/>
  <c r="D345" i="2" a="1"/>
  <c r="D345" i="2" s="1"/>
  <c r="E345" i="2" a="1"/>
  <c r="E345" i="2" s="1"/>
  <c r="F345" i="2" a="1"/>
  <c r="F345" i="2" s="1"/>
  <c r="C346" i="2" a="1"/>
  <c r="C346" i="2" s="1"/>
  <c r="D346" i="2" a="1"/>
  <c r="D346" i="2" s="1"/>
  <c r="E346" i="2" a="1"/>
  <c r="E346" i="2" s="1"/>
  <c r="F346" i="2" a="1"/>
  <c r="F346" i="2" s="1"/>
  <c r="C347" i="2" a="1"/>
  <c r="C347" i="2" s="1"/>
  <c r="D347" i="2" a="1"/>
  <c r="D347" i="2"/>
  <c r="E347" i="2" a="1"/>
  <c r="E347" i="2" s="1"/>
  <c r="F347" i="2" a="1"/>
  <c r="F347" i="2" s="1"/>
  <c r="C348" i="2" a="1"/>
  <c r="C348" i="2" s="1"/>
  <c r="D348" i="2" a="1"/>
  <c r="D348" i="2" s="1"/>
  <c r="E348" i="2" a="1"/>
  <c r="E348" i="2" s="1"/>
  <c r="F348" i="2" a="1"/>
  <c r="F348" i="2" s="1"/>
  <c r="C349" i="2" a="1"/>
  <c r="C349" i="2" s="1"/>
  <c r="D349" i="2" a="1"/>
  <c r="D349" i="2" s="1"/>
  <c r="E349" i="2" a="1"/>
  <c r="E349" i="2" s="1"/>
  <c r="F349" i="2" a="1"/>
  <c r="F349" i="2" s="1"/>
  <c r="C350" i="2" a="1"/>
  <c r="C350" i="2" s="1"/>
  <c r="D350" i="2" a="1"/>
  <c r="D350" i="2" s="1"/>
  <c r="E350" i="2" a="1"/>
  <c r="E350" i="2" s="1"/>
  <c r="F350" i="2" a="1"/>
  <c r="F350" i="2" s="1"/>
  <c r="C351" i="2" a="1"/>
  <c r="C351" i="2" s="1"/>
  <c r="D351" i="2" a="1"/>
  <c r="D351" i="2" s="1"/>
  <c r="E351" i="2" a="1"/>
  <c r="E351" i="2" s="1"/>
  <c r="F351" i="2" a="1"/>
  <c r="F351" i="2" s="1"/>
  <c r="C352" i="2" a="1"/>
  <c r="C352" i="2" s="1"/>
  <c r="D352" i="2" a="1"/>
  <c r="D352" i="2" s="1"/>
  <c r="E352" i="2" a="1"/>
  <c r="E352" i="2" s="1"/>
  <c r="F352" i="2" a="1"/>
  <c r="F352" i="2" s="1"/>
  <c r="C353" i="2" a="1"/>
  <c r="C353" i="2" s="1"/>
  <c r="D353" i="2" a="1"/>
  <c r="D353" i="2" s="1"/>
  <c r="E353" i="2" a="1"/>
  <c r="E353" i="2" s="1"/>
  <c r="F353" i="2" a="1"/>
  <c r="F353" i="2" s="1"/>
  <c r="C354" i="2" a="1"/>
  <c r="C354" i="2" s="1"/>
  <c r="D354" i="2" a="1"/>
  <c r="D354" i="2" s="1"/>
  <c r="E354" i="2" a="1"/>
  <c r="E354" i="2" s="1"/>
  <c r="F354" i="2" a="1"/>
  <c r="F354" i="2" s="1"/>
  <c r="C355" i="2" a="1"/>
  <c r="C355" i="2" s="1"/>
  <c r="D355" i="2" a="1"/>
  <c r="D355" i="2" s="1"/>
  <c r="E355" i="2" a="1"/>
  <c r="E355" i="2" s="1"/>
  <c r="F355" i="2" a="1"/>
  <c r="F355" i="2" s="1"/>
  <c r="C356" i="2" a="1"/>
  <c r="C356" i="2" s="1"/>
  <c r="D356" i="2" a="1"/>
  <c r="D356" i="2" s="1"/>
  <c r="E356" i="2" a="1"/>
  <c r="E356" i="2" s="1"/>
  <c r="F356" i="2" a="1"/>
  <c r="F356" i="2" s="1"/>
  <c r="C357" i="2" a="1"/>
  <c r="C357" i="2" s="1"/>
  <c r="D357" i="2" a="1"/>
  <c r="D357" i="2" s="1"/>
  <c r="E357" i="2" a="1"/>
  <c r="E357" i="2" s="1"/>
  <c r="F357" i="2" a="1"/>
  <c r="F357" i="2" s="1"/>
  <c r="C358" i="2" a="1"/>
  <c r="C358" i="2" s="1"/>
  <c r="D358" i="2" a="1"/>
  <c r="D358" i="2" s="1"/>
  <c r="E358" i="2" a="1"/>
  <c r="E358" i="2" s="1"/>
  <c r="F358" i="2" a="1"/>
  <c r="F358" i="2" s="1"/>
  <c r="C359" i="2" a="1"/>
  <c r="C359" i="2" s="1"/>
  <c r="D359" i="2" a="1"/>
  <c r="D359" i="2" s="1"/>
  <c r="E359" i="2" a="1"/>
  <c r="E359" i="2" s="1"/>
  <c r="F359" i="2" a="1"/>
  <c r="F359" i="2" s="1"/>
  <c r="C360" i="2" a="1"/>
  <c r="C360" i="2" s="1"/>
  <c r="D360" i="2" a="1"/>
  <c r="D360" i="2" s="1"/>
  <c r="E360" i="2" a="1"/>
  <c r="E360" i="2" s="1"/>
  <c r="F360" i="2" a="1"/>
  <c r="F360" i="2" s="1"/>
  <c r="C361" i="2" a="1"/>
  <c r="C361" i="2" s="1"/>
  <c r="D361" i="2" a="1"/>
  <c r="D361" i="2" s="1"/>
  <c r="E361" i="2" a="1"/>
  <c r="E361" i="2" s="1"/>
  <c r="F361" i="2" a="1"/>
  <c r="F361" i="2" s="1"/>
  <c r="C362" i="2" a="1"/>
  <c r="C362" i="2" s="1"/>
  <c r="D362" i="2" a="1"/>
  <c r="D362" i="2" s="1"/>
  <c r="E362" i="2" a="1"/>
  <c r="E362" i="2" s="1"/>
  <c r="F362" i="2" a="1"/>
  <c r="F362" i="2" s="1"/>
  <c r="C363" i="2" a="1"/>
  <c r="C363" i="2" s="1"/>
  <c r="D363" i="2" a="1"/>
  <c r="D363" i="2" s="1"/>
  <c r="E363" i="2" a="1"/>
  <c r="E363" i="2" s="1"/>
  <c r="F363" i="2" a="1"/>
  <c r="F363" i="2" s="1"/>
  <c r="C364" i="2" a="1"/>
  <c r="C364" i="2" s="1"/>
  <c r="D364" i="2" a="1"/>
  <c r="D364" i="2" s="1"/>
  <c r="E364" i="2" a="1"/>
  <c r="E364" i="2" s="1"/>
  <c r="F364" i="2" a="1"/>
  <c r="F364" i="2" s="1"/>
  <c r="C365" i="2" a="1"/>
  <c r="C365" i="2" s="1"/>
  <c r="D365" i="2" a="1"/>
  <c r="D365" i="2" s="1"/>
  <c r="E365" i="2" a="1"/>
  <c r="E365" i="2" s="1"/>
  <c r="F365" i="2" a="1"/>
  <c r="F365" i="2" s="1"/>
  <c r="C366" i="2" a="1"/>
  <c r="C366" i="2" s="1"/>
  <c r="D366" i="2" a="1"/>
  <c r="D366" i="2" s="1"/>
  <c r="E366" i="2" a="1"/>
  <c r="E366" i="2" s="1"/>
  <c r="F366" i="2" a="1"/>
  <c r="F366" i="2" s="1"/>
  <c r="C367" i="2" a="1"/>
  <c r="C367" i="2" s="1"/>
  <c r="D367" i="2" a="1"/>
  <c r="D367" i="2" s="1"/>
  <c r="E367" i="2" a="1"/>
  <c r="E367" i="2" s="1"/>
  <c r="F367" i="2" a="1"/>
  <c r="F367" i="2" s="1"/>
  <c r="C368" i="2" a="1"/>
  <c r="C368" i="2" s="1"/>
  <c r="D368" i="2" a="1"/>
  <c r="D368" i="2" s="1"/>
  <c r="E368" i="2" a="1"/>
  <c r="E368" i="2" s="1"/>
  <c r="F368" i="2" a="1"/>
  <c r="F368" i="2" s="1"/>
  <c r="C369" i="2" a="1"/>
  <c r="C369" i="2" s="1"/>
  <c r="D369" i="2" a="1"/>
  <c r="D369" i="2" s="1"/>
  <c r="E369" i="2" a="1"/>
  <c r="E369" i="2" s="1"/>
  <c r="F369" i="2" a="1"/>
  <c r="F369" i="2" s="1"/>
  <c r="C370" i="2" a="1"/>
  <c r="C370" i="2" s="1"/>
  <c r="D370" i="2" a="1"/>
  <c r="D370" i="2" s="1"/>
  <c r="E370" i="2" a="1"/>
  <c r="E370" i="2" s="1"/>
  <c r="F370" i="2" a="1"/>
  <c r="F370" i="2" s="1"/>
  <c r="C371" i="2" a="1"/>
  <c r="C371" i="2" s="1"/>
  <c r="D371" i="2" a="1"/>
  <c r="D371" i="2" s="1"/>
  <c r="E371" i="2" a="1"/>
  <c r="E371" i="2" s="1"/>
  <c r="F371" i="2" a="1"/>
  <c r="F371" i="2" s="1"/>
  <c r="C372" i="2" a="1"/>
  <c r="C372" i="2" s="1"/>
  <c r="D372" i="2" a="1"/>
  <c r="D372" i="2" s="1"/>
  <c r="E372" i="2" a="1"/>
  <c r="E372" i="2" s="1"/>
  <c r="F372" i="2" a="1"/>
  <c r="F372" i="2" s="1"/>
  <c r="C373" i="2" a="1"/>
  <c r="C373" i="2" s="1"/>
  <c r="D373" i="2" a="1"/>
  <c r="D373" i="2" s="1"/>
  <c r="E373" i="2" a="1"/>
  <c r="E373" i="2" s="1"/>
  <c r="F373" i="2" a="1"/>
  <c r="F373" i="2" s="1"/>
  <c r="C374" i="2" a="1"/>
  <c r="C374" i="2" s="1"/>
  <c r="D374" i="2" a="1"/>
  <c r="D374" i="2" s="1"/>
  <c r="E374" i="2" a="1"/>
  <c r="E374" i="2" s="1"/>
  <c r="F374" i="2" a="1"/>
  <c r="F374" i="2" s="1"/>
  <c r="C375" i="2" a="1"/>
  <c r="C375" i="2" s="1"/>
  <c r="D375" i="2" a="1"/>
  <c r="D375" i="2" s="1"/>
  <c r="E375" i="2" a="1"/>
  <c r="E375" i="2" s="1"/>
  <c r="F375" i="2" a="1"/>
  <c r="F375" i="2" s="1"/>
  <c r="C376" i="2" a="1"/>
  <c r="C376" i="2" s="1"/>
  <c r="D376" i="2" a="1"/>
  <c r="D376" i="2" s="1"/>
  <c r="E376" i="2" a="1"/>
  <c r="E376" i="2" s="1"/>
  <c r="F376" i="2" a="1"/>
  <c r="F376" i="2" s="1"/>
  <c r="C377" i="2" a="1"/>
  <c r="C377" i="2" s="1"/>
  <c r="D377" i="2" a="1"/>
  <c r="D377" i="2" s="1"/>
  <c r="E377" i="2" a="1"/>
  <c r="E377" i="2" s="1"/>
  <c r="F377" i="2" a="1"/>
  <c r="F377" i="2" s="1"/>
  <c r="C378" i="2" a="1"/>
  <c r="C378" i="2" s="1"/>
  <c r="D378" i="2" a="1"/>
  <c r="D378" i="2" s="1"/>
  <c r="E378" i="2" a="1"/>
  <c r="E378" i="2" s="1"/>
  <c r="F378" i="2" a="1"/>
  <c r="F378" i="2" s="1"/>
  <c r="C379" i="2" a="1"/>
  <c r="C379" i="2" s="1"/>
  <c r="D379" i="2" a="1"/>
  <c r="D379" i="2" s="1"/>
  <c r="E379" i="2" a="1"/>
  <c r="E379" i="2" s="1"/>
  <c r="F379" i="2" a="1"/>
  <c r="F379" i="2" s="1"/>
  <c r="C380" i="2" a="1"/>
  <c r="C380" i="2" s="1"/>
  <c r="D380" i="2" a="1"/>
  <c r="D380" i="2" s="1"/>
  <c r="E380" i="2" a="1"/>
  <c r="E380" i="2" s="1"/>
  <c r="F380" i="2" a="1"/>
  <c r="F380" i="2" s="1"/>
  <c r="C381" i="2" a="1"/>
  <c r="C381" i="2" s="1"/>
  <c r="D381" i="2" a="1"/>
  <c r="D381" i="2" s="1"/>
  <c r="E381" i="2" a="1"/>
  <c r="E381" i="2" s="1"/>
  <c r="F381" i="2" a="1"/>
  <c r="F381" i="2" s="1"/>
  <c r="C382" i="2" a="1"/>
  <c r="C382" i="2" s="1"/>
  <c r="D382" i="2" a="1"/>
  <c r="D382" i="2" s="1"/>
  <c r="E382" i="2" a="1"/>
  <c r="E382" i="2" s="1"/>
  <c r="F382" i="2" a="1"/>
  <c r="F382" i="2" s="1"/>
  <c r="C383" i="2" a="1"/>
  <c r="C383" i="2" s="1"/>
  <c r="D383" i="2" a="1"/>
  <c r="D383" i="2" s="1"/>
  <c r="E383" i="2" a="1"/>
  <c r="E383" i="2" s="1"/>
  <c r="F383" i="2" a="1"/>
  <c r="F383" i="2" s="1"/>
  <c r="C384" i="2" a="1"/>
  <c r="C384" i="2" s="1"/>
  <c r="D384" i="2" a="1"/>
  <c r="D384" i="2" s="1"/>
  <c r="E384" i="2" a="1"/>
  <c r="E384" i="2" s="1"/>
  <c r="F384" i="2" a="1"/>
  <c r="F384" i="2" s="1"/>
  <c r="C385" i="2" a="1"/>
  <c r="C385" i="2" s="1"/>
  <c r="D385" i="2" a="1"/>
  <c r="D385" i="2"/>
  <c r="E385" i="2" a="1"/>
  <c r="E385" i="2" s="1"/>
  <c r="F385" i="2" a="1"/>
  <c r="F385" i="2" s="1"/>
  <c r="C386" i="2" a="1"/>
  <c r="C386" i="2" s="1"/>
  <c r="D386" i="2" a="1"/>
  <c r="D386" i="2" s="1"/>
  <c r="E386" i="2" a="1"/>
  <c r="E386" i="2" s="1"/>
  <c r="F386" i="2" a="1"/>
  <c r="F386" i="2" s="1"/>
  <c r="C387" i="2" a="1"/>
  <c r="C387" i="2" s="1"/>
  <c r="D387" i="2" a="1"/>
  <c r="D387" i="2" s="1"/>
  <c r="E387" i="2" a="1"/>
  <c r="E387" i="2" s="1"/>
  <c r="F387" i="2" a="1"/>
  <c r="F387" i="2" s="1"/>
  <c r="C388" i="2" a="1"/>
  <c r="C388" i="2" s="1"/>
  <c r="D388" i="2" a="1"/>
  <c r="D388" i="2" s="1"/>
  <c r="E388" i="2" a="1"/>
  <c r="E388" i="2" s="1"/>
  <c r="F388" i="2" a="1"/>
  <c r="F388" i="2" s="1"/>
  <c r="C389" i="2" a="1"/>
  <c r="C389" i="2" s="1"/>
  <c r="D389" i="2" a="1"/>
  <c r="D389" i="2" s="1"/>
  <c r="E389" i="2" a="1"/>
  <c r="E389" i="2" s="1"/>
  <c r="F389" i="2" a="1"/>
  <c r="F389" i="2" s="1"/>
  <c r="C390" i="2" a="1"/>
  <c r="C390" i="2" s="1"/>
  <c r="D390" i="2" a="1"/>
  <c r="D390" i="2" s="1"/>
  <c r="E390" i="2" a="1"/>
  <c r="E390" i="2" s="1"/>
  <c r="F390" i="2" a="1"/>
  <c r="F390" i="2" s="1"/>
  <c r="C391" i="2" a="1"/>
  <c r="C391" i="2" s="1"/>
  <c r="D391" i="2" a="1"/>
  <c r="D391" i="2"/>
  <c r="E391" i="2" a="1"/>
  <c r="E391" i="2" s="1"/>
  <c r="F391" i="2" a="1"/>
  <c r="F391" i="2" s="1"/>
  <c r="C392" i="2" a="1"/>
  <c r="C392" i="2" s="1"/>
  <c r="D392" i="2" a="1"/>
  <c r="D392" i="2" s="1"/>
  <c r="E392" i="2" a="1"/>
  <c r="E392" i="2" s="1"/>
  <c r="F392" i="2" a="1"/>
  <c r="F392" i="2" s="1"/>
  <c r="C393" i="2" a="1"/>
  <c r="C393" i="2" s="1"/>
  <c r="D393" i="2" a="1"/>
  <c r="D393" i="2" s="1"/>
  <c r="E393" i="2" a="1"/>
  <c r="E393" i="2" s="1"/>
  <c r="F393" i="2" a="1"/>
  <c r="F393" i="2" s="1"/>
  <c r="C394" i="2" a="1"/>
  <c r="C394" i="2" s="1"/>
  <c r="D394" i="2" a="1"/>
  <c r="D394" i="2" s="1"/>
  <c r="E394" i="2" a="1"/>
  <c r="E394" i="2" s="1"/>
  <c r="F394" i="2" a="1"/>
  <c r="F394" i="2" s="1"/>
  <c r="C395" i="2" a="1"/>
  <c r="C395" i="2"/>
  <c r="D395" i="2" a="1"/>
  <c r="D395" i="2" s="1"/>
  <c r="E395" i="2" a="1"/>
  <c r="E395" i="2" s="1"/>
  <c r="F395" i="2" a="1"/>
  <c r="F395" i="2"/>
  <c r="C396" i="2" a="1"/>
  <c r="C396" i="2" s="1"/>
  <c r="D396" i="2" a="1"/>
  <c r="D396" i="2" s="1"/>
  <c r="E396" i="2" a="1"/>
  <c r="E396" i="2" s="1"/>
  <c r="F396" i="2" a="1"/>
  <c r="F396" i="2" s="1"/>
  <c r="C397" i="2" a="1"/>
  <c r="C397" i="2" s="1"/>
  <c r="D397" i="2" a="1"/>
  <c r="D397" i="2" s="1"/>
  <c r="E397" i="2" a="1"/>
  <c r="E397" i="2" s="1"/>
  <c r="F397" i="2" a="1"/>
  <c r="F397" i="2" s="1"/>
  <c r="C398" i="2" a="1"/>
  <c r="C398" i="2" s="1"/>
  <c r="D398" i="2" a="1"/>
  <c r="D398" i="2" s="1"/>
  <c r="E398" i="2" a="1"/>
  <c r="E398" i="2" s="1"/>
  <c r="F398" i="2" a="1"/>
  <c r="F398" i="2" s="1"/>
  <c r="C399" i="2" a="1"/>
  <c r="C399" i="2" s="1"/>
  <c r="D399" i="2" a="1"/>
  <c r="D399" i="2" s="1"/>
  <c r="E399" i="2" a="1"/>
  <c r="E399" i="2" s="1"/>
  <c r="F399" i="2" a="1"/>
  <c r="F399" i="2" s="1"/>
  <c r="C400" i="2" a="1"/>
  <c r="C400" i="2" s="1"/>
  <c r="D400" i="2" a="1"/>
  <c r="D400" i="2" s="1"/>
  <c r="E400" i="2" a="1"/>
  <c r="E400" i="2" s="1"/>
  <c r="F400" i="2" a="1"/>
  <c r="F400" i="2" s="1"/>
  <c r="C401" i="2" a="1"/>
  <c r="C401" i="2" s="1"/>
  <c r="D401" i="2" a="1"/>
  <c r="D401" i="2" s="1"/>
  <c r="E401" i="2" a="1"/>
  <c r="E401" i="2" s="1"/>
  <c r="F401" i="2" a="1"/>
  <c r="F401" i="2" s="1"/>
  <c r="C402" i="2" a="1"/>
  <c r="C402" i="2" s="1"/>
  <c r="D402" i="2" a="1"/>
  <c r="D402" i="2" s="1"/>
  <c r="E402" i="2" a="1"/>
  <c r="E402" i="2" s="1"/>
  <c r="F402" i="2" a="1"/>
  <c r="F402" i="2" s="1"/>
  <c r="C403" i="2" a="1"/>
  <c r="C403" i="2" s="1"/>
  <c r="D403" i="2" a="1"/>
  <c r="D403" i="2" s="1"/>
  <c r="E403" i="2" a="1"/>
  <c r="E403" i="2" s="1"/>
  <c r="F403" i="2" a="1"/>
  <c r="F403" i="2" s="1"/>
  <c r="C404" i="2" a="1"/>
  <c r="C404" i="2" s="1"/>
  <c r="D404" i="2" a="1"/>
  <c r="D404" i="2" s="1"/>
  <c r="E404" i="2" a="1"/>
  <c r="E404" i="2" s="1"/>
  <c r="F404" i="2" a="1"/>
  <c r="F404" i="2"/>
  <c r="C405" i="2" a="1"/>
  <c r="C405" i="2" s="1"/>
  <c r="D405" i="2" a="1"/>
  <c r="D405" i="2" s="1"/>
  <c r="E405" i="2" a="1"/>
  <c r="E405" i="2" s="1"/>
  <c r="F405" i="2" a="1"/>
  <c r="F405" i="2"/>
  <c r="C406" i="2" a="1"/>
  <c r="C406" i="2" s="1"/>
  <c r="D406" i="2" a="1"/>
  <c r="D406" i="2" s="1"/>
  <c r="E406" i="2" a="1"/>
  <c r="E406" i="2" s="1"/>
  <c r="F406" i="2" a="1"/>
  <c r="F406" i="2" s="1"/>
  <c r="C407" i="2" a="1"/>
  <c r="C407" i="2" s="1"/>
  <c r="D407" i="2" a="1"/>
  <c r="D407" i="2" s="1"/>
  <c r="E407" i="2" a="1"/>
  <c r="E407" i="2" s="1"/>
  <c r="F407" i="2" a="1"/>
  <c r="F407" i="2" s="1"/>
  <c r="C408" i="2" a="1"/>
  <c r="C408" i="2" s="1"/>
  <c r="D408" i="2" a="1"/>
  <c r="D408" i="2" s="1"/>
  <c r="E408" i="2" a="1"/>
  <c r="E408" i="2" s="1"/>
  <c r="F408" i="2" a="1"/>
  <c r="F408" i="2" s="1"/>
  <c r="C409" i="2" a="1"/>
  <c r="C409" i="2" s="1"/>
  <c r="D409" i="2" a="1"/>
  <c r="D409" i="2" s="1"/>
  <c r="E409" i="2" a="1"/>
  <c r="E409" i="2" s="1"/>
  <c r="F409" i="2" a="1"/>
  <c r="F409" i="2" s="1"/>
  <c r="C410" i="2" a="1"/>
  <c r="C410" i="2" s="1"/>
  <c r="D410" i="2" a="1"/>
  <c r="D410" i="2" s="1"/>
  <c r="E410" i="2" a="1"/>
  <c r="E410" i="2" s="1"/>
  <c r="F410" i="2" a="1"/>
  <c r="F410" i="2" s="1"/>
  <c r="C411" i="2" a="1"/>
  <c r="C411" i="2" s="1"/>
  <c r="D411" i="2" a="1"/>
  <c r="D411" i="2" s="1"/>
  <c r="E411" i="2" a="1"/>
  <c r="E411" i="2" s="1"/>
  <c r="F411" i="2" a="1"/>
  <c r="F411" i="2" s="1"/>
  <c r="C412" i="2" a="1"/>
  <c r="C412" i="2" s="1"/>
  <c r="D412" i="2" a="1"/>
  <c r="D412" i="2"/>
  <c r="E412" i="2" a="1"/>
  <c r="E412" i="2" s="1"/>
  <c r="F412" i="2" a="1"/>
  <c r="F412" i="2" s="1"/>
  <c r="C413" i="2" a="1"/>
  <c r="C413" i="2" s="1"/>
  <c r="D413" i="2" a="1"/>
  <c r="D413" i="2" s="1"/>
  <c r="E413" i="2" a="1"/>
  <c r="E413" i="2" s="1"/>
  <c r="F413" i="2" a="1"/>
  <c r="F413" i="2" s="1"/>
  <c r="C414" i="2" a="1"/>
  <c r="C414" i="2" s="1"/>
  <c r="D414" i="2" a="1"/>
  <c r="D414" i="2" s="1"/>
  <c r="E414" i="2" a="1"/>
  <c r="E414" i="2" s="1"/>
  <c r="F414" i="2" a="1"/>
  <c r="F414" i="2" s="1"/>
  <c r="C415" i="2" a="1"/>
  <c r="C415" i="2" s="1"/>
  <c r="D415" i="2" a="1"/>
  <c r="D415" i="2" s="1"/>
  <c r="E415" i="2" a="1"/>
  <c r="E415" i="2" s="1"/>
  <c r="F415" i="2" a="1"/>
  <c r="F415" i="2" s="1"/>
  <c r="C416" i="2" a="1"/>
  <c r="C416" i="2" s="1"/>
  <c r="D416" i="2" a="1"/>
  <c r="D416" i="2" s="1"/>
  <c r="E416" i="2" a="1"/>
  <c r="E416" i="2" s="1"/>
  <c r="F416" i="2" a="1"/>
  <c r="F416" i="2" s="1"/>
  <c r="C417" i="2" a="1"/>
  <c r="C417" i="2" s="1"/>
  <c r="D417" i="2" a="1"/>
  <c r="D417" i="2" s="1"/>
  <c r="E417" i="2" a="1"/>
  <c r="E417" i="2" s="1"/>
  <c r="F417" i="2" a="1"/>
  <c r="F417" i="2" s="1"/>
  <c r="C418" i="2" a="1"/>
  <c r="C418" i="2" s="1"/>
  <c r="D418" i="2" a="1"/>
  <c r="D418" i="2"/>
  <c r="E418" i="2" a="1"/>
  <c r="E418" i="2" s="1"/>
  <c r="F418" i="2" a="1"/>
  <c r="F418" i="2" s="1"/>
  <c r="C419" i="2" a="1"/>
  <c r="C419" i="2" s="1"/>
  <c r="D419" i="2" a="1"/>
  <c r="D419" i="2" s="1"/>
  <c r="E419" i="2" a="1"/>
  <c r="E419" i="2" s="1"/>
  <c r="F419" i="2" a="1"/>
  <c r="F419" i="2" s="1"/>
  <c r="C420" i="2" a="1"/>
  <c r="C420" i="2" s="1"/>
  <c r="D420" i="2" a="1"/>
  <c r="D420" i="2"/>
  <c r="E420" i="2" a="1"/>
  <c r="E420" i="2" s="1"/>
  <c r="F420" i="2" a="1"/>
  <c r="F420" i="2" s="1"/>
  <c r="C421" i="2" a="1"/>
  <c r="C421" i="2" s="1"/>
  <c r="D421" i="2" a="1"/>
  <c r="D421" i="2" s="1"/>
  <c r="E421" i="2" a="1"/>
  <c r="E421" i="2" s="1"/>
  <c r="F421" i="2" a="1"/>
  <c r="F421" i="2" s="1"/>
  <c r="C422" i="2" a="1"/>
  <c r="C422" i="2" s="1"/>
  <c r="D422" i="2" a="1"/>
  <c r="D422" i="2" s="1"/>
  <c r="E422" i="2" a="1"/>
  <c r="E422" i="2" s="1"/>
  <c r="F422" i="2" a="1"/>
  <c r="F422" i="2" s="1"/>
  <c r="C423" i="2" a="1"/>
  <c r="C423" i="2" s="1"/>
  <c r="D423" i="2" a="1"/>
  <c r="D423" i="2" s="1"/>
  <c r="E423" i="2" a="1"/>
  <c r="E423" i="2" s="1"/>
  <c r="F423" i="2" a="1"/>
  <c r="F423" i="2" s="1"/>
  <c r="C424" i="2" a="1"/>
  <c r="C424" i="2" s="1"/>
  <c r="D424" i="2" a="1"/>
  <c r="D424" i="2" s="1"/>
  <c r="E424" i="2" a="1"/>
  <c r="E424" i="2" s="1"/>
  <c r="F424" i="2" a="1"/>
  <c r="F424" i="2" s="1"/>
  <c r="C425" i="2" a="1"/>
  <c r="C425" i="2" s="1"/>
  <c r="D425" i="2" a="1"/>
  <c r="D425" i="2" s="1"/>
  <c r="E425" i="2" a="1"/>
  <c r="E425" i="2" s="1"/>
  <c r="F425" i="2" a="1"/>
  <c r="F425" i="2"/>
  <c r="C426" i="2" a="1"/>
  <c r="C426" i="2" s="1"/>
  <c r="D426" i="2" a="1"/>
  <c r="D426" i="2" s="1"/>
  <c r="E426" i="2" a="1"/>
  <c r="E426" i="2" s="1"/>
  <c r="F426" i="2" a="1"/>
  <c r="F426" i="2" s="1"/>
  <c r="C427" i="2" a="1"/>
  <c r="C427" i="2" s="1"/>
  <c r="D427" i="2" a="1"/>
  <c r="D427" i="2" s="1"/>
  <c r="E427" i="2" a="1"/>
  <c r="E427" i="2" s="1"/>
  <c r="F427" i="2" a="1"/>
  <c r="F427" i="2" s="1"/>
  <c r="C428" i="2" a="1"/>
  <c r="C428" i="2" s="1"/>
  <c r="D428" i="2" a="1"/>
  <c r="D428" i="2" s="1"/>
  <c r="E428" i="2" a="1"/>
  <c r="E428" i="2" s="1"/>
  <c r="F428" i="2" a="1"/>
  <c r="F428" i="2" s="1"/>
  <c r="C429" i="2" a="1"/>
  <c r="C429" i="2" s="1"/>
  <c r="D429" i="2" a="1"/>
  <c r="D429" i="2" s="1"/>
  <c r="E429" i="2" a="1"/>
  <c r="E429" i="2" s="1"/>
  <c r="F429" i="2" a="1"/>
  <c r="F429" i="2" s="1"/>
  <c r="C430" i="2" a="1"/>
  <c r="C430" i="2" s="1"/>
  <c r="D430" i="2" a="1"/>
  <c r="D430" i="2" s="1"/>
  <c r="E430" i="2" a="1"/>
  <c r="E430" i="2" s="1"/>
  <c r="F430" i="2" a="1"/>
  <c r="F430" i="2" s="1"/>
  <c r="C431" i="2" a="1"/>
  <c r="C431" i="2" s="1"/>
  <c r="D431" i="2" a="1"/>
  <c r="D431" i="2"/>
  <c r="E431" i="2" a="1"/>
  <c r="E431" i="2" s="1"/>
  <c r="F431" i="2" a="1"/>
  <c r="F431" i="2" s="1"/>
  <c r="C432" i="2" a="1"/>
  <c r="C432" i="2" s="1"/>
  <c r="D432" i="2" a="1"/>
  <c r="D432" i="2" s="1"/>
  <c r="E432" i="2" a="1"/>
  <c r="E432" i="2" s="1"/>
  <c r="F432" i="2" a="1"/>
  <c r="F432" i="2" s="1"/>
  <c r="C433" i="2" a="1"/>
  <c r="C433" i="2" s="1"/>
  <c r="D433" i="2" a="1"/>
  <c r="D433" i="2" s="1"/>
  <c r="E433" i="2" a="1"/>
  <c r="E433" i="2" s="1"/>
  <c r="F433" i="2" a="1"/>
  <c r="F433" i="2" s="1"/>
  <c r="C434" i="2" a="1"/>
  <c r="C434" i="2"/>
  <c r="D434" i="2" a="1"/>
  <c r="D434" i="2" s="1"/>
  <c r="E434" i="2" a="1"/>
  <c r="E434" i="2" s="1"/>
  <c r="F434" i="2" a="1"/>
  <c r="F434" i="2" s="1"/>
  <c r="C435" i="2" a="1"/>
  <c r="C435" i="2" s="1"/>
  <c r="D435" i="2" a="1"/>
  <c r="D435" i="2" s="1"/>
  <c r="E435" i="2" a="1"/>
  <c r="E435" i="2" s="1"/>
  <c r="F435" i="2" a="1"/>
  <c r="F435" i="2" s="1"/>
  <c r="C436" i="2" a="1"/>
  <c r="C436" i="2" s="1"/>
  <c r="D436" i="2" a="1"/>
  <c r="D436" i="2" s="1"/>
  <c r="E436" i="2" a="1"/>
  <c r="E436" i="2" s="1"/>
  <c r="F436" i="2" a="1"/>
  <c r="F436" i="2" s="1"/>
  <c r="C437" i="2" a="1"/>
  <c r="C437" i="2" s="1"/>
  <c r="D437" i="2" a="1"/>
  <c r="D437" i="2" s="1"/>
  <c r="E437" i="2" a="1"/>
  <c r="E437" i="2" s="1"/>
  <c r="F437" i="2" a="1"/>
  <c r="F437" i="2" s="1"/>
  <c r="C438" i="2" a="1"/>
  <c r="C438" i="2" s="1"/>
  <c r="D438" i="2" a="1"/>
  <c r="D438" i="2" s="1"/>
  <c r="E438" i="2" a="1"/>
  <c r="E438" i="2" s="1"/>
  <c r="F438" i="2" a="1"/>
  <c r="F438" i="2" s="1"/>
  <c r="C439" i="2" a="1"/>
  <c r="C439" i="2" s="1"/>
  <c r="D439" i="2" a="1"/>
  <c r="D439" i="2"/>
  <c r="E439" i="2" a="1"/>
  <c r="E439" i="2" s="1"/>
  <c r="F439" i="2" a="1"/>
  <c r="F439" i="2" s="1"/>
  <c r="C440" i="2" a="1"/>
  <c r="C440" i="2" s="1"/>
  <c r="D440" i="2" a="1"/>
  <c r="D440" i="2"/>
  <c r="E440" i="2" a="1"/>
  <c r="E440" i="2" s="1"/>
  <c r="F440" i="2" a="1"/>
  <c r="F440" i="2" s="1"/>
  <c r="C441" i="2" a="1"/>
  <c r="C441" i="2" s="1"/>
  <c r="D441" i="2" a="1"/>
  <c r="D441" i="2" s="1"/>
  <c r="E441" i="2" a="1"/>
  <c r="E441" i="2" s="1"/>
  <c r="F441" i="2" a="1"/>
  <c r="F441" i="2" s="1"/>
  <c r="C442" i="2" a="1"/>
  <c r="C442" i="2" s="1"/>
  <c r="D442" i="2" a="1"/>
  <c r="D442" i="2" s="1"/>
  <c r="E442" i="2" a="1"/>
  <c r="E442" i="2" s="1"/>
  <c r="F442" i="2" a="1"/>
  <c r="F442" i="2" s="1"/>
  <c r="C443" i="2" a="1"/>
  <c r="C443" i="2" s="1"/>
  <c r="D443" i="2" a="1"/>
  <c r="D443" i="2" s="1"/>
  <c r="E443" i="2" a="1"/>
  <c r="E443" i="2" s="1"/>
  <c r="F443" i="2" a="1"/>
  <c r="F443" i="2" s="1"/>
  <c r="C444" i="2" a="1"/>
  <c r="C444" i="2" s="1"/>
  <c r="D444" i="2" a="1"/>
  <c r="D444" i="2" s="1"/>
  <c r="E444" i="2" a="1"/>
  <c r="E444" i="2" s="1"/>
  <c r="F444" i="2" a="1"/>
  <c r="F444" i="2" s="1"/>
  <c r="C445" i="2" a="1"/>
  <c r="C445" i="2" s="1"/>
  <c r="D445" i="2" a="1"/>
  <c r="D445" i="2" s="1"/>
  <c r="E445" i="2" a="1"/>
  <c r="E445" i="2" s="1"/>
  <c r="F445" i="2" a="1"/>
  <c r="F445" i="2" s="1"/>
  <c r="C446" i="2" a="1"/>
  <c r="C446" i="2" s="1"/>
  <c r="D446" i="2" a="1"/>
  <c r="D446" i="2" s="1"/>
  <c r="E446" i="2" a="1"/>
  <c r="E446" i="2" s="1"/>
  <c r="F446" i="2" a="1"/>
  <c r="F446" i="2" s="1"/>
  <c r="C447" i="2" a="1"/>
  <c r="C447" i="2" s="1"/>
  <c r="D447" i="2" a="1"/>
  <c r="D447" i="2" s="1"/>
  <c r="E447" i="2" a="1"/>
  <c r="E447" i="2" s="1"/>
  <c r="F447" i="2" a="1"/>
  <c r="F447" i="2" s="1"/>
  <c r="C448" i="2" a="1"/>
  <c r="C448" i="2" s="1"/>
  <c r="D448" i="2" a="1"/>
  <c r="D448" i="2" s="1"/>
  <c r="E448" i="2" a="1"/>
  <c r="E448" i="2" s="1"/>
  <c r="F448" i="2" a="1"/>
  <c r="F448" i="2"/>
  <c r="C449" i="2" a="1"/>
  <c r="C449" i="2" s="1"/>
  <c r="D449" i="2" a="1"/>
  <c r="D449" i="2" s="1"/>
  <c r="E449" i="2" a="1"/>
  <c r="E449" i="2" s="1"/>
  <c r="F449" i="2" a="1"/>
  <c r="F449" i="2" s="1"/>
  <c r="C450" i="2" a="1"/>
  <c r="C450" i="2" s="1"/>
  <c r="D450" i="2" a="1"/>
  <c r="D450" i="2" s="1"/>
  <c r="E450" i="2" a="1"/>
  <c r="E450" i="2" s="1"/>
  <c r="F450" i="2" a="1"/>
  <c r="F450" i="2" s="1"/>
  <c r="C451" i="2" a="1"/>
  <c r="C451" i="2" s="1"/>
  <c r="D451" i="2" a="1"/>
  <c r="D451" i="2" s="1"/>
  <c r="E451" i="2" a="1"/>
  <c r="E451" i="2" s="1"/>
  <c r="F451" i="2" a="1"/>
  <c r="F451" i="2" s="1"/>
  <c r="C452" i="2" a="1"/>
  <c r="C452" i="2" s="1"/>
  <c r="D452" i="2" a="1"/>
  <c r="D452" i="2" s="1"/>
  <c r="E452" i="2" a="1"/>
  <c r="E452" i="2" s="1"/>
  <c r="F452" i="2" a="1"/>
  <c r="F452" i="2" s="1"/>
  <c r="C453" i="2" a="1"/>
  <c r="C453" i="2" s="1"/>
  <c r="D453" i="2" a="1"/>
  <c r="D453" i="2" s="1"/>
  <c r="E453" i="2" a="1"/>
  <c r="E453" i="2" s="1"/>
  <c r="F453" i="2" a="1"/>
  <c r="F453" i="2" s="1"/>
  <c r="C454" i="2" a="1"/>
  <c r="C454" i="2" s="1"/>
  <c r="D454" i="2" a="1"/>
  <c r="D454" i="2" s="1"/>
  <c r="E454" i="2" a="1"/>
  <c r="E454" i="2" s="1"/>
  <c r="F454" i="2" a="1"/>
  <c r="F454" i="2" s="1"/>
  <c r="C455" i="2" a="1"/>
  <c r="C455" i="2" s="1"/>
  <c r="D455" i="2" a="1"/>
  <c r="D455" i="2"/>
  <c r="E455" i="2" a="1"/>
  <c r="E455" i="2" s="1"/>
  <c r="F455" i="2" a="1"/>
  <c r="F455" i="2" s="1"/>
  <c r="C456" i="2" a="1"/>
  <c r="C456" i="2" s="1"/>
  <c r="D456" i="2" a="1"/>
  <c r="D456" i="2" s="1"/>
  <c r="E456" i="2" a="1"/>
  <c r="E456" i="2" s="1"/>
  <c r="F456" i="2" a="1"/>
  <c r="F456" i="2" s="1"/>
  <c r="C457" i="2" a="1"/>
  <c r="C457" i="2" s="1"/>
  <c r="D457" i="2" a="1"/>
  <c r="D457" i="2" s="1"/>
  <c r="E457" i="2" a="1"/>
  <c r="E457" i="2" s="1"/>
  <c r="F457" i="2" a="1"/>
  <c r="F457" i="2" s="1"/>
  <c r="C458" i="2" a="1"/>
  <c r="C458" i="2" s="1"/>
  <c r="D458" i="2" a="1"/>
  <c r="D458" i="2" s="1"/>
  <c r="E458" i="2" a="1"/>
  <c r="E458" i="2" s="1"/>
  <c r="F458" i="2" a="1"/>
  <c r="F458" i="2"/>
  <c r="C459" i="2" a="1"/>
  <c r="C459" i="2" s="1"/>
  <c r="D459" i="2" a="1"/>
  <c r="D459" i="2" s="1"/>
  <c r="E459" i="2" a="1"/>
  <c r="E459" i="2"/>
  <c r="F459" i="2" a="1"/>
  <c r="F459" i="2" s="1"/>
  <c r="C460" i="2" a="1"/>
  <c r="C460" i="2" s="1"/>
  <c r="D460" i="2" a="1"/>
  <c r="D460" i="2" s="1"/>
  <c r="E460" i="2" a="1"/>
  <c r="E460" i="2" s="1"/>
  <c r="F460" i="2" a="1"/>
  <c r="F460" i="2" s="1"/>
  <c r="C461" i="2" a="1"/>
  <c r="C461" i="2" s="1"/>
  <c r="D461" i="2" a="1"/>
  <c r="D461" i="2" s="1"/>
  <c r="E461" i="2" a="1"/>
  <c r="E461" i="2" s="1"/>
  <c r="F461" i="2" a="1"/>
  <c r="F461" i="2" s="1"/>
  <c r="C462" i="2" a="1"/>
  <c r="C462" i="2" s="1"/>
  <c r="D462" i="2" a="1"/>
  <c r="D462" i="2" s="1"/>
  <c r="E462" i="2" a="1"/>
  <c r="E462" i="2" s="1"/>
  <c r="F462" i="2" a="1"/>
  <c r="F462" i="2" s="1"/>
  <c r="C463" i="2" a="1"/>
  <c r="C463" i="2" s="1"/>
  <c r="D463" i="2" a="1"/>
  <c r="D463" i="2" s="1"/>
  <c r="E463" i="2" a="1"/>
  <c r="E463" i="2" s="1"/>
  <c r="F463" i="2" a="1"/>
  <c r="F463" i="2" s="1"/>
  <c r="C464" i="2" a="1"/>
  <c r="C464" i="2" s="1"/>
  <c r="D464" i="2" a="1"/>
  <c r="D464" i="2" s="1"/>
  <c r="E464" i="2" a="1"/>
  <c r="E464" i="2" s="1"/>
  <c r="F464" i="2" a="1"/>
  <c r="F464" i="2" s="1"/>
  <c r="C465" i="2" a="1"/>
  <c r="C465" i="2" s="1"/>
  <c r="D465" i="2" a="1"/>
  <c r="D465" i="2" s="1"/>
  <c r="E465" i="2" a="1"/>
  <c r="E465" i="2" s="1"/>
  <c r="F465" i="2" a="1"/>
  <c r="F465" i="2" s="1"/>
  <c r="C466" i="2" a="1"/>
  <c r="C466" i="2" s="1"/>
  <c r="D466" i="2" a="1"/>
  <c r="D466" i="2" s="1"/>
  <c r="E466" i="2" a="1"/>
  <c r="E466" i="2" s="1"/>
  <c r="F466" i="2" a="1"/>
  <c r="F466" i="2" s="1"/>
  <c r="C467" i="2" a="1"/>
  <c r="C467" i="2" s="1"/>
  <c r="D467" i="2" a="1"/>
  <c r="D467" i="2"/>
  <c r="E467" i="2" a="1"/>
  <c r="E467" i="2" s="1"/>
  <c r="F467" i="2" a="1"/>
  <c r="F467" i="2" s="1"/>
  <c r="C468" i="2" a="1"/>
  <c r="C468" i="2" s="1"/>
  <c r="D468" i="2" a="1"/>
  <c r="D468" i="2" s="1"/>
  <c r="E468" i="2" a="1"/>
  <c r="E468" i="2" s="1"/>
  <c r="F468" i="2" a="1"/>
  <c r="F468" i="2" s="1"/>
  <c r="C469" i="2" a="1"/>
  <c r="C469" i="2" s="1"/>
  <c r="D469" i="2" a="1"/>
  <c r="D469" i="2" s="1"/>
  <c r="E469" i="2" a="1"/>
  <c r="E469" i="2" s="1"/>
  <c r="F469" i="2" a="1"/>
  <c r="F469" i="2" s="1"/>
  <c r="C470" i="2" a="1"/>
  <c r="C470" i="2" s="1"/>
  <c r="D470" i="2" a="1"/>
  <c r="D470" i="2" s="1"/>
  <c r="E470" i="2" a="1"/>
  <c r="E470" i="2" s="1"/>
  <c r="F470" i="2" a="1"/>
  <c r="F470" i="2" s="1"/>
  <c r="C471" i="2" a="1"/>
  <c r="C471" i="2" s="1"/>
  <c r="D471" i="2" a="1"/>
  <c r="D471" i="2" s="1"/>
  <c r="E471" i="2" a="1"/>
  <c r="E471" i="2" s="1"/>
  <c r="F471" i="2" a="1"/>
  <c r="F471" i="2" s="1"/>
  <c r="C472" i="2" a="1"/>
  <c r="C472" i="2" s="1"/>
  <c r="D472" i="2" a="1"/>
  <c r="D472" i="2" s="1"/>
  <c r="E472" i="2" a="1"/>
  <c r="E472" i="2" s="1"/>
  <c r="F472" i="2" a="1"/>
  <c r="F472" i="2" s="1"/>
  <c r="C473" i="2" a="1"/>
  <c r="C473" i="2" s="1"/>
  <c r="D473" i="2" a="1"/>
  <c r="D473" i="2" s="1"/>
  <c r="E473" i="2" a="1"/>
  <c r="E473" i="2" s="1"/>
  <c r="F473" i="2" a="1"/>
  <c r="F473" i="2" s="1"/>
  <c r="C474" i="2" a="1"/>
  <c r="C474" i="2" s="1"/>
  <c r="D474" i="2" a="1"/>
  <c r="D474" i="2" s="1"/>
  <c r="E474" i="2" a="1"/>
  <c r="E474" i="2" s="1"/>
  <c r="F474" i="2" a="1"/>
  <c r="F474" i="2" s="1"/>
  <c r="C475" i="2" a="1"/>
  <c r="C475" i="2" s="1"/>
  <c r="D475" i="2" a="1"/>
  <c r="D475" i="2" s="1"/>
  <c r="E475" i="2" a="1"/>
  <c r="E475" i="2" s="1"/>
  <c r="F475" i="2" a="1"/>
  <c r="F475" i="2" s="1"/>
  <c r="C476" i="2" a="1"/>
  <c r="C476" i="2" s="1"/>
  <c r="D476" i="2" a="1"/>
  <c r="D476" i="2" s="1"/>
  <c r="E476" i="2" a="1"/>
  <c r="E476" i="2" s="1"/>
  <c r="F476" i="2" a="1"/>
  <c r="F476" i="2" s="1"/>
  <c r="C477" i="2" a="1"/>
  <c r="C477" i="2" s="1"/>
  <c r="D477" i="2" a="1"/>
  <c r="D477" i="2" s="1"/>
  <c r="E477" i="2" a="1"/>
  <c r="E477" i="2" s="1"/>
  <c r="F477" i="2" a="1"/>
  <c r="F477" i="2" s="1"/>
  <c r="C478" i="2" a="1"/>
  <c r="C478" i="2" s="1"/>
  <c r="D478" i="2" a="1"/>
  <c r="D478" i="2" s="1"/>
  <c r="E478" i="2" a="1"/>
  <c r="E478" i="2" s="1"/>
  <c r="F478" i="2" a="1"/>
  <c r="F478" i="2" s="1"/>
  <c r="C479" i="2" a="1"/>
  <c r="C479" i="2" s="1"/>
  <c r="D479" i="2" a="1"/>
  <c r="D479" i="2" s="1"/>
  <c r="E479" i="2" a="1"/>
  <c r="E479" i="2" s="1"/>
  <c r="F479" i="2" a="1"/>
  <c r="F479" i="2" s="1"/>
  <c r="C480" i="2" a="1"/>
  <c r="C480" i="2" s="1"/>
  <c r="D480" i="2" a="1"/>
  <c r="D480" i="2"/>
  <c r="E480" i="2" a="1"/>
  <c r="E480" i="2" s="1"/>
  <c r="F480" i="2" a="1"/>
  <c r="F480" i="2" s="1"/>
  <c r="C481" i="2" a="1"/>
  <c r="C481" i="2" s="1"/>
  <c r="D481" i="2" a="1"/>
  <c r="D481" i="2" s="1"/>
  <c r="E481" i="2" a="1"/>
  <c r="E481" i="2" s="1"/>
  <c r="F481" i="2" a="1"/>
  <c r="F481" i="2" s="1"/>
  <c r="C482" i="2" a="1"/>
  <c r="C482" i="2" s="1"/>
  <c r="D482" i="2" a="1"/>
  <c r="D482" i="2" s="1"/>
  <c r="E482" i="2" a="1"/>
  <c r="E482" i="2" s="1"/>
  <c r="F482" i="2" a="1"/>
  <c r="F482" i="2" s="1"/>
  <c r="C483" i="2" a="1"/>
  <c r="C483" i="2" s="1"/>
  <c r="D483" i="2" a="1"/>
  <c r="D483" i="2" s="1"/>
  <c r="E483" i="2" a="1"/>
  <c r="E483" i="2" s="1"/>
  <c r="F483" i="2" a="1"/>
  <c r="F483" i="2" s="1"/>
  <c r="C484" i="2" a="1"/>
  <c r="C484" i="2" s="1"/>
  <c r="D484" i="2" a="1"/>
  <c r="D484" i="2" s="1"/>
  <c r="E484" i="2" a="1"/>
  <c r="E484" i="2" s="1"/>
  <c r="F484" i="2" a="1"/>
  <c r="F484" i="2" s="1"/>
  <c r="C485" i="2" a="1"/>
  <c r="C485" i="2" s="1"/>
  <c r="D485" i="2" a="1"/>
  <c r="D485" i="2" s="1"/>
  <c r="E485" i="2" a="1"/>
  <c r="E485" i="2" s="1"/>
  <c r="F485" i="2" a="1"/>
  <c r="F485" i="2" s="1"/>
  <c r="C486" i="2" a="1"/>
  <c r="C486" i="2" s="1"/>
  <c r="D486" i="2" a="1"/>
  <c r="D486" i="2" s="1"/>
  <c r="E486" i="2" a="1"/>
  <c r="E486" i="2" s="1"/>
  <c r="F486" i="2" a="1"/>
  <c r="F486" i="2"/>
  <c r="C487" i="2" a="1"/>
  <c r="C487" i="2"/>
  <c r="D487" i="2" a="1"/>
  <c r="D487" i="2" s="1"/>
  <c r="E487" i="2" a="1"/>
  <c r="E487" i="2" s="1"/>
  <c r="F487" i="2" a="1"/>
  <c r="F487" i="2" s="1"/>
  <c r="C488" i="2" a="1"/>
  <c r="C488" i="2" s="1"/>
  <c r="D488" i="2" a="1"/>
  <c r="D488" i="2" s="1"/>
  <c r="E488" i="2" a="1"/>
  <c r="E488" i="2" s="1"/>
  <c r="F488" i="2" a="1"/>
  <c r="F488" i="2" s="1"/>
  <c r="C489" i="2" a="1"/>
  <c r="C489" i="2" s="1"/>
  <c r="D489" i="2" a="1"/>
  <c r="D489" i="2"/>
  <c r="E489" i="2" a="1"/>
  <c r="E489" i="2" s="1"/>
  <c r="F489" i="2" a="1"/>
  <c r="F489" i="2" s="1"/>
  <c r="C490" i="2" a="1"/>
  <c r="C490" i="2" s="1"/>
  <c r="D490" i="2" a="1"/>
  <c r="D490" i="2" s="1"/>
  <c r="E490" i="2" a="1"/>
  <c r="E490" i="2" s="1"/>
  <c r="F490" i="2" a="1"/>
  <c r="F490" i="2" s="1"/>
  <c r="C491" i="2" a="1"/>
  <c r="C491" i="2" s="1"/>
  <c r="D491" i="2" a="1"/>
  <c r="D491" i="2" s="1"/>
  <c r="E491" i="2" a="1"/>
  <c r="E491" i="2" s="1"/>
  <c r="F491" i="2" a="1"/>
  <c r="F491" i="2"/>
  <c r="C492" i="2" a="1"/>
  <c r="C492" i="2" s="1"/>
  <c r="D492" i="2" a="1"/>
  <c r="D492" i="2" s="1"/>
  <c r="E492" i="2" a="1"/>
  <c r="E492" i="2" s="1"/>
  <c r="F492" i="2" a="1"/>
  <c r="F492" i="2" s="1"/>
  <c r="C493" i="2" a="1"/>
  <c r="C493" i="2" s="1"/>
  <c r="D493" i="2" a="1"/>
  <c r="D493" i="2"/>
  <c r="E493" i="2" a="1"/>
  <c r="E493" i="2"/>
  <c r="F493" i="2" a="1"/>
  <c r="F493" i="2" s="1"/>
  <c r="C494" i="2" a="1"/>
  <c r="C494" i="2" s="1"/>
  <c r="D494" i="2" a="1"/>
  <c r="D494" i="2" s="1"/>
  <c r="E494" i="2" a="1"/>
  <c r="E494" i="2" s="1"/>
  <c r="F494" i="2" a="1"/>
  <c r="F494" i="2" s="1"/>
  <c r="C495" i="2" a="1"/>
  <c r="C495" i="2" s="1"/>
  <c r="D495" i="2" a="1"/>
  <c r="D495" i="2" s="1"/>
  <c r="E495" i="2" a="1"/>
  <c r="E495" i="2" s="1"/>
  <c r="F495" i="2" a="1"/>
  <c r="F495" i="2"/>
  <c r="C496" i="2" a="1"/>
  <c r="C496" i="2" s="1"/>
  <c r="D496" i="2" a="1"/>
  <c r="D496" i="2" s="1"/>
  <c r="E496" i="2" a="1"/>
  <c r="E496" i="2" s="1"/>
  <c r="F496" i="2" a="1"/>
  <c r="F496" i="2" s="1"/>
  <c r="C497" i="2" a="1"/>
  <c r="C497" i="2" s="1"/>
  <c r="D497" i="2" a="1"/>
  <c r="D497" i="2" s="1"/>
  <c r="E497" i="2" a="1"/>
  <c r="E497" i="2" s="1"/>
  <c r="F497" i="2" a="1"/>
  <c r="F497" i="2" s="1"/>
  <c r="C498" i="2" a="1"/>
  <c r="C498" i="2" s="1"/>
  <c r="D498" i="2" a="1"/>
  <c r="D498" i="2" s="1"/>
  <c r="E498" i="2" a="1"/>
  <c r="E498" i="2" s="1"/>
  <c r="F498" i="2" a="1"/>
  <c r="F498" i="2" s="1"/>
  <c r="C499" i="2" a="1"/>
  <c r="C499" i="2" s="1"/>
  <c r="D499" i="2" a="1"/>
  <c r="D499" i="2" s="1"/>
  <c r="E499" i="2" a="1"/>
  <c r="E499" i="2" s="1"/>
  <c r="F499" i="2" a="1"/>
  <c r="F499" i="2"/>
  <c r="C500" i="2" a="1"/>
  <c r="C500" i="2" s="1"/>
  <c r="D500" i="2" a="1"/>
  <c r="D500" i="2" s="1"/>
  <c r="E500" i="2" a="1"/>
  <c r="E500" i="2" s="1"/>
  <c r="F500" i="2" a="1"/>
  <c r="F500" i="2" s="1"/>
  <c r="C501" i="2" a="1"/>
  <c r="C501" i="2" s="1"/>
  <c r="D501" i="2" a="1"/>
  <c r="D501" i="2" s="1"/>
  <c r="E501" i="2" a="1"/>
  <c r="E501" i="2" s="1"/>
  <c r="F501" i="2" a="1"/>
  <c r="F501" i="2" s="1"/>
  <c r="C502" i="2" a="1"/>
  <c r="C502" i="2" s="1"/>
  <c r="D502" i="2" a="1"/>
  <c r="D502" i="2"/>
  <c r="E502" i="2" a="1"/>
  <c r="E502" i="2" s="1"/>
  <c r="F502" i="2" a="1"/>
  <c r="F502" i="2" s="1"/>
  <c r="C503" i="2" a="1"/>
  <c r="C503" i="2" s="1"/>
  <c r="D503" i="2" a="1"/>
  <c r="D503" i="2" s="1"/>
  <c r="E503" i="2" a="1"/>
  <c r="E503" i="2" s="1"/>
  <c r="F503" i="2" a="1"/>
  <c r="F503" i="2" s="1"/>
  <c r="C504" i="2" a="1"/>
  <c r="C504" i="2" s="1"/>
  <c r="D504" i="2" a="1"/>
  <c r="D504" i="2" s="1"/>
  <c r="E504" i="2" a="1"/>
  <c r="E504" i="2" s="1"/>
  <c r="F504" i="2" a="1"/>
  <c r="F504" i="2" s="1"/>
  <c r="C505" i="2" a="1"/>
  <c r="C505" i="2" s="1"/>
  <c r="D505" i="2" a="1"/>
  <c r="D505" i="2" s="1"/>
  <c r="E505" i="2" a="1"/>
  <c r="E505" i="2" s="1"/>
  <c r="F505" i="2" a="1"/>
  <c r="F505" i="2" s="1"/>
  <c r="C506" i="2" a="1"/>
  <c r="C506" i="2" s="1"/>
  <c r="D506" i="2" a="1"/>
  <c r="D506" i="2" s="1"/>
  <c r="E506" i="2" a="1"/>
  <c r="E506" i="2" s="1"/>
  <c r="F506" i="2" a="1"/>
  <c r="F506" i="2" s="1"/>
  <c r="C507" i="2" a="1"/>
  <c r="C507" i="2" s="1"/>
  <c r="D507" i="2" a="1"/>
  <c r="D507" i="2" s="1"/>
  <c r="E507" i="2" a="1"/>
  <c r="E507" i="2" s="1"/>
  <c r="F507" i="2" a="1"/>
  <c r="F507" i="2"/>
  <c r="C508" i="2" a="1"/>
  <c r="C508" i="2" s="1"/>
  <c r="D508" i="2" a="1"/>
  <c r="D508" i="2" s="1"/>
  <c r="E508" i="2" a="1"/>
  <c r="E508" i="2" s="1"/>
  <c r="F508" i="2" a="1"/>
  <c r="F508" i="2" s="1"/>
  <c r="C509" i="2" a="1"/>
  <c r="C509" i="2" s="1"/>
  <c r="D509" i="2" a="1"/>
  <c r="D509" i="2" s="1"/>
  <c r="E509" i="2" a="1"/>
  <c r="E509" i="2" s="1"/>
  <c r="F509" i="2" a="1"/>
  <c r="F509" i="2" s="1"/>
  <c r="C510" i="2" a="1"/>
  <c r="C510" i="2" s="1"/>
  <c r="D510" i="2" a="1"/>
  <c r="D510" i="2" s="1"/>
  <c r="E510" i="2" a="1"/>
  <c r="E510" i="2" s="1"/>
  <c r="F510" i="2" a="1"/>
  <c r="F510" i="2" s="1"/>
  <c r="C511" i="2" a="1"/>
  <c r="C511" i="2" s="1"/>
  <c r="D511" i="2" a="1"/>
  <c r="D511" i="2" s="1"/>
  <c r="E511" i="2" a="1"/>
  <c r="E511" i="2"/>
  <c r="F511" i="2" a="1"/>
  <c r="F511" i="2" s="1"/>
  <c r="C512" i="2" a="1"/>
  <c r="C512" i="2" s="1"/>
  <c r="D512" i="2" a="1"/>
  <c r="D512" i="2" s="1"/>
  <c r="E512" i="2" a="1"/>
  <c r="E512" i="2" s="1"/>
  <c r="F512" i="2" a="1"/>
  <c r="F512" i="2" s="1"/>
  <c r="C513" i="2" a="1"/>
  <c r="C513" i="2" s="1"/>
  <c r="D513" i="2" a="1"/>
  <c r="D513" i="2" s="1"/>
  <c r="E513" i="2" a="1"/>
  <c r="E513" i="2" s="1"/>
  <c r="F513" i="2" a="1"/>
  <c r="F513" i="2"/>
  <c r="C514" i="2" a="1"/>
  <c r="C514" i="2" s="1"/>
  <c r="D514" i="2" a="1"/>
  <c r="D514" i="2" s="1"/>
  <c r="E514" i="2" a="1"/>
  <c r="E514" i="2" s="1"/>
  <c r="F514" i="2" a="1"/>
  <c r="F514" i="2" s="1"/>
  <c r="C515" i="2" a="1"/>
  <c r="C515" i="2" s="1"/>
  <c r="D515" i="2" a="1"/>
  <c r="D515" i="2" s="1"/>
  <c r="E515" i="2" a="1"/>
  <c r="E515" i="2" s="1"/>
  <c r="F515" i="2" a="1"/>
  <c r="F515" i="2" s="1"/>
  <c r="C516" i="2" a="1"/>
  <c r="C516" i="2" s="1"/>
  <c r="D516" i="2" a="1"/>
  <c r="D516" i="2" s="1"/>
  <c r="E516" i="2" a="1"/>
  <c r="E516" i="2" s="1"/>
  <c r="F516" i="2" a="1"/>
  <c r="F516" i="2" s="1"/>
  <c r="C517" i="2" a="1"/>
  <c r="C517" i="2" s="1"/>
  <c r="D517" i="2" a="1"/>
  <c r="D517" i="2" s="1"/>
  <c r="E517" i="2" a="1"/>
  <c r="E517" i="2" s="1"/>
  <c r="F517" i="2" a="1"/>
  <c r="F517" i="2" s="1"/>
  <c r="C518" i="2" a="1"/>
  <c r="C518" i="2" s="1"/>
  <c r="D518" i="2" a="1"/>
  <c r="D518" i="2" s="1"/>
  <c r="E518" i="2" a="1"/>
  <c r="E518" i="2" s="1"/>
  <c r="F518" i="2" a="1"/>
  <c r="F518" i="2" s="1"/>
  <c r="C519" i="2" a="1"/>
  <c r="C519" i="2" s="1"/>
  <c r="D519" i="2" a="1"/>
  <c r="D519" i="2" s="1"/>
  <c r="E519" i="2" a="1"/>
  <c r="E519" i="2" s="1"/>
  <c r="F519" i="2" a="1"/>
  <c r="F519" i="2" s="1"/>
  <c r="C520" i="2" a="1"/>
  <c r="C520" i="2" s="1"/>
  <c r="D520" i="2" a="1"/>
  <c r="D520" i="2" s="1"/>
  <c r="E520" i="2" a="1"/>
  <c r="E520" i="2" s="1"/>
  <c r="F520" i="2" a="1"/>
  <c r="F520" i="2" s="1"/>
  <c r="C521" i="2" a="1"/>
  <c r="C521" i="2" s="1"/>
  <c r="D521" i="2" a="1"/>
  <c r="D521" i="2" s="1"/>
  <c r="E521" i="2" a="1"/>
  <c r="E521" i="2" s="1"/>
  <c r="F521" i="2" a="1"/>
  <c r="F521" i="2" s="1"/>
  <c r="C522" i="2" a="1"/>
  <c r="C522" i="2" s="1"/>
  <c r="D522" i="2" a="1"/>
  <c r="D522" i="2" s="1"/>
  <c r="E522" i="2" a="1"/>
  <c r="E522" i="2" s="1"/>
  <c r="F522" i="2" a="1"/>
  <c r="F522" i="2" s="1"/>
  <c r="C523" i="2" a="1"/>
  <c r="C523" i="2" s="1"/>
  <c r="D523" i="2" a="1"/>
  <c r="D523" i="2" s="1"/>
  <c r="E523" i="2" a="1"/>
  <c r="E523" i="2" s="1"/>
  <c r="F523" i="2" a="1"/>
  <c r="F523" i="2" s="1"/>
  <c r="C524" i="2" a="1"/>
  <c r="C524" i="2" s="1"/>
  <c r="D524" i="2" a="1"/>
  <c r="D524" i="2" s="1"/>
  <c r="E524" i="2" a="1"/>
  <c r="E524" i="2" s="1"/>
  <c r="F524" i="2" a="1"/>
  <c r="F524" i="2" s="1"/>
  <c r="C525" i="2" a="1"/>
  <c r="C525" i="2" s="1"/>
  <c r="D525" i="2" a="1"/>
  <c r="D525" i="2" s="1"/>
  <c r="E525" i="2" a="1"/>
  <c r="E525" i="2" s="1"/>
  <c r="F525" i="2" a="1"/>
  <c r="F525" i="2" s="1"/>
  <c r="C526" i="2" a="1"/>
  <c r="C526" i="2" s="1"/>
  <c r="D526" i="2" a="1"/>
  <c r="D526" i="2"/>
  <c r="E526" i="2" a="1"/>
  <c r="E526" i="2" s="1"/>
  <c r="F526" i="2" a="1"/>
  <c r="F526" i="2" s="1"/>
  <c r="C527" i="2" a="1"/>
  <c r="C527" i="2" s="1"/>
  <c r="D527" i="2" a="1"/>
  <c r="D527" i="2" s="1"/>
  <c r="E527" i="2" a="1"/>
  <c r="E527" i="2" s="1"/>
  <c r="F527" i="2" a="1"/>
  <c r="F527" i="2" s="1"/>
  <c r="C528" i="2" a="1"/>
  <c r="C528" i="2" s="1"/>
  <c r="D528" i="2" a="1"/>
  <c r="D528" i="2" s="1"/>
  <c r="E528" i="2" a="1"/>
  <c r="E528" i="2" s="1"/>
  <c r="F528" i="2" a="1"/>
  <c r="F528" i="2" s="1"/>
  <c r="C529" i="2" a="1"/>
  <c r="C529" i="2" s="1"/>
  <c r="D529" i="2" a="1"/>
  <c r="D529" i="2" s="1"/>
  <c r="E529" i="2" a="1"/>
  <c r="E529" i="2" s="1"/>
  <c r="F529" i="2" a="1"/>
  <c r="F529" i="2" s="1"/>
  <c r="C530" i="2" a="1"/>
  <c r="C530" i="2" s="1"/>
  <c r="D530" i="2" a="1"/>
  <c r="D530" i="2" s="1"/>
  <c r="E530" i="2" a="1"/>
  <c r="E530" i="2" s="1"/>
  <c r="F530" i="2" a="1"/>
  <c r="F530" i="2" s="1"/>
  <c r="C531" i="2" a="1"/>
  <c r="C531" i="2" s="1"/>
  <c r="D531" i="2" a="1"/>
  <c r="D531" i="2" s="1"/>
  <c r="E531" i="2" a="1"/>
  <c r="E531" i="2" s="1"/>
  <c r="F531" i="2" a="1"/>
  <c r="F531" i="2" s="1"/>
  <c r="C532" i="2" a="1"/>
  <c r="C532" i="2" s="1"/>
  <c r="D532" i="2" a="1"/>
  <c r="D532" i="2" s="1"/>
  <c r="E532" i="2" a="1"/>
  <c r="E532" i="2" s="1"/>
  <c r="F532" i="2" a="1"/>
  <c r="F532" i="2" s="1"/>
  <c r="C533" i="2" a="1"/>
  <c r="C533" i="2" s="1"/>
  <c r="D533" i="2" a="1"/>
  <c r="D533" i="2" s="1"/>
  <c r="E533" i="2" a="1"/>
  <c r="E533" i="2" s="1"/>
  <c r="F533" i="2" a="1"/>
  <c r="F533" i="2" s="1"/>
  <c r="C534" i="2" a="1"/>
  <c r="C534" i="2" s="1"/>
  <c r="D534" i="2" a="1"/>
  <c r="D534" i="2" s="1"/>
  <c r="E534" i="2" a="1"/>
  <c r="E534" i="2" s="1"/>
  <c r="F534" i="2" a="1"/>
  <c r="F534" i="2" s="1"/>
  <c r="C535" i="2" a="1"/>
  <c r="C535" i="2" s="1"/>
  <c r="D535" i="2" a="1"/>
  <c r="D535" i="2" s="1"/>
  <c r="E535" i="2" a="1"/>
  <c r="E535" i="2" s="1"/>
  <c r="F535" i="2" a="1"/>
  <c r="F535" i="2" s="1"/>
  <c r="C536" i="2" a="1"/>
  <c r="C536" i="2" s="1"/>
  <c r="D536" i="2" a="1"/>
  <c r="D536" i="2" s="1"/>
  <c r="E536" i="2" a="1"/>
  <c r="E536" i="2" s="1"/>
  <c r="F536" i="2" a="1"/>
  <c r="F536" i="2" s="1"/>
  <c r="C537" i="2" a="1"/>
  <c r="C537" i="2" s="1"/>
  <c r="D537" i="2" a="1"/>
  <c r="D537" i="2" s="1"/>
  <c r="E537" i="2" a="1"/>
  <c r="E537" i="2" s="1"/>
  <c r="F537" i="2" a="1"/>
  <c r="F537" i="2" s="1"/>
  <c r="C538" i="2" a="1"/>
  <c r="C538" i="2" s="1"/>
  <c r="D538" i="2" a="1"/>
  <c r="D538" i="2" s="1"/>
  <c r="E538" i="2" a="1"/>
  <c r="E538" i="2" s="1"/>
  <c r="F538" i="2" a="1"/>
  <c r="F538" i="2" s="1"/>
  <c r="C539" i="2" a="1"/>
  <c r="C539" i="2" s="1"/>
  <c r="D539" i="2" a="1"/>
  <c r="D539" i="2" s="1"/>
  <c r="E539" i="2" a="1"/>
  <c r="E539" i="2" s="1"/>
  <c r="F539" i="2" a="1"/>
  <c r="F539" i="2" s="1"/>
  <c r="C540" i="2" a="1"/>
  <c r="C540" i="2" s="1"/>
  <c r="D540" i="2" a="1"/>
  <c r="D540" i="2" s="1"/>
  <c r="E540" i="2" a="1"/>
  <c r="E540" i="2" s="1"/>
  <c r="F540" i="2" a="1"/>
  <c r="F540" i="2" s="1"/>
  <c r="C541" i="2" a="1"/>
  <c r="C541" i="2" s="1"/>
  <c r="D541" i="2" a="1"/>
  <c r="D541" i="2" s="1"/>
  <c r="E541" i="2" a="1"/>
  <c r="E541" i="2" s="1"/>
  <c r="F541" i="2" a="1"/>
  <c r="F541" i="2" s="1"/>
  <c r="C542" i="2" a="1"/>
  <c r="C542" i="2" s="1"/>
  <c r="D542" i="2" a="1"/>
  <c r="D542" i="2" s="1"/>
  <c r="E542" i="2" a="1"/>
  <c r="E542" i="2" s="1"/>
  <c r="F542" i="2" a="1"/>
  <c r="F542" i="2" s="1"/>
  <c r="C543" i="2" a="1"/>
  <c r="C543" i="2" s="1"/>
  <c r="D543" i="2" a="1"/>
  <c r="D543" i="2" s="1"/>
  <c r="E543" i="2" a="1"/>
  <c r="E543" i="2" s="1"/>
  <c r="F543" i="2" a="1"/>
  <c r="F543" i="2" s="1"/>
  <c r="C544" i="2" a="1"/>
  <c r="C544" i="2" s="1"/>
  <c r="D544" i="2" a="1"/>
  <c r="D544" i="2" s="1"/>
  <c r="E544" i="2" a="1"/>
  <c r="E544" i="2"/>
  <c r="F544" i="2" a="1"/>
  <c r="F544" i="2" s="1"/>
  <c r="C545" i="2" a="1"/>
  <c r="C545" i="2" s="1"/>
  <c r="D545" i="2" a="1"/>
  <c r="D545" i="2" s="1"/>
  <c r="E545" i="2" a="1"/>
  <c r="E545" i="2" s="1"/>
  <c r="F545" i="2" a="1"/>
  <c r="F545" i="2" s="1"/>
  <c r="C546" i="2" a="1"/>
  <c r="C546" i="2"/>
  <c r="D546" i="2" a="1"/>
  <c r="D546" i="2" s="1"/>
  <c r="E546" i="2" a="1"/>
  <c r="E546" i="2" s="1"/>
  <c r="F546" i="2" a="1"/>
  <c r="F546" i="2" s="1"/>
  <c r="C547" i="2" a="1"/>
  <c r="C547" i="2" s="1"/>
  <c r="D547" i="2" a="1"/>
  <c r="D547" i="2" s="1"/>
  <c r="E547" i="2" a="1"/>
  <c r="E547" i="2" s="1"/>
  <c r="F547" i="2" a="1"/>
  <c r="F547" i="2" s="1"/>
  <c r="C548" i="2" a="1"/>
  <c r="C548" i="2" s="1"/>
  <c r="D548" i="2" a="1"/>
  <c r="D548" i="2"/>
  <c r="E548" i="2" a="1"/>
  <c r="E548" i="2" s="1"/>
  <c r="F548" i="2" a="1"/>
  <c r="F548" i="2" s="1"/>
  <c r="C549" i="2" a="1"/>
  <c r="C549" i="2" s="1"/>
  <c r="D549" i="2" a="1"/>
  <c r="D549" i="2" s="1"/>
  <c r="E549" i="2" a="1"/>
  <c r="E549" i="2" s="1"/>
  <c r="F549" i="2" a="1"/>
  <c r="F549" i="2" s="1"/>
  <c r="C550" i="2" a="1"/>
  <c r="C550" i="2" s="1"/>
  <c r="D550" i="2" a="1"/>
  <c r="D550" i="2" s="1"/>
  <c r="E550" i="2" a="1"/>
  <c r="E550" i="2" s="1"/>
  <c r="F550" i="2" a="1"/>
  <c r="F550" i="2" s="1"/>
  <c r="C551" i="2" a="1"/>
  <c r="C551" i="2" s="1"/>
  <c r="D551" i="2" a="1"/>
  <c r="D551" i="2" s="1"/>
  <c r="E551" i="2" a="1"/>
  <c r="E551" i="2" s="1"/>
  <c r="F551" i="2" a="1"/>
  <c r="F551" i="2" s="1"/>
  <c r="C552" i="2" a="1"/>
  <c r="C552" i="2" s="1"/>
  <c r="D552" i="2" a="1"/>
  <c r="D552" i="2" s="1"/>
  <c r="E552" i="2" a="1"/>
  <c r="E552" i="2" s="1"/>
  <c r="F552" i="2" a="1"/>
  <c r="F552" i="2" s="1"/>
  <c r="C553" i="2" a="1"/>
  <c r="C553" i="2" s="1"/>
  <c r="D553" i="2" a="1"/>
  <c r="D553" i="2" s="1"/>
  <c r="E553" i="2" a="1"/>
  <c r="E553" i="2" s="1"/>
  <c r="F553" i="2" a="1"/>
  <c r="F553" i="2" s="1"/>
  <c r="C554" i="2" a="1"/>
  <c r="C554" i="2" s="1"/>
  <c r="D554" i="2" a="1"/>
  <c r="D554" i="2" s="1"/>
  <c r="E554" i="2" a="1"/>
  <c r="E554" i="2" s="1"/>
  <c r="F554" i="2" a="1"/>
  <c r="F554" i="2" s="1"/>
  <c r="C555" i="2" a="1"/>
  <c r="C555" i="2" s="1"/>
  <c r="D555" i="2" a="1"/>
  <c r="D555" i="2" s="1"/>
  <c r="E555" i="2" a="1"/>
  <c r="E555" i="2" s="1"/>
  <c r="F555" i="2" a="1"/>
  <c r="F555" i="2" s="1"/>
  <c r="C556" i="2" a="1"/>
  <c r="C556" i="2" s="1"/>
  <c r="D556" i="2" a="1"/>
  <c r="D556" i="2" s="1"/>
  <c r="E556" i="2" a="1"/>
  <c r="E556" i="2" s="1"/>
  <c r="F556" i="2" a="1"/>
  <c r="F556" i="2" s="1"/>
  <c r="C557" i="2" a="1"/>
  <c r="C557" i="2" s="1"/>
  <c r="D557" i="2" a="1"/>
  <c r="D557" i="2" s="1"/>
  <c r="E557" i="2" a="1"/>
  <c r="E557" i="2" s="1"/>
  <c r="F557" i="2" a="1"/>
  <c r="F557" i="2" s="1"/>
  <c r="C558" i="2" a="1"/>
  <c r="C558" i="2" s="1"/>
  <c r="D558" i="2" a="1"/>
  <c r="D558" i="2" s="1"/>
  <c r="E558" i="2" a="1"/>
  <c r="E558" i="2" s="1"/>
  <c r="F558" i="2" a="1"/>
  <c r="F558" i="2" s="1"/>
  <c r="C559" i="2" a="1"/>
  <c r="C559" i="2" s="1"/>
  <c r="D559" i="2" a="1"/>
  <c r="D559" i="2" s="1"/>
  <c r="E559" i="2" a="1"/>
  <c r="E559" i="2" s="1"/>
  <c r="F559" i="2" a="1"/>
  <c r="F559" i="2" s="1"/>
  <c r="C560" i="2" a="1"/>
  <c r="C560" i="2" s="1"/>
  <c r="D560" i="2" a="1"/>
  <c r="D560" i="2" s="1"/>
  <c r="E560" i="2" a="1"/>
  <c r="E560" i="2" s="1"/>
  <c r="F560" i="2" a="1"/>
  <c r="F560" i="2" s="1"/>
  <c r="C561" i="2" a="1"/>
  <c r="C561" i="2"/>
  <c r="D561" i="2" a="1"/>
  <c r="D561" i="2" s="1"/>
  <c r="E561" i="2" a="1"/>
  <c r="E561" i="2" s="1"/>
  <c r="F561" i="2" a="1"/>
  <c r="F561" i="2" s="1"/>
  <c r="C562" i="2" a="1"/>
  <c r="C562" i="2" s="1"/>
  <c r="D562" i="2" a="1"/>
  <c r="D562" i="2" s="1"/>
  <c r="E562" i="2" a="1"/>
  <c r="E562" i="2" s="1"/>
  <c r="F562" i="2" a="1"/>
  <c r="F562" i="2" s="1"/>
  <c r="C563" i="2" a="1"/>
  <c r="C563" i="2" s="1"/>
  <c r="D563" i="2" a="1"/>
  <c r="D563" i="2" s="1"/>
  <c r="E563" i="2" a="1"/>
  <c r="E563" i="2" s="1"/>
  <c r="F563" i="2" a="1"/>
  <c r="F563" i="2" s="1"/>
  <c r="C564" i="2" a="1"/>
  <c r="C564" i="2" s="1"/>
  <c r="D564" i="2" a="1"/>
  <c r="D564" i="2" s="1"/>
  <c r="E564" i="2" a="1"/>
  <c r="E564" i="2" s="1"/>
  <c r="F564" i="2" a="1"/>
  <c r="F564" i="2" s="1"/>
  <c r="C565" i="2" a="1"/>
  <c r="C565" i="2"/>
  <c r="D565" i="2" a="1"/>
  <c r="D565" i="2" s="1"/>
  <c r="E565" i="2" a="1"/>
  <c r="E565" i="2" s="1"/>
  <c r="F565" i="2" a="1"/>
  <c r="F565" i="2" s="1"/>
  <c r="C566" i="2" a="1"/>
  <c r="C566" i="2" s="1"/>
  <c r="D566" i="2" a="1"/>
  <c r="D566" i="2" s="1"/>
  <c r="E566" i="2" a="1"/>
  <c r="E566" i="2" s="1"/>
  <c r="F566" i="2" a="1"/>
  <c r="F566" i="2" s="1"/>
  <c r="C567" i="2" a="1"/>
  <c r="C567" i="2" s="1"/>
  <c r="D567" i="2" a="1"/>
  <c r="D567" i="2" s="1"/>
  <c r="E567" i="2" a="1"/>
  <c r="E567" i="2" s="1"/>
  <c r="F567" i="2" a="1"/>
  <c r="F567" i="2" s="1"/>
  <c r="C568" i="2" a="1"/>
  <c r="C568" i="2" s="1"/>
  <c r="D568" i="2" a="1"/>
  <c r="D568" i="2" s="1"/>
  <c r="E568" i="2" a="1"/>
  <c r="E568" i="2"/>
  <c r="F568" i="2" a="1"/>
  <c r="F568" i="2" s="1"/>
  <c r="C569" i="2" a="1"/>
  <c r="C569" i="2" s="1"/>
  <c r="D569" i="2" a="1"/>
  <c r="D569" i="2" s="1"/>
  <c r="E569" i="2" a="1"/>
  <c r="E569" i="2" s="1"/>
  <c r="F569" i="2" a="1"/>
  <c r="F569" i="2" s="1"/>
  <c r="C570" i="2" a="1"/>
  <c r="C570" i="2" s="1"/>
  <c r="D570" i="2" a="1"/>
  <c r="D570" i="2" s="1"/>
  <c r="E570" i="2" a="1"/>
  <c r="E570" i="2" s="1"/>
  <c r="F570" i="2" a="1"/>
  <c r="F570" i="2" s="1"/>
  <c r="C571" i="2" a="1"/>
  <c r="C571" i="2" s="1"/>
  <c r="D571" i="2" a="1"/>
  <c r="D571" i="2" s="1"/>
  <c r="E571" i="2" a="1"/>
  <c r="E571" i="2" s="1"/>
  <c r="F571" i="2" a="1"/>
  <c r="F571" i="2" s="1"/>
  <c r="C572" i="2" a="1"/>
  <c r="C572" i="2" s="1"/>
  <c r="D572" i="2" a="1"/>
  <c r="D572" i="2" s="1"/>
  <c r="E572" i="2" a="1"/>
  <c r="E572" i="2" s="1"/>
  <c r="F572" i="2" a="1"/>
  <c r="F572" i="2" s="1"/>
  <c r="C573" i="2" a="1"/>
  <c r="C573" i="2"/>
  <c r="D573" i="2" a="1"/>
  <c r="D573" i="2" s="1"/>
  <c r="E573" i="2" a="1"/>
  <c r="E573" i="2" s="1"/>
  <c r="F573" i="2" a="1"/>
  <c r="F573" i="2" s="1"/>
  <c r="C574" i="2" a="1"/>
  <c r="C574" i="2"/>
  <c r="D574" i="2" a="1"/>
  <c r="D574" i="2" s="1"/>
  <c r="E574" i="2" a="1"/>
  <c r="E574" i="2" s="1"/>
  <c r="F574" i="2" a="1"/>
  <c r="F574" i="2" s="1"/>
  <c r="C575" i="2" a="1"/>
  <c r="C575" i="2" s="1"/>
  <c r="D575" i="2" a="1"/>
  <c r="D575" i="2" s="1"/>
  <c r="E575" i="2" a="1"/>
  <c r="E575" i="2" s="1"/>
  <c r="F575" i="2" a="1"/>
  <c r="F575" i="2" s="1"/>
  <c r="C576" i="2" a="1"/>
  <c r="C576" i="2" s="1"/>
  <c r="D576" i="2" a="1"/>
  <c r="D576" i="2" s="1"/>
  <c r="E576" i="2" a="1"/>
  <c r="E576" i="2" s="1"/>
  <c r="F576" i="2" a="1"/>
  <c r="F576" i="2" s="1"/>
  <c r="C577" i="2" a="1"/>
  <c r="C577" i="2" s="1"/>
  <c r="D577" i="2" a="1"/>
  <c r="D577" i="2" s="1"/>
  <c r="E577" i="2" a="1"/>
  <c r="E577" i="2" s="1"/>
  <c r="F577" i="2" a="1"/>
  <c r="F577" i="2" s="1"/>
  <c r="C578" i="2" a="1"/>
  <c r="C578" i="2" s="1"/>
  <c r="D578" i="2" a="1"/>
  <c r="D578" i="2" s="1"/>
  <c r="E578" i="2" a="1"/>
  <c r="E578" i="2" s="1"/>
  <c r="F578" i="2" a="1"/>
  <c r="F578" i="2" s="1"/>
  <c r="C579" i="2" a="1"/>
  <c r="C579" i="2" s="1"/>
  <c r="D579" i="2" a="1"/>
  <c r="D579" i="2" s="1"/>
  <c r="E579" i="2" a="1"/>
  <c r="E579" i="2" s="1"/>
  <c r="F579" i="2" a="1"/>
  <c r="F579" i="2" s="1"/>
  <c r="C580" i="2" a="1"/>
  <c r="C580" i="2" s="1"/>
  <c r="D580" i="2" a="1"/>
  <c r="D580" i="2" s="1"/>
  <c r="E580" i="2" a="1"/>
  <c r="E580" i="2" s="1"/>
  <c r="F580" i="2" a="1"/>
  <c r="F580" i="2" s="1"/>
  <c r="C581" i="2" a="1"/>
  <c r="C581" i="2" s="1"/>
  <c r="D581" i="2" a="1"/>
  <c r="D581" i="2" s="1"/>
  <c r="E581" i="2" a="1"/>
  <c r="E581" i="2" s="1"/>
  <c r="F581" i="2" a="1"/>
  <c r="F581" i="2" s="1"/>
  <c r="C582" i="2" a="1"/>
  <c r="C582" i="2" s="1"/>
  <c r="D582" i="2" a="1"/>
  <c r="D582" i="2" s="1"/>
  <c r="E582" i="2" a="1"/>
  <c r="E582" i="2" s="1"/>
  <c r="F582" i="2" a="1"/>
  <c r="F582" i="2" s="1"/>
  <c r="C583" i="2" a="1"/>
  <c r="C583" i="2" s="1"/>
  <c r="D583" i="2" a="1"/>
  <c r="D583" i="2" s="1"/>
  <c r="E583" i="2" a="1"/>
  <c r="E583" i="2" s="1"/>
  <c r="F583" i="2" a="1"/>
  <c r="F583" i="2" s="1"/>
  <c r="C584" i="2" a="1"/>
  <c r="C584" i="2" s="1"/>
  <c r="D584" i="2" a="1"/>
  <c r="D584" i="2" s="1"/>
  <c r="E584" i="2" a="1"/>
  <c r="E584" i="2" s="1"/>
  <c r="F584" i="2" a="1"/>
  <c r="F584" i="2" s="1"/>
  <c r="C585" i="2" a="1"/>
  <c r="C585" i="2" s="1"/>
  <c r="D585" i="2" a="1"/>
  <c r="D585" i="2" s="1"/>
  <c r="E585" i="2" a="1"/>
  <c r="E585" i="2" s="1"/>
  <c r="F585" i="2" a="1"/>
  <c r="F585" i="2" s="1"/>
  <c r="C586" i="2" a="1"/>
  <c r="C586" i="2" s="1"/>
  <c r="D586" i="2" a="1"/>
  <c r="D586" i="2" s="1"/>
  <c r="E586" i="2" a="1"/>
  <c r="E586" i="2"/>
  <c r="F586" i="2" a="1"/>
  <c r="F586" i="2" s="1"/>
  <c r="C587" i="2" a="1"/>
  <c r="C587" i="2" s="1"/>
  <c r="D587" i="2" a="1"/>
  <c r="D587" i="2" s="1"/>
  <c r="E587" i="2" a="1"/>
  <c r="E587" i="2" s="1"/>
  <c r="F587" i="2" a="1"/>
  <c r="F587" i="2" s="1"/>
  <c r="C588" i="2" a="1"/>
  <c r="C588" i="2" s="1"/>
  <c r="D588" i="2" a="1"/>
  <c r="D588" i="2" s="1"/>
  <c r="E588" i="2" a="1"/>
  <c r="E588" i="2" s="1"/>
  <c r="F588" i="2" a="1"/>
  <c r="F588" i="2" s="1"/>
  <c r="C589" i="2" a="1"/>
  <c r="C589" i="2" s="1"/>
  <c r="D589" i="2" a="1"/>
  <c r="D589" i="2"/>
  <c r="E589" i="2" a="1"/>
  <c r="E589" i="2" s="1"/>
  <c r="F589" i="2" a="1"/>
  <c r="F589" i="2" s="1"/>
  <c r="C590" i="2" a="1"/>
  <c r="C590" i="2" s="1"/>
  <c r="D590" i="2" a="1"/>
  <c r="D590" i="2" s="1"/>
  <c r="E590" i="2" a="1"/>
  <c r="E590" i="2" s="1"/>
  <c r="F590" i="2" a="1"/>
  <c r="F590" i="2" s="1"/>
  <c r="C591" i="2" a="1"/>
  <c r="C591" i="2" s="1"/>
  <c r="D591" i="2" a="1"/>
  <c r="D591" i="2" s="1"/>
  <c r="E591" i="2" a="1"/>
  <c r="E591" i="2" s="1"/>
  <c r="F591" i="2" a="1"/>
  <c r="F591" i="2"/>
  <c r="C592" i="2" a="1"/>
  <c r="C592" i="2" s="1"/>
  <c r="D592" i="2" a="1"/>
  <c r="D592" i="2" s="1"/>
  <c r="E592" i="2" a="1"/>
  <c r="E592" i="2" s="1"/>
  <c r="F592" i="2" a="1"/>
  <c r="F592" i="2" s="1"/>
  <c r="C593" i="2" a="1"/>
  <c r="C593" i="2" s="1"/>
  <c r="D593" i="2" a="1"/>
  <c r="D593" i="2" s="1"/>
  <c r="E593" i="2" a="1"/>
  <c r="E593" i="2" s="1"/>
  <c r="F593" i="2" a="1"/>
  <c r="F593" i="2" s="1"/>
  <c r="C594" i="2" a="1"/>
  <c r="C594" i="2" s="1"/>
  <c r="D594" i="2" a="1"/>
  <c r="D594" i="2" s="1"/>
  <c r="E594" i="2" a="1"/>
  <c r="E594" i="2" s="1"/>
  <c r="F594" i="2" a="1"/>
  <c r="F594" i="2" s="1"/>
  <c r="C595" i="2" a="1"/>
  <c r="C595" i="2" s="1"/>
  <c r="D595" i="2" a="1"/>
  <c r="D595" i="2" s="1"/>
  <c r="E595" i="2" a="1"/>
  <c r="E595" i="2" s="1"/>
  <c r="F595" i="2" a="1"/>
  <c r="F595" i="2" s="1"/>
  <c r="C596" i="2" a="1"/>
  <c r="C596" i="2" s="1"/>
  <c r="D596" i="2" a="1"/>
  <c r="D596" i="2" s="1"/>
  <c r="E596" i="2" a="1"/>
  <c r="E596" i="2"/>
  <c r="F596" i="2" a="1"/>
  <c r="F596" i="2" s="1"/>
  <c r="C597" i="2" a="1"/>
  <c r="C597" i="2" s="1"/>
  <c r="D597" i="2" a="1"/>
  <c r="D597" i="2" s="1"/>
  <c r="E597" i="2" a="1"/>
  <c r="E597" i="2" s="1"/>
  <c r="F597" i="2" a="1"/>
  <c r="F597" i="2" s="1"/>
  <c r="C598" i="2" a="1"/>
  <c r="C598" i="2" s="1"/>
  <c r="D598" i="2" a="1"/>
  <c r="D598" i="2" s="1"/>
  <c r="E598" i="2" a="1"/>
  <c r="E598" i="2" s="1"/>
  <c r="F598" i="2" a="1"/>
  <c r="F598" i="2" s="1"/>
  <c r="C599" i="2" a="1"/>
  <c r="C599" i="2" s="1"/>
  <c r="D599" i="2" a="1"/>
  <c r="D599" i="2" s="1"/>
  <c r="E599" i="2" a="1"/>
  <c r="E599" i="2" s="1"/>
  <c r="F599" i="2" a="1"/>
  <c r="F599" i="2" s="1"/>
  <c r="C600" i="2" a="1"/>
  <c r="C600" i="2" s="1"/>
  <c r="D600" i="2" a="1"/>
  <c r="D600" i="2" s="1"/>
  <c r="E600" i="2" a="1"/>
  <c r="E600" i="2" s="1"/>
  <c r="F600" i="2" a="1"/>
  <c r="F600" i="2" s="1"/>
  <c r="C601" i="2" a="1"/>
  <c r="C601" i="2" s="1"/>
  <c r="D601" i="2" a="1"/>
  <c r="D601" i="2" s="1"/>
  <c r="E601" i="2" a="1"/>
  <c r="E601" i="2" s="1"/>
  <c r="F601" i="2" a="1"/>
  <c r="F601" i="2" s="1"/>
  <c r="C602" i="2" a="1"/>
  <c r="C602" i="2" s="1"/>
  <c r="D602" i="2" a="1"/>
  <c r="D602" i="2" s="1"/>
  <c r="E602" i="2" a="1"/>
  <c r="E602" i="2" s="1"/>
  <c r="F602" i="2" a="1"/>
  <c r="F602" i="2" s="1"/>
  <c r="C603" i="2" a="1"/>
  <c r="C603" i="2" s="1"/>
  <c r="D603" i="2" a="1"/>
  <c r="D603" i="2" s="1"/>
  <c r="E603" i="2" a="1"/>
  <c r="E603" i="2" s="1"/>
  <c r="F603" i="2" a="1"/>
  <c r="F603" i="2"/>
  <c r="C604" i="2" a="1"/>
  <c r="C604" i="2" s="1"/>
  <c r="D604" i="2" a="1"/>
  <c r="D604" i="2" s="1"/>
  <c r="E604" i="2" a="1"/>
  <c r="E604" i="2" s="1"/>
  <c r="F604" i="2" a="1"/>
  <c r="F604" i="2" s="1"/>
  <c r="C605" i="2" a="1"/>
  <c r="C605" i="2" s="1"/>
  <c r="D605" i="2" a="1"/>
  <c r="D605" i="2" s="1"/>
  <c r="E605" i="2" a="1"/>
  <c r="E605" i="2" s="1"/>
  <c r="F605" i="2" a="1"/>
  <c r="F605" i="2" s="1"/>
  <c r="C606" i="2" a="1"/>
  <c r="C606" i="2" s="1"/>
  <c r="D606" i="2" a="1"/>
  <c r="D606" i="2" s="1"/>
  <c r="E606" i="2" a="1"/>
  <c r="E606" i="2" s="1"/>
  <c r="F606" i="2" a="1"/>
  <c r="F606" i="2" s="1"/>
  <c r="C607" i="2" a="1"/>
  <c r="C607" i="2" s="1"/>
  <c r="D607" i="2" a="1"/>
  <c r="D607" i="2" s="1"/>
  <c r="E607" i="2" a="1"/>
  <c r="E607" i="2" s="1"/>
  <c r="F607" i="2" a="1"/>
  <c r="F607" i="2" s="1"/>
  <c r="C608" i="2" a="1"/>
  <c r="C608" i="2" s="1"/>
  <c r="D608" i="2" a="1"/>
  <c r="D608" i="2" s="1"/>
  <c r="E608" i="2" a="1"/>
  <c r="E608" i="2" s="1"/>
  <c r="F608" i="2" a="1"/>
  <c r="F608" i="2" s="1"/>
  <c r="C609" i="2" a="1"/>
  <c r="C609" i="2" s="1"/>
  <c r="D609" i="2" a="1"/>
  <c r="D609" i="2" s="1"/>
  <c r="E609" i="2" a="1"/>
  <c r="E609" i="2" s="1"/>
  <c r="F609" i="2" a="1"/>
  <c r="F609" i="2" s="1"/>
  <c r="C610" i="2" a="1"/>
  <c r="C610" i="2" s="1"/>
  <c r="D610" i="2" a="1"/>
  <c r="D610" i="2" s="1"/>
  <c r="E610" i="2" a="1"/>
  <c r="E610" i="2" s="1"/>
  <c r="F610" i="2" a="1"/>
  <c r="F610" i="2" s="1"/>
  <c r="C611" i="2" a="1"/>
  <c r="C611" i="2" s="1"/>
  <c r="D611" i="2" a="1"/>
  <c r="D611" i="2" s="1"/>
  <c r="E611" i="2" a="1"/>
  <c r="E611" i="2" s="1"/>
  <c r="F611" i="2" a="1"/>
  <c r="F611" i="2" s="1"/>
  <c r="C612" i="2" a="1"/>
  <c r="C612" i="2" s="1"/>
  <c r="D612" i="2" a="1"/>
  <c r="D612" i="2" s="1"/>
  <c r="E612" i="2" a="1"/>
  <c r="E612" i="2" s="1"/>
  <c r="F612" i="2" a="1"/>
  <c r="F612" i="2" s="1"/>
  <c r="C613" i="2" a="1"/>
  <c r="C613" i="2" s="1"/>
  <c r="D613" i="2" a="1"/>
  <c r="D613" i="2" s="1"/>
  <c r="E613" i="2" a="1"/>
  <c r="E613" i="2" s="1"/>
  <c r="F613" i="2" a="1"/>
  <c r="F613" i="2" s="1"/>
  <c r="C614" i="2" a="1"/>
  <c r="C614" i="2" s="1"/>
  <c r="D614" i="2" a="1"/>
  <c r="D614" i="2" s="1"/>
  <c r="E614" i="2" a="1"/>
  <c r="E614" i="2" s="1"/>
  <c r="F614" i="2" a="1"/>
  <c r="F614" i="2" s="1"/>
  <c r="C615" i="2" a="1"/>
  <c r="C615" i="2" s="1"/>
  <c r="D615" i="2" a="1"/>
  <c r="D615" i="2" s="1"/>
  <c r="E615" i="2" a="1"/>
  <c r="E615" i="2" s="1"/>
  <c r="F615" i="2" a="1"/>
  <c r="F615" i="2" s="1"/>
  <c r="C616" i="2" a="1"/>
  <c r="C616" i="2" s="1"/>
  <c r="D616" i="2" a="1"/>
  <c r="D616" i="2" s="1"/>
  <c r="E616" i="2" a="1"/>
  <c r="E616" i="2"/>
  <c r="F616" i="2" a="1"/>
  <c r="F616" i="2" s="1"/>
  <c r="C617" i="2" a="1"/>
  <c r="C617" i="2" s="1"/>
  <c r="D617" i="2" a="1"/>
  <c r="D617" i="2" s="1"/>
  <c r="E617" i="2" a="1"/>
  <c r="E617" i="2" s="1"/>
  <c r="F617" i="2" a="1"/>
  <c r="F617" i="2" s="1"/>
  <c r="C618" i="2" a="1"/>
  <c r="C618" i="2" s="1"/>
  <c r="D618" i="2" a="1"/>
  <c r="D618" i="2" s="1"/>
  <c r="E618" i="2" a="1"/>
  <c r="E618" i="2" s="1"/>
  <c r="F618" i="2" a="1"/>
  <c r="F618" i="2" s="1"/>
  <c r="C619" i="2" a="1"/>
  <c r="C619" i="2" s="1"/>
  <c r="D619" i="2" a="1"/>
  <c r="D619" i="2" s="1"/>
  <c r="E619" i="2" a="1"/>
  <c r="E619" i="2" s="1"/>
  <c r="F619" i="2" a="1"/>
  <c r="F619" i="2" s="1"/>
  <c r="C620" i="2" a="1"/>
  <c r="C620" i="2" s="1"/>
  <c r="D620" i="2" a="1"/>
  <c r="D620" i="2" s="1"/>
  <c r="E620" i="2" a="1"/>
  <c r="E620" i="2" s="1"/>
  <c r="F620" i="2" a="1"/>
  <c r="F620" i="2" s="1"/>
  <c r="C621" i="2" a="1"/>
  <c r="C621" i="2" s="1"/>
  <c r="D621" i="2" a="1"/>
  <c r="D621" i="2" s="1"/>
  <c r="E621" i="2" a="1"/>
  <c r="E621" i="2" s="1"/>
  <c r="F621" i="2" a="1"/>
  <c r="F621" i="2" s="1"/>
  <c r="C622" i="2" a="1"/>
  <c r="C622" i="2" s="1"/>
  <c r="D622" i="2" a="1"/>
  <c r="D622" i="2" s="1"/>
  <c r="E622" i="2" a="1"/>
  <c r="E622" i="2" s="1"/>
  <c r="F622" i="2" a="1"/>
  <c r="F622" i="2" s="1"/>
  <c r="C623" i="2" a="1"/>
  <c r="C623" i="2" s="1"/>
  <c r="D623" i="2" a="1"/>
  <c r="D623" i="2" s="1"/>
  <c r="E623" i="2" a="1"/>
  <c r="E623" i="2" s="1"/>
  <c r="F623" i="2" a="1"/>
  <c r="F623" i="2" s="1"/>
  <c r="C624" i="2" a="1"/>
  <c r="C624" i="2" s="1"/>
  <c r="D624" i="2" a="1"/>
  <c r="D624" i="2" s="1"/>
  <c r="E624" i="2" a="1"/>
  <c r="E624" i="2" s="1"/>
  <c r="F624" i="2" a="1"/>
  <c r="F624" i="2" s="1"/>
  <c r="C625" i="2" a="1"/>
  <c r="C625" i="2" s="1"/>
  <c r="D625" i="2" a="1"/>
  <c r="D625" i="2" s="1"/>
  <c r="E625" i="2" a="1"/>
  <c r="E625" i="2" s="1"/>
  <c r="F625" i="2" a="1"/>
  <c r="F625" i="2" s="1"/>
  <c r="C626" i="2" a="1"/>
  <c r="C626" i="2" s="1"/>
  <c r="D626" i="2" a="1"/>
  <c r="D626" i="2" s="1"/>
  <c r="E626" i="2" a="1"/>
  <c r="E626" i="2" s="1"/>
  <c r="F626" i="2" a="1"/>
  <c r="F626" i="2" s="1"/>
  <c r="C627" i="2" a="1"/>
  <c r="C627" i="2" s="1"/>
  <c r="D627" i="2" a="1"/>
  <c r="D627" i="2" s="1"/>
  <c r="E627" i="2" a="1"/>
  <c r="E627" i="2" s="1"/>
  <c r="F627" i="2" a="1"/>
  <c r="F627" i="2" s="1"/>
  <c r="C628" i="2" a="1"/>
  <c r="C628" i="2" s="1"/>
  <c r="D628" i="2" a="1"/>
  <c r="D628" i="2" s="1"/>
  <c r="E628" i="2" a="1"/>
  <c r="E628" i="2" s="1"/>
  <c r="F628" i="2" a="1"/>
  <c r="F628" i="2" s="1"/>
  <c r="C629" i="2" a="1"/>
  <c r="C629" i="2" s="1"/>
  <c r="D629" i="2" a="1"/>
  <c r="D629" i="2" s="1"/>
  <c r="E629" i="2" a="1"/>
  <c r="E629" i="2" s="1"/>
  <c r="F629" i="2" a="1"/>
  <c r="F629" i="2" s="1"/>
  <c r="C630" i="2" a="1"/>
  <c r="C630" i="2" s="1"/>
  <c r="D630" i="2" a="1"/>
  <c r="D630" i="2" s="1"/>
  <c r="E630" i="2" a="1"/>
  <c r="E630" i="2" s="1"/>
  <c r="F630" i="2" a="1"/>
  <c r="F630" i="2" s="1"/>
  <c r="C631" i="2" a="1"/>
  <c r="C631" i="2" s="1"/>
  <c r="D631" i="2" a="1"/>
  <c r="D631" i="2" s="1"/>
  <c r="E631" i="2" a="1"/>
  <c r="E631" i="2" s="1"/>
  <c r="F631" i="2" a="1"/>
  <c r="F631" i="2" s="1"/>
  <c r="C632" i="2" a="1"/>
  <c r="C632" i="2" s="1"/>
  <c r="D632" i="2" a="1"/>
  <c r="D632" i="2" s="1"/>
  <c r="E632" i="2" a="1"/>
  <c r="E632" i="2" s="1"/>
  <c r="F632" i="2" a="1"/>
  <c r="F632" i="2" s="1"/>
  <c r="C633" i="2" a="1"/>
  <c r="C633" i="2" s="1"/>
  <c r="D633" i="2" a="1"/>
  <c r="D633" i="2" s="1"/>
  <c r="E633" i="2" a="1"/>
  <c r="E633" i="2" s="1"/>
  <c r="F633" i="2" a="1"/>
  <c r="F633" i="2" s="1"/>
  <c r="C634" i="2" a="1"/>
  <c r="C634" i="2" s="1"/>
  <c r="D634" i="2" a="1"/>
  <c r="D634" i="2" s="1"/>
  <c r="E634" i="2" a="1"/>
  <c r="E634" i="2" s="1"/>
  <c r="F634" i="2" a="1"/>
  <c r="F634" i="2" s="1"/>
  <c r="C635" i="2" a="1"/>
  <c r="C635" i="2" s="1"/>
  <c r="D635" i="2" a="1"/>
  <c r="D635" i="2"/>
  <c r="E635" i="2" a="1"/>
  <c r="E635" i="2" s="1"/>
  <c r="F635" i="2" a="1"/>
  <c r="F635" i="2" s="1"/>
  <c r="C636" i="2" a="1"/>
  <c r="C636" i="2" s="1"/>
  <c r="D636" i="2" a="1"/>
  <c r="D636" i="2" s="1"/>
  <c r="E636" i="2" a="1"/>
  <c r="E636" i="2" s="1"/>
  <c r="F636" i="2" a="1"/>
  <c r="F636" i="2" s="1"/>
  <c r="C637" i="2" a="1"/>
  <c r="C637" i="2" s="1"/>
  <c r="D637" i="2" a="1"/>
  <c r="D637" i="2" s="1"/>
  <c r="E637" i="2" a="1"/>
  <c r="E637" i="2" s="1"/>
  <c r="F637" i="2" a="1"/>
  <c r="F637" i="2" s="1"/>
  <c r="C638" i="2" a="1"/>
  <c r="C638" i="2" s="1"/>
  <c r="D638" i="2" a="1"/>
  <c r="D638" i="2" s="1"/>
  <c r="E638" i="2" a="1"/>
  <c r="E638" i="2"/>
  <c r="F638" i="2" a="1"/>
  <c r="F638" i="2" s="1"/>
  <c r="C639" i="2" a="1"/>
  <c r="C639" i="2" s="1"/>
  <c r="D639" i="2" a="1"/>
  <c r="D639" i="2" s="1"/>
  <c r="E639" i="2" a="1"/>
  <c r="E639" i="2" s="1"/>
  <c r="F639" i="2" a="1"/>
  <c r="F639" i="2" s="1"/>
  <c r="C640" i="2" a="1"/>
  <c r="C640" i="2" s="1"/>
  <c r="D640" i="2" a="1"/>
  <c r="D640" i="2" s="1"/>
  <c r="E640" i="2" a="1"/>
  <c r="E640" i="2" s="1"/>
  <c r="F640" i="2" a="1"/>
  <c r="F640" i="2" s="1"/>
  <c r="C641" i="2" a="1"/>
  <c r="C641" i="2" s="1"/>
  <c r="D641" i="2" a="1"/>
  <c r="D641" i="2" s="1"/>
  <c r="E641" i="2" a="1"/>
  <c r="E641" i="2" s="1"/>
  <c r="F641" i="2" a="1"/>
  <c r="F641" i="2" s="1"/>
  <c r="C642" i="2" a="1"/>
  <c r="C642" i="2" s="1"/>
  <c r="D642" i="2" a="1"/>
  <c r="D642" i="2" s="1"/>
  <c r="E642" i="2" a="1"/>
  <c r="E642" i="2" s="1"/>
  <c r="F642" i="2" a="1"/>
  <c r="F642" i="2" s="1"/>
  <c r="C643" i="2" a="1"/>
  <c r="C643" i="2" s="1"/>
  <c r="D643" i="2" a="1"/>
  <c r="D643" i="2" s="1"/>
  <c r="E643" i="2" a="1"/>
  <c r="E643" i="2" s="1"/>
  <c r="F643" i="2" a="1"/>
  <c r="F643" i="2" s="1"/>
  <c r="C644" i="2" a="1"/>
  <c r="C644" i="2" s="1"/>
  <c r="D644" i="2" a="1"/>
  <c r="D644" i="2" s="1"/>
  <c r="E644" i="2" a="1"/>
  <c r="E644" i="2" s="1"/>
  <c r="F644" i="2" a="1"/>
  <c r="F644" i="2" s="1"/>
  <c r="C645" i="2" a="1"/>
  <c r="C645" i="2" s="1"/>
  <c r="D645" i="2" a="1"/>
  <c r="D645" i="2" s="1"/>
  <c r="E645" i="2" a="1"/>
  <c r="E645" i="2" s="1"/>
  <c r="F645" i="2" a="1"/>
  <c r="F645" i="2" s="1"/>
  <c r="C646" i="2" a="1"/>
  <c r="C646" i="2" s="1"/>
  <c r="D646" i="2" a="1"/>
  <c r="D646" i="2" s="1"/>
  <c r="E646" i="2" a="1"/>
  <c r="E646" i="2" s="1"/>
  <c r="F646" i="2" a="1"/>
  <c r="F646" i="2" s="1"/>
  <c r="C647" i="2" a="1"/>
  <c r="C647" i="2" s="1"/>
  <c r="D647" i="2" a="1"/>
  <c r="D647" i="2" s="1"/>
  <c r="E647" i="2" a="1"/>
  <c r="E647" i="2" s="1"/>
  <c r="F647" i="2" a="1"/>
  <c r="F647" i="2" s="1"/>
  <c r="C648" i="2" a="1"/>
  <c r="C648" i="2"/>
  <c r="D648" i="2" a="1"/>
  <c r="D648" i="2" s="1"/>
  <c r="E648" i="2" a="1"/>
  <c r="E648" i="2" s="1"/>
  <c r="F648" i="2" a="1"/>
  <c r="F648" i="2" s="1"/>
  <c r="C649" i="2" a="1"/>
  <c r="C649" i="2" s="1"/>
  <c r="D649" i="2" a="1"/>
  <c r="D649" i="2" s="1"/>
  <c r="E649" i="2" a="1"/>
  <c r="E649" i="2" s="1"/>
  <c r="F649" i="2" a="1"/>
  <c r="F649" i="2" s="1"/>
  <c r="C650" i="2" a="1"/>
  <c r="C650" i="2" s="1"/>
  <c r="D650" i="2" a="1"/>
  <c r="D650" i="2" s="1"/>
  <c r="E650" i="2" a="1"/>
  <c r="E650" i="2" s="1"/>
  <c r="F650" i="2" a="1"/>
  <c r="F650" i="2" s="1"/>
  <c r="C651" i="2" a="1"/>
  <c r="C651" i="2" s="1"/>
  <c r="D651" i="2" a="1"/>
  <c r="D651" i="2" s="1"/>
  <c r="E651" i="2" a="1"/>
  <c r="E651" i="2" s="1"/>
  <c r="F651" i="2" a="1"/>
  <c r="F651" i="2" s="1"/>
  <c r="C652" i="2" a="1"/>
  <c r="C652" i="2" s="1"/>
  <c r="D652" i="2" a="1"/>
  <c r="D652" i="2" s="1"/>
  <c r="E652" i="2" a="1"/>
  <c r="E652" i="2" s="1"/>
  <c r="F652" i="2" a="1"/>
  <c r="F652" i="2" s="1"/>
  <c r="C653" i="2" a="1"/>
  <c r="C653" i="2" s="1"/>
  <c r="D653" i="2" a="1"/>
  <c r="D653" i="2" s="1"/>
  <c r="E653" i="2" a="1"/>
  <c r="E653" i="2" s="1"/>
  <c r="F653" i="2" a="1"/>
  <c r="F653" i="2" s="1"/>
  <c r="C654" i="2" a="1"/>
  <c r="C654" i="2" s="1"/>
  <c r="D654" i="2" a="1"/>
  <c r="D654" i="2" s="1"/>
  <c r="E654" i="2" a="1"/>
  <c r="E654" i="2" s="1"/>
  <c r="F654" i="2" a="1"/>
  <c r="F654" i="2" s="1"/>
  <c r="C655" i="2" a="1"/>
  <c r="C655" i="2" s="1"/>
  <c r="D655" i="2" a="1"/>
  <c r="D655" i="2" s="1"/>
  <c r="E655" i="2" a="1"/>
  <c r="E655" i="2" s="1"/>
  <c r="F655" i="2" a="1"/>
  <c r="F655" i="2" s="1"/>
  <c r="C656" i="2" a="1"/>
  <c r="C656" i="2" s="1"/>
  <c r="D656" i="2" a="1"/>
  <c r="D656" i="2" s="1"/>
  <c r="E656" i="2" a="1"/>
  <c r="E656" i="2" s="1"/>
  <c r="F656" i="2" a="1"/>
  <c r="F656" i="2" s="1"/>
  <c r="C657" i="2" a="1"/>
  <c r="C657" i="2" s="1"/>
  <c r="D657" i="2" a="1"/>
  <c r="D657" i="2" s="1"/>
  <c r="E657" i="2" a="1"/>
  <c r="E657" i="2" s="1"/>
  <c r="F657" i="2" a="1"/>
  <c r="F657" i="2" s="1"/>
  <c r="C658" i="2" a="1"/>
  <c r="C658" i="2" s="1"/>
  <c r="D658" i="2" a="1"/>
  <c r="D658" i="2" s="1"/>
  <c r="E658" i="2" a="1"/>
  <c r="E658" i="2" s="1"/>
  <c r="F658" i="2" a="1"/>
  <c r="F658" i="2" s="1"/>
  <c r="C659" i="2" a="1"/>
  <c r="C659" i="2" s="1"/>
  <c r="D659" i="2" a="1"/>
  <c r="D659" i="2" s="1"/>
  <c r="E659" i="2" a="1"/>
  <c r="E659" i="2"/>
  <c r="F659" i="2" a="1"/>
  <c r="F659" i="2" s="1"/>
  <c r="C660" i="2" a="1"/>
  <c r="C660" i="2" s="1"/>
  <c r="D660" i="2" a="1"/>
  <c r="D660" i="2" s="1"/>
  <c r="E660" i="2" a="1"/>
  <c r="E660" i="2" s="1"/>
  <c r="F660" i="2" a="1"/>
  <c r="F660" i="2" s="1"/>
  <c r="C661" i="2" a="1"/>
  <c r="C661" i="2" s="1"/>
  <c r="D661" i="2" a="1"/>
  <c r="D661" i="2" s="1"/>
  <c r="E661" i="2" a="1"/>
  <c r="E661" i="2" s="1"/>
  <c r="F661" i="2" a="1"/>
  <c r="F661" i="2" s="1"/>
  <c r="C662" i="2" a="1"/>
  <c r="C662" i="2" s="1"/>
  <c r="D662" i="2" a="1"/>
  <c r="D662" i="2" s="1"/>
  <c r="E662" i="2" a="1"/>
  <c r="E662" i="2" s="1"/>
  <c r="F662" i="2" a="1"/>
  <c r="F662" i="2"/>
  <c r="C663" i="2" a="1"/>
  <c r="C663" i="2" s="1"/>
  <c r="D663" i="2" a="1"/>
  <c r="D663" i="2" s="1"/>
  <c r="E663" i="2" a="1"/>
  <c r="E663" i="2" s="1"/>
  <c r="F663" i="2" a="1"/>
  <c r="F663" i="2" s="1"/>
  <c r="C664" i="2" a="1"/>
  <c r="C664" i="2" s="1"/>
  <c r="D664" i="2" a="1"/>
  <c r="D664" i="2" s="1"/>
  <c r="E664" i="2" a="1"/>
  <c r="E664" i="2" s="1"/>
  <c r="F664" i="2" a="1"/>
  <c r="F664" i="2" s="1"/>
  <c r="C665" i="2" a="1"/>
  <c r="C665" i="2" s="1"/>
  <c r="D665" i="2" a="1"/>
  <c r="D665" i="2" s="1"/>
  <c r="E665" i="2" a="1"/>
  <c r="E665" i="2" s="1"/>
  <c r="F665" i="2" a="1"/>
  <c r="F665" i="2" s="1"/>
  <c r="C666" i="2" a="1"/>
  <c r="C666" i="2" s="1"/>
  <c r="D666" i="2" a="1"/>
  <c r="D666" i="2" s="1"/>
  <c r="E666" i="2" a="1"/>
  <c r="E666" i="2" s="1"/>
  <c r="F666" i="2" a="1"/>
  <c r="F666" i="2" s="1"/>
  <c r="C667" i="2" a="1"/>
  <c r="C667" i="2" s="1"/>
  <c r="D667" i="2" a="1"/>
  <c r="D667" i="2" s="1"/>
  <c r="E667" i="2" a="1"/>
  <c r="E667" i="2" s="1"/>
  <c r="F667" i="2" a="1"/>
  <c r="F667" i="2" s="1"/>
  <c r="C668" i="2" a="1"/>
  <c r="C668" i="2" s="1"/>
  <c r="D668" i="2" a="1"/>
  <c r="D668" i="2" s="1"/>
  <c r="E668" i="2" a="1"/>
  <c r="E668" i="2" s="1"/>
  <c r="F668" i="2" a="1"/>
  <c r="F668" i="2" s="1"/>
  <c r="C669" i="2" a="1"/>
  <c r="C669" i="2" s="1"/>
  <c r="D669" i="2" a="1"/>
  <c r="D669" i="2" s="1"/>
  <c r="E669" i="2" a="1"/>
  <c r="E669" i="2" s="1"/>
  <c r="F669" i="2" a="1"/>
  <c r="F669" i="2" s="1"/>
  <c r="C670" i="2" a="1"/>
  <c r="C670" i="2" s="1"/>
  <c r="D670" i="2" a="1"/>
  <c r="D670" i="2" s="1"/>
  <c r="E670" i="2" a="1"/>
  <c r="E670" i="2" s="1"/>
  <c r="F670" i="2" a="1"/>
  <c r="F670" i="2" s="1"/>
  <c r="C671" i="2" a="1"/>
  <c r="C671" i="2" s="1"/>
  <c r="D671" i="2" a="1"/>
  <c r="D671" i="2" s="1"/>
  <c r="E671" i="2" a="1"/>
  <c r="E671" i="2" s="1"/>
  <c r="F671" i="2" a="1"/>
  <c r="F671" i="2"/>
  <c r="C672" i="2" a="1"/>
  <c r="C672" i="2" s="1"/>
  <c r="D672" i="2" a="1"/>
  <c r="D672" i="2" s="1"/>
  <c r="E672" i="2" a="1"/>
  <c r="E672" i="2" s="1"/>
  <c r="F672" i="2" a="1"/>
  <c r="F672" i="2" s="1"/>
  <c r="C673" i="2" a="1"/>
  <c r="C673" i="2" s="1"/>
  <c r="D673" i="2" a="1"/>
  <c r="D673" i="2" s="1"/>
  <c r="E673" i="2" a="1"/>
  <c r="E673" i="2" s="1"/>
  <c r="F673" i="2" a="1"/>
  <c r="F673" i="2" s="1"/>
  <c r="C674" i="2" a="1"/>
  <c r="C674" i="2" s="1"/>
  <c r="D674" i="2" a="1"/>
  <c r="D674" i="2" s="1"/>
  <c r="E674" i="2" a="1"/>
  <c r="E674" i="2"/>
  <c r="F674" i="2" a="1"/>
  <c r="F674" i="2" s="1"/>
  <c r="C675" i="2" a="1"/>
  <c r="C675" i="2" s="1"/>
  <c r="D675" i="2" a="1"/>
  <c r="D675" i="2" s="1"/>
  <c r="E675" i="2" a="1"/>
  <c r="E675" i="2" s="1"/>
  <c r="F675" i="2" a="1"/>
  <c r="F675" i="2" s="1"/>
  <c r="C676" i="2" a="1"/>
  <c r="C676" i="2" s="1"/>
  <c r="D676" i="2" a="1"/>
  <c r="D676" i="2" s="1"/>
  <c r="E676" i="2" a="1"/>
  <c r="E676" i="2" s="1"/>
  <c r="F676" i="2" a="1"/>
  <c r="F676" i="2" s="1"/>
  <c r="C677" i="2" a="1"/>
  <c r="C677" i="2" s="1"/>
  <c r="D677" i="2" a="1"/>
  <c r="D677" i="2" s="1"/>
  <c r="E677" i="2" a="1"/>
  <c r="E677" i="2" s="1"/>
  <c r="F677" i="2" a="1"/>
  <c r="F677" i="2" s="1"/>
  <c r="C678" i="2" a="1"/>
  <c r="C678" i="2" s="1"/>
  <c r="D678" i="2" a="1"/>
  <c r="D678" i="2" s="1"/>
  <c r="E678" i="2" a="1"/>
  <c r="E678" i="2" s="1"/>
  <c r="F678" i="2" a="1"/>
  <c r="F678" i="2" s="1"/>
  <c r="C679" i="2" a="1"/>
  <c r="C679" i="2"/>
  <c r="D679" i="2" a="1"/>
  <c r="D679" i="2" s="1"/>
  <c r="E679" i="2" a="1"/>
  <c r="E679" i="2" s="1"/>
  <c r="F679" i="2" a="1"/>
  <c r="F679" i="2" s="1"/>
  <c r="C680" i="2" a="1"/>
  <c r="C680" i="2" s="1"/>
  <c r="D680" i="2" a="1"/>
  <c r="D680" i="2" s="1"/>
  <c r="E680" i="2" a="1"/>
  <c r="E680" i="2" s="1"/>
  <c r="F680" i="2" a="1"/>
  <c r="F680" i="2" s="1"/>
  <c r="C681" i="2" a="1"/>
  <c r="C681" i="2" s="1"/>
  <c r="D681" i="2" a="1"/>
  <c r="D681" i="2" s="1"/>
  <c r="E681" i="2" a="1"/>
  <c r="E681" i="2" s="1"/>
  <c r="F681" i="2" a="1"/>
  <c r="F681" i="2" s="1"/>
  <c r="C682" i="2" a="1"/>
  <c r="C682" i="2" s="1"/>
  <c r="D682" i="2" a="1"/>
  <c r="D682" i="2" s="1"/>
  <c r="E682" i="2" a="1"/>
  <c r="E682" i="2" s="1"/>
  <c r="F682" i="2" a="1"/>
  <c r="F682" i="2" s="1"/>
  <c r="C683" i="2" a="1"/>
  <c r="C683" i="2" s="1"/>
  <c r="D683" i="2" a="1"/>
  <c r="D683" i="2" s="1"/>
  <c r="E683" i="2" a="1"/>
  <c r="E683" i="2" s="1"/>
  <c r="F683" i="2" a="1"/>
  <c r="F683" i="2" s="1"/>
  <c r="C684" i="2" a="1"/>
  <c r="C684" i="2" s="1"/>
  <c r="D684" i="2" a="1"/>
  <c r="D684" i="2" s="1"/>
  <c r="E684" i="2" a="1"/>
  <c r="E684" i="2" s="1"/>
  <c r="F684" i="2" a="1"/>
  <c r="F684" i="2" s="1"/>
  <c r="C685" i="2" a="1"/>
  <c r="C685" i="2" s="1"/>
  <c r="D685" i="2" a="1"/>
  <c r="D685" i="2"/>
  <c r="E685" i="2" a="1"/>
  <c r="E685" i="2" s="1"/>
  <c r="F685" i="2" a="1"/>
  <c r="F685" i="2" s="1"/>
  <c r="C686" i="2" a="1"/>
  <c r="C686" i="2" s="1"/>
  <c r="D686" i="2" a="1"/>
  <c r="D686" i="2" s="1"/>
  <c r="E686" i="2" a="1"/>
  <c r="E686" i="2" s="1"/>
  <c r="F686" i="2" a="1"/>
  <c r="F686" i="2" s="1"/>
  <c r="C687" i="2" a="1"/>
  <c r="C687" i="2" s="1"/>
  <c r="D687" i="2" a="1"/>
  <c r="D687" i="2" s="1"/>
  <c r="E687" i="2" a="1"/>
  <c r="E687" i="2" s="1"/>
  <c r="F687" i="2" a="1"/>
  <c r="F687" i="2" s="1"/>
  <c r="C688" i="2" a="1"/>
  <c r="C688" i="2" s="1"/>
  <c r="D688" i="2" a="1"/>
  <c r="D688" i="2" s="1"/>
  <c r="E688" i="2" a="1"/>
  <c r="E688" i="2" s="1"/>
  <c r="F688" i="2" a="1"/>
  <c r="F688" i="2" s="1"/>
  <c r="C689" i="2" a="1"/>
  <c r="C689" i="2" s="1"/>
  <c r="D689" i="2" a="1"/>
  <c r="D689" i="2" s="1"/>
  <c r="E689" i="2" a="1"/>
  <c r="E689" i="2" s="1"/>
  <c r="F689" i="2" a="1"/>
  <c r="F689" i="2" s="1"/>
  <c r="C690" i="2" a="1"/>
  <c r="C690" i="2" s="1"/>
  <c r="D690" i="2" a="1"/>
  <c r="D690" i="2" s="1"/>
  <c r="E690" i="2" a="1"/>
  <c r="E690" i="2" s="1"/>
  <c r="F690" i="2" a="1"/>
  <c r="F690" i="2" s="1"/>
  <c r="C691" i="2" a="1"/>
  <c r="C691" i="2"/>
  <c r="D691" i="2" a="1"/>
  <c r="D691" i="2" s="1"/>
  <c r="E691" i="2" a="1"/>
  <c r="E691" i="2" s="1"/>
  <c r="F691" i="2" a="1"/>
  <c r="F691" i="2" s="1"/>
  <c r="C692" i="2" a="1"/>
  <c r="C692" i="2"/>
  <c r="D692" i="2" a="1"/>
  <c r="D692" i="2" s="1"/>
  <c r="E692" i="2" a="1"/>
  <c r="E692" i="2"/>
  <c r="F692" i="2" a="1"/>
  <c r="F692" i="2" s="1"/>
  <c r="C693" i="2" a="1"/>
  <c r="C693" i="2" s="1"/>
  <c r="D693" i="2" a="1"/>
  <c r="D693" i="2" s="1"/>
  <c r="E693" i="2" a="1"/>
  <c r="E693" i="2" s="1"/>
  <c r="F693" i="2" a="1"/>
  <c r="F693" i="2"/>
  <c r="C694" i="2" a="1"/>
  <c r="C694" i="2" s="1"/>
  <c r="D694" i="2" a="1"/>
  <c r="D694" i="2" s="1"/>
  <c r="E694" i="2" a="1"/>
  <c r="E694" i="2" s="1"/>
  <c r="F694" i="2" a="1"/>
  <c r="F694" i="2" s="1"/>
  <c r="C695" i="2" a="1"/>
  <c r="C695" i="2" s="1"/>
  <c r="D695" i="2" a="1"/>
  <c r="D695" i="2"/>
  <c r="E695" i="2" a="1"/>
  <c r="E695" i="2" s="1"/>
  <c r="F695" i="2" a="1"/>
  <c r="F695" i="2" s="1"/>
  <c r="C696" i="2" a="1"/>
  <c r="C696" i="2" s="1"/>
  <c r="D696" i="2" a="1"/>
  <c r="D696" i="2" s="1"/>
  <c r="E696" i="2" a="1"/>
  <c r="E696" i="2" s="1"/>
  <c r="F696" i="2" a="1"/>
  <c r="F696" i="2" s="1"/>
  <c r="C697" i="2" a="1"/>
  <c r="C697" i="2" s="1"/>
  <c r="D697" i="2" a="1"/>
  <c r="D697" i="2" s="1"/>
  <c r="E697" i="2" a="1"/>
  <c r="E697" i="2" s="1"/>
  <c r="F697" i="2" a="1"/>
  <c r="F697" i="2" s="1"/>
  <c r="C698" i="2" a="1"/>
  <c r="C698" i="2" s="1"/>
  <c r="D698" i="2" a="1"/>
  <c r="D698" i="2" s="1"/>
  <c r="E698" i="2" a="1"/>
  <c r="E698" i="2" s="1"/>
  <c r="F698" i="2" a="1"/>
  <c r="F698" i="2" s="1"/>
  <c r="C699" i="2" a="1"/>
  <c r="C699" i="2" s="1"/>
  <c r="D699" i="2" a="1"/>
  <c r="D699" i="2" s="1"/>
  <c r="E699" i="2" a="1"/>
  <c r="E699" i="2" s="1"/>
  <c r="F699" i="2" a="1"/>
  <c r="F699" i="2" s="1"/>
  <c r="C700" i="2" a="1"/>
  <c r="C700" i="2" s="1"/>
  <c r="D700" i="2" a="1"/>
  <c r="D700" i="2" s="1"/>
  <c r="E700" i="2" a="1"/>
  <c r="E700" i="2" s="1"/>
  <c r="F700" i="2" a="1"/>
  <c r="F700" i="2" s="1"/>
  <c r="C701" i="2" a="1"/>
  <c r="C701" i="2" s="1"/>
  <c r="D701" i="2" a="1"/>
  <c r="D701" i="2" s="1"/>
  <c r="E701" i="2" a="1"/>
  <c r="E701" i="2" s="1"/>
  <c r="F701" i="2" a="1"/>
  <c r="F701" i="2" s="1"/>
  <c r="C702" i="2" a="1"/>
  <c r="C702" i="2" s="1"/>
  <c r="D702" i="2" a="1"/>
  <c r="D702" i="2" s="1"/>
  <c r="E702" i="2" a="1"/>
  <c r="E702" i="2" s="1"/>
  <c r="F702" i="2" a="1"/>
  <c r="F702" i="2" s="1"/>
  <c r="C703" i="2" a="1"/>
  <c r="C703" i="2" s="1"/>
  <c r="D703" i="2" a="1"/>
  <c r="D703" i="2"/>
  <c r="E703" i="2" a="1"/>
  <c r="E703" i="2" s="1"/>
  <c r="F703" i="2" a="1"/>
  <c r="F703" i="2" s="1"/>
  <c r="C704" i="2" a="1"/>
  <c r="C704" i="2" s="1"/>
  <c r="D704" i="2" a="1"/>
  <c r="D704" i="2" s="1"/>
  <c r="E704" i="2" a="1"/>
  <c r="E704" i="2" s="1"/>
  <c r="F704" i="2" a="1"/>
  <c r="F704" i="2" s="1"/>
  <c r="C705" i="2" a="1"/>
  <c r="C705" i="2" s="1"/>
  <c r="D705" i="2" a="1"/>
  <c r="D705" i="2" s="1"/>
  <c r="E705" i="2" a="1"/>
  <c r="E705" i="2" s="1"/>
  <c r="F705" i="2" a="1"/>
  <c r="F705" i="2" s="1"/>
  <c r="C706" i="2" a="1"/>
  <c r="C706" i="2" s="1"/>
  <c r="D706" i="2" a="1"/>
  <c r="D706" i="2" s="1"/>
  <c r="E706" i="2" a="1"/>
  <c r="E706" i="2" s="1"/>
  <c r="F706" i="2" a="1"/>
  <c r="F706" i="2" s="1"/>
  <c r="C707" i="2" a="1"/>
  <c r="C707" i="2" s="1"/>
  <c r="D707" i="2" a="1"/>
  <c r="D707" i="2" s="1"/>
  <c r="E707" i="2" a="1"/>
  <c r="E707" i="2" s="1"/>
  <c r="F707" i="2" a="1"/>
  <c r="F707" i="2" s="1"/>
  <c r="C708" i="2" a="1"/>
  <c r="C708" i="2" s="1"/>
  <c r="D708" i="2" a="1"/>
  <c r="D708" i="2" s="1"/>
  <c r="E708" i="2" a="1"/>
  <c r="E708" i="2" s="1"/>
  <c r="F708" i="2" a="1"/>
  <c r="F708" i="2" s="1"/>
  <c r="C709" i="2" a="1"/>
  <c r="C709" i="2" s="1"/>
  <c r="D709" i="2" a="1"/>
  <c r="D709" i="2" s="1"/>
  <c r="E709" i="2" a="1"/>
  <c r="E709" i="2" s="1"/>
  <c r="F709" i="2" a="1"/>
  <c r="F709" i="2" s="1"/>
  <c r="C710" i="2" a="1"/>
  <c r="C710" i="2" s="1"/>
  <c r="D710" i="2" a="1"/>
  <c r="D710" i="2" s="1"/>
  <c r="E710" i="2" a="1"/>
  <c r="E710" i="2" s="1"/>
  <c r="F710" i="2" a="1"/>
  <c r="F710" i="2" s="1"/>
  <c r="C711" i="2" a="1"/>
  <c r="C711" i="2" s="1"/>
  <c r="D711" i="2" a="1"/>
  <c r="D711" i="2" s="1"/>
  <c r="E711" i="2" a="1"/>
  <c r="E711" i="2" s="1"/>
  <c r="F711" i="2" a="1"/>
  <c r="F711" i="2" s="1"/>
  <c r="C712" i="2" a="1"/>
  <c r="C712" i="2" s="1"/>
  <c r="D712" i="2" a="1"/>
  <c r="D712" i="2" s="1"/>
  <c r="E712" i="2" a="1"/>
  <c r="E712" i="2" s="1"/>
  <c r="F712" i="2" a="1"/>
  <c r="F712" i="2" s="1"/>
  <c r="C713" i="2" a="1"/>
  <c r="C713" i="2" s="1"/>
  <c r="D713" i="2" a="1"/>
  <c r="D713" i="2" s="1"/>
  <c r="E713" i="2" a="1"/>
  <c r="E713" i="2" s="1"/>
  <c r="F713" i="2" a="1"/>
  <c r="F713" i="2" s="1"/>
  <c r="C714" i="2" a="1"/>
  <c r="C714" i="2" s="1"/>
  <c r="D714" i="2" a="1"/>
  <c r="D714" i="2" s="1"/>
  <c r="E714" i="2" a="1"/>
  <c r="E714" i="2" s="1"/>
  <c r="F714" i="2" a="1"/>
  <c r="F714" i="2" s="1"/>
  <c r="C715" i="2" a="1"/>
  <c r="C715" i="2" s="1"/>
  <c r="D715" i="2" a="1"/>
  <c r="D715" i="2" s="1"/>
  <c r="E715" i="2" a="1"/>
  <c r="E715" i="2" s="1"/>
  <c r="F715" i="2" a="1"/>
  <c r="F715" i="2" s="1"/>
  <c r="C716" i="2" a="1"/>
  <c r="C716" i="2" s="1"/>
  <c r="D716" i="2" a="1"/>
  <c r="D716" i="2" s="1"/>
  <c r="E716" i="2" a="1"/>
  <c r="E716" i="2" s="1"/>
  <c r="F716" i="2" a="1"/>
  <c r="F716" i="2" s="1"/>
  <c r="C717" i="2" a="1"/>
  <c r="C717" i="2" s="1"/>
  <c r="D717" i="2" a="1"/>
  <c r="D717" i="2" s="1"/>
  <c r="E717" i="2" a="1"/>
  <c r="E717" i="2" s="1"/>
  <c r="F717" i="2" a="1"/>
  <c r="F717" i="2" s="1"/>
  <c r="C718" i="2" a="1"/>
  <c r="C718" i="2" s="1"/>
  <c r="D718" i="2" a="1"/>
  <c r="D718" i="2" s="1"/>
  <c r="E718" i="2" a="1"/>
  <c r="E718" i="2" s="1"/>
  <c r="F718" i="2" a="1"/>
  <c r="F718" i="2" s="1"/>
  <c r="C719" i="2" a="1"/>
  <c r="C719" i="2" s="1"/>
  <c r="D719" i="2" a="1"/>
  <c r="D719" i="2" s="1"/>
  <c r="E719" i="2" a="1"/>
  <c r="E719" i="2" s="1"/>
  <c r="F719" i="2" a="1"/>
  <c r="F719" i="2" s="1"/>
  <c r="C720" i="2" a="1"/>
  <c r="C720" i="2" s="1"/>
  <c r="D720" i="2" a="1"/>
  <c r="D720" i="2" s="1"/>
  <c r="E720" i="2" a="1"/>
  <c r="E720" i="2" s="1"/>
  <c r="F720" i="2" a="1"/>
  <c r="F720" i="2" s="1"/>
  <c r="C721" i="2" a="1"/>
  <c r="C721" i="2" s="1"/>
  <c r="D721" i="2" a="1"/>
  <c r="D721" i="2" s="1"/>
  <c r="E721" i="2" a="1"/>
  <c r="E721" i="2" s="1"/>
  <c r="F721" i="2" a="1"/>
  <c r="F721" i="2" s="1"/>
  <c r="C722" i="2" a="1"/>
  <c r="C722" i="2" s="1"/>
  <c r="D722" i="2" a="1"/>
  <c r="D722" i="2" s="1"/>
  <c r="E722" i="2" a="1"/>
  <c r="E722" i="2" s="1"/>
  <c r="F722" i="2" a="1"/>
  <c r="F722" i="2" s="1"/>
  <c r="C723" i="2" a="1"/>
  <c r="C723" i="2" s="1"/>
  <c r="D723" i="2" a="1"/>
  <c r="D723" i="2" s="1"/>
  <c r="E723" i="2" a="1"/>
  <c r="E723" i="2" s="1"/>
  <c r="F723" i="2" a="1"/>
  <c r="F723" i="2" s="1"/>
  <c r="C724" i="2" a="1"/>
  <c r="C724" i="2" s="1"/>
  <c r="D724" i="2" a="1"/>
  <c r="D724" i="2" s="1"/>
  <c r="E724" i="2" a="1"/>
  <c r="E724" i="2" s="1"/>
  <c r="F724" i="2" a="1"/>
  <c r="F724" i="2" s="1"/>
  <c r="C725" i="2" a="1"/>
  <c r="C725" i="2" s="1"/>
  <c r="D725" i="2" a="1"/>
  <c r="D725" i="2" s="1"/>
  <c r="E725" i="2" a="1"/>
  <c r="E725" i="2" s="1"/>
  <c r="F725" i="2" a="1"/>
  <c r="F725" i="2" s="1"/>
  <c r="C726" i="2" a="1"/>
  <c r="C726" i="2" s="1"/>
  <c r="D726" i="2" a="1"/>
  <c r="D726" i="2" s="1"/>
  <c r="E726" i="2" a="1"/>
  <c r="E726" i="2" s="1"/>
  <c r="F726" i="2" a="1"/>
  <c r="F726" i="2" s="1"/>
  <c r="C727" i="2" a="1"/>
  <c r="C727" i="2" s="1"/>
  <c r="D727" i="2" a="1"/>
  <c r="D727" i="2" s="1"/>
  <c r="E727" i="2" a="1"/>
  <c r="E727" i="2" s="1"/>
  <c r="F727" i="2" a="1"/>
  <c r="F727" i="2" s="1"/>
  <c r="C728" i="2" a="1"/>
  <c r="C728" i="2" s="1"/>
  <c r="D728" i="2" a="1"/>
  <c r="D728" i="2" s="1"/>
  <c r="E728" i="2" a="1"/>
  <c r="E728" i="2" s="1"/>
  <c r="F728" i="2" a="1"/>
  <c r="F728" i="2" s="1"/>
  <c r="C729" i="2" a="1"/>
  <c r="C729" i="2" s="1"/>
  <c r="D729" i="2" a="1"/>
  <c r="D729" i="2" s="1"/>
  <c r="E729" i="2" a="1"/>
  <c r="E729" i="2" s="1"/>
  <c r="F729" i="2" a="1"/>
  <c r="F729" i="2" s="1"/>
  <c r="C730" i="2" a="1"/>
  <c r="C730" i="2" s="1"/>
  <c r="D730" i="2" a="1"/>
  <c r="D730" i="2" s="1"/>
  <c r="E730" i="2" a="1"/>
  <c r="E730" i="2" s="1"/>
  <c r="F730" i="2" a="1"/>
  <c r="F730" i="2" s="1"/>
  <c r="C731" i="2" a="1"/>
  <c r="C731" i="2" s="1"/>
  <c r="D731" i="2" a="1"/>
  <c r="D731" i="2" s="1"/>
  <c r="E731" i="2" a="1"/>
  <c r="E731" i="2"/>
  <c r="F731" i="2" a="1"/>
  <c r="F731" i="2" s="1"/>
  <c r="C732" i="2" a="1"/>
  <c r="C732" i="2" s="1"/>
  <c r="D732" i="2" a="1"/>
  <c r="D732" i="2" s="1"/>
  <c r="E732" i="2" a="1"/>
  <c r="E732" i="2" s="1"/>
  <c r="F732" i="2" a="1"/>
  <c r="F732" i="2" s="1"/>
  <c r="C733" i="2" a="1"/>
  <c r="C733" i="2" s="1"/>
  <c r="D733" i="2" a="1"/>
  <c r="D733" i="2" s="1"/>
  <c r="E733" i="2" a="1"/>
  <c r="E733" i="2"/>
  <c r="F733" i="2" a="1"/>
  <c r="F733" i="2" s="1"/>
  <c r="C734" i="2" a="1"/>
  <c r="C734" i="2" s="1"/>
  <c r="D734" i="2" a="1"/>
  <c r="D734" i="2" s="1"/>
  <c r="E734" i="2" a="1"/>
  <c r="E734" i="2" s="1"/>
  <c r="F734" i="2" a="1"/>
  <c r="F734" i="2" s="1"/>
  <c r="C735" i="2" a="1"/>
  <c r="C735" i="2" s="1"/>
  <c r="D735" i="2" a="1"/>
  <c r="D735" i="2" s="1"/>
  <c r="E735" i="2" a="1"/>
  <c r="E735" i="2" s="1"/>
  <c r="F735" i="2" a="1"/>
  <c r="F735" i="2" s="1"/>
  <c r="C736" i="2" a="1"/>
  <c r="C736" i="2" s="1"/>
  <c r="D736" i="2" a="1"/>
  <c r="D736" i="2" s="1"/>
  <c r="E736" i="2" a="1"/>
  <c r="E736" i="2" s="1"/>
  <c r="F736" i="2" a="1"/>
  <c r="F736" i="2" s="1"/>
  <c r="C737" i="2" a="1"/>
  <c r="C737" i="2" s="1"/>
  <c r="D737" i="2" a="1"/>
  <c r="D737" i="2" s="1"/>
  <c r="E737" i="2" a="1"/>
  <c r="E737" i="2" s="1"/>
  <c r="F737" i="2" a="1"/>
  <c r="F737" i="2" s="1"/>
  <c r="C738" i="2" a="1"/>
  <c r="C738" i="2" s="1"/>
  <c r="D738" i="2" a="1"/>
  <c r="D738" i="2" s="1"/>
  <c r="E738" i="2" a="1"/>
  <c r="E738" i="2" s="1"/>
  <c r="F738" i="2" a="1"/>
  <c r="F738" i="2" s="1"/>
  <c r="C739" i="2" a="1"/>
  <c r="C739" i="2" s="1"/>
  <c r="D739" i="2" a="1"/>
  <c r="D739" i="2" s="1"/>
  <c r="E739" i="2" a="1"/>
  <c r="E739" i="2" s="1"/>
  <c r="F739" i="2" a="1"/>
  <c r="F739" i="2" s="1"/>
  <c r="C740" i="2" a="1"/>
  <c r="C740" i="2" s="1"/>
  <c r="D740" i="2" a="1"/>
  <c r="D740" i="2" s="1"/>
  <c r="E740" i="2" a="1"/>
  <c r="E740" i="2" s="1"/>
  <c r="F740" i="2" a="1"/>
  <c r="F740" i="2" s="1"/>
  <c r="C741" i="2" a="1"/>
  <c r="C741" i="2" s="1"/>
  <c r="D741" i="2" a="1"/>
  <c r="D741" i="2" s="1"/>
  <c r="E741" i="2" a="1"/>
  <c r="E741" i="2" s="1"/>
  <c r="F741" i="2" a="1"/>
  <c r="F741" i="2" s="1"/>
  <c r="C742" i="2" a="1"/>
  <c r="C742" i="2" s="1"/>
  <c r="D742" i="2" a="1"/>
  <c r="D742" i="2" s="1"/>
  <c r="E742" i="2" a="1"/>
  <c r="E742" i="2"/>
  <c r="F742" i="2" a="1"/>
  <c r="F742" i="2" s="1"/>
  <c r="C743" i="2" a="1"/>
  <c r="C743" i="2" s="1"/>
  <c r="D743" i="2" a="1"/>
  <c r="D743" i="2"/>
  <c r="E743" i="2" a="1"/>
  <c r="E743" i="2" s="1"/>
  <c r="F743" i="2" a="1"/>
  <c r="F743" i="2" s="1"/>
  <c r="C744" i="2" a="1"/>
  <c r="C744" i="2" s="1"/>
  <c r="D744" i="2" a="1"/>
  <c r="D744" i="2" s="1"/>
  <c r="E744" i="2" a="1"/>
  <c r="E744" i="2" s="1"/>
  <c r="F744" i="2" a="1"/>
  <c r="F744" i="2" s="1"/>
  <c r="C745" i="2" a="1"/>
  <c r="C745" i="2" s="1"/>
  <c r="D745" i="2" a="1"/>
  <c r="D745" i="2" s="1"/>
  <c r="E745" i="2" a="1"/>
  <c r="E745" i="2" s="1"/>
  <c r="F745" i="2" a="1"/>
  <c r="F745" i="2" s="1"/>
  <c r="C746" i="2" a="1"/>
  <c r="C746" i="2" s="1"/>
  <c r="D746" i="2" a="1"/>
  <c r="D746" i="2" s="1"/>
  <c r="E746" i="2" a="1"/>
  <c r="E746" i="2" s="1"/>
  <c r="F746" i="2" a="1"/>
  <c r="F746" i="2" s="1"/>
  <c r="C747" i="2" a="1"/>
  <c r="C747" i="2" s="1"/>
  <c r="D747" i="2" a="1"/>
  <c r="D747" i="2" s="1"/>
  <c r="E747" i="2" a="1"/>
  <c r="E747" i="2" s="1"/>
  <c r="F747" i="2" a="1"/>
  <c r="F747" i="2" s="1"/>
  <c r="C748" i="2" a="1"/>
  <c r="C748" i="2" s="1"/>
  <c r="D748" i="2" a="1"/>
  <c r="D748" i="2" s="1"/>
  <c r="E748" i="2" a="1"/>
  <c r="E748" i="2" s="1"/>
  <c r="F748" i="2" a="1"/>
  <c r="F748" i="2" s="1"/>
  <c r="C749" i="2" a="1"/>
  <c r="C749" i="2" s="1"/>
  <c r="D749" i="2" a="1"/>
  <c r="D749" i="2" s="1"/>
  <c r="E749" i="2" a="1"/>
  <c r="E749" i="2" s="1"/>
  <c r="F749" i="2" a="1"/>
  <c r="F749" i="2" s="1"/>
  <c r="C750" i="2" a="1"/>
  <c r="C750" i="2" s="1"/>
  <c r="D750" i="2" a="1"/>
  <c r="D750" i="2" s="1"/>
  <c r="E750" i="2" a="1"/>
  <c r="E750" i="2" s="1"/>
  <c r="F750" i="2" a="1"/>
  <c r="F750" i="2" s="1"/>
  <c r="C751" i="2" a="1"/>
  <c r="C751" i="2" s="1"/>
  <c r="D751" i="2" a="1"/>
  <c r="D751" i="2" s="1"/>
  <c r="E751" i="2" a="1"/>
  <c r="E751" i="2" s="1"/>
  <c r="F751" i="2" a="1"/>
  <c r="F751" i="2" s="1"/>
  <c r="C752" i="2" a="1"/>
  <c r="C752" i="2" s="1"/>
  <c r="D752" i="2" a="1"/>
  <c r="D752" i="2" s="1"/>
  <c r="E752" i="2" a="1"/>
  <c r="E752" i="2" s="1"/>
  <c r="F752" i="2" a="1"/>
  <c r="F752" i="2"/>
  <c r="C753" i="2" a="1"/>
  <c r="C753" i="2" s="1"/>
  <c r="D753" i="2" a="1"/>
  <c r="D753" i="2" s="1"/>
  <c r="E753" i="2" a="1"/>
  <c r="E753" i="2" s="1"/>
  <c r="F753" i="2" a="1"/>
  <c r="F753" i="2" s="1"/>
  <c r="C754" i="2" a="1"/>
  <c r="C754" i="2" s="1"/>
  <c r="D754" i="2" a="1"/>
  <c r="D754" i="2"/>
  <c r="E754" i="2" a="1"/>
  <c r="E754" i="2" s="1"/>
  <c r="F754" i="2" a="1"/>
  <c r="F754" i="2" s="1"/>
  <c r="C755" i="2" a="1"/>
  <c r="C755" i="2" s="1"/>
  <c r="D755" i="2" a="1"/>
  <c r="D755" i="2"/>
  <c r="E755" i="2" a="1"/>
  <c r="E755" i="2" s="1"/>
  <c r="F755" i="2" a="1"/>
  <c r="F755" i="2" s="1"/>
  <c r="C756" i="2" a="1"/>
  <c r="C756" i="2" s="1"/>
  <c r="D756" i="2" a="1"/>
  <c r="D756" i="2" s="1"/>
  <c r="E756" i="2" a="1"/>
  <c r="E756" i="2" s="1"/>
  <c r="F756" i="2" a="1"/>
  <c r="F756" i="2" s="1"/>
  <c r="C757" i="2" a="1"/>
  <c r="C757" i="2" s="1"/>
  <c r="D757" i="2" a="1"/>
  <c r="D757" i="2" s="1"/>
  <c r="E757" i="2" a="1"/>
  <c r="E757" i="2" s="1"/>
  <c r="F757" i="2" a="1"/>
  <c r="F757" i="2" s="1"/>
  <c r="C758" i="2" a="1"/>
  <c r="C758" i="2" s="1"/>
  <c r="D758" i="2" a="1"/>
  <c r="D758" i="2" s="1"/>
  <c r="E758" i="2" a="1"/>
  <c r="E758" i="2" s="1"/>
  <c r="F758" i="2" a="1"/>
  <c r="F758" i="2" s="1"/>
  <c r="C759" i="2" a="1"/>
  <c r="C759" i="2" s="1"/>
  <c r="D759" i="2" a="1"/>
  <c r="D759" i="2" s="1"/>
  <c r="E759" i="2" a="1"/>
  <c r="E759" i="2" s="1"/>
  <c r="F759" i="2" a="1"/>
  <c r="F759" i="2"/>
  <c r="C760" i="2" a="1"/>
  <c r="C760" i="2" s="1"/>
  <c r="D760" i="2" a="1"/>
  <c r="D760" i="2" s="1"/>
  <c r="E760" i="2" a="1"/>
  <c r="E760" i="2" s="1"/>
  <c r="F760" i="2" a="1"/>
  <c r="F760" i="2" s="1"/>
  <c r="C761" i="2" a="1"/>
  <c r="C761" i="2"/>
  <c r="D761" i="2" a="1"/>
  <c r="D761" i="2" s="1"/>
  <c r="E761" i="2" a="1"/>
  <c r="E761" i="2" s="1"/>
  <c r="F761" i="2" a="1"/>
  <c r="F761" i="2" s="1"/>
  <c r="C762" i="2" a="1"/>
  <c r="C762" i="2" s="1"/>
  <c r="D762" i="2" a="1"/>
  <c r="D762" i="2" s="1"/>
  <c r="E762" i="2" a="1"/>
  <c r="E762" i="2" s="1"/>
  <c r="F762" i="2" a="1"/>
  <c r="F762" i="2" s="1"/>
  <c r="C763" i="2" a="1"/>
  <c r="C763" i="2" s="1"/>
  <c r="D763" i="2" a="1"/>
  <c r="D763" i="2" s="1"/>
  <c r="E763" i="2" a="1"/>
  <c r="E763" i="2" s="1"/>
  <c r="F763" i="2" a="1"/>
  <c r="F763" i="2" s="1"/>
  <c r="C764" i="2" a="1"/>
  <c r="C764" i="2" s="1"/>
  <c r="D764" i="2" a="1"/>
  <c r="D764" i="2" s="1"/>
  <c r="E764" i="2" a="1"/>
  <c r="E764" i="2" s="1"/>
  <c r="F764" i="2" a="1"/>
  <c r="F764" i="2" s="1"/>
  <c r="C765" i="2" a="1"/>
  <c r="C765" i="2" s="1"/>
  <c r="D765" i="2" a="1"/>
  <c r="D765" i="2" s="1"/>
  <c r="E765" i="2" a="1"/>
  <c r="E765" i="2" s="1"/>
  <c r="F765" i="2" a="1"/>
  <c r="F765" i="2" s="1"/>
  <c r="C766" i="2" a="1"/>
  <c r="C766" i="2" s="1"/>
  <c r="D766" i="2" a="1"/>
  <c r="D766" i="2" s="1"/>
  <c r="E766" i="2" a="1"/>
  <c r="E766" i="2" s="1"/>
  <c r="F766" i="2" a="1"/>
  <c r="F766" i="2" s="1"/>
  <c r="C767" i="2" a="1"/>
  <c r="C767" i="2" s="1"/>
  <c r="D767" i="2" a="1"/>
  <c r="D767" i="2" s="1"/>
  <c r="E767" i="2" a="1"/>
  <c r="E767" i="2" s="1"/>
  <c r="F767" i="2" a="1"/>
  <c r="F767" i="2" s="1"/>
  <c r="C768" i="2" a="1"/>
  <c r="C768" i="2" s="1"/>
  <c r="D768" i="2" a="1"/>
  <c r="D768" i="2" s="1"/>
  <c r="E768" i="2" a="1"/>
  <c r="E768" i="2" s="1"/>
  <c r="F768" i="2" a="1"/>
  <c r="F768" i="2" s="1"/>
  <c r="C769" i="2" a="1"/>
  <c r="C769" i="2" s="1"/>
  <c r="D769" i="2" a="1"/>
  <c r="D769" i="2" s="1"/>
  <c r="E769" i="2" a="1"/>
  <c r="E769" i="2" s="1"/>
  <c r="F769" i="2" a="1"/>
  <c r="F769" i="2" s="1"/>
  <c r="C770" i="2" a="1"/>
  <c r="C770" i="2" s="1"/>
  <c r="D770" i="2" a="1"/>
  <c r="D770" i="2" s="1"/>
  <c r="E770" i="2" a="1"/>
  <c r="E770" i="2" s="1"/>
  <c r="F770" i="2" a="1"/>
  <c r="F770" i="2" s="1"/>
  <c r="C771" i="2" a="1"/>
  <c r="C771" i="2" s="1"/>
  <c r="D771" i="2" a="1"/>
  <c r="D771" i="2" s="1"/>
  <c r="E771" i="2" a="1"/>
  <c r="E771" i="2" s="1"/>
  <c r="F771" i="2" a="1"/>
  <c r="F771" i="2" s="1"/>
  <c r="C772" i="2" a="1"/>
  <c r="C772" i="2" s="1"/>
  <c r="D772" i="2" a="1"/>
  <c r="D772" i="2" s="1"/>
  <c r="E772" i="2" a="1"/>
  <c r="E772" i="2" s="1"/>
  <c r="F772" i="2" a="1"/>
  <c r="F772" i="2" s="1"/>
  <c r="C773" i="2" a="1"/>
  <c r="C773" i="2" s="1"/>
  <c r="D773" i="2" a="1"/>
  <c r="D773" i="2" s="1"/>
  <c r="E773" i="2" a="1"/>
  <c r="E773" i="2" s="1"/>
  <c r="F773" i="2" a="1"/>
  <c r="F773" i="2" s="1"/>
  <c r="C774" i="2" a="1"/>
  <c r="C774" i="2" s="1"/>
  <c r="D774" i="2" a="1"/>
  <c r="D774" i="2" s="1"/>
  <c r="E774" i="2" a="1"/>
  <c r="E774" i="2" s="1"/>
  <c r="F774" i="2" a="1"/>
  <c r="F774" i="2" s="1"/>
  <c r="C775" i="2" a="1"/>
  <c r="C775" i="2" s="1"/>
  <c r="D775" i="2" a="1"/>
  <c r="D775" i="2" s="1"/>
  <c r="E775" i="2" a="1"/>
  <c r="E775" i="2" s="1"/>
  <c r="F775" i="2" a="1"/>
  <c r="F775" i="2" s="1"/>
  <c r="C776" i="2" a="1"/>
  <c r="C776" i="2" s="1"/>
  <c r="D776" i="2" a="1"/>
  <c r="D776" i="2" s="1"/>
  <c r="E776" i="2" a="1"/>
  <c r="E776" i="2" s="1"/>
  <c r="F776" i="2" a="1"/>
  <c r="F776" i="2" s="1"/>
  <c r="C777" i="2" a="1"/>
  <c r="C777" i="2" s="1"/>
  <c r="D777" i="2" a="1"/>
  <c r="D777" i="2" s="1"/>
  <c r="E777" i="2" a="1"/>
  <c r="E777" i="2" s="1"/>
  <c r="F777" i="2" a="1"/>
  <c r="F777" i="2" s="1"/>
  <c r="C778" i="2" a="1"/>
  <c r="C778" i="2" s="1"/>
  <c r="D778" i="2" a="1"/>
  <c r="D778" i="2" s="1"/>
  <c r="E778" i="2" a="1"/>
  <c r="E778" i="2" s="1"/>
  <c r="F778" i="2" a="1"/>
  <c r="F778" i="2" s="1"/>
  <c r="C779" i="2" a="1"/>
  <c r="C779" i="2" s="1"/>
  <c r="D779" i="2" a="1"/>
  <c r="D779" i="2" s="1"/>
  <c r="E779" i="2" a="1"/>
  <c r="E779" i="2" s="1"/>
  <c r="F779" i="2" a="1"/>
  <c r="F779" i="2" s="1"/>
  <c r="C780" i="2" a="1"/>
  <c r="C780" i="2" s="1"/>
  <c r="D780" i="2" a="1"/>
  <c r="D780" i="2" s="1"/>
  <c r="E780" i="2" a="1"/>
  <c r="E780" i="2" s="1"/>
  <c r="F780" i="2" a="1"/>
  <c r="F780" i="2" s="1"/>
  <c r="C781" i="2" a="1"/>
  <c r="C781" i="2" s="1"/>
  <c r="D781" i="2" a="1"/>
  <c r="D781" i="2" s="1"/>
  <c r="E781" i="2" a="1"/>
  <c r="E781" i="2" s="1"/>
  <c r="F781" i="2" a="1"/>
  <c r="F781" i="2" s="1"/>
  <c r="C782" i="2" a="1"/>
  <c r="C782" i="2" s="1"/>
  <c r="D782" i="2" a="1"/>
  <c r="D782" i="2" s="1"/>
  <c r="E782" i="2" a="1"/>
  <c r="E782" i="2" s="1"/>
  <c r="F782" i="2" a="1"/>
  <c r="F782" i="2" s="1"/>
  <c r="C783" i="2" a="1"/>
  <c r="C783" i="2" s="1"/>
  <c r="D783" i="2" a="1"/>
  <c r="D783" i="2" s="1"/>
  <c r="E783" i="2" a="1"/>
  <c r="E783" i="2" s="1"/>
  <c r="F783" i="2" a="1"/>
  <c r="F783" i="2" s="1"/>
  <c r="C784" i="2" a="1"/>
  <c r="C784" i="2" s="1"/>
  <c r="D784" i="2" a="1"/>
  <c r="D784" i="2" s="1"/>
  <c r="E784" i="2" a="1"/>
  <c r="E784" i="2" s="1"/>
  <c r="F784" i="2" a="1"/>
  <c r="F784" i="2" s="1"/>
  <c r="C785" i="2" a="1"/>
  <c r="C785" i="2" s="1"/>
  <c r="D785" i="2" a="1"/>
  <c r="D785" i="2" s="1"/>
  <c r="E785" i="2" a="1"/>
  <c r="E785" i="2" s="1"/>
  <c r="F785" i="2" a="1"/>
  <c r="F785" i="2" s="1"/>
  <c r="C786" i="2" a="1"/>
  <c r="C786" i="2" s="1"/>
  <c r="D786" i="2" a="1"/>
  <c r="D786" i="2" s="1"/>
  <c r="E786" i="2" a="1"/>
  <c r="E786" i="2" s="1"/>
  <c r="F786" i="2" a="1"/>
  <c r="F786" i="2"/>
  <c r="C787" i="2" a="1"/>
  <c r="C787" i="2" s="1"/>
  <c r="D787" i="2" a="1"/>
  <c r="D787" i="2" s="1"/>
  <c r="E787" i="2" a="1"/>
  <c r="E787" i="2"/>
  <c r="F787" i="2" a="1"/>
  <c r="F787" i="2" s="1"/>
  <c r="C788" i="2" a="1"/>
  <c r="C788" i="2" s="1"/>
  <c r="D788" i="2" a="1"/>
  <c r="D788" i="2" s="1"/>
  <c r="E788" i="2" a="1"/>
  <c r="E788" i="2" s="1"/>
  <c r="F788" i="2" a="1"/>
  <c r="F788" i="2" s="1"/>
  <c r="C789" i="2" a="1"/>
  <c r="C789" i="2" s="1"/>
  <c r="D789" i="2" a="1"/>
  <c r="D789" i="2" s="1"/>
  <c r="E789" i="2" a="1"/>
  <c r="E789" i="2" s="1"/>
  <c r="F789" i="2" a="1"/>
  <c r="F789" i="2" s="1"/>
  <c r="C790" i="2" a="1"/>
  <c r="C790" i="2"/>
  <c r="D790" i="2" a="1"/>
  <c r="D790" i="2" s="1"/>
  <c r="E790" i="2" a="1"/>
  <c r="E790" i="2" s="1"/>
  <c r="F790" i="2" a="1"/>
  <c r="F790" i="2" s="1"/>
  <c r="C791" i="2" a="1"/>
  <c r="C791" i="2" s="1"/>
  <c r="D791" i="2" a="1"/>
  <c r="D791" i="2" s="1"/>
  <c r="E791" i="2" a="1"/>
  <c r="E791" i="2" s="1"/>
  <c r="F791" i="2" a="1"/>
  <c r="F791" i="2" s="1"/>
  <c r="C792" i="2" a="1"/>
  <c r="C792" i="2" s="1"/>
  <c r="D792" i="2" a="1"/>
  <c r="D792" i="2" s="1"/>
  <c r="E792" i="2" a="1"/>
  <c r="E792" i="2" s="1"/>
  <c r="F792" i="2" a="1"/>
  <c r="F792" i="2" s="1"/>
  <c r="C793" i="2" a="1"/>
  <c r="C793" i="2" s="1"/>
  <c r="D793" i="2" a="1"/>
  <c r="D793" i="2" s="1"/>
  <c r="E793" i="2" a="1"/>
  <c r="E793" i="2" s="1"/>
  <c r="F793" i="2" a="1"/>
  <c r="F793" i="2" s="1"/>
  <c r="C794" i="2" a="1"/>
  <c r="C794" i="2" s="1"/>
  <c r="D794" i="2" a="1"/>
  <c r="D794" i="2" s="1"/>
  <c r="E794" i="2" a="1"/>
  <c r="E794" i="2" s="1"/>
  <c r="F794" i="2" a="1"/>
  <c r="F794" i="2" s="1"/>
  <c r="C795" i="2" a="1"/>
  <c r="C795" i="2" s="1"/>
  <c r="D795" i="2" a="1"/>
  <c r="D795" i="2" s="1"/>
  <c r="E795" i="2" a="1"/>
  <c r="E795" i="2" s="1"/>
  <c r="F795" i="2" a="1"/>
  <c r="F795" i="2" s="1"/>
  <c r="C796" i="2" a="1"/>
  <c r="C796" i="2" s="1"/>
  <c r="D796" i="2" a="1"/>
  <c r="D796" i="2" s="1"/>
  <c r="E796" i="2" a="1"/>
  <c r="E796" i="2" s="1"/>
  <c r="F796" i="2" a="1"/>
  <c r="F796" i="2" s="1"/>
  <c r="C797" i="2" a="1"/>
  <c r="C797" i="2" s="1"/>
  <c r="D797" i="2" a="1"/>
  <c r="D797" i="2" s="1"/>
  <c r="E797" i="2" a="1"/>
  <c r="E797" i="2" s="1"/>
  <c r="F797" i="2" a="1"/>
  <c r="F797" i="2" s="1"/>
  <c r="C798" i="2" a="1"/>
  <c r="C798" i="2" s="1"/>
  <c r="D798" i="2" a="1"/>
  <c r="D798" i="2" s="1"/>
  <c r="E798" i="2" a="1"/>
  <c r="E798" i="2" s="1"/>
  <c r="F798" i="2" a="1"/>
  <c r="F798" i="2" s="1"/>
  <c r="C799" i="2" a="1"/>
  <c r="C799" i="2" s="1"/>
  <c r="D799" i="2" a="1"/>
  <c r="D799" i="2" s="1"/>
  <c r="E799" i="2" a="1"/>
  <c r="E799" i="2" s="1"/>
  <c r="F799" i="2" a="1"/>
  <c r="F799" i="2" s="1"/>
  <c r="C800" i="2" a="1"/>
  <c r="C800" i="2" s="1"/>
  <c r="D800" i="2" a="1"/>
  <c r="D800" i="2" s="1"/>
  <c r="E800" i="2" a="1"/>
  <c r="E800" i="2"/>
  <c r="F800" i="2" a="1"/>
  <c r="F800" i="2" s="1"/>
  <c r="C801" i="2" a="1"/>
  <c r="C801" i="2" s="1"/>
  <c r="D801" i="2" a="1"/>
  <c r="D801" i="2" s="1"/>
  <c r="E801" i="2" a="1"/>
  <c r="E801" i="2" s="1"/>
  <c r="F801" i="2" a="1"/>
  <c r="F801" i="2" s="1"/>
  <c r="C802" i="2" a="1"/>
  <c r="C802" i="2" s="1"/>
  <c r="D802" i="2" a="1"/>
  <c r="D802" i="2" s="1"/>
  <c r="E802" i="2" a="1"/>
  <c r="E802" i="2" s="1"/>
  <c r="F802" i="2" a="1"/>
  <c r="F802" i="2" s="1"/>
  <c r="C803" i="2" a="1"/>
  <c r="C803" i="2" s="1"/>
  <c r="D803" i="2" a="1"/>
  <c r="D803" i="2" s="1"/>
  <c r="E803" i="2" a="1"/>
  <c r="E803" i="2" s="1"/>
  <c r="F803" i="2" a="1"/>
  <c r="F803" i="2" s="1"/>
  <c r="C804" i="2" a="1"/>
  <c r="C804" i="2" s="1"/>
  <c r="D804" i="2" a="1"/>
  <c r="D804" i="2" s="1"/>
  <c r="E804" i="2" a="1"/>
  <c r="E804" i="2" s="1"/>
  <c r="F804" i="2" a="1"/>
  <c r="F804" i="2" s="1"/>
  <c r="C805" i="2" a="1"/>
  <c r="C805" i="2" s="1"/>
  <c r="D805" i="2" a="1"/>
  <c r="D805" i="2" s="1"/>
  <c r="E805" i="2" a="1"/>
  <c r="E805" i="2" s="1"/>
  <c r="F805" i="2" a="1"/>
  <c r="F805" i="2" s="1"/>
  <c r="C806" i="2" a="1"/>
  <c r="C806" i="2" s="1"/>
  <c r="D806" i="2" a="1"/>
  <c r="D806" i="2" s="1"/>
  <c r="E806" i="2" a="1"/>
  <c r="E806" i="2" s="1"/>
  <c r="F806" i="2" a="1"/>
  <c r="F806" i="2" s="1"/>
  <c r="C807" i="2" a="1"/>
  <c r="C807" i="2" s="1"/>
  <c r="D807" i="2" a="1"/>
  <c r="D807" i="2" s="1"/>
  <c r="E807" i="2" a="1"/>
  <c r="E807" i="2" s="1"/>
  <c r="F807" i="2" a="1"/>
  <c r="F807" i="2" s="1"/>
  <c r="C808" i="2" a="1"/>
  <c r="C808" i="2" s="1"/>
  <c r="D808" i="2" a="1"/>
  <c r="D808" i="2" s="1"/>
  <c r="E808" i="2" a="1"/>
  <c r="E808" i="2" s="1"/>
  <c r="F808" i="2" a="1"/>
  <c r="F808" i="2" s="1"/>
  <c r="C809" i="2" a="1"/>
  <c r="C809" i="2" s="1"/>
  <c r="D809" i="2" a="1"/>
  <c r="D809" i="2" s="1"/>
  <c r="E809" i="2" a="1"/>
  <c r="E809" i="2" s="1"/>
  <c r="F809" i="2" a="1"/>
  <c r="F809" i="2"/>
  <c r="C810" i="2" a="1"/>
  <c r="C810" i="2" s="1"/>
  <c r="D810" i="2" a="1"/>
  <c r="D810" i="2" s="1"/>
  <c r="E810" i="2" a="1"/>
  <c r="E810" i="2" s="1"/>
  <c r="F810" i="2" a="1"/>
  <c r="F810" i="2" s="1"/>
  <c r="C811" i="2" a="1"/>
  <c r="C811" i="2" s="1"/>
  <c r="D811" i="2" a="1"/>
  <c r="D811" i="2" s="1"/>
  <c r="E811" i="2" a="1"/>
  <c r="E811" i="2" s="1"/>
  <c r="F811" i="2" a="1"/>
  <c r="F811" i="2" s="1"/>
  <c r="C812" i="2" a="1"/>
  <c r="C812" i="2" s="1"/>
  <c r="D812" i="2" a="1"/>
  <c r="D812" i="2" s="1"/>
  <c r="E812" i="2" a="1"/>
  <c r="E812" i="2" s="1"/>
  <c r="F812" i="2" a="1"/>
  <c r="F812" i="2" s="1"/>
  <c r="C813" i="2" a="1"/>
  <c r="C813" i="2" s="1"/>
  <c r="D813" i="2" a="1"/>
  <c r="D813" i="2" s="1"/>
  <c r="E813" i="2" a="1"/>
  <c r="E813" i="2" s="1"/>
  <c r="F813" i="2" a="1"/>
  <c r="F813" i="2" s="1"/>
  <c r="C814" i="2" a="1"/>
  <c r="C814" i="2" s="1"/>
  <c r="D814" i="2" a="1"/>
  <c r="D814" i="2" s="1"/>
  <c r="E814" i="2" a="1"/>
  <c r="E814" i="2" s="1"/>
  <c r="F814" i="2" a="1"/>
  <c r="F814" i="2" s="1"/>
  <c r="C815" i="2" a="1"/>
  <c r="C815" i="2" s="1"/>
  <c r="D815" i="2" a="1"/>
  <c r="D815" i="2" s="1"/>
  <c r="E815" i="2" a="1"/>
  <c r="E815" i="2" s="1"/>
  <c r="F815" i="2" a="1"/>
  <c r="F815" i="2" s="1"/>
  <c r="C816" i="2" a="1"/>
  <c r="C816" i="2" s="1"/>
  <c r="D816" i="2" a="1"/>
  <c r="D816" i="2" s="1"/>
  <c r="E816" i="2" a="1"/>
  <c r="E816" i="2" s="1"/>
  <c r="F816" i="2" a="1"/>
  <c r="F816" i="2" s="1"/>
  <c r="C817" i="2" a="1"/>
  <c r="C817" i="2" s="1"/>
  <c r="D817" i="2" a="1"/>
  <c r="D817" i="2" s="1"/>
  <c r="E817" i="2" a="1"/>
  <c r="E817" i="2" s="1"/>
  <c r="F817" i="2" a="1"/>
  <c r="F817" i="2" s="1"/>
  <c r="C818" i="2" a="1"/>
  <c r="C818" i="2" s="1"/>
  <c r="D818" i="2" a="1"/>
  <c r="D818" i="2" s="1"/>
  <c r="E818" i="2" a="1"/>
  <c r="E818" i="2" s="1"/>
  <c r="F818" i="2" a="1"/>
  <c r="F818" i="2" s="1"/>
  <c r="C819" i="2" a="1"/>
  <c r="C819" i="2" s="1"/>
  <c r="D819" i="2" a="1"/>
  <c r="D819" i="2" s="1"/>
  <c r="E819" i="2" a="1"/>
  <c r="E819" i="2" s="1"/>
  <c r="F819" i="2" a="1"/>
  <c r="F819" i="2" s="1"/>
  <c r="C820" i="2" a="1"/>
  <c r="C820" i="2" s="1"/>
  <c r="D820" i="2" a="1"/>
  <c r="D820" i="2" s="1"/>
  <c r="E820" i="2" a="1"/>
  <c r="E820" i="2" s="1"/>
  <c r="F820" i="2" a="1"/>
  <c r="F820" i="2" s="1"/>
  <c r="C821" i="2" a="1"/>
  <c r="C821" i="2" s="1"/>
  <c r="D821" i="2" a="1"/>
  <c r="D821" i="2" s="1"/>
  <c r="E821" i="2" a="1"/>
  <c r="E821" i="2" s="1"/>
  <c r="F821" i="2" a="1"/>
  <c r="F821" i="2" s="1"/>
  <c r="C822" i="2" a="1"/>
  <c r="C822" i="2" s="1"/>
  <c r="D822" i="2" a="1"/>
  <c r="D822" i="2" s="1"/>
  <c r="E822" i="2" a="1"/>
  <c r="E822" i="2" s="1"/>
  <c r="F822" i="2" a="1"/>
  <c r="F822" i="2" s="1"/>
  <c r="C823" i="2" a="1"/>
  <c r="C823" i="2" s="1"/>
  <c r="D823" i="2" a="1"/>
  <c r="D823" i="2" s="1"/>
  <c r="E823" i="2" a="1"/>
  <c r="E823" i="2" s="1"/>
  <c r="F823" i="2" a="1"/>
  <c r="F823" i="2" s="1"/>
  <c r="C824" i="2" a="1"/>
  <c r="C824" i="2" s="1"/>
  <c r="D824" i="2" a="1"/>
  <c r="D824" i="2" s="1"/>
  <c r="E824" i="2" a="1"/>
  <c r="E824" i="2" s="1"/>
  <c r="F824" i="2" a="1"/>
  <c r="F824" i="2" s="1"/>
  <c r="C825" i="2" a="1"/>
  <c r="C825" i="2" s="1"/>
  <c r="D825" i="2" a="1"/>
  <c r="D825" i="2" s="1"/>
  <c r="E825" i="2" a="1"/>
  <c r="E825" i="2" s="1"/>
  <c r="F825" i="2" a="1"/>
  <c r="F825" i="2" s="1"/>
  <c r="C826" i="2" a="1"/>
  <c r="C826" i="2" s="1"/>
  <c r="D826" i="2" a="1"/>
  <c r="D826" i="2" s="1"/>
  <c r="E826" i="2" a="1"/>
  <c r="E826" i="2" s="1"/>
  <c r="F826" i="2" a="1"/>
  <c r="F826" i="2" s="1"/>
  <c r="C827" i="2" a="1"/>
  <c r="C827" i="2" s="1"/>
  <c r="D827" i="2" a="1"/>
  <c r="D827" i="2" s="1"/>
  <c r="E827" i="2" a="1"/>
  <c r="E827" i="2" s="1"/>
  <c r="F827" i="2" a="1"/>
  <c r="F827" i="2" s="1"/>
  <c r="C828" i="2" a="1"/>
  <c r="C828" i="2" s="1"/>
  <c r="D828" i="2" a="1"/>
  <c r="D828" i="2" s="1"/>
  <c r="E828" i="2" a="1"/>
  <c r="E828" i="2" s="1"/>
  <c r="F828" i="2" a="1"/>
  <c r="F828" i="2" s="1"/>
  <c r="C829" i="2" a="1"/>
  <c r="C829" i="2" s="1"/>
  <c r="D829" i="2" a="1"/>
  <c r="D829" i="2" s="1"/>
  <c r="E829" i="2" a="1"/>
  <c r="E829" i="2" s="1"/>
  <c r="F829" i="2" a="1"/>
  <c r="F829" i="2" s="1"/>
  <c r="C830" i="2" a="1"/>
  <c r="C830" i="2" s="1"/>
  <c r="D830" i="2" a="1"/>
  <c r="D830" i="2" s="1"/>
  <c r="E830" i="2" a="1"/>
  <c r="E830" i="2" s="1"/>
  <c r="F830" i="2" a="1"/>
  <c r="F830" i="2" s="1"/>
  <c r="C831" i="2" a="1"/>
  <c r="C831" i="2" s="1"/>
  <c r="D831" i="2" a="1"/>
  <c r="D831" i="2" s="1"/>
  <c r="E831" i="2" a="1"/>
  <c r="E831" i="2" s="1"/>
  <c r="F831" i="2" a="1"/>
  <c r="F831" i="2" s="1"/>
  <c r="C832" i="2" a="1"/>
  <c r="C832" i="2"/>
  <c r="D832" i="2" a="1"/>
  <c r="D832" i="2" s="1"/>
  <c r="E832" i="2" a="1"/>
  <c r="E832" i="2"/>
  <c r="F832" i="2" a="1"/>
  <c r="F832" i="2" s="1"/>
  <c r="C833" i="2" a="1"/>
  <c r="C833" i="2" s="1"/>
  <c r="D833" i="2" a="1"/>
  <c r="D833" i="2" s="1"/>
  <c r="E833" i="2" a="1"/>
  <c r="E833" i="2" s="1"/>
  <c r="F833" i="2" a="1"/>
  <c r="F833" i="2" s="1"/>
  <c r="C834" i="2" a="1"/>
  <c r="C834" i="2" s="1"/>
  <c r="D834" i="2" a="1"/>
  <c r="D834" i="2" s="1"/>
  <c r="E834" i="2" a="1"/>
  <c r="E834" i="2" s="1"/>
  <c r="F834" i="2" a="1"/>
  <c r="F834" i="2" s="1"/>
  <c r="C835" i="2" a="1"/>
  <c r="C835" i="2" s="1"/>
  <c r="D835" i="2" a="1"/>
  <c r="D835" i="2" s="1"/>
  <c r="E835" i="2" a="1"/>
  <c r="E835" i="2" s="1"/>
  <c r="F835" i="2" a="1"/>
  <c r="F835" i="2" s="1"/>
  <c r="C836" i="2" a="1"/>
  <c r="C836" i="2" s="1"/>
  <c r="D836" i="2" a="1"/>
  <c r="D836" i="2" s="1"/>
  <c r="E836" i="2" a="1"/>
  <c r="E836" i="2" s="1"/>
  <c r="F836" i="2" a="1"/>
  <c r="F836" i="2" s="1"/>
  <c r="C837" i="2" a="1"/>
  <c r="C837" i="2"/>
  <c r="D837" i="2" a="1"/>
  <c r="D837" i="2" s="1"/>
  <c r="E837" i="2" a="1"/>
  <c r="E837" i="2" s="1"/>
  <c r="F837" i="2" a="1"/>
  <c r="F837" i="2" s="1"/>
  <c r="C838" i="2" a="1"/>
  <c r="C838" i="2" s="1"/>
  <c r="D838" i="2" a="1"/>
  <c r="D838" i="2"/>
  <c r="E838" i="2" a="1"/>
  <c r="E838" i="2" s="1"/>
  <c r="F838" i="2" a="1"/>
  <c r="F838" i="2" s="1"/>
  <c r="C839" i="2" a="1"/>
  <c r="C839" i="2" s="1"/>
  <c r="D839" i="2" a="1"/>
  <c r="D839" i="2" s="1"/>
  <c r="E839" i="2" a="1"/>
  <c r="E839" i="2" s="1"/>
  <c r="F839" i="2" a="1"/>
  <c r="F839" i="2" s="1"/>
  <c r="C840" i="2" a="1"/>
  <c r="C840" i="2" s="1"/>
  <c r="D840" i="2" a="1"/>
  <c r="D840" i="2" s="1"/>
  <c r="E840" i="2" a="1"/>
  <c r="E840" i="2" s="1"/>
  <c r="F840" i="2" a="1"/>
  <c r="F840" i="2" s="1"/>
  <c r="C841" i="2" a="1"/>
  <c r="C841" i="2" s="1"/>
  <c r="D841" i="2" a="1"/>
  <c r="D841" i="2" s="1"/>
  <c r="E841" i="2" a="1"/>
  <c r="E841" i="2" s="1"/>
  <c r="F841" i="2" a="1"/>
  <c r="F841" i="2" s="1"/>
  <c r="C842" i="2" a="1"/>
  <c r="C842" i="2" s="1"/>
  <c r="D842" i="2" a="1"/>
  <c r="D842" i="2" s="1"/>
  <c r="E842" i="2" a="1"/>
  <c r="E842" i="2" s="1"/>
  <c r="F842" i="2" a="1"/>
  <c r="F842" i="2" s="1"/>
  <c r="C843" i="2" a="1"/>
  <c r="C843" i="2" s="1"/>
  <c r="D843" i="2" a="1"/>
  <c r="D843" i="2" s="1"/>
  <c r="E843" i="2" a="1"/>
  <c r="E843" i="2" s="1"/>
  <c r="F843" i="2" a="1"/>
  <c r="F843" i="2" s="1"/>
  <c r="C844" i="2" a="1"/>
  <c r="C844" i="2" s="1"/>
  <c r="D844" i="2" a="1"/>
  <c r="D844" i="2" s="1"/>
  <c r="E844" i="2" a="1"/>
  <c r="E844" i="2" s="1"/>
  <c r="F844" i="2" a="1"/>
  <c r="F844" i="2" s="1"/>
  <c r="C845" i="2" a="1"/>
  <c r="C845" i="2" s="1"/>
  <c r="D845" i="2" a="1"/>
  <c r="D845" i="2" s="1"/>
  <c r="E845" i="2" a="1"/>
  <c r="E845" i="2" s="1"/>
  <c r="F845" i="2" a="1"/>
  <c r="F845" i="2" s="1"/>
  <c r="C846" i="2" a="1"/>
  <c r="C846" i="2" s="1"/>
  <c r="D846" i="2" a="1"/>
  <c r="D846" i="2" s="1"/>
  <c r="E846" i="2" a="1"/>
  <c r="E846" i="2" s="1"/>
  <c r="F846" i="2" a="1"/>
  <c r="F846" i="2" s="1"/>
  <c r="C847" i="2" a="1"/>
  <c r="C847" i="2" s="1"/>
  <c r="D847" i="2" a="1"/>
  <c r="D847" i="2" s="1"/>
  <c r="E847" i="2" a="1"/>
  <c r="E847" i="2" s="1"/>
  <c r="F847" i="2" a="1"/>
  <c r="F847" i="2" s="1"/>
  <c r="C848" i="2" a="1"/>
  <c r="C848" i="2"/>
  <c r="D848" i="2" a="1"/>
  <c r="D848" i="2" s="1"/>
  <c r="E848" i="2" a="1"/>
  <c r="E848" i="2" s="1"/>
  <c r="F848" i="2" a="1"/>
  <c r="F848" i="2" s="1"/>
  <c r="C849" i="2" a="1"/>
  <c r="C849" i="2" s="1"/>
  <c r="D849" i="2" a="1"/>
  <c r="D849" i="2" s="1"/>
  <c r="E849" i="2" a="1"/>
  <c r="E849" i="2" s="1"/>
  <c r="F849" i="2" a="1"/>
  <c r="F849" i="2" s="1"/>
  <c r="C850" i="2" a="1"/>
  <c r="C850" i="2" s="1"/>
  <c r="D850" i="2" a="1"/>
  <c r="D850" i="2" s="1"/>
  <c r="E850" i="2" a="1"/>
  <c r="E850" i="2" s="1"/>
  <c r="F850" i="2" a="1"/>
  <c r="F850" i="2" s="1"/>
  <c r="C851" i="2" a="1"/>
  <c r="C851" i="2" s="1"/>
  <c r="D851" i="2" a="1"/>
  <c r="D851" i="2" s="1"/>
  <c r="E851" i="2" a="1"/>
  <c r="E851" i="2" s="1"/>
  <c r="F851" i="2" a="1"/>
  <c r="F851" i="2" s="1"/>
  <c r="C852" i="2" a="1"/>
  <c r="C852" i="2" s="1"/>
  <c r="D852" i="2" a="1"/>
  <c r="D852" i="2" s="1"/>
  <c r="E852" i="2" a="1"/>
  <c r="E852" i="2" s="1"/>
  <c r="F852" i="2" a="1"/>
  <c r="F852" i="2" s="1"/>
  <c r="C853" i="2" a="1"/>
  <c r="C853" i="2" s="1"/>
  <c r="D853" i="2" a="1"/>
  <c r="D853" i="2" s="1"/>
  <c r="E853" i="2" a="1"/>
  <c r="E853" i="2" s="1"/>
  <c r="F853" i="2" a="1"/>
  <c r="F853" i="2" s="1"/>
  <c r="C854" i="2" a="1"/>
  <c r="C854" i="2" s="1"/>
  <c r="D854" i="2" a="1"/>
  <c r="D854" i="2" s="1"/>
  <c r="E854" i="2" a="1"/>
  <c r="E854" i="2" s="1"/>
  <c r="F854" i="2" a="1"/>
  <c r="F854" i="2"/>
  <c r="C855" i="2" a="1"/>
  <c r="C855" i="2" s="1"/>
  <c r="D855" i="2" a="1"/>
  <c r="D855" i="2" s="1"/>
  <c r="E855" i="2" a="1"/>
  <c r="E855" i="2" s="1"/>
  <c r="F855" i="2" a="1"/>
  <c r="F855" i="2" s="1"/>
  <c r="C856" i="2" a="1"/>
  <c r="C856" i="2" s="1"/>
  <c r="D856" i="2" a="1"/>
  <c r="D856" i="2" s="1"/>
  <c r="E856" i="2" a="1"/>
  <c r="E856" i="2" s="1"/>
  <c r="F856" i="2" a="1"/>
  <c r="F856" i="2" s="1"/>
  <c r="C857" i="2" a="1"/>
  <c r="C857" i="2" s="1"/>
  <c r="D857" i="2" a="1"/>
  <c r="D857" i="2" s="1"/>
  <c r="E857" i="2" a="1"/>
  <c r="E857" i="2" s="1"/>
  <c r="F857" i="2" a="1"/>
  <c r="F857" i="2" s="1"/>
  <c r="C858" i="2" a="1"/>
  <c r="C858" i="2" s="1"/>
  <c r="D858" i="2" a="1"/>
  <c r="D858" i="2" s="1"/>
  <c r="E858" i="2" a="1"/>
  <c r="E858" i="2" s="1"/>
  <c r="F858" i="2" a="1"/>
  <c r="F858" i="2" s="1"/>
  <c r="C859" i="2" a="1"/>
  <c r="C859" i="2" s="1"/>
  <c r="D859" i="2" a="1"/>
  <c r="D859" i="2" s="1"/>
  <c r="E859" i="2" a="1"/>
  <c r="E859" i="2"/>
  <c r="F859" i="2" a="1"/>
  <c r="F859" i="2" s="1"/>
  <c r="C860" i="2" a="1"/>
  <c r="C860" i="2" s="1"/>
  <c r="D860" i="2" a="1"/>
  <c r="D860" i="2" s="1"/>
  <c r="E860" i="2" a="1"/>
  <c r="E860" i="2" s="1"/>
  <c r="F860" i="2" a="1"/>
  <c r="F860" i="2" s="1"/>
  <c r="C861" i="2" a="1"/>
  <c r="C861" i="2" s="1"/>
  <c r="D861" i="2" a="1"/>
  <c r="D861" i="2" s="1"/>
  <c r="E861" i="2" a="1"/>
  <c r="E861" i="2" s="1"/>
  <c r="F861" i="2" a="1"/>
  <c r="F861" i="2" s="1"/>
  <c r="C862" i="2" a="1"/>
  <c r="C862" i="2" s="1"/>
  <c r="D862" i="2" a="1"/>
  <c r="D862" i="2"/>
  <c r="E862" i="2" a="1"/>
  <c r="E862" i="2" s="1"/>
  <c r="F862" i="2" a="1"/>
  <c r="F862" i="2" s="1"/>
  <c r="C863" i="2" a="1"/>
  <c r="C863" i="2" s="1"/>
  <c r="D863" i="2" a="1"/>
  <c r="D863" i="2" s="1"/>
  <c r="E863" i="2" a="1"/>
  <c r="E863" i="2" s="1"/>
  <c r="F863" i="2" a="1"/>
  <c r="F863" i="2" s="1"/>
  <c r="C864" i="2" a="1"/>
  <c r="C864" i="2" s="1"/>
  <c r="D864" i="2" a="1"/>
  <c r="D864" i="2" s="1"/>
  <c r="E864" i="2" a="1"/>
  <c r="E864" i="2" s="1"/>
  <c r="F864" i="2" a="1"/>
  <c r="F864" i="2" s="1"/>
  <c r="C865" i="2" a="1"/>
  <c r="C865" i="2"/>
  <c r="D865" i="2" a="1"/>
  <c r="D865" i="2" s="1"/>
  <c r="E865" i="2" a="1"/>
  <c r="E865" i="2" s="1"/>
  <c r="F865" i="2" a="1"/>
  <c r="F865" i="2" s="1"/>
  <c r="C866" i="2" a="1"/>
  <c r="C866" i="2" s="1"/>
  <c r="D866" i="2" a="1"/>
  <c r="D866" i="2" s="1"/>
  <c r="E866" i="2" a="1"/>
  <c r="E866" i="2" s="1"/>
  <c r="F866" i="2" a="1"/>
  <c r="F866" i="2" s="1"/>
  <c r="C867" i="2" a="1"/>
  <c r="C867" i="2" s="1"/>
  <c r="D867" i="2" a="1"/>
  <c r="D867" i="2" s="1"/>
  <c r="E867" i="2" a="1"/>
  <c r="E867" i="2" s="1"/>
  <c r="F867" i="2" a="1"/>
  <c r="F867" i="2" s="1"/>
  <c r="C868" i="2" a="1"/>
  <c r="C868" i="2" s="1"/>
  <c r="D868" i="2" a="1"/>
  <c r="D868" i="2" s="1"/>
  <c r="E868" i="2" a="1"/>
  <c r="E868" i="2" s="1"/>
  <c r="F868" i="2" a="1"/>
  <c r="F868" i="2" s="1"/>
  <c r="C869" i="2" a="1"/>
  <c r="C869" i="2" s="1"/>
  <c r="D869" i="2" a="1"/>
  <c r="D869" i="2" s="1"/>
  <c r="E869" i="2" a="1"/>
  <c r="E869" i="2" s="1"/>
  <c r="F869" i="2" a="1"/>
  <c r="F869" i="2" s="1"/>
  <c r="C870" i="2" a="1"/>
  <c r="C870" i="2" s="1"/>
  <c r="D870" i="2" a="1"/>
  <c r="D870" i="2" s="1"/>
  <c r="E870" i="2" a="1"/>
  <c r="E870" i="2" s="1"/>
  <c r="F870" i="2" a="1"/>
  <c r="F870" i="2" s="1"/>
  <c r="C871" i="2" a="1"/>
  <c r="C871" i="2"/>
  <c r="D871" i="2" a="1"/>
  <c r="D871" i="2" s="1"/>
  <c r="E871" i="2" a="1"/>
  <c r="E871" i="2" s="1"/>
  <c r="F871" i="2" a="1"/>
  <c r="F871" i="2" s="1"/>
  <c r="C872" i="2" a="1"/>
  <c r="C872" i="2" s="1"/>
  <c r="D872" i="2" a="1"/>
  <c r="D872" i="2" s="1"/>
  <c r="E872" i="2" a="1"/>
  <c r="E872" i="2" s="1"/>
  <c r="F872" i="2" a="1"/>
  <c r="F872" i="2" s="1"/>
  <c r="C873" i="2" a="1"/>
  <c r="C873" i="2" s="1"/>
  <c r="D873" i="2" a="1"/>
  <c r="D873" i="2" s="1"/>
  <c r="E873" i="2" a="1"/>
  <c r="E873" i="2" s="1"/>
  <c r="F873" i="2" a="1"/>
  <c r="F873" i="2"/>
  <c r="C874" i="2" a="1"/>
  <c r="C874" i="2" s="1"/>
  <c r="D874" i="2" a="1"/>
  <c r="D874" i="2" s="1"/>
  <c r="E874" i="2" a="1"/>
  <c r="E874" i="2" s="1"/>
  <c r="F874" i="2" a="1"/>
  <c r="F874" i="2" s="1"/>
  <c r="C875" i="2" a="1"/>
  <c r="C875" i="2" s="1"/>
  <c r="D875" i="2" a="1"/>
  <c r="D875" i="2" s="1"/>
  <c r="E875" i="2" a="1"/>
  <c r="E875" i="2" s="1"/>
  <c r="F875" i="2" a="1"/>
  <c r="F875" i="2" s="1"/>
  <c r="C876" i="2" a="1"/>
  <c r="C876" i="2" s="1"/>
  <c r="D876" i="2" a="1"/>
  <c r="D876" i="2" s="1"/>
  <c r="E876" i="2" a="1"/>
  <c r="E876" i="2" s="1"/>
  <c r="F876" i="2" a="1"/>
  <c r="F876" i="2" s="1"/>
  <c r="C877" i="2" a="1"/>
  <c r="C877" i="2" s="1"/>
  <c r="D877" i="2" a="1"/>
  <c r="D877" i="2" s="1"/>
  <c r="E877" i="2" a="1"/>
  <c r="E877" i="2" s="1"/>
  <c r="F877" i="2" a="1"/>
  <c r="F877" i="2" s="1"/>
  <c r="C878" i="2" a="1"/>
  <c r="C878" i="2" s="1"/>
  <c r="D878" i="2" a="1"/>
  <c r="D878" i="2" s="1"/>
  <c r="E878" i="2" a="1"/>
  <c r="E878" i="2" s="1"/>
  <c r="F878" i="2" a="1"/>
  <c r="F878" i="2" s="1"/>
  <c r="C879" i="2" a="1"/>
  <c r="C879" i="2" s="1"/>
  <c r="D879" i="2" a="1"/>
  <c r="D879" i="2" s="1"/>
  <c r="E879" i="2" a="1"/>
  <c r="E879" i="2" s="1"/>
  <c r="F879" i="2" a="1"/>
  <c r="F879" i="2" s="1"/>
  <c r="C880" i="2" a="1"/>
  <c r="C880" i="2" s="1"/>
  <c r="D880" i="2" a="1"/>
  <c r="D880" i="2" s="1"/>
  <c r="E880" i="2" a="1"/>
  <c r="E880" i="2" s="1"/>
  <c r="F880" i="2" a="1"/>
  <c r="F880" i="2" s="1"/>
  <c r="C881" i="2" a="1"/>
  <c r="C881" i="2" s="1"/>
  <c r="D881" i="2" a="1"/>
  <c r="D881" i="2"/>
  <c r="E881" i="2" a="1"/>
  <c r="E881" i="2" s="1"/>
  <c r="F881" i="2" a="1"/>
  <c r="F881" i="2" s="1"/>
  <c r="C882" i="2" a="1"/>
  <c r="C882" i="2"/>
  <c r="D882" i="2" a="1"/>
  <c r="D882" i="2" s="1"/>
  <c r="E882" i="2" a="1"/>
  <c r="E882" i="2" s="1"/>
  <c r="F882" i="2" a="1"/>
  <c r="F882" i="2" s="1"/>
  <c r="C883" i="2" a="1"/>
  <c r="C883" i="2" s="1"/>
  <c r="D883" i="2" a="1"/>
  <c r="D883" i="2" s="1"/>
  <c r="E883" i="2" a="1"/>
  <c r="E883" i="2" s="1"/>
  <c r="F883" i="2" a="1"/>
  <c r="F883" i="2" s="1"/>
  <c r="C884" i="2" a="1"/>
  <c r="C884" i="2" s="1"/>
  <c r="D884" i="2" a="1"/>
  <c r="D884" i="2" s="1"/>
  <c r="E884" i="2" a="1"/>
  <c r="E884" i="2" s="1"/>
  <c r="F884" i="2" a="1"/>
  <c r="F884" i="2" s="1"/>
  <c r="C885" i="2" a="1"/>
  <c r="C885" i="2" s="1"/>
  <c r="D885" i="2" a="1"/>
  <c r="D885" i="2" s="1"/>
  <c r="E885" i="2" a="1"/>
  <c r="E885" i="2"/>
  <c r="F885" i="2" a="1"/>
  <c r="F885" i="2" s="1"/>
  <c r="C886" i="2" a="1"/>
  <c r="C886" i="2" s="1"/>
  <c r="D886" i="2" a="1"/>
  <c r="D886" i="2" s="1"/>
  <c r="E886" i="2" a="1"/>
  <c r="E886" i="2"/>
  <c r="F886" i="2" a="1"/>
  <c r="F886" i="2" s="1"/>
  <c r="C887" i="2" a="1"/>
  <c r="C887" i="2" s="1"/>
  <c r="D887" i="2" a="1"/>
  <c r="D887" i="2" s="1"/>
  <c r="E887" i="2" a="1"/>
  <c r="E887" i="2" s="1"/>
  <c r="F887" i="2" a="1"/>
  <c r="F887" i="2" s="1"/>
  <c r="C888" i="2" a="1"/>
  <c r="C888" i="2" s="1"/>
  <c r="D888" i="2" a="1"/>
  <c r="D888" i="2" s="1"/>
  <c r="E888" i="2" a="1"/>
  <c r="E888" i="2" s="1"/>
  <c r="F888" i="2" a="1"/>
  <c r="F888" i="2" s="1"/>
  <c r="C889" i="2" a="1"/>
  <c r="C889" i="2" s="1"/>
  <c r="D889" i="2" a="1"/>
  <c r="D889" i="2" s="1"/>
  <c r="E889" i="2" a="1"/>
  <c r="E889" i="2" s="1"/>
  <c r="F889" i="2" a="1"/>
  <c r="F889" i="2" s="1"/>
  <c r="C890" i="2" a="1"/>
  <c r="C890" i="2" s="1"/>
  <c r="D890" i="2" a="1"/>
  <c r="D890" i="2" s="1"/>
  <c r="E890" i="2" a="1"/>
  <c r="E890" i="2" s="1"/>
  <c r="F890" i="2" a="1"/>
  <c r="F890" i="2" s="1"/>
  <c r="C891" i="2" a="1"/>
  <c r="C891" i="2" s="1"/>
  <c r="D891" i="2" a="1"/>
  <c r="D891" i="2" s="1"/>
  <c r="E891" i="2" a="1"/>
  <c r="E891" i="2"/>
  <c r="F891" i="2" a="1"/>
  <c r="F891" i="2" s="1"/>
  <c r="C892" i="2" a="1"/>
  <c r="C892" i="2" s="1"/>
  <c r="D892" i="2" a="1"/>
  <c r="D892" i="2" s="1"/>
  <c r="E892" i="2" a="1"/>
  <c r="E892" i="2" s="1"/>
  <c r="F892" i="2" a="1"/>
  <c r="F892" i="2" s="1"/>
  <c r="C893" i="2" a="1"/>
  <c r="C893" i="2" s="1"/>
  <c r="D893" i="2" a="1"/>
  <c r="D893" i="2"/>
  <c r="E893" i="2" a="1"/>
  <c r="E893" i="2"/>
  <c r="F893" i="2" a="1"/>
  <c r="F893" i="2" s="1"/>
  <c r="C894" i="2" a="1"/>
  <c r="C894" i="2" s="1"/>
  <c r="D894" i="2" a="1"/>
  <c r="D894" i="2" s="1"/>
  <c r="E894" i="2" a="1"/>
  <c r="E894" i="2"/>
  <c r="F894" i="2" a="1"/>
  <c r="F894" i="2" s="1"/>
  <c r="C895" i="2" a="1"/>
  <c r="C895" i="2" s="1"/>
  <c r="D895" i="2" a="1"/>
  <c r="D895" i="2"/>
  <c r="E895" i="2" a="1"/>
  <c r="E895" i="2" s="1"/>
  <c r="F895" i="2" a="1"/>
  <c r="F895" i="2" s="1"/>
  <c r="C896" i="2" a="1"/>
  <c r="C896" i="2" s="1"/>
  <c r="D896" i="2" a="1"/>
  <c r="D896" i="2" s="1"/>
  <c r="E896" i="2" a="1"/>
  <c r="E896" i="2" s="1"/>
  <c r="F896" i="2" a="1"/>
  <c r="F896" i="2" s="1"/>
  <c r="C897" i="2" a="1"/>
  <c r="C897" i="2" s="1"/>
  <c r="D897" i="2" a="1"/>
  <c r="D897" i="2" s="1"/>
  <c r="E897" i="2" a="1"/>
  <c r="E897" i="2" s="1"/>
  <c r="F897" i="2" a="1"/>
  <c r="F897" i="2" s="1"/>
  <c r="C898" i="2" a="1"/>
  <c r="C898" i="2" s="1"/>
  <c r="D898" i="2" a="1"/>
  <c r="D898" i="2" s="1"/>
  <c r="E898" i="2" a="1"/>
  <c r="E898" i="2" s="1"/>
  <c r="F898" i="2" a="1"/>
  <c r="F898" i="2" s="1"/>
  <c r="C899" i="2" a="1"/>
  <c r="C899" i="2" s="1"/>
  <c r="D899" i="2" a="1"/>
  <c r="D899" i="2" s="1"/>
  <c r="E899" i="2" a="1"/>
  <c r="E899" i="2" s="1"/>
  <c r="F899" i="2" a="1"/>
  <c r="F899" i="2" s="1"/>
  <c r="C900" i="2" a="1"/>
  <c r="C900" i="2" s="1"/>
  <c r="D900" i="2" a="1"/>
  <c r="D900" i="2" s="1"/>
  <c r="E900" i="2" a="1"/>
  <c r="E900" i="2" s="1"/>
  <c r="F900" i="2" a="1"/>
  <c r="F900" i="2" s="1"/>
  <c r="C901" i="2" a="1"/>
  <c r="C901" i="2" s="1"/>
  <c r="D901" i="2" a="1"/>
  <c r="D901" i="2"/>
  <c r="E901" i="2" a="1"/>
  <c r="E901" i="2" s="1"/>
  <c r="F901" i="2" a="1"/>
  <c r="F901" i="2" s="1"/>
  <c r="C902" i="2" a="1"/>
  <c r="C902" i="2" s="1"/>
  <c r="D902" i="2" a="1"/>
  <c r="D902" i="2" s="1"/>
  <c r="E902" i="2" a="1"/>
  <c r="E902" i="2" s="1"/>
  <c r="F902" i="2" a="1"/>
  <c r="F902" i="2" s="1"/>
  <c r="C903" i="2" a="1"/>
  <c r="C903" i="2"/>
  <c r="D903" i="2" a="1"/>
  <c r="D903" i="2" s="1"/>
  <c r="E903" i="2" a="1"/>
  <c r="E903" i="2"/>
  <c r="F903" i="2" a="1"/>
  <c r="F903" i="2" s="1"/>
  <c r="C904" i="2" a="1"/>
  <c r="C904" i="2" s="1"/>
  <c r="D904" i="2" a="1"/>
  <c r="D904" i="2" s="1"/>
  <c r="E904" i="2" a="1"/>
  <c r="E904" i="2" s="1"/>
  <c r="F904" i="2" a="1"/>
  <c r="F904" i="2" s="1"/>
  <c r="C905" i="2" a="1"/>
  <c r="C905" i="2"/>
  <c r="D905" i="2" a="1"/>
  <c r="D905" i="2" s="1"/>
  <c r="E905" i="2" a="1"/>
  <c r="E905" i="2" s="1"/>
  <c r="F905" i="2" a="1"/>
  <c r="F905" i="2" s="1"/>
  <c r="C906" i="2" a="1"/>
  <c r="C906" i="2" s="1"/>
  <c r="D906" i="2" a="1"/>
  <c r="D906" i="2" s="1"/>
  <c r="E906" i="2" a="1"/>
  <c r="E906" i="2" s="1"/>
  <c r="F906" i="2" a="1"/>
  <c r="F906" i="2" s="1"/>
  <c r="C907" i="2" a="1"/>
  <c r="C907" i="2" s="1"/>
  <c r="D907" i="2" a="1"/>
  <c r="D907" i="2" s="1"/>
  <c r="E907" i="2" a="1"/>
  <c r="E907" i="2" s="1"/>
  <c r="F907" i="2" a="1"/>
  <c r="F907" i="2" s="1"/>
  <c r="C908" i="2" a="1"/>
  <c r="C908" i="2" s="1"/>
  <c r="D908" i="2" a="1"/>
  <c r="D908" i="2" s="1"/>
  <c r="E908" i="2" a="1"/>
  <c r="E908" i="2" s="1"/>
  <c r="F908" i="2" a="1"/>
  <c r="F908" i="2" s="1"/>
  <c r="C909" i="2" a="1"/>
  <c r="C909" i="2" s="1"/>
  <c r="D909" i="2" a="1"/>
  <c r="D909" i="2" s="1"/>
  <c r="E909" i="2" a="1"/>
  <c r="E909" i="2" s="1"/>
  <c r="F909" i="2" a="1"/>
  <c r="F909" i="2" s="1"/>
  <c r="C910" i="2" a="1"/>
  <c r="C910" i="2" s="1"/>
  <c r="D910" i="2" a="1"/>
  <c r="D910" i="2" s="1"/>
  <c r="E910" i="2" a="1"/>
  <c r="E910" i="2" s="1"/>
  <c r="F910" i="2" a="1"/>
  <c r="F910" i="2" s="1"/>
  <c r="C911" i="2" a="1"/>
  <c r="C911" i="2" s="1"/>
  <c r="D911" i="2" a="1"/>
  <c r="D911" i="2" s="1"/>
  <c r="E911" i="2" a="1"/>
  <c r="E911" i="2" s="1"/>
  <c r="F911" i="2" a="1"/>
  <c r="F911" i="2" s="1"/>
  <c r="C912" i="2" a="1"/>
  <c r="C912" i="2" s="1"/>
  <c r="D912" i="2" a="1"/>
  <c r="D912" i="2" s="1"/>
  <c r="E912" i="2" a="1"/>
  <c r="E912" i="2" s="1"/>
  <c r="F912" i="2" a="1"/>
  <c r="F912" i="2" s="1"/>
  <c r="C913" i="2" a="1"/>
  <c r="C913" i="2" s="1"/>
  <c r="D913" i="2" a="1"/>
  <c r="D913" i="2" s="1"/>
  <c r="E913" i="2" a="1"/>
  <c r="E913" i="2" s="1"/>
  <c r="F913" i="2" a="1"/>
  <c r="F913" i="2" s="1"/>
  <c r="C914" i="2" a="1"/>
  <c r="C914" i="2" s="1"/>
  <c r="D914" i="2" a="1"/>
  <c r="D914" i="2" s="1"/>
  <c r="E914" i="2" a="1"/>
  <c r="E914" i="2" s="1"/>
  <c r="F914" i="2" a="1"/>
  <c r="F914" i="2" s="1"/>
  <c r="C915" i="2" a="1"/>
  <c r="C915" i="2" s="1"/>
  <c r="D915" i="2" a="1"/>
  <c r="D915" i="2" s="1"/>
  <c r="E915" i="2" a="1"/>
  <c r="E915" i="2" s="1"/>
  <c r="F915" i="2" a="1"/>
  <c r="F915" i="2" s="1"/>
  <c r="C916" i="2" a="1"/>
  <c r="C916" i="2" s="1"/>
  <c r="D916" i="2" a="1"/>
  <c r="D916" i="2"/>
  <c r="E916" i="2" a="1"/>
  <c r="E916" i="2" s="1"/>
  <c r="F916" i="2" a="1"/>
  <c r="F916" i="2" s="1"/>
  <c r="C917" i="2" a="1"/>
  <c r="C917" i="2"/>
  <c r="D917" i="2" a="1"/>
  <c r="D917" i="2" s="1"/>
  <c r="E917" i="2" a="1"/>
  <c r="E917" i="2" s="1"/>
  <c r="F917" i="2" a="1"/>
  <c r="F917" i="2" s="1"/>
  <c r="C918" i="2" a="1"/>
  <c r="C918" i="2" s="1"/>
  <c r="D918" i="2" a="1"/>
  <c r="D918" i="2" s="1"/>
  <c r="E918" i="2" a="1"/>
  <c r="E918" i="2" s="1"/>
  <c r="F918" i="2" a="1"/>
  <c r="F918" i="2" s="1"/>
  <c r="C919" i="2" a="1"/>
  <c r="C919" i="2" s="1"/>
  <c r="D919" i="2" a="1"/>
  <c r="D919" i="2"/>
  <c r="E919" i="2" a="1"/>
  <c r="E919" i="2" s="1"/>
  <c r="F919" i="2" a="1"/>
  <c r="F919" i="2" s="1"/>
  <c r="C920" i="2" a="1"/>
  <c r="C920" i="2" s="1"/>
  <c r="D920" i="2" a="1"/>
  <c r="D920" i="2" s="1"/>
  <c r="E920" i="2" a="1"/>
  <c r="E920" i="2" s="1"/>
  <c r="F920" i="2" a="1"/>
  <c r="F920" i="2" s="1"/>
  <c r="C921" i="2" a="1"/>
  <c r="C921" i="2" s="1"/>
  <c r="D921" i="2" a="1"/>
  <c r="D921" i="2" s="1"/>
  <c r="E921" i="2" a="1"/>
  <c r="E921" i="2" s="1"/>
  <c r="F921" i="2" a="1"/>
  <c r="F921" i="2" s="1"/>
  <c r="C922" i="2" a="1"/>
  <c r="C922" i="2" s="1"/>
  <c r="D922" i="2" a="1"/>
  <c r="D922" i="2" s="1"/>
  <c r="E922" i="2" a="1"/>
  <c r="E922" i="2" s="1"/>
  <c r="F922" i="2" a="1"/>
  <c r="F922" i="2" s="1"/>
  <c r="C923" i="2" a="1"/>
  <c r="C923" i="2" s="1"/>
  <c r="D923" i="2" a="1"/>
  <c r="D923" i="2" s="1"/>
  <c r="E923" i="2" a="1"/>
  <c r="E923" i="2" s="1"/>
  <c r="F923" i="2" a="1"/>
  <c r="F923" i="2" s="1"/>
  <c r="C924" i="2" a="1"/>
  <c r="C924" i="2" s="1"/>
  <c r="D924" i="2" a="1"/>
  <c r="D924" i="2" s="1"/>
  <c r="E924" i="2" a="1"/>
  <c r="E924" i="2" s="1"/>
  <c r="F924" i="2" a="1"/>
  <c r="F924" i="2" s="1"/>
  <c r="C925" i="2" a="1"/>
  <c r="C925" i="2" s="1"/>
  <c r="D925" i="2" a="1"/>
  <c r="D925" i="2" s="1"/>
  <c r="E925" i="2" a="1"/>
  <c r="E925" i="2" s="1"/>
  <c r="F925" i="2" a="1"/>
  <c r="F925" i="2" s="1"/>
  <c r="C926" i="2" a="1"/>
  <c r="C926" i="2" s="1"/>
  <c r="D926" i="2" a="1"/>
  <c r="D926" i="2"/>
  <c r="E926" i="2" a="1"/>
  <c r="E926" i="2" s="1"/>
  <c r="F926" i="2" a="1"/>
  <c r="F926" i="2" s="1"/>
  <c r="C927" i="2" a="1"/>
  <c r="C927" i="2" s="1"/>
  <c r="D927" i="2" a="1"/>
  <c r="D927" i="2" s="1"/>
  <c r="E927" i="2" a="1"/>
  <c r="E927" i="2" s="1"/>
  <c r="F927" i="2" a="1"/>
  <c r="F927" i="2" s="1"/>
  <c r="C928" i="2" a="1"/>
  <c r="C928" i="2" s="1"/>
  <c r="D928" i="2" a="1"/>
  <c r="D928" i="2" s="1"/>
  <c r="E928" i="2" a="1"/>
  <c r="E928" i="2" s="1"/>
  <c r="F928" i="2" a="1"/>
  <c r="F928" i="2" s="1"/>
  <c r="C929" i="2" a="1"/>
  <c r="C929" i="2" s="1"/>
  <c r="D929" i="2" a="1"/>
  <c r="D929" i="2" s="1"/>
  <c r="E929" i="2" a="1"/>
  <c r="E929" i="2" s="1"/>
  <c r="F929" i="2" a="1"/>
  <c r="F929" i="2" s="1"/>
  <c r="C930" i="2" a="1"/>
  <c r="C930" i="2" s="1"/>
  <c r="D930" i="2" a="1"/>
  <c r="D930" i="2" s="1"/>
  <c r="E930" i="2" a="1"/>
  <c r="E930" i="2"/>
  <c r="F930" i="2" a="1"/>
  <c r="F930" i="2" s="1"/>
  <c r="C931" i="2" a="1"/>
  <c r="C931" i="2" s="1"/>
  <c r="D931" i="2" a="1"/>
  <c r="D931" i="2" s="1"/>
  <c r="E931" i="2" a="1"/>
  <c r="E931" i="2" s="1"/>
  <c r="F931" i="2" a="1"/>
  <c r="F931" i="2" s="1"/>
  <c r="C932" i="2" a="1"/>
  <c r="C932" i="2" s="1"/>
  <c r="D932" i="2" a="1"/>
  <c r="D932" i="2" s="1"/>
  <c r="E932" i="2" a="1"/>
  <c r="E932" i="2" s="1"/>
  <c r="F932" i="2" a="1"/>
  <c r="F932" i="2" s="1"/>
  <c r="C933" i="2" a="1"/>
  <c r="C933" i="2" s="1"/>
  <c r="D933" i="2" a="1"/>
  <c r="D933" i="2" s="1"/>
  <c r="E933" i="2" a="1"/>
  <c r="E933" i="2" s="1"/>
  <c r="F933" i="2" a="1"/>
  <c r="F933" i="2" s="1"/>
  <c r="C934" i="2" a="1"/>
  <c r="C934" i="2"/>
  <c r="D934" i="2" a="1"/>
  <c r="D934" i="2" s="1"/>
  <c r="E934" i="2" a="1"/>
  <c r="E934" i="2" s="1"/>
  <c r="F934" i="2" a="1"/>
  <c r="F934" i="2" s="1"/>
  <c r="C935" i="2" a="1"/>
  <c r="C935" i="2" s="1"/>
  <c r="D935" i="2" a="1"/>
  <c r="D935" i="2" s="1"/>
  <c r="E935" i="2" a="1"/>
  <c r="E935" i="2" s="1"/>
  <c r="F935" i="2" a="1"/>
  <c r="F935" i="2" s="1"/>
  <c r="C936" i="2" a="1"/>
  <c r="C936" i="2" s="1"/>
  <c r="D936" i="2" a="1"/>
  <c r="D936" i="2" s="1"/>
  <c r="E936" i="2" a="1"/>
  <c r="E936" i="2" s="1"/>
  <c r="F936" i="2" a="1"/>
  <c r="F936" i="2" s="1"/>
  <c r="C937" i="2" a="1"/>
  <c r="C937" i="2" s="1"/>
  <c r="D937" i="2" a="1"/>
  <c r="D937" i="2" s="1"/>
  <c r="E937" i="2" a="1"/>
  <c r="E937" i="2" s="1"/>
  <c r="F937" i="2" a="1"/>
  <c r="F937" i="2" s="1"/>
  <c r="C938" i="2" a="1"/>
  <c r="C938" i="2" s="1"/>
  <c r="D938" i="2" a="1"/>
  <c r="D938" i="2" s="1"/>
  <c r="E938" i="2" a="1"/>
  <c r="E938" i="2" s="1"/>
  <c r="F938" i="2" a="1"/>
  <c r="F938" i="2" s="1"/>
  <c r="C939" i="2" a="1"/>
  <c r="C939" i="2" s="1"/>
  <c r="D939" i="2" a="1"/>
  <c r="D939" i="2" s="1"/>
  <c r="E939" i="2" a="1"/>
  <c r="E939" i="2" s="1"/>
  <c r="F939" i="2" a="1"/>
  <c r="F939" i="2" s="1"/>
  <c r="C940" i="2" a="1"/>
  <c r="C940" i="2" s="1"/>
  <c r="D940" i="2" a="1"/>
  <c r="D940" i="2" s="1"/>
  <c r="E940" i="2" a="1"/>
  <c r="E940" i="2" s="1"/>
  <c r="F940" i="2" a="1"/>
  <c r="F940" i="2" s="1"/>
  <c r="C941" i="2" a="1"/>
  <c r="C941" i="2" s="1"/>
  <c r="D941" i="2" a="1"/>
  <c r="D941" i="2" s="1"/>
  <c r="E941" i="2" a="1"/>
  <c r="E941" i="2" s="1"/>
  <c r="F941" i="2" a="1"/>
  <c r="F941" i="2" s="1"/>
  <c r="C942" i="2" a="1"/>
  <c r="C942" i="2" s="1"/>
  <c r="D942" i="2" a="1"/>
  <c r="D942" i="2" s="1"/>
  <c r="E942" i="2" a="1"/>
  <c r="E942" i="2" s="1"/>
  <c r="F942" i="2" a="1"/>
  <c r="F942" i="2" s="1"/>
  <c r="C943" i="2" a="1"/>
  <c r="C943" i="2" s="1"/>
  <c r="D943" i="2" a="1"/>
  <c r="D943" i="2" s="1"/>
  <c r="E943" i="2" a="1"/>
  <c r="E943" i="2"/>
  <c r="F943" i="2" a="1"/>
  <c r="F943" i="2" s="1"/>
  <c r="C944" i="2" a="1"/>
  <c r="C944" i="2" s="1"/>
  <c r="D944" i="2" a="1"/>
  <c r="D944" i="2" s="1"/>
  <c r="E944" i="2" a="1"/>
  <c r="E944" i="2" s="1"/>
  <c r="F944" i="2" a="1"/>
  <c r="F944" i="2" s="1"/>
  <c r="C945" i="2" a="1"/>
  <c r="C945" i="2" s="1"/>
  <c r="D945" i="2" a="1"/>
  <c r="D945" i="2" s="1"/>
  <c r="E945" i="2" a="1"/>
  <c r="E945" i="2" s="1"/>
  <c r="F945" i="2" a="1"/>
  <c r="F945" i="2" s="1"/>
  <c r="C946" i="2" a="1"/>
  <c r="C946" i="2" s="1"/>
  <c r="D946" i="2" a="1"/>
  <c r="D946" i="2" s="1"/>
  <c r="E946" i="2" a="1"/>
  <c r="E946" i="2" s="1"/>
  <c r="F946" i="2" a="1"/>
  <c r="F946" i="2" s="1"/>
  <c r="C947" i="2" a="1"/>
  <c r="C947" i="2" s="1"/>
  <c r="D947" i="2" a="1"/>
  <c r="D947" i="2" s="1"/>
  <c r="E947" i="2" a="1"/>
  <c r="E947" i="2" s="1"/>
  <c r="F947" i="2" a="1"/>
  <c r="F947" i="2" s="1"/>
  <c r="C948" i="2" a="1"/>
  <c r="C948" i="2"/>
  <c r="D948" i="2" a="1"/>
  <c r="D948" i="2" s="1"/>
  <c r="E948" i="2" a="1"/>
  <c r="E948" i="2" s="1"/>
  <c r="F948" i="2" a="1"/>
  <c r="F948" i="2" s="1"/>
  <c r="C949" i="2" a="1"/>
  <c r="C949" i="2" s="1"/>
  <c r="D949" i="2" a="1"/>
  <c r="D949" i="2" s="1"/>
  <c r="E949" i="2" a="1"/>
  <c r="E949" i="2" s="1"/>
  <c r="F949" i="2" a="1"/>
  <c r="F949" i="2" s="1"/>
  <c r="C950" i="2" a="1"/>
  <c r="C950" i="2"/>
  <c r="D950" i="2" a="1"/>
  <c r="D950" i="2" s="1"/>
  <c r="E950" i="2" a="1"/>
  <c r="E950" i="2" s="1"/>
  <c r="F950" i="2" a="1"/>
  <c r="F950" i="2" s="1"/>
  <c r="C951" i="2" a="1"/>
  <c r="C951" i="2" s="1"/>
  <c r="D951" i="2" a="1"/>
  <c r="D951" i="2" s="1"/>
  <c r="E951" i="2" a="1"/>
  <c r="E951" i="2" s="1"/>
  <c r="F951" i="2" a="1"/>
  <c r="F951" i="2" s="1"/>
  <c r="C952" i="2" a="1"/>
  <c r="C952" i="2" s="1"/>
  <c r="D952" i="2" a="1"/>
  <c r="D952" i="2" s="1"/>
  <c r="E952" i="2" a="1"/>
  <c r="E952" i="2" s="1"/>
  <c r="F952" i="2" a="1"/>
  <c r="F952" i="2" s="1"/>
  <c r="C953" i="2" a="1"/>
  <c r="C953" i="2" s="1"/>
  <c r="D953" i="2" a="1"/>
  <c r="D953" i="2" s="1"/>
  <c r="E953" i="2" a="1"/>
  <c r="E953" i="2" s="1"/>
  <c r="F953" i="2" a="1"/>
  <c r="F953" i="2" s="1"/>
  <c r="C954" i="2" a="1"/>
  <c r="C954" i="2" s="1"/>
  <c r="D954" i="2" a="1"/>
  <c r="D954" i="2" s="1"/>
  <c r="E954" i="2" a="1"/>
  <c r="E954" i="2" s="1"/>
  <c r="F954" i="2" a="1"/>
  <c r="F954" i="2" s="1"/>
  <c r="C955" i="2" a="1"/>
  <c r="C955" i="2" s="1"/>
  <c r="D955" i="2" a="1"/>
  <c r="D955" i="2" s="1"/>
  <c r="E955" i="2" a="1"/>
  <c r="E955" i="2" s="1"/>
  <c r="F955" i="2" a="1"/>
  <c r="F955" i="2" s="1"/>
  <c r="C956" i="2" a="1"/>
  <c r="C956" i="2" s="1"/>
  <c r="D956" i="2" a="1"/>
  <c r="D956" i="2" s="1"/>
  <c r="E956" i="2" a="1"/>
  <c r="E956" i="2" s="1"/>
  <c r="F956" i="2" a="1"/>
  <c r="F956" i="2" s="1"/>
  <c r="C957" i="2" a="1"/>
  <c r="C957" i="2" s="1"/>
  <c r="D957" i="2" a="1"/>
  <c r="D957" i="2" s="1"/>
  <c r="E957" i="2" a="1"/>
  <c r="E957" i="2" s="1"/>
  <c r="F957" i="2" a="1"/>
  <c r="F957" i="2" s="1"/>
  <c r="C958" i="2" a="1"/>
  <c r="C958" i="2" s="1"/>
  <c r="D958" i="2" a="1"/>
  <c r="D958" i="2" s="1"/>
  <c r="E958" i="2" a="1"/>
  <c r="E958" i="2" s="1"/>
  <c r="F958" i="2" a="1"/>
  <c r="F958" i="2" s="1"/>
  <c r="C959" i="2" a="1"/>
  <c r="C959" i="2" s="1"/>
  <c r="D959" i="2" a="1"/>
  <c r="D959" i="2" s="1"/>
  <c r="E959" i="2" a="1"/>
  <c r="E959" i="2" s="1"/>
  <c r="F959" i="2" a="1"/>
  <c r="F959" i="2" s="1"/>
  <c r="C960" i="2" a="1"/>
  <c r="C960" i="2" s="1"/>
  <c r="D960" i="2" a="1"/>
  <c r="D960" i="2" s="1"/>
  <c r="E960" i="2" a="1"/>
  <c r="E960" i="2" s="1"/>
  <c r="F960" i="2" a="1"/>
  <c r="F960" i="2" s="1"/>
  <c r="C961" i="2" a="1"/>
  <c r="C961" i="2"/>
  <c r="D961" i="2" a="1"/>
  <c r="D961" i="2" s="1"/>
  <c r="E961" i="2" a="1"/>
  <c r="E961" i="2" s="1"/>
  <c r="F961" i="2" a="1"/>
  <c r="F961" i="2" s="1"/>
  <c r="C962" i="2" a="1"/>
  <c r="C962" i="2" s="1"/>
  <c r="D962" i="2" a="1"/>
  <c r="D962" i="2" s="1"/>
  <c r="E962" i="2" a="1"/>
  <c r="E962" i="2" s="1"/>
  <c r="F962" i="2" a="1"/>
  <c r="F962" i="2" s="1"/>
  <c r="C963" i="2" a="1"/>
  <c r="C963" i="2" s="1"/>
  <c r="D963" i="2" a="1"/>
  <c r="D963" i="2" s="1"/>
  <c r="E963" i="2" a="1"/>
  <c r="E963" i="2" s="1"/>
  <c r="F963" i="2" a="1"/>
  <c r="F963" i="2" s="1"/>
  <c r="C964" i="2" a="1"/>
  <c r="C964" i="2" s="1"/>
  <c r="D964" i="2" a="1"/>
  <c r="D964" i="2" s="1"/>
  <c r="E964" i="2" a="1"/>
  <c r="E964" i="2"/>
  <c r="F964" i="2" a="1"/>
  <c r="F964" i="2" s="1"/>
  <c r="C965" i="2" a="1"/>
  <c r="C965" i="2" s="1"/>
  <c r="D965" i="2" a="1"/>
  <c r="D965" i="2" s="1"/>
  <c r="E965" i="2" a="1"/>
  <c r="E965" i="2" s="1"/>
  <c r="F965" i="2" a="1"/>
  <c r="F965" i="2" s="1"/>
  <c r="C966" i="2" a="1"/>
  <c r="C966" i="2" s="1"/>
  <c r="D966" i="2" a="1"/>
  <c r="D966" i="2" s="1"/>
  <c r="E966" i="2" a="1"/>
  <c r="E966" i="2" s="1"/>
  <c r="F966" i="2" a="1"/>
  <c r="F966" i="2" s="1"/>
  <c r="C967" i="2" a="1"/>
  <c r="C967" i="2" s="1"/>
  <c r="D967" i="2" a="1"/>
  <c r="D967" i="2" s="1"/>
  <c r="E967" i="2" a="1"/>
  <c r="E967" i="2" s="1"/>
  <c r="F967" i="2" a="1"/>
  <c r="F967" i="2" s="1"/>
  <c r="C968" i="2" a="1"/>
  <c r="C968" i="2"/>
  <c r="D968" i="2" a="1"/>
  <c r="D968" i="2" s="1"/>
  <c r="E968" i="2" a="1"/>
  <c r="E968" i="2" s="1"/>
  <c r="F968" i="2" a="1"/>
  <c r="F968" i="2" s="1"/>
  <c r="C969" i="2" a="1"/>
  <c r="C969" i="2" s="1"/>
  <c r="D969" i="2" a="1"/>
  <c r="D969" i="2" s="1"/>
  <c r="E969" i="2" a="1"/>
  <c r="E969" i="2" s="1"/>
  <c r="F969" i="2" a="1"/>
  <c r="F969" i="2"/>
  <c r="C970" i="2" a="1"/>
  <c r="C970" i="2" s="1"/>
  <c r="D970" i="2" a="1"/>
  <c r="D970" i="2" s="1"/>
  <c r="E970" i="2" a="1"/>
  <c r="E970" i="2" s="1"/>
  <c r="F970" i="2" a="1"/>
  <c r="F970" i="2" s="1"/>
  <c r="C971" i="2" a="1"/>
  <c r="C971" i="2" s="1"/>
  <c r="D971" i="2" a="1"/>
  <c r="D971" i="2" s="1"/>
  <c r="E971" i="2" a="1"/>
  <c r="E971" i="2" s="1"/>
  <c r="F971" i="2" a="1"/>
  <c r="F971" i="2"/>
  <c r="C972" i="2" a="1"/>
  <c r="C972" i="2" s="1"/>
  <c r="D972" i="2" a="1"/>
  <c r="D972" i="2" s="1"/>
  <c r="E972" i="2" a="1"/>
  <c r="E972" i="2" s="1"/>
  <c r="F972" i="2" a="1"/>
  <c r="F972" i="2" s="1"/>
  <c r="C973" i="2" a="1"/>
  <c r="C973" i="2" s="1"/>
  <c r="D973" i="2" a="1"/>
  <c r="D973" i="2"/>
  <c r="E973" i="2" a="1"/>
  <c r="E973" i="2" s="1"/>
  <c r="F973" i="2" a="1"/>
  <c r="F973" i="2" s="1"/>
  <c r="C974" i="2" a="1"/>
  <c r="C974" i="2" s="1"/>
  <c r="D974" i="2" a="1"/>
  <c r="D974" i="2" s="1"/>
  <c r="E974" i="2" a="1"/>
  <c r="E974" i="2" s="1"/>
  <c r="F974" i="2" a="1"/>
  <c r="F974" i="2" s="1"/>
  <c r="C975" i="2" a="1"/>
  <c r="C975" i="2" s="1"/>
  <c r="D975" i="2" a="1"/>
  <c r="D975" i="2" s="1"/>
  <c r="E975" i="2" a="1"/>
  <c r="E975" i="2"/>
  <c r="F975" i="2" a="1"/>
  <c r="F975" i="2" s="1"/>
  <c r="C976" i="2" a="1"/>
  <c r="C976" i="2" s="1"/>
  <c r="D976" i="2" a="1"/>
  <c r="D976" i="2" s="1"/>
  <c r="E976" i="2" a="1"/>
  <c r="E976" i="2" s="1"/>
  <c r="F976" i="2" a="1"/>
  <c r="F976" i="2" s="1"/>
  <c r="C977" i="2" a="1"/>
  <c r="C977" i="2" s="1"/>
  <c r="D977" i="2" a="1"/>
  <c r="D977" i="2" s="1"/>
  <c r="E977" i="2" a="1"/>
  <c r="E977" i="2" s="1"/>
  <c r="F977" i="2" a="1"/>
  <c r="F977" i="2" s="1"/>
  <c r="C978" i="2" a="1"/>
  <c r="C978" i="2" s="1"/>
  <c r="D978" i="2" a="1"/>
  <c r="D978" i="2" s="1"/>
  <c r="E978" i="2" a="1"/>
  <c r="E978" i="2" s="1"/>
  <c r="F978" i="2" a="1"/>
  <c r="F978" i="2" s="1"/>
  <c r="C979" i="2" a="1"/>
  <c r="C979" i="2" s="1"/>
  <c r="D979" i="2" a="1"/>
  <c r="D979" i="2" s="1"/>
  <c r="E979" i="2" a="1"/>
  <c r="E979" i="2" s="1"/>
  <c r="F979" i="2" a="1"/>
  <c r="F979" i="2" s="1"/>
  <c r="C980" i="2" a="1"/>
  <c r="C980" i="2" s="1"/>
  <c r="D980" i="2" a="1"/>
  <c r="D980" i="2" s="1"/>
  <c r="E980" i="2" a="1"/>
  <c r="E980" i="2" s="1"/>
  <c r="F980" i="2" a="1"/>
  <c r="F980" i="2" s="1"/>
  <c r="C981" i="2" a="1"/>
  <c r="C981" i="2" s="1"/>
  <c r="D981" i="2" a="1"/>
  <c r="D981" i="2" s="1"/>
  <c r="E981" i="2" a="1"/>
  <c r="E981" i="2" s="1"/>
  <c r="F981" i="2" a="1"/>
  <c r="F981" i="2"/>
  <c r="C982" i="2" a="1"/>
  <c r="C982" i="2" s="1"/>
  <c r="D982" i="2" a="1"/>
  <c r="D982" i="2" s="1"/>
  <c r="E982" i="2" a="1"/>
  <c r="E982" i="2" s="1"/>
  <c r="F982" i="2" a="1"/>
  <c r="F982" i="2" s="1"/>
  <c r="C983" i="2" a="1"/>
  <c r="C983" i="2" s="1"/>
  <c r="D983" i="2" a="1"/>
  <c r="D983" i="2"/>
  <c r="E983" i="2" a="1"/>
  <c r="E983" i="2" s="1"/>
  <c r="F983" i="2" a="1"/>
  <c r="F983" i="2" s="1"/>
  <c r="C984" i="2" a="1"/>
  <c r="C984" i="2" s="1"/>
  <c r="D984" i="2" a="1"/>
  <c r="D984" i="2" s="1"/>
  <c r="E984" i="2" a="1"/>
  <c r="E984" i="2" s="1"/>
  <c r="F984" i="2" a="1"/>
  <c r="F984" i="2" s="1"/>
  <c r="C985" i="2" a="1"/>
  <c r="C985" i="2" s="1"/>
  <c r="D985" i="2" a="1"/>
  <c r="D985" i="2" s="1"/>
  <c r="E985" i="2" a="1"/>
  <c r="E985" i="2"/>
  <c r="F985" i="2" a="1"/>
  <c r="F985" i="2" s="1"/>
  <c r="C986" i="2" a="1"/>
  <c r="C986" i="2" s="1"/>
  <c r="D986" i="2" a="1"/>
  <c r="D986" i="2" s="1"/>
  <c r="E986" i="2" a="1"/>
  <c r="E986" i="2" s="1"/>
  <c r="F986" i="2" a="1"/>
  <c r="F986" i="2" s="1"/>
  <c r="C987" i="2" a="1"/>
  <c r="C987" i="2" s="1"/>
  <c r="D987" i="2" a="1"/>
  <c r="D987" i="2" s="1"/>
  <c r="E987" i="2" a="1"/>
  <c r="E987" i="2" s="1"/>
  <c r="F987" i="2" a="1"/>
  <c r="F987" i="2" s="1"/>
  <c r="C988" i="2" a="1"/>
  <c r="C988" i="2" s="1"/>
  <c r="D988" i="2" a="1"/>
  <c r="D988" i="2" s="1"/>
  <c r="E988" i="2" a="1"/>
  <c r="E988" i="2" s="1"/>
  <c r="F988" i="2" a="1"/>
  <c r="F988" i="2" s="1"/>
  <c r="C989" i="2" a="1"/>
  <c r="C989" i="2" s="1"/>
  <c r="D989" i="2" a="1"/>
  <c r="D989" i="2" s="1"/>
  <c r="E989" i="2" a="1"/>
  <c r="E989" i="2" s="1"/>
  <c r="F989" i="2" a="1"/>
  <c r="F989" i="2" s="1"/>
  <c r="C990" i="2" a="1"/>
  <c r="C990" i="2" s="1"/>
  <c r="D990" i="2" a="1"/>
  <c r="D990" i="2" s="1"/>
  <c r="E990" i="2" a="1"/>
  <c r="E990" i="2" s="1"/>
  <c r="F990" i="2" a="1"/>
  <c r="F990" i="2" s="1"/>
  <c r="C991" i="2" a="1"/>
  <c r="C991" i="2" s="1"/>
  <c r="D991" i="2" a="1"/>
  <c r="D991" i="2" s="1"/>
  <c r="E991" i="2" a="1"/>
  <c r="E991" i="2" s="1"/>
  <c r="F991" i="2" a="1"/>
  <c r="F991" i="2" s="1"/>
  <c r="C992" i="2" a="1"/>
  <c r="C992" i="2" s="1"/>
  <c r="D992" i="2" a="1"/>
  <c r="D992" i="2" s="1"/>
  <c r="E992" i="2" a="1"/>
  <c r="E992" i="2" s="1"/>
  <c r="F992" i="2" a="1"/>
  <c r="F992" i="2" s="1"/>
  <c r="C993" i="2" a="1"/>
  <c r="C993" i="2" s="1"/>
  <c r="D993" i="2" a="1"/>
  <c r="D993" i="2" s="1"/>
  <c r="E993" i="2" a="1"/>
  <c r="E993" i="2" s="1"/>
  <c r="F993" i="2" a="1"/>
  <c r="F993" i="2" s="1"/>
  <c r="C994" i="2" a="1"/>
  <c r="C994" i="2" s="1"/>
  <c r="D994" i="2" a="1"/>
  <c r="D994" i="2" s="1"/>
  <c r="E994" i="2" a="1"/>
  <c r="E994" i="2" s="1"/>
  <c r="F994" i="2" a="1"/>
  <c r="F994" i="2" s="1"/>
  <c r="C995" i="2" a="1"/>
  <c r="C995" i="2" s="1"/>
  <c r="D995" i="2" a="1"/>
  <c r="D995" i="2" s="1"/>
  <c r="E995" i="2" a="1"/>
  <c r="E995" i="2" s="1"/>
  <c r="F995" i="2" a="1"/>
  <c r="F995" i="2" s="1"/>
  <c r="C996" i="2" a="1"/>
  <c r="C996" i="2" s="1"/>
  <c r="D996" i="2" a="1"/>
  <c r="D996" i="2" s="1"/>
  <c r="E996" i="2" a="1"/>
  <c r="E996" i="2" s="1"/>
  <c r="F996" i="2" a="1"/>
  <c r="F996" i="2" s="1"/>
  <c r="C997" i="2" a="1"/>
  <c r="C997" i="2"/>
  <c r="D997" i="2" a="1"/>
  <c r="D997" i="2" s="1"/>
  <c r="E997" i="2" a="1"/>
  <c r="E997" i="2" s="1"/>
  <c r="F997" i="2" a="1"/>
  <c r="F997" i="2" s="1"/>
  <c r="C998" i="2" a="1"/>
  <c r="C998" i="2" s="1"/>
  <c r="D998" i="2" a="1"/>
  <c r="D998" i="2" s="1"/>
  <c r="E998" i="2" a="1"/>
  <c r="E998" i="2" s="1"/>
  <c r="F998" i="2" a="1"/>
  <c r="F998" i="2" s="1"/>
  <c r="C999" i="2" a="1"/>
  <c r="C999" i="2"/>
  <c r="D999" i="2" a="1"/>
  <c r="D999" i="2" s="1"/>
  <c r="E999" i="2" a="1"/>
  <c r="E999" i="2" s="1"/>
  <c r="F999" i="2" a="1"/>
  <c r="F999" i="2" s="1"/>
  <c r="C1000" i="2" a="1"/>
  <c r="C1000" i="2"/>
  <c r="D1000" i="2" a="1"/>
  <c r="D1000" i="2" s="1"/>
  <c r="E1000" i="2" a="1"/>
  <c r="E1000" i="2" s="1"/>
  <c r="F1000" i="2" a="1"/>
  <c r="F1000" i="2" s="1"/>
  <c r="C1001" i="2" a="1"/>
  <c r="C1001" i="2"/>
  <c r="D1001" i="2" a="1"/>
  <c r="D1001" i="2" s="1"/>
  <c r="E1001" i="2" a="1"/>
  <c r="E1001" i="2" s="1"/>
  <c r="F1001" i="2" a="1"/>
  <c r="F1001" i="2" s="1"/>
  <c r="C1002" i="2" a="1"/>
  <c r="C1002" i="2" s="1"/>
  <c r="D1002" i="2" a="1"/>
  <c r="D1002" i="2" s="1"/>
  <c r="E1002" i="2" a="1"/>
  <c r="E1002" i="2" s="1"/>
  <c r="F1002" i="2" a="1"/>
  <c r="F1002" i="2" s="1"/>
  <c r="C1003" i="2" a="1"/>
  <c r="C1003" i="2" s="1"/>
  <c r="D1003" i="2" a="1"/>
  <c r="D1003" i="2" s="1"/>
  <c r="E1003" i="2" a="1"/>
  <c r="E1003" i="2" s="1"/>
  <c r="F1003" i="2" a="1"/>
  <c r="F1003" i="2" s="1"/>
  <c r="C1004" i="2" a="1"/>
  <c r="C1004" i="2" s="1"/>
  <c r="D1004" i="2" a="1"/>
  <c r="D1004" i="2" s="1"/>
  <c r="E1004" i="2" a="1"/>
  <c r="E1004" i="2" s="1"/>
  <c r="F1004" i="2" a="1"/>
  <c r="F1004" i="2" s="1"/>
  <c r="C1005" i="2" a="1"/>
  <c r="C1005" i="2" s="1"/>
  <c r="D1005" i="2" a="1"/>
  <c r="D1005" i="2" s="1"/>
  <c r="E1005" i="2" a="1"/>
  <c r="E1005" i="2" s="1"/>
  <c r="F1005" i="2" a="1"/>
  <c r="F1005" i="2" s="1"/>
  <c r="C1006" i="2" a="1"/>
  <c r="C1006" i="2" s="1"/>
  <c r="D1006" i="2" a="1"/>
  <c r="D1006" i="2" s="1"/>
  <c r="E1006" i="2" a="1"/>
  <c r="E1006" i="2" s="1"/>
  <c r="F1006" i="2" a="1"/>
  <c r="F1006" i="2" s="1"/>
  <c r="C1007" i="2" a="1"/>
  <c r="C1007" i="2" s="1"/>
  <c r="D1007" i="2" a="1"/>
  <c r="D1007" i="2" s="1"/>
  <c r="E1007" i="2" a="1"/>
  <c r="E1007" i="2" s="1"/>
  <c r="F1007" i="2" a="1"/>
  <c r="F1007" i="2" s="1"/>
  <c r="C1008" i="2" a="1"/>
  <c r="C1008" i="2" s="1"/>
  <c r="D1008" i="2" a="1"/>
  <c r="D1008" i="2" s="1"/>
  <c r="E1008" i="2" a="1"/>
  <c r="E1008" i="2" s="1"/>
  <c r="F1008" i="2" a="1"/>
  <c r="F1008" i="2" s="1"/>
  <c r="C1009" i="2" a="1"/>
  <c r="C1009" i="2" s="1"/>
  <c r="D1009" i="2" a="1"/>
  <c r="D1009" i="2" s="1"/>
  <c r="E1009" i="2" a="1"/>
  <c r="E1009" i="2" s="1"/>
  <c r="F1009" i="2" a="1"/>
  <c r="F1009" i="2" s="1"/>
  <c r="C1010" i="2" a="1"/>
  <c r="C1010" i="2" s="1"/>
  <c r="D1010" i="2" a="1"/>
  <c r="D1010" i="2" s="1"/>
  <c r="E1010" i="2" a="1"/>
  <c r="E1010" i="2" s="1"/>
  <c r="F1010" i="2" a="1"/>
  <c r="F1010" i="2" s="1"/>
  <c r="C1011" i="2" a="1"/>
  <c r="C1011" i="2" s="1"/>
  <c r="D1011" i="2" a="1"/>
  <c r="D1011" i="2" s="1"/>
  <c r="E1011" i="2" a="1"/>
  <c r="E1011" i="2" s="1"/>
  <c r="F1011" i="2" a="1"/>
  <c r="F1011" i="2" s="1"/>
  <c r="C1012" i="2" a="1"/>
  <c r="C1012" i="2" s="1"/>
  <c r="D1012" i="2" a="1"/>
  <c r="D1012" i="2" s="1"/>
  <c r="E1012" i="2" a="1"/>
  <c r="E1012" i="2" s="1"/>
  <c r="F1012" i="2" a="1"/>
  <c r="F1012" i="2" s="1"/>
  <c r="C1013" i="2" a="1"/>
  <c r="C1013" i="2" s="1"/>
  <c r="D1013" i="2" a="1"/>
  <c r="D1013" i="2" s="1"/>
  <c r="E1013" i="2" a="1"/>
  <c r="E1013" i="2" s="1"/>
  <c r="F1013" i="2" a="1"/>
  <c r="F1013" i="2"/>
  <c r="C1014" i="2" a="1"/>
  <c r="C1014" i="2" s="1"/>
  <c r="D1014" i="2" a="1"/>
  <c r="D1014" i="2" s="1"/>
  <c r="E1014" i="2" a="1"/>
  <c r="E1014" i="2" s="1"/>
  <c r="F1014" i="2" a="1"/>
  <c r="F1014" i="2"/>
  <c r="C1015" i="2" a="1"/>
  <c r="C1015" i="2" s="1"/>
  <c r="D1015" i="2" a="1"/>
  <c r="D1015" i="2" s="1"/>
  <c r="E1015" i="2" a="1"/>
  <c r="E1015" i="2"/>
  <c r="F1015" i="2" a="1"/>
  <c r="F1015" i="2" s="1"/>
  <c r="C1016" i="2" a="1"/>
  <c r="C1016" i="2" s="1"/>
  <c r="D1016" i="2" a="1"/>
  <c r="D1016" i="2" s="1"/>
  <c r="E1016" i="2" a="1"/>
  <c r="E1016" i="2" s="1"/>
  <c r="F1016" i="2" a="1"/>
  <c r="F1016" i="2" s="1"/>
  <c r="C1017" i="2" a="1"/>
  <c r="C1017" i="2" s="1"/>
  <c r="D1017" i="2" a="1"/>
  <c r="D1017" i="2" s="1"/>
  <c r="E1017" i="2" a="1"/>
  <c r="E1017" i="2" s="1"/>
  <c r="F1017" i="2" a="1"/>
  <c r="F1017" i="2" s="1"/>
  <c r="C1018" i="2" a="1"/>
  <c r="C1018" i="2" s="1"/>
  <c r="D1018" i="2" a="1"/>
  <c r="D1018" i="2" s="1"/>
  <c r="E1018" i="2" a="1"/>
  <c r="E1018" i="2" s="1"/>
  <c r="F1018" i="2" a="1"/>
  <c r="F1018" i="2" s="1"/>
  <c r="C1019" i="2" a="1"/>
  <c r="C1019" i="2" s="1"/>
  <c r="D1019" i="2" a="1"/>
  <c r="D1019" i="2"/>
  <c r="E1019" i="2" a="1"/>
  <c r="E1019" i="2" s="1"/>
  <c r="F1019" i="2" a="1"/>
  <c r="F1019" i="2" s="1"/>
  <c r="C1020" i="2" a="1"/>
  <c r="C1020" i="2" s="1"/>
  <c r="D1020" i="2" a="1"/>
  <c r="D1020" i="2" s="1"/>
  <c r="E1020" i="2" a="1"/>
  <c r="E1020" i="2" s="1"/>
  <c r="F1020" i="2" a="1"/>
  <c r="F1020" i="2" s="1"/>
  <c r="C1021" i="2" a="1"/>
  <c r="C1021" i="2" s="1"/>
  <c r="D1021" i="2" a="1"/>
  <c r="D1021" i="2" s="1"/>
  <c r="E1021" i="2" a="1"/>
  <c r="E1021" i="2" s="1"/>
  <c r="F1021" i="2" a="1"/>
  <c r="F1021" i="2" s="1"/>
  <c r="C1022" i="2" a="1"/>
  <c r="C1022" i="2"/>
  <c r="D1022" i="2" a="1"/>
  <c r="D1022" i="2" s="1"/>
  <c r="E1022" i="2" a="1"/>
  <c r="E1022" i="2" s="1"/>
  <c r="F1022" i="2" a="1"/>
  <c r="F1022" i="2" s="1"/>
  <c r="C1023" i="2" a="1"/>
  <c r="C1023" i="2" s="1"/>
  <c r="D1023" i="2" a="1"/>
  <c r="D1023" i="2" s="1"/>
  <c r="E1023" i="2" a="1"/>
  <c r="E1023" i="2" s="1"/>
  <c r="F1023" i="2" a="1"/>
  <c r="F1023" i="2" s="1"/>
  <c r="C1024" i="2" a="1"/>
  <c r="C1024" i="2" s="1"/>
  <c r="D1024" i="2" a="1"/>
  <c r="D1024" i="2" s="1"/>
  <c r="E1024" i="2" a="1"/>
  <c r="E1024" i="2" s="1"/>
  <c r="F1024" i="2" a="1"/>
  <c r="F1024" i="2" s="1"/>
  <c r="C1025" i="2" a="1"/>
  <c r="C1025" i="2" s="1"/>
  <c r="D1025" i="2" a="1"/>
  <c r="D1025" i="2" s="1"/>
  <c r="E1025" i="2" a="1"/>
  <c r="E1025" i="2" s="1"/>
  <c r="F1025" i="2" a="1"/>
  <c r="F1025" i="2" s="1"/>
  <c r="C1026" i="2" a="1"/>
  <c r="C1026" i="2" s="1"/>
  <c r="D1026" i="2" a="1"/>
  <c r="D1026" i="2" s="1"/>
  <c r="E1026" i="2" a="1"/>
  <c r="E1026" i="2" s="1"/>
  <c r="F1026" i="2" a="1"/>
  <c r="F1026" i="2" s="1"/>
  <c r="C1027" i="2" a="1"/>
  <c r="C1027" i="2" s="1"/>
  <c r="D1027" i="2" a="1"/>
  <c r="D1027" i="2" s="1"/>
  <c r="E1027" i="2" a="1"/>
  <c r="E1027" i="2" s="1"/>
  <c r="F1027" i="2" a="1"/>
  <c r="F1027" i="2" s="1"/>
  <c r="C1028" i="2" a="1"/>
  <c r="C1028" i="2" s="1"/>
  <c r="D1028" i="2" a="1"/>
  <c r="D1028" i="2" s="1"/>
  <c r="E1028" i="2" a="1"/>
  <c r="E1028" i="2" s="1"/>
  <c r="F1028" i="2" a="1"/>
  <c r="F1028" i="2" s="1"/>
  <c r="C1029" i="2" a="1"/>
  <c r="C1029" i="2" s="1"/>
  <c r="D1029" i="2" a="1"/>
  <c r="D1029" i="2" s="1"/>
  <c r="E1029" i="2" a="1"/>
  <c r="E1029" i="2" s="1"/>
  <c r="F1029" i="2" a="1"/>
  <c r="F1029" i="2" s="1"/>
  <c r="C1030" i="2" a="1"/>
  <c r="C1030" i="2" s="1"/>
  <c r="D1030" i="2" a="1"/>
  <c r="D1030" i="2" s="1"/>
  <c r="E1030" i="2" a="1"/>
  <c r="E1030" i="2" s="1"/>
  <c r="F1030" i="2" a="1"/>
  <c r="F1030" i="2" s="1"/>
  <c r="C1031" i="2" a="1"/>
  <c r="C1031" i="2" s="1"/>
  <c r="D1031" i="2" a="1"/>
  <c r="D1031" i="2" s="1"/>
  <c r="E1031" i="2" a="1"/>
  <c r="E1031" i="2" s="1"/>
  <c r="F1031" i="2" a="1"/>
  <c r="F1031" i="2" s="1"/>
  <c r="C1032" i="2" a="1"/>
  <c r="C1032" i="2" s="1"/>
  <c r="D1032" i="2" a="1"/>
  <c r="D1032" i="2" s="1"/>
  <c r="E1032" i="2" a="1"/>
  <c r="E1032" i="2" s="1"/>
  <c r="F1032" i="2" a="1"/>
  <c r="F1032" i="2" s="1"/>
  <c r="C1033" i="2" a="1"/>
  <c r="C1033" i="2" s="1"/>
  <c r="D1033" i="2" a="1"/>
  <c r="D1033" i="2" s="1"/>
  <c r="E1033" i="2" a="1"/>
  <c r="E1033" i="2" s="1"/>
  <c r="F1033" i="2" a="1"/>
  <c r="F1033" i="2" s="1"/>
  <c r="C1034" i="2" a="1"/>
  <c r="C1034" i="2"/>
  <c r="D1034" i="2" a="1"/>
  <c r="D1034" i="2" s="1"/>
  <c r="E1034" i="2" a="1"/>
  <c r="E1034" i="2" s="1"/>
  <c r="F1034" i="2" a="1"/>
  <c r="F1034" i="2" s="1"/>
  <c r="C1035" i="2" a="1"/>
  <c r="C1035" i="2" s="1"/>
  <c r="D1035" i="2" a="1"/>
  <c r="D1035" i="2" s="1"/>
  <c r="E1035" i="2" a="1"/>
  <c r="E1035" i="2" s="1"/>
  <c r="F1035" i="2" a="1"/>
  <c r="F1035" i="2" s="1"/>
  <c r="C1036" i="2" a="1"/>
  <c r="C1036" i="2" s="1"/>
  <c r="D1036" i="2" a="1"/>
  <c r="D1036" i="2" s="1"/>
  <c r="E1036" i="2" a="1"/>
  <c r="E1036" i="2" s="1"/>
  <c r="F1036" i="2" a="1"/>
  <c r="F1036" i="2"/>
  <c r="C1037" i="2" a="1"/>
  <c r="C1037" i="2"/>
  <c r="D1037" i="2" a="1"/>
  <c r="D1037" i="2" s="1"/>
  <c r="E1037" i="2" a="1"/>
  <c r="E1037" i="2" s="1"/>
  <c r="F1037" i="2" a="1"/>
  <c r="F1037" i="2" s="1"/>
  <c r="C1038" i="2" a="1"/>
  <c r="C1038" i="2" s="1"/>
  <c r="D1038" i="2" a="1"/>
  <c r="D1038" i="2" s="1"/>
  <c r="E1038" i="2" a="1"/>
  <c r="E1038" i="2" s="1"/>
  <c r="F1038" i="2" a="1"/>
  <c r="F1038" i="2" s="1"/>
  <c r="C1039" i="2" a="1"/>
  <c r="C1039" i="2" s="1"/>
  <c r="D1039" i="2" a="1"/>
  <c r="D1039" i="2" s="1"/>
  <c r="E1039" i="2" a="1"/>
  <c r="E1039" i="2" s="1"/>
  <c r="F1039" i="2" a="1"/>
  <c r="F1039" i="2" s="1"/>
  <c r="C1040" i="2" a="1"/>
  <c r="C1040" i="2" s="1"/>
  <c r="D1040" i="2" a="1"/>
  <c r="D1040" i="2" s="1"/>
  <c r="E1040" i="2" a="1"/>
  <c r="E1040" i="2" s="1"/>
  <c r="F1040" i="2" a="1"/>
  <c r="F1040" i="2" s="1"/>
  <c r="C1041" i="2" a="1"/>
  <c r="C1041" i="2"/>
  <c r="D1041" i="2" a="1"/>
  <c r="D1041" i="2"/>
  <c r="E1041" i="2" a="1"/>
  <c r="E1041" i="2" s="1"/>
  <c r="F1041" i="2" a="1"/>
  <c r="F1041" i="2" s="1"/>
  <c r="C1042" i="2" a="1"/>
  <c r="C1042" i="2" s="1"/>
  <c r="D1042" i="2" a="1"/>
  <c r="D1042" i="2" s="1"/>
  <c r="E1042" i="2" a="1"/>
  <c r="E1042" i="2" s="1"/>
  <c r="F1042" i="2" a="1"/>
  <c r="F1042" i="2" s="1"/>
  <c r="C1043" i="2" a="1"/>
  <c r="C1043" i="2" s="1"/>
  <c r="D1043" i="2" a="1"/>
  <c r="D1043" i="2" s="1"/>
  <c r="E1043" i="2" a="1"/>
  <c r="E1043" i="2" s="1"/>
  <c r="F1043" i="2" a="1"/>
  <c r="F1043" i="2" s="1"/>
  <c r="C1044" i="2" a="1"/>
  <c r="C1044" i="2" s="1"/>
  <c r="D1044" i="2" a="1"/>
  <c r="D1044" i="2"/>
  <c r="E1044" i="2" a="1"/>
  <c r="E1044" i="2" s="1"/>
  <c r="F1044" i="2" a="1"/>
  <c r="F1044" i="2" s="1"/>
  <c r="C1045" i="2" a="1"/>
  <c r="C1045" i="2" s="1"/>
  <c r="D1045" i="2" a="1"/>
  <c r="D1045" i="2" s="1"/>
  <c r="E1045" i="2" a="1"/>
  <c r="E1045" i="2" s="1"/>
  <c r="F1045" i="2" a="1"/>
  <c r="F1045" i="2" s="1"/>
  <c r="C1046" i="2" a="1"/>
  <c r="C1046" i="2" s="1"/>
  <c r="D1046" i="2" a="1"/>
  <c r="D1046" i="2" s="1"/>
  <c r="E1046" i="2" a="1"/>
  <c r="E1046" i="2" s="1"/>
  <c r="F1046" i="2" a="1"/>
  <c r="F1046" i="2" s="1"/>
  <c r="C1047" i="2" a="1"/>
  <c r="C1047" i="2" s="1"/>
  <c r="D1047" i="2" a="1"/>
  <c r="D1047" i="2" s="1"/>
  <c r="E1047" i="2" a="1"/>
  <c r="E1047" i="2" s="1"/>
  <c r="F1047" i="2" a="1"/>
  <c r="F1047" i="2" s="1"/>
  <c r="C1048" i="2" a="1"/>
  <c r="C1048" i="2" s="1"/>
  <c r="D1048" i="2" a="1"/>
  <c r="D1048" i="2" s="1"/>
  <c r="E1048" i="2" a="1"/>
  <c r="E1048" i="2" s="1"/>
  <c r="F1048" i="2" a="1"/>
  <c r="F1048" i="2"/>
  <c r="C1049" i="2" a="1"/>
  <c r="C1049" i="2" s="1"/>
  <c r="D1049" i="2" a="1"/>
  <c r="D1049" i="2" s="1"/>
  <c r="E1049" i="2" a="1"/>
  <c r="E1049" i="2" s="1"/>
  <c r="F1049" i="2" a="1"/>
  <c r="F1049" i="2" s="1"/>
  <c r="C1050" i="2" a="1"/>
  <c r="C1050" i="2" s="1"/>
  <c r="D1050" i="2" a="1"/>
  <c r="D1050" i="2" s="1"/>
  <c r="E1050" i="2" a="1"/>
  <c r="E1050" i="2" s="1"/>
  <c r="F1050" i="2" a="1"/>
  <c r="F1050" i="2" s="1"/>
  <c r="C1051" i="2" a="1"/>
  <c r="C1051" i="2" s="1"/>
  <c r="D1051" i="2" a="1"/>
  <c r="D1051" i="2" s="1"/>
  <c r="E1051" i="2" a="1"/>
  <c r="E1051" i="2" s="1"/>
  <c r="F1051" i="2" a="1"/>
  <c r="F1051" i="2" s="1"/>
  <c r="C1052" i="2" a="1"/>
  <c r="C1052" i="2"/>
  <c r="D1052" i="2" a="1"/>
  <c r="D1052" i="2" s="1"/>
  <c r="E1052" i="2" a="1"/>
  <c r="E1052" i="2" s="1"/>
  <c r="F1052" i="2" a="1"/>
  <c r="F1052" i="2" s="1"/>
  <c r="C1053" i="2" a="1"/>
  <c r="C1053" i="2" s="1"/>
  <c r="D1053" i="2" a="1"/>
  <c r="D1053" i="2" s="1"/>
  <c r="E1053" i="2" a="1"/>
  <c r="E1053" i="2" s="1"/>
  <c r="F1053" i="2" a="1"/>
  <c r="F1053" i="2" s="1"/>
  <c r="C1054" i="2" a="1"/>
  <c r="C1054" i="2" s="1"/>
  <c r="D1054" i="2" a="1"/>
  <c r="D1054" i="2" s="1"/>
  <c r="E1054" i="2" a="1"/>
  <c r="E1054" i="2" s="1"/>
  <c r="F1054" i="2" a="1"/>
  <c r="F1054" i="2" s="1"/>
  <c r="C1055" i="2" a="1"/>
  <c r="C1055" i="2"/>
  <c r="D1055" i="2" a="1"/>
  <c r="D1055" i="2" s="1"/>
  <c r="E1055" i="2" a="1"/>
  <c r="E1055" i="2" s="1"/>
  <c r="F1055" i="2" a="1"/>
  <c r="F1055" i="2" s="1"/>
  <c r="C1056" i="2" a="1"/>
  <c r="C1056" i="2"/>
  <c r="D1056" i="2" a="1"/>
  <c r="D1056" i="2" s="1"/>
  <c r="E1056" i="2" a="1"/>
  <c r="E1056" i="2" s="1"/>
  <c r="F1056" i="2" a="1"/>
  <c r="F1056" i="2" s="1"/>
  <c r="C1057" i="2" a="1"/>
  <c r="C1057" i="2" s="1"/>
  <c r="D1057" i="2" a="1"/>
  <c r="D1057" i="2" s="1"/>
  <c r="E1057" i="2" a="1"/>
  <c r="E1057" i="2"/>
  <c r="F1057" i="2" a="1"/>
  <c r="F1057" i="2" s="1"/>
  <c r="F2" i="2" a="1"/>
  <c r="F2" i="2" s="1"/>
  <c r="C2" i="2" a="1"/>
  <c r="C2" i="2" s="1"/>
  <c r="D2" i="2" a="1"/>
  <c r="D2" i="2" s="1"/>
  <c r="E2" i="2" a="1"/>
  <c r="E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/>
  <c r="B240" i="2" a="1"/>
  <c r="B240" i="2" s="1"/>
  <c r="B241" i="2" a="1"/>
  <c r="B241" i="2" s="1"/>
  <c r="B242" i="2" a="1"/>
  <c r="B242" i="2" s="1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4" i="2" a="1"/>
  <c r="B254" i="2" s="1"/>
  <c r="B255" i="2" a="1"/>
  <c r="B255" i="2" s="1"/>
  <c r="B256" i="2" a="1"/>
  <c r="B256" i="2" s="1"/>
  <c r="B257" i="2" a="1"/>
  <c r="B257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 s="1"/>
  <c r="B273" i="2" a="1"/>
  <c r="B273" i="2" s="1"/>
  <c r="B274" i="2" a="1"/>
  <c r="B274" i="2" s="1"/>
  <c r="B275" i="2" a="1"/>
  <c r="B275" i="2" s="1"/>
  <c r="B276" i="2" a="1"/>
  <c r="B276" i="2" s="1"/>
  <c r="B277" i="2" a="1"/>
  <c r="B277" i="2" s="1"/>
  <c r="B278" i="2" a="1"/>
  <c r="B278" i="2" s="1"/>
  <c r="B279" i="2" a="1"/>
  <c r="B279" i="2" s="1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 s="1"/>
  <c r="B294" i="2" a="1"/>
  <c r="B294" i="2" s="1"/>
  <c r="B295" i="2" a="1"/>
  <c r="B295" i="2"/>
  <c r="B296" i="2" a="1"/>
  <c r="B296" i="2" s="1"/>
  <c r="B297" i="2" a="1"/>
  <c r="B297" i="2" s="1"/>
  <c r="B298" i="2" a="1"/>
  <c r="B298" i="2" s="1"/>
  <c r="B299" i="2" a="1"/>
  <c r="B299" i="2" s="1"/>
  <c r="B300" i="2" a="1"/>
  <c r="B300" i="2" s="1"/>
  <c r="B301" i="2" a="1"/>
  <c r="B301" i="2" s="1"/>
  <c r="B302" i="2" a="1"/>
  <c r="B302" i="2" s="1"/>
  <c r="B303" i="2" a="1"/>
  <c r="B303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1" i="2" a="1"/>
  <c r="B311" i="2" s="1"/>
  <c r="B312" i="2" a="1"/>
  <c r="B312" i="2" s="1"/>
  <c r="B313" i="2" a="1"/>
  <c r="B313" i="2" s="1"/>
  <c r="B314" i="2" a="1"/>
  <c r="B314" i="2" s="1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 s="1"/>
  <c r="B321" i="2" a="1"/>
  <c r="B321" i="2" s="1"/>
  <c r="B322" i="2" a="1"/>
  <c r="B322" i="2" s="1"/>
  <c r="B323" i="2" a="1"/>
  <c r="B323" i="2" s="1"/>
  <c r="B324" i="2" a="1"/>
  <c r="B324" i="2" s="1"/>
  <c r="B325" i="2" a="1"/>
  <c r="B325" i="2" s="1"/>
  <c r="B326" i="2" a="1"/>
  <c r="B326" i="2" s="1"/>
  <c r="B327" i="2" a="1"/>
  <c r="B327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4" i="2" a="1"/>
  <c r="B334" i="2" s="1"/>
  <c r="B335" i="2" a="1"/>
  <c r="B335" i="2" s="1"/>
  <c r="B336" i="2" a="1"/>
  <c r="B336" i="2" s="1"/>
  <c r="B337" i="2" a="1"/>
  <c r="B337" i="2" s="1"/>
  <c r="B338" i="2" a="1"/>
  <c r="B338" i="2" s="1"/>
  <c r="B339" i="2" a="1"/>
  <c r="B339" i="2" s="1"/>
  <c r="B340" i="2" a="1"/>
  <c r="B340" i="2" s="1"/>
  <c r="B341" i="2" a="1"/>
  <c r="B341" i="2" s="1"/>
  <c r="B342" i="2" a="1"/>
  <c r="B342" i="2" s="1"/>
  <c r="B343" i="2" a="1"/>
  <c r="B343" i="2" s="1"/>
  <c r="B344" i="2" a="1"/>
  <c r="B344" i="2" s="1"/>
  <c r="B345" i="2" a="1"/>
  <c r="B345" i="2" s="1"/>
  <c r="B346" i="2" a="1"/>
  <c r="B346" i="2" s="1"/>
  <c r="B347" i="2" a="1"/>
  <c r="B347" i="2" s="1"/>
  <c r="B348" i="2" a="1"/>
  <c r="B348" i="2" s="1"/>
  <c r="B349" i="2" a="1"/>
  <c r="B349" i="2" s="1"/>
  <c r="B350" i="2" a="1"/>
  <c r="B350" i="2" s="1"/>
  <c r="B351" i="2" a="1"/>
  <c r="B351" i="2" s="1"/>
  <c r="B352" i="2" a="1"/>
  <c r="B352" i="2" s="1"/>
  <c r="B353" i="2" a="1"/>
  <c r="B353" i="2" s="1"/>
  <c r="B354" i="2" a="1"/>
  <c r="B354" i="2" s="1"/>
  <c r="B355" i="2" a="1"/>
  <c r="B355" i="2"/>
  <c r="B356" i="2" a="1"/>
  <c r="B356" i="2" s="1"/>
  <c r="B357" i="2" a="1"/>
  <c r="B357" i="2" s="1"/>
  <c r="B358" i="2" a="1"/>
  <c r="B358" i="2" s="1"/>
  <c r="B359" i="2" a="1"/>
  <c r="B359" i="2" s="1"/>
  <c r="B360" i="2" a="1"/>
  <c r="B360" i="2" s="1"/>
  <c r="B361" i="2" a="1"/>
  <c r="B361" i="2" s="1"/>
  <c r="B362" i="2" a="1"/>
  <c r="B362" i="2" s="1"/>
  <c r="B363" i="2" a="1"/>
  <c r="B363" i="2" s="1"/>
  <c r="B364" i="2" a="1"/>
  <c r="B364" i="2" s="1"/>
  <c r="B365" i="2" a="1"/>
  <c r="B365" i="2" s="1"/>
  <c r="B366" i="2" a="1"/>
  <c r="B366" i="2" s="1"/>
  <c r="B367" i="2" a="1"/>
  <c r="B367" i="2" s="1"/>
  <c r="B368" i="2" a="1"/>
  <c r="B368" i="2" s="1"/>
  <c r="B369" i="2" a="1"/>
  <c r="B369" i="2" s="1"/>
  <c r="B370" i="2" a="1"/>
  <c r="B370" i="2" s="1"/>
  <c r="B371" i="2" a="1"/>
  <c r="B371" i="2" s="1"/>
  <c r="B372" i="2" a="1"/>
  <c r="B372" i="2" s="1"/>
  <c r="B373" i="2" a="1"/>
  <c r="B373" i="2" s="1"/>
  <c r="B374" i="2" a="1"/>
  <c r="B374" i="2" s="1"/>
  <c r="B375" i="2" a="1"/>
  <c r="B375" i="2" s="1"/>
  <c r="B376" i="2" a="1"/>
  <c r="B376" i="2" s="1"/>
  <c r="B377" i="2" a="1"/>
  <c r="B377" i="2" s="1"/>
  <c r="B378" i="2" a="1"/>
  <c r="B378" i="2" s="1"/>
  <c r="B379" i="2" a="1"/>
  <c r="B379" i="2" s="1"/>
  <c r="B380" i="2" a="1"/>
  <c r="B380" i="2" s="1"/>
  <c r="B381" i="2" a="1"/>
  <c r="B381" i="2" s="1"/>
  <c r="B382" i="2" a="1"/>
  <c r="B382" i="2" s="1"/>
  <c r="B383" i="2" a="1"/>
  <c r="B383" i="2" s="1"/>
  <c r="B384" i="2" a="1"/>
  <c r="B384" i="2" s="1"/>
  <c r="B385" i="2" a="1"/>
  <c r="B385" i="2" s="1"/>
  <c r="B386" i="2" a="1"/>
  <c r="B386" i="2" s="1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 s="1"/>
  <c r="B393" i="2" a="1"/>
  <c r="B393" i="2" s="1"/>
  <c r="B394" i="2" a="1"/>
  <c r="B394" i="2" s="1"/>
  <c r="B395" i="2" a="1"/>
  <c r="B395" i="2" s="1"/>
  <c r="B396" i="2" a="1"/>
  <c r="B396" i="2" s="1"/>
  <c r="B397" i="2" a="1"/>
  <c r="B397" i="2" s="1"/>
  <c r="B398" i="2" a="1"/>
  <c r="B398" i="2" s="1"/>
  <c r="B399" i="2" a="1"/>
  <c r="B399" i="2" s="1"/>
  <c r="B400" i="2" a="1"/>
  <c r="B400" i="2" s="1"/>
  <c r="B401" i="2" a="1"/>
  <c r="B401" i="2" s="1"/>
  <c r="B402" i="2" a="1"/>
  <c r="B402" i="2" s="1"/>
  <c r="B403" i="2" a="1"/>
  <c r="B403" i="2" s="1"/>
  <c r="B404" i="2" a="1"/>
  <c r="B404" i="2" s="1"/>
  <c r="B405" i="2" a="1"/>
  <c r="B405" i="2" s="1"/>
  <c r="B406" i="2" a="1"/>
  <c r="B406" i="2" s="1"/>
  <c r="B407" i="2" a="1"/>
  <c r="B407" i="2" s="1"/>
  <c r="B408" i="2" a="1"/>
  <c r="B408" i="2" s="1"/>
  <c r="B409" i="2" a="1"/>
  <c r="B409" i="2" s="1"/>
  <c r="B410" i="2" a="1"/>
  <c r="B410" i="2" s="1"/>
  <c r="B411" i="2" a="1"/>
  <c r="B411" i="2" s="1"/>
  <c r="B412" i="2" a="1"/>
  <c r="B412" i="2" s="1"/>
  <c r="B413" i="2" a="1"/>
  <c r="B413" i="2" s="1"/>
  <c r="B414" i="2" a="1"/>
  <c r="B414" i="2" s="1"/>
  <c r="B415" i="2" a="1"/>
  <c r="B415" i="2" s="1"/>
  <c r="B416" i="2" a="1"/>
  <c r="B416" i="2" s="1"/>
  <c r="B417" i="2" a="1"/>
  <c r="B417" i="2" s="1"/>
  <c r="B418" i="2" a="1"/>
  <c r="B418" i="2" s="1"/>
  <c r="B419" i="2" a="1"/>
  <c r="B419" i="2" s="1"/>
  <c r="B420" i="2" a="1"/>
  <c r="B420" i="2" s="1"/>
  <c r="B421" i="2" a="1"/>
  <c r="B421" i="2" s="1"/>
  <c r="B422" i="2" a="1"/>
  <c r="B422" i="2" s="1"/>
  <c r="B423" i="2" a="1"/>
  <c r="B423" i="2" s="1"/>
  <c r="B424" i="2" a="1"/>
  <c r="B424" i="2" s="1"/>
  <c r="B425" i="2" a="1"/>
  <c r="B425" i="2" s="1"/>
  <c r="B426" i="2" a="1"/>
  <c r="B426" i="2" s="1"/>
  <c r="B427" i="2" a="1"/>
  <c r="B427" i="2" s="1"/>
  <c r="B428" i="2" a="1"/>
  <c r="B428" i="2" s="1"/>
  <c r="B429" i="2" a="1"/>
  <c r="B429" i="2" s="1"/>
  <c r="B430" i="2" a="1"/>
  <c r="B430" i="2" s="1"/>
  <c r="B431" i="2" a="1"/>
  <c r="B431" i="2" s="1"/>
  <c r="B432" i="2" a="1"/>
  <c r="B432" i="2" s="1"/>
  <c r="B433" i="2" a="1"/>
  <c r="B433" i="2" s="1"/>
  <c r="B434" i="2" a="1"/>
  <c r="B434" i="2" s="1"/>
  <c r="B435" i="2" a="1"/>
  <c r="B435" i="2" s="1"/>
  <c r="B436" i="2" a="1"/>
  <c r="B436" i="2" s="1"/>
  <c r="B437" i="2" a="1"/>
  <c r="B437" i="2" s="1"/>
  <c r="B438" i="2" a="1"/>
  <c r="B438" i="2" s="1"/>
  <c r="B439" i="2" a="1"/>
  <c r="B439" i="2" s="1"/>
  <c r="B440" i="2" a="1"/>
  <c r="B440" i="2" s="1"/>
  <c r="B441" i="2" a="1"/>
  <c r="B441" i="2" s="1"/>
  <c r="B442" i="2" a="1"/>
  <c r="B442" i="2" s="1"/>
  <c r="B443" i="2" a="1"/>
  <c r="B443" i="2" s="1"/>
  <c r="B444" i="2" a="1"/>
  <c r="B444" i="2" s="1"/>
  <c r="B445" i="2" a="1"/>
  <c r="B445" i="2" s="1"/>
  <c r="B446" i="2" a="1"/>
  <c r="B446" i="2" s="1"/>
  <c r="B447" i="2" a="1"/>
  <c r="B447" i="2" s="1"/>
  <c r="B448" i="2" a="1"/>
  <c r="B448" i="2" s="1"/>
  <c r="B449" i="2" a="1"/>
  <c r="B449" i="2" s="1"/>
  <c r="B450" i="2" a="1"/>
  <c r="B450" i="2" s="1"/>
  <c r="B451" i="2" a="1"/>
  <c r="B451" i="2" s="1"/>
  <c r="B452" i="2" a="1"/>
  <c r="B452" i="2" s="1"/>
  <c r="B453" i="2" a="1"/>
  <c r="B453" i="2" s="1"/>
  <c r="B454" i="2" a="1"/>
  <c r="B454" i="2" s="1"/>
  <c r="B455" i="2" a="1"/>
  <c r="B455" i="2" s="1"/>
  <c r="B456" i="2" a="1"/>
  <c r="B456" i="2" s="1"/>
  <c r="B457" i="2" a="1"/>
  <c r="B457" i="2" s="1"/>
  <c r="B458" i="2" a="1"/>
  <c r="B458" i="2" s="1"/>
  <c r="B459" i="2" a="1"/>
  <c r="B459" i="2" s="1"/>
  <c r="B460" i="2" a="1"/>
  <c r="B460" i="2" s="1"/>
  <c r="B461" i="2" a="1"/>
  <c r="B461" i="2" s="1"/>
  <c r="B462" i="2" a="1"/>
  <c r="B462" i="2" s="1"/>
  <c r="B463" i="2" a="1"/>
  <c r="B463" i="2" s="1"/>
  <c r="B464" i="2" a="1"/>
  <c r="B464" i="2" s="1"/>
  <c r="B465" i="2" a="1"/>
  <c r="B465" i="2" s="1"/>
  <c r="B466" i="2" a="1"/>
  <c r="B466" i="2" s="1"/>
  <c r="B467" i="2" a="1"/>
  <c r="B467" i="2" s="1"/>
  <c r="B468" i="2" a="1"/>
  <c r="B468" i="2" s="1"/>
  <c r="B469" i="2" a="1"/>
  <c r="B469" i="2" s="1"/>
  <c r="B470" i="2" a="1"/>
  <c r="B470" i="2" s="1"/>
  <c r="B471" i="2" a="1"/>
  <c r="B471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78" i="2" a="1"/>
  <c r="B478" i="2" s="1"/>
  <c r="B479" i="2" a="1"/>
  <c r="B479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86" i="2" a="1"/>
  <c r="B486" i="2" s="1"/>
  <c r="B487" i="2" a="1"/>
  <c r="B487" i="2" s="1"/>
  <c r="B488" i="2" a="1"/>
  <c r="B488" i="2" s="1"/>
  <c r="B489" i="2" a="1"/>
  <c r="B489" i="2" s="1"/>
  <c r="B490" i="2" a="1"/>
  <c r="B490" i="2" s="1"/>
  <c r="B491" i="2" a="1"/>
  <c r="B491" i="2" s="1"/>
  <c r="B492" i="2" a="1"/>
  <c r="B492" i="2" s="1"/>
  <c r="B493" i="2" a="1"/>
  <c r="B493" i="2" s="1"/>
  <c r="B494" i="2" a="1"/>
  <c r="B494" i="2" s="1"/>
  <c r="B495" i="2" a="1"/>
  <c r="B495" i="2" s="1"/>
  <c r="B496" i="2" a="1"/>
  <c r="B496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/>
  <c r="B513" i="2" a="1"/>
  <c r="B513" i="2" s="1"/>
  <c r="B514" i="2" a="1"/>
  <c r="B514" i="2" s="1"/>
  <c r="B515" i="2" a="1"/>
  <c r="B515" i="2" s="1"/>
  <c r="B516" i="2" a="1"/>
  <c r="B516" i="2" s="1"/>
  <c r="B517" i="2" a="1"/>
  <c r="B517" i="2" s="1"/>
  <c r="B518" i="2" a="1"/>
  <c r="B518" i="2" s="1"/>
  <c r="B519" i="2" a="1"/>
  <c r="B519" i="2" s="1"/>
  <c r="B520" i="2" a="1"/>
  <c r="B520" i="2" s="1"/>
  <c r="B521" i="2" a="1"/>
  <c r="B521" i="2" s="1"/>
  <c r="B522" i="2" a="1"/>
  <c r="B522" i="2" s="1"/>
  <c r="B523" i="2" a="1"/>
  <c r="B523" i="2" s="1"/>
  <c r="B524" i="2" a="1"/>
  <c r="B524" i="2" s="1"/>
  <c r="B525" i="2" a="1"/>
  <c r="B525" i="2" s="1"/>
  <c r="B526" i="2" a="1"/>
  <c r="B526" i="2" s="1"/>
  <c r="B527" i="2" a="1"/>
  <c r="B527" i="2" s="1"/>
  <c r="B528" i="2" a="1"/>
  <c r="B528" i="2" s="1"/>
  <c r="B529" i="2" a="1"/>
  <c r="B529" i="2" s="1"/>
  <c r="B530" i="2" a="1"/>
  <c r="B530" i="2" s="1"/>
  <c r="B531" i="2" a="1"/>
  <c r="B531" i="2" s="1"/>
  <c r="B532" i="2" a="1"/>
  <c r="B532" i="2" s="1"/>
  <c r="B533" i="2" a="1"/>
  <c r="B533" i="2" s="1"/>
  <c r="B534" i="2" a="1"/>
  <c r="B534" i="2" s="1"/>
  <c r="B535" i="2" a="1"/>
  <c r="B535" i="2" s="1"/>
  <c r="B536" i="2" a="1"/>
  <c r="B536" i="2" s="1"/>
  <c r="B537" i="2" a="1"/>
  <c r="B537" i="2" s="1"/>
  <c r="B538" i="2" a="1"/>
  <c r="B538" i="2" s="1"/>
  <c r="B539" i="2" a="1"/>
  <c r="B539" i="2" s="1"/>
  <c r="B540" i="2" a="1"/>
  <c r="B540" i="2" s="1"/>
  <c r="B541" i="2" a="1"/>
  <c r="B541" i="2" s="1"/>
  <c r="B542" i="2" a="1"/>
  <c r="B542" i="2" s="1"/>
  <c r="B543" i="2" a="1"/>
  <c r="B543" i="2" s="1"/>
  <c r="B544" i="2" a="1"/>
  <c r="B544" i="2" s="1"/>
  <c r="B545" i="2" a="1"/>
  <c r="B545" i="2" s="1"/>
  <c r="B546" i="2" a="1"/>
  <c r="B546" i="2" s="1"/>
  <c r="B547" i="2" a="1"/>
  <c r="B547" i="2" s="1"/>
  <c r="B548" i="2" a="1"/>
  <c r="B548" i="2" s="1"/>
  <c r="B549" i="2" a="1"/>
  <c r="B549" i="2" s="1"/>
  <c r="B550" i="2" a="1"/>
  <c r="B550" i="2" s="1"/>
  <c r="B551" i="2" a="1"/>
  <c r="B551" i="2" s="1"/>
  <c r="B552" i="2" a="1"/>
  <c r="B552" i="2" s="1"/>
  <c r="B553" i="2" a="1"/>
  <c r="B553" i="2" s="1"/>
  <c r="B554" i="2" a="1"/>
  <c r="B554" i="2" s="1"/>
  <c r="B555" i="2" a="1"/>
  <c r="B555" i="2" s="1"/>
  <c r="B556" i="2" a="1"/>
  <c r="B556" i="2" s="1"/>
  <c r="B557" i="2" a="1"/>
  <c r="B557" i="2" s="1"/>
  <c r="B558" i="2" a="1"/>
  <c r="B558" i="2" s="1"/>
  <c r="B559" i="2" a="1"/>
  <c r="B559" i="2" s="1"/>
  <c r="B560" i="2" a="1"/>
  <c r="B560" i="2" s="1"/>
  <c r="B561" i="2" a="1"/>
  <c r="B561" i="2" s="1"/>
  <c r="B562" i="2" a="1"/>
  <c r="B562" i="2" s="1"/>
  <c r="B563" i="2" a="1"/>
  <c r="B563" i="2" s="1"/>
  <c r="B564" i="2" a="1"/>
  <c r="B564" i="2" s="1"/>
  <c r="B565" i="2" a="1"/>
  <c r="B565" i="2" s="1"/>
  <c r="B566" i="2" a="1"/>
  <c r="B566" i="2" s="1"/>
  <c r="B567" i="2" a="1"/>
  <c r="B567" i="2" s="1"/>
  <c r="B568" i="2" a="1"/>
  <c r="B568" i="2" s="1"/>
  <c r="B569" i="2" a="1"/>
  <c r="B569" i="2" s="1"/>
  <c r="B570" i="2" a="1"/>
  <c r="B570" i="2" s="1"/>
  <c r="B571" i="2" a="1"/>
  <c r="B571" i="2" s="1"/>
  <c r="B572" i="2" a="1"/>
  <c r="B572" i="2" s="1"/>
  <c r="B573" i="2" a="1"/>
  <c r="B573" i="2" s="1"/>
  <c r="B574" i="2" a="1"/>
  <c r="B574" i="2" s="1"/>
  <c r="B575" i="2" a="1"/>
  <c r="B575" i="2" s="1"/>
  <c r="B576" i="2" a="1"/>
  <c r="B576" i="2" s="1"/>
  <c r="B577" i="2" a="1"/>
  <c r="B577" i="2"/>
  <c r="B578" i="2" a="1"/>
  <c r="B578" i="2" s="1"/>
  <c r="B579" i="2" a="1"/>
  <c r="B579" i="2" s="1"/>
  <c r="B580" i="2" a="1"/>
  <c r="B580" i="2" s="1"/>
  <c r="B581" i="2" a="1"/>
  <c r="B581" i="2" s="1"/>
  <c r="B582" i="2" a="1"/>
  <c r="B582" i="2" s="1"/>
  <c r="B583" i="2" a="1"/>
  <c r="B583" i="2" s="1"/>
  <c r="B584" i="2" a="1"/>
  <c r="B584" i="2" s="1"/>
  <c r="B585" i="2" a="1"/>
  <c r="B585" i="2" s="1"/>
  <c r="B586" i="2" a="1"/>
  <c r="B586" i="2" s="1"/>
  <c r="B587" i="2" a="1"/>
  <c r="B587" i="2" s="1"/>
  <c r="B588" i="2" a="1"/>
  <c r="B588" i="2" s="1"/>
  <c r="B589" i="2" a="1"/>
  <c r="B589" i="2" s="1"/>
  <c r="B590" i="2" a="1"/>
  <c r="B590" i="2" s="1"/>
  <c r="B591" i="2" a="1"/>
  <c r="B591" i="2" s="1"/>
  <c r="B592" i="2" a="1"/>
  <c r="B592" i="2" s="1"/>
  <c r="B593" i="2" a="1"/>
  <c r="B593" i="2" s="1"/>
  <c r="B594" i="2" a="1"/>
  <c r="B594" i="2" s="1"/>
  <c r="B595" i="2" a="1"/>
  <c r="B595" i="2" s="1"/>
  <c r="B596" i="2" a="1"/>
  <c r="B596" i="2" s="1"/>
  <c r="B597" i="2" a="1"/>
  <c r="B597" i="2" s="1"/>
  <c r="B598" i="2" a="1"/>
  <c r="B598" i="2" s="1"/>
  <c r="B599" i="2" a="1"/>
  <c r="B599" i="2" s="1"/>
  <c r="B600" i="2" a="1"/>
  <c r="B600" i="2" s="1"/>
  <c r="B601" i="2" a="1"/>
  <c r="B601" i="2" s="1"/>
  <c r="B602" i="2" a="1"/>
  <c r="B602" i="2" s="1"/>
  <c r="B603" i="2" a="1"/>
  <c r="B603" i="2" s="1"/>
  <c r="B604" i="2" a="1"/>
  <c r="B604" i="2" s="1"/>
  <c r="B605" i="2" a="1"/>
  <c r="B605" i="2" s="1"/>
  <c r="B606" i="2" a="1"/>
  <c r="B606" i="2" s="1"/>
  <c r="B607" i="2" a="1"/>
  <c r="B607" i="2" s="1"/>
  <c r="B608" i="2" a="1"/>
  <c r="B608" i="2" s="1"/>
  <c r="B609" i="2" a="1"/>
  <c r="B609" i="2" s="1"/>
  <c r="B610" i="2" a="1"/>
  <c r="B610" i="2" s="1"/>
  <c r="B611" i="2" a="1"/>
  <c r="B611" i="2" s="1"/>
  <c r="B612" i="2" a="1"/>
  <c r="B612" i="2" s="1"/>
  <c r="B613" i="2" a="1"/>
  <c r="B613" i="2" s="1"/>
  <c r="B614" i="2" a="1"/>
  <c r="B614" i="2" s="1"/>
  <c r="B615" i="2" a="1"/>
  <c r="B615" i="2" s="1"/>
  <c r="B616" i="2" a="1"/>
  <c r="B616" i="2" s="1"/>
  <c r="B617" i="2" a="1"/>
  <c r="B617" i="2" s="1"/>
  <c r="B618" i="2" a="1"/>
  <c r="B618" i="2" s="1"/>
  <c r="B619" i="2" a="1"/>
  <c r="B619" i="2" s="1"/>
  <c r="B620" i="2" a="1"/>
  <c r="B620" i="2" s="1"/>
  <c r="B621" i="2" a="1"/>
  <c r="B621" i="2" s="1"/>
  <c r="B622" i="2" a="1"/>
  <c r="B622" i="2" s="1"/>
  <c r="B623" i="2" a="1"/>
  <c r="B623" i="2" s="1"/>
  <c r="B624" i="2" a="1"/>
  <c r="B624" i="2" s="1"/>
  <c r="B625" i="2" a="1"/>
  <c r="B625" i="2" s="1"/>
  <c r="B626" i="2" a="1"/>
  <c r="B626" i="2" s="1"/>
  <c r="B627" i="2" a="1"/>
  <c r="B627" i="2" s="1"/>
  <c r="B628" i="2" a="1"/>
  <c r="B628" i="2" s="1"/>
  <c r="B629" i="2" a="1"/>
  <c r="B629" i="2" s="1"/>
  <c r="B630" i="2" a="1"/>
  <c r="B630" i="2" s="1"/>
  <c r="B631" i="2" a="1"/>
  <c r="B631" i="2" s="1"/>
  <c r="B632" i="2" a="1"/>
  <c r="B632" i="2" s="1"/>
  <c r="B633" i="2" a="1"/>
  <c r="B633" i="2"/>
  <c r="B634" i="2" a="1"/>
  <c r="B634" i="2" s="1"/>
  <c r="B635" i="2" a="1"/>
  <c r="B635" i="2" s="1"/>
  <c r="B636" i="2" a="1"/>
  <c r="B636" i="2" s="1"/>
  <c r="B637" i="2" a="1"/>
  <c r="B637" i="2" s="1"/>
  <c r="B638" i="2" a="1"/>
  <c r="B638" i="2" s="1"/>
  <c r="B639" i="2" a="1"/>
  <c r="B639" i="2" s="1"/>
  <c r="B640" i="2" a="1"/>
  <c r="B640" i="2" s="1"/>
  <c r="B641" i="2" a="1"/>
  <c r="B641" i="2" s="1"/>
  <c r="B642" i="2" a="1"/>
  <c r="B642" i="2" s="1"/>
  <c r="B643" i="2" a="1"/>
  <c r="B643" i="2" s="1"/>
  <c r="B644" i="2" a="1"/>
  <c r="B644" i="2" s="1"/>
  <c r="B645" i="2" a="1"/>
  <c r="B645" i="2" s="1"/>
  <c r="B646" i="2" a="1"/>
  <c r="B646" i="2" s="1"/>
  <c r="B647" i="2" a="1"/>
  <c r="B647" i="2" s="1"/>
  <c r="B648" i="2" a="1"/>
  <c r="B648" i="2" s="1"/>
  <c r="B649" i="2" a="1"/>
  <c r="B649" i="2" s="1"/>
  <c r="B650" i="2" a="1"/>
  <c r="B650" i="2" s="1"/>
  <c r="B651" i="2" a="1"/>
  <c r="B651" i="2" s="1"/>
  <c r="B652" i="2" a="1"/>
  <c r="B652" i="2" s="1"/>
  <c r="B653" i="2" a="1"/>
  <c r="B653" i="2" s="1"/>
  <c r="B654" i="2" a="1"/>
  <c r="B654" i="2" s="1"/>
  <c r="B655" i="2" a="1"/>
  <c r="B655" i="2" s="1"/>
  <c r="B656" i="2" a="1"/>
  <c r="B656" i="2" s="1"/>
  <c r="B657" i="2" a="1"/>
  <c r="B657" i="2" s="1"/>
  <c r="B658" i="2" a="1"/>
  <c r="B658" i="2" s="1"/>
  <c r="B659" i="2" a="1"/>
  <c r="B659" i="2" s="1"/>
  <c r="B660" i="2" a="1"/>
  <c r="B660" i="2" s="1"/>
  <c r="B661" i="2" a="1"/>
  <c r="B661" i="2" s="1"/>
  <c r="B662" i="2" a="1"/>
  <c r="B662" i="2" s="1"/>
  <c r="B663" i="2" a="1"/>
  <c r="B663" i="2" s="1"/>
  <c r="B664" i="2" a="1"/>
  <c r="B664" i="2" s="1"/>
  <c r="B665" i="2" a="1"/>
  <c r="B665" i="2" s="1"/>
  <c r="B666" i="2" a="1"/>
  <c r="B666" i="2" s="1"/>
  <c r="B667" i="2" a="1"/>
  <c r="B667" i="2" s="1"/>
  <c r="B668" i="2" a="1"/>
  <c r="B668" i="2" s="1"/>
  <c r="B669" i="2" a="1"/>
  <c r="B669" i="2" s="1"/>
  <c r="B670" i="2" a="1"/>
  <c r="B670" i="2" s="1"/>
  <c r="B671" i="2" a="1"/>
  <c r="B671" i="2" s="1"/>
  <c r="B672" i="2" a="1"/>
  <c r="B672" i="2" s="1"/>
  <c r="B673" i="2" a="1"/>
  <c r="B673" i="2" s="1"/>
  <c r="B674" i="2" a="1"/>
  <c r="B674" i="2" s="1"/>
  <c r="B675" i="2" a="1"/>
  <c r="B675" i="2" s="1"/>
  <c r="B676" i="2" a="1"/>
  <c r="B676" i="2" s="1"/>
  <c r="B677" i="2" a="1"/>
  <c r="B677" i="2" s="1"/>
  <c r="B678" i="2" a="1"/>
  <c r="B678" i="2" s="1"/>
  <c r="B679" i="2" a="1"/>
  <c r="B679" i="2" s="1"/>
  <c r="B680" i="2" a="1"/>
  <c r="B680" i="2" s="1"/>
  <c r="B681" i="2" a="1"/>
  <c r="B681" i="2" s="1"/>
  <c r="B682" i="2" a="1"/>
  <c r="B682" i="2" s="1"/>
  <c r="B683" i="2" a="1"/>
  <c r="B683" i="2" s="1"/>
  <c r="B684" i="2" a="1"/>
  <c r="B684" i="2" s="1"/>
  <c r="B685" i="2" a="1"/>
  <c r="B685" i="2" s="1"/>
  <c r="B686" i="2" a="1"/>
  <c r="B686" i="2" s="1"/>
  <c r="B687" i="2" a="1"/>
  <c r="B687" i="2" s="1"/>
  <c r="B688" i="2" a="1"/>
  <c r="B688" i="2" s="1"/>
  <c r="B689" i="2" a="1"/>
  <c r="B689" i="2" s="1"/>
  <c r="B690" i="2" a="1"/>
  <c r="B690" i="2" s="1"/>
  <c r="B691" i="2" a="1"/>
  <c r="B691" i="2" s="1"/>
  <c r="B692" i="2" a="1"/>
  <c r="B692" i="2" s="1"/>
  <c r="B693" i="2" a="1"/>
  <c r="B693" i="2" s="1"/>
  <c r="B694" i="2" a="1"/>
  <c r="B694" i="2" s="1"/>
  <c r="B695" i="2" a="1"/>
  <c r="B695" i="2" s="1"/>
  <c r="B696" i="2" a="1"/>
  <c r="B696" i="2" s="1"/>
  <c r="B697" i="2" a="1"/>
  <c r="B697" i="2" s="1"/>
  <c r="B698" i="2" a="1"/>
  <c r="B698" i="2" s="1"/>
  <c r="B699" i="2" a="1"/>
  <c r="B699" i="2" s="1"/>
  <c r="B700" i="2" a="1"/>
  <c r="B700" i="2" s="1"/>
  <c r="B701" i="2" a="1"/>
  <c r="B701" i="2" s="1"/>
  <c r="B702" i="2" a="1"/>
  <c r="B702" i="2" s="1"/>
  <c r="B703" i="2" a="1"/>
  <c r="B703" i="2" s="1"/>
  <c r="B704" i="2" a="1"/>
  <c r="B704" i="2" s="1"/>
  <c r="B705" i="2" a="1"/>
  <c r="B705" i="2" s="1"/>
  <c r="B706" i="2" a="1"/>
  <c r="B706" i="2" s="1"/>
  <c r="B707" i="2" a="1"/>
  <c r="B707" i="2" s="1"/>
  <c r="B708" i="2" a="1"/>
  <c r="B708" i="2" s="1"/>
  <c r="B709" i="2" a="1"/>
  <c r="B709" i="2" s="1"/>
  <c r="B710" i="2" a="1"/>
  <c r="B710" i="2" s="1"/>
  <c r="B711" i="2" a="1"/>
  <c r="B711" i="2" s="1"/>
  <c r="B712" i="2" a="1"/>
  <c r="B712" i="2" s="1"/>
  <c r="B713" i="2" a="1"/>
  <c r="B713" i="2" s="1"/>
  <c r="B714" i="2" a="1"/>
  <c r="B714" i="2" s="1"/>
  <c r="B715" i="2" a="1"/>
  <c r="B715" i="2" s="1"/>
  <c r="B716" i="2" a="1"/>
  <c r="B716" i="2" s="1"/>
  <c r="B717" i="2" a="1"/>
  <c r="B717" i="2" s="1"/>
  <c r="B718" i="2" a="1"/>
  <c r="B718" i="2" s="1"/>
  <c r="B719" i="2" a="1"/>
  <c r="B719" i="2" s="1"/>
  <c r="B720" i="2" a="1"/>
  <c r="B720" i="2" s="1"/>
  <c r="B721" i="2" a="1"/>
  <c r="B721" i="2" s="1"/>
  <c r="B722" i="2" a="1"/>
  <c r="B722" i="2" s="1"/>
  <c r="B723" i="2" a="1"/>
  <c r="B723" i="2" s="1"/>
  <c r="B724" i="2" a="1"/>
  <c r="B724" i="2" s="1"/>
  <c r="B725" i="2" a="1"/>
  <c r="B725" i="2" s="1"/>
  <c r="B726" i="2" a="1"/>
  <c r="B726" i="2" s="1"/>
  <c r="B727" i="2" a="1"/>
  <c r="B727" i="2" s="1"/>
  <c r="B728" i="2" a="1"/>
  <c r="B728" i="2" s="1"/>
  <c r="B729" i="2" a="1"/>
  <c r="B729" i="2" s="1"/>
  <c r="B730" i="2" a="1"/>
  <c r="B730" i="2" s="1"/>
  <c r="B731" i="2" a="1"/>
  <c r="B731" i="2" s="1"/>
  <c r="B732" i="2" a="1"/>
  <c r="B732" i="2" s="1"/>
  <c r="B733" i="2" a="1"/>
  <c r="B733" i="2" s="1"/>
  <c r="B734" i="2" a="1"/>
  <c r="B734" i="2" s="1"/>
  <c r="B735" i="2" a="1"/>
  <c r="B735" i="2" s="1"/>
  <c r="B736" i="2" a="1"/>
  <c r="B736" i="2" s="1"/>
  <c r="B737" i="2" a="1"/>
  <c r="B737" i="2" s="1"/>
  <c r="B738" i="2" a="1"/>
  <c r="B738" i="2" s="1"/>
  <c r="B739" i="2" a="1"/>
  <c r="B739" i="2" s="1"/>
  <c r="B740" i="2" a="1"/>
  <c r="B740" i="2" s="1"/>
  <c r="B741" i="2" a="1"/>
  <c r="B741" i="2" s="1"/>
  <c r="B742" i="2" a="1"/>
  <c r="B742" i="2" s="1"/>
  <c r="B743" i="2" a="1"/>
  <c r="B743" i="2" s="1"/>
  <c r="B744" i="2" a="1"/>
  <c r="B744" i="2" s="1"/>
  <c r="B745" i="2" a="1"/>
  <c r="B745" i="2" s="1"/>
  <c r="B746" i="2" a="1"/>
  <c r="B746" i="2" s="1"/>
  <c r="B747" i="2" a="1"/>
  <c r="B747" i="2" s="1"/>
  <c r="B748" i="2" a="1"/>
  <c r="B748" i="2" s="1"/>
  <c r="B749" i="2" a="1"/>
  <c r="B749" i="2" s="1"/>
  <c r="B750" i="2" a="1"/>
  <c r="B750" i="2" s="1"/>
  <c r="B751" i="2" a="1"/>
  <c r="B751" i="2" s="1"/>
  <c r="B752" i="2" a="1"/>
  <c r="B752" i="2" s="1"/>
  <c r="B753" i="2" a="1"/>
  <c r="B753" i="2" s="1"/>
  <c r="B754" i="2" a="1"/>
  <c r="B754" i="2" s="1"/>
  <c r="B755" i="2" a="1"/>
  <c r="B755" i="2" s="1"/>
  <c r="B756" i="2" a="1"/>
  <c r="B756" i="2" s="1"/>
  <c r="B757" i="2" a="1"/>
  <c r="B757" i="2" s="1"/>
  <c r="B758" i="2" a="1"/>
  <c r="B758" i="2" s="1"/>
  <c r="B759" i="2" a="1"/>
  <c r="B759" i="2" s="1"/>
  <c r="B760" i="2" a="1"/>
  <c r="B760" i="2" s="1"/>
  <c r="B761" i="2" a="1"/>
  <c r="B761" i="2" s="1"/>
  <c r="B762" i="2" a="1"/>
  <c r="B762" i="2" s="1"/>
  <c r="B763" i="2" a="1"/>
  <c r="B763" i="2" s="1"/>
  <c r="B764" i="2" a="1"/>
  <c r="B764" i="2" s="1"/>
  <c r="B765" i="2" a="1"/>
  <c r="B765" i="2" s="1"/>
  <c r="B766" i="2" a="1"/>
  <c r="B766" i="2" s="1"/>
  <c r="B767" i="2" a="1"/>
  <c r="B767" i="2" s="1"/>
  <c r="B768" i="2" a="1"/>
  <c r="B768" i="2" s="1"/>
  <c r="B769" i="2" a="1"/>
  <c r="B769" i="2" s="1"/>
  <c r="B770" i="2" a="1"/>
  <c r="B770" i="2" s="1"/>
  <c r="B771" i="2" a="1"/>
  <c r="B771" i="2" s="1"/>
  <c r="B772" i="2" a="1"/>
  <c r="B772" i="2" s="1"/>
  <c r="B773" i="2" a="1"/>
  <c r="B773" i="2" s="1"/>
  <c r="B774" i="2" a="1"/>
  <c r="B774" i="2" s="1"/>
  <c r="B775" i="2" a="1"/>
  <c r="B775" i="2" s="1"/>
  <c r="B776" i="2" a="1"/>
  <c r="B776" i="2" s="1"/>
  <c r="B777" i="2" a="1"/>
  <c r="B777" i="2" s="1"/>
  <c r="B778" i="2" a="1"/>
  <c r="B778" i="2" s="1"/>
  <c r="B779" i="2" a="1"/>
  <c r="B779" i="2" s="1"/>
  <c r="B780" i="2" a="1"/>
  <c r="B780" i="2" s="1"/>
  <c r="B781" i="2" a="1"/>
  <c r="B781" i="2" s="1"/>
  <c r="B782" i="2" a="1"/>
  <c r="B782" i="2" s="1"/>
  <c r="B783" i="2" a="1"/>
  <c r="B783" i="2" s="1"/>
  <c r="B784" i="2" a="1"/>
  <c r="B784" i="2" s="1"/>
  <c r="B785" i="2" a="1"/>
  <c r="B785" i="2" s="1"/>
  <c r="B786" i="2" a="1"/>
  <c r="B786" i="2" s="1"/>
  <c r="B787" i="2" a="1"/>
  <c r="B787" i="2" s="1"/>
  <c r="B788" i="2" a="1"/>
  <c r="B788" i="2" s="1"/>
  <c r="B789" i="2" a="1"/>
  <c r="B789" i="2" s="1"/>
  <c r="B790" i="2" a="1"/>
  <c r="B790" i="2" s="1"/>
  <c r="B791" i="2" a="1"/>
  <c r="B791" i="2" s="1"/>
  <c r="B792" i="2" a="1"/>
  <c r="B792" i="2" s="1"/>
  <c r="B793" i="2" a="1"/>
  <c r="B793" i="2" s="1"/>
  <c r="B794" i="2" a="1"/>
  <c r="B794" i="2" s="1"/>
  <c r="B795" i="2" a="1"/>
  <c r="B795" i="2" s="1"/>
  <c r="B796" i="2" a="1"/>
  <c r="B796" i="2" s="1"/>
  <c r="B797" i="2" a="1"/>
  <c r="B797" i="2" s="1"/>
  <c r="B798" i="2" a="1"/>
  <c r="B798" i="2" s="1"/>
  <c r="B799" i="2" a="1"/>
  <c r="B799" i="2" s="1"/>
  <c r="B800" i="2" a="1"/>
  <c r="B800" i="2" s="1"/>
  <c r="B801" i="2" a="1"/>
  <c r="B801" i="2" s="1"/>
  <c r="B802" i="2" a="1"/>
  <c r="B802" i="2" s="1"/>
  <c r="B803" i="2" a="1"/>
  <c r="B803" i="2" s="1"/>
  <c r="B804" i="2" a="1"/>
  <c r="B804" i="2" s="1"/>
  <c r="B805" i="2" a="1"/>
  <c r="B805" i="2" s="1"/>
  <c r="B806" i="2" a="1"/>
  <c r="B806" i="2" s="1"/>
  <c r="B807" i="2" a="1"/>
  <c r="B807" i="2" s="1"/>
  <c r="B808" i="2" a="1"/>
  <c r="B808" i="2" s="1"/>
  <c r="B809" i="2" a="1"/>
  <c r="B809" i="2" s="1"/>
  <c r="B810" i="2" a="1"/>
  <c r="B810" i="2" s="1"/>
  <c r="B811" i="2" a="1"/>
  <c r="B811" i="2" s="1"/>
  <c r="B812" i="2" a="1"/>
  <c r="B812" i="2" s="1"/>
  <c r="B813" i="2" a="1"/>
  <c r="B813" i="2" s="1"/>
  <c r="B814" i="2" a="1"/>
  <c r="B814" i="2" s="1"/>
  <c r="B815" i="2" a="1"/>
  <c r="B815" i="2" s="1"/>
  <c r="B816" i="2" a="1"/>
  <c r="B816" i="2" s="1"/>
  <c r="B817" i="2" a="1"/>
  <c r="B817" i="2" s="1"/>
  <c r="B818" i="2" a="1"/>
  <c r="B818" i="2" s="1"/>
  <c r="B819" i="2" a="1"/>
  <c r="B819" i="2" s="1"/>
  <c r="B820" i="2" a="1"/>
  <c r="B820" i="2" s="1"/>
  <c r="B821" i="2" a="1"/>
  <c r="B821" i="2" s="1"/>
  <c r="B822" i="2" a="1"/>
  <c r="B822" i="2" s="1"/>
  <c r="B823" i="2" a="1"/>
  <c r="B823" i="2" s="1"/>
  <c r="B824" i="2" a="1"/>
  <c r="B824" i="2" s="1"/>
  <c r="B825" i="2" a="1"/>
  <c r="B825" i="2" s="1"/>
  <c r="B826" i="2" a="1"/>
  <c r="B826" i="2" s="1"/>
  <c r="B827" i="2" a="1"/>
  <c r="B827" i="2" s="1"/>
  <c r="B828" i="2" a="1"/>
  <c r="B828" i="2" s="1"/>
  <c r="B829" i="2" a="1"/>
  <c r="B829" i="2" s="1"/>
  <c r="B830" i="2" a="1"/>
  <c r="B830" i="2" s="1"/>
  <c r="B831" i="2" a="1"/>
  <c r="B831" i="2" s="1"/>
  <c r="B832" i="2" a="1"/>
  <c r="B832" i="2" s="1"/>
  <c r="B833" i="2" a="1"/>
  <c r="B833" i="2" s="1"/>
  <c r="B834" i="2" a="1"/>
  <c r="B834" i="2" s="1"/>
  <c r="B835" i="2" a="1"/>
  <c r="B835" i="2" s="1"/>
  <c r="B836" i="2" a="1"/>
  <c r="B836" i="2" s="1"/>
  <c r="B837" i="2" a="1"/>
  <c r="B837" i="2" s="1"/>
  <c r="B838" i="2" a="1"/>
  <c r="B838" i="2" s="1"/>
  <c r="B839" i="2" a="1"/>
  <c r="B839" i="2" s="1"/>
  <c r="B840" i="2" a="1"/>
  <c r="B840" i="2" s="1"/>
  <c r="B841" i="2" a="1"/>
  <c r="B841" i="2" s="1"/>
  <c r="B842" i="2" a="1"/>
  <c r="B842" i="2" s="1"/>
  <c r="B843" i="2" a="1"/>
  <c r="B843" i="2" s="1"/>
  <c r="B844" i="2" a="1"/>
  <c r="B844" i="2" s="1"/>
  <c r="B845" i="2" a="1"/>
  <c r="B845" i="2" s="1"/>
  <c r="B846" i="2" a="1"/>
  <c r="B846" i="2"/>
  <c r="B847" i="2" a="1"/>
  <c r="B847" i="2" s="1"/>
  <c r="B848" i="2" a="1"/>
  <c r="B848" i="2" s="1"/>
  <c r="B849" i="2" a="1"/>
  <c r="B849" i="2" s="1"/>
  <c r="B850" i="2" a="1"/>
  <c r="B850" i="2" s="1"/>
  <c r="B851" i="2" a="1"/>
  <c r="B851" i="2" s="1"/>
  <c r="B852" i="2" a="1"/>
  <c r="B852" i="2" s="1"/>
  <c r="B853" i="2" a="1"/>
  <c r="B853" i="2" s="1"/>
  <c r="B854" i="2" a="1"/>
  <c r="B854" i="2" s="1"/>
  <c r="B855" i="2" a="1"/>
  <c r="B855" i="2" s="1"/>
  <c r="B856" i="2" a="1"/>
  <c r="B856" i="2" s="1"/>
  <c r="B857" i="2" a="1"/>
  <c r="B857" i="2" s="1"/>
  <c r="B858" i="2" a="1"/>
  <c r="B858" i="2" s="1"/>
  <c r="B859" i="2" a="1"/>
  <c r="B859" i="2" s="1"/>
  <c r="B860" i="2" a="1"/>
  <c r="B860" i="2" s="1"/>
  <c r="B861" i="2" a="1"/>
  <c r="B861" i="2" s="1"/>
  <c r="B862" i="2" a="1"/>
  <c r="B862" i="2" s="1"/>
  <c r="B863" i="2" a="1"/>
  <c r="B863" i="2" s="1"/>
  <c r="B864" i="2" a="1"/>
  <c r="B864" i="2" s="1"/>
  <c r="B865" i="2" a="1"/>
  <c r="B865" i="2" s="1"/>
  <c r="B866" i="2" a="1"/>
  <c r="B866" i="2" s="1"/>
  <c r="B867" i="2" a="1"/>
  <c r="B867" i="2" s="1"/>
  <c r="B868" i="2" a="1"/>
  <c r="B868" i="2" s="1"/>
  <c r="B869" i="2" a="1"/>
  <c r="B869" i="2" s="1"/>
  <c r="B870" i="2" a="1"/>
  <c r="B870" i="2" s="1"/>
  <c r="B871" i="2" a="1"/>
  <c r="B871" i="2" s="1"/>
  <c r="B872" i="2" a="1"/>
  <c r="B872" i="2" s="1"/>
  <c r="B873" i="2" a="1"/>
  <c r="B873" i="2" s="1"/>
  <c r="B874" i="2" a="1"/>
  <c r="B874" i="2" s="1"/>
  <c r="B875" i="2" a="1"/>
  <c r="B875" i="2" s="1"/>
  <c r="B876" i="2" a="1"/>
  <c r="B876" i="2" s="1"/>
  <c r="B877" i="2" a="1"/>
  <c r="B877" i="2" s="1"/>
  <c r="B878" i="2" a="1"/>
  <c r="B878" i="2" s="1"/>
  <c r="B879" i="2" a="1"/>
  <c r="B879" i="2" s="1"/>
  <c r="B880" i="2" a="1"/>
  <c r="B880" i="2" s="1"/>
  <c r="B881" i="2" a="1"/>
  <c r="B881" i="2" s="1"/>
  <c r="B882" i="2" a="1"/>
  <c r="B882" i="2" s="1"/>
  <c r="B883" i="2" a="1"/>
  <c r="B883" i="2" s="1"/>
  <c r="B884" i="2" a="1"/>
  <c r="B884" i="2" s="1"/>
  <c r="B885" i="2" a="1"/>
  <c r="B885" i="2" s="1"/>
  <c r="B886" i="2" a="1"/>
  <c r="B886" i="2" s="1"/>
  <c r="B887" i="2" a="1"/>
  <c r="B887" i="2" s="1"/>
  <c r="B888" i="2" a="1"/>
  <c r="B888" i="2" s="1"/>
  <c r="B889" i="2" a="1"/>
  <c r="B889" i="2" s="1"/>
  <c r="B890" i="2" a="1"/>
  <c r="B890" i="2" s="1"/>
  <c r="B891" i="2" a="1"/>
  <c r="B891" i="2" s="1"/>
  <c r="B892" i="2" a="1"/>
  <c r="B892" i="2" s="1"/>
  <c r="B893" i="2" a="1"/>
  <c r="B893" i="2" s="1"/>
  <c r="B894" i="2" a="1"/>
  <c r="B894" i="2" s="1"/>
  <c r="B895" i="2" a="1"/>
  <c r="B895" i="2" s="1"/>
  <c r="B896" i="2" a="1"/>
  <c r="B896" i="2" s="1"/>
  <c r="B897" i="2" a="1"/>
  <c r="B897" i="2" s="1"/>
  <c r="B898" i="2" a="1"/>
  <c r="B898" i="2" s="1"/>
  <c r="B899" i="2" a="1"/>
  <c r="B899" i="2" s="1"/>
  <c r="B900" i="2" a="1"/>
  <c r="B900" i="2" s="1"/>
  <c r="B901" i="2" a="1"/>
  <c r="B901" i="2" s="1"/>
  <c r="B902" i="2" a="1"/>
  <c r="B902" i="2" s="1"/>
  <c r="B903" i="2" a="1"/>
  <c r="B903" i="2" s="1"/>
  <c r="B904" i="2" a="1"/>
  <c r="B904" i="2" s="1"/>
  <c r="B905" i="2" a="1"/>
  <c r="B905" i="2" s="1"/>
  <c r="B906" i="2" a="1"/>
  <c r="B906" i="2" s="1"/>
  <c r="B907" i="2" a="1"/>
  <c r="B907" i="2" s="1"/>
  <c r="B908" i="2" a="1"/>
  <c r="B908" i="2" s="1"/>
  <c r="B909" i="2" a="1"/>
  <c r="B909" i="2" s="1"/>
  <c r="B910" i="2" a="1"/>
  <c r="B910" i="2" s="1"/>
  <c r="B911" i="2" a="1"/>
  <c r="B911" i="2" s="1"/>
  <c r="B912" i="2" a="1"/>
  <c r="B912" i="2" s="1"/>
  <c r="B913" i="2" a="1"/>
  <c r="B913" i="2" s="1"/>
  <c r="B914" i="2" a="1"/>
  <c r="B914" i="2" s="1"/>
  <c r="B915" i="2" a="1"/>
  <c r="B915" i="2" s="1"/>
  <c r="B916" i="2" a="1"/>
  <c r="B916" i="2" s="1"/>
  <c r="B917" i="2" a="1"/>
  <c r="B917" i="2" s="1"/>
  <c r="B918" i="2" a="1"/>
  <c r="B918" i="2" s="1"/>
  <c r="B919" i="2" a="1"/>
  <c r="B919" i="2" s="1"/>
  <c r="B920" i="2" a="1"/>
  <c r="B920" i="2" s="1"/>
  <c r="B921" i="2" a="1"/>
  <c r="B921" i="2" s="1"/>
  <c r="B922" i="2" a="1"/>
  <c r="B922" i="2" s="1"/>
  <c r="B923" i="2" a="1"/>
  <c r="B923" i="2" s="1"/>
  <c r="B924" i="2" a="1"/>
  <c r="B924" i="2" s="1"/>
  <c r="B925" i="2" a="1"/>
  <c r="B925" i="2" s="1"/>
  <c r="B926" i="2" a="1"/>
  <c r="B926" i="2" s="1"/>
  <c r="B927" i="2" a="1"/>
  <c r="B927" i="2" s="1"/>
  <c r="B928" i="2" a="1"/>
  <c r="B928" i="2" s="1"/>
  <c r="B929" i="2" a="1"/>
  <c r="B929" i="2" s="1"/>
  <c r="B930" i="2" a="1"/>
  <c r="B930" i="2" s="1"/>
  <c r="B931" i="2" a="1"/>
  <c r="B931" i="2" s="1"/>
  <c r="B932" i="2" a="1"/>
  <c r="B932" i="2" s="1"/>
  <c r="B933" i="2" a="1"/>
  <c r="B933" i="2" s="1"/>
  <c r="B934" i="2" a="1"/>
  <c r="B934" i="2" s="1"/>
  <c r="B935" i="2" a="1"/>
  <c r="B935" i="2" s="1"/>
  <c r="B936" i="2" a="1"/>
  <c r="B936" i="2" s="1"/>
  <c r="B937" i="2" a="1"/>
  <c r="B937" i="2" s="1"/>
  <c r="B938" i="2" a="1"/>
  <c r="B938" i="2" s="1"/>
  <c r="B939" i="2" a="1"/>
  <c r="B939" i="2" s="1"/>
  <c r="B940" i="2" a="1"/>
  <c r="B940" i="2" s="1"/>
  <c r="B941" i="2" a="1"/>
  <c r="B941" i="2" s="1"/>
  <c r="B942" i="2" a="1"/>
  <c r="B942" i="2" s="1"/>
  <c r="B943" i="2" a="1"/>
  <c r="B943" i="2" s="1"/>
  <c r="B944" i="2" a="1"/>
  <c r="B944" i="2" s="1"/>
  <c r="B945" i="2" a="1"/>
  <c r="B945" i="2" s="1"/>
  <c r="B946" i="2" a="1"/>
  <c r="B946" i="2" s="1"/>
  <c r="B947" i="2" a="1"/>
  <c r="B947" i="2" s="1"/>
  <c r="B948" i="2" a="1"/>
  <c r="B948" i="2" s="1"/>
  <c r="B949" i="2" a="1"/>
  <c r="B949" i="2" s="1"/>
  <c r="B950" i="2" a="1"/>
  <c r="B950" i="2" s="1"/>
  <c r="B951" i="2" a="1"/>
  <c r="B951" i="2" s="1"/>
  <c r="B952" i="2" a="1"/>
  <c r="B952" i="2" s="1"/>
  <c r="B953" i="2" a="1"/>
  <c r="B953" i="2" s="1"/>
  <c r="B954" i="2" a="1"/>
  <c r="B954" i="2" s="1"/>
  <c r="B955" i="2" a="1"/>
  <c r="B955" i="2" s="1"/>
  <c r="B956" i="2" a="1"/>
  <c r="B956" i="2" s="1"/>
  <c r="B957" i="2" a="1"/>
  <c r="B957" i="2" s="1"/>
  <c r="B958" i="2" a="1"/>
  <c r="B958" i="2" s="1"/>
  <c r="B959" i="2" a="1"/>
  <c r="B959" i="2" s="1"/>
  <c r="B960" i="2" a="1"/>
  <c r="B960" i="2" s="1"/>
  <c r="B961" i="2" a="1"/>
  <c r="B961" i="2" s="1"/>
  <c r="B962" i="2" a="1"/>
  <c r="B962" i="2" s="1"/>
  <c r="B963" i="2" a="1"/>
  <c r="B963" i="2" s="1"/>
  <c r="B964" i="2" a="1"/>
  <c r="B964" i="2" s="1"/>
  <c r="B965" i="2" a="1"/>
  <c r="B965" i="2" s="1"/>
  <c r="B966" i="2" a="1"/>
  <c r="B966" i="2" s="1"/>
  <c r="B967" i="2" a="1"/>
  <c r="B967" i="2" s="1"/>
  <c r="B968" i="2" a="1"/>
  <c r="B968" i="2" s="1"/>
  <c r="B969" i="2" a="1"/>
  <c r="B969" i="2" s="1"/>
  <c r="B970" i="2" a="1"/>
  <c r="B970" i="2" s="1"/>
  <c r="B971" i="2" a="1"/>
  <c r="B971" i="2" s="1"/>
  <c r="B972" i="2" a="1"/>
  <c r="B972" i="2" s="1"/>
  <c r="B973" i="2" a="1"/>
  <c r="B973" i="2" s="1"/>
  <c r="B974" i="2" a="1"/>
  <c r="B974" i="2" s="1"/>
  <c r="B975" i="2" a="1"/>
  <c r="B975" i="2" s="1"/>
  <c r="B976" i="2" a="1"/>
  <c r="B976" i="2" s="1"/>
  <c r="B977" i="2" a="1"/>
  <c r="B977" i="2" s="1"/>
  <c r="B978" i="2" a="1"/>
  <c r="B978" i="2"/>
  <c r="B979" i="2" a="1"/>
  <c r="B979" i="2" s="1"/>
  <c r="B980" i="2" a="1"/>
  <c r="B980" i="2" s="1"/>
  <c r="B981" i="2" a="1"/>
  <c r="B981" i="2" s="1"/>
  <c r="B982" i="2" a="1"/>
  <c r="B982" i="2" s="1"/>
  <c r="B983" i="2" a="1"/>
  <c r="B983" i="2" s="1"/>
  <c r="B984" i="2" a="1"/>
  <c r="B984" i="2" s="1"/>
  <c r="B985" i="2" a="1"/>
  <c r="B985" i="2" s="1"/>
  <c r="B986" i="2" a="1"/>
  <c r="B986" i="2" s="1"/>
  <c r="B987" i="2" a="1"/>
  <c r="B987" i="2" s="1"/>
  <c r="B988" i="2" a="1"/>
  <c r="B988" i="2" s="1"/>
  <c r="B989" i="2" a="1"/>
  <c r="B989" i="2" s="1"/>
  <c r="B990" i="2" a="1"/>
  <c r="B990" i="2" s="1"/>
  <c r="B991" i="2" a="1"/>
  <c r="B991" i="2" s="1"/>
  <c r="B992" i="2" a="1"/>
  <c r="B992" i="2" s="1"/>
  <c r="B993" i="2" a="1"/>
  <c r="B993" i="2" s="1"/>
  <c r="B994" i="2" a="1"/>
  <c r="B994" i="2" s="1"/>
  <c r="B995" i="2" a="1"/>
  <c r="B995" i="2" s="1"/>
  <c r="B996" i="2" a="1"/>
  <c r="B996" i="2"/>
  <c r="B997" i="2" a="1"/>
  <c r="B997" i="2" s="1"/>
  <c r="B998" i="2" a="1"/>
  <c r="B998" i="2" s="1"/>
  <c r="B999" i="2" a="1"/>
  <c r="B999" i="2" s="1"/>
  <c r="B1000" i="2" a="1"/>
  <c r="B1000" i="2" s="1"/>
  <c r="B1001" i="2" a="1"/>
  <c r="B1001" i="2" s="1"/>
  <c r="B1002" i="2" a="1"/>
  <c r="B1002" i="2" s="1"/>
  <c r="B1003" i="2" a="1"/>
  <c r="B1003" i="2"/>
  <c r="B1004" i="2" a="1"/>
  <c r="B1004" i="2" s="1"/>
  <c r="B1005" i="2" a="1"/>
  <c r="B1005" i="2" s="1"/>
  <c r="B1006" i="2" a="1"/>
  <c r="B1006" i="2" s="1"/>
  <c r="B1007" i="2" a="1"/>
  <c r="B1007" i="2" s="1"/>
  <c r="B1008" i="2" a="1"/>
  <c r="B1008" i="2" s="1"/>
  <c r="B1009" i="2" a="1"/>
  <c r="B1009" i="2" s="1"/>
  <c r="B1010" i="2" a="1"/>
  <c r="B1010" i="2" s="1"/>
  <c r="B1011" i="2" a="1"/>
  <c r="B1011" i="2" s="1"/>
  <c r="B1012" i="2" a="1"/>
  <c r="B1012" i="2" s="1"/>
  <c r="B1013" i="2" a="1"/>
  <c r="B1013" i="2" s="1"/>
  <c r="B1014" i="2" a="1"/>
  <c r="B1014" i="2" s="1"/>
  <c r="B1015" i="2" a="1"/>
  <c r="B1015" i="2" s="1"/>
  <c r="B1016" i="2" a="1"/>
  <c r="B1016" i="2" s="1"/>
  <c r="B1017" i="2" a="1"/>
  <c r="B1017" i="2" s="1"/>
  <c r="B1018" i="2" a="1"/>
  <c r="B1018" i="2"/>
  <c r="B1019" i="2" a="1"/>
  <c r="B1019" i="2" s="1"/>
  <c r="B1020" i="2" a="1"/>
  <c r="B1020" i="2" s="1"/>
  <c r="B1021" i="2" a="1"/>
  <c r="B1021" i="2" s="1"/>
  <c r="B1022" i="2" a="1"/>
  <c r="B1022" i="2" s="1"/>
  <c r="B1023" i="2" a="1"/>
  <c r="B1023" i="2" s="1"/>
  <c r="B1024" i="2" a="1"/>
  <c r="B1024" i="2" s="1"/>
  <c r="B1025" i="2" a="1"/>
  <c r="B1025" i="2" s="1"/>
  <c r="B1026" i="2" a="1"/>
  <c r="B1026" i="2" s="1"/>
  <c r="B1027" i="2" a="1"/>
  <c r="B1027" i="2" s="1"/>
  <c r="B1028" i="2" a="1"/>
  <c r="B1028" i="2" s="1"/>
  <c r="B1029" i="2" a="1"/>
  <c r="B1029" i="2" s="1"/>
  <c r="B1030" i="2" a="1"/>
  <c r="B1030" i="2" s="1"/>
  <c r="B1031" i="2" a="1"/>
  <c r="B1031" i="2" s="1"/>
  <c r="B1032" i="2" a="1"/>
  <c r="B1032" i="2" s="1"/>
  <c r="B1033" i="2" a="1"/>
  <c r="B1033" i="2" s="1"/>
  <c r="B1034" i="2" a="1"/>
  <c r="B1034" i="2" s="1"/>
  <c r="B1035" i="2" a="1"/>
  <c r="B1035" i="2" s="1"/>
  <c r="B1036" i="2" a="1"/>
  <c r="B1036" i="2" s="1"/>
  <c r="B1037" i="2" a="1"/>
  <c r="B1037" i="2" s="1"/>
  <c r="B1038" i="2" a="1"/>
  <c r="B1038" i="2" s="1"/>
  <c r="B1039" i="2" a="1"/>
  <c r="B1039" i="2" s="1"/>
  <c r="B1040" i="2" a="1"/>
  <c r="B1040" i="2" s="1"/>
  <c r="B1041" i="2" a="1"/>
  <c r="B1041" i="2" s="1"/>
  <c r="B1042" i="2" a="1"/>
  <c r="B1042" i="2" s="1"/>
  <c r="B1043" i="2" a="1"/>
  <c r="B1043" i="2" s="1"/>
  <c r="B1044" i="2" a="1"/>
  <c r="B1044" i="2"/>
  <c r="B1045" i="2" a="1"/>
  <c r="B1045" i="2" s="1"/>
  <c r="B1046" i="2" a="1"/>
  <c r="B1046" i="2" s="1"/>
  <c r="B1047" i="2" a="1"/>
  <c r="B1047" i="2" s="1"/>
  <c r="B1048" i="2" a="1"/>
  <c r="B1048" i="2" s="1"/>
  <c r="B1049" i="2" a="1"/>
  <c r="B1049" i="2" s="1"/>
  <c r="B1050" i="2" a="1"/>
  <c r="B1050" i="2"/>
  <c r="B1051" i="2" a="1"/>
  <c r="B1051" i="2" s="1"/>
  <c r="B1052" i="2" a="1"/>
  <c r="B1052" i="2" s="1"/>
  <c r="B1053" i="2" a="1"/>
  <c r="B1053" i="2" s="1"/>
  <c r="B1054" i="2" a="1"/>
  <c r="B1054" i="2" s="1"/>
  <c r="B1055" i="2" a="1"/>
  <c r="B1055" i="2" s="1"/>
  <c r="B1056" i="2" a="1"/>
  <c r="B1056" i="2" s="1"/>
  <c r="B1057" i="2" a="1"/>
  <c r="B1057" i="2" s="1"/>
  <c r="B2" i="2" a="1"/>
  <c r="B2" i="2" s="1"/>
  <c r="G637" i="5" l="1"/>
  <c r="G574" i="5"/>
  <c r="G625" i="5"/>
  <c r="G631" i="5"/>
  <c r="G556" i="5"/>
  <c r="G558" i="5"/>
  <c r="G630" i="5"/>
  <c r="G624" i="5"/>
  <c r="G612" i="5"/>
  <c r="G606" i="5"/>
  <c r="G588" i="5"/>
  <c r="G570" i="5"/>
  <c r="G605" i="5"/>
  <c r="G587" i="5"/>
  <c r="G636" i="5"/>
  <c r="G623" i="5"/>
  <c r="G609" i="5"/>
  <c r="G591" i="5"/>
  <c r="G627" i="5"/>
  <c r="G546" i="5"/>
  <c r="E252" i="5"/>
  <c r="B39" i="5"/>
  <c r="E36" i="5"/>
  <c r="D17" i="5"/>
  <c r="D5" i="5"/>
  <c r="D252" i="5"/>
  <c r="D36" i="5"/>
  <c r="F26" i="5"/>
  <c r="C17" i="5"/>
  <c r="F14" i="5"/>
  <c r="C5" i="5"/>
  <c r="C252" i="5"/>
  <c r="C36" i="5"/>
  <c r="F33" i="5"/>
  <c r="E26" i="5"/>
  <c r="E14" i="5"/>
  <c r="F460" i="5"/>
  <c r="E33" i="5"/>
  <c r="D26" i="5"/>
  <c r="D14" i="5"/>
  <c r="E460" i="5"/>
  <c r="D33" i="5"/>
  <c r="C26" i="5"/>
  <c r="F23" i="5"/>
  <c r="C14" i="5"/>
  <c r="F11" i="5"/>
  <c r="D460" i="5"/>
  <c r="F54" i="5"/>
  <c r="C33" i="5"/>
  <c r="F30" i="5"/>
  <c r="E23" i="5"/>
  <c r="E11" i="5"/>
  <c r="C460" i="5"/>
  <c r="E54" i="5"/>
  <c r="E30" i="5"/>
  <c r="D23" i="5"/>
  <c r="D11" i="5"/>
  <c r="F224" i="5"/>
  <c r="D54" i="5"/>
  <c r="D30" i="5"/>
  <c r="C23" i="5"/>
  <c r="F20" i="5"/>
  <c r="C11" i="5"/>
  <c r="F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<sst xmlns="http://schemas.openxmlformats.org/spreadsheetml/2006/main" count="33" uniqueCount="24">
  <si>
    <t>caldt</t>
  </si>
  <si>
    <t>vwretd</t>
  </si>
  <si>
    <t>vwretx</t>
  </si>
  <si>
    <t>ewretd</t>
  </si>
  <si>
    <t>ewretx</t>
  </si>
  <si>
    <t>totval</t>
  </si>
  <si>
    <t>totcnt</t>
  </si>
  <si>
    <t>usdval</t>
  </si>
  <si>
    <t>usdcnt</t>
  </si>
  <si>
    <t>spindx</t>
  </si>
  <si>
    <t>sprtrn</t>
  </si>
  <si>
    <t>vw_ret</t>
  </si>
  <si>
    <t>vw_ret_xd</t>
  </si>
  <si>
    <t>ew_ret</t>
  </si>
  <si>
    <t>ew_ret_xd</t>
  </si>
  <si>
    <t>ret_index</t>
  </si>
  <si>
    <t>RF</t>
  </si>
  <si>
    <t>rf</t>
  </si>
  <si>
    <t>CPI</t>
  </si>
  <si>
    <t>vw_real_ret</t>
  </si>
  <si>
    <t>vw_real</t>
  </si>
  <si>
    <t>ER</t>
  </si>
  <si>
    <t>rf_real</t>
  </si>
  <si>
    <t>exc_r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</si>
</sst>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Exc_R_f!$B$2:$B$516</c:f>
              <c:numCache>
                <c:formatCode>General</c:formatCode>
                <c:ptCount val="515"/>
                <c:pt idx="0">
                  <c:v>6.458058518576526E-2</c:v>
                </c:pt>
                <c:pt idx="1">
                  <c:v>6.544553193081315E-2</c:v>
                </c:pt>
                <c:pt idx="2">
                  <c:v>5.7964084903361801E-2</c:v>
                </c:pt>
                <c:pt idx="3">
                  <c:v>4.1297520025780354E-3</c:v>
                </c:pt>
                <c:pt idx="4">
                  <c:v>3.4674905427352742E-2</c:v>
                </c:pt>
                <c:pt idx="5">
                  <c:v>1.8629199923243522E-2</c:v>
                </c:pt>
                <c:pt idx="6">
                  <c:v>4.8004921795497868E-2</c:v>
                </c:pt>
                <c:pt idx="7">
                  <c:v>-4.0191064861917036E-2</c:v>
                </c:pt>
                <c:pt idx="8">
                  <c:v>-8.5844443680551441E-2</c:v>
                </c:pt>
                <c:pt idx="9">
                  <c:v>-1.5315196939585052E-2</c:v>
                </c:pt>
                <c:pt idx="10">
                  <c:v>1.2714621749871924E-2</c:v>
                </c:pt>
                <c:pt idx="11">
                  <c:v>-8.502753159477483E-2</c:v>
                </c:pt>
                <c:pt idx="12">
                  <c:v>-0.11830218569865192</c:v>
                </c:pt>
                <c:pt idx="13">
                  <c:v>-0.19232974144378212</c:v>
                </c:pt>
                <c:pt idx="14">
                  <c:v>-0.21013836601772806</c:v>
                </c:pt>
                <c:pt idx="15">
                  <c:v>-0.1874357854315758</c:v>
                </c:pt>
                <c:pt idx="16">
                  <c:v>-0.23698941089339254</c:v>
                </c:pt>
                <c:pt idx="17">
                  <c:v>-0.23897367691763916</c:v>
                </c:pt>
                <c:pt idx="18">
                  <c:v>-0.26489431929970308</c:v>
                </c:pt>
                <c:pt idx="19">
                  <c:v>-0.20117721616410389</c:v>
                </c:pt>
                <c:pt idx="20">
                  <c:v>-0.19133397107321026</c:v>
                </c:pt>
                <c:pt idx="21">
                  <c:v>-0.1118363475001003</c:v>
                </c:pt>
                <c:pt idx="22">
                  <c:v>-0.11786759447312467</c:v>
                </c:pt>
                <c:pt idx="23">
                  <c:v>-0.11798815581273647</c:v>
                </c:pt>
                <c:pt idx="24">
                  <c:v>-7.6980663202776078E-2</c:v>
                </c:pt>
                <c:pt idx="25">
                  <c:v>-2.8759158161772547E-2</c:v>
                </c:pt>
                <c:pt idx="26">
                  <c:v>-1.3544555704503303E-4</c:v>
                </c:pt>
                <c:pt idx="27">
                  <c:v>9.3804032893352707E-2</c:v>
                </c:pt>
                <c:pt idx="28">
                  <c:v>9.9245146259612449E-2</c:v>
                </c:pt>
                <c:pt idx="29">
                  <c:v>0.1326938293193205</c:v>
                </c:pt>
                <c:pt idx="30">
                  <c:v>7.2985052572592135E-2</c:v>
                </c:pt>
                <c:pt idx="31">
                  <c:v>0.11263280697711875</c:v>
                </c:pt>
                <c:pt idx="32">
                  <c:v>8.9020023272764259E-2</c:v>
                </c:pt>
                <c:pt idx="33">
                  <c:v>7.677931681560568E-2</c:v>
                </c:pt>
                <c:pt idx="34">
                  <c:v>0.19065367592561211</c:v>
                </c:pt>
                <c:pt idx="35">
                  <c:v>0.17009202863064865</c:v>
                </c:pt>
                <c:pt idx="36">
                  <c:v>0.17258964401089161</c:v>
                </c:pt>
                <c:pt idx="37">
                  <c:v>0.14071588154749071</c:v>
                </c:pt>
                <c:pt idx="38">
                  <c:v>0.17221394082512753</c:v>
                </c:pt>
                <c:pt idx="39">
                  <c:v>0.2096813281222536</c:v>
                </c:pt>
                <c:pt idx="40">
                  <c:v>0.18646815715208609</c:v>
                </c:pt>
                <c:pt idx="41">
                  <c:v>0.21512160452599427</c:v>
                </c:pt>
                <c:pt idx="42">
                  <c:v>0.26962205372363002</c:v>
                </c:pt>
                <c:pt idx="43">
                  <c:v>0.42964725284526528</c:v>
                </c:pt>
                <c:pt idx="44">
                  <c:v>0.53460024440837195</c:v>
                </c:pt>
                <c:pt idx="45">
                  <c:v>0.40246600488192219</c:v>
                </c:pt>
                <c:pt idx="46">
                  <c:v>0.43189718850548164</c:v>
                </c:pt>
                <c:pt idx="47">
                  <c:v>0.46899947413235998</c:v>
                </c:pt>
                <c:pt idx="48">
                  <c:v>0.43257670353946098</c:v>
                </c:pt>
                <c:pt idx="49">
                  <c:v>0.38802138086266136</c:v>
                </c:pt>
                <c:pt idx="50">
                  <c:v>0.36554034456868512</c:v>
                </c:pt>
                <c:pt idx="51">
                  <c:v>0.3192877989227394</c:v>
                </c:pt>
                <c:pt idx="52">
                  <c:v>0.32647371564252703</c:v>
                </c:pt>
                <c:pt idx="53">
                  <c:v>0.30051472504614041</c:v>
                </c:pt>
                <c:pt idx="54">
                  <c:v>0.35347006255960789</c:v>
                </c:pt>
                <c:pt idx="55">
                  <c:v>0.36064095580375755</c:v>
                </c:pt>
                <c:pt idx="56">
                  <c:v>0.35913753651585423</c:v>
                </c:pt>
                <c:pt idx="57">
                  <c:v>0.34255534821038203</c:v>
                </c:pt>
                <c:pt idx="58">
                  <c:v>0.37417016920565649</c:v>
                </c:pt>
                <c:pt idx="59">
                  <c:v>0.42113131077827592</c:v>
                </c:pt>
                <c:pt idx="60">
                  <c:v>0.32867114567702638</c:v>
                </c:pt>
                <c:pt idx="61">
                  <c:v>0.39375125542262124</c:v>
                </c:pt>
                <c:pt idx="62">
                  <c:v>0.41056287717430973</c:v>
                </c:pt>
                <c:pt idx="63">
                  <c:v>0.40640576160730224</c:v>
                </c:pt>
                <c:pt idx="64">
                  <c:v>0.45746445726681029</c:v>
                </c:pt>
                <c:pt idx="65">
                  <c:v>0.43349577274800866</c:v>
                </c:pt>
                <c:pt idx="66">
                  <c:v>0.38916746964205173</c:v>
                </c:pt>
                <c:pt idx="67">
                  <c:v>0.44791703643104852</c:v>
                </c:pt>
                <c:pt idx="68">
                  <c:v>0.35425167215310371</c:v>
                </c:pt>
                <c:pt idx="69">
                  <c:v>0.41729186150080144</c:v>
                </c:pt>
                <c:pt idx="70">
                  <c:v>0.43898276142669146</c:v>
                </c:pt>
                <c:pt idx="71">
                  <c:v>0.37044423202864385</c:v>
                </c:pt>
                <c:pt idx="72">
                  <c:v>0.5196496647409059</c:v>
                </c:pt>
                <c:pt idx="73">
                  <c:v>0.56666328259170706</c:v>
                </c:pt>
                <c:pt idx="74">
                  <c:v>0.59832343651008624</c:v>
                </c:pt>
                <c:pt idx="75">
                  <c:v>0.58950154683041966</c:v>
                </c:pt>
                <c:pt idx="76">
                  <c:v>0.60988507657783364</c:v>
                </c:pt>
                <c:pt idx="77">
                  <c:v>0.61099169177190915</c:v>
                </c:pt>
                <c:pt idx="78">
                  <c:v>0.66483218393383092</c:v>
                </c:pt>
                <c:pt idx="79">
                  <c:v>0.70742237213275683</c:v>
                </c:pt>
                <c:pt idx="80">
                  <c:v>0.68917144980628553</c:v>
                </c:pt>
                <c:pt idx="81">
                  <c:v>0.51910948044760041</c:v>
                </c:pt>
                <c:pt idx="82">
                  <c:v>0.41815468681767332</c:v>
                </c:pt>
                <c:pt idx="83">
                  <c:v>0.47459216081654931</c:v>
                </c:pt>
                <c:pt idx="84">
                  <c:v>0.56472077147795474</c:v>
                </c:pt>
                <c:pt idx="85">
                  <c:v>0.61769471799335474</c:v>
                </c:pt>
                <c:pt idx="86">
                  <c:v>0.56967833067824136</c:v>
                </c:pt>
                <c:pt idx="87">
                  <c:v>0.50735475400982466</c:v>
                </c:pt>
                <c:pt idx="88">
                  <c:v>0.50259258648528338</c:v>
                </c:pt>
                <c:pt idx="89">
                  <c:v>0.5564640415445723</c:v>
                </c:pt>
                <c:pt idx="90">
                  <c:v>0.50640920840095971</c:v>
                </c:pt>
                <c:pt idx="91">
                  <c:v>0.45038355827082244</c:v>
                </c:pt>
                <c:pt idx="92">
                  <c:v>0.490037542745275</c:v>
                </c:pt>
                <c:pt idx="93">
                  <c:v>0.59221750061996459</c:v>
                </c:pt>
                <c:pt idx="94">
                  <c:v>0.55884956742785752</c:v>
                </c:pt>
                <c:pt idx="95">
                  <c:v>0.56170351109402605</c:v>
                </c:pt>
                <c:pt idx="96">
                  <c:v>0.58722801039008732</c:v>
                </c:pt>
                <c:pt idx="97">
                  <c:v>0.59139073482412496</c:v>
                </c:pt>
                <c:pt idx="98">
                  <c:v>0.56468359534071144</c:v>
                </c:pt>
                <c:pt idx="99">
                  <c:v>0.60478194976787547</c:v>
                </c:pt>
                <c:pt idx="100">
                  <c:v>0.65329146680170935</c:v>
                </c:pt>
                <c:pt idx="101">
                  <c:v>0.61596248422123501</c:v>
                </c:pt>
                <c:pt idx="102">
                  <c:v>0.67924627370430168</c:v>
                </c:pt>
                <c:pt idx="103">
                  <c:v>0.64538886231153869</c:v>
                </c:pt>
                <c:pt idx="104">
                  <c:v>0.64227610284862124</c:v>
                </c:pt>
                <c:pt idx="105">
                  <c:v>0.68086657856815958</c:v>
                </c:pt>
                <c:pt idx="106">
                  <c:v>0.65686121697571043</c:v>
                </c:pt>
                <c:pt idx="107">
                  <c:v>0.6631464174045405</c:v>
                </c:pt>
                <c:pt idx="108">
                  <c:v>0.55570177379764818</c:v>
                </c:pt>
                <c:pt idx="109">
                  <c:v>0.56733614919864839</c:v>
                </c:pt>
                <c:pt idx="110">
                  <c:v>0.68032269505970366</c:v>
                </c:pt>
                <c:pt idx="111">
                  <c:v>0.6283917947615254</c:v>
                </c:pt>
                <c:pt idx="112">
                  <c:v>0.66227648401636507</c:v>
                </c:pt>
                <c:pt idx="113">
                  <c:v>0.63164861574350395</c:v>
                </c:pt>
                <c:pt idx="114">
                  <c:v>0.57088229418923286</c:v>
                </c:pt>
                <c:pt idx="115">
                  <c:v>0.47915453847541034</c:v>
                </c:pt>
                <c:pt idx="116">
                  <c:v>0.41488763023952457</c:v>
                </c:pt>
                <c:pt idx="117">
                  <c:v>0.39907136549968492</c:v>
                </c:pt>
                <c:pt idx="118">
                  <c:v>0.36704448817903224</c:v>
                </c:pt>
                <c:pt idx="119">
                  <c:v>0.42162705587970217</c:v>
                </c:pt>
                <c:pt idx="120">
                  <c:v>0.50018940915866539</c:v>
                </c:pt>
                <c:pt idx="121">
                  <c:v>0.54539038592076494</c:v>
                </c:pt>
                <c:pt idx="122">
                  <c:v>0.53992968697993704</c:v>
                </c:pt>
                <c:pt idx="123">
                  <c:v>0.5633005973464813</c:v>
                </c:pt>
                <c:pt idx="124">
                  <c:v>0.59849628361603413</c:v>
                </c:pt>
                <c:pt idx="125">
                  <c:v>0.57324029850366842</c:v>
                </c:pt>
                <c:pt idx="126">
                  <c:v>0.61657327307004683</c:v>
                </c:pt>
                <c:pt idx="127">
                  <c:v>0.69079668462691979</c:v>
                </c:pt>
                <c:pt idx="128">
                  <c:v>0.7259730855581854</c:v>
                </c:pt>
                <c:pt idx="129">
                  <c:v>0.70034014323608829</c:v>
                </c:pt>
                <c:pt idx="130">
                  <c:v>0.63485710564143027</c:v>
                </c:pt>
                <c:pt idx="131">
                  <c:v>0.75330239746389194</c:v>
                </c:pt>
                <c:pt idx="132">
                  <c:v>0.75469465196230812</c:v>
                </c:pt>
                <c:pt idx="133">
                  <c:v>0.81464053568064565</c:v>
                </c:pt>
                <c:pt idx="134">
                  <c:v>0.80899268956740067</c:v>
                </c:pt>
                <c:pt idx="135">
                  <c:v>0.80477929978203733</c:v>
                </c:pt>
                <c:pt idx="136">
                  <c:v>0.84046383401654134</c:v>
                </c:pt>
                <c:pt idx="137">
                  <c:v>0.8463107716700331</c:v>
                </c:pt>
                <c:pt idx="138">
                  <c:v>0.90334472212236805</c:v>
                </c:pt>
                <c:pt idx="139">
                  <c:v>0.78876619652029256</c:v>
                </c:pt>
                <c:pt idx="140">
                  <c:v>0.79183290911933835</c:v>
                </c:pt>
                <c:pt idx="141">
                  <c:v>0.70817425027958092</c:v>
                </c:pt>
                <c:pt idx="142">
                  <c:v>0.70212629746680877</c:v>
                </c:pt>
                <c:pt idx="143">
                  <c:v>0.70270244953879857</c:v>
                </c:pt>
                <c:pt idx="144">
                  <c:v>0.68366953762843208</c:v>
                </c:pt>
                <c:pt idx="145">
                  <c:v>0.6772285675998202</c:v>
                </c:pt>
                <c:pt idx="146">
                  <c:v>0.66894177173687219</c:v>
                </c:pt>
                <c:pt idx="147">
                  <c:v>0.59060261197592046</c:v>
                </c:pt>
                <c:pt idx="148">
                  <c:v>0.62142956148330697</c:v>
                </c:pt>
                <c:pt idx="149">
                  <c:v>0.59744777959837703</c:v>
                </c:pt>
                <c:pt idx="150">
                  <c:v>0.62463180853706302</c:v>
                </c:pt>
                <c:pt idx="151">
                  <c:v>0.6466881795016528</c:v>
                </c:pt>
                <c:pt idx="152">
                  <c:v>0.63269826825422149</c:v>
                </c:pt>
                <c:pt idx="153">
                  <c:v>0.66504894810189641</c:v>
                </c:pt>
                <c:pt idx="154">
                  <c:v>0.64172627572425678</c:v>
                </c:pt>
                <c:pt idx="155">
                  <c:v>0.66146490098323696</c:v>
                </c:pt>
                <c:pt idx="156">
                  <c:v>0.69676978936567857</c:v>
                </c:pt>
                <c:pt idx="157">
                  <c:v>0.707068805369095</c:v>
                </c:pt>
                <c:pt idx="158">
                  <c:v>0.65900150341235908</c:v>
                </c:pt>
                <c:pt idx="159">
                  <c:v>0.66844110826676406</c:v>
                </c:pt>
                <c:pt idx="160">
                  <c:v>0.73191521748443367</c:v>
                </c:pt>
                <c:pt idx="161">
                  <c:v>0.6952243456301348</c:v>
                </c:pt>
                <c:pt idx="162">
                  <c:v>0.73839638744375136</c:v>
                </c:pt>
                <c:pt idx="163">
                  <c:v>0.68626386073637424</c:v>
                </c:pt>
                <c:pt idx="164">
                  <c:v>0.66964172547821366</c:v>
                </c:pt>
                <c:pt idx="165">
                  <c:v>0.69023050441506473</c:v>
                </c:pt>
                <c:pt idx="166">
                  <c:v>0.67029173482764537</c:v>
                </c:pt>
                <c:pt idx="167">
                  <c:v>0.66311876259613745</c:v>
                </c:pt>
                <c:pt idx="168">
                  <c:v>0.62417544871649855</c:v>
                </c:pt>
                <c:pt idx="169">
                  <c:v>0.64621008827187953</c:v>
                </c:pt>
                <c:pt idx="170">
                  <c:v>0.67237041155317123</c:v>
                </c:pt>
                <c:pt idx="171">
                  <c:v>0.70207047587813709</c:v>
                </c:pt>
                <c:pt idx="172">
                  <c:v>0.68459286344402903</c:v>
                </c:pt>
                <c:pt idx="173">
                  <c:v>0.69191843352353355</c:v>
                </c:pt>
                <c:pt idx="174">
                  <c:v>0.72376364781407609</c:v>
                </c:pt>
                <c:pt idx="175">
                  <c:v>0.73282722302129355</c:v>
                </c:pt>
                <c:pt idx="176">
                  <c:v>0.79748789595073633</c:v>
                </c:pt>
                <c:pt idx="177">
                  <c:v>0.75877900573942325</c:v>
                </c:pt>
                <c:pt idx="178">
                  <c:v>0.73820724444657371</c:v>
                </c:pt>
                <c:pt idx="179">
                  <c:v>0.71452785072755898</c:v>
                </c:pt>
                <c:pt idx="180">
                  <c:v>0.74050713523408951</c:v>
                </c:pt>
                <c:pt idx="181">
                  <c:v>0.68796278788080545</c:v>
                </c:pt>
                <c:pt idx="182">
                  <c:v>0.65191338054043069</c:v>
                </c:pt>
                <c:pt idx="183">
                  <c:v>0.67637338513683054</c:v>
                </c:pt>
                <c:pt idx="184">
                  <c:v>0.65259607559431321</c:v>
                </c:pt>
                <c:pt idx="185">
                  <c:v>0.64389326045543394</c:v>
                </c:pt>
                <c:pt idx="186">
                  <c:v>0.65608435366873574</c:v>
                </c:pt>
                <c:pt idx="187">
                  <c:v>0.61431471033810126</c:v>
                </c:pt>
                <c:pt idx="188">
                  <c:v>0.73356954651595996</c:v>
                </c:pt>
                <c:pt idx="189">
                  <c:v>0.70983292166261935</c:v>
                </c:pt>
                <c:pt idx="190">
                  <c:v>0.75104668271933028</c:v>
                </c:pt>
                <c:pt idx="191">
                  <c:v>0.75795375653465347</c:v>
                </c:pt>
                <c:pt idx="192">
                  <c:v>0.70217801693937876</c:v>
                </c:pt>
                <c:pt idx="193">
                  <c:v>0.67453403210516627</c:v>
                </c:pt>
                <c:pt idx="194">
                  <c:v>0.61709807095539659</c:v>
                </c:pt>
                <c:pt idx="195">
                  <c:v>0.67413595142186011</c:v>
                </c:pt>
                <c:pt idx="196">
                  <c:v>0.7157798699685507</c:v>
                </c:pt>
                <c:pt idx="197">
                  <c:v>0.71184506070217091</c:v>
                </c:pt>
                <c:pt idx="198">
                  <c:v>0.73627066709191258</c:v>
                </c:pt>
                <c:pt idx="199">
                  <c:v>0.65678477621045306</c:v>
                </c:pt>
                <c:pt idx="200">
                  <c:v>0.71979088339375696</c:v>
                </c:pt>
                <c:pt idx="201">
                  <c:v>0.89834190195419072</c:v>
                </c:pt>
                <c:pt idx="202">
                  <c:v>1.0084219438277171</c:v>
                </c:pt>
                <c:pt idx="203">
                  <c:v>0.96176567022155868</c:v>
                </c:pt>
                <c:pt idx="204">
                  <c:v>0.93526891145196189</c:v>
                </c:pt>
                <c:pt idx="205">
                  <c:v>0.95539937354920323</c:v>
                </c:pt>
                <c:pt idx="206">
                  <c:v>1.0246182419252814</c:v>
                </c:pt>
                <c:pt idx="207">
                  <c:v>1.0255014515964562</c:v>
                </c:pt>
                <c:pt idx="208">
                  <c:v>1.0045839610855387</c:v>
                </c:pt>
                <c:pt idx="209">
                  <c:v>0.99981552226863069</c:v>
                </c:pt>
                <c:pt idx="210">
                  <c:v>0.99590743694869865</c:v>
                </c:pt>
                <c:pt idx="211">
                  <c:v>0.89458381863802505</c:v>
                </c:pt>
                <c:pt idx="212">
                  <c:v>0.91221467807695533</c:v>
                </c:pt>
                <c:pt idx="213">
                  <c:v>0.9572613324138084</c:v>
                </c:pt>
                <c:pt idx="214">
                  <c:v>1.0226034600356684</c:v>
                </c:pt>
                <c:pt idx="215">
                  <c:v>1.0580450732014024</c:v>
                </c:pt>
                <c:pt idx="216">
                  <c:v>1.0360923306288314</c:v>
                </c:pt>
                <c:pt idx="217">
                  <c:v>1.0321702865435631</c:v>
                </c:pt>
                <c:pt idx="218">
                  <c:v>1.0470783149618861</c:v>
                </c:pt>
                <c:pt idx="219">
                  <c:v>1.0379658246826817</c:v>
                </c:pt>
                <c:pt idx="220">
                  <c:v>0.98759325994704605</c:v>
                </c:pt>
                <c:pt idx="221">
                  <c:v>1.0394990762410017</c:v>
                </c:pt>
                <c:pt idx="222">
                  <c:v>0.94315659711379229</c:v>
                </c:pt>
                <c:pt idx="223">
                  <c:v>0.92495084881325851</c:v>
                </c:pt>
                <c:pt idx="224">
                  <c:v>0.90629773907461075</c:v>
                </c:pt>
                <c:pt idx="225">
                  <c:v>0.98129681947377945</c:v>
                </c:pt>
                <c:pt idx="226">
                  <c:v>0.98411489130372098</c:v>
                </c:pt>
                <c:pt idx="227">
                  <c:v>1.0177735757172743</c:v>
                </c:pt>
                <c:pt idx="228">
                  <c:v>1.0352141180773169</c:v>
                </c:pt>
                <c:pt idx="229">
                  <c:v>1.0101813150875822</c:v>
                </c:pt>
                <c:pt idx="230">
                  <c:v>1.0686732476950374</c:v>
                </c:pt>
                <c:pt idx="231">
                  <c:v>1.0642132162135256</c:v>
                </c:pt>
                <c:pt idx="232">
                  <c:v>0.96790775646338378</c:v>
                </c:pt>
                <c:pt idx="233">
                  <c:v>0.99725788016748207</c:v>
                </c:pt>
                <c:pt idx="234">
                  <c:v>0.99161582067881393</c:v>
                </c:pt>
                <c:pt idx="235">
                  <c:v>1.1245846304787028</c:v>
                </c:pt>
                <c:pt idx="236">
                  <c:v>1.1224655432496</c:v>
                </c:pt>
                <c:pt idx="237">
                  <c:v>1.1228768271251233</c:v>
                </c:pt>
                <c:pt idx="238">
                  <c:v>1.0015368993405047</c:v>
                </c:pt>
                <c:pt idx="239">
                  <c:v>0.98378095512999697</c:v>
                </c:pt>
                <c:pt idx="240">
                  <c:v>0.97335990800775485</c:v>
                </c:pt>
                <c:pt idx="241">
                  <c:v>0.83533686279897679</c:v>
                </c:pt>
                <c:pt idx="242">
                  <c:v>0.75970732118912854</c:v>
                </c:pt>
                <c:pt idx="243">
                  <c:v>0.82208869083835689</c:v>
                </c:pt>
                <c:pt idx="244">
                  <c:v>0.79364653091959059</c:v>
                </c:pt>
                <c:pt idx="245">
                  <c:v>0.81305932095080324</c:v>
                </c:pt>
                <c:pt idx="246">
                  <c:v>0.76839463300010724</c:v>
                </c:pt>
                <c:pt idx="247">
                  <c:v>0.69453141058129853</c:v>
                </c:pt>
                <c:pt idx="248">
                  <c:v>0.63981839829218057</c:v>
                </c:pt>
                <c:pt idx="249">
                  <c:v>0.64659331823528698</c:v>
                </c:pt>
                <c:pt idx="250">
                  <c:v>0.7470063763137198</c:v>
                </c:pt>
                <c:pt idx="251">
                  <c:v>0.66567742667780871</c:v>
                </c:pt>
                <c:pt idx="252">
                  <c:v>0.67096464857398019</c:v>
                </c:pt>
                <c:pt idx="253">
                  <c:v>0.64506006433171037</c:v>
                </c:pt>
                <c:pt idx="254">
                  <c:v>0.69460737633715097</c:v>
                </c:pt>
                <c:pt idx="255">
                  <c:v>0.61943761002952025</c:v>
                </c:pt>
                <c:pt idx="256">
                  <c:v>0.61009146456206875</c:v>
                </c:pt>
                <c:pt idx="257">
                  <c:v>0.56232346737706229</c:v>
                </c:pt>
                <c:pt idx="258">
                  <c:v>0.4654679491254794</c:v>
                </c:pt>
                <c:pt idx="259">
                  <c:v>0.49001593414403466</c:v>
                </c:pt>
                <c:pt idx="260">
                  <c:v>0.38476974209907455</c:v>
                </c:pt>
                <c:pt idx="261">
                  <c:v>0.4529002023145241</c:v>
                </c:pt>
                <c:pt idx="262">
                  <c:v>0.47421116038577793</c:v>
                </c:pt>
                <c:pt idx="263">
                  <c:v>0.41372086673921538</c:v>
                </c:pt>
                <c:pt idx="264">
                  <c:v>0.38626948042568987</c:v>
                </c:pt>
                <c:pt idx="265">
                  <c:v>0.36336417000359211</c:v>
                </c:pt>
                <c:pt idx="266">
                  <c:v>0.3557999866336754</c:v>
                </c:pt>
                <c:pt idx="267">
                  <c:v>0.44475418142635981</c:v>
                </c:pt>
                <c:pt idx="268">
                  <c:v>0.46782607782074104</c:v>
                </c:pt>
                <c:pt idx="269">
                  <c:v>0.47705045079181496</c:v>
                </c:pt>
                <c:pt idx="270">
                  <c:v>0.49750291042681871</c:v>
                </c:pt>
                <c:pt idx="271">
                  <c:v>0.48467067638094363</c:v>
                </c:pt>
                <c:pt idx="272">
                  <c:v>0.48371627861391397</c:v>
                </c:pt>
                <c:pt idx="273">
                  <c:v>0.51407109321144029</c:v>
                </c:pt>
                <c:pt idx="274">
                  <c:v>0.53085521031728478</c:v>
                </c:pt>
                <c:pt idx="275">
                  <c:v>0.56417848369520129</c:v>
                </c:pt>
                <c:pt idx="276">
                  <c:v>0.55414864525114704</c:v>
                </c:pt>
                <c:pt idx="277">
                  <c:v>0.59079678598056073</c:v>
                </c:pt>
                <c:pt idx="278">
                  <c:v>0.61716353329126861</c:v>
                </c:pt>
                <c:pt idx="279">
                  <c:v>0.59503409931196449</c:v>
                </c:pt>
                <c:pt idx="280">
                  <c:v>0.59515392478728413</c:v>
                </c:pt>
                <c:pt idx="281">
                  <c:v>0.63461000727452244</c:v>
                </c:pt>
                <c:pt idx="282">
                  <c:v>0.58102106094715911</c:v>
                </c:pt>
                <c:pt idx="283">
                  <c:v>0.55247375473372884</c:v>
                </c:pt>
                <c:pt idx="284">
                  <c:v>0.58420184890111604</c:v>
                </c:pt>
                <c:pt idx="285">
                  <c:v>0.58027594234478297</c:v>
                </c:pt>
                <c:pt idx="286">
                  <c:v>0.64668353642206688</c:v>
                </c:pt>
                <c:pt idx="287">
                  <c:v>0.66447159376875575</c:v>
                </c:pt>
                <c:pt idx="288">
                  <c:v>0.62479856641829734</c:v>
                </c:pt>
                <c:pt idx="289">
                  <c:v>0.61208893293928024</c:v>
                </c:pt>
                <c:pt idx="290">
                  <c:v>0.57519916009175787</c:v>
                </c:pt>
                <c:pt idx="291">
                  <c:v>0.53667889613158914</c:v>
                </c:pt>
                <c:pt idx="292">
                  <c:v>0.53268808654793931</c:v>
                </c:pt>
                <c:pt idx="293">
                  <c:v>0.51600476574285792</c:v>
                </c:pt>
                <c:pt idx="294">
                  <c:v>0.52090782640826405</c:v>
                </c:pt>
                <c:pt idx="295">
                  <c:v>0.51156758626029952</c:v>
                </c:pt>
                <c:pt idx="296">
                  <c:v>0.48478843516788328</c:v>
                </c:pt>
                <c:pt idx="297">
                  <c:v>0.47599415285217739</c:v>
                </c:pt>
                <c:pt idx="298">
                  <c:v>0.47211184682424023</c:v>
                </c:pt>
                <c:pt idx="299">
                  <c:v>0.45867969197210878</c:v>
                </c:pt>
                <c:pt idx="300">
                  <c:v>0.45244035394186866</c:v>
                </c:pt>
                <c:pt idx="301">
                  <c:v>0.44644082129363394</c:v>
                </c:pt>
                <c:pt idx="302">
                  <c:v>0.44935582589703915</c:v>
                </c:pt>
                <c:pt idx="303">
                  <c:v>0.44757570070969255</c:v>
                </c:pt>
                <c:pt idx="304">
                  <c:v>0.40245570343308623</c:v>
                </c:pt>
                <c:pt idx="305">
                  <c:v>0.40032968227396504</c:v>
                </c:pt>
                <c:pt idx="306">
                  <c:v>0.44352246169804488</c:v>
                </c:pt>
                <c:pt idx="307">
                  <c:v>0.44526985026489507</c:v>
                </c:pt>
                <c:pt idx="308">
                  <c:v>0.42167603791610309</c:v>
                </c:pt>
                <c:pt idx="309">
                  <c:v>0.4264214786904803</c:v>
                </c:pt>
                <c:pt idx="310">
                  <c:v>0.37982485092969509</c:v>
                </c:pt>
                <c:pt idx="311">
                  <c:v>0.40852502808371249</c:v>
                </c:pt>
                <c:pt idx="312">
                  <c:v>0.37022867744856569</c:v>
                </c:pt>
                <c:pt idx="313">
                  <c:v>0.34749430714351748</c:v>
                </c:pt>
                <c:pt idx="314">
                  <c:v>0.39230073953460431</c:v>
                </c:pt>
                <c:pt idx="315">
                  <c:v>0.37924219368908019</c:v>
                </c:pt>
                <c:pt idx="316">
                  <c:v>0.35826749104419875</c:v>
                </c:pt>
                <c:pt idx="317">
                  <c:v>0.30779452577443944</c:v>
                </c:pt>
                <c:pt idx="318">
                  <c:v>0.21667826358310438</c:v>
                </c:pt>
                <c:pt idx="319">
                  <c:v>0.27652438499766507</c:v>
                </c:pt>
                <c:pt idx="320">
                  <c:v>0.26429966204211541</c:v>
                </c:pt>
                <c:pt idx="321">
                  <c:v>0.30728734657515067</c:v>
                </c:pt>
                <c:pt idx="322">
                  <c:v>0.23432207719374398</c:v>
                </c:pt>
                <c:pt idx="323">
                  <c:v>0.21658019421663943</c:v>
                </c:pt>
                <c:pt idx="324">
                  <c:v>0.15553924573542299</c:v>
                </c:pt>
                <c:pt idx="325">
                  <c:v>7.2907916833308661E-2</c:v>
                </c:pt>
                <c:pt idx="326">
                  <c:v>3.003949178147991E-2</c:v>
                </c:pt>
                <c:pt idx="327">
                  <c:v>6.2406047787666674E-2</c:v>
                </c:pt>
                <c:pt idx="328">
                  <c:v>8.9922417113291075E-2</c:v>
                </c:pt>
                <c:pt idx="329">
                  <c:v>-1.3950669632413204E-2</c:v>
                </c:pt>
                <c:pt idx="330">
                  <c:v>-9.5066158439744974E-3</c:v>
                </c:pt>
                <c:pt idx="331">
                  <c:v>0.13453485055432535</c:v>
                </c:pt>
                <c:pt idx="332">
                  <c:v>1.112497884343866E-2</c:v>
                </c:pt>
                <c:pt idx="333">
                  <c:v>-0.20359162298206424</c:v>
                </c:pt>
                <c:pt idx="334">
                  <c:v>-0.31495257720458025</c:v>
                </c:pt>
                <c:pt idx="335">
                  <c:v>-0.34991263892451929</c:v>
                </c:pt>
                <c:pt idx="336">
                  <c:v>-0.45339974239791236</c:v>
                </c:pt>
                <c:pt idx="337">
                  <c:v>-0.51430798096323493</c:v>
                </c:pt>
                <c:pt idx="338">
                  <c:v>-0.47274963545048898</c:v>
                </c:pt>
                <c:pt idx="339">
                  <c:v>-0.42536176379744917</c:v>
                </c:pt>
                <c:pt idx="340">
                  <c:v>-0.35857104428416631</c:v>
                </c:pt>
                <c:pt idx="341">
                  <c:v>-0.39724989005621891</c:v>
                </c:pt>
                <c:pt idx="342">
                  <c:v>-0.30870118596126872</c:v>
                </c:pt>
                <c:pt idx="343">
                  <c:v>-0.27279470363019787</c:v>
                </c:pt>
                <c:pt idx="344">
                  <c:v>-0.21589800120475799</c:v>
                </c:pt>
                <c:pt idx="345">
                  <c:v>-0.27975974734317544</c:v>
                </c:pt>
                <c:pt idx="346">
                  <c:v>-0.24505568103831621</c:v>
                </c:pt>
                <c:pt idx="347">
                  <c:v>-0.27635088613748482</c:v>
                </c:pt>
                <c:pt idx="348">
                  <c:v>-0.26079677754875186</c:v>
                </c:pt>
                <c:pt idx="349">
                  <c:v>-0.21754483924377332</c:v>
                </c:pt>
                <c:pt idx="350">
                  <c:v>-0.24268574987258051</c:v>
                </c:pt>
                <c:pt idx="351">
                  <c:v>-0.1990426779047092</c:v>
                </c:pt>
                <c:pt idx="352">
                  <c:v>-0.24586379396049907</c:v>
                </c:pt>
                <c:pt idx="353">
                  <c:v>-0.30996299548583983</c:v>
                </c:pt>
                <c:pt idx="354">
                  <c:v>-0.23875443145059383</c:v>
                </c:pt>
                <c:pt idx="355">
                  <c:v>-0.32409551393141522</c:v>
                </c:pt>
                <c:pt idx="356">
                  <c:v>-0.20352959855147956</c:v>
                </c:pt>
                <c:pt idx="357">
                  <c:v>-0.16414875414576091</c:v>
                </c:pt>
                <c:pt idx="358">
                  <c:v>-9.2296346620760028E-2</c:v>
                </c:pt>
                <c:pt idx="359">
                  <c:v>-3.904533739400029E-2</c:v>
                </c:pt>
                <c:pt idx="360">
                  <c:v>-4.226043269173263E-2</c:v>
                </c:pt>
                <c:pt idx="361">
                  <c:v>6.7083552465793339E-2</c:v>
                </c:pt>
                <c:pt idx="362">
                  <c:v>0.12590257038960995</c:v>
                </c:pt>
                <c:pt idx="363">
                  <c:v>9.0707536453253024E-2</c:v>
                </c:pt>
                <c:pt idx="364">
                  <c:v>7.8168437278088865E-2</c:v>
                </c:pt>
                <c:pt idx="365">
                  <c:v>8.7330120688329238E-2</c:v>
                </c:pt>
                <c:pt idx="366">
                  <c:v>8.0937427801335504E-2</c:v>
                </c:pt>
                <c:pt idx="367">
                  <c:v>9.1514479064190857E-2</c:v>
                </c:pt>
                <c:pt idx="368">
                  <c:v>0.10301769711491326</c:v>
                </c:pt>
                <c:pt idx="369">
                  <c:v>0.17521210208484539</c:v>
                </c:pt>
                <c:pt idx="370">
                  <c:v>0.11104656362720111</c:v>
                </c:pt>
                <c:pt idx="371">
                  <c:v>0.11268679496720146</c:v>
                </c:pt>
                <c:pt idx="372">
                  <c:v>0.16293415431485458</c:v>
                </c:pt>
                <c:pt idx="373">
                  <c:v>0.21601464320975849</c:v>
                </c:pt>
                <c:pt idx="374">
                  <c:v>0.21337148837177411</c:v>
                </c:pt>
                <c:pt idx="375">
                  <c:v>0.26227923481340443</c:v>
                </c:pt>
                <c:pt idx="376">
                  <c:v>0.21840484976294472</c:v>
                </c:pt>
                <c:pt idx="377">
                  <c:v>0.31548468037466493</c:v>
                </c:pt>
                <c:pt idx="378">
                  <c:v>0.39311332698990675</c:v>
                </c:pt>
                <c:pt idx="379">
                  <c:v>0.4072007778057174</c:v>
                </c:pt>
                <c:pt idx="380">
                  <c:v>0.52585587867458261</c:v>
                </c:pt>
                <c:pt idx="381">
                  <c:v>0.44072875758563179</c:v>
                </c:pt>
                <c:pt idx="382">
                  <c:v>0.3981038709648439</c:v>
                </c:pt>
                <c:pt idx="383">
                  <c:v>0.45689975227157564</c:v>
                </c:pt>
                <c:pt idx="384">
                  <c:v>0.52317363478464651</c:v>
                </c:pt>
                <c:pt idx="385">
                  <c:v>0.54771463016678368</c:v>
                </c:pt>
                <c:pt idx="386">
                  <c:v>0.57095929358258424</c:v>
                </c:pt>
                <c:pt idx="387">
                  <c:v>0.52143688026715629</c:v>
                </c:pt>
                <c:pt idx="388">
                  <c:v>0.49790287971805247</c:v>
                </c:pt>
                <c:pt idx="389">
                  <c:v>0.47663568159388325</c:v>
                </c:pt>
                <c:pt idx="390">
                  <c:v>0.50380976845047321</c:v>
                </c:pt>
                <c:pt idx="391">
                  <c:v>0.46332006469381914</c:v>
                </c:pt>
                <c:pt idx="392">
                  <c:v>0.49921862134909922</c:v>
                </c:pt>
                <c:pt idx="393">
                  <c:v>0.49243606525980299</c:v>
                </c:pt>
                <c:pt idx="394">
                  <c:v>0.51078866686611968</c:v>
                </c:pt>
                <c:pt idx="395">
                  <c:v>0.49065661423645435</c:v>
                </c:pt>
                <c:pt idx="396">
                  <c:v>0.44587266068821552</c:v>
                </c:pt>
                <c:pt idx="397">
                  <c:v>0.4719281228937271</c:v>
                </c:pt>
                <c:pt idx="398">
                  <c:v>0.49211060395551476</c:v>
                </c:pt>
                <c:pt idx="399">
                  <c:v>0.51147372777457245</c:v>
                </c:pt>
                <c:pt idx="400">
                  <c:v>0.51998526928005306</c:v>
                </c:pt>
                <c:pt idx="401">
                  <c:v>0.52164263311720327</c:v>
                </c:pt>
                <c:pt idx="402">
                  <c:v>0.5388281195143132</c:v>
                </c:pt>
                <c:pt idx="403">
                  <c:v>0.56932954056832497</c:v>
                </c:pt>
                <c:pt idx="404">
                  <c:v>0.54950338460429204</c:v>
                </c:pt>
                <c:pt idx="405">
                  <c:v>0.55787372629058973</c:v>
                </c:pt>
                <c:pt idx="406">
                  <c:v>0.54867820380639776</c:v>
                </c:pt>
                <c:pt idx="407">
                  <c:v>0.52014623453456754</c:v>
                </c:pt>
                <c:pt idx="408">
                  <c:v>0.51668520229203851</c:v>
                </c:pt>
                <c:pt idx="409">
                  <c:v>0.54696876775279302</c:v>
                </c:pt>
                <c:pt idx="410">
                  <c:v>0.55063722223681677</c:v>
                </c:pt>
                <c:pt idx="411">
                  <c:v>0.5760160985575431</c:v>
                </c:pt>
                <c:pt idx="412">
                  <c:v>0.56200768683969993</c:v>
                </c:pt>
                <c:pt idx="413">
                  <c:v>0.54607958692435843</c:v>
                </c:pt>
                <c:pt idx="414">
                  <c:v>0.53495355766099251</c:v>
                </c:pt>
                <c:pt idx="415">
                  <c:v>0.4931179493131066</c:v>
                </c:pt>
                <c:pt idx="416">
                  <c:v>0.46787068936903053</c:v>
                </c:pt>
                <c:pt idx="417">
                  <c:v>0.55047329538899414</c:v>
                </c:pt>
                <c:pt idx="418">
                  <c:v>0.52423544429411506</c:v>
                </c:pt>
                <c:pt idx="419">
                  <c:v>0.51382391326261501</c:v>
                </c:pt>
                <c:pt idx="420">
                  <c:v>0.45237606061940272</c:v>
                </c:pt>
                <c:pt idx="421">
                  <c:v>0.45134080205906812</c:v>
                </c:pt>
                <c:pt idx="422">
                  <c:v>0.49784806602624676</c:v>
                </c:pt>
                <c:pt idx="423">
                  <c:v>0.49359584678905222</c:v>
                </c:pt>
                <c:pt idx="424">
                  <c:v>0.53613500976486894</c:v>
                </c:pt>
                <c:pt idx="425">
                  <c:v>0.5398645871142187</c:v>
                </c:pt>
                <c:pt idx="426">
                  <c:v>0.5681354474854543</c:v>
                </c:pt>
                <c:pt idx="427">
                  <c:v>0.55210071209254319</c:v>
                </c:pt>
                <c:pt idx="428">
                  <c:v>0.53341758858508825</c:v>
                </c:pt>
                <c:pt idx="429">
                  <c:v>0.49426762000883451</c:v>
                </c:pt>
                <c:pt idx="430">
                  <c:v>0.51147863386782566</c:v>
                </c:pt>
                <c:pt idx="431">
                  <c:v>0.51864891045470696</c:v>
                </c:pt>
                <c:pt idx="432">
                  <c:v>0.52484571235684974</c:v>
                </c:pt>
                <c:pt idx="433">
                  <c:v>0.57608049846816622</c:v>
                </c:pt>
                <c:pt idx="434">
                  <c:v>0.57124176892294987</c:v>
                </c:pt>
                <c:pt idx="435">
                  <c:v>0.54672127385666203</c:v>
                </c:pt>
                <c:pt idx="436">
                  <c:v>0.53290219583671439</c:v>
                </c:pt>
                <c:pt idx="437">
                  <c:v>0.55419514096698008</c:v>
                </c:pt>
                <c:pt idx="438">
                  <c:v>0.60025655692738589</c:v>
                </c:pt>
                <c:pt idx="439">
                  <c:v>0.59184003556835907</c:v>
                </c:pt>
                <c:pt idx="440">
                  <c:v>0.57928497880953</c:v>
                </c:pt>
                <c:pt idx="441">
                  <c:v>0.58648591579199549</c:v>
                </c:pt>
                <c:pt idx="442">
                  <c:v>0.64969542882096021</c:v>
                </c:pt>
                <c:pt idx="443">
                  <c:v>0.66544879800992196</c:v>
                </c:pt>
                <c:pt idx="444">
                  <c:v>0.76647149739374365</c:v>
                </c:pt>
                <c:pt idx="445">
                  <c:v>0.76119349758714105</c:v>
                </c:pt>
                <c:pt idx="446">
                  <c:v>0.74284506607709822</c:v>
                </c:pt>
                <c:pt idx="447">
                  <c:v>0.70643286659013471</c:v>
                </c:pt>
                <c:pt idx="448">
                  <c:v>0.71564018972616394</c:v>
                </c:pt>
                <c:pt idx="449">
                  <c:v>0.79420805041228237</c:v>
                </c:pt>
                <c:pt idx="450">
                  <c:v>0.83094167233778782</c:v>
                </c:pt>
                <c:pt idx="451">
                  <c:v>0.84548021696964404</c:v>
                </c:pt>
                <c:pt idx="452">
                  <c:v>0.92491595852122521</c:v>
                </c:pt>
                <c:pt idx="453">
                  <c:v>1.0182126889233836</c:v>
                </c:pt>
                <c:pt idx="454">
                  <c:v>1.0978458502485253</c:v>
                </c:pt>
                <c:pt idx="455">
                  <c:v>1.006210596568627</c:v>
                </c:pt>
                <c:pt idx="456">
                  <c:v>1.1431670351834087</c:v>
                </c:pt>
                <c:pt idx="457">
                  <c:v>1.2604174332263942</c:v>
                </c:pt>
                <c:pt idx="458">
                  <c:v>1.2045318766962616</c:v>
                </c:pt>
                <c:pt idx="459">
                  <c:v>1.1606191835256516</c:v>
                </c:pt>
                <c:pt idx="460">
                  <c:v>1.0591279924886194</c:v>
                </c:pt>
                <c:pt idx="461">
                  <c:v>1.1123722187249021</c:v>
                </c:pt>
                <c:pt idx="462">
                  <c:v>1.0626381248655576</c:v>
                </c:pt>
                <c:pt idx="463">
                  <c:v>1.0190106838639961</c:v>
                </c:pt>
                <c:pt idx="464">
                  <c:v>1.0031274871763225</c:v>
                </c:pt>
                <c:pt idx="465">
                  <c:v>1.0353762082584677</c:v>
                </c:pt>
                <c:pt idx="466">
                  <c:v>1.0150699295398646</c:v>
                </c:pt>
                <c:pt idx="467">
                  <c:v>1.022902409310994</c:v>
                </c:pt>
                <c:pt idx="468">
                  <c:v>1.0525981991880955</c:v>
                </c:pt>
                <c:pt idx="469">
                  <c:v>0.95445055799450462</c:v>
                </c:pt>
                <c:pt idx="470">
                  <c:v>0.79425108273900991</c:v>
                </c:pt>
                <c:pt idx="471">
                  <c:v>0.88293273879523637</c:v>
                </c:pt>
                <c:pt idx="472">
                  <c:v>0.99250796409958442</c:v>
                </c:pt>
                <c:pt idx="473">
                  <c:v>1.0558055561659425</c:v>
                </c:pt>
                <c:pt idx="474">
                  <c:v>1.0450807180190398</c:v>
                </c:pt>
                <c:pt idx="475">
                  <c:v>1.1429214434969999</c:v>
                </c:pt>
                <c:pt idx="476">
                  <c:v>1.0372139218968042</c:v>
                </c:pt>
                <c:pt idx="477">
                  <c:v>0.98267945379971477</c:v>
                </c:pt>
                <c:pt idx="478">
                  <c:v>1.0701674966377168</c:v>
                </c:pt>
                <c:pt idx="479">
                  <c:v>1.0498031058268382</c:v>
                </c:pt>
                <c:pt idx="480">
                  <c:v>1.0218516769734038</c:v>
                </c:pt>
                <c:pt idx="481">
                  <c:v>1.0166983705288966</c:v>
                </c:pt>
                <c:pt idx="482">
                  <c:v>1.0519747132860129</c:v>
                </c:pt>
                <c:pt idx="483">
                  <c:v>1.0717622691411348</c:v>
                </c:pt>
                <c:pt idx="484">
                  <c:v>1.0865652089247995</c:v>
                </c:pt>
                <c:pt idx="485">
                  <c:v>1.1203562115566772</c:v>
                </c:pt>
                <c:pt idx="486">
                  <c:v>1.1574915249948186</c:v>
                </c:pt>
                <c:pt idx="487">
                  <c:v>1.2301276384136239</c:v>
                </c:pt>
                <c:pt idx="488">
                  <c:v>1.25178173488386</c:v>
                </c:pt>
                <c:pt idx="489">
                  <c:v>1.2219578825993438</c:v>
                </c:pt>
                <c:pt idx="490">
                  <c:v>1.2181168458445513</c:v>
                </c:pt>
                <c:pt idx="491">
                  <c:v>1.2460357652658676</c:v>
                </c:pt>
                <c:pt idx="492">
                  <c:v>1.1634591029530288</c:v>
                </c:pt>
                <c:pt idx="493">
                  <c:v>1.1026193006366585</c:v>
                </c:pt>
                <c:pt idx="494">
                  <c:v>1.1066512354235789</c:v>
                </c:pt>
                <c:pt idx="495">
                  <c:v>1.0344379703060764</c:v>
                </c:pt>
                <c:pt idx="496">
                  <c:v>1.0865265317050914</c:v>
                </c:pt>
                <c:pt idx="497">
                  <c:v>0.98002198294448761</c:v>
                </c:pt>
                <c:pt idx="498">
                  <c:v>1.0428202302757374</c:v>
                </c:pt>
                <c:pt idx="499">
                  <c:v>0.98781274605695946</c:v>
                </c:pt>
                <c:pt idx="500">
                  <c:v>0.88475435709381212</c:v>
                </c:pt>
                <c:pt idx="501">
                  <c:v>0.96312740721090995</c:v>
                </c:pt>
                <c:pt idx="502">
                  <c:v>1.0009238727265095</c:v>
                </c:pt>
                <c:pt idx="503">
                  <c:v>0.94037380985455399</c:v>
                </c:pt>
                <c:pt idx="504">
                  <c:v>0.94684103809192321</c:v>
                </c:pt>
                <c:pt idx="505">
                  <c:v>0.91270691619870936</c:v>
                </c:pt>
                <c:pt idx="506">
                  <c:v>0.90990332339373348</c:v>
                </c:pt>
                <c:pt idx="507">
                  <c:v>0.90343379946651958</c:v>
                </c:pt>
                <c:pt idx="508">
                  <c:v>0.88592356060126498</c:v>
                </c:pt>
                <c:pt idx="509">
                  <c:v>0.94898806241938582</c:v>
                </c:pt>
                <c:pt idx="510">
                  <c:v>0.93032908797498526</c:v>
                </c:pt>
                <c:pt idx="511">
                  <c:v>0.93886538755628535</c:v>
                </c:pt>
                <c:pt idx="512">
                  <c:v>0.86840895889207981</c:v>
                </c:pt>
                <c:pt idx="513">
                  <c:v>0.8090123167218124</c:v>
                </c:pt>
                <c:pt idx="514">
                  <c:v>0.85328163408823632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F-4E5B-87B9-ACA4D7850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383696"/>
        <c:axId val="1727767008"/>
      </c:lineChart>
      <c:catAx>
        <c:axId val="1607383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767008"/>
        <c:crosses val="autoZero"/>
        <c:auto val="1"/>
        <c:lblAlgn val="ctr"/>
        <c:lblOffset val="100"/>
        <c:noMultiLvlLbl val="0"/>
      </c:catAx>
      <c:valAx>
        <c:axId val="17277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38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Exc_R_f!$G$2:$G$637</c:f>
              <c:numCache>
                <c:formatCode>General</c:formatCode>
                <c:ptCount val="636"/>
                <c:pt idx="0">
                  <c:v>5.0840358240444861E-2</c:v>
                </c:pt>
                <c:pt idx="1">
                  <c:v>5.1228000787639782E-2</c:v>
                </c:pt>
                <c:pt idx="2">
                  <c:v>4.3079348074159807E-2</c:v>
                </c:pt>
                <c:pt idx="3">
                  <c:v>-1.0762563860089447E-2</c:v>
                </c:pt>
                <c:pt idx="4">
                  <c:v>1.9075892826492247E-2</c:v>
                </c:pt>
                <c:pt idx="5">
                  <c:v>2.0542746470120221E-3</c:v>
                </c:pt>
                <c:pt idx="6">
                  <c:v>3.0423538580715004E-2</c:v>
                </c:pt>
                <c:pt idx="7">
                  <c:v>-5.8115591144425327E-2</c:v>
                </c:pt>
                <c:pt idx="8">
                  <c:v>-0.10417866925017671</c:v>
                </c:pt>
                <c:pt idx="9">
                  <c:v>-3.4763866288534118E-2</c:v>
                </c:pt>
                <c:pt idx="10">
                  <c:v>-7.2484536761563412E-3</c:v>
                </c:pt>
                <c:pt idx="11">
                  <c:v>-0.10432421713763018</c:v>
                </c:pt>
                <c:pt idx="12">
                  <c:v>-0.137156933439464</c:v>
                </c:pt>
                <c:pt idx="13">
                  <c:v>-0.21049176995265872</c:v>
                </c:pt>
                <c:pt idx="14">
                  <c:v>-0.22810062598379588</c:v>
                </c:pt>
                <c:pt idx="15">
                  <c:v>-0.20574983551610027</c:v>
                </c:pt>
                <c:pt idx="16">
                  <c:v>-0.25501428544130178</c:v>
                </c:pt>
                <c:pt idx="17">
                  <c:v>-0.25683822982089932</c:v>
                </c:pt>
                <c:pt idx="18">
                  <c:v>-0.28259766804682451</c:v>
                </c:pt>
                <c:pt idx="19">
                  <c:v>-0.21898194284055705</c:v>
                </c:pt>
                <c:pt idx="20">
                  <c:v>-0.20899252797165202</c:v>
                </c:pt>
                <c:pt idx="21">
                  <c:v>-0.12988118248369318</c:v>
                </c:pt>
                <c:pt idx="22">
                  <c:v>-0.1356494251363638</c:v>
                </c:pt>
                <c:pt idx="23">
                  <c:v>-0.13554254169482194</c:v>
                </c:pt>
                <c:pt idx="24">
                  <c:v>-9.4690137612873926E-2</c:v>
                </c:pt>
                <c:pt idx="25">
                  <c:v>-4.6632123860435026E-2</c:v>
                </c:pt>
                <c:pt idx="26">
                  <c:v>-1.8095931725237158E-2</c:v>
                </c:pt>
                <c:pt idx="27">
                  <c:v>7.5258878742001656E-2</c:v>
                </c:pt>
                <c:pt idx="28">
                  <c:v>8.07280161547963E-2</c:v>
                </c:pt>
                <c:pt idx="29">
                  <c:v>0.11402164467464448</c:v>
                </c:pt>
                <c:pt idx="30">
                  <c:v>5.470411869097358E-2</c:v>
                </c:pt>
                <c:pt idx="31">
                  <c:v>9.4079048524808861E-2</c:v>
                </c:pt>
                <c:pt idx="32">
                  <c:v>7.0606025250019577E-2</c:v>
                </c:pt>
                <c:pt idx="33">
                  <c:v>5.8432427691257338E-2</c:v>
                </c:pt>
                <c:pt idx="34">
                  <c:v>0.17159335777008344</c:v>
                </c:pt>
                <c:pt idx="35">
                  <c:v>0.15116969704707106</c:v>
                </c:pt>
                <c:pt idx="36">
                  <c:v>0.15364474150751928</c:v>
                </c:pt>
                <c:pt idx="37">
                  <c:v>0.12200466240042118</c:v>
                </c:pt>
                <c:pt idx="38">
                  <c:v>0.15333932126437855</c:v>
                </c:pt>
                <c:pt idx="39">
                  <c:v>0.19054432578697877</c:v>
                </c:pt>
                <c:pt idx="40">
                  <c:v>0.1674785024549541</c:v>
                </c:pt>
                <c:pt idx="41">
                  <c:v>0.19596714109118007</c:v>
                </c:pt>
                <c:pt idx="42">
                  <c:v>0.25008977186757875</c:v>
                </c:pt>
                <c:pt idx="43">
                  <c:v>0.40912073966525853</c:v>
                </c:pt>
                <c:pt idx="44">
                  <c:v>0.51344400552930658</c:v>
                </c:pt>
                <c:pt idx="45">
                  <c:v>0.38199064348745093</c:v>
                </c:pt>
                <c:pt idx="46">
                  <c:v>0.41132509089325531</c:v>
                </c:pt>
                <c:pt idx="47">
                  <c:v>0.44822287033037256</c:v>
                </c:pt>
                <c:pt idx="48">
                  <c:v>0.41206116867431586</c:v>
                </c:pt>
                <c:pt idx="49">
                  <c:v>0.36791882273439214</c:v>
                </c:pt>
                <c:pt idx="50">
                  <c:v>0.34577053329054586</c:v>
                </c:pt>
                <c:pt idx="51">
                  <c:v>0.29996585696181466</c:v>
                </c:pt>
                <c:pt idx="52">
                  <c:v>0.30728344842108068</c:v>
                </c:pt>
                <c:pt idx="53">
                  <c:v>0.28165691271571092</c:v>
                </c:pt>
                <c:pt idx="54">
                  <c:v>0.33443734269917869</c:v>
                </c:pt>
                <c:pt idx="55">
                  <c:v>0.34164258737536812</c:v>
                </c:pt>
                <c:pt idx="56">
                  <c:v>0.3402133166408472</c:v>
                </c:pt>
                <c:pt idx="57">
                  <c:v>0.3237747735847174</c:v>
                </c:pt>
                <c:pt idx="58">
                  <c:v>0.35543063562055721</c:v>
                </c:pt>
                <c:pt idx="59">
                  <c:v>0.40225568691771851</c:v>
                </c:pt>
                <c:pt idx="60">
                  <c:v>0.31040925223371207</c:v>
                </c:pt>
                <c:pt idx="61">
                  <c:v>0.37543208124275473</c:v>
                </c:pt>
                <c:pt idx="62">
                  <c:v>0.39240452983690943</c:v>
                </c:pt>
                <c:pt idx="63">
                  <c:v>0.38842254461473047</c:v>
                </c:pt>
                <c:pt idx="64">
                  <c:v>0.43940431923117362</c:v>
                </c:pt>
                <c:pt idx="65">
                  <c:v>0.41569164404451353</c:v>
                </c:pt>
                <c:pt idx="66">
                  <c:v>0.37167885356501618</c:v>
                </c:pt>
                <c:pt idx="67">
                  <c:v>0.43018753137447074</c:v>
                </c:pt>
                <c:pt idx="68">
                  <c:v>0.33704670238230428</c:v>
                </c:pt>
                <c:pt idx="69">
                  <c:v>0.39983898360576031</c:v>
                </c:pt>
                <c:pt idx="70">
                  <c:v>0.42140083631465597</c:v>
                </c:pt>
                <c:pt idx="71">
                  <c:v>0.35337052396862134</c:v>
                </c:pt>
                <c:pt idx="72">
                  <c:v>0.50189593511273944</c:v>
                </c:pt>
                <c:pt idx="73">
                  <c:v>0.54884348772012981</c:v>
                </c:pt>
                <c:pt idx="74">
                  <c:v>0.58049546691711917</c:v>
                </c:pt>
                <c:pt idx="75">
                  <c:v>0.57183814406163158</c:v>
                </c:pt>
                <c:pt idx="76">
                  <c:v>0.59213864493157242</c:v>
                </c:pt>
                <c:pt idx="77">
                  <c:v>0.59336935082994202</c:v>
                </c:pt>
                <c:pt idx="78">
                  <c:v>0.64700435983811033</c:v>
                </c:pt>
                <c:pt idx="79">
                  <c:v>0.68942048242792708</c:v>
                </c:pt>
                <c:pt idx="80">
                  <c:v>0.67129517948698592</c:v>
                </c:pt>
                <c:pt idx="81">
                  <c:v>0.50223126910671212</c:v>
                </c:pt>
                <c:pt idx="82">
                  <c:v>0.40155416179870063</c:v>
                </c:pt>
                <c:pt idx="83">
                  <c:v>0.45755275896892655</c:v>
                </c:pt>
                <c:pt idx="84">
                  <c:v>0.54684183344084758</c:v>
                </c:pt>
                <c:pt idx="85">
                  <c:v>0.59956012427888616</c:v>
                </c:pt>
                <c:pt idx="86">
                  <c:v>0.55169023787409177</c:v>
                </c:pt>
                <c:pt idx="87">
                  <c:v>0.48959515546089794</c:v>
                </c:pt>
                <c:pt idx="88">
                  <c:v>0.48488443167271633</c:v>
                </c:pt>
                <c:pt idx="89">
                  <c:v>0.53844882257838567</c:v>
                </c:pt>
                <c:pt idx="90">
                  <c:v>0.48860817020170977</c:v>
                </c:pt>
                <c:pt idx="91">
                  <c:v>0.43288716578775421</c:v>
                </c:pt>
                <c:pt idx="92">
                  <c:v>0.47236551168121643</c:v>
                </c:pt>
                <c:pt idx="93">
                  <c:v>0.57405030051544959</c:v>
                </c:pt>
                <c:pt idx="94">
                  <c:v>0.54080342180502505</c:v>
                </c:pt>
                <c:pt idx="95">
                  <c:v>0.54364909862723021</c:v>
                </c:pt>
                <c:pt idx="96">
                  <c:v>0.56901567528657715</c:v>
                </c:pt>
                <c:pt idx="97">
                  <c:v>0.57316782345651074</c:v>
                </c:pt>
                <c:pt idx="98">
                  <c:v>0.54662931483266952</c:v>
                </c:pt>
                <c:pt idx="99">
                  <c:v>0.58657064240854595</c:v>
                </c:pt>
                <c:pt idx="100">
                  <c:v>0.63490311929514931</c:v>
                </c:pt>
                <c:pt idx="101">
                  <c:v>0.59780880732447361</c:v>
                </c:pt>
                <c:pt idx="102">
                  <c:v>0.66086016843940332</c:v>
                </c:pt>
                <c:pt idx="103">
                  <c:v>0.62720986640900644</c:v>
                </c:pt>
                <c:pt idx="104">
                  <c:v>0.62417615257424064</c:v>
                </c:pt>
                <c:pt idx="105">
                  <c:v>0.66269479029850142</c:v>
                </c:pt>
                <c:pt idx="106">
                  <c:v>0.63900636946365719</c:v>
                </c:pt>
                <c:pt idx="107">
                  <c:v>0.64543035366779744</c:v>
                </c:pt>
                <c:pt idx="108">
                  <c:v>0.53843504281725352</c:v>
                </c:pt>
                <c:pt idx="109">
                  <c:v>0.55010955439820375</c:v>
                </c:pt>
                <c:pt idx="110">
                  <c:v>0.66322820598267995</c:v>
                </c:pt>
                <c:pt idx="111">
                  <c:v>0.61219055682537604</c:v>
                </c:pt>
                <c:pt idx="112">
                  <c:v>0.64602538704370271</c:v>
                </c:pt>
                <c:pt idx="113">
                  <c:v>0.61553874799045172</c:v>
                </c:pt>
                <c:pt idx="114">
                  <c:v>0.55504742077239211</c:v>
                </c:pt>
                <c:pt idx="115">
                  <c:v>0.463667579071525</c:v>
                </c:pt>
                <c:pt idx="116">
                  <c:v>0.39964342469893666</c:v>
                </c:pt>
                <c:pt idx="117">
                  <c:v>0.38405284245344173</c:v>
                </c:pt>
                <c:pt idx="118">
                  <c:v>0.35231215789990333</c:v>
                </c:pt>
                <c:pt idx="119">
                  <c:v>0.40748020683127884</c:v>
                </c:pt>
                <c:pt idx="120">
                  <c:v>0.48600716079356676</c:v>
                </c:pt>
                <c:pt idx="121">
                  <c:v>0.53133208160383028</c:v>
                </c:pt>
                <c:pt idx="122">
                  <c:v>0.52639427772933622</c:v>
                </c:pt>
                <c:pt idx="123">
                  <c:v>0.55003552387806742</c:v>
                </c:pt>
                <c:pt idx="124">
                  <c:v>0.58554715652214817</c:v>
                </c:pt>
                <c:pt idx="125">
                  <c:v>0.56122622324901172</c:v>
                </c:pt>
                <c:pt idx="126">
                  <c:v>0.60512426536434294</c:v>
                </c:pt>
                <c:pt idx="127">
                  <c:v>0.67987547203571808</c:v>
                </c:pt>
                <c:pt idx="128">
                  <c:v>0.71565487053306676</c:v>
                </c:pt>
                <c:pt idx="129">
                  <c:v>0.69070510104900507</c:v>
                </c:pt>
                <c:pt idx="130">
                  <c:v>0.62572691913305167</c:v>
                </c:pt>
                <c:pt idx="131">
                  <c:v>0.74379742082162359</c:v>
                </c:pt>
                <c:pt idx="132">
                  <c:v>0.7450824975320014</c:v>
                </c:pt>
                <c:pt idx="133">
                  <c:v>0.80476298597926821</c:v>
                </c:pt>
                <c:pt idx="134">
                  <c:v>0.79924136212163877</c:v>
                </c:pt>
                <c:pt idx="135">
                  <c:v>0.79544140331535562</c:v>
                </c:pt>
                <c:pt idx="136">
                  <c:v>0.8312699312560623</c:v>
                </c:pt>
                <c:pt idx="137">
                  <c:v>0.83728431465666109</c:v>
                </c:pt>
                <c:pt idx="138">
                  <c:v>0.8944461599615261</c:v>
                </c:pt>
                <c:pt idx="139">
                  <c:v>0.78001558122515746</c:v>
                </c:pt>
                <c:pt idx="140">
                  <c:v>0.78278559681290716</c:v>
                </c:pt>
                <c:pt idx="141">
                  <c:v>0.69904428107925298</c:v>
                </c:pt>
                <c:pt idx="142">
                  <c:v>0.69267274752535801</c:v>
                </c:pt>
                <c:pt idx="143">
                  <c:v>0.69302659087673302</c:v>
                </c:pt>
                <c:pt idx="144">
                  <c:v>0.6737739177268498</c:v>
                </c:pt>
                <c:pt idx="145">
                  <c:v>0.66702766477491071</c:v>
                </c:pt>
                <c:pt idx="146">
                  <c:v>0.65851935491154645</c:v>
                </c:pt>
                <c:pt idx="147">
                  <c:v>0.58023840514909164</c:v>
                </c:pt>
                <c:pt idx="148">
                  <c:v>0.61072349420363548</c:v>
                </c:pt>
                <c:pt idx="149">
                  <c:v>0.58662629476735617</c:v>
                </c:pt>
                <c:pt idx="150">
                  <c:v>0.61359286566771143</c:v>
                </c:pt>
                <c:pt idx="151">
                  <c:v>0.63549110193983349</c:v>
                </c:pt>
                <c:pt idx="152">
                  <c:v>0.62148672897044399</c:v>
                </c:pt>
                <c:pt idx="153">
                  <c:v>0.65361100539111927</c:v>
                </c:pt>
                <c:pt idx="154">
                  <c:v>0.63024020008590753</c:v>
                </c:pt>
                <c:pt idx="155">
                  <c:v>0.64980729694761319</c:v>
                </c:pt>
                <c:pt idx="156">
                  <c:v>0.68500841440370941</c:v>
                </c:pt>
                <c:pt idx="157">
                  <c:v>0.69513845287074716</c:v>
                </c:pt>
                <c:pt idx="158">
                  <c:v>0.64719874867633642</c:v>
                </c:pt>
                <c:pt idx="159">
                  <c:v>0.65672483953114202</c:v>
                </c:pt>
                <c:pt idx="160">
                  <c:v>0.72012805594514617</c:v>
                </c:pt>
                <c:pt idx="161">
                  <c:v>0.68362774665440273</c:v>
                </c:pt>
                <c:pt idx="162">
                  <c:v>0.72683442979479818</c:v>
                </c:pt>
                <c:pt idx="163">
                  <c:v>0.67511922084813047</c:v>
                </c:pt>
                <c:pt idx="164">
                  <c:v>0.65887925098775391</c:v>
                </c:pt>
                <c:pt idx="165">
                  <c:v>0.68004252771189933</c:v>
                </c:pt>
                <c:pt idx="166">
                  <c:v>0.66030995098178558</c:v>
                </c:pt>
                <c:pt idx="167">
                  <c:v>0.65323916588333475</c:v>
                </c:pt>
                <c:pt idx="168">
                  <c:v>0.61449556708819131</c:v>
                </c:pt>
                <c:pt idx="169">
                  <c:v>0.6365115557090073</c:v>
                </c:pt>
                <c:pt idx="170">
                  <c:v>0.66268058004645969</c:v>
                </c:pt>
                <c:pt idx="171">
                  <c:v>0.69245881187058878</c:v>
                </c:pt>
                <c:pt idx="172">
                  <c:v>0.67512115352859059</c:v>
                </c:pt>
                <c:pt idx="173">
                  <c:v>0.68245495963479286</c:v>
                </c:pt>
                <c:pt idx="174">
                  <c:v>0.71428542852767229</c:v>
                </c:pt>
                <c:pt idx="175">
                  <c:v>0.72334780037286439</c:v>
                </c:pt>
                <c:pt idx="176">
                  <c:v>0.78788339914590555</c:v>
                </c:pt>
                <c:pt idx="177">
                  <c:v>0.74939761985055586</c:v>
                </c:pt>
                <c:pt idx="178">
                  <c:v>0.72897361563311058</c:v>
                </c:pt>
                <c:pt idx="179">
                  <c:v>0.70548424847030056</c:v>
                </c:pt>
                <c:pt idx="180">
                  <c:v>0.73141623210108975</c:v>
                </c:pt>
                <c:pt idx="181">
                  <c:v>0.67901267831336209</c:v>
                </c:pt>
                <c:pt idx="182">
                  <c:v>0.64307910734489049</c:v>
                </c:pt>
                <c:pt idx="183">
                  <c:v>0.66744142679591167</c:v>
                </c:pt>
                <c:pt idx="184">
                  <c:v>0.64374606378081456</c:v>
                </c:pt>
                <c:pt idx="185">
                  <c:v>0.63509217721295919</c:v>
                </c:pt>
                <c:pt idx="186">
                  <c:v>0.6472593538471072</c:v>
                </c:pt>
                <c:pt idx="187">
                  <c:v>0.60561228533149158</c:v>
                </c:pt>
                <c:pt idx="188">
                  <c:v>0.72451246188747209</c:v>
                </c:pt>
                <c:pt idx="189">
                  <c:v>0.70083968809662167</c:v>
                </c:pt>
                <c:pt idx="190">
                  <c:v>0.74192552203771189</c:v>
                </c:pt>
                <c:pt idx="191">
                  <c:v>0.74882488137633096</c:v>
                </c:pt>
                <c:pt idx="192">
                  <c:v>0.69323776077625521</c:v>
                </c:pt>
                <c:pt idx="193">
                  <c:v>0.66567930373977457</c:v>
                </c:pt>
                <c:pt idx="194">
                  <c:v>0.60843164816226647</c:v>
                </c:pt>
                <c:pt idx="195">
                  <c:v>0.66532277542288298</c:v>
                </c:pt>
                <c:pt idx="196">
                  <c:v>0.70686286959109612</c:v>
                </c:pt>
                <c:pt idx="197">
                  <c:v>0.70294623110498389</c:v>
                </c:pt>
                <c:pt idx="198">
                  <c:v>0.7273116712734895</c:v>
                </c:pt>
                <c:pt idx="199">
                  <c:v>0.64806429137862498</c:v>
                </c:pt>
                <c:pt idx="200">
                  <c:v>0.71089793355618713</c:v>
                </c:pt>
                <c:pt idx="201">
                  <c:v>0.88902031763884448</c:v>
                </c:pt>
                <c:pt idx="202">
                  <c:v>0.99882336060617138</c:v>
                </c:pt>
                <c:pt idx="203">
                  <c:v>0.95230717068117698</c:v>
                </c:pt>
                <c:pt idx="204">
                  <c:v>0.92596693501507676</c:v>
                </c:pt>
                <c:pt idx="205">
                  <c:v>0.94605033054380172</c:v>
                </c:pt>
                <c:pt idx="206">
                  <c:v>1.0150935206742151</c:v>
                </c:pt>
                <c:pt idx="207">
                  <c:v>1.0160161826122449</c:v>
                </c:pt>
                <c:pt idx="208">
                  <c:v>0.99516801620658235</c:v>
                </c:pt>
                <c:pt idx="209">
                  <c:v>0.99044435635635697</c:v>
                </c:pt>
                <c:pt idx="210">
                  <c:v>0.98657427848141133</c:v>
                </c:pt>
                <c:pt idx="211">
                  <c:v>0.8856088003361906</c:v>
                </c:pt>
                <c:pt idx="212">
                  <c:v>0.90331161930972126</c:v>
                </c:pt>
                <c:pt idx="213">
                  <c:v>0.94829807979786018</c:v>
                </c:pt>
                <c:pt idx="214">
                  <c:v>1.0135014367865347</c:v>
                </c:pt>
                <c:pt idx="215">
                  <c:v>1.048968880008827</c:v>
                </c:pt>
                <c:pt idx="216">
                  <c:v>1.0271201472610292</c:v>
                </c:pt>
                <c:pt idx="217">
                  <c:v>1.0233153627917213</c:v>
                </c:pt>
                <c:pt idx="218">
                  <c:v>1.038385056976332</c:v>
                </c:pt>
                <c:pt idx="219">
                  <c:v>1.0294596263237921</c:v>
                </c:pt>
                <c:pt idx="220">
                  <c:v>0.97957786427853577</c:v>
                </c:pt>
                <c:pt idx="221">
                  <c:v>1.0316107751830339</c:v>
                </c:pt>
                <c:pt idx="222">
                  <c:v>0.93570774777766985</c:v>
                </c:pt>
                <c:pt idx="223">
                  <c:v>0.91780696470695755</c:v>
                </c:pt>
                <c:pt idx="224">
                  <c:v>0.8993435179619258</c:v>
                </c:pt>
                <c:pt idx="225">
                  <c:v>0.97438117510317834</c:v>
                </c:pt>
                <c:pt idx="226">
                  <c:v>0.97742229225308286</c:v>
                </c:pt>
                <c:pt idx="227">
                  <c:v>1.0111209610979666</c:v>
                </c:pt>
                <c:pt idx="228">
                  <c:v>1.0286560935535816</c:v>
                </c:pt>
                <c:pt idx="229">
                  <c:v>1.0037597792850406</c:v>
                </c:pt>
                <c:pt idx="230">
                  <c:v>1.0622456624899135</c:v>
                </c:pt>
                <c:pt idx="231">
                  <c:v>1.058036733226464</c:v>
                </c:pt>
                <c:pt idx="232">
                  <c:v>0.96213846450363683</c:v>
                </c:pt>
                <c:pt idx="233">
                  <c:v>0.99157496704342929</c:v>
                </c:pt>
                <c:pt idx="234">
                  <c:v>0.98615704807187843</c:v>
                </c:pt>
                <c:pt idx="235">
                  <c:v>1.1190531744495136</c:v>
                </c:pt>
                <c:pt idx="236">
                  <c:v>1.1170339026617349</c:v>
                </c:pt>
                <c:pt idx="237">
                  <c:v>1.1176331996572086</c:v>
                </c:pt>
                <c:pt idx="238">
                  <c:v>0.99661497770580088</c:v>
                </c:pt>
                <c:pt idx="239">
                  <c:v>0.97899739612077319</c:v>
                </c:pt>
                <c:pt idx="240">
                  <c:v>0.9685674222231988</c:v>
                </c:pt>
                <c:pt idx="241">
                  <c:v>0.83086490169193006</c:v>
                </c:pt>
                <c:pt idx="242">
                  <c:v>0.75540509630123154</c:v>
                </c:pt>
                <c:pt idx="243">
                  <c:v>0.81771160788532971</c:v>
                </c:pt>
                <c:pt idx="244">
                  <c:v>0.78933464712096502</c:v>
                </c:pt>
                <c:pt idx="245">
                  <c:v>0.80868243606746493</c:v>
                </c:pt>
                <c:pt idx="246">
                  <c:v>0.76415350304395169</c:v>
                </c:pt>
                <c:pt idx="247">
                  <c:v>0.69047561253514633</c:v>
                </c:pt>
                <c:pt idx="248">
                  <c:v>0.63586811831914947</c:v>
                </c:pt>
                <c:pt idx="249">
                  <c:v>0.64258074776386565</c:v>
                </c:pt>
                <c:pt idx="250">
                  <c:v>0.74267381344963468</c:v>
                </c:pt>
                <c:pt idx="251">
                  <c:v>0.66137280292326572</c:v>
                </c:pt>
                <c:pt idx="252">
                  <c:v>0.66647001464168465</c:v>
                </c:pt>
                <c:pt idx="253">
                  <c:v>0.64045510652110949</c:v>
                </c:pt>
                <c:pt idx="254">
                  <c:v>0.68971790261385113</c:v>
                </c:pt>
                <c:pt idx="255">
                  <c:v>0.61454513641261421</c:v>
                </c:pt>
                <c:pt idx="256">
                  <c:v>0.60507825991593656</c:v>
                </c:pt>
                <c:pt idx="257">
                  <c:v>0.55724507928498479</c:v>
                </c:pt>
                <c:pt idx="258">
                  <c:v>0.46045295273533515</c:v>
                </c:pt>
                <c:pt idx="259">
                  <c:v>0.48481769542854103</c:v>
                </c:pt>
                <c:pt idx="260">
                  <c:v>0.37966151774659895</c:v>
                </c:pt>
                <c:pt idx="261">
                  <c:v>0.44755245089744822</c:v>
                </c:pt>
                <c:pt idx="262">
                  <c:v>0.46868582875621012</c:v>
                </c:pt>
                <c:pt idx="263">
                  <c:v>0.40813091006570712</c:v>
                </c:pt>
                <c:pt idx="264">
                  <c:v>0.38056057536137722</c:v>
                </c:pt>
                <c:pt idx="265">
                  <c:v>0.35751038545872582</c:v>
                </c:pt>
                <c:pt idx="266">
                  <c:v>0.34977709503984933</c:v>
                </c:pt>
                <c:pt idx="267">
                  <c:v>0.43839731953601024</c:v>
                </c:pt>
                <c:pt idx="268">
                  <c:v>0.46126169046460941</c:v>
                </c:pt>
                <c:pt idx="269">
                  <c:v>0.47028636583479333</c:v>
                </c:pt>
                <c:pt idx="270">
                  <c:v>0.49046006929105435</c:v>
                </c:pt>
                <c:pt idx="271">
                  <c:v>0.47740964641862504</c:v>
                </c:pt>
                <c:pt idx="272">
                  <c:v>0.47623190700905038</c:v>
                </c:pt>
                <c:pt idx="273">
                  <c:v>0.50633703907769778</c:v>
                </c:pt>
                <c:pt idx="274">
                  <c:v>0.52286886740402494</c:v>
                </c:pt>
                <c:pt idx="275">
                  <c:v>0.55592945065061627</c:v>
                </c:pt>
                <c:pt idx="276">
                  <c:v>0.54567543038430699</c:v>
                </c:pt>
                <c:pt idx="277">
                  <c:v>0.58203686791344911</c:v>
                </c:pt>
                <c:pt idx="278">
                  <c:v>0.60816225391853163</c:v>
                </c:pt>
                <c:pt idx="279">
                  <c:v>0.58586498317778624</c:v>
                </c:pt>
                <c:pt idx="280">
                  <c:v>0.58572016835238827</c:v>
                </c:pt>
                <c:pt idx="281">
                  <c:v>0.62488040302794978</c:v>
                </c:pt>
                <c:pt idx="282">
                  <c:v>0.57124428037260699</c:v>
                </c:pt>
                <c:pt idx="283">
                  <c:v>0.54262401438938124</c:v>
                </c:pt>
                <c:pt idx="284">
                  <c:v>0.57414107599798037</c:v>
                </c:pt>
                <c:pt idx="285">
                  <c:v>0.57006643487249598</c:v>
                </c:pt>
                <c:pt idx="286">
                  <c:v>0.63624679361207193</c:v>
                </c:pt>
                <c:pt idx="287">
                  <c:v>0.65398042875104423</c:v>
                </c:pt>
                <c:pt idx="288">
                  <c:v>0.61436585204823757</c:v>
                </c:pt>
                <c:pt idx="289">
                  <c:v>0.60162706169515356</c:v>
                </c:pt>
                <c:pt idx="290">
                  <c:v>0.56484480950229621</c:v>
                </c:pt>
                <c:pt idx="291">
                  <c:v>0.52643377735126506</c:v>
                </c:pt>
                <c:pt idx="292">
                  <c:v>0.52261108036437687</c:v>
                </c:pt>
                <c:pt idx="293">
                  <c:v>0.50603752655149492</c:v>
                </c:pt>
                <c:pt idx="294">
                  <c:v>0.51096861876858135</c:v>
                </c:pt>
                <c:pt idx="295">
                  <c:v>0.50171876953015726</c:v>
                </c:pt>
                <c:pt idx="296">
                  <c:v>0.47500097136923269</c:v>
                </c:pt>
                <c:pt idx="297">
                  <c:v>0.46632001584636651</c:v>
                </c:pt>
                <c:pt idx="298">
                  <c:v>0.4625187601024372</c:v>
                </c:pt>
                <c:pt idx="299">
                  <c:v>0.44923210139069525</c:v>
                </c:pt>
                <c:pt idx="300">
                  <c:v>0.44305008191287687</c:v>
                </c:pt>
                <c:pt idx="301">
                  <c:v>0.43709128455005075</c:v>
                </c:pt>
                <c:pt idx="302">
                  <c:v>0.44001734482872479</c:v>
                </c:pt>
                <c:pt idx="303">
                  <c:v>0.43830734124012949</c:v>
                </c:pt>
                <c:pt idx="304">
                  <c:v>0.39327035098337682</c:v>
                </c:pt>
                <c:pt idx="305">
                  <c:v>0.39114695661868204</c:v>
                </c:pt>
                <c:pt idx="306">
                  <c:v>0.4342755304046042</c:v>
                </c:pt>
                <c:pt idx="307">
                  <c:v>0.43600034104580576</c:v>
                </c:pt>
                <c:pt idx="308">
                  <c:v>0.41250909226273613</c:v>
                </c:pt>
                <c:pt idx="309">
                  <c:v>0.41727847524060113</c:v>
                </c:pt>
                <c:pt idx="310">
                  <c:v>0.37077727796182014</c:v>
                </c:pt>
                <c:pt idx="311">
                  <c:v>0.39945923855286836</c:v>
                </c:pt>
                <c:pt idx="312">
                  <c:v>0.36125038816872124</c:v>
                </c:pt>
                <c:pt idx="313">
                  <c:v>0.33856239279590472</c:v>
                </c:pt>
                <c:pt idx="314">
                  <c:v>0.38326252571587727</c:v>
                </c:pt>
                <c:pt idx="315">
                  <c:v>0.37021542315742728</c:v>
                </c:pt>
                <c:pt idx="316">
                  <c:v>0.34934669090354031</c:v>
                </c:pt>
                <c:pt idx="317">
                  <c:v>0.29896306833712138</c:v>
                </c:pt>
                <c:pt idx="318">
                  <c:v>0.20806351360087572</c:v>
                </c:pt>
                <c:pt idx="319">
                  <c:v>0.26777853051460632</c:v>
                </c:pt>
                <c:pt idx="320">
                  <c:v>0.25564276673351038</c:v>
                </c:pt>
                <c:pt idx="321">
                  <c:v>0.29858588523321572</c:v>
                </c:pt>
                <c:pt idx="322">
                  <c:v>0.22578957690022605</c:v>
                </c:pt>
                <c:pt idx="323">
                  <c:v>0.20819464740067239</c:v>
                </c:pt>
                <c:pt idx="324">
                  <c:v>0.14733539695201969</c:v>
                </c:pt>
                <c:pt idx="325">
                  <c:v>6.4847345821594793E-2</c:v>
                </c:pt>
                <c:pt idx="326">
                  <c:v>2.2074345768863246E-2</c:v>
                </c:pt>
                <c:pt idx="327">
                  <c:v>5.4406066565504396E-2</c:v>
                </c:pt>
                <c:pt idx="328">
                  <c:v>8.1875119962737664E-2</c:v>
                </c:pt>
                <c:pt idx="329">
                  <c:v>-2.1731836920113601E-2</c:v>
                </c:pt>
                <c:pt idx="330">
                  <c:v>-1.7296052185811206E-2</c:v>
                </c:pt>
                <c:pt idx="331">
                  <c:v>0.12640830069179376</c:v>
                </c:pt>
                <c:pt idx="332">
                  <c:v>3.3639704098309409E-3</c:v>
                </c:pt>
                <c:pt idx="333">
                  <c:v>-0.21096078468895163</c:v>
                </c:pt>
                <c:pt idx="334">
                  <c:v>-0.32230260658879795</c:v>
                </c:pt>
                <c:pt idx="335">
                  <c:v>-0.35742224820108914</c:v>
                </c:pt>
                <c:pt idx="336">
                  <c:v>-0.4609070332253884</c:v>
                </c:pt>
                <c:pt idx="337">
                  <c:v>-0.52186084963947721</c:v>
                </c:pt>
                <c:pt idx="338">
                  <c:v>-0.48049296054114565</c:v>
                </c:pt>
                <c:pt idx="339">
                  <c:v>-0.43338528187943925</c:v>
                </c:pt>
                <c:pt idx="340">
                  <c:v>-0.36692188023015326</c:v>
                </c:pt>
                <c:pt idx="341">
                  <c:v>-0.40561015808425749</c:v>
                </c:pt>
                <c:pt idx="342">
                  <c:v>-0.317390448927235</c:v>
                </c:pt>
                <c:pt idx="343">
                  <c:v>-0.28166715492060623</c:v>
                </c:pt>
                <c:pt idx="344">
                  <c:v>-0.22499617310711706</c:v>
                </c:pt>
                <c:pt idx="345">
                  <c:v>-0.28883157217175492</c:v>
                </c:pt>
                <c:pt idx="346">
                  <c:v>-0.25432640169917864</c:v>
                </c:pt>
                <c:pt idx="347">
                  <c:v>-0.28557783228909672</c:v>
                </c:pt>
                <c:pt idx="348">
                  <c:v>-0.27012294480548427</c:v>
                </c:pt>
                <c:pt idx="349">
                  <c:v>-0.22699798343458477</c:v>
                </c:pt>
                <c:pt idx="350">
                  <c:v>-0.25204409692902718</c:v>
                </c:pt>
                <c:pt idx="351">
                  <c:v>-0.20843478225439638</c:v>
                </c:pt>
                <c:pt idx="352">
                  <c:v>-0.25504137677028194</c:v>
                </c:pt>
                <c:pt idx="353">
                  <c:v>-0.31903577493760382</c:v>
                </c:pt>
                <c:pt idx="354">
                  <c:v>-0.24785092587544799</c:v>
                </c:pt>
                <c:pt idx="355">
                  <c:v>-0.33286248920787465</c:v>
                </c:pt>
                <c:pt idx="356">
                  <c:v>-0.21234489113211019</c:v>
                </c:pt>
                <c:pt idx="357">
                  <c:v>-0.17273707988531006</c:v>
                </c:pt>
                <c:pt idx="358">
                  <c:v>-0.10080335498569015</c:v>
                </c:pt>
                <c:pt idx="359">
                  <c:v>-4.7440835204015652E-2</c:v>
                </c:pt>
                <c:pt idx="360">
                  <c:v>-5.0348637765162962E-2</c:v>
                </c:pt>
                <c:pt idx="361">
                  <c:v>5.8835694127201688E-2</c:v>
                </c:pt>
                <c:pt idx="362">
                  <c:v>0.11765145050313119</c:v>
                </c:pt>
                <c:pt idx="363">
                  <c:v>8.2591705668855209E-2</c:v>
                </c:pt>
                <c:pt idx="364">
                  <c:v>7.0070524096277342E-2</c:v>
                </c:pt>
                <c:pt idx="365">
                  <c:v>7.9176206029141216E-2</c:v>
                </c:pt>
                <c:pt idx="366">
                  <c:v>7.2776671549878991E-2</c:v>
                </c:pt>
                <c:pt idx="367">
                  <c:v>8.3340711882706753E-2</c:v>
                </c:pt>
                <c:pt idx="368">
                  <c:v>9.4797680375824367E-2</c:v>
                </c:pt>
                <c:pt idx="369">
                  <c:v>0.16678072981719527</c:v>
                </c:pt>
                <c:pt idx="370">
                  <c:v>0.10266660893327728</c:v>
                </c:pt>
                <c:pt idx="371">
                  <c:v>0.10422488264834051</c:v>
                </c:pt>
                <c:pt idx="372">
                  <c:v>0.15429058487759217</c:v>
                </c:pt>
                <c:pt idx="373">
                  <c:v>0.20718522519784788</c:v>
                </c:pt>
                <c:pt idx="374">
                  <c:v>0.20447468931110713</c:v>
                </c:pt>
                <c:pt idx="375">
                  <c:v>0.25321501349649944</c:v>
                </c:pt>
                <c:pt idx="376">
                  <c:v>0.20937490668000436</c:v>
                </c:pt>
                <c:pt idx="377">
                  <c:v>0.30619201832794429</c:v>
                </c:pt>
                <c:pt idx="378">
                  <c:v>0.38360305932172434</c:v>
                </c:pt>
                <c:pt idx="379">
                  <c:v>0.39759514458757028</c:v>
                </c:pt>
                <c:pt idx="380">
                  <c:v>0.51594168302502297</c:v>
                </c:pt>
                <c:pt idx="381">
                  <c:v>0.43093145423512835</c:v>
                </c:pt>
                <c:pt idx="382">
                  <c:v>0.38835018943021993</c:v>
                </c:pt>
                <c:pt idx="383">
                  <c:v>0.44698146459797305</c:v>
                </c:pt>
                <c:pt idx="384">
                  <c:v>0.51307268818887586</c:v>
                </c:pt>
                <c:pt idx="385">
                  <c:v>0.53750789379362063</c:v>
                </c:pt>
                <c:pt idx="386">
                  <c:v>0.56066831940693174</c:v>
                </c:pt>
                <c:pt idx="387">
                  <c:v>0.51117659202526422</c:v>
                </c:pt>
                <c:pt idx="388">
                  <c:v>0.48762482468951429</c:v>
                </c:pt>
                <c:pt idx="389">
                  <c:v>0.46633772394121253</c:v>
                </c:pt>
                <c:pt idx="390">
                  <c:v>0.49341511537761562</c:v>
                </c:pt>
                <c:pt idx="391">
                  <c:v>0.45296503228243745</c:v>
                </c:pt>
                <c:pt idx="392">
                  <c:v>0.48875412286537578</c:v>
                </c:pt>
                <c:pt idx="393">
                  <c:v>0.48193118070900542</c:v>
                </c:pt>
                <c:pt idx="394">
                  <c:v>0.50019591806177433</c:v>
                </c:pt>
                <c:pt idx="395">
                  <c:v>0.4800539865253417</c:v>
                </c:pt>
                <c:pt idx="396">
                  <c:v>0.43531868240939131</c:v>
                </c:pt>
                <c:pt idx="397">
                  <c:v>0.46128590436742556</c:v>
                </c:pt>
                <c:pt idx="398">
                  <c:v>0.48137905996551433</c:v>
                </c:pt>
                <c:pt idx="399">
                  <c:v>0.50065578780256192</c:v>
                </c:pt>
                <c:pt idx="400">
                  <c:v>0.50912022808624613</c:v>
                </c:pt>
                <c:pt idx="401">
                  <c:v>0.51073753141436251</c:v>
                </c:pt>
                <c:pt idx="402">
                  <c:v>0.52784009612465432</c:v>
                </c:pt>
                <c:pt idx="403">
                  <c:v>0.55823702088177996</c:v>
                </c:pt>
                <c:pt idx="404">
                  <c:v>0.53841324930485879</c:v>
                </c:pt>
                <c:pt idx="405">
                  <c:v>0.54674464484179008</c:v>
                </c:pt>
                <c:pt idx="406">
                  <c:v>0.53755426273001117</c:v>
                </c:pt>
                <c:pt idx="407">
                  <c:v>0.5090495531757</c:v>
                </c:pt>
                <c:pt idx="408">
                  <c:v>0.50558472003316979</c:v>
                </c:pt>
                <c:pt idx="409">
                  <c:v>0.5357914956440446</c:v>
                </c:pt>
                <c:pt idx="410">
                  <c:v>0.53945531901909982</c:v>
                </c:pt>
                <c:pt idx="411">
                  <c:v>0.56480155791946984</c:v>
                </c:pt>
                <c:pt idx="412">
                  <c:v>0.5508269675677413</c:v>
                </c:pt>
                <c:pt idx="413">
                  <c:v>0.53493812011191633</c:v>
                </c:pt>
                <c:pt idx="414">
                  <c:v>0.52388606740616517</c:v>
                </c:pt>
                <c:pt idx="415">
                  <c:v>0.48225196891300559</c:v>
                </c:pt>
                <c:pt idx="416">
                  <c:v>0.45720546691420116</c:v>
                </c:pt>
                <c:pt idx="417">
                  <c:v>0.53976762503099573</c:v>
                </c:pt>
                <c:pt idx="418">
                  <c:v>0.51367768482469822</c:v>
                </c:pt>
                <c:pt idx="419">
                  <c:v>0.5034487142379418</c:v>
                </c:pt>
                <c:pt idx="420">
                  <c:v>0.44233255930158366</c:v>
                </c:pt>
                <c:pt idx="421">
                  <c:v>0.44151498714571913</c:v>
                </c:pt>
                <c:pt idx="422">
                  <c:v>0.48821389527924364</c:v>
                </c:pt>
                <c:pt idx="423">
                  <c:v>0.48422247944350794</c:v>
                </c:pt>
                <c:pt idx="424">
                  <c:v>0.52709265013061168</c:v>
                </c:pt>
                <c:pt idx="425">
                  <c:v>0.53115813580577598</c:v>
                </c:pt>
                <c:pt idx="426">
                  <c:v>0.55976559382157065</c:v>
                </c:pt>
                <c:pt idx="427">
                  <c:v>0.54416286076208742</c:v>
                </c:pt>
                <c:pt idx="428">
                  <c:v>0.52585759133936261</c:v>
                </c:pt>
                <c:pt idx="429">
                  <c:v>0.48712923277310916</c:v>
                </c:pt>
                <c:pt idx="430">
                  <c:v>0.50472974195223674</c:v>
                </c:pt>
                <c:pt idx="431">
                  <c:v>0.51229103136199994</c:v>
                </c:pt>
                <c:pt idx="432">
                  <c:v>0.51895166737855325</c:v>
                </c:pt>
                <c:pt idx="433">
                  <c:v>0.57048362960926413</c:v>
                </c:pt>
                <c:pt idx="434">
                  <c:v>0.56615317367236795</c:v>
                </c:pt>
                <c:pt idx="435">
                  <c:v>0.54218041135754014</c:v>
                </c:pt>
                <c:pt idx="436">
                  <c:v>0.52884563786083083</c:v>
                </c:pt>
                <c:pt idx="437">
                  <c:v>0.55054404574139681</c:v>
                </c:pt>
                <c:pt idx="438">
                  <c:v>0.59697988859480633</c:v>
                </c:pt>
                <c:pt idx="439">
                  <c:v>0.58902921399235364</c:v>
                </c:pt>
                <c:pt idx="440">
                  <c:v>0.57675914038337606</c:v>
                </c:pt>
                <c:pt idx="441">
                  <c:v>0.58423563377005827</c:v>
                </c:pt>
                <c:pt idx="442">
                  <c:v>0.64770560824569667</c:v>
                </c:pt>
                <c:pt idx="443">
                  <c:v>0.66363598502302557</c:v>
                </c:pt>
                <c:pt idx="444">
                  <c:v>0.76461016313175145</c:v>
                </c:pt>
                <c:pt idx="445">
                  <c:v>0.75935179212662796</c:v>
                </c:pt>
                <c:pt idx="446">
                  <c:v>0.74109963010559055</c:v>
                </c:pt>
                <c:pt idx="447">
                  <c:v>0.70477236788146769</c:v>
                </c:pt>
                <c:pt idx="448">
                  <c:v>0.71402866559879818</c:v>
                </c:pt>
                <c:pt idx="449">
                  <c:v>0.7925879012106396</c:v>
                </c:pt>
                <c:pt idx="450">
                  <c:v>0.82931186318440098</c:v>
                </c:pt>
                <c:pt idx="451">
                  <c:v>0.84378408307538288</c:v>
                </c:pt>
                <c:pt idx="452">
                  <c:v>0.92311764255263995</c:v>
                </c:pt>
                <c:pt idx="453">
                  <c:v>1.0161216757088698</c:v>
                </c:pt>
                <c:pt idx="454">
                  <c:v>1.0954067758986663</c:v>
                </c:pt>
                <c:pt idx="455">
                  <c:v>1.0037168094579774</c:v>
                </c:pt>
                <c:pt idx="456">
                  <c:v>1.1403819639597246</c:v>
                </c:pt>
                <c:pt idx="457">
                  <c:v>1.257383746240115</c:v>
                </c:pt>
                <c:pt idx="458">
                  <c:v>1.2014374946905715</c:v>
                </c:pt>
                <c:pt idx="459">
                  <c:v>1.1574493418765597</c:v>
                </c:pt>
                <c:pt idx="460">
                  <c:v>1.0560128721402107</c:v>
                </c:pt>
                <c:pt idx="461">
                  <c:v>1.1091796439595347</c:v>
                </c:pt>
                <c:pt idx="462">
                  <c:v>1.0594086900921895</c:v>
                </c:pt>
                <c:pt idx="463">
                  <c:v>1.0158111182930973</c:v>
                </c:pt>
                <c:pt idx="464">
                  <c:v>0.99988246940895253</c:v>
                </c:pt>
                <c:pt idx="465">
                  <c:v>1.0320378239075945</c:v>
                </c:pt>
                <c:pt idx="466">
                  <c:v>1.0117469127131296</c:v>
                </c:pt>
                <c:pt idx="467">
                  <c:v>1.0195147092646351</c:v>
                </c:pt>
                <c:pt idx="468">
                  <c:v>1.0491414527070586</c:v>
                </c:pt>
                <c:pt idx="469">
                  <c:v>0.95110301530434427</c:v>
                </c:pt>
                <c:pt idx="470">
                  <c:v>0.79114570176878063</c:v>
                </c:pt>
                <c:pt idx="471">
                  <c:v>0.87975653031194812</c:v>
                </c:pt>
                <c:pt idx="472">
                  <c:v>0.98918684737803186</c:v>
                </c:pt>
                <c:pt idx="473">
                  <c:v>1.0523551249179697</c:v>
                </c:pt>
                <c:pt idx="474">
                  <c:v>1.041614235553423</c:v>
                </c:pt>
                <c:pt idx="475">
                  <c:v>1.1392936699649248</c:v>
                </c:pt>
                <c:pt idx="476">
                  <c:v>1.0337338949894859</c:v>
                </c:pt>
                <c:pt idx="477">
                  <c:v>0.97929779441556786</c:v>
                </c:pt>
                <c:pt idx="478">
                  <c:v>1.0666606885539553</c:v>
                </c:pt>
                <c:pt idx="479">
                  <c:v>1.0463234593577675</c:v>
                </c:pt>
                <c:pt idx="480">
                  <c:v>1.0184230812369854</c:v>
                </c:pt>
                <c:pt idx="481">
                  <c:v>1.0132668600702277</c:v>
                </c:pt>
                <c:pt idx="482">
                  <c:v>1.0484906692779017</c:v>
                </c:pt>
                <c:pt idx="483">
                  <c:v>1.0682298862785045</c:v>
                </c:pt>
                <c:pt idx="484">
                  <c:v>1.0829826815417998</c:v>
                </c:pt>
                <c:pt idx="485">
                  <c:v>1.1166473937110122</c:v>
                </c:pt>
                <c:pt idx="486">
                  <c:v>1.1537033325696666</c:v>
                </c:pt>
                <c:pt idx="487">
                  <c:v>1.2262249785957691</c:v>
                </c:pt>
                <c:pt idx="488">
                  <c:v>1.2478260171224109</c:v>
                </c:pt>
                <c:pt idx="489">
                  <c:v>1.2179621323968215</c:v>
                </c:pt>
                <c:pt idx="490">
                  <c:v>1.214059919853705</c:v>
                </c:pt>
                <c:pt idx="491">
                  <c:v>1.2418625484090895</c:v>
                </c:pt>
                <c:pt idx="492">
                  <c:v>1.1594034691020494</c:v>
                </c:pt>
                <c:pt idx="493">
                  <c:v>1.0986226577716529</c:v>
                </c:pt>
                <c:pt idx="494">
                  <c:v>1.1025726449460205</c:v>
                </c:pt>
                <c:pt idx="495">
                  <c:v>1.0304781105678895</c:v>
                </c:pt>
                <c:pt idx="496">
                  <c:v>1.0823709577599594</c:v>
                </c:pt>
                <c:pt idx="497">
                  <c:v>0.97598039972394135</c:v>
                </c:pt>
                <c:pt idx="498">
                  <c:v>1.0386516191388973</c:v>
                </c:pt>
                <c:pt idx="499">
                  <c:v>0.98373227951905617</c:v>
                </c:pt>
                <c:pt idx="500">
                  <c:v>0.88082746132832623</c:v>
                </c:pt>
                <c:pt idx="501">
                  <c:v>0.95890929184563323</c:v>
                </c:pt>
                <c:pt idx="502">
                  <c:v>0.99640291026241723</c:v>
                </c:pt>
                <c:pt idx="503">
                  <c:v>0.93572885021071528</c:v>
                </c:pt>
                <c:pt idx="504">
                  <c:v>0.94188469578369016</c:v>
                </c:pt>
                <c:pt idx="505">
                  <c:v>0.90758759519740106</c:v>
                </c:pt>
                <c:pt idx="506">
                  <c:v>0.9044854268021596</c:v>
                </c:pt>
                <c:pt idx="507">
                  <c:v>0.89772942851020776</c:v>
                </c:pt>
                <c:pt idx="508">
                  <c:v>0.87998934546678065</c:v>
                </c:pt>
                <c:pt idx="509">
                  <c:v>0.94258445264652213</c:v>
                </c:pt>
                <c:pt idx="510">
                  <c:v>0.92354317119645035</c:v>
                </c:pt>
                <c:pt idx="511">
                  <c:v>0.93162617325586172</c:v>
                </c:pt>
                <c:pt idx="512">
                  <c:v>0.86094373970136973</c:v>
                </c:pt>
                <c:pt idx="513">
                  <c:v>0.80124574858925213</c:v>
                </c:pt>
                <c:pt idx="514">
                  <c:v>0.84505334503776064</c:v>
                </c:pt>
                <c:pt idx="515">
                  <c:v>0.8571656186581067</c:v>
                </c:pt>
                <c:pt idx="516">
                  <c:v>0.8867796988714205</c:v>
                </c:pt>
                <c:pt idx="517">
                  <c:v>0.84922879087843128</c:v>
                </c:pt>
                <c:pt idx="518">
                  <c:v>0.84250886669011704</c:v>
                </c:pt>
                <c:pt idx="519">
                  <c:v>0.83703849149934229</c:v>
                </c:pt>
                <c:pt idx="520">
                  <c:v>0.81771583352967525</c:v>
                </c:pt>
                <c:pt idx="521">
                  <c:v>0.80058754556957545</c:v>
                </c:pt>
                <c:pt idx="522">
                  <c:v>0.81240222138913021</c:v>
                </c:pt>
                <c:pt idx="523">
                  <c:v>0.77967749974131584</c:v>
                </c:pt>
                <c:pt idx="524">
                  <c:v>0.79144353923188415</c:v>
                </c:pt>
                <c:pt idx="525">
                  <c:v>0.77157149018642901</c:v>
                </c:pt>
                <c:pt idx="526">
                  <c:v>0.74870182800430563</c:v>
                </c:pt>
                <c:pt idx="527">
                  <c:v>0.75075876025801902</c:v>
                </c:pt>
                <c:pt idx="528">
                  <c:v>0.7757686277144682</c:v>
                </c:pt>
                <c:pt idx="529">
                  <c:v>0.7293215698618627</c:v>
                </c:pt>
                <c:pt idx="530">
                  <c:v>0.74200302969343879</c:v>
                </c:pt>
                <c:pt idx="531">
                  <c:v>0.73441357321039069</c:v>
                </c:pt>
                <c:pt idx="532">
                  <c:v>0.7240009309226747</c:v>
                </c:pt>
                <c:pt idx="533">
                  <c:v>0.74039380565433799</c:v>
                </c:pt>
                <c:pt idx="534">
                  <c:v>0.72273539678476828</c:v>
                </c:pt>
                <c:pt idx="535">
                  <c:v>0.77468643366385148</c:v>
                </c:pt>
                <c:pt idx="536">
                  <c:v>0.79551991879253103</c:v>
                </c:pt>
                <c:pt idx="537">
                  <c:v>0.72830860535157971</c:v>
                </c:pt>
                <c:pt idx="538">
                  <c:v>0.72549277789037969</c:v>
                </c:pt>
                <c:pt idx="539">
                  <c:v>0.73845115026296426</c:v>
                </c:pt>
                <c:pt idx="540">
                  <c:v>0.78075372328548776</c:v>
                </c:pt>
                <c:pt idx="541">
                  <c:v>0.78237398345711862</c:v>
                </c:pt>
                <c:pt idx="542">
                  <c:v>0.72790919547511823</c:v>
                </c:pt>
                <c:pt idx="543">
                  <c:v>0.72488003110766641</c:v>
                </c:pt>
                <c:pt idx="544">
                  <c:v>0.70962079726611949</c:v>
                </c:pt>
                <c:pt idx="545">
                  <c:v>0.7075642481265132</c:v>
                </c:pt>
                <c:pt idx="546">
                  <c:v>0.67762330062016707</c:v>
                </c:pt>
                <c:pt idx="547">
                  <c:v>0.67675582900693643</c:v>
                </c:pt>
                <c:pt idx="548">
                  <c:v>0.67656338593374832</c:v>
                </c:pt>
                <c:pt idx="549">
                  <c:v>0.6919187181126274</c:v>
                </c:pt>
                <c:pt idx="550">
                  <c:v>0.66252098545691585</c:v>
                </c:pt>
                <c:pt idx="551">
                  <c:v>0.64684630747454674</c:v>
                </c:pt>
                <c:pt idx="552">
                  <c:v>0.63111673906365295</c:v>
                </c:pt>
                <c:pt idx="553">
                  <c:v>0.59904281547155103</c:v>
                </c:pt>
                <c:pt idx="554">
                  <c:v>0.5978978253891154</c:v>
                </c:pt>
                <c:pt idx="555">
                  <c:v>0.58949766518633373</c:v>
                </c:pt>
                <c:pt idx="556">
                  <c:v>0.57789626190567489</c:v>
                </c:pt>
                <c:pt idx="557">
                  <c:v>0.57355832531331696</c:v>
                </c:pt>
                <c:pt idx="558">
                  <c:v>0.55699323070506068</c:v>
                </c:pt>
                <c:pt idx="559">
                  <c:v>0.55588858277767494</c:v>
                </c:pt>
                <c:pt idx="560">
                  <c:v>0.54004379902075073</c:v>
                </c:pt>
                <c:pt idx="561">
                  <c:v>0.52083932209079364</c:v>
                </c:pt>
                <c:pt idx="562">
                  <c:v>0.49565552611885444</c:v>
                </c:pt>
                <c:pt idx="563">
                  <c:v>0.48713726003641877</c:v>
                </c:pt>
                <c:pt idx="564">
                  <c:v>0.44094803185349418</c:v>
                </c:pt>
                <c:pt idx="565">
                  <c:v>0.4739803356352712</c:v>
                </c:pt>
                <c:pt idx="566">
                  <c:v>0.49647117134885566</c:v>
                </c:pt>
                <c:pt idx="567">
                  <c:v>0.49449830509988857</c:v>
                </c:pt>
                <c:pt idx="568">
                  <c:v>0.47599422811747116</c:v>
                </c:pt>
                <c:pt idx="569">
                  <c:v>0.47146030126596905</c:v>
                </c:pt>
                <c:pt idx="570">
                  <c:v>0.44229137749590697</c:v>
                </c:pt>
                <c:pt idx="571">
                  <c:v>0.41653202440264936</c:v>
                </c:pt>
                <c:pt idx="572">
                  <c:v>0.41350259107386655</c:v>
                </c:pt>
                <c:pt idx="573">
                  <c:v>0.47435030381459686</c:v>
                </c:pt>
                <c:pt idx="574">
                  <c:v>0.45948437370534334</c:v>
                </c:pt>
                <c:pt idx="575">
                  <c:v>0.54065547028379068</c:v>
                </c:pt>
                <c:pt idx="576">
                  <c:v>0.47690903559842734</c:v>
                </c:pt>
                <c:pt idx="577">
                  <c:v>0.45230924040571274</c:v>
                </c:pt>
                <c:pt idx="578">
                  <c:v>0.43772837932203323</c:v>
                </c:pt>
                <c:pt idx="579">
                  <c:v>0.4061916771135432</c:v>
                </c:pt>
                <c:pt idx="580">
                  <c:v>0.46251679997598716</c:v>
                </c:pt>
                <c:pt idx="581">
                  <c:v>0.40778274937576242</c:v>
                </c:pt>
                <c:pt idx="582">
                  <c:v>0.39725270989615646</c:v>
                </c:pt>
                <c:pt idx="583">
                  <c:v>0.41214145614781872</c:v>
                </c:pt>
                <c:pt idx="584">
                  <c:v>0.39808227217933423</c:v>
                </c:pt>
                <c:pt idx="585">
                  <c:v>0.38154477349560123</c:v>
                </c:pt>
                <c:pt idx="586">
                  <c:v>0.35283314503379293</c:v>
                </c:pt>
                <c:pt idx="587">
                  <c:v>0.32948589473407175</c:v>
                </c:pt>
                <c:pt idx="588">
                  <c:v>0.33048023034114582</c:v>
                </c:pt>
                <c:pt idx="589">
                  <c:v>0.40285866510508805</c:v>
                </c:pt>
                <c:pt idx="590">
                  <c:v>0.51273685266443048</c:v>
                </c:pt>
                <c:pt idx="591">
                  <c:v>0.4113138721619225</c:v>
                </c:pt>
                <c:pt idx="592">
                  <c:v>0.372357327756212</c:v>
                </c:pt>
                <c:pt idx="593">
                  <c:v>0.35562423261187304</c:v>
                </c:pt>
                <c:pt idx="594">
                  <c:v>0.30949088927894053</c:v>
                </c:pt>
                <c:pt idx="595">
                  <c:v>0.25148497971189121</c:v>
                </c:pt>
                <c:pt idx="596">
                  <c:v>0.28404431229851479</c:v>
                </c:pt>
                <c:pt idx="597">
                  <c:v>0.3064788113354644</c:v>
                </c:pt>
                <c:pt idx="598">
                  <c:v>0.21989991665742892</c:v>
                </c:pt>
                <c:pt idx="599">
                  <c:v>0.18600903387455681</c:v>
                </c:pt>
                <c:pt idx="600">
                  <c:v>0.19452319235648829</c:v>
                </c:pt>
                <c:pt idx="601">
                  <c:v>0.17303369032839466</c:v>
                </c:pt>
                <c:pt idx="602">
                  <c:v>0.13767845526753142</c:v>
                </c:pt>
                <c:pt idx="603">
                  <c:v>9.3916222203171973E-2</c:v>
                </c:pt>
                <c:pt idx="604">
                  <c:v>8.8762596123981297E-2</c:v>
                </c:pt>
                <c:pt idx="605">
                  <c:v>6.9260042353747053E-2</c:v>
                </c:pt>
                <c:pt idx="606">
                  <c:v>4.9250286983892888E-2</c:v>
                </c:pt>
                <c:pt idx="607">
                  <c:v>2.4138107606364034E-2</c:v>
                </c:pt>
                <c:pt idx="608">
                  <c:v>6.3445759800984103E-2</c:v>
                </c:pt>
                <c:pt idx="609">
                  <c:v>6.6756107677257148E-3</c:v>
                </c:pt>
                <c:pt idx="610">
                  <c:v>1.2743231661194176E-2</c:v>
                </c:pt>
                <c:pt idx="611">
                  <c:v>-2.2632197301886148E-2</c:v>
                </c:pt>
                <c:pt idx="612">
                  <c:v>2.2069765738375047E-2</c:v>
                </c:pt>
                <c:pt idx="613">
                  <c:v>4.6850594482439334E-2</c:v>
                </c:pt>
                <c:pt idx="614">
                  <c:v>1.5911747222430161E-2</c:v>
                </c:pt>
                <c:pt idx="615">
                  <c:v>9.2407486017320739E-2</c:v>
                </c:pt>
                <c:pt idx="616">
                  <c:v>9.2352441291043696E-2</c:v>
                </c:pt>
                <c:pt idx="617">
                  <c:v>0.16397111714274715</c:v>
                </c:pt>
                <c:pt idx="618">
                  <c:v>8.9846113739322497E-2</c:v>
                </c:pt>
                <c:pt idx="619">
                  <c:v>0.12574340940658679</c:v>
                </c:pt>
                <c:pt idx="620">
                  <c:v>0.20743410098771342</c:v>
                </c:pt>
                <c:pt idx="621">
                  <c:v>0.1449099173020052</c:v>
                </c:pt>
                <c:pt idx="622">
                  <c:v>0.10330845653854226</c:v>
                </c:pt>
                <c:pt idx="623">
                  <c:v>0.15661178921841934</c:v>
                </c:pt>
                <c:pt idx="624">
                  <c:v>0.10790814506054236</c:v>
                </c:pt>
                <c:pt idx="625">
                  <c:v>0.13123795624083723</c:v>
                </c:pt>
                <c:pt idx="626">
                  <c:v>0.10353286401771911</c:v>
                </c:pt>
                <c:pt idx="627">
                  <c:v>9.401522407872509E-2</c:v>
                </c:pt>
                <c:pt idx="628">
                  <c:v>9.25964660647427E-2</c:v>
                </c:pt>
                <c:pt idx="629">
                  <c:v>4.1879199383076937E-2</c:v>
                </c:pt>
                <c:pt idx="630">
                  <c:v>1.9605431287761377E-2</c:v>
                </c:pt>
                <c:pt idx="631">
                  <c:v>3.6306152803478042E-2</c:v>
                </c:pt>
                <c:pt idx="632">
                  <c:v>8.0521519612930526E-2</c:v>
                </c:pt>
                <c:pt idx="633">
                  <c:v>0.10216686980872858</c:v>
                </c:pt>
                <c:pt idx="634">
                  <c:v>3.3347949511186581E-2</c:v>
                </c:pt>
                <c:pt idx="6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5-427D-ACDA-C7625F8E1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957584"/>
        <c:axId val="1054503808"/>
      </c:lineChart>
      <c:catAx>
        <c:axId val="129595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03808"/>
        <c:crosses val="autoZero"/>
        <c:auto val="1"/>
        <c:lblAlgn val="ctr"/>
        <c:lblOffset val="100"/>
        <c:noMultiLvlLbl val="0"/>
      </c:catAx>
      <c:valAx>
        <c:axId val="10545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95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Exc_R_f!$G$1</c:f>
              <c:strCache>
                <c:ptCount val="1"/>
                <c:pt idx="0">
                  <c:v>vw_real_ret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Exc_R_f!$G$2:$G$637</c:f>
              <c:numCache>
                <c:formatCode>General</c:formatCode>
                <c:ptCount val="636"/>
                <c:pt idx="0">
                  <c:v>5.0840358240444861E-2</c:v>
                </c:pt>
                <c:pt idx="1">
                  <c:v>5.1228000787639782E-2</c:v>
                </c:pt>
                <c:pt idx="2">
                  <c:v>4.3079348074159807E-2</c:v>
                </c:pt>
                <c:pt idx="3">
                  <c:v>-1.0762563860089447E-2</c:v>
                </c:pt>
                <c:pt idx="4">
                  <c:v>1.9075892826492247E-2</c:v>
                </c:pt>
                <c:pt idx="5">
                  <c:v>2.0542746470120221E-3</c:v>
                </c:pt>
                <c:pt idx="6">
                  <c:v>3.0423538580715004E-2</c:v>
                </c:pt>
                <c:pt idx="7">
                  <c:v>-5.8115591144425327E-2</c:v>
                </c:pt>
                <c:pt idx="8">
                  <c:v>-0.10417866925017671</c:v>
                </c:pt>
                <c:pt idx="9">
                  <c:v>-3.4763866288534118E-2</c:v>
                </c:pt>
                <c:pt idx="10">
                  <c:v>-7.2484536761563412E-3</c:v>
                </c:pt>
                <c:pt idx="11">
                  <c:v>-0.10432421713763018</c:v>
                </c:pt>
                <c:pt idx="12">
                  <c:v>-0.137156933439464</c:v>
                </c:pt>
                <c:pt idx="13">
                  <c:v>-0.21049176995265872</c:v>
                </c:pt>
                <c:pt idx="14">
                  <c:v>-0.22810062598379588</c:v>
                </c:pt>
                <c:pt idx="15">
                  <c:v>-0.20574983551610027</c:v>
                </c:pt>
                <c:pt idx="16">
                  <c:v>-0.25501428544130178</c:v>
                </c:pt>
                <c:pt idx="17">
                  <c:v>-0.25683822982089932</c:v>
                </c:pt>
                <c:pt idx="18">
                  <c:v>-0.28259766804682451</c:v>
                </c:pt>
                <c:pt idx="19">
                  <c:v>-0.21898194284055705</c:v>
                </c:pt>
                <c:pt idx="20">
                  <c:v>-0.20899252797165202</c:v>
                </c:pt>
                <c:pt idx="21">
                  <c:v>-0.12988118248369318</c:v>
                </c:pt>
                <c:pt idx="22">
                  <c:v>-0.1356494251363638</c:v>
                </c:pt>
                <c:pt idx="23">
                  <c:v>-0.13554254169482194</c:v>
                </c:pt>
                <c:pt idx="24">
                  <c:v>-9.4690137612873926E-2</c:v>
                </c:pt>
                <c:pt idx="25">
                  <c:v>-4.6632123860435026E-2</c:v>
                </c:pt>
                <c:pt idx="26">
                  <c:v>-1.8095931725237158E-2</c:v>
                </c:pt>
                <c:pt idx="27">
                  <c:v>7.5258878742001656E-2</c:v>
                </c:pt>
                <c:pt idx="28">
                  <c:v>8.07280161547963E-2</c:v>
                </c:pt>
                <c:pt idx="29">
                  <c:v>0.11402164467464448</c:v>
                </c:pt>
                <c:pt idx="30">
                  <c:v>5.470411869097358E-2</c:v>
                </c:pt>
                <c:pt idx="31">
                  <c:v>9.4079048524808861E-2</c:v>
                </c:pt>
                <c:pt idx="32">
                  <c:v>7.0606025250019577E-2</c:v>
                </c:pt>
                <c:pt idx="33">
                  <c:v>5.8432427691257338E-2</c:v>
                </c:pt>
                <c:pt idx="34">
                  <c:v>0.17159335777008344</c:v>
                </c:pt>
                <c:pt idx="35">
                  <c:v>0.15116969704707106</c:v>
                </c:pt>
                <c:pt idx="36">
                  <c:v>0.15364474150751928</c:v>
                </c:pt>
                <c:pt idx="37">
                  <c:v>0.12200466240042118</c:v>
                </c:pt>
                <c:pt idx="38">
                  <c:v>0.15333932126437855</c:v>
                </c:pt>
                <c:pt idx="39">
                  <c:v>0.19054432578697877</c:v>
                </c:pt>
                <c:pt idx="40">
                  <c:v>0.1674785024549541</c:v>
                </c:pt>
                <c:pt idx="41">
                  <c:v>0.19596714109118007</c:v>
                </c:pt>
                <c:pt idx="42">
                  <c:v>0.25008977186757875</c:v>
                </c:pt>
                <c:pt idx="43">
                  <c:v>0.40912073966525853</c:v>
                </c:pt>
                <c:pt idx="44">
                  <c:v>0.51344400552930658</c:v>
                </c:pt>
                <c:pt idx="45">
                  <c:v>0.38199064348745093</c:v>
                </c:pt>
                <c:pt idx="46">
                  <c:v>0.41132509089325531</c:v>
                </c:pt>
                <c:pt idx="47">
                  <c:v>0.44822287033037256</c:v>
                </c:pt>
                <c:pt idx="48">
                  <c:v>0.41206116867431586</c:v>
                </c:pt>
                <c:pt idx="49">
                  <c:v>0.36791882273439214</c:v>
                </c:pt>
                <c:pt idx="50">
                  <c:v>0.34577053329054586</c:v>
                </c:pt>
                <c:pt idx="51">
                  <c:v>0.29996585696181466</c:v>
                </c:pt>
                <c:pt idx="52">
                  <c:v>0.30728344842108068</c:v>
                </c:pt>
                <c:pt idx="53">
                  <c:v>0.28165691271571092</c:v>
                </c:pt>
                <c:pt idx="54">
                  <c:v>0.33443734269917869</c:v>
                </c:pt>
                <c:pt idx="55">
                  <c:v>0.34164258737536812</c:v>
                </c:pt>
                <c:pt idx="56">
                  <c:v>0.3402133166408472</c:v>
                </c:pt>
                <c:pt idx="57">
                  <c:v>0.3237747735847174</c:v>
                </c:pt>
                <c:pt idx="58">
                  <c:v>0.35543063562055721</c:v>
                </c:pt>
                <c:pt idx="59">
                  <c:v>0.40225568691771851</c:v>
                </c:pt>
                <c:pt idx="60">
                  <c:v>0.31040925223371207</c:v>
                </c:pt>
                <c:pt idx="61">
                  <c:v>0.37543208124275473</c:v>
                </c:pt>
                <c:pt idx="62">
                  <c:v>0.39240452983690943</c:v>
                </c:pt>
                <c:pt idx="63">
                  <c:v>0.38842254461473047</c:v>
                </c:pt>
                <c:pt idx="64">
                  <c:v>0.43940431923117362</c:v>
                </c:pt>
                <c:pt idx="65">
                  <c:v>0.41569164404451353</c:v>
                </c:pt>
                <c:pt idx="66">
                  <c:v>0.37167885356501618</c:v>
                </c:pt>
                <c:pt idx="67">
                  <c:v>0.43018753137447074</c:v>
                </c:pt>
                <c:pt idx="68">
                  <c:v>0.33704670238230428</c:v>
                </c:pt>
                <c:pt idx="69">
                  <c:v>0.39983898360576031</c:v>
                </c:pt>
                <c:pt idx="70">
                  <c:v>0.42140083631465597</c:v>
                </c:pt>
                <c:pt idx="71">
                  <c:v>0.35337052396862134</c:v>
                </c:pt>
                <c:pt idx="72">
                  <c:v>0.50189593511273944</c:v>
                </c:pt>
                <c:pt idx="73">
                  <c:v>0.54884348772012981</c:v>
                </c:pt>
                <c:pt idx="74">
                  <c:v>0.58049546691711917</c:v>
                </c:pt>
                <c:pt idx="75">
                  <c:v>0.57183814406163158</c:v>
                </c:pt>
                <c:pt idx="76">
                  <c:v>0.59213864493157242</c:v>
                </c:pt>
                <c:pt idx="77">
                  <c:v>0.59336935082994202</c:v>
                </c:pt>
                <c:pt idx="78">
                  <c:v>0.64700435983811033</c:v>
                </c:pt>
                <c:pt idx="79">
                  <c:v>0.68942048242792708</c:v>
                </c:pt>
                <c:pt idx="80">
                  <c:v>0.67129517948698592</c:v>
                </c:pt>
                <c:pt idx="81">
                  <c:v>0.50223126910671212</c:v>
                </c:pt>
                <c:pt idx="82">
                  <c:v>0.40155416179870063</c:v>
                </c:pt>
                <c:pt idx="83">
                  <c:v>0.45755275896892655</c:v>
                </c:pt>
                <c:pt idx="84">
                  <c:v>0.54684183344084758</c:v>
                </c:pt>
                <c:pt idx="85">
                  <c:v>0.59956012427888616</c:v>
                </c:pt>
                <c:pt idx="86">
                  <c:v>0.55169023787409177</c:v>
                </c:pt>
                <c:pt idx="87">
                  <c:v>0.48959515546089794</c:v>
                </c:pt>
                <c:pt idx="88">
                  <c:v>0.48488443167271633</c:v>
                </c:pt>
                <c:pt idx="89">
                  <c:v>0.53844882257838567</c:v>
                </c:pt>
                <c:pt idx="90">
                  <c:v>0.48860817020170977</c:v>
                </c:pt>
                <c:pt idx="91">
                  <c:v>0.43288716578775421</c:v>
                </c:pt>
                <c:pt idx="92">
                  <c:v>0.47236551168121643</c:v>
                </c:pt>
                <c:pt idx="93">
                  <c:v>0.57405030051544959</c:v>
                </c:pt>
                <c:pt idx="94">
                  <c:v>0.54080342180502505</c:v>
                </c:pt>
                <c:pt idx="95">
                  <c:v>0.54364909862723021</c:v>
                </c:pt>
                <c:pt idx="96">
                  <c:v>0.56901567528657715</c:v>
                </c:pt>
                <c:pt idx="97">
                  <c:v>0.57316782345651074</c:v>
                </c:pt>
                <c:pt idx="98">
                  <c:v>0.54662931483266952</c:v>
                </c:pt>
                <c:pt idx="99">
                  <c:v>0.58657064240854595</c:v>
                </c:pt>
                <c:pt idx="100">
                  <c:v>0.63490311929514931</c:v>
                </c:pt>
                <c:pt idx="101">
                  <c:v>0.59780880732447361</c:v>
                </c:pt>
                <c:pt idx="102">
                  <c:v>0.66086016843940332</c:v>
                </c:pt>
                <c:pt idx="103">
                  <c:v>0.62720986640900644</c:v>
                </c:pt>
                <c:pt idx="104">
                  <c:v>0.62417615257424064</c:v>
                </c:pt>
                <c:pt idx="105">
                  <c:v>0.66269479029850142</c:v>
                </c:pt>
                <c:pt idx="106">
                  <c:v>0.63900636946365719</c:v>
                </c:pt>
                <c:pt idx="107">
                  <c:v>0.64543035366779744</c:v>
                </c:pt>
                <c:pt idx="108">
                  <c:v>0.53843504281725352</c:v>
                </c:pt>
                <c:pt idx="109">
                  <c:v>0.55010955439820375</c:v>
                </c:pt>
                <c:pt idx="110">
                  <c:v>0.66322820598267995</c:v>
                </c:pt>
                <c:pt idx="111">
                  <c:v>0.61219055682537604</c:v>
                </c:pt>
                <c:pt idx="112">
                  <c:v>0.64602538704370271</c:v>
                </c:pt>
                <c:pt idx="113">
                  <c:v>0.61553874799045172</c:v>
                </c:pt>
                <c:pt idx="114">
                  <c:v>0.55504742077239211</c:v>
                </c:pt>
                <c:pt idx="115">
                  <c:v>0.463667579071525</c:v>
                </c:pt>
                <c:pt idx="116">
                  <c:v>0.39964342469893666</c:v>
                </c:pt>
                <c:pt idx="117">
                  <c:v>0.38405284245344173</c:v>
                </c:pt>
                <c:pt idx="118">
                  <c:v>0.35231215789990333</c:v>
                </c:pt>
                <c:pt idx="119">
                  <c:v>0.40748020683127884</c:v>
                </c:pt>
                <c:pt idx="120">
                  <c:v>0.48600716079356676</c:v>
                </c:pt>
                <c:pt idx="121">
                  <c:v>0.53133208160383028</c:v>
                </c:pt>
                <c:pt idx="122">
                  <c:v>0.52639427772933622</c:v>
                </c:pt>
                <c:pt idx="123">
                  <c:v>0.55003552387806742</c:v>
                </c:pt>
                <c:pt idx="124">
                  <c:v>0.58554715652214817</c:v>
                </c:pt>
                <c:pt idx="125">
                  <c:v>0.56122622324901172</c:v>
                </c:pt>
                <c:pt idx="126">
                  <c:v>0.60512426536434294</c:v>
                </c:pt>
                <c:pt idx="127">
                  <c:v>0.67987547203571808</c:v>
                </c:pt>
                <c:pt idx="128">
                  <c:v>0.71565487053306676</c:v>
                </c:pt>
                <c:pt idx="129">
                  <c:v>0.69070510104900507</c:v>
                </c:pt>
                <c:pt idx="130">
                  <c:v>0.62572691913305167</c:v>
                </c:pt>
                <c:pt idx="131">
                  <c:v>0.74379742082162359</c:v>
                </c:pt>
                <c:pt idx="132">
                  <c:v>0.7450824975320014</c:v>
                </c:pt>
                <c:pt idx="133">
                  <c:v>0.80476298597926821</c:v>
                </c:pt>
                <c:pt idx="134">
                  <c:v>0.79924136212163877</c:v>
                </c:pt>
                <c:pt idx="135">
                  <c:v>0.79544140331535562</c:v>
                </c:pt>
                <c:pt idx="136">
                  <c:v>0.8312699312560623</c:v>
                </c:pt>
                <c:pt idx="137">
                  <c:v>0.83728431465666109</c:v>
                </c:pt>
                <c:pt idx="138">
                  <c:v>0.8944461599615261</c:v>
                </c:pt>
                <c:pt idx="139">
                  <c:v>0.78001558122515746</c:v>
                </c:pt>
                <c:pt idx="140">
                  <c:v>0.78278559681290716</c:v>
                </c:pt>
                <c:pt idx="141">
                  <c:v>0.69904428107925298</c:v>
                </c:pt>
                <c:pt idx="142">
                  <c:v>0.69267274752535801</c:v>
                </c:pt>
                <c:pt idx="143">
                  <c:v>0.69302659087673302</c:v>
                </c:pt>
                <c:pt idx="144">
                  <c:v>0.6737739177268498</c:v>
                </c:pt>
                <c:pt idx="145">
                  <c:v>0.66702766477491071</c:v>
                </c:pt>
                <c:pt idx="146">
                  <c:v>0.65851935491154645</c:v>
                </c:pt>
                <c:pt idx="147">
                  <c:v>0.58023840514909164</c:v>
                </c:pt>
                <c:pt idx="148">
                  <c:v>0.61072349420363548</c:v>
                </c:pt>
                <c:pt idx="149">
                  <c:v>0.58662629476735617</c:v>
                </c:pt>
                <c:pt idx="150">
                  <c:v>0.61359286566771143</c:v>
                </c:pt>
                <c:pt idx="151">
                  <c:v>0.63549110193983349</c:v>
                </c:pt>
                <c:pt idx="152">
                  <c:v>0.62148672897044399</c:v>
                </c:pt>
                <c:pt idx="153">
                  <c:v>0.65361100539111927</c:v>
                </c:pt>
                <c:pt idx="154">
                  <c:v>0.63024020008590753</c:v>
                </c:pt>
                <c:pt idx="155">
                  <c:v>0.64980729694761319</c:v>
                </c:pt>
                <c:pt idx="156">
                  <c:v>0.68500841440370941</c:v>
                </c:pt>
                <c:pt idx="157">
                  <c:v>0.69513845287074716</c:v>
                </c:pt>
                <c:pt idx="158">
                  <c:v>0.64719874867633642</c:v>
                </c:pt>
                <c:pt idx="159">
                  <c:v>0.65672483953114202</c:v>
                </c:pt>
                <c:pt idx="160">
                  <c:v>0.72012805594514617</c:v>
                </c:pt>
                <c:pt idx="161">
                  <c:v>0.68362774665440273</c:v>
                </c:pt>
                <c:pt idx="162">
                  <c:v>0.72683442979479818</c:v>
                </c:pt>
                <c:pt idx="163">
                  <c:v>0.67511922084813047</c:v>
                </c:pt>
                <c:pt idx="164">
                  <c:v>0.65887925098775391</c:v>
                </c:pt>
                <c:pt idx="165">
                  <c:v>0.68004252771189933</c:v>
                </c:pt>
                <c:pt idx="166">
                  <c:v>0.66030995098178558</c:v>
                </c:pt>
                <c:pt idx="167">
                  <c:v>0.65323916588333475</c:v>
                </c:pt>
                <c:pt idx="168">
                  <c:v>0.61449556708819131</c:v>
                </c:pt>
                <c:pt idx="169">
                  <c:v>0.6365115557090073</c:v>
                </c:pt>
                <c:pt idx="170">
                  <c:v>0.66268058004645969</c:v>
                </c:pt>
                <c:pt idx="171">
                  <c:v>0.69245881187058878</c:v>
                </c:pt>
                <c:pt idx="172">
                  <c:v>0.67512115352859059</c:v>
                </c:pt>
                <c:pt idx="173">
                  <c:v>0.68245495963479286</c:v>
                </c:pt>
                <c:pt idx="174">
                  <c:v>0.71428542852767229</c:v>
                </c:pt>
                <c:pt idx="175">
                  <c:v>0.72334780037286439</c:v>
                </c:pt>
                <c:pt idx="176">
                  <c:v>0.78788339914590555</c:v>
                </c:pt>
                <c:pt idx="177">
                  <c:v>0.74939761985055586</c:v>
                </c:pt>
                <c:pt idx="178">
                  <c:v>0.72897361563311058</c:v>
                </c:pt>
                <c:pt idx="179">
                  <c:v>0.70548424847030056</c:v>
                </c:pt>
                <c:pt idx="180">
                  <c:v>0.73141623210108975</c:v>
                </c:pt>
                <c:pt idx="181">
                  <c:v>0.67901267831336209</c:v>
                </c:pt>
                <c:pt idx="182">
                  <c:v>0.64307910734489049</c:v>
                </c:pt>
                <c:pt idx="183">
                  <c:v>0.66744142679591167</c:v>
                </c:pt>
                <c:pt idx="184">
                  <c:v>0.64374606378081456</c:v>
                </c:pt>
                <c:pt idx="185">
                  <c:v>0.63509217721295919</c:v>
                </c:pt>
                <c:pt idx="186">
                  <c:v>0.6472593538471072</c:v>
                </c:pt>
                <c:pt idx="187">
                  <c:v>0.60561228533149158</c:v>
                </c:pt>
                <c:pt idx="188">
                  <c:v>0.72451246188747209</c:v>
                </c:pt>
                <c:pt idx="189">
                  <c:v>0.70083968809662167</c:v>
                </c:pt>
                <c:pt idx="190">
                  <c:v>0.74192552203771189</c:v>
                </c:pt>
                <c:pt idx="191">
                  <c:v>0.74882488137633096</c:v>
                </c:pt>
                <c:pt idx="192">
                  <c:v>0.69323776077625521</c:v>
                </c:pt>
                <c:pt idx="193">
                  <c:v>0.66567930373977457</c:v>
                </c:pt>
                <c:pt idx="194">
                  <c:v>0.60843164816226647</c:v>
                </c:pt>
                <c:pt idx="195">
                  <c:v>0.66532277542288298</c:v>
                </c:pt>
                <c:pt idx="196">
                  <c:v>0.70686286959109612</c:v>
                </c:pt>
                <c:pt idx="197">
                  <c:v>0.70294623110498389</c:v>
                </c:pt>
                <c:pt idx="198">
                  <c:v>0.7273116712734895</c:v>
                </c:pt>
                <c:pt idx="199">
                  <c:v>0.64806429137862498</c:v>
                </c:pt>
                <c:pt idx="200">
                  <c:v>0.71089793355618713</c:v>
                </c:pt>
                <c:pt idx="201">
                  <c:v>0.88902031763884448</c:v>
                </c:pt>
                <c:pt idx="202">
                  <c:v>0.99882336060617138</c:v>
                </c:pt>
                <c:pt idx="203">
                  <c:v>0.95230717068117698</c:v>
                </c:pt>
                <c:pt idx="204">
                  <c:v>0.92596693501507676</c:v>
                </c:pt>
                <c:pt idx="205">
                  <c:v>0.94605033054380172</c:v>
                </c:pt>
                <c:pt idx="206">
                  <c:v>1.0150935206742151</c:v>
                </c:pt>
                <c:pt idx="207">
                  <c:v>1.0160161826122449</c:v>
                </c:pt>
                <c:pt idx="208">
                  <c:v>0.99516801620658235</c:v>
                </c:pt>
                <c:pt idx="209">
                  <c:v>0.99044435635635697</c:v>
                </c:pt>
                <c:pt idx="210">
                  <c:v>0.98657427848141133</c:v>
                </c:pt>
                <c:pt idx="211">
                  <c:v>0.8856088003361906</c:v>
                </c:pt>
                <c:pt idx="212">
                  <c:v>0.90331161930972126</c:v>
                </c:pt>
                <c:pt idx="213">
                  <c:v>0.94829807979786018</c:v>
                </c:pt>
                <c:pt idx="214">
                  <c:v>1.0135014367865347</c:v>
                </c:pt>
                <c:pt idx="215">
                  <c:v>1.048968880008827</c:v>
                </c:pt>
                <c:pt idx="216">
                  <c:v>1.0271201472610292</c:v>
                </c:pt>
                <c:pt idx="217">
                  <c:v>1.0233153627917213</c:v>
                </c:pt>
                <c:pt idx="218">
                  <c:v>1.038385056976332</c:v>
                </c:pt>
                <c:pt idx="219">
                  <c:v>1.0294596263237921</c:v>
                </c:pt>
                <c:pt idx="220">
                  <c:v>0.97957786427853577</c:v>
                </c:pt>
                <c:pt idx="221">
                  <c:v>1.0316107751830339</c:v>
                </c:pt>
                <c:pt idx="222">
                  <c:v>0.93570774777766985</c:v>
                </c:pt>
                <c:pt idx="223">
                  <c:v>0.91780696470695755</c:v>
                </c:pt>
                <c:pt idx="224">
                  <c:v>0.8993435179619258</c:v>
                </c:pt>
                <c:pt idx="225">
                  <c:v>0.97438117510317834</c:v>
                </c:pt>
                <c:pt idx="226">
                  <c:v>0.97742229225308286</c:v>
                </c:pt>
                <c:pt idx="227">
                  <c:v>1.0111209610979666</c:v>
                </c:pt>
                <c:pt idx="228">
                  <c:v>1.0286560935535816</c:v>
                </c:pt>
                <c:pt idx="229">
                  <c:v>1.0037597792850406</c:v>
                </c:pt>
                <c:pt idx="230">
                  <c:v>1.0622456624899135</c:v>
                </c:pt>
                <c:pt idx="231">
                  <c:v>1.058036733226464</c:v>
                </c:pt>
                <c:pt idx="232">
                  <c:v>0.96213846450363683</c:v>
                </c:pt>
                <c:pt idx="233">
                  <c:v>0.99157496704342929</c:v>
                </c:pt>
                <c:pt idx="234">
                  <c:v>0.98615704807187843</c:v>
                </c:pt>
                <c:pt idx="235">
                  <c:v>1.1190531744495136</c:v>
                </c:pt>
                <c:pt idx="236">
                  <c:v>1.1170339026617349</c:v>
                </c:pt>
                <c:pt idx="237">
                  <c:v>1.1176331996572086</c:v>
                </c:pt>
                <c:pt idx="238">
                  <c:v>0.99661497770580088</c:v>
                </c:pt>
                <c:pt idx="239">
                  <c:v>0.97899739612077319</c:v>
                </c:pt>
                <c:pt idx="240">
                  <c:v>0.9685674222231988</c:v>
                </c:pt>
                <c:pt idx="241">
                  <c:v>0.83086490169193006</c:v>
                </c:pt>
                <c:pt idx="242">
                  <c:v>0.75540509630123154</c:v>
                </c:pt>
                <c:pt idx="243">
                  <c:v>0.81771160788532971</c:v>
                </c:pt>
                <c:pt idx="244">
                  <c:v>0.78933464712096502</c:v>
                </c:pt>
                <c:pt idx="245">
                  <c:v>0.80868243606746493</c:v>
                </c:pt>
                <c:pt idx="246">
                  <c:v>0.76415350304395169</c:v>
                </c:pt>
                <c:pt idx="247">
                  <c:v>0.69047561253514633</c:v>
                </c:pt>
                <c:pt idx="248">
                  <c:v>0.63586811831914947</c:v>
                </c:pt>
                <c:pt idx="249">
                  <c:v>0.64258074776386565</c:v>
                </c:pt>
                <c:pt idx="250">
                  <c:v>0.74267381344963468</c:v>
                </c:pt>
                <c:pt idx="251">
                  <c:v>0.66137280292326572</c:v>
                </c:pt>
                <c:pt idx="252">
                  <c:v>0.66647001464168465</c:v>
                </c:pt>
                <c:pt idx="253">
                  <c:v>0.64045510652110949</c:v>
                </c:pt>
                <c:pt idx="254">
                  <c:v>0.68971790261385113</c:v>
                </c:pt>
                <c:pt idx="255">
                  <c:v>0.61454513641261421</c:v>
                </c:pt>
                <c:pt idx="256">
                  <c:v>0.60507825991593656</c:v>
                </c:pt>
                <c:pt idx="257">
                  <c:v>0.55724507928498479</c:v>
                </c:pt>
                <c:pt idx="258">
                  <c:v>0.46045295273533515</c:v>
                </c:pt>
                <c:pt idx="259">
                  <c:v>0.48481769542854103</c:v>
                </c:pt>
                <c:pt idx="260">
                  <c:v>0.37966151774659895</c:v>
                </c:pt>
                <c:pt idx="261">
                  <c:v>0.44755245089744822</c:v>
                </c:pt>
                <c:pt idx="262">
                  <c:v>0.46868582875621012</c:v>
                </c:pt>
                <c:pt idx="263">
                  <c:v>0.40813091006570712</c:v>
                </c:pt>
                <c:pt idx="264">
                  <c:v>0.38056057536137722</c:v>
                </c:pt>
                <c:pt idx="265">
                  <c:v>0.35751038545872582</c:v>
                </c:pt>
                <c:pt idx="266">
                  <c:v>0.34977709503984933</c:v>
                </c:pt>
                <c:pt idx="267">
                  <c:v>0.43839731953601024</c:v>
                </c:pt>
                <c:pt idx="268">
                  <c:v>0.46126169046460941</c:v>
                </c:pt>
                <c:pt idx="269">
                  <c:v>0.47028636583479333</c:v>
                </c:pt>
                <c:pt idx="270">
                  <c:v>0.49046006929105435</c:v>
                </c:pt>
                <c:pt idx="271">
                  <c:v>0.47740964641862504</c:v>
                </c:pt>
                <c:pt idx="272">
                  <c:v>0.47623190700905038</c:v>
                </c:pt>
                <c:pt idx="273">
                  <c:v>0.50633703907769778</c:v>
                </c:pt>
                <c:pt idx="274">
                  <c:v>0.52286886740402494</c:v>
                </c:pt>
                <c:pt idx="275">
                  <c:v>0.55592945065061627</c:v>
                </c:pt>
                <c:pt idx="276">
                  <c:v>0.54567543038430699</c:v>
                </c:pt>
                <c:pt idx="277">
                  <c:v>0.58203686791344911</c:v>
                </c:pt>
                <c:pt idx="278">
                  <c:v>0.60816225391853163</c:v>
                </c:pt>
                <c:pt idx="279">
                  <c:v>0.58586498317778624</c:v>
                </c:pt>
                <c:pt idx="280">
                  <c:v>0.58572016835238827</c:v>
                </c:pt>
                <c:pt idx="281">
                  <c:v>0.62488040302794978</c:v>
                </c:pt>
                <c:pt idx="282">
                  <c:v>0.57124428037260699</c:v>
                </c:pt>
                <c:pt idx="283">
                  <c:v>0.54262401438938124</c:v>
                </c:pt>
                <c:pt idx="284">
                  <c:v>0.57414107599798037</c:v>
                </c:pt>
                <c:pt idx="285">
                  <c:v>0.57006643487249598</c:v>
                </c:pt>
                <c:pt idx="286">
                  <c:v>0.63624679361207193</c:v>
                </c:pt>
                <c:pt idx="287">
                  <c:v>0.65398042875104423</c:v>
                </c:pt>
                <c:pt idx="288">
                  <c:v>0.61436585204823757</c:v>
                </c:pt>
                <c:pt idx="289">
                  <c:v>0.60162706169515356</c:v>
                </c:pt>
                <c:pt idx="290">
                  <c:v>0.56484480950229621</c:v>
                </c:pt>
                <c:pt idx="291">
                  <c:v>0.52643377735126506</c:v>
                </c:pt>
                <c:pt idx="292">
                  <c:v>0.52261108036437687</c:v>
                </c:pt>
                <c:pt idx="293">
                  <c:v>0.50603752655149492</c:v>
                </c:pt>
                <c:pt idx="294">
                  <c:v>0.51096861876858135</c:v>
                </c:pt>
                <c:pt idx="295">
                  <c:v>0.50171876953015726</c:v>
                </c:pt>
                <c:pt idx="296">
                  <c:v>0.47500097136923269</c:v>
                </c:pt>
                <c:pt idx="297">
                  <c:v>0.46632001584636651</c:v>
                </c:pt>
                <c:pt idx="298">
                  <c:v>0.4625187601024372</c:v>
                </c:pt>
                <c:pt idx="299">
                  <c:v>0.44923210139069525</c:v>
                </c:pt>
                <c:pt idx="300">
                  <c:v>0.44305008191287687</c:v>
                </c:pt>
                <c:pt idx="301">
                  <c:v>0.43709128455005075</c:v>
                </c:pt>
                <c:pt idx="302">
                  <c:v>0.44001734482872479</c:v>
                </c:pt>
                <c:pt idx="303">
                  <c:v>0.43830734124012949</c:v>
                </c:pt>
                <c:pt idx="304">
                  <c:v>0.39327035098337682</c:v>
                </c:pt>
                <c:pt idx="305">
                  <c:v>0.39114695661868204</c:v>
                </c:pt>
                <c:pt idx="306">
                  <c:v>0.4342755304046042</c:v>
                </c:pt>
                <c:pt idx="307">
                  <c:v>0.43600034104580576</c:v>
                </c:pt>
                <c:pt idx="308">
                  <c:v>0.41250909226273613</c:v>
                </c:pt>
                <c:pt idx="309">
                  <c:v>0.41727847524060113</c:v>
                </c:pt>
                <c:pt idx="310">
                  <c:v>0.37077727796182014</c:v>
                </c:pt>
                <c:pt idx="311">
                  <c:v>0.39945923855286836</c:v>
                </c:pt>
                <c:pt idx="312">
                  <c:v>0.36125038816872124</c:v>
                </c:pt>
                <c:pt idx="313">
                  <c:v>0.33856239279590472</c:v>
                </c:pt>
                <c:pt idx="314">
                  <c:v>0.38326252571587727</c:v>
                </c:pt>
                <c:pt idx="315">
                  <c:v>0.37021542315742728</c:v>
                </c:pt>
                <c:pt idx="316">
                  <c:v>0.34934669090354031</c:v>
                </c:pt>
                <c:pt idx="317">
                  <c:v>0.29896306833712138</c:v>
                </c:pt>
                <c:pt idx="318">
                  <c:v>0.20806351360087572</c:v>
                </c:pt>
                <c:pt idx="319">
                  <c:v>0.26777853051460632</c:v>
                </c:pt>
                <c:pt idx="320">
                  <c:v>0.25564276673351038</c:v>
                </c:pt>
                <c:pt idx="321">
                  <c:v>0.29858588523321572</c:v>
                </c:pt>
                <c:pt idx="322">
                  <c:v>0.22578957690022605</c:v>
                </c:pt>
                <c:pt idx="323">
                  <c:v>0.20819464740067239</c:v>
                </c:pt>
                <c:pt idx="324">
                  <c:v>0.14733539695201969</c:v>
                </c:pt>
                <c:pt idx="325">
                  <c:v>6.4847345821594793E-2</c:v>
                </c:pt>
                <c:pt idx="326">
                  <c:v>2.2074345768863246E-2</c:v>
                </c:pt>
                <c:pt idx="327">
                  <c:v>5.4406066565504396E-2</c:v>
                </c:pt>
                <c:pt idx="328">
                  <c:v>8.1875119962737664E-2</c:v>
                </c:pt>
                <c:pt idx="329">
                  <c:v>-2.1731836920113601E-2</c:v>
                </c:pt>
                <c:pt idx="330">
                  <c:v>-1.7296052185811206E-2</c:v>
                </c:pt>
                <c:pt idx="331">
                  <c:v>0.12640830069179376</c:v>
                </c:pt>
                <c:pt idx="332">
                  <c:v>3.3639704098309409E-3</c:v>
                </c:pt>
                <c:pt idx="333">
                  <c:v>-0.21096078468895163</c:v>
                </c:pt>
                <c:pt idx="334">
                  <c:v>-0.32230260658879795</c:v>
                </c:pt>
                <c:pt idx="335">
                  <c:v>-0.35742224820108914</c:v>
                </c:pt>
                <c:pt idx="336">
                  <c:v>-0.4609070332253884</c:v>
                </c:pt>
                <c:pt idx="337">
                  <c:v>-0.52186084963947721</c:v>
                </c:pt>
                <c:pt idx="338">
                  <c:v>-0.48049296054114565</c:v>
                </c:pt>
                <c:pt idx="339">
                  <c:v>-0.43338528187943925</c:v>
                </c:pt>
                <c:pt idx="340">
                  <c:v>-0.36692188023015326</c:v>
                </c:pt>
                <c:pt idx="341">
                  <c:v>-0.40561015808425749</c:v>
                </c:pt>
                <c:pt idx="342">
                  <c:v>-0.317390448927235</c:v>
                </c:pt>
                <c:pt idx="343">
                  <c:v>-0.28166715492060623</c:v>
                </c:pt>
                <c:pt idx="344">
                  <c:v>-0.22499617310711706</c:v>
                </c:pt>
                <c:pt idx="345">
                  <c:v>-0.28883157217175492</c:v>
                </c:pt>
                <c:pt idx="346">
                  <c:v>-0.25432640169917864</c:v>
                </c:pt>
                <c:pt idx="347">
                  <c:v>-0.28557783228909672</c:v>
                </c:pt>
                <c:pt idx="348">
                  <c:v>-0.27012294480548427</c:v>
                </c:pt>
                <c:pt idx="349">
                  <c:v>-0.22699798343458477</c:v>
                </c:pt>
                <c:pt idx="350">
                  <c:v>-0.25204409692902718</c:v>
                </c:pt>
                <c:pt idx="351">
                  <c:v>-0.20843478225439638</c:v>
                </c:pt>
                <c:pt idx="352">
                  <c:v>-0.25504137677028194</c:v>
                </c:pt>
                <c:pt idx="353">
                  <c:v>-0.31903577493760382</c:v>
                </c:pt>
                <c:pt idx="354">
                  <c:v>-0.24785092587544799</c:v>
                </c:pt>
                <c:pt idx="355">
                  <c:v>-0.33286248920787465</c:v>
                </c:pt>
                <c:pt idx="356">
                  <c:v>-0.21234489113211019</c:v>
                </c:pt>
                <c:pt idx="357">
                  <c:v>-0.17273707988531006</c:v>
                </c:pt>
                <c:pt idx="358">
                  <c:v>-0.10080335498569015</c:v>
                </c:pt>
                <c:pt idx="359">
                  <c:v>-4.7440835204015652E-2</c:v>
                </c:pt>
                <c:pt idx="360">
                  <c:v>-5.0348637765162962E-2</c:v>
                </c:pt>
                <c:pt idx="361">
                  <c:v>5.8835694127201688E-2</c:v>
                </c:pt>
                <c:pt idx="362">
                  <c:v>0.11765145050313119</c:v>
                </c:pt>
                <c:pt idx="363">
                  <c:v>8.2591705668855209E-2</c:v>
                </c:pt>
                <c:pt idx="364">
                  <c:v>7.0070524096277342E-2</c:v>
                </c:pt>
                <c:pt idx="365">
                  <c:v>7.9176206029141216E-2</c:v>
                </c:pt>
                <c:pt idx="366">
                  <c:v>7.2776671549878991E-2</c:v>
                </c:pt>
                <c:pt idx="367">
                  <c:v>8.3340711882706753E-2</c:v>
                </c:pt>
                <c:pt idx="368">
                  <c:v>9.4797680375824367E-2</c:v>
                </c:pt>
                <c:pt idx="369">
                  <c:v>0.16678072981719527</c:v>
                </c:pt>
                <c:pt idx="370">
                  <c:v>0.10266660893327728</c:v>
                </c:pt>
                <c:pt idx="371">
                  <c:v>0.10422488264834051</c:v>
                </c:pt>
                <c:pt idx="372">
                  <c:v>0.15429058487759217</c:v>
                </c:pt>
                <c:pt idx="373">
                  <c:v>0.20718522519784788</c:v>
                </c:pt>
                <c:pt idx="374">
                  <c:v>0.20447468931110713</c:v>
                </c:pt>
                <c:pt idx="375">
                  <c:v>0.25321501349649944</c:v>
                </c:pt>
                <c:pt idx="376">
                  <c:v>0.20937490668000436</c:v>
                </c:pt>
                <c:pt idx="377">
                  <c:v>0.30619201832794429</c:v>
                </c:pt>
                <c:pt idx="378">
                  <c:v>0.38360305932172434</c:v>
                </c:pt>
                <c:pt idx="379">
                  <c:v>0.39759514458757028</c:v>
                </c:pt>
                <c:pt idx="380">
                  <c:v>0.51594168302502297</c:v>
                </c:pt>
                <c:pt idx="381">
                  <c:v>0.43093145423512835</c:v>
                </c:pt>
                <c:pt idx="382">
                  <c:v>0.38835018943021993</c:v>
                </c:pt>
                <c:pt idx="383">
                  <c:v>0.44698146459797305</c:v>
                </c:pt>
                <c:pt idx="384">
                  <c:v>0.51307268818887586</c:v>
                </c:pt>
                <c:pt idx="385">
                  <c:v>0.53750789379362063</c:v>
                </c:pt>
                <c:pt idx="386">
                  <c:v>0.56066831940693174</c:v>
                </c:pt>
                <c:pt idx="387">
                  <c:v>0.51117659202526422</c:v>
                </c:pt>
                <c:pt idx="388">
                  <c:v>0.48762482468951429</c:v>
                </c:pt>
                <c:pt idx="389">
                  <c:v>0.46633772394121253</c:v>
                </c:pt>
                <c:pt idx="390">
                  <c:v>0.49341511537761562</c:v>
                </c:pt>
                <c:pt idx="391">
                  <c:v>0.45296503228243745</c:v>
                </c:pt>
                <c:pt idx="392">
                  <c:v>0.48875412286537578</c:v>
                </c:pt>
                <c:pt idx="393">
                  <c:v>0.48193118070900542</c:v>
                </c:pt>
                <c:pt idx="394">
                  <c:v>0.50019591806177433</c:v>
                </c:pt>
                <c:pt idx="395">
                  <c:v>0.4800539865253417</c:v>
                </c:pt>
                <c:pt idx="396">
                  <c:v>0.43531868240939131</c:v>
                </c:pt>
                <c:pt idx="397">
                  <c:v>0.46128590436742556</c:v>
                </c:pt>
                <c:pt idx="398">
                  <c:v>0.48137905996551433</c:v>
                </c:pt>
                <c:pt idx="399">
                  <c:v>0.50065578780256192</c:v>
                </c:pt>
                <c:pt idx="400">
                  <c:v>0.50912022808624613</c:v>
                </c:pt>
                <c:pt idx="401">
                  <c:v>0.51073753141436251</c:v>
                </c:pt>
                <c:pt idx="402">
                  <c:v>0.52784009612465432</c:v>
                </c:pt>
                <c:pt idx="403">
                  <c:v>0.55823702088177996</c:v>
                </c:pt>
                <c:pt idx="404">
                  <c:v>0.53841324930485879</c:v>
                </c:pt>
                <c:pt idx="405">
                  <c:v>0.54674464484179008</c:v>
                </c:pt>
                <c:pt idx="406">
                  <c:v>0.53755426273001117</c:v>
                </c:pt>
                <c:pt idx="407">
                  <c:v>0.5090495531757</c:v>
                </c:pt>
                <c:pt idx="408">
                  <c:v>0.50558472003316979</c:v>
                </c:pt>
                <c:pt idx="409">
                  <c:v>0.5357914956440446</c:v>
                </c:pt>
                <c:pt idx="410">
                  <c:v>0.53945531901909982</c:v>
                </c:pt>
                <c:pt idx="411">
                  <c:v>0.56480155791946984</c:v>
                </c:pt>
                <c:pt idx="412">
                  <c:v>0.5508269675677413</c:v>
                </c:pt>
                <c:pt idx="413">
                  <c:v>0.53493812011191633</c:v>
                </c:pt>
                <c:pt idx="414">
                  <c:v>0.52388606740616517</c:v>
                </c:pt>
                <c:pt idx="415">
                  <c:v>0.48225196891300559</c:v>
                </c:pt>
                <c:pt idx="416">
                  <c:v>0.45720546691420116</c:v>
                </c:pt>
                <c:pt idx="417">
                  <c:v>0.53976762503099573</c:v>
                </c:pt>
                <c:pt idx="418">
                  <c:v>0.51367768482469822</c:v>
                </c:pt>
                <c:pt idx="419">
                  <c:v>0.5034487142379418</c:v>
                </c:pt>
                <c:pt idx="420">
                  <c:v>0.44233255930158366</c:v>
                </c:pt>
                <c:pt idx="421">
                  <c:v>0.44151498714571913</c:v>
                </c:pt>
                <c:pt idx="422">
                  <c:v>0.48821389527924364</c:v>
                </c:pt>
                <c:pt idx="423">
                  <c:v>0.48422247944350794</c:v>
                </c:pt>
                <c:pt idx="424">
                  <c:v>0.52709265013061168</c:v>
                </c:pt>
                <c:pt idx="425">
                  <c:v>0.53115813580577598</c:v>
                </c:pt>
                <c:pt idx="426">
                  <c:v>0.55976559382157065</c:v>
                </c:pt>
                <c:pt idx="427">
                  <c:v>0.54416286076208742</c:v>
                </c:pt>
                <c:pt idx="428">
                  <c:v>0.52585759133936261</c:v>
                </c:pt>
                <c:pt idx="429">
                  <c:v>0.48712923277310916</c:v>
                </c:pt>
                <c:pt idx="430">
                  <c:v>0.50472974195223674</c:v>
                </c:pt>
                <c:pt idx="431">
                  <c:v>0.51229103136199994</c:v>
                </c:pt>
                <c:pt idx="432">
                  <c:v>0.51895166737855325</c:v>
                </c:pt>
                <c:pt idx="433">
                  <c:v>0.57048362960926413</c:v>
                </c:pt>
                <c:pt idx="434">
                  <c:v>0.56615317367236795</c:v>
                </c:pt>
                <c:pt idx="435">
                  <c:v>0.54218041135754014</c:v>
                </c:pt>
                <c:pt idx="436">
                  <c:v>0.52884563786083083</c:v>
                </c:pt>
                <c:pt idx="437">
                  <c:v>0.55054404574139681</c:v>
                </c:pt>
                <c:pt idx="438">
                  <c:v>0.59697988859480633</c:v>
                </c:pt>
                <c:pt idx="439">
                  <c:v>0.58902921399235364</c:v>
                </c:pt>
                <c:pt idx="440">
                  <c:v>0.57675914038337606</c:v>
                </c:pt>
                <c:pt idx="441">
                  <c:v>0.58423563377005827</c:v>
                </c:pt>
                <c:pt idx="442">
                  <c:v>0.64770560824569667</c:v>
                </c:pt>
                <c:pt idx="443">
                  <c:v>0.66363598502302557</c:v>
                </c:pt>
                <c:pt idx="444">
                  <c:v>0.76461016313175145</c:v>
                </c:pt>
                <c:pt idx="445">
                  <c:v>0.75935179212662796</c:v>
                </c:pt>
                <c:pt idx="446">
                  <c:v>0.74109963010559055</c:v>
                </c:pt>
                <c:pt idx="447">
                  <c:v>0.70477236788146769</c:v>
                </c:pt>
                <c:pt idx="448">
                  <c:v>0.71402866559879818</c:v>
                </c:pt>
                <c:pt idx="449">
                  <c:v>0.7925879012106396</c:v>
                </c:pt>
                <c:pt idx="450">
                  <c:v>0.82931186318440098</c:v>
                </c:pt>
                <c:pt idx="451">
                  <c:v>0.84378408307538288</c:v>
                </c:pt>
                <c:pt idx="452">
                  <c:v>0.92311764255263995</c:v>
                </c:pt>
                <c:pt idx="453">
                  <c:v>1.0161216757088698</c:v>
                </c:pt>
                <c:pt idx="454">
                  <c:v>1.0954067758986663</c:v>
                </c:pt>
                <c:pt idx="455">
                  <c:v>1.0037168094579774</c:v>
                </c:pt>
                <c:pt idx="456">
                  <c:v>1.1403819639597246</c:v>
                </c:pt>
                <c:pt idx="457">
                  <c:v>1.257383746240115</c:v>
                </c:pt>
                <c:pt idx="458">
                  <c:v>1.2014374946905715</c:v>
                </c:pt>
                <c:pt idx="459">
                  <c:v>1.1574493418765597</c:v>
                </c:pt>
                <c:pt idx="460">
                  <c:v>1.0560128721402107</c:v>
                </c:pt>
                <c:pt idx="461">
                  <c:v>1.1091796439595347</c:v>
                </c:pt>
                <c:pt idx="462">
                  <c:v>1.0594086900921895</c:v>
                </c:pt>
                <c:pt idx="463">
                  <c:v>1.0158111182930973</c:v>
                </c:pt>
                <c:pt idx="464">
                  <c:v>0.99988246940895253</c:v>
                </c:pt>
                <c:pt idx="465">
                  <c:v>1.0320378239075945</c:v>
                </c:pt>
                <c:pt idx="466">
                  <c:v>1.0117469127131296</c:v>
                </c:pt>
                <c:pt idx="467">
                  <c:v>1.0195147092646351</c:v>
                </c:pt>
                <c:pt idx="468">
                  <c:v>1.0491414527070586</c:v>
                </c:pt>
                <c:pt idx="469">
                  <c:v>0.95110301530434427</c:v>
                </c:pt>
                <c:pt idx="470">
                  <c:v>0.79114570176878063</c:v>
                </c:pt>
                <c:pt idx="471">
                  <c:v>0.87975653031194812</c:v>
                </c:pt>
                <c:pt idx="472">
                  <c:v>0.98918684737803186</c:v>
                </c:pt>
                <c:pt idx="473">
                  <c:v>1.0523551249179697</c:v>
                </c:pt>
                <c:pt idx="474">
                  <c:v>1.041614235553423</c:v>
                </c:pt>
                <c:pt idx="475">
                  <c:v>1.1392936699649248</c:v>
                </c:pt>
                <c:pt idx="476">
                  <c:v>1.0337338949894859</c:v>
                </c:pt>
                <c:pt idx="477">
                  <c:v>0.97929779441556786</c:v>
                </c:pt>
                <c:pt idx="478">
                  <c:v>1.0666606885539553</c:v>
                </c:pt>
                <c:pt idx="479">
                  <c:v>1.0463234593577675</c:v>
                </c:pt>
                <c:pt idx="480">
                  <c:v>1.0184230812369854</c:v>
                </c:pt>
                <c:pt idx="481">
                  <c:v>1.0132668600702277</c:v>
                </c:pt>
                <c:pt idx="482">
                  <c:v>1.0484906692779017</c:v>
                </c:pt>
                <c:pt idx="483">
                  <c:v>1.0682298862785045</c:v>
                </c:pt>
                <c:pt idx="484">
                  <c:v>1.0829826815417998</c:v>
                </c:pt>
                <c:pt idx="485">
                  <c:v>1.1166473937110122</c:v>
                </c:pt>
                <c:pt idx="486">
                  <c:v>1.1537033325696666</c:v>
                </c:pt>
                <c:pt idx="487">
                  <c:v>1.2262249785957691</c:v>
                </c:pt>
                <c:pt idx="488">
                  <c:v>1.2478260171224109</c:v>
                </c:pt>
                <c:pt idx="489">
                  <c:v>1.2179621323968215</c:v>
                </c:pt>
                <c:pt idx="490">
                  <c:v>1.214059919853705</c:v>
                </c:pt>
                <c:pt idx="491">
                  <c:v>1.2418625484090895</c:v>
                </c:pt>
                <c:pt idx="492">
                  <c:v>1.1594034691020494</c:v>
                </c:pt>
                <c:pt idx="493">
                  <c:v>1.0986226577716529</c:v>
                </c:pt>
                <c:pt idx="494">
                  <c:v>1.1025726449460205</c:v>
                </c:pt>
                <c:pt idx="495">
                  <c:v>1.0304781105678895</c:v>
                </c:pt>
                <c:pt idx="496">
                  <c:v>1.0823709577599594</c:v>
                </c:pt>
                <c:pt idx="497">
                  <c:v>0.97598039972394135</c:v>
                </c:pt>
                <c:pt idx="498">
                  <c:v>1.0386516191388973</c:v>
                </c:pt>
                <c:pt idx="499">
                  <c:v>0.98373227951905617</c:v>
                </c:pt>
                <c:pt idx="500">
                  <c:v>0.88082746132832623</c:v>
                </c:pt>
                <c:pt idx="501">
                  <c:v>0.95890929184563323</c:v>
                </c:pt>
                <c:pt idx="502">
                  <c:v>0.99640291026241723</c:v>
                </c:pt>
                <c:pt idx="503">
                  <c:v>0.93572885021071528</c:v>
                </c:pt>
                <c:pt idx="504">
                  <c:v>0.94188469578369016</c:v>
                </c:pt>
                <c:pt idx="505">
                  <c:v>0.90758759519740106</c:v>
                </c:pt>
                <c:pt idx="506">
                  <c:v>0.9044854268021596</c:v>
                </c:pt>
                <c:pt idx="507">
                  <c:v>0.89772942851020776</c:v>
                </c:pt>
                <c:pt idx="508">
                  <c:v>0.87998934546678065</c:v>
                </c:pt>
                <c:pt idx="509">
                  <c:v>0.94258445264652213</c:v>
                </c:pt>
                <c:pt idx="510">
                  <c:v>0.92354317119645035</c:v>
                </c:pt>
                <c:pt idx="511">
                  <c:v>0.93162617325586172</c:v>
                </c:pt>
                <c:pt idx="512">
                  <c:v>0.86094373970136973</c:v>
                </c:pt>
                <c:pt idx="513">
                  <c:v>0.80124574858925213</c:v>
                </c:pt>
                <c:pt idx="514">
                  <c:v>0.84505334503776064</c:v>
                </c:pt>
                <c:pt idx="515">
                  <c:v>0.8571656186581067</c:v>
                </c:pt>
                <c:pt idx="516">
                  <c:v>0.8867796988714205</c:v>
                </c:pt>
                <c:pt idx="517">
                  <c:v>0.84922879087843128</c:v>
                </c:pt>
                <c:pt idx="518">
                  <c:v>0.84250886669011704</c:v>
                </c:pt>
                <c:pt idx="519">
                  <c:v>0.83703849149934229</c:v>
                </c:pt>
                <c:pt idx="520">
                  <c:v>0.81771583352967525</c:v>
                </c:pt>
                <c:pt idx="521">
                  <c:v>0.80058754556957545</c:v>
                </c:pt>
                <c:pt idx="522">
                  <c:v>0.81240222138913021</c:v>
                </c:pt>
                <c:pt idx="523">
                  <c:v>0.77967749974131584</c:v>
                </c:pt>
                <c:pt idx="524">
                  <c:v>0.79144353923188415</c:v>
                </c:pt>
                <c:pt idx="525">
                  <c:v>0.77157149018642901</c:v>
                </c:pt>
                <c:pt idx="526">
                  <c:v>0.74870182800430563</c:v>
                </c:pt>
                <c:pt idx="527">
                  <c:v>0.75075876025801902</c:v>
                </c:pt>
                <c:pt idx="528">
                  <c:v>0.7757686277144682</c:v>
                </c:pt>
                <c:pt idx="529">
                  <c:v>0.7293215698618627</c:v>
                </c:pt>
                <c:pt idx="530">
                  <c:v>0.74200302969343879</c:v>
                </c:pt>
                <c:pt idx="531">
                  <c:v>0.73441357321039069</c:v>
                </c:pt>
                <c:pt idx="532">
                  <c:v>0.7240009309226747</c:v>
                </c:pt>
                <c:pt idx="533">
                  <c:v>0.74039380565433799</c:v>
                </c:pt>
                <c:pt idx="534">
                  <c:v>0.72273539678476828</c:v>
                </c:pt>
                <c:pt idx="535">
                  <c:v>0.77468643366385148</c:v>
                </c:pt>
                <c:pt idx="536">
                  <c:v>0.79551991879253103</c:v>
                </c:pt>
                <c:pt idx="537">
                  <c:v>0.72830860535157971</c:v>
                </c:pt>
                <c:pt idx="538">
                  <c:v>0.72549277789037969</c:v>
                </c:pt>
                <c:pt idx="539">
                  <c:v>0.73845115026296426</c:v>
                </c:pt>
                <c:pt idx="540">
                  <c:v>0.78075372328548776</c:v>
                </c:pt>
                <c:pt idx="541">
                  <c:v>0.78237398345711862</c:v>
                </c:pt>
                <c:pt idx="542">
                  <c:v>0.72790919547511823</c:v>
                </c:pt>
                <c:pt idx="543">
                  <c:v>0.72488003110766641</c:v>
                </c:pt>
                <c:pt idx="544">
                  <c:v>0.70962079726611949</c:v>
                </c:pt>
                <c:pt idx="545">
                  <c:v>0.7075642481265132</c:v>
                </c:pt>
                <c:pt idx="546">
                  <c:v>0.67762330062016707</c:v>
                </c:pt>
                <c:pt idx="547">
                  <c:v>0.67675582900693643</c:v>
                </c:pt>
                <c:pt idx="548">
                  <c:v>0.67656338593374832</c:v>
                </c:pt>
                <c:pt idx="549">
                  <c:v>0.6919187181126274</c:v>
                </c:pt>
                <c:pt idx="550">
                  <c:v>0.66252098545691585</c:v>
                </c:pt>
                <c:pt idx="551">
                  <c:v>0.64684630747454674</c:v>
                </c:pt>
                <c:pt idx="552">
                  <c:v>0.63111673906365295</c:v>
                </c:pt>
                <c:pt idx="553">
                  <c:v>0.59904281547155103</c:v>
                </c:pt>
                <c:pt idx="554">
                  <c:v>0.5978978253891154</c:v>
                </c:pt>
                <c:pt idx="555">
                  <c:v>0.58949766518633373</c:v>
                </c:pt>
                <c:pt idx="556">
                  <c:v>0.57789626190567489</c:v>
                </c:pt>
                <c:pt idx="557">
                  <c:v>0.57355832531331696</c:v>
                </c:pt>
                <c:pt idx="558">
                  <c:v>0.55699323070506068</c:v>
                </c:pt>
                <c:pt idx="559">
                  <c:v>0.55588858277767494</c:v>
                </c:pt>
                <c:pt idx="560">
                  <c:v>0.54004379902075073</c:v>
                </c:pt>
                <c:pt idx="561">
                  <c:v>0.52083932209079364</c:v>
                </c:pt>
                <c:pt idx="562">
                  <c:v>0.49565552611885444</c:v>
                </c:pt>
                <c:pt idx="563">
                  <c:v>0.48713726003641877</c:v>
                </c:pt>
                <c:pt idx="564">
                  <c:v>0.44094803185349418</c:v>
                </c:pt>
                <c:pt idx="565">
                  <c:v>0.4739803356352712</c:v>
                </c:pt>
                <c:pt idx="566">
                  <c:v>0.49647117134885566</c:v>
                </c:pt>
                <c:pt idx="567">
                  <c:v>0.49449830509988857</c:v>
                </c:pt>
                <c:pt idx="568">
                  <c:v>0.47599422811747116</c:v>
                </c:pt>
                <c:pt idx="569">
                  <c:v>0.47146030126596905</c:v>
                </c:pt>
                <c:pt idx="570">
                  <c:v>0.44229137749590697</c:v>
                </c:pt>
                <c:pt idx="571">
                  <c:v>0.41653202440264936</c:v>
                </c:pt>
                <c:pt idx="572">
                  <c:v>0.41350259107386655</c:v>
                </c:pt>
                <c:pt idx="573">
                  <c:v>0.47435030381459686</c:v>
                </c:pt>
                <c:pt idx="574">
                  <c:v>0.45948437370534334</c:v>
                </c:pt>
                <c:pt idx="575">
                  <c:v>0.54065547028379068</c:v>
                </c:pt>
                <c:pt idx="576">
                  <c:v>0.47690903559842734</c:v>
                </c:pt>
                <c:pt idx="577">
                  <c:v>0.45230924040571274</c:v>
                </c:pt>
                <c:pt idx="578">
                  <c:v>0.43772837932203323</c:v>
                </c:pt>
                <c:pt idx="579">
                  <c:v>0.4061916771135432</c:v>
                </c:pt>
                <c:pt idx="580">
                  <c:v>0.46251679997598716</c:v>
                </c:pt>
                <c:pt idx="581">
                  <c:v>0.40778274937576242</c:v>
                </c:pt>
                <c:pt idx="582">
                  <c:v>0.39725270989615646</c:v>
                </c:pt>
                <c:pt idx="583">
                  <c:v>0.41214145614781872</c:v>
                </c:pt>
                <c:pt idx="584">
                  <c:v>0.39808227217933423</c:v>
                </c:pt>
                <c:pt idx="585">
                  <c:v>0.38154477349560123</c:v>
                </c:pt>
                <c:pt idx="586">
                  <c:v>0.35283314503379293</c:v>
                </c:pt>
                <c:pt idx="587">
                  <c:v>0.32948589473407175</c:v>
                </c:pt>
                <c:pt idx="588">
                  <c:v>0.33048023034114582</c:v>
                </c:pt>
                <c:pt idx="589">
                  <c:v>0.40285866510508805</c:v>
                </c:pt>
                <c:pt idx="590">
                  <c:v>0.51273685266443048</c:v>
                </c:pt>
                <c:pt idx="591">
                  <c:v>0.4113138721619225</c:v>
                </c:pt>
                <c:pt idx="592">
                  <c:v>0.372357327756212</c:v>
                </c:pt>
                <c:pt idx="593">
                  <c:v>0.35562423261187304</c:v>
                </c:pt>
                <c:pt idx="594">
                  <c:v>0.30949088927894053</c:v>
                </c:pt>
                <c:pt idx="595">
                  <c:v>0.25148497971189121</c:v>
                </c:pt>
                <c:pt idx="596">
                  <c:v>0.28404431229851479</c:v>
                </c:pt>
                <c:pt idx="597">
                  <c:v>0.3064788113354644</c:v>
                </c:pt>
                <c:pt idx="598">
                  <c:v>0.21989991665742892</c:v>
                </c:pt>
                <c:pt idx="599">
                  <c:v>0.18600903387455681</c:v>
                </c:pt>
                <c:pt idx="600">
                  <c:v>0.19452319235648829</c:v>
                </c:pt>
                <c:pt idx="601">
                  <c:v>0.17303369032839466</c:v>
                </c:pt>
                <c:pt idx="602">
                  <c:v>0.13767845526753142</c:v>
                </c:pt>
                <c:pt idx="603">
                  <c:v>9.3916222203171973E-2</c:v>
                </c:pt>
                <c:pt idx="604">
                  <c:v>8.8762596123981297E-2</c:v>
                </c:pt>
                <c:pt idx="605">
                  <c:v>6.9260042353747053E-2</c:v>
                </c:pt>
                <c:pt idx="606">
                  <c:v>4.9250286983892888E-2</c:v>
                </c:pt>
                <c:pt idx="607">
                  <c:v>2.4138107606364034E-2</c:v>
                </c:pt>
                <c:pt idx="608">
                  <c:v>6.3445759800984103E-2</c:v>
                </c:pt>
                <c:pt idx="609">
                  <c:v>6.6756107677257148E-3</c:v>
                </c:pt>
                <c:pt idx="610">
                  <c:v>1.2743231661194176E-2</c:v>
                </c:pt>
                <c:pt idx="611">
                  <c:v>-2.2632197301886148E-2</c:v>
                </c:pt>
                <c:pt idx="612">
                  <c:v>2.2069765738375047E-2</c:v>
                </c:pt>
                <c:pt idx="613">
                  <c:v>4.6850594482439334E-2</c:v>
                </c:pt>
                <c:pt idx="614">
                  <c:v>1.5911747222430161E-2</c:v>
                </c:pt>
                <c:pt idx="615">
                  <c:v>9.2407486017320739E-2</c:v>
                </c:pt>
                <c:pt idx="616">
                  <c:v>9.2352441291043696E-2</c:v>
                </c:pt>
                <c:pt idx="617">
                  <c:v>0.16397111714274715</c:v>
                </c:pt>
                <c:pt idx="618">
                  <c:v>8.9846113739322497E-2</c:v>
                </c:pt>
                <c:pt idx="619">
                  <c:v>0.12574340940658679</c:v>
                </c:pt>
                <c:pt idx="620">
                  <c:v>0.20743410098771342</c:v>
                </c:pt>
                <c:pt idx="621">
                  <c:v>0.1449099173020052</c:v>
                </c:pt>
                <c:pt idx="622">
                  <c:v>0.10330845653854226</c:v>
                </c:pt>
                <c:pt idx="623">
                  <c:v>0.15661178921841934</c:v>
                </c:pt>
                <c:pt idx="624">
                  <c:v>0.10790814506054236</c:v>
                </c:pt>
                <c:pt idx="625">
                  <c:v>0.13123795624083723</c:v>
                </c:pt>
                <c:pt idx="626">
                  <c:v>0.10353286401771911</c:v>
                </c:pt>
                <c:pt idx="627">
                  <c:v>9.401522407872509E-2</c:v>
                </c:pt>
                <c:pt idx="628">
                  <c:v>9.25964660647427E-2</c:v>
                </c:pt>
                <c:pt idx="629">
                  <c:v>4.1879199383076937E-2</c:v>
                </c:pt>
                <c:pt idx="630">
                  <c:v>1.9605431287761377E-2</c:v>
                </c:pt>
                <c:pt idx="631">
                  <c:v>3.6306152803478042E-2</c:v>
                </c:pt>
                <c:pt idx="632">
                  <c:v>8.0521519612930526E-2</c:v>
                </c:pt>
                <c:pt idx="633">
                  <c:v>0.10216686980872858</c:v>
                </c:pt>
                <c:pt idx="634">
                  <c:v>3.3347949511186581E-2</c:v>
                </c:pt>
                <c:pt idx="6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D-4E2E-8A72-363E26732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103295"/>
        <c:axId val="1495164911"/>
      </c:lineChart>
      <c:catAx>
        <c:axId val="1336103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64911"/>
        <c:crosses val="autoZero"/>
        <c:auto val="1"/>
        <c:lblAlgn val="ctr"/>
        <c:lblOffset val="100"/>
        <c:noMultiLvlLbl val="0"/>
      </c:catAx>
      <c:valAx>
        <c:axId val="14951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0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quarterly!$D$1</c:f>
              <c:strCache>
                <c:ptCount val="1"/>
                <c:pt idx="0">
                  <c:v>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quarterly!$D$2:$D$318</c:f>
              <c:numCache>
                <c:formatCode>General</c:formatCode>
                <c:ptCount val="317"/>
                <c:pt idx="0">
                  <c:v>0.27752941394858555</c:v>
                </c:pt>
                <c:pt idx="1">
                  <c:v>0.50192201017829108</c:v>
                </c:pt>
                <c:pt idx="2">
                  <c:v>0.67592585801528027</c:v>
                </c:pt>
                <c:pt idx="3">
                  <c:v>0.95299440299536653</c:v>
                </c:pt>
                <c:pt idx="4">
                  <c:v>1.0217774897942649</c:v>
                </c:pt>
                <c:pt idx="5">
                  <c:v>1.1132800605525355</c:v>
                </c:pt>
                <c:pt idx="6">
                  <c:v>1.1766689137915527</c:v>
                </c:pt>
                <c:pt idx="7">
                  <c:v>1.2076078129042718</c:v>
                </c:pt>
                <c:pt idx="8">
                  <c:v>1.1308191446258249</c:v>
                </c:pt>
                <c:pt idx="9">
                  <c:v>1.0442105783109668</c:v>
                </c:pt>
                <c:pt idx="10">
                  <c:v>1.2225320874020194</c:v>
                </c:pt>
                <c:pt idx="11">
                  <c:v>1.1226693661610343</c:v>
                </c:pt>
                <c:pt idx="12">
                  <c:v>0.86683870520867212</c:v>
                </c:pt>
                <c:pt idx="13">
                  <c:v>0.92181339826322739</c:v>
                </c:pt>
                <c:pt idx="14">
                  <c:v>1.0998700306956448</c:v>
                </c:pt>
                <c:pt idx="15">
                  <c:v>1.3396796419195922</c:v>
                </c:pt>
                <c:pt idx="16">
                  <c:v>1.5877579352873137</c:v>
                </c:pt>
                <c:pt idx="17">
                  <c:v>1.7163046163251934</c:v>
                </c:pt>
                <c:pt idx="18">
                  <c:v>1.850598445419172</c:v>
                </c:pt>
                <c:pt idx="19">
                  <c:v>1.8809993039326192</c:v>
                </c:pt>
                <c:pt idx="20">
                  <c:v>1.8626272588751631</c:v>
                </c:pt>
                <c:pt idx="21">
                  <c:v>1.7319919302962909</c:v>
                </c:pt>
                <c:pt idx="22">
                  <c:v>1.7354038544835639</c:v>
                </c:pt>
                <c:pt idx="23">
                  <c:v>1.728424943962394</c:v>
                </c:pt>
                <c:pt idx="24">
                  <c:v>1.7528407632430061</c:v>
                </c:pt>
                <c:pt idx="25">
                  <c:v>2.0981748505160431</c:v>
                </c:pt>
                <c:pt idx="26">
                  <c:v>2.1898116942774162</c:v>
                </c:pt>
                <c:pt idx="27">
                  <c:v>2.2608832368264471</c:v>
                </c:pt>
                <c:pt idx="28">
                  <c:v>2.3873300782735383</c:v>
                </c:pt>
                <c:pt idx="29">
                  <c:v>2.3514367504532401</c:v>
                </c:pt>
                <c:pt idx="30">
                  <c:v>1.9692765355883557</c:v>
                </c:pt>
                <c:pt idx="31">
                  <c:v>1.8926734457840748</c:v>
                </c:pt>
                <c:pt idx="32">
                  <c:v>2.0179078422629497</c:v>
                </c:pt>
                <c:pt idx="33">
                  <c:v>2.2286961284303928</c:v>
                </c:pt>
                <c:pt idx="34">
                  <c:v>2.3911107497537318</c:v>
                </c:pt>
                <c:pt idx="35">
                  <c:v>2.4317288088512052</c:v>
                </c:pt>
                <c:pt idx="36">
                  <c:v>2.5396777764819602</c:v>
                </c:pt>
                <c:pt idx="37">
                  <c:v>2.6711519397991648</c:v>
                </c:pt>
                <c:pt idx="38">
                  <c:v>2.7532651358022329</c:v>
                </c:pt>
                <c:pt idx="39">
                  <c:v>2.808924217605349</c:v>
                </c:pt>
                <c:pt idx="40">
                  <c:v>2.5936355082880391</c:v>
                </c:pt>
                <c:pt idx="41">
                  <c:v>2.4351515429023682</c:v>
                </c:pt>
                <c:pt idx="42">
                  <c:v>2.2583135093248208</c:v>
                </c:pt>
                <c:pt idx="43">
                  <c:v>1.9791150153968669</c:v>
                </c:pt>
                <c:pt idx="44">
                  <c:v>2.0388868708231409</c:v>
                </c:pt>
                <c:pt idx="45">
                  <c:v>1.905941955894598</c:v>
                </c:pt>
                <c:pt idx="46">
                  <c:v>1.7211422856044309</c:v>
                </c:pt>
                <c:pt idx="47">
                  <c:v>1.431069212272182</c:v>
                </c:pt>
                <c:pt idx="48">
                  <c:v>1.542274344994303</c:v>
                </c:pt>
                <c:pt idx="49">
                  <c:v>1.8509755606332761</c:v>
                </c:pt>
                <c:pt idx="50">
                  <c:v>1.7634822858886972</c:v>
                </c:pt>
                <c:pt idx="51">
                  <c:v>1.965451855988374</c:v>
                </c:pt>
                <c:pt idx="52">
                  <c:v>2.21111387283415</c:v>
                </c:pt>
                <c:pt idx="53">
                  <c:v>2.0299381603916271</c:v>
                </c:pt>
                <c:pt idx="54">
                  <c:v>2.0536574092823212</c:v>
                </c:pt>
                <c:pt idx="55">
                  <c:v>1.8234122719238441</c:v>
                </c:pt>
                <c:pt idx="56">
                  <c:v>1.6956774312092198</c:v>
                </c:pt>
                <c:pt idx="57">
                  <c:v>1.440779834185534</c:v>
                </c:pt>
                <c:pt idx="58">
                  <c:v>1.306932664267908</c:v>
                </c:pt>
                <c:pt idx="59">
                  <c:v>1.0475216488365491</c:v>
                </c:pt>
                <c:pt idx="60">
                  <c:v>1.070518896124355</c:v>
                </c:pt>
                <c:pt idx="61">
                  <c:v>1.002723256703008</c:v>
                </c:pt>
                <c:pt idx="62">
                  <c:v>0.63930244252388102</c:v>
                </c:pt>
                <c:pt idx="63">
                  <c:v>0.76812716364298583</c:v>
                </c:pt>
                <c:pt idx="64">
                  <c:v>0.92032874282003796</c:v>
                </c:pt>
                <c:pt idx="65">
                  <c:v>0.85090352121297919</c:v>
                </c:pt>
                <c:pt idx="66">
                  <c:v>0.84332800075164593</c:v>
                </c:pt>
                <c:pt idx="67">
                  <c:v>0.67547690286904405</c:v>
                </c:pt>
                <c:pt idx="68">
                  <c:v>0.52087518540968603</c:v>
                </c:pt>
                <c:pt idx="69">
                  <c:v>0.78136123510244004</c:v>
                </c:pt>
                <c:pt idx="70">
                  <c:v>1.2092587896464209</c:v>
                </c:pt>
                <c:pt idx="71">
                  <c:v>1.3173745490852009</c:v>
                </c:pt>
                <c:pt idx="72">
                  <c:v>1.3143947355930681</c:v>
                </c:pt>
                <c:pt idx="73">
                  <c:v>1.0365228521586298</c:v>
                </c:pt>
                <c:pt idx="74">
                  <c:v>0.67696613515026893</c:v>
                </c:pt>
                <c:pt idx="75">
                  <c:v>0.64785942960496901</c:v>
                </c:pt>
                <c:pt idx="76">
                  <c:v>0.361746284070663</c:v>
                </c:pt>
                <c:pt idx="77">
                  <c:v>8.7393710437622979E-2</c:v>
                </c:pt>
                <c:pt idx="78">
                  <c:v>-0.2296292827671188</c:v>
                </c:pt>
                <c:pt idx="79">
                  <c:v>-0.84243920265190209</c:v>
                </c:pt>
                <c:pt idx="80">
                  <c:v>-0.91913972865635951</c:v>
                </c:pt>
                <c:pt idx="81">
                  <c:v>-0.68016719970916972</c:v>
                </c:pt>
                <c:pt idx="82">
                  <c:v>-0.37892415795141049</c:v>
                </c:pt>
                <c:pt idx="83">
                  <c:v>-0.52085783966963028</c:v>
                </c:pt>
                <c:pt idx="84">
                  <c:v>-0.55456730553117317</c:v>
                </c:pt>
                <c:pt idx="85">
                  <c:v>-0.24057954106617707</c:v>
                </c:pt>
                <c:pt idx="86">
                  <c:v>-0.10518757016861881</c:v>
                </c:pt>
                <c:pt idx="87">
                  <c:v>0.18623722017705457</c:v>
                </c:pt>
                <c:pt idx="88">
                  <c:v>0.1543495888060131</c:v>
                </c:pt>
                <c:pt idx="89">
                  <c:v>-0.16754868953823238</c:v>
                </c:pt>
                <c:pt idx="90">
                  <c:v>-0.30453050039880303</c:v>
                </c:pt>
                <c:pt idx="91">
                  <c:v>-0.42911465043400304</c:v>
                </c:pt>
                <c:pt idx="92">
                  <c:v>-0.50495107169091802</c:v>
                </c:pt>
                <c:pt idx="93">
                  <c:v>-0.54090381175940794</c:v>
                </c:pt>
                <c:pt idx="94">
                  <c:v>-0.52662542006290902</c:v>
                </c:pt>
                <c:pt idx="95">
                  <c:v>-0.40794392377546701</c:v>
                </c:pt>
                <c:pt idx="96">
                  <c:v>-0.73268150489301798</c:v>
                </c:pt>
                <c:pt idx="97">
                  <c:v>-0.51533235603750105</c:v>
                </c:pt>
                <c:pt idx="98">
                  <c:v>-0.491600120683933</c:v>
                </c:pt>
                <c:pt idx="99">
                  <c:v>-0.14374586843811699</c:v>
                </c:pt>
                <c:pt idx="100">
                  <c:v>-0.23029531827208902</c:v>
                </c:pt>
                <c:pt idx="101">
                  <c:v>3.617220967844198E-2</c:v>
                </c:pt>
                <c:pt idx="102">
                  <c:v>0.36418249740068959</c:v>
                </c:pt>
                <c:pt idx="103">
                  <c:v>0.50097537214005605</c:v>
                </c:pt>
                <c:pt idx="104">
                  <c:v>0.50741747854841102</c:v>
                </c:pt>
                <c:pt idx="105">
                  <c:v>0.14492942188065799</c:v>
                </c:pt>
                <c:pt idx="106">
                  <c:v>1.0346772708502039E-2</c:v>
                </c:pt>
                <c:pt idx="107">
                  <c:v>-0.13164364342254101</c:v>
                </c:pt>
                <c:pt idx="108">
                  <c:v>-0.14608553094380702</c:v>
                </c:pt>
                <c:pt idx="109">
                  <c:v>-0.57402807598092598</c:v>
                </c:pt>
                <c:pt idx="110">
                  <c:v>-0.71528011318391405</c:v>
                </c:pt>
                <c:pt idx="111">
                  <c:v>-0.70840304116539499</c:v>
                </c:pt>
                <c:pt idx="112">
                  <c:v>-0.40034764395926431</c:v>
                </c:pt>
                <c:pt idx="113">
                  <c:v>-0.15933787752907572</c:v>
                </c:pt>
                <c:pt idx="114">
                  <c:v>0.27028401183621908</c:v>
                </c:pt>
                <c:pt idx="115">
                  <c:v>0.21962251802680788</c:v>
                </c:pt>
                <c:pt idx="116">
                  <c:v>0.3818921600741596</c:v>
                </c:pt>
                <c:pt idx="117">
                  <c:v>0.43001946290617299</c:v>
                </c:pt>
                <c:pt idx="118">
                  <c:v>0.55573822675139006</c:v>
                </c:pt>
                <c:pt idx="119">
                  <c:v>1.1790347482602428</c:v>
                </c:pt>
                <c:pt idx="120">
                  <c:v>1.249374970565561</c:v>
                </c:pt>
                <c:pt idx="121">
                  <c:v>1.1326991463226079</c:v>
                </c:pt>
                <c:pt idx="122">
                  <c:v>0.89383768951658393</c:v>
                </c:pt>
                <c:pt idx="123">
                  <c:v>1.022661192037402</c:v>
                </c:pt>
                <c:pt idx="124">
                  <c:v>1.088665617357456</c:v>
                </c:pt>
                <c:pt idx="125">
                  <c:v>1.0856072162370709</c:v>
                </c:pt>
                <c:pt idx="126">
                  <c:v>1.2530874268817218</c:v>
                </c:pt>
                <c:pt idx="127">
                  <c:v>1.147482963129917</c:v>
                </c:pt>
                <c:pt idx="128">
                  <c:v>1.1837661638562931</c:v>
                </c:pt>
                <c:pt idx="129">
                  <c:v>1.6466654279461841</c:v>
                </c:pt>
                <c:pt idx="130">
                  <c:v>1.7749629162551599</c:v>
                </c:pt>
                <c:pt idx="131">
                  <c:v>2.029678694286603</c:v>
                </c:pt>
                <c:pt idx="132">
                  <c:v>1.373376848450512</c:v>
                </c:pt>
                <c:pt idx="133">
                  <c:v>1.7152146357812621</c:v>
                </c:pt>
                <c:pt idx="134">
                  <c:v>1.5274832299560179</c:v>
                </c:pt>
                <c:pt idx="135">
                  <c:v>1.4069555352129912</c:v>
                </c:pt>
                <c:pt idx="136">
                  <c:v>1.6758448464141851</c:v>
                </c:pt>
                <c:pt idx="137">
                  <c:v>1.7068918496714749</c:v>
                </c:pt>
                <c:pt idx="138">
                  <c:v>1.8399191775234838</c:v>
                </c:pt>
                <c:pt idx="139">
                  <c:v>1.9352361602197532</c:v>
                </c:pt>
                <c:pt idx="140">
                  <c:v>1.9712531778096198</c:v>
                </c:pt>
                <c:pt idx="141">
                  <c:v>1.7726300514393689</c:v>
                </c:pt>
                <c:pt idx="142">
                  <c:v>1.8972651628313069</c:v>
                </c:pt>
                <c:pt idx="143">
                  <c:v>1.4339835558531768</c:v>
                </c:pt>
                <c:pt idx="144">
                  <c:v>1.1554793383089748</c:v>
                </c:pt>
                <c:pt idx="145">
                  <c:v>1.5615670083793238</c:v>
                </c:pt>
                <c:pt idx="146">
                  <c:v>1.717134265305956</c:v>
                </c:pt>
                <c:pt idx="147">
                  <c:v>2.0265009294173599</c:v>
                </c:pt>
                <c:pt idx="148">
                  <c:v>2.0867719146599359</c:v>
                </c:pt>
                <c:pt idx="149">
                  <c:v>2.381093815175904</c:v>
                </c:pt>
                <c:pt idx="150">
                  <c:v>2.4978990268194972</c:v>
                </c:pt>
                <c:pt idx="151">
                  <c:v>2.4906013171367158</c:v>
                </c:pt>
                <c:pt idx="152">
                  <c:v>2.109894158384559</c:v>
                </c:pt>
                <c:pt idx="153">
                  <c:v>2.022229306102767</c:v>
                </c:pt>
                <c:pt idx="154">
                  <c:v>1.7963711445276449</c:v>
                </c:pt>
                <c:pt idx="155">
                  <c:v>1.8906297896949149</c:v>
                </c:pt>
                <c:pt idx="156">
                  <c:v>1.95436946452585</c:v>
                </c:pt>
                <c:pt idx="157">
                  <c:v>2.0494985610174621</c:v>
                </c:pt>
                <c:pt idx="158">
                  <c:v>2.0828451306203792</c:v>
                </c:pt>
                <c:pt idx="159">
                  <c:v>2.0826754519967872</c:v>
                </c:pt>
                <c:pt idx="160">
                  <c:v>2.013909530914713</c:v>
                </c:pt>
                <c:pt idx="161">
                  <c:v>1.9325231621576389</c:v>
                </c:pt>
                <c:pt idx="162">
                  <c:v>2.070998109145902</c:v>
                </c:pt>
                <c:pt idx="163">
                  <c:v>2.249474746799041</c:v>
                </c:pt>
                <c:pt idx="164">
                  <c:v>2.2070608458814882</c:v>
                </c:pt>
                <c:pt idx="165">
                  <c:v>2.07412371812765</c:v>
                </c:pt>
                <c:pt idx="166">
                  <c:v>1.9645936094585779</c:v>
                </c:pt>
                <c:pt idx="167">
                  <c:v>1.9961055317785852</c:v>
                </c:pt>
                <c:pt idx="168">
                  <c:v>2.2138641307157809</c:v>
                </c:pt>
                <c:pt idx="169">
                  <c:v>1.9860404328665409</c:v>
                </c:pt>
                <c:pt idx="170">
                  <c:v>2.0959174191033139</c:v>
                </c:pt>
                <c:pt idx="171">
                  <c:v>2.1073945315183393</c:v>
                </c:pt>
                <c:pt idx="172">
                  <c:v>2.876198167592078</c:v>
                </c:pt>
                <c:pt idx="173">
                  <c:v>2.9245685892829192</c:v>
                </c:pt>
                <c:pt idx="174">
                  <c:v>3.042065537984096</c:v>
                </c:pt>
                <c:pt idx="175">
                  <c:v>2.81090895766296</c:v>
                </c:pt>
                <c:pt idx="176">
                  <c:v>3.0515271599934568</c:v>
                </c:pt>
                <c:pt idx="177">
                  <c:v>3.1315038800006487</c:v>
                </c:pt>
                <c:pt idx="178">
                  <c:v>3.0821208226914121</c:v>
                </c:pt>
                <c:pt idx="179">
                  <c:v>2.7873059968791551</c:v>
                </c:pt>
                <c:pt idx="180">
                  <c:v>3.0018066515512141</c:v>
                </c:pt>
                <c:pt idx="181">
                  <c:v>3.1367388003897414</c:v>
                </c:pt>
                <c:pt idx="182">
                  <c:v>3.0516506431997841</c:v>
                </c:pt>
                <c:pt idx="183">
                  <c:v>3.2673143829396798</c:v>
                </c:pt>
                <c:pt idx="184">
                  <c:v>3.1355221969456659</c:v>
                </c:pt>
                <c:pt idx="185">
                  <c:v>2.5849116668012329</c:v>
                </c:pt>
                <c:pt idx="186">
                  <c:v>2.4429714132887499</c:v>
                </c:pt>
                <c:pt idx="187">
                  <c:v>2.1117456417864653</c:v>
                </c:pt>
                <c:pt idx="188">
                  <c:v>2.0672473155703579</c:v>
                </c:pt>
                <c:pt idx="189">
                  <c:v>2.0163675266071168</c:v>
                </c:pt>
                <c:pt idx="190">
                  <c:v>1.792949745161422</c:v>
                </c:pt>
                <c:pt idx="191">
                  <c:v>1.3348424132464229</c:v>
                </c:pt>
                <c:pt idx="192">
                  <c:v>1.3342812392648709</c:v>
                </c:pt>
                <c:pt idx="193">
                  <c:v>1.095003355875112</c:v>
                </c:pt>
                <c:pt idx="194">
                  <c:v>1.3803575827478392</c:v>
                </c:pt>
                <c:pt idx="195">
                  <c:v>1.455250763536696</c:v>
                </c:pt>
                <c:pt idx="196">
                  <c:v>1.5981032446958729</c:v>
                </c:pt>
                <c:pt idx="197">
                  <c:v>1.7507048884113998</c:v>
                </c:pt>
                <c:pt idx="198">
                  <c:v>1.8119378270962061</c:v>
                </c:pt>
                <c:pt idx="199">
                  <c:v>1.7018250293554109</c:v>
                </c:pt>
                <c:pt idx="200">
                  <c:v>1.8761870661484712</c:v>
                </c:pt>
                <c:pt idx="201">
                  <c:v>1.7954278102568291</c:v>
                </c:pt>
                <c:pt idx="202">
                  <c:v>1.566493122600336</c:v>
                </c:pt>
                <c:pt idx="203">
                  <c:v>1.497858824481749</c:v>
                </c:pt>
                <c:pt idx="204">
                  <c:v>1.3867922879869889</c:v>
                </c:pt>
                <c:pt idx="205">
                  <c:v>1.3282795464189661</c:v>
                </c:pt>
                <c:pt idx="206">
                  <c:v>1.229806454678521</c:v>
                </c:pt>
                <c:pt idx="207">
                  <c:v>1.2903900899335501</c:v>
                </c:pt>
                <c:pt idx="208">
                  <c:v>1.1944183479365869</c:v>
                </c:pt>
                <c:pt idx="209">
                  <c:v>1.0889172622717589</c:v>
                </c:pt>
                <c:pt idx="210">
                  <c:v>1.0236292217316219</c:v>
                </c:pt>
                <c:pt idx="211">
                  <c:v>0.73442412086430697</c:v>
                </c:pt>
                <c:pt idx="212">
                  <c:v>0.73538177968493001</c:v>
                </c:pt>
                <c:pt idx="213">
                  <c:v>0.23467060799142703</c:v>
                </c:pt>
                <c:pt idx="214">
                  <c:v>0.11466106903830203</c:v>
                </c:pt>
                <c:pt idx="215">
                  <c:v>0.11252481095944689</c:v>
                </c:pt>
                <c:pt idx="216">
                  <c:v>-0.88890870014354295</c:v>
                </c:pt>
                <c:pt idx="217">
                  <c:v>-1.457492339771842</c:v>
                </c:pt>
                <c:pt idx="218">
                  <c:v>-1.2020187934438</c:v>
                </c:pt>
                <c:pt idx="219">
                  <c:v>-0.82227898449421799</c:v>
                </c:pt>
                <c:pt idx="220">
                  <c:v>-0.82675681575271598</c:v>
                </c:pt>
                <c:pt idx="221">
                  <c:v>-0.7475228178757346</c:v>
                </c:pt>
                <c:pt idx="222">
                  <c:v>-0.78066556112572638</c:v>
                </c:pt>
                <c:pt idx="223">
                  <c:v>-0.79106543659168693</c:v>
                </c:pt>
                <c:pt idx="224">
                  <c:v>-0.32060921534100517</c:v>
                </c:pt>
                <c:pt idx="225">
                  <c:v>0.12607178947637848</c:v>
                </c:pt>
                <c:pt idx="226">
                  <c:v>0.23185518149687601</c:v>
                </c:pt>
                <c:pt idx="227">
                  <c:v>0.25089671122898705</c:v>
                </c:pt>
                <c:pt idx="228">
                  <c:v>0.37370922528129302</c:v>
                </c:pt>
                <c:pt idx="229">
                  <c:v>0.56632108432361694</c:v>
                </c:pt>
                <c:pt idx="230">
                  <c:v>0.76981406119732698</c:v>
                </c:pt>
                <c:pt idx="231">
                  <c:v>1.3010916817123939</c:v>
                </c:pt>
                <c:pt idx="232">
                  <c:v>1.269935017933097</c:v>
                </c:pt>
                <c:pt idx="233">
                  <c:v>1.6178717868054449</c:v>
                </c:pt>
                <c:pt idx="234">
                  <c:v>1.470361453955165</c:v>
                </c:pt>
                <c:pt idx="235">
                  <c:v>1.4400980873462199</c:v>
                </c:pt>
                <c:pt idx="236">
                  <c:v>1.4673232880346481</c:v>
                </c:pt>
                <c:pt idx="237">
                  <c:v>1.382439048514114</c:v>
                </c:pt>
                <c:pt idx="238">
                  <c:v>1.5261659896545179</c:v>
                </c:pt>
                <c:pt idx="239">
                  <c:v>1.6311185114695321</c:v>
                </c:pt>
                <c:pt idx="240">
                  <c:v>1.599933951466018</c:v>
                </c:pt>
                <c:pt idx="241">
                  <c:v>1.587472852759249</c:v>
                </c:pt>
                <c:pt idx="242">
                  <c:v>1.6577080217489941</c:v>
                </c:pt>
                <c:pt idx="243">
                  <c:v>1.4688413942425891</c:v>
                </c:pt>
                <c:pt idx="244">
                  <c:v>1.563249763986476</c:v>
                </c:pt>
                <c:pt idx="245">
                  <c:v>1.3767233347300329</c:v>
                </c:pt>
                <c:pt idx="246">
                  <c:v>1.548338179758703</c:v>
                </c:pt>
                <c:pt idx="247">
                  <c:v>1.6362822966003139</c:v>
                </c:pt>
                <c:pt idx="248">
                  <c:v>1.5089597987443741</c:v>
                </c:pt>
                <c:pt idx="249">
                  <c:v>1.66147405862702</c:v>
                </c:pt>
                <c:pt idx="250">
                  <c:v>1.6271294576904158</c:v>
                </c:pt>
                <c:pt idx="251">
                  <c:v>1.769403906923241</c:v>
                </c:pt>
                <c:pt idx="252">
                  <c:v>1.903443270653205</c:v>
                </c:pt>
                <c:pt idx="253">
                  <c:v>2.2772470486891683</c:v>
                </c:pt>
                <c:pt idx="254">
                  <c:v>2.22309163302985</c:v>
                </c:pt>
                <c:pt idx="255">
                  <c:v>2.6137960031915597</c:v>
                </c:pt>
                <c:pt idx="256">
                  <c:v>3.1404942746504161</c:v>
                </c:pt>
                <c:pt idx="257">
                  <c:v>3.6339760696613022</c:v>
                </c:pt>
                <c:pt idx="258">
                  <c:v>3.3518698273155971</c:v>
                </c:pt>
                <c:pt idx="259">
                  <c:v>3.1001536308328621</c:v>
                </c:pt>
                <c:pt idx="260">
                  <c:v>3.0884101648467084</c:v>
                </c:pt>
                <c:pt idx="261">
                  <c:v>2.811654244889596</c:v>
                </c:pt>
                <c:pt idx="262">
                  <c:v>2.9443756730941431</c:v>
                </c:pt>
                <c:pt idx="263">
                  <c:v>3.2427944801087452</c:v>
                </c:pt>
                <c:pt idx="264">
                  <c:v>3.1181638795082631</c:v>
                </c:pt>
                <c:pt idx="265">
                  <c:v>3.1058808561396418</c:v>
                </c:pt>
                <c:pt idx="266">
                  <c:v>3.2967793204451712</c:v>
                </c:pt>
                <c:pt idx="267">
                  <c:v>3.6636525094450532</c:v>
                </c:pt>
                <c:pt idx="268">
                  <c:v>3.7098175094867911</c:v>
                </c:pt>
                <c:pt idx="269">
                  <c:v>3.3890172850294129</c:v>
                </c:pt>
                <c:pt idx="270">
                  <c:v>3.1110183505813112</c:v>
                </c:pt>
                <c:pt idx="271">
                  <c:v>2.9219718939167709</c:v>
                </c:pt>
                <c:pt idx="272">
                  <c:v>2.9098326597319026</c:v>
                </c:pt>
                <c:pt idx="273">
                  <c:v>2.7708203184191467</c:v>
                </c:pt>
                <c:pt idx="274">
                  <c:v>2.7367428268731802</c:v>
                </c:pt>
                <c:pt idx="275">
                  <c:v>2.7329287109548832</c:v>
                </c:pt>
                <c:pt idx="276">
                  <c:v>2.5176169962464532</c:v>
                </c:pt>
                <c:pt idx="277">
                  <c:v>2.5939801298233691</c:v>
                </c:pt>
                <c:pt idx="278">
                  <c:v>2.4692727117614801</c:v>
                </c:pt>
                <c:pt idx="279">
                  <c:v>2.396575340732424</c:v>
                </c:pt>
                <c:pt idx="280">
                  <c:v>2.282519543612072</c:v>
                </c:pt>
                <c:pt idx="281">
                  <c:v>2.258033032495697</c:v>
                </c:pt>
                <c:pt idx="282">
                  <c:v>2.209411310021312</c:v>
                </c:pt>
                <c:pt idx="283">
                  <c:v>2.3048524991977271</c:v>
                </c:pt>
                <c:pt idx="284">
                  <c:v>2.202910268516288</c:v>
                </c:pt>
                <c:pt idx="285">
                  <c:v>2.3028857461332173</c:v>
                </c:pt>
                <c:pt idx="286">
                  <c:v>2.152352902172932</c:v>
                </c:pt>
                <c:pt idx="287">
                  <c:v>2.0400666504824323</c:v>
                </c:pt>
                <c:pt idx="288">
                  <c:v>2.0102661254620502</c:v>
                </c:pt>
                <c:pt idx="289">
                  <c:v>1.8353855047574481</c:v>
                </c:pt>
                <c:pt idx="290">
                  <c:v>1.747418596258741</c:v>
                </c:pt>
                <c:pt idx="291">
                  <c:v>1.6586497126329951</c:v>
                </c:pt>
                <c:pt idx="292">
                  <c:v>1.508219571719376</c:v>
                </c:pt>
                <c:pt idx="293">
                  <c:v>1.4153881685829939</c:v>
                </c:pt>
                <c:pt idx="294">
                  <c:v>1.4462185891298811</c:v>
                </c:pt>
                <c:pt idx="295">
                  <c:v>1.275356131535788</c:v>
                </c:pt>
                <c:pt idx="296">
                  <c:v>1.478952189343683</c:v>
                </c:pt>
                <c:pt idx="297">
                  <c:v>1.3705323555671471</c:v>
                </c:pt>
                <c:pt idx="298">
                  <c:v>1.279475898694127</c:v>
                </c:pt>
                <c:pt idx="299">
                  <c:v>1.209986903024052</c:v>
                </c:pt>
                <c:pt idx="300">
                  <c:v>1.06560264091038</c:v>
                </c:pt>
                <c:pt idx="301">
                  <c:v>1.2487880447976001</c:v>
                </c:pt>
                <c:pt idx="302">
                  <c:v>1.1412287728487231</c:v>
                </c:pt>
                <c:pt idx="303">
                  <c:v>0.845777223184496</c:v>
                </c:pt>
                <c:pt idx="304">
                  <c:v>0.7127606503786299</c:v>
                </c:pt>
                <c:pt idx="305">
                  <c:v>0.50525219737902505</c:v>
                </c:pt>
                <c:pt idx="306">
                  <c:v>0.2518154234436914</c:v>
                </c:pt>
                <c:pt idx="307">
                  <c:v>0.13674618139354311</c:v>
                </c:pt>
                <c:pt idx="308">
                  <c:v>-3.2127718149640022E-3</c:v>
                </c:pt>
                <c:pt idx="309">
                  <c:v>8.4823912549558705E-2</c:v>
                </c:pt>
                <c:pt idx="310">
                  <c:v>0.34912433642224627</c:v>
                </c:pt>
                <c:pt idx="311">
                  <c:v>0.42366620529845622</c:v>
                </c:pt>
                <c:pt idx="312">
                  <c:v>0.40546640998804195</c:v>
                </c:pt>
                <c:pt idx="313">
                  <c:v>0.3431450558369904</c:v>
                </c:pt>
                <c:pt idx="314">
                  <c:v>0.22869413826169843</c:v>
                </c:pt>
                <c:pt idx="315">
                  <c:v>0.1364986545441258</c:v>
                </c:pt>
                <c:pt idx="316">
                  <c:v>0.13554499231079919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1D-48D6-AE94-C76B3B27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663343"/>
        <c:axId val="1481468751"/>
      </c:lineChart>
      <c:catAx>
        <c:axId val="1519663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468751"/>
        <c:crosses val="autoZero"/>
        <c:auto val="1"/>
        <c:lblAlgn val="ctr"/>
        <c:lblOffset val="100"/>
        <c:noMultiLvlLbl val="0"/>
      </c:catAx>
      <c:valAx>
        <c:axId val="148146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66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404812</xdr:colOff>
      <xdr:row>490</xdr:row>
      <xdr:rowOff>61912</xdr:rowOff>
    </xdr:from>
    <xdr:to>
      <xdr:col>18</xdr:col>
      <xdr:colOff>100012</xdr:colOff>
      <xdr:row>505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77268-DF13-B681-28DE-0B7E4A4B5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438150</xdr:colOff>
      <xdr:row>611</xdr:row>
      <xdr:rowOff>61912</xdr:rowOff>
    </xdr:from>
    <xdr:to>
      <xdr:col>18</xdr:col>
      <xdr:colOff>133350</xdr:colOff>
      <xdr:row>626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8B33B-98F6-6C02-F507-CB281F25A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123825</xdr:colOff>
      <xdr:row>1</xdr:row>
      <xdr:rowOff>136525</xdr:rowOff>
    </xdr:from>
    <xdr:to>
      <xdr:col>15</xdr:col>
      <xdr:colOff>428625</xdr:colOff>
      <xdr:row>16</xdr:row>
      <xdr:rowOff>117475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05B208-5E91-68CF-3078-04B921AA0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11</xdr:row>
      <xdr:rowOff>61912</xdr:rowOff>
    </xdr:from>
    <xdr:to>
      <xdr:col>18</xdr:col>
      <xdr:colOff>133350</xdr:colOff>
      <xdr:row>26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29F1F-6430-CB80-26FA-B6CE1C2E9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9"/>
  <sheetViews>
    <sheetView tabSelected="1" topLeftCell="A334" workbookViewId="0">
      <selection activeCell="R341" sqref="R341"/>
    </sheetView>
  </sheetViews>
  <sheetFormatPr defaultRowHeight="14.5" x14ac:dyDescent="0.35"/>
  <cols>
    <col min="1" max="1" width="10.08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  <c r="M1" t="s">
        <v>18</v>
      </c>
      <c r="N1" t="s">
        <v>19</v>
      </c>
      <c r="O1" t="s">
        <v>22</v>
      </c>
      <c r="P1" t="s">
        <v>23</v>
      </c>
    </row>
    <row r="2" spans="1:16" x14ac:dyDescent="0.35">
      <c r="A2" s="1">
        <v>9497</v>
      </c>
      <c r="F2">
        <v>15236829.5</v>
      </c>
      <c r="G2">
        <v>89</v>
      </c>
      <c r="J2">
        <v>12.46</v>
      </c>
    </row>
    <row r="3" spans="1:16" x14ac:dyDescent="0.35">
      <c r="A3" s="1">
        <v>9527</v>
      </c>
      <c r="B3">
        <v>-1.7830000000000001E-3</v>
      </c>
      <c r="C3">
        <v>-3.98E-3</v>
      </c>
      <c r="D3">
        <v>6.4570000000000001E-3</v>
      </c>
      <c r="E3">
        <v>3.2499999999999999E-3</v>
      </c>
      <c r="F3">
        <v>15277664</v>
      </c>
      <c r="G3">
        <v>89</v>
      </c>
      <c r="H3">
        <v>15236829.5</v>
      </c>
      <c r="I3">
        <v>79</v>
      </c>
      <c r="J3">
        <v>12.74</v>
      </c>
      <c r="K3">
        <v>2.2471999999999999E-2</v>
      </c>
    </row>
    <row r="4" spans="1:16" x14ac:dyDescent="0.35">
      <c r="A4" s="1">
        <v>9555</v>
      </c>
      <c r="B4">
        <v>-3.3295999999999999E-2</v>
      </c>
      <c r="C4">
        <v>-3.7876E-2</v>
      </c>
      <c r="D4">
        <v>-3.9979000000000001E-2</v>
      </c>
      <c r="E4">
        <v>-4.2451000000000003E-2</v>
      </c>
      <c r="F4">
        <v>14712894.9</v>
      </c>
      <c r="G4">
        <v>89</v>
      </c>
      <c r="H4">
        <v>15277664</v>
      </c>
      <c r="I4">
        <v>81</v>
      </c>
      <c r="J4">
        <v>12.18</v>
      </c>
      <c r="K4">
        <v>-4.3956000000000002E-2</v>
      </c>
    </row>
    <row r="5" spans="1:16" x14ac:dyDescent="0.35">
      <c r="A5" s="1">
        <v>9587</v>
      </c>
      <c r="B5">
        <v>-5.7708000000000002E-2</v>
      </c>
      <c r="C5">
        <v>-6.2007E-2</v>
      </c>
      <c r="D5">
        <v>-6.7915000000000003E-2</v>
      </c>
      <c r="E5">
        <v>-7.3275000000000007E-2</v>
      </c>
      <c r="F5">
        <v>14012079.199999999</v>
      </c>
      <c r="G5">
        <v>89</v>
      </c>
      <c r="H5">
        <v>14712894.9</v>
      </c>
      <c r="I5">
        <v>81</v>
      </c>
      <c r="J5">
        <v>11.46</v>
      </c>
      <c r="K5">
        <v>-5.9112999999999999E-2</v>
      </c>
    </row>
    <row r="6" spans="1:16" x14ac:dyDescent="0.35">
      <c r="A6" s="1">
        <v>9617</v>
      </c>
      <c r="B6">
        <v>3.8522000000000001E-2</v>
      </c>
      <c r="C6">
        <v>3.4855999999999998E-2</v>
      </c>
      <c r="D6">
        <v>3.1440999999999997E-2</v>
      </c>
      <c r="E6">
        <v>2.7120999999999999E-2</v>
      </c>
      <c r="F6">
        <v>14500482.199999999</v>
      </c>
      <c r="G6">
        <v>89</v>
      </c>
      <c r="H6">
        <v>14012079.199999999</v>
      </c>
      <c r="I6">
        <v>82</v>
      </c>
      <c r="J6">
        <v>11.72</v>
      </c>
      <c r="K6">
        <v>2.2688E-2</v>
      </c>
    </row>
    <row r="7" spans="1:16" x14ac:dyDescent="0.35">
      <c r="A7" s="1">
        <v>9645</v>
      </c>
      <c r="B7">
        <v>1.3623E-2</v>
      </c>
      <c r="C7">
        <v>9.0699999999999999E-3</v>
      </c>
      <c r="D7">
        <v>1.2011000000000001E-2</v>
      </c>
      <c r="E7">
        <v>9.5149999999999992E-3</v>
      </c>
      <c r="F7">
        <v>14778795.5</v>
      </c>
      <c r="G7">
        <v>89</v>
      </c>
      <c r="H7">
        <v>14500482.199999999</v>
      </c>
      <c r="I7">
        <v>82</v>
      </c>
      <c r="J7">
        <v>11.81</v>
      </c>
      <c r="K7">
        <v>7.6790000000000001E-3</v>
      </c>
    </row>
    <row r="8" spans="1:16" x14ac:dyDescent="0.35">
      <c r="A8" s="1">
        <v>9678</v>
      </c>
      <c r="B8">
        <v>5.6426999999999998E-2</v>
      </c>
      <c r="C8">
        <v>5.0195999999999998E-2</v>
      </c>
      <c r="D8">
        <v>5.2142000000000001E-2</v>
      </c>
      <c r="E8">
        <v>4.5352999999999997E-2</v>
      </c>
      <c r="F8">
        <v>15554633.5</v>
      </c>
      <c r="G8">
        <v>89</v>
      </c>
      <c r="H8">
        <v>14762818</v>
      </c>
      <c r="I8">
        <v>83</v>
      </c>
      <c r="J8">
        <v>12.32</v>
      </c>
      <c r="K8">
        <v>4.3184E-2</v>
      </c>
    </row>
    <row r="9" spans="1:16" x14ac:dyDescent="0.35">
      <c r="A9" s="1">
        <v>9709</v>
      </c>
      <c r="B9">
        <v>4.0403000000000001E-2</v>
      </c>
      <c r="C9">
        <v>3.8168000000000001E-2</v>
      </c>
      <c r="D9">
        <v>3.7546999999999997E-2</v>
      </c>
      <c r="E9">
        <v>3.3930000000000002E-2</v>
      </c>
      <c r="F9">
        <v>16180459.199999999</v>
      </c>
      <c r="G9">
        <v>89</v>
      </c>
      <c r="H9">
        <v>15545083.5</v>
      </c>
      <c r="I9">
        <v>82</v>
      </c>
      <c r="J9">
        <v>12.88</v>
      </c>
      <c r="K9">
        <v>4.5455000000000002E-2</v>
      </c>
      <c r="L9">
        <v>0.22</v>
      </c>
    </row>
    <row r="10" spans="1:16" x14ac:dyDescent="0.35">
      <c r="A10" s="1">
        <v>9740</v>
      </c>
      <c r="B10">
        <v>2.9822000000000001E-2</v>
      </c>
      <c r="C10">
        <v>2.5746999999999999E-2</v>
      </c>
      <c r="D10">
        <v>1.8924E-2</v>
      </c>
      <c r="E10">
        <v>1.6379999999999999E-2</v>
      </c>
      <c r="F10">
        <v>16743393.6</v>
      </c>
      <c r="G10">
        <v>89</v>
      </c>
      <c r="H10">
        <v>16180459.199999999</v>
      </c>
      <c r="I10">
        <v>83</v>
      </c>
      <c r="J10">
        <v>13.1</v>
      </c>
      <c r="K10">
        <v>1.7080999999999999E-2</v>
      </c>
      <c r="L10">
        <v>0.25</v>
      </c>
    </row>
    <row r="11" spans="1:16" x14ac:dyDescent="0.35">
      <c r="A11" s="1">
        <v>9770</v>
      </c>
      <c r="B11">
        <v>1.342E-2</v>
      </c>
      <c r="C11">
        <v>9.1219999999999999E-3</v>
      </c>
      <c r="D11">
        <v>1.4037000000000001E-2</v>
      </c>
      <c r="E11">
        <v>8.5819999999999994E-3</v>
      </c>
      <c r="F11">
        <v>16835120.399999999</v>
      </c>
      <c r="G11">
        <v>89</v>
      </c>
      <c r="H11">
        <v>16687393.6</v>
      </c>
      <c r="I11">
        <v>83</v>
      </c>
      <c r="J11">
        <v>13.4</v>
      </c>
      <c r="K11">
        <v>2.2901000000000001E-2</v>
      </c>
      <c r="L11">
        <v>0.23</v>
      </c>
    </row>
    <row r="12" spans="1:16" x14ac:dyDescent="0.35">
      <c r="A12" s="1">
        <v>9800</v>
      </c>
      <c r="B12">
        <v>-3.0172000000000001E-2</v>
      </c>
      <c r="C12">
        <v>-3.2433999999999998E-2</v>
      </c>
      <c r="D12">
        <v>-2.5891000000000001E-2</v>
      </c>
      <c r="E12">
        <v>-2.8923000000000001E-2</v>
      </c>
      <c r="F12">
        <v>16275309.300000001</v>
      </c>
      <c r="G12">
        <v>89</v>
      </c>
      <c r="H12">
        <v>16692236.800000001</v>
      </c>
      <c r="I12">
        <v>81</v>
      </c>
      <c r="J12">
        <v>12.98</v>
      </c>
      <c r="K12">
        <v>-3.1343000000000003E-2</v>
      </c>
      <c r="L12">
        <v>0.32</v>
      </c>
    </row>
    <row r="13" spans="1:16" x14ac:dyDescent="0.35">
      <c r="A13" s="1">
        <v>9831</v>
      </c>
      <c r="B13">
        <v>2.6936999999999999E-2</v>
      </c>
      <c r="C13">
        <v>1.9366999999999999E-2</v>
      </c>
      <c r="D13">
        <v>3.6506999999999998E-2</v>
      </c>
      <c r="E13">
        <v>3.3329999999999999E-2</v>
      </c>
      <c r="F13">
        <v>16907546.600000001</v>
      </c>
      <c r="G13">
        <v>89</v>
      </c>
      <c r="H13">
        <v>16217044.300000001</v>
      </c>
      <c r="I13">
        <v>82</v>
      </c>
      <c r="J13">
        <v>13.27</v>
      </c>
      <c r="K13">
        <v>2.2342000000000001E-2</v>
      </c>
      <c r="L13">
        <v>0.31</v>
      </c>
    </row>
    <row r="14" spans="1:16" x14ac:dyDescent="0.35">
      <c r="A14" s="1">
        <v>9862</v>
      </c>
      <c r="B14">
        <v>2.6047000000000001E-2</v>
      </c>
      <c r="C14">
        <v>2.0320999999999999E-2</v>
      </c>
      <c r="D14">
        <v>2.1203E-2</v>
      </c>
      <c r="E14">
        <v>1.4315E-2</v>
      </c>
      <c r="F14">
        <v>17028798.800000001</v>
      </c>
      <c r="G14">
        <v>89</v>
      </c>
      <c r="H14">
        <v>16907546.600000001</v>
      </c>
      <c r="I14">
        <v>84</v>
      </c>
      <c r="J14">
        <v>13.49</v>
      </c>
      <c r="K14">
        <v>1.6579E-2</v>
      </c>
      <c r="L14">
        <v>0.28000000000000003</v>
      </c>
    </row>
    <row r="15" spans="1:16" x14ac:dyDescent="0.35">
      <c r="A15" s="1">
        <v>9893</v>
      </c>
      <c r="B15">
        <v>-2.9099999999999998E-3</v>
      </c>
      <c r="C15">
        <v>-5.5789999999999998E-3</v>
      </c>
      <c r="D15">
        <v>-3.9550000000000002E-3</v>
      </c>
      <c r="E15">
        <v>-7.7149999999999996E-3</v>
      </c>
      <c r="F15">
        <v>17018724.399999999</v>
      </c>
      <c r="G15">
        <v>89</v>
      </c>
      <c r="H15">
        <v>17028798.800000001</v>
      </c>
      <c r="I15">
        <v>84</v>
      </c>
      <c r="J15">
        <v>13.21</v>
      </c>
      <c r="K15">
        <v>-2.0756E-2</v>
      </c>
      <c r="L15">
        <v>0.25</v>
      </c>
    </row>
    <row r="16" spans="1:16" x14ac:dyDescent="0.35">
      <c r="A16" s="1">
        <v>9921</v>
      </c>
      <c r="B16">
        <v>4.5522E-2</v>
      </c>
      <c r="C16">
        <v>4.0565999999999998E-2</v>
      </c>
      <c r="D16">
        <v>4.3428000000000001E-2</v>
      </c>
      <c r="E16">
        <v>4.0922E-2</v>
      </c>
      <c r="F16">
        <v>17776303.5</v>
      </c>
      <c r="G16">
        <v>89</v>
      </c>
      <c r="H16">
        <v>17018724.399999999</v>
      </c>
      <c r="I16">
        <v>85</v>
      </c>
      <c r="J16">
        <v>13.84</v>
      </c>
      <c r="K16">
        <v>4.7690999999999997E-2</v>
      </c>
      <c r="L16">
        <v>0.26</v>
      </c>
    </row>
    <row r="17" spans="1:12" x14ac:dyDescent="0.35">
      <c r="A17" s="1">
        <v>9952</v>
      </c>
      <c r="B17">
        <v>7.3239999999999998E-3</v>
      </c>
      <c r="C17">
        <v>2.6099999999999999E-3</v>
      </c>
      <c r="D17">
        <v>-1.0052E-2</v>
      </c>
      <c r="E17">
        <v>-1.5601E-2</v>
      </c>
      <c r="F17">
        <v>17883291.600000001</v>
      </c>
      <c r="G17">
        <v>89</v>
      </c>
      <c r="H17">
        <v>17776303.5</v>
      </c>
      <c r="I17">
        <v>85</v>
      </c>
      <c r="J17">
        <v>13.93</v>
      </c>
      <c r="K17">
        <v>6.5030000000000001E-3</v>
      </c>
      <c r="L17">
        <v>0.3</v>
      </c>
    </row>
    <row r="18" spans="1:12" x14ac:dyDescent="0.35">
      <c r="A18" s="1">
        <v>9982</v>
      </c>
      <c r="B18">
        <v>1.3021E-2</v>
      </c>
      <c r="C18">
        <v>1.0907E-2</v>
      </c>
      <c r="D18">
        <v>6.8999999999999999E-3</v>
      </c>
      <c r="E18">
        <v>3.8899999999999998E-3</v>
      </c>
      <c r="F18">
        <v>18088304.199999999</v>
      </c>
      <c r="G18">
        <v>89</v>
      </c>
      <c r="H18">
        <v>17883291.600000001</v>
      </c>
      <c r="I18">
        <v>85</v>
      </c>
      <c r="J18">
        <v>14.17</v>
      </c>
      <c r="K18">
        <v>1.7229000000000001E-2</v>
      </c>
      <c r="L18">
        <v>0.25</v>
      </c>
    </row>
    <row r="19" spans="1:12" x14ac:dyDescent="0.35">
      <c r="A19" s="1">
        <v>10013</v>
      </c>
      <c r="B19">
        <v>6.2352999999999999E-2</v>
      </c>
      <c r="C19">
        <v>5.7096000000000001E-2</v>
      </c>
      <c r="D19">
        <v>6.4407000000000006E-2</v>
      </c>
      <c r="E19">
        <v>6.1419000000000001E-2</v>
      </c>
      <c r="F19">
        <v>19323089.5</v>
      </c>
      <c r="G19">
        <v>89</v>
      </c>
      <c r="H19">
        <v>18076286.800000001</v>
      </c>
      <c r="I19">
        <v>84</v>
      </c>
      <c r="J19">
        <v>14.91</v>
      </c>
      <c r="K19">
        <v>5.2222999999999999E-2</v>
      </c>
      <c r="L19">
        <v>0.3</v>
      </c>
    </row>
    <row r="20" spans="1:12" x14ac:dyDescent="0.35">
      <c r="A20" s="1">
        <v>10043</v>
      </c>
      <c r="B20">
        <v>-2.0369999999999999E-2</v>
      </c>
      <c r="C20">
        <v>-2.5704999999999999E-2</v>
      </c>
      <c r="D20">
        <v>-2.6919999999999999E-2</v>
      </c>
      <c r="E20">
        <v>-3.2690999999999998E-2</v>
      </c>
      <c r="F20">
        <v>18855819.600000001</v>
      </c>
      <c r="G20">
        <v>89</v>
      </c>
      <c r="H20">
        <v>19323089.5</v>
      </c>
      <c r="I20">
        <v>85</v>
      </c>
      <c r="J20">
        <v>14.77</v>
      </c>
      <c r="K20">
        <v>-9.3900000000000008E-3</v>
      </c>
      <c r="L20">
        <v>0.26</v>
      </c>
    </row>
    <row r="21" spans="1:12" x14ac:dyDescent="0.35">
      <c r="A21" s="1">
        <v>10073</v>
      </c>
      <c r="B21">
        <v>8.4449999999999997E-2</v>
      </c>
      <c r="C21">
        <v>8.1686999999999996E-2</v>
      </c>
      <c r="D21">
        <v>6.7444000000000004E-2</v>
      </c>
      <c r="E21">
        <v>6.3848000000000002E-2</v>
      </c>
      <c r="F21">
        <v>20355724.100000001</v>
      </c>
      <c r="G21">
        <v>89</v>
      </c>
      <c r="H21">
        <v>18855819.600000001</v>
      </c>
      <c r="I21">
        <v>86</v>
      </c>
      <c r="J21">
        <v>15.73</v>
      </c>
      <c r="K21">
        <v>6.4996999999999999E-2</v>
      </c>
      <c r="L21">
        <v>0.3</v>
      </c>
    </row>
    <row r="22" spans="1:12" x14ac:dyDescent="0.35">
      <c r="A22" s="1">
        <v>10105</v>
      </c>
      <c r="B22">
        <v>3.3320000000000002E-2</v>
      </c>
      <c r="C22">
        <v>2.8624E-2</v>
      </c>
      <c r="D22">
        <v>2.6114999999999999E-2</v>
      </c>
      <c r="E22">
        <v>2.3386000000000001E-2</v>
      </c>
      <c r="F22">
        <v>21138727.100000001</v>
      </c>
      <c r="G22">
        <v>89</v>
      </c>
      <c r="H22">
        <v>20355724.100000001</v>
      </c>
      <c r="I22">
        <v>86</v>
      </c>
      <c r="J22">
        <v>16.43</v>
      </c>
      <c r="K22">
        <v>4.4500999999999999E-2</v>
      </c>
      <c r="L22">
        <v>0.28000000000000003</v>
      </c>
    </row>
    <row r="23" spans="1:12" x14ac:dyDescent="0.35">
      <c r="A23" s="1">
        <v>10135</v>
      </c>
      <c r="B23">
        <v>5.3016000000000001E-2</v>
      </c>
      <c r="C23">
        <v>4.9095E-2</v>
      </c>
      <c r="D23">
        <v>5.7958999999999997E-2</v>
      </c>
      <c r="E23">
        <v>5.2935000000000003E-2</v>
      </c>
      <c r="F23">
        <v>22117908.199999999</v>
      </c>
      <c r="G23">
        <v>89</v>
      </c>
      <c r="H23">
        <v>21127204.600000001</v>
      </c>
      <c r="I23">
        <v>86</v>
      </c>
      <c r="J23">
        <v>17.14</v>
      </c>
      <c r="K23">
        <v>4.3214000000000002E-2</v>
      </c>
      <c r="L23">
        <v>0.21</v>
      </c>
    </row>
    <row r="24" spans="1:12" x14ac:dyDescent="0.35">
      <c r="A24" s="1">
        <v>10166</v>
      </c>
      <c r="B24">
        <v>-4.6803999999999998E-2</v>
      </c>
      <c r="C24">
        <v>-4.8959999999999997E-2</v>
      </c>
      <c r="D24">
        <v>-4.5279E-2</v>
      </c>
      <c r="E24">
        <v>-4.7816999999999998E-2</v>
      </c>
      <c r="F24">
        <v>21050088.100000001</v>
      </c>
      <c r="G24">
        <v>89</v>
      </c>
      <c r="H24">
        <v>22117908.199999999</v>
      </c>
      <c r="I24">
        <v>86</v>
      </c>
      <c r="J24">
        <v>16.23</v>
      </c>
      <c r="K24">
        <v>-5.3092E-2</v>
      </c>
      <c r="L24">
        <v>0.25</v>
      </c>
    </row>
    <row r="25" spans="1:12" x14ac:dyDescent="0.35">
      <c r="A25" s="1">
        <v>10196</v>
      </c>
      <c r="B25">
        <v>7.0545999999999998E-2</v>
      </c>
      <c r="C25">
        <v>6.4269999999999994E-2</v>
      </c>
      <c r="D25">
        <v>7.8058000000000002E-2</v>
      </c>
      <c r="E25">
        <v>7.5362999999999999E-2</v>
      </c>
      <c r="F25">
        <v>22421224.199999999</v>
      </c>
      <c r="G25">
        <v>89</v>
      </c>
      <c r="H25">
        <v>21050088.100000001</v>
      </c>
      <c r="I25">
        <v>87</v>
      </c>
      <c r="J25">
        <v>17.329999999999998</v>
      </c>
      <c r="K25">
        <v>6.7776000000000003E-2</v>
      </c>
      <c r="L25">
        <v>0.21</v>
      </c>
    </row>
    <row r="26" spans="1:12" x14ac:dyDescent="0.35">
      <c r="A26" s="1">
        <v>10227</v>
      </c>
      <c r="B26">
        <v>1.9295E-2</v>
      </c>
      <c r="C26">
        <v>1.4402999999999999E-2</v>
      </c>
      <c r="D26">
        <v>1.9800000000000002E-2</v>
      </c>
      <c r="E26">
        <v>1.3906E-2</v>
      </c>
      <c r="F26">
        <v>22880436.600000001</v>
      </c>
      <c r="G26">
        <v>89</v>
      </c>
      <c r="H26">
        <v>22421224.199999999</v>
      </c>
      <c r="I26">
        <v>87</v>
      </c>
      <c r="J26">
        <v>17.66</v>
      </c>
      <c r="K26">
        <v>1.9042E-2</v>
      </c>
      <c r="L26">
        <v>0.22</v>
      </c>
    </row>
    <row r="27" spans="1:12" x14ac:dyDescent="0.35">
      <c r="A27" s="1">
        <v>10258</v>
      </c>
      <c r="B27">
        <v>-7.182E-3</v>
      </c>
      <c r="C27">
        <v>-9.1999999999999998E-3</v>
      </c>
      <c r="D27">
        <v>1.1459E-2</v>
      </c>
      <c r="E27">
        <v>8.7659999999999995E-3</v>
      </c>
      <c r="F27">
        <v>22716371.5</v>
      </c>
      <c r="G27">
        <v>89</v>
      </c>
      <c r="H27">
        <v>22880436.600000001</v>
      </c>
      <c r="I27">
        <v>87</v>
      </c>
      <c r="J27">
        <v>17.57</v>
      </c>
      <c r="K27">
        <v>-5.0959999999999998E-3</v>
      </c>
      <c r="L27">
        <v>0.25</v>
      </c>
    </row>
    <row r="28" spans="1:12" x14ac:dyDescent="0.35">
      <c r="A28" s="1">
        <v>10287</v>
      </c>
      <c r="B28">
        <v>-1.2548999999999999E-2</v>
      </c>
      <c r="C28">
        <v>-1.6678999999999999E-2</v>
      </c>
      <c r="D28">
        <v>-2.1507999999999999E-2</v>
      </c>
      <c r="E28">
        <v>-2.3814999999999999E-2</v>
      </c>
      <c r="F28">
        <v>22351074.600000001</v>
      </c>
      <c r="G28">
        <v>89</v>
      </c>
      <c r="H28">
        <v>22716371.5</v>
      </c>
      <c r="I28">
        <v>87</v>
      </c>
      <c r="J28">
        <v>17.260000000000002</v>
      </c>
      <c r="K28">
        <v>-1.7644E-2</v>
      </c>
      <c r="L28">
        <v>0.33</v>
      </c>
    </row>
    <row r="29" spans="1:12" x14ac:dyDescent="0.35">
      <c r="A29" s="1">
        <v>10318</v>
      </c>
      <c r="B29">
        <v>0.105752</v>
      </c>
      <c r="C29">
        <v>0.10165200000000001</v>
      </c>
      <c r="D29">
        <v>7.5281000000000001E-2</v>
      </c>
      <c r="E29">
        <v>7.0583000000000007E-2</v>
      </c>
      <c r="F29">
        <v>24631644</v>
      </c>
      <c r="G29">
        <v>89</v>
      </c>
      <c r="H29">
        <v>22351074.600000001</v>
      </c>
      <c r="I29">
        <v>87</v>
      </c>
      <c r="J29">
        <v>19.13</v>
      </c>
      <c r="K29">
        <v>0.10834299999999999</v>
      </c>
      <c r="L29">
        <v>0.28999999999999998</v>
      </c>
    </row>
    <row r="30" spans="1:12" x14ac:dyDescent="0.35">
      <c r="A30" s="1">
        <v>10348</v>
      </c>
      <c r="B30">
        <v>3.4724999999999999E-2</v>
      </c>
      <c r="C30">
        <v>3.2715000000000001E-2</v>
      </c>
      <c r="D30">
        <v>4.0016000000000003E-2</v>
      </c>
      <c r="E30">
        <v>3.7485999999999998E-2</v>
      </c>
      <c r="F30">
        <v>25503612.100000001</v>
      </c>
      <c r="G30">
        <v>89</v>
      </c>
      <c r="H30">
        <v>24631644</v>
      </c>
      <c r="I30">
        <v>87</v>
      </c>
      <c r="J30">
        <v>19.75</v>
      </c>
      <c r="K30">
        <v>3.2410000000000001E-2</v>
      </c>
      <c r="L30">
        <v>0.22</v>
      </c>
    </row>
    <row r="31" spans="1:12" x14ac:dyDescent="0.35">
      <c r="A31" s="1">
        <v>10379</v>
      </c>
      <c r="B31">
        <v>1.2324999999999999E-2</v>
      </c>
      <c r="C31">
        <v>7.4219999999999998E-3</v>
      </c>
      <c r="D31">
        <v>1.5924000000000001E-2</v>
      </c>
      <c r="E31">
        <v>1.3734E-2</v>
      </c>
      <c r="F31">
        <v>25803556</v>
      </c>
      <c r="G31">
        <v>89</v>
      </c>
      <c r="H31">
        <v>25503612.100000001</v>
      </c>
      <c r="I31">
        <v>87</v>
      </c>
      <c r="J31">
        <v>20</v>
      </c>
      <c r="K31">
        <v>1.2658000000000001E-2</v>
      </c>
      <c r="L31">
        <v>0.32</v>
      </c>
    </row>
    <row r="32" spans="1:12" x14ac:dyDescent="0.35">
      <c r="A32" s="1">
        <v>10409</v>
      </c>
      <c r="B32">
        <v>-3.4329999999999999E-2</v>
      </c>
      <c r="C32">
        <v>-3.8725000000000002E-2</v>
      </c>
      <c r="D32">
        <v>-4.8572999999999998E-2</v>
      </c>
      <c r="E32">
        <v>-5.4045999999999997E-2</v>
      </c>
      <c r="F32">
        <v>24948490.399999999</v>
      </c>
      <c r="G32">
        <v>89</v>
      </c>
      <c r="H32">
        <v>25803556</v>
      </c>
      <c r="I32">
        <v>87</v>
      </c>
      <c r="J32">
        <v>19.190000000000001</v>
      </c>
      <c r="K32">
        <v>-4.0500000000000001E-2</v>
      </c>
      <c r="L32">
        <v>0.31</v>
      </c>
    </row>
    <row r="33" spans="1:12" x14ac:dyDescent="0.35">
      <c r="A33" s="1">
        <v>10440</v>
      </c>
      <c r="B33">
        <v>1.0116999999999999E-2</v>
      </c>
      <c r="C33">
        <v>8.2780000000000006E-3</v>
      </c>
      <c r="D33">
        <v>7.7270000000000004E-3</v>
      </c>
      <c r="E33">
        <v>5.2659999999999998E-3</v>
      </c>
      <c r="F33">
        <v>25138229.899999999</v>
      </c>
      <c r="G33">
        <v>89</v>
      </c>
      <c r="H33">
        <v>24921400.399999999</v>
      </c>
      <c r="I33">
        <v>86</v>
      </c>
      <c r="J33">
        <v>19.43</v>
      </c>
      <c r="K33">
        <v>1.2507000000000001E-2</v>
      </c>
      <c r="L33">
        <v>0.32</v>
      </c>
    </row>
    <row r="34" spans="1:12" x14ac:dyDescent="0.35">
      <c r="A34" s="1">
        <v>10471</v>
      </c>
      <c r="B34">
        <v>7.0230000000000001E-2</v>
      </c>
      <c r="C34">
        <v>6.5514000000000003E-2</v>
      </c>
      <c r="D34">
        <v>6.7992999999999998E-2</v>
      </c>
      <c r="E34">
        <v>6.5021999999999996E-2</v>
      </c>
      <c r="F34">
        <v>26638717</v>
      </c>
      <c r="G34">
        <v>89</v>
      </c>
      <c r="H34">
        <v>24990547.399999999</v>
      </c>
      <c r="I34">
        <v>86</v>
      </c>
      <c r="J34">
        <v>20.87</v>
      </c>
      <c r="K34">
        <v>7.4111999999999997E-2</v>
      </c>
      <c r="L34">
        <v>0.32</v>
      </c>
    </row>
    <row r="35" spans="1:12" x14ac:dyDescent="0.35">
      <c r="A35" s="1">
        <v>10500</v>
      </c>
      <c r="B35">
        <v>2.2408999999999998E-2</v>
      </c>
      <c r="C35">
        <v>1.9937E-2</v>
      </c>
      <c r="D35">
        <v>2.5717E-2</v>
      </c>
      <c r="E35">
        <v>2.2537999999999999E-2</v>
      </c>
      <c r="F35">
        <v>27333943.100000001</v>
      </c>
      <c r="G35">
        <v>89</v>
      </c>
      <c r="H35">
        <v>26638717</v>
      </c>
      <c r="I35">
        <v>86</v>
      </c>
      <c r="J35">
        <v>21.37</v>
      </c>
      <c r="K35">
        <v>2.3958E-2</v>
      </c>
      <c r="L35">
        <v>0.27</v>
      </c>
    </row>
    <row r="36" spans="1:12" x14ac:dyDescent="0.35">
      <c r="A36" s="1">
        <v>10532</v>
      </c>
      <c r="B36">
        <v>1.3839000000000001E-2</v>
      </c>
      <c r="C36">
        <v>1.2055E-2</v>
      </c>
      <c r="D36">
        <v>6.2810000000000001E-3</v>
      </c>
      <c r="E36">
        <v>3.6600000000000001E-3</v>
      </c>
      <c r="F36">
        <v>27717369.800000001</v>
      </c>
      <c r="G36">
        <v>89</v>
      </c>
      <c r="H36">
        <v>27333943.100000001</v>
      </c>
      <c r="I36">
        <v>86</v>
      </c>
      <c r="J36">
        <v>21.68</v>
      </c>
      <c r="K36">
        <v>1.4506E-2</v>
      </c>
      <c r="L36">
        <v>0.41</v>
      </c>
    </row>
    <row r="37" spans="1:12" x14ac:dyDescent="0.35">
      <c r="A37" s="1">
        <v>10562</v>
      </c>
      <c r="B37">
        <v>0.122975</v>
      </c>
      <c r="C37">
        <v>0.116704</v>
      </c>
      <c r="D37">
        <v>0.12953700000000001</v>
      </c>
      <c r="E37">
        <v>0.12654000000000001</v>
      </c>
      <c r="F37">
        <v>31592727.5</v>
      </c>
      <c r="G37">
        <v>89</v>
      </c>
      <c r="H37">
        <v>28236557.800000001</v>
      </c>
      <c r="I37">
        <v>87</v>
      </c>
      <c r="J37">
        <v>24.28</v>
      </c>
      <c r="K37">
        <v>0.119926</v>
      </c>
      <c r="L37">
        <v>0.38</v>
      </c>
    </row>
    <row r="38" spans="1:12" x14ac:dyDescent="0.35">
      <c r="A38" s="1">
        <v>10593</v>
      </c>
      <c r="B38">
        <v>6.2319999999999997E-3</v>
      </c>
      <c r="C38">
        <v>2.8879999999999999E-3</v>
      </c>
      <c r="D38">
        <v>2.6322000000000002E-2</v>
      </c>
      <c r="E38">
        <v>2.1701000000000002E-2</v>
      </c>
      <c r="F38">
        <v>32743322.199999999</v>
      </c>
      <c r="G38">
        <v>89</v>
      </c>
      <c r="H38">
        <v>31592727.5</v>
      </c>
      <c r="I38">
        <v>88</v>
      </c>
      <c r="J38">
        <v>24.35</v>
      </c>
      <c r="K38">
        <v>2.8830000000000001E-3</v>
      </c>
      <c r="L38">
        <v>0.06</v>
      </c>
    </row>
    <row r="39" spans="1:12" x14ac:dyDescent="0.35">
      <c r="A39" s="1">
        <v>10624</v>
      </c>
      <c r="B39">
        <v>5.5473000000000001E-2</v>
      </c>
      <c r="C39">
        <v>5.3892000000000002E-2</v>
      </c>
      <c r="D39">
        <v>7.3311000000000001E-2</v>
      </c>
      <c r="E39">
        <v>7.1080000000000004E-2</v>
      </c>
      <c r="F39">
        <v>34729364.200000003</v>
      </c>
      <c r="G39">
        <v>89</v>
      </c>
      <c r="H39">
        <v>32743322.199999999</v>
      </c>
      <c r="I39">
        <v>88</v>
      </c>
      <c r="J39">
        <v>25.74</v>
      </c>
      <c r="K39">
        <v>5.7084000000000003E-2</v>
      </c>
      <c r="L39">
        <v>0.34</v>
      </c>
    </row>
    <row r="40" spans="1:12" x14ac:dyDescent="0.35">
      <c r="A40" s="1">
        <v>10652</v>
      </c>
      <c r="B40">
        <v>-4.8739999999999999E-3</v>
      </c>
      <c r="C40">
        <v>-8.0750000000000006E-3</v>
      </c>
      <c r="D40">
        <v>-1.1240999999999999E-2</v>
      </c>
      <c r="E40">
        <v>-1.3132E-2</v>
      </c>
      <c r="F40">
        <v>33727242.899999999</v>
      </c>
      <c r="G40">
        <v>89</v>
      </c>
      <c r="H40">
        <v>34729364.200000003</v>
      </c>
      <c r="I40">
        <v>88</v>
      </c>
      <c r="J40">
        <v>25.59</v>
      </c>
      <c r="K40">
        <v>-5.8279999999999998E-3</v>
      </c>
      <c r="L40">
        <v>0.36</v>
      </c>
    </row>
    <row r="41" spans="1:12" x14ac:dyDescent="0.35">
      <c r="A41" s="1">
        <v>10680</v>
      </c>
      <c r="B41">
        <v>1.54E-4</v>
      </c>
      <c r="C41">
        <v>-3.2130000000000001E-3</v>
      </c>
      <c r="D41">
        <v>-1.1448E-2</v>
      </c>
      <c r="E41">
        <v>-1.5102000000000001E-2</v>
      </c>
      <c r="F41">
        <v>33687237.100000001</v>
      </c>
      <c r="G41">
        <v>89</v>
      </c>
      <c r="H41">
        <v>33715582.899999999</v>
      </c>
      <c r="I41">
        <v>87</v>
      </c>
      <c r="J41">
        <v>25.53</v>
      </c>
      <c r="K41">
        <v>-2.3449999999999999E-3</v>
      </c>
      <c r="L41">
        <v>0.34</v>
      </c>
    </row>
    <row r="42" spans="1:12" x14ac:dyDescent="0.35">
      <c r="A42" s="1">
        <v>10713</v>
      </c>
      <c r="B42">
        <v>1.9559E-2</v>
      </c>
      <c r="C42">
        <v>1.8234E-2</v>
      </c>
      <c r="D42">
        <v>1.1950000000000001E-2</v>
      </c>
      <c r="E42">
        <v>9.9539999999999993E-3</v>
      </c>
      <c r="F42">
        <v>34653311.399999999</v>
      </c>
      <c r="G42">
        <v>89</v>
      </c>
      <c r="H42">
        <v>33687237.100000001</v>
      </c>
      <c r="I42">
        <v>87</v>
      </c>
      <c r="J42">
        <v>25.94</v>
      </c>
      <c r="K42">
        <v>1.6060000000000001E-2</v>
      </c>
      <c r="L42">
        <v>0.36</v>
      </c>
    </row>
    <row r="43" spans="1:12" x14ac:dyDescent="0.35">
      <c r="A43" s="1">
        <v>10744</v>
      </c>
      <c r="B43">
        <v>-4.1280999999999998E-2</v>
      </c>
      <c r="C43">
        <v>-4.6101000000000003E-2</v>
      </c>
      <c r="D43">
        <v>-3.3981999999999998E-2</v>
      </c>
      <c r="E43">
        <v>-3.6734000000000003E-2</v>
      </c>
      <c r="F43">
        <v>33386954.899999999</v>
      </c>
      <c r="G43">
        <v>89</v>
      </c>
      <c r="H43">
        <v>34653311.399999999</v>
      </c>
      <c r="I43">
        <v>88</v>
      </c>
      <c r="J43">
        <v>24.83</v>
      </c>
      <c r="K43">
        <v>-4.2791000000000003E-2</v>
      </c>
      <c r="L43">
        <v>0.44</v>
      </c>
    </row>
    <row r="44" spans="1:12" x14ac:dyDescent="0.35">
      <c r="A44" s="1">
        <v>10773</v>
      </c>
      <c r="B44">
        <v>0.112294</v>
      </c>
      <c r="C44">
        <v>0.109584</v>
      </c>
      <c r="D44">
        <v>0.106753</v>
      </c>
      <c r="E44">
        <v>0.10273699999999999</v>
      </c>
      <c r="F44">
        <v>37098108.700000003</v>
      </c>
      <c r="G44">
        <v>89</v>
      </c>
      <c r="H44">
        <v>33386954.899999999</v>
      </c>
      <c r="I44">
        <v>88</v>
      </c>
      <c r="J44">
        <v>27.62</v>
      </c>
      <c r="K44">
        <v>0.11236400000000001</v>
      </c>
      <c r="L44">
        <v>0.52</v>
      </c>
    </row>
    <row r="45" spans="1:12" x14ac:dyDescent="0.35">
      <c r="A45" s="1">
        <v>10805</v>
      </c>
      <c r="B45">
        <v>5.0014000000000003E-2</v>
      </c>
      <c r="C45">
        <v>4.8186E-2</v>
      </c>
      <c r="D45">
        <v>5.0744999999999998E-2</v>
      </c>
      <c r="E45">
        <v>4.8229000000000001E-2</v>
      </c>
      <c r="F45">
        <v>38901636.600000001</v>
      </c>
      <c r="G45">
        <v>90</v>
      </c>
      <c r="H45">
        <v>37100758.299999997</v>
      </c>
      <c r="I45">
        <v>89</v>
      </c>
      <c r="J45">
        <v>28.88</v>
      </c>
      <c r="K45">
        <v>4.5619E-2</v>
      </c>
      <c r="L45">
        <v>0.33</v>
      </c>
    </row>
    <row r="46" spans="1:12" x14ac:dyDescent="0.35">
      <c r="A46" s="1">
        <v>10835</v>
      </c>
      <c r="B46">
        <v>9.4870999999999997E-2</v>
      </c>
      <c r="C46">
        <v>9.0732999999999994E-2</v>
      </c>
      <c r="D46">
        <v>7.8358999999999998E-2</v>
      </c>
      <c r="E46">
        <v>7.6040999999999997E-2</v>
      </c>
      <c r="F46">
        <v>43063051.799999997</v>
      </c>
      <c r="G46">
        <v>90</v>
      </c>
      <c r="H46">
        <v>39456798.399999999</v>
      </c>
      <c r="I46">
        <v>88</v>
      </c>
      <c r="J46">
        <v>31.71</v>
      </c>
      <c r="K46">
        <v>9.7991999999999996E-2</v>
      </c>
      <c r="L46">
        <v>0.4</v>
      </c>
    </row>
    <row r="47" spans="1:12" x14ac:dyDescent="0.35">
      <c r="A47" s="1">
        <v>10866</v>
      </c>
      <c r="B47">
        <v>-5.0941E-2</v>
      </c>
      <c r="C47">
        <v>-5.3046000000000003E-2</v>
      </c>
      <c r="D47">
        <v>-3.0727999999999998E-2</v>
      </c>
      <c r="E47">
        <v>-3.397E-2</v>
      </c>
      <c r="F47">
        <v>41295181.5</v>
      </c>
      <c r="G47">
        <v>90</v>
      </c>
      <c r="H47">
        <v>43063051.799999997</v>
      </c>
      <c r="I47">
        <v>88</v>
      </c>
      <c r="J47">
        <v>30.16</v>
      </c>
      <c r="K47">
        <v>-4.888E-2</v>
      </c>
      <c r="L47">
        <v>0.35</v>
      </c>
    </row>
    <row r="48" spans="1:12" x14ac:dyDescent="0.35">
      <c r="A48" s="1">
        <v>10897</v>
      </c>
      <c r="B48">
        <v>-0.18615000000000001</v>
      </c>
      <c r="C48">
        <v>-0.188115</v>
      </c>
      <c r="D48">
        <v>-0.17518800000000001</v>
      </c>
      <c r="E48">
        <v>-0.17748900000000001</v>
      </c>
      <c r="F48">
        <v>33694827.5</v>
      </c>
      <c r="G48">
        <v>90</v>
      </c>
      <c r="H48">
        <v>41270476.5</v>
      </c>
      <c r="I48">
        <v>88</v>
      </c>
      <c r="J48">
        <v>24.15</v>
      </c>
      <c r="K48">
        <v>-0.199271</v>
      </c>
      <c r="L48">
        <v>0.46</v>
      </c>
    </row>
    <row r="49" spans="1:12" x14ac:dyDescent="0.35">
      <c r="A49" s="1">
        <v>10924</v>
      </c>
      <c r="B49">
        <v>-0.125359</v>
      </c>
      <c r="C49">
        <v>-0.13037399999999999</v>
      </c>
      <c r="D49">
        <v>-0.116976</v>
      </c>
      <c r="E49">
        <v>-0.119792</v>
      </c>
      <c r="F49">
        <v>29389144.800000001</v>
      </c>
      <c r="G49">
        <v>90</v>
      </c>
      <c r="H49">
        <v>33694827.5</v>
      </c>
      <c r="I49">
        <v>88</v>
      </c>
      <c r="J49">
        <v>20.92</v>
      </c>
      <c r="K49">
        <v>-0.133747</v>
      </c>
      <c r="L49">
        <v>0.37</v>
      </c>
    </row>
    <row r="50" spans="1:12" x14ac:dyDescent="0.35">
      <c r="A50" s="1">
        <v>10958</v>
      </c>
      <c r="B50">
        <v>2.7753E-2</v>
      </c>
      <c r="C50">
        <v>2.3571000000000002E-2</v>
      </c>
      <c r="D50">
        <v>1.5063E-2</v>
      </c>
      <c r="E50">
        <v>8.7340000000000004E-3</v>
      </c>
      <c r="F50">
        <v>30598997.5</v>
      </c>
      <c r="G50">
        <v>90</v>
      </c>
      <c r="H50">
        <v>29389144.800000001</v>
      </c>
      <c r="I50">
        <v>89</v>
      </c>
      <c r="J50">
        <v>21.45</v>
      </c>
      <c r="K50">
        <v>2.5335E-2</v>
      </c>
      <c r="L50">
        <v>0.37</v>
      </c>
    </row>
    <row r="51" spans="1:12" x14ac:dyDescent="0.35">
      <c r="A51" s="1">
        <v>10989</v>
      </c>
      <c r="B51">
        <v>5.9631999999999998E-2</v>
      </c>
      <c r="C51">
        <v>5.7031999999999999E-2</v>
      </c>
      <c r="D51">
        <v>6.5853999999999996E-2</v>
      </c>
      <c r="E51">
        <v>6.2668000000000001E-2</v>
      </c>
      <c r="F51">
        <v>32286446.5</v>
      </c>
      <c r="G51">
        <v>90</v>
      </c>
      <c r="H51">
        <v>30468817.5</v>
      </c>
      <c r="I51">
        <v>88</v>
      </c>
      <c r="J51">
        <v>22.79</v>
      </c>
      <c r="K51">
        <v>6.2470999999999999E-2</v>
      </c>
      <c r="L51">
        <v>0.14000000000000001</v>
      </c>
    </row>
    <row r="52" spans="1:12" x14ac:dyDescent="0.35">
      <c r="A52" s="1">
        <v>11017</v>
      </c>
      <c r="B52">
        <v>2.6041000000000002E-2</v>
      </c>
      <c r="C52">
        <v>2.1516E-2</v>
      </c>
      <c r="D52">
        <v>3.7401999999999998E-2</v>
      </c>
      <c r="E52">
        <v>3.4764999999999997E-2</v>
      </c>
      <c r="F52">
        <v>32783643.199999999</v>
      </c>
      <c r="G52">
        <v>89</v>
      </c>
      <c r="H52">
        <v>32105138.5</v>
      </c>
      <c r="I52">
        <v>87</v>
      </c>
      <c r="J52">
        <v>23.28</v>
      </c>
      <c r="K52">
        <v>2.1500999999999999E-2</v>
      </c>
      <c r="L52">
        <v>0.3</v>
      </c>
    </row>
    <row r="53" spans="1:12" x14ac:dyDescent="0.35">
      <c r="A53" s="1">
        <v>11048</v>
      </c>
      <c r="B53">
        <v>7.2347999999999996E-2</v>
      </c>
      <c r="C53">
        <v>6.9350999999999996E-2</v>
      </c>
      <c r="D53">
        <v>5.3207999999999998E-2</v>
      </c>
      <c r="E53">
        <v>4.9349999999999998E-2</v>
      </c>
      <c r="F53">
        <v>35280381.899999999</v>
      </c>
      <c r="G53">
        <v>89</v>
      </c>
      <c r="H53">
        <v>32783643.199999999</v>
      </c>
      <c r="I53">
        <v>87</v>
      </c>
      <c r="J53">
        <v>25.14</v>
      </c>
      <c r="K53">
        <v>7.9896999999999996E-2</v>
      </c>
      <c r="L53">
        <v>0.35</v>
      </c>
    </row>
    <row r="54" spans="1:12" x14ac:dyDescent="0.35">
      <c r="A54" s="1">
        <v>11078</v>
      </c>
      <c r="B54">
        <v>-1.3938000000000001E-2</v>
      </c>
      <c r="C54">
        <v>-1.5866999999999999E-2</v>
      </c>
      <c r="D54">
        <v>-2.8757999999999999E-2</v>
      </c>
      <c r="E54">
        <v>-3.1276999999999999E-2</v>
      </c>
      <c r="F54">
        <v>34720524.600000001</v>
      </c>
      <c r="G54">
        <v>89</v>
      </c>
      <c r="H54">
        <v>35280381.899999999</v>
      </c>
      <c r="I54">
        <v>87</v>
      </c>
      <c r="J54">
        <v>24.9</v>
      </c>
      <c r="K54">
        <v>-9.5469999999999999E-3</v>
      </c>
      <c r="L54">
        <v>0.21</v>
      </c>
    </row>
    <row r="55" spans="1:12" x14ac:dyDescent="0.35">
      <c r="A55" s="1">
        <v>11107</v>
      </c>
      <c r="B55">
        <v>-1.1148E-2</v>
      </c>
      <c r="C55">
        <v>-1.5304E-2</v>
      </c>
      <c r="D55">
        <v>-1.5566E-2</v>
      </c>
      <c r="E55">
        <v>-1.8001E-2</v>
      </c>
      <c r="F55">
        <v>34509386.799999997</v>
      </c>
      <c r="G55">
        <v>89</v>
      </c>
      <c r="H55">
        <v>34692568.399999999</v>
      </c>
      <c r="I55">
        <v>86</v>
      </c>
      <c r="J55">
        <v>24.49</v>
      </c>
      <c r="K55">
        <v>-1.6466000000000001E-2</v>
      </c>
      <c r="L55">
        <v>0.26</v>
      </c>
    </row>
    <row r="56" spans="1:12" x14ac:dyDescent="0.35">
      <c r="A56" s="1">
        <v>11139</v>
      </c>
      <c r="B56">
        <v>-0.15571499999999999</v>
      </c>
      <c r="C56">
        <v>-0.15918199999999999</v>
      </c>
      <c r="D56">
        <v>-0.15449199999999999</v>
      </c>
      <c r="E56">
        <v>-0.16010199999999999</v>
      </c>
      <c r="F56">
        <v>29191751.899999999</v>
      </c>
      <c r="G56">
        <v>89</v>
      </c>
      <c r="H56">
        <v>34509386.799999997</v>
      </c>
      <c r="I56">
        <v>86</v>
      </c>
      <c r="J56">
        <v>20.46</v>
      </c>
      <c r="K56">
        <v>-0.16455700000000001</v>
      </c>
      <c r="L56">
        <v>0.27</v>
      </c>
    </row>
    <row r="57" spans="1:12" x14ac:dyDescent="0.35">
      <c r="A57" s="1">
        <v>11170</v>
      </c>
      <c r="B57">
        <v>3.8712999999999997E-2</v>
      </c>
      <c r="C57">
        <v>3.6394999999999997E-2</v>
      </c>
      <c r="D57">
        <v>3.5466999999999999E-2</v>
      </c>
      <c r="E57">
        <v>3.1282999999999998E-2</v>
      </c>
      <c r="F57">
        <v>30253990.800000001</v>
      </c>
      <c r="G57">
        <v>89</v>
      </c>
      <c r="H57">
        <v>29191751.899999999</v>
      </c>
      <c r="I57">
        <v>87</v>
      </c>
      <c r="J57">
        <v>21.21</v>
      </c>
      <c r="K57">
        <v>3.6657000000000002E-2</v>
      </c>
      <c r="L57">
        <v>0.2</v>
      </c>
    </row>
    <row r="58" spans="1:12" x14ac:dyDescent="0.35">
      <c r="A58" s="1">
        <v>11199</v>
      </c>
      <c r="B58">
        <v>1.1266E-2</v>
      </c>
      <c r="C58">
        <v>6.6909999999999999E-3</v>
      </c>
      <c r="D58">
        <v>1.9680000000000001E-3</v>
      </c>
      <c r="E58">
        <v>-6.8300000000000001E-4</v>
      </c>
      <c r="F58">
        <v>30473904.100000001</v>
      </c>
      <c r="G58">
        <v>89</v>
      </c>
      <c r="H58">
        <v>30253990.800000001</v>
      </c>
      <c r="I58">
        <v>87</v>
      </c>
      <c r="J58">
        <v>21.37</v>
      </c>
      <c r="K58">
        <v>7.5440000000000004E-3</v>
      </c>
      <c r="L58">
        <v>0.09</v>
      </c>
    </row>
    <row r="59" spans="1:12" x14ac:dyDescent="0.35">
      <c r="A59" s="1">
        <v>11231</v>
      </c>
      <c r="B59">
        <v>-0.12354900000000001</v>
      </c>
      <c r="C59">
        <v>-0.127635</v>
      </c>
      <c r="D59">
        <v>-0.12900600000000001</v>
      </c>
      <c r="E59">
        <v>-0.13435900000000001</v>
      </c>
      <c r="F59">
        <v>26584345.199999999</v>
      </c>
      <c r="G59">
        <v>89</v>
      </c>
      <c r="H59">
        <v>30473904.100000001</v>
      </c>
      <c r="I59">
        <v>87</v>
      </c>
      <c r="J59">
        <v>18.59</v>
      </c>
      <c r="K59">
        <v>-0.13008900000000001</v>
      </c>
      <c r="L59">
        <v>0.22</v>
      </c>
    </row>
    <row r="60" spans="1:12" x14ac:dyDescent="0.35">
      <c r="A60" s="1">
        <v>11262</v>
      </c>
      <c r="B60">
        <v>-8.3680000000000004E-2</v>
      </c>
      <c r="C60">
        <v>-8.6393999999999999E-2</v>
      </c>
      <c r="D60">
        <v>-8.1520999999999996E-2</v>
      </c>
      <c r="E60">
        <v>-8.4991999999999998E-2</v>
      </c>
      <c r="F60">
        <v>24303613</v>
      </c>
      <c r="G60">
        <v>89</v>
      </c>
      <c r="H60">
        <v>26584345.199999999</v>
      </c>
      <c r="I60">
        <v>87</v>
      </c>
      <c r="J60">
        <v>16.940000000000001</v>
      </c>
      <c r="K60">
        <v>-8.8757000000000003E-2</v>
      </c>
      <c r="L60">
        <v>0.09</v>
      </c>
    </row>
    <row r="61" spans="1:12" x14ac:dyDescent="0.35">
      <c r="A61" s="1">
        <v>11291</v>
      </c>
      <c r="B61">
        <v>-1.9736E-2</v>
      </c>
      <c r="C61">
        <v>-2.4112999999999999E-2</v>
      </c>
      <c r="D61">
        <v>-8.5950000000000002E-3</v>
      </c>
      <c r="E61">
        <v>-1.1254999999999999E-2</v>
      </c>
      <c r="F61">
        <v>23717582.800000001</v>
      </c>
      <c r="G61">
        <v>89</v>
      </c>
      <c r="H61">
        <v>24303613</v>
      </c>
      <c r="I61">
        <v>87</v>
      </c>
      <c r="J61">
        <v>16.57</v>
      </c>
      <c r="K61">
        <v>-2.1842E-2</v>
      </c>
      <c r="L61">
        <v>0.13</v>
      </c>
    </row>
    <row r="62" spans="1:12" x14ac:dyDescent="0.35">
      <c r="A62" s="1">
        <v>11323</v>
      </c>
      <c r="B62">
        <v>-7.1479000000000001E-2</v>
      </c>
      <c r="C62">
        <v>-7.7706999999999998E-2</v>
      </c>
      <c r="D62">
        <v>-9.2790999999999998E-2</v>
      </c>
      <c r="E62">
        <v>-0.101288</v>
      </c>
      <c r="F62">
        <v>22147658.800000001</v>
      </c>
      <c r="G62">
        <v>89</v>
      </c>
      <c r="H62">
        <v>23717582.800000001</v>
      </c>
      <c r="I62">
        <v>87</v>
      </c>
      <c r="J62">
        <v>15.34</v>
      </c>
      <c r="K62">
        <v>-7.4231000000000005E-2</v>
      </c>
      <c r="L62">
        <v>0.14000000000000001</v>
      </c>
    </row>
    <row r="63" spans="1:12" x14ac:dyDescent="0.35">
      <c r="A63" s="1">
        <v>11354</v>
      </c>
      <c r="B63">
        <v>5.9526999999999997E-2</v>
      </c>
      <c r="C63">
        <v>5.6729000000000002E-2</v>
      </c>
      <c r="D63">
        <v>9.7628999999999994E-2</v>
      </c>
      <c r="E63">
        <v>9.2043E-2</v>
      </c>
      <c r="F63">
        <v>23418619</v>
      </c>
      <c r="G63">
        <v>89</v>
      </c>
      <c r="H63">
        <v>22147658.800000001</v>
      </c>
      <c r="I63">
        <v>87</v>
      </c>
      <c r="J63">
        <v>16.09</v>
      </c>
      <c r="K63">
        <v>4.8891999999999998E-2</v>
      </c>
      <c r="L63">
        <v>0.15</v>
      </c>
    </row>
    <row r="64" spans="1:12" x14ac:dyDescent="0.35">
      <c r="A64" s="1">
        <v>11382</v>
      </c>
      <c r="B64">
        <v>0.110943</v>
      </c>
      <c r="C64">
        <v>0.105279</v>
      </c>
      <c r="D64">
        <v>0.11332100000000001</v>
      </c>
      <c r="E64">
        <v>0.110625</v>
      </c>
      <c r="F64">
        <v>25887749.199999999</v>
      </c>
      <c r="G64">
        <v>89</v>
      </c>
      <c r="H64">
        <v>23418619</v>
      </c>
      <c r="I64">
        <v>87</v>
      </c>
      <c r="J64">
        <v>17.93</v>
      </c>
      <c r="K64">
        <v>0.114357</v>
      </c>
      <c r="L64">
        <v>0.04</v>
      </c>
    </row>
    <row r="65" spans="1:12" x14ac:dyDescent="0.35">
      <c r="A65" s="1">
        <v>11413</v>
      </c>
      <c r="B65">
        <v>-6.8939E-2</v>
      </c>
      <c r="C65">
        <v>-7.3451000000000002E-2</v>
      </c>
      <c r="D65">
        <v>-7.8703999999999996E-2</v>
      </c>
      <c r="E65">
        <v>-8.4602999999999998E-2</v>
      </c>
      <c r="F65">
        <v>23986683.399999999</v>
      </c>
      <c r="G65">
        <v>89</v>
      </c>
      <c r="H65">
        <v>25887749.199999999</v>
      </c>
      <c r="I65">
        <v>87</v>
      </c>
      <c r="J65">
        <v>16.690000000000001</v>
      </c>
      <c r="K65">
        <v>-6.9157999999999997E-2</v>
      </c>
      <c r="L65">
        <v>0.13</v>
      </c>
    </row>
    <row r="66" spans="1:12" x14ac:dyDescent="0.35">
      <c r="A66" s="1">
        <v>11443</v>
      </c>
      <c r="B66">
        <v>-9.2954999999999996E-2</v>
      </c>
      <c r="C66">
        <v>-9.5460000000000003E-2</v>
      </c>
      <c r="D66">
        <v>-0.12806400000000001</v>
      </c>
      <c r="E66">
        <v>-0.13199</v>
      </c>
      <c r="F66">
        <v>21696894.100000001</v>
      </c>
      <c r="G66">
        <v>89</v>
      </c>
      <c r="H66">
        <v>23986683.399999999</v>
      </c>
      <c r="I66">
        <v>87</v>
      </c>
      <c r="J66">
        <v>15.09</v>
      </c>
      <c r="K66">
        <v>-9.5866000000000007E-2</v>
      </c>
      <c r="L66">
        <v>0.08</v>
      </c>
    </row>
    <row r="67" spans="1:12" x14ac:dyDescent="0.35">
      <c r="A67" s="1">
        <v>11472</v>
      </c>
      <c r="B67">
        <v>-0.13767399999999999</v>
      </c>
      <c r="C67">
        <v>-0.14302000000000001</v>
      </c>
      <c r="D67">
        <v>-0.150141</v>
      </c>
      <c r="E67">
        <v>-0.15309300000000001</v>
      </c>
      <c r="F67">
        <v>18593106.899999999</v>
      </c>
      <c r="G67">
        <v>89</v>
      </c>
      <c r="H67">
        <v>21696894.100000001</v>
      </c>
      <c r="I67">
        <v>87</v>
      </c>
      <c r="J67">
        <v>13.02</v>
      </c>
      <c r="K67">
        <v>-0.13717699999999999</v>
      </c>
      <c r="L67">
        <v>0.09</v>
      </c>
    </row>
    <row r="68" spans="1:12" x14ac:dyDescent="0.35">
      <c r="A68" s="1">
        <v>11504</v>
      </c>
      <c r="B68">
        <v>0.14649200000000001</v>
      </c>
      <c r="C68">
        <v>0.139763</v>
      </c>
      <c r="D68">
        <v>0.19056600000000001</v>
      </c>
      <c r="E68">
        <v>0.182807</v>
      </c>
      <c r="F68">
        <v>21201638.100000001</v>
      </c>
      <c r="G68">
        <v>89</v>
      </c>
      <c r="H68">
        <v>18593106.899999999</v>
      </c>
      <c r="I68">
        <v>87</v>
      </c>
      <c r="J68">
        <v>14.83</v>
      </c>
      <c r="K68">
        <v>0.139017</v>
      </c>
      <c r="L68">
        <v>0.08</v>
      </c>
    </row>
    <row r="69" spans="1:12" x14ac:dyDescent="0.35">
      <c r="A69" s="1">
        <v>11535</v>
      </c>
      <c r="B69">
        <v>-7.5465000000000004E-2</v>
      </c>
      <c r="C69">
        <v>-7.8570000000000001E-2</v>
      </c>
      <c r="D69">
        <v>-8.2237000000000005E-2</v>
      </c>
      <c r="E69">
        <v>-8.7180999999999995E-2</v>
      </c>
      <c r="F69">
        <v>19535818.600000001</v>
      </c>
      <c r="G69">
        <v>89</v>
      </c>
      <c r="H69">
        <v>21201638.100000001</v>
      </c>
      <c r="I69">
        <v>87</v>
      </c>
      <c r="J69">
        <v>13.73</v>
      </c>
      <c r="K69">
        <v>-7.4174000000000004E-2</v>
      </c>
      <c r="L69">
        <v>0.06</v>
      </c>
    </row>
    <row r="70" spans="1:12" x14ac:dyDescent="0.35">
      <c r="A70" s="1">
        <v>11566</v>
      </c>
      <c r="B70">
        <v>7.7790000000000003E-3</v>
      </c>
      <c r="C70">
        <v>2.3040000000000001E-3</v>
      </c>
      <c r="D70">
        <v>-1.4416E-2</v>
      </c>
      <c r="E70">
        <v>-1.6893999999999999E-2</v>
      </c>
      <c r="F70">
        <v>19585992.399999999</v>
      </c>
      <c r="G70">
        <v>89</v>
      </c>
      <c r="H70">
        <v>19535818.600000001</v>
      </c>
      <c r="I70">
        <v>87</v>
      </c>
      <c r="J70">
        <v>13.86</v>
      </c>
      <c r="K70">
        <v>9.4680000000000007E-3</v>
      </c>
      <c r="L70">
        <v>0.03</v>
      </c>
    </row>
    <row r="71" spans="1:12" x14ac:dyDescent="0.35">
      <c r="A71" s="1">
        <v>11596</v>
      </c>
      <c r="B71">
        <v>-0.28746100000000002</v>
      </c>
      <c r="C71">
        <v>-0.29152400000000001</v>
      </c>
      <c r="D71">
        <v>-0.310002</v>
      </c>
      <c r="E71">
        <v>-0.31468600000000002</v>
      </c>
      <c r="F71">
        <v>13870981.199999999</v>
      </c>
      <c r="G71">
        <v>89</v>
      </c>
      <c r="H71">
        <v>19578642.399999999</v>
      </c>
      <c r="I71">
        <v>86</v>
      </c>
      <c r="J71">
        <v>9.7100000000000009</v>
      </c>
      <c r="K71">
        <v>-0.29942299999999999</v>
      </c>
      <c r="L71">
        <v>0.03</v>
      </c>
    </row>
    <row r="72" spans="1:12" x14ac:dyDescent="0.35">
      <c r="A72" s="1">
        <v>11627</v>
      </c>
      <c r="B72">
        <v>7.6738000000000001E-2</v>
      </c>
      <c r="C72">
        <v>7.2833999999999996E-2</v>
      </c>
      <c r="D72">
        <v>6.6016000000000005E-2</v>
      </c>
      <c r="E72">
        <v>6.0768999999999997E-2</v>
      </c>
      <c r="F72">
        <v>14885017.800000001</v>
      </c>
      <c r="G72">
        <v>89</v>
      </c>
      <c r="H72">
        <v>13870981.199999999</v>
      </c>
      <c r="I72">
        <v>86</v>
      </c>
      <c r="J72">
        <v>10.53</v>
      </c>
      <c r="K72">
        <v>8.4448999999999996E-2</v>
      </c>
      <c r="L72">
        <v>0.1</v>
      </c>
    </row>
    <row r="73" spans="1:12" x14ac:dyDescent="0.35">
      <c r="A73" s="1">
        <v>11657</v>
      </c>
      <c r="B73">
        <v>-0.100909</v>
      </c>
      <c r="C73">
        <v>-0.10939599999999999</v>
      </c>
      <c r="D73">
        <v>-0.12295</v>
      </c>
      <c r="E73">
        <v>-0.12640199999999999</v>
      </c>
      <c r="F73">
        <v>13376132.699999999</v>
      </c>
      <c r="G73">
        <v>90</v>
      </c>
      <c r="H73">
        <v>15003627.199999999</v>
      </c>
      <c r="I73">
        <v>89</v>
      </c>
      <c r="J73">
        <v>9.5</v>
      </c>
      <c r="K73">
        <v>-9.7816E-2</v>
      </c>
      <c r="L73">
        <v>0.17</v>
      </c>
    </row>
    <row r="74" spans="1:12" x14ac:dyDescent="0.35">
      <c r="A74" s="1">
        <v>11688</v>
      </c>
      <c r="B74">
        <v>-0.13755700000000001</v>
      </c>
      <c r="C74">
        <v>-0.14547099999999999</v>
      </c>
      <c r="D74">
        <v>-0.18911900000000001</v>
      </c>
      <c r="E74">
        <v>-0.197542</v>
      </c>
      <c r="F74">
        <v>11458492.5</v>
      </c>
      <c r="G74">
        <v>90</v>
      </c>
      <c r="H74">
        <v>13376132.699999999</v>
      </c>
      <c r="I74">
        <v>89</v>
      </c>
      <c r="J74">
        <v>8.1199999999999992</v>
      </c>
      <c r="K74">
        <v>-0.145263</v>
      </c>
      <c r="L74">
        <v>0.12</v>
      </c>
    </row>
    <row r="75" spans="1:12" x14ac:dyDescent="0.35">
      <c r="A75" s="1">
        <v>11718</v>
      </c>
      <c r="B75">
        <v>-1.8803E-2</v>
      </c>
      <c r="C75">
        <v>-2.1066999999999999E-2</v>
      </c>
      <c r="D75">
        <v>7.1316000000000004E-2</v>
      </c>
      <c r="E75">
        <v>6.7044999999999993E-2</v>
      </c>
      <c r="F75">
        <v>11230519.6</v>
      </c>
      <c r="G75">
        <v>90</v>
      </c>
      <c r="H75">
        <v>11458492.5</v>
      </c>
      <c r="I75">
        <v>89</v>
      </c>
      <c r="J75">
        <v>7.89</v>
      </c>
      <c r="K75">
        <v>-2.8324999999999999E-2</v>
      </c>
      <c r="L75">
        <v>0.23</v>
      </c>
    </row>
    <row r="76" spans="1:12" x14ac:dyDescent="0.35">
      <c r="A76" s="1">
        <v>11748</v>
      </c>
      <c r="B76">
        <v>5.3580999999999997E-2</v>
      </c>
      <c r="C76">
        <v>4.5233000000000002E-2</v>
      </c>
      <c r="D76">
        <v>4.0918999999999997E-2</v>
      </c>
      <c r="E76">
        <v>3.7548999999999999E-2</v>
      </c>
      <c r="F76">
        <v>11738513</v>
      </c>
      <c r="G76">
        <v>90</v>
      </c>
      <c r="H76">
        <v>11230519.6</v>
      </c>
      <c r="I76">
        <v>89</v>
      </c>
      <c r="J76">
        <v>8.2899999999999991</v>
      </c>
      <c r="K76">
        <v>5.0696999999999999E-2</v>
      </c>
      <c r="L76">
        <v>0.23</v>
      </c>
    </row>
    <row r="77" spans="1:12" x14ac:dyDescent="0.35">
      <c r="A77" s="1">
        <v>11779</v>
      </c>
      <c r="B77">
        <v>-0.118907</v>
      </c>
      <c r="C77">
        <v>-0.125245</v>
      </c>
      <c r="D77">
        <v>-0.163609</v>
      </c>
      <c r="E77">
        <v>-0.16963</v>
      </c>
      <c r="F77">
        <v>10268327.4</v>
      </c>
      <c r="G77">
        <v>90</v>
      </c>
      <c r="H77">
        <v>11738513</v>
      </c>
      <c r="I77">
        <v>89</v>
      </c>
      <c r="J77">
        <v>7.31</v>
      </c>
      <c r="K77">
        <v>-0.118215</v>
      </c>
      <c r="L77">
        <v>0.16</v>
      </c>
    </row>
    <row r="78" spans="1:12" x14ac:dyDescent="0.35">
      <c r="A78" s="1">
        <v>11809</v>
      </c>
      <c r="B78">
        <v>-0.20529500000000001</v>
      </c>
      <c r="C78">
        <v>-0.20763699999999999</v>
      </c>
      <c r="D78">
        <v>-0.19817899999999999</v>
      </c>
      <c r="E78">
        <v>-0.20125999999999999</v>
      </c>
      <c r="F78">
        <v>8136384.8799999999</v>
      </c>
      <c r="G78">
        <v>90</v>
      </c>
      <c r="H78">
        <v>10268327.4</v>
      </c>
      <c r="I78">
        <v>89</v>
      </c>
      <c r="J78">
        <v>5.83</v>
      </c>
      <c r="K78">
        <v>-0.202462</v>
      </c>
      <c r="L78">
        <v>0.11</v>
      </c>
    </row>
    <row r="79" spans="1:12" x14ac:dyDescent="0.35">
      <c r="A79" s="1">
        <v>11840</v>
      </c>
      <c r="B79">
        <v>-0.232123</v>
      </c>
      <c r="C79">
        <v>-0.240123</v>
      </c>
      <c r="D79">
        <v>-0.299485</v>
      </c>
      <c r="E79">
        <v>-0.30301400000000001</v>
      </c>
      <c r="F79">
        <v>6182653</v>
      </c>
      <c r="G79">
        <v>90</v>
      </c>
      <c r="H79">
        <v>8136384.8799999999</v>
      </c>
      <c r="I79">
        <v>89</v>
      </c>
      <c r="J79">
        <v>4.47</v>
      </c>
      <c r="K79">
        <v>-0.23327600000000001</v>
      </c>
      <c r="L79">
        <v>0.06</v>
      </c>
    </row>
    <row r="80" spans="1:12" x14ac:dyDescent="0.35">
      <c r="A80" s="1">
        <v>11870</v>
      </c>
      <c r="B80">
        <v>2.7680000000000001E-3</v>
      </c>
      <c r="C80">
        <v>-6.5069999999999998E-3</v>
      </c>
      <c r="D80">
        <v>3.0932999999999999E-2</v>
      </c>
      <c r="E80">
        <v>2.3047999999999999E-2</v>
      </c>
      <c r="F80">
        <v>6146081.5599999996</v>
      </c>
      <c r="G80">
        <v>90</v>
      </c>
      <c r="H80">
        <v>6182653</v>
      </c>
      <c r="I80">
        <v>89</v>
      </c>
      <c r="J80">
        <v>4.43</v>
      </c>
      <c r="K80">
        <v>-8.9490000000000004E-3</v>
      </c>
      <c r="L80">
        <v>0.02</v>
      </c>
    </row>
    <row r="81" spans="1:12" x14ac:dyDescent="0.35">
      <c r="A81" s="1">
        <v>11900</v>
      </c>
      <c r="B81">
        <v>0.39183800000000002</v>
      </c>
      <c r="C81">
        <v>0.39000600000000002</v>
      </c>
      <c r="D81">
        <v>0.55122899999999997</v>
      </c>
      <c r="E81">
        <v>0.54894699999999996</v>
      </c>
      <c r="F81">
        <v>8541263.1899999995</v>
      </c>
      <c r="G81">
        <v>90</v>
      </c>
      <c r="H81">
        <v>6146081.5599999996</v>
      </c>
      <c r="I81">
        <v>89</v>
      </c>
      <c r="J81">
        <v>6.1</v>
      </c>
      <c r="K81">
        <v>0.376975</v>
      </c>
      <c r="L81">
        <v>0.03</v>
      </c>
    </row>
    <row r="82" spans="1:12" x14ac:dyDescent="0.35">
      <c r="A82" s="1">
        <v>11932</v>
      </c>
      <c r="B82">
        <v>0.40197899999999998</v>
      </c>
      <c r="C82">
        <v>0.39416400000000001</v>
      </c>
      <c r="D82">
        <v>0.68041499999999999</v>
      </c>
      <c r="E82">
        <v>0.67763700000000004</v>
      </c>
      <c r="F82">
        <v>11907917.6</v>
      </c>
      <c r="G82">
        <v>90</v>
      </c>
      <c r="H82">
        <v>8541263.1899999995</v>
      </c>
      <c r="I82">
        <v>89</v>
      </c>
      <c r="J82">
        <v>8.39</v>
      </c>
      <c r="K82">
        <v>0.37541000000000002</v>
      </c>
      <c r="L82">
        <v>0.03</v>
      </c>
    </row>
    <row r="83" spans="1:12" x14ac:dyDescent="0.35">
      <c r="A83" s="1">
        <v>11962</v>
      </c>
      <c r="B83">
        <v>-2.9526E-2</v>
      </c>
      <c r="C83">
        <v>-3.4118000000000002E-2</v>
      </c>
      <c r="D83">
        <v>-6.5004999999999993E-2</v>
      </c>
      <c r="E83">
        <v>-6.9180000000000005E-2</v>
      </c>
      <c r="F83">
        <v>11499402.199999999</v>
      </c>
      <c r="G83">
        <v>90</v>
      </c>
      <c r="H83">
        <v>11905605.6</v>
      </c>
      <c r="I83">
        <v>88</v>
      </c>
      <c r="J83">
        <v>8.08</v>
      </c>
      <c r="K83">
        <v>-3.6949000000000003E-2</v>
      </c>
      <c r="L83">
        <v>0.03</v>
      </c>
    </row>
    <row r="84" spans="1:12" x14ac:dyDescent="0.35">
      <c r="A84" s="1">
        <v>11993</v>
      </c>
      <c r="B84">
        <v>-0.142069</v>
      </c>
      <c r="C84">
        <v>-0.143263</v>
      </c>
      <c r="D84">
        <v>-0.187556</v>
      </c>
      <c r="E84">
        <v>-0.18896399999999999</v>
      </c>
      <c r="F84">
        <v>9852288.6199999992</v>
      </c>
      <c r="G84">
        <v>90</v>
      </c>
      <c r="H84">
        <v>11502554.5</v>
      </c>
      <c r="I84">
        <v>89</v>
      </c>
      <c r="J84">
        <v>6.96</v>
      </c>
      <c r="K84">
        <v>-0.13861399999999999</v>
      </c>
      <c r="L84">
        <v>0.02</v>
      </c>
    </row>
    <row r="85" spans="1:12" x14ac:dyDescent="0.35">
      <c r="A85" s="1">
        <v>12023</v>
      </c>
      <c r="B85">
        <v>-5.2227999999999997E-2</v>
      </c>
      <c r="C85">
        <v>-5.8701999999999997E-2</v>
      </c>
      <c r="D85">
        <v>-9.4928999999999999E-2</v>
      </c>
      <c r="E85">
        <v>-9.7086000000000006E-2</v>
      </c>
      <c r="F85">
        <v>9273941.1199999992</v>
      </c>
      <c r="G85">
        <v>90</v>
      </c>
      <c r="H85">
        <v>9852288.6199999992</v>
      </c>
      <c r="I85">
        <v>89</v>
      </c>
      <c r="J85">
        <v>6.55</v>
      </c>
      <c r="K85">
        <v>-5.8908000000000002E-2</v>
      </c>
      <c r="L85">
        <v>0.02</v>
      </c>
    </row>
    <row r="86" spans="1:12" x14ac:dyDescent="0.35">
      <c r="A86" s="1">
        <v>12054</v>
      </c>
      <c r="B86">
        <v>6.1568999999999999E-2</v>
      </c>
      <c r="C86">
        <v>5.3748999999999998E-2</v>
      </c>
      <c r="D86">
        <v>1.9872000000000001E-2</v>
      </c>
      <c r="E86">
        <v>1.4519000000000001E-2</v>
      </c>
      <c r="F86">
        <v>9751216.6899999995</v>
      </c>
      <c r="G86">
        <v>90</v>
      </c>
      <c r="H86">
        <v>9273941.1199999992</v>
      </c>
      <c r="I86">
        <v>89</v>
      </c>
      <c r="J86">
        <v>6.89</v>
      </c>
      <c r="K86">
        <v>5.1908000000000003E-2</v>
      </c>
      <c r="L86">
        <v>0.01</v>
      </c>
    </row>
    <row r="87" spans="1:12" x14ac:dyDescent="0.35">
      <c r="A87" s="1">
        <v>12085</v>
      </c>
      <c r="B87">
        <v>1.3938000000000001E-2</v>
      </c>
      <c r="C87">
        <v>1.2574999999999999E-2</v>
      </c>
      <c r="D87">
        <v>5.6628999999999999E-2</v>
      </c>
      <c r="E87">
        <v>5.5071000000000002E-2</v>
      </c>
      <c r="F87">
        <v>9871387</v>
      </c>
      <c r="G87">
        <v>90</v>
      </c>
      <c r="H87">
        <v>9751216.6899999995</v>
      </c>
      <c r="I87">
        <v>89</v>
      </c>
      <c r="J87">
        <v>6.94</v>
      </c>
      <c r="K87">
        <v>7.2570000000000004E-3</v>
      </c>
      <c r="L87">
        <v>0.01</v>
      </c>
    </row>
    <row r="88" spans="1:12" x14ac:dyDescent="0.35">
      <c r="A88" s="1">
        <v>12113</v>
      </c>
      <c r="B88">
        <v>-0.179558</v>
      </c>
      <c r="C88">
        <v>-0.18603500000000001</v>
      </c>
      <c r="D88">
        <v>-0.19969400000000001</v>
      </c>
      <c r="E88">
        <v>-0.202045</v>
      </c>
      <c r="F88">
        <v>8035008.5599999996</v>
      </c>
      <c r="G88">
        <v>90</v>
      </c>
      <c r="H88">
        <v>9871387</v>
      </c>
      <c r="I88">
        <v>89</v>
      </c>
      <c r="J88">
        <v>5.66</v>
      </c>
      <c r="K88">
        <v>-0.18443799999999999</v>
      </c>
      <c r="L88">
        <v>-0.03</v>
      </c>
    </row>
    <row r="89" spans="1:12" x14ac:dyDescent="0.35">
      <c r="A89" s="1">
        <v>12144</v>
      </c>
      <c r="B89">
        <v>3.8627000000000002E-2</v>
      </c>
      <c r="C89">
        <v>3.2580999999999999E-2</v>
      </c>
      <c r="D89">
        <v>8.3646999999999999E-2</v>
      </c>
      <c r="E89">
        <v>7.9351000000000005E-2</v>
      </c>
      <c r="F89">
        <v>8313702.3799999999</v>
      </c>
      <c r="G89">
        <v>90</v>
      </c>
      <c r="H89">
        <v>8051379.0599999996</v>
      </c>
      <c r="I89">
        <v>89</v>
      </c>
      <c r="J89">
        <v>5.85</v>
      </c>
      <c r="K89">
        <v>3.3569000000000002E-2</v>
      </c>
      <c r="L89">
        <v>0.04</v>
      </c>
    </row>
    <row r="90" spans="1:12" x14ac:dyDescent="0.35">
      <c r="A90" s="1">
        <v>12173</v>
      </c>
      <c r="B90">
        <v>0.41431200000000001</v>
      </c>
      <c r="C90">
        <v>0.41229100000000002</v>
      </c>
      <c r="D90">
        <v>0.55245200000000005</v>
      </c>
      <c r="E90">
        <v>0.55073300000000003</v>
      </c>
      <c r="F90">
        <v>11739396.9</v>
      </c>
      <c r="G90">
        <v>90</v>
      </c>
      <c r="H90">
        <v>8313702.3799999999</v>
      </c>
      <c r="I90">
        <v>89</v>
      </c>
      <c r="J90">
        <v>8.32</v>
      </c>
      <c r="K90">
        <v>0.42222199999999999</v>
      </c>
      <c r="L90">
        <v>0.1</v>
      </c>
    </row>
    <row r="91" spans="1:12" x14ac:dyDescent="0.35">
      <c r="A91" s="1">
        <v>12205</v>
      </c>
      <c r="B91">
        <v>0.174816</v>
      </c>
      <c r="C91">
        <v>0.17016700000000001</v>
      </c>
      <c r="D91">
        <v>0.31525700000000001</v>
      </c>
      <c r="E91">
        <v>0.31359700000000001</v>
      </c>
      <c r="F91">
        <v>13737052.199999999</v>
      </c>
      <c r="G91">
        <v>90</v>
      </c>
      <c r="H91">
        <v>11739396.9</v>
      </c>
      <c r="I91">
        <v>89</v>
      </c>
      <c r="J91">
        <v>9.64</v>
      </c>
      <c r="K91">
        <v>0.15865399999999999</v>
      </c>
      <c r="L91">
        <v>0.04</v>
      </c>
    </row>
    <row r="92" spans="1:12" x14ac:dyDescent="0.35">
      <c r="A92" s="1">
        <v>12235</v>
      </c>
      <c r="B92">
        <v>0.13749800000000001</v>
      </c>
      <c r="C92">
        <v>0.133994</v>
      </c>
      <c r="D92">
        <v>0.20213700000000001</v>
      </c>
      <c r="E92">
        <v>0.19939200000000001</v>
      </c>
      <c r="F92">
        <v>15579952</v>
      </c>
      <c r="G92">
        <v>90</v>
      </c>
      <c r="H92">
        <v>13737052.199999999</v>
      </c>
      <c r="I92">
        <v>89</v>
      </c>
      <c r="J92">
        <v>10.91</v>
      </c>
      <c r="K92">
        <v>0.131743</v>
      </c>
      <c r="L92">
        <v>0.02</v>
      </c>
    </row>
    <row r="93" spans="1:12" x14ac:dyDescent="0.35">
      <c r="A93" s="1">
        <v>12266</v>
      </c>
      <c r="B93">
        <v>-8.4736000000000006E-2</v>
      </c>
      <c r="C93">
        <v>-8.5471000000000005E-2</v>
      </c>
      <c r="D93">
        <v>-9.4629000000000005E-2</v>
      </c>
      <c r="E93">
        <v>-9.5466999999999996E-2</v>
      </c>
      <c r="F93">
        <v>14279988.1</v>
      </c>
      <c r="G93">
        <v>90</v>
      </c>
      <c r="H93">
        <v>15579952</v>
      </c>
      <c r="I93">
        <v>89</v>
      </c>
      <c r="J93">
        <v>9.9499999999999993</v>
      </c>
      <c r="K93">
        <v>-8.7993000000000002E-2</v>
      </c>
      <c r="L93">
        <v>0.02</v>
      </c>
    </row>
    <row r="94" spans="1:12" x14ac:dyDescent="0.35">
      <c r="A94" s="1">
        <v>12297</v>
      </c>
      <c r="B94">
        <v>0.12327200000000001</v>
      </c>
      <c r="C94">
        <v>0.119807</v>
      </c>
      <c r="D94">
        <v>0.129075</v>
      </c>
      <c r="E94">
        <v>0.127493</v>
      </c>
      <c r="F94">
        <v>15990834.199999999</v>
      </c>
      <c r="G94">
        <v>90</v>
      </c>
      <c r="H94">
        <v>14279988.1</v>
      </c>
      <c r="I94">
        <v>89</v>
      </c>
      <c r="J94">
        <v>11.09</v>
      </c>
      <c r="K94">
        <v>0.11457299999999999</v>
      </c>
      <c r="L94">
        <v>0.03</v>
      </c>
    </row>
    <row r="95" spans="1:12" x14ac:dyDescent="0.35">
      <c r="A95" s="1">
        <v>12327</v>
      </c>
      <c r="B95">
        <v>-0.118045</v>
      </c>
      <c r="C95">
        <v>-0.121112</v>
      </c>
      <c r="D95">
        <v>-0.14462</v>
      </c>
      <c r="E95">
        <v>-0.14724999999999999</v>
      </c>
      <c r="F95">
        <v>14054138.800000001</v>
      </c>
      <c r="G95">
        <v>90</v>
      </c>
      <c r="H95">
        <v>15990834.199999999</v>
      </c>
      <c r="I95">
        <v>89</v>
      </c>
      <c r="J95">
        <v>9.83</v>
      </c>
      <c r="K95">
        <v>-0.11361599999999999</v>
      </c>
      <c r="L95">
        <v>0.02</v>
      </c>
    </row>
    <row r="96" spans="1:12" x14ac:dyDescent="0.35">
      <c r="A96" s="1">
        <v>12358</v>
      </c>
      <c r="B96">
        <v>-9.0622999999999995E-2</v>
      </c>
      <c r="C96">
        <v>-9.1588000000000003E-2</v>
      </c>
      <c r="D96">
        <v>-0.112923</v>
      </c>
      <c r="E96">
        <v>-0.114062</v>
      </c>
      <c r="F96">
        <v>12765801.199999999</v>
      </c>
      <c r="G96">
        <v>90</v>
      </c>
      <c r="H96">
        <v>14054138.800000001</v>
      </c>
      <c r="I96">
        <v>89</v>
      </c>
      <c r="J96">
        <v>8.9600000000000009</v>
      </c>
      <c r="K96">
        <v>-8.8505E-2</v>
      </c>
      <c r="L96">
        <v>0.01</v>
      </c>
    </row>
    <row r="97" spans="1:12" x14ac:dyDescent="0.35">
      <c r="A97" s="1">
        <v>12387</v>
      </c>
      <c r="B97">
        <v>0.108553</v>
      </c>
      <c r="C97">
        <v>0.10206999999999999</v>
      </c>
      <c r="D97">
        <v>8.7617E-2</v>
      </c>
      <c r="E97">
        <v>8.4946999999999995E-2</v>
      </c>
      <c r="F97">
        <v>14068799.6</v>
      </c>
      <c r="G97">
        <v>90</v>
      </c>
      <c r="H97">
        <v>12765801.199999999</v>
      </c>
      <c r="I97">
        <v>89</v>
      </c>
      <c r="J97">
        <v>9.8800000000000008</v>
      </c>
      <c r="K97">
        <v>0.10267900000000001</v>
      </c>
      <c r="L97">
        <v>0.02</v>
      </c>
    </row>
    <row r="98" spans="1:12" x14ac:dyDescent="0.35">
      <c r="A98" s="1">
        <v>12418</v>
      </c>
      <c r="B98">
        <v>2.6693999999999999E-2</v>
      </c>
      <c r="C98">
        <v>2.443E-2</v>
      </c>
      <c r="D98">
        <v>2.8315E-2</v>
      </c>
      <c r="E98">
        <v>2.6218000000000002E-2</v>
      </c>
      <c r="F98">
        <v>14350816.199999999</v>
      </c>
      <c r="G98">
        <v>90</v>
      </c>
      <c r="H98">
        <v>14068799.6</v>
      </c>
      <c r="I98">
        <v>89</v>
      </c>
      <c r="J98">
        <v>10.1</v>
      </c>
      <c r="K98">
        <v>2.2266999999999999E-2</v>
      </c>
      <c r="L98">
        <v>0.02</v>
      </c>
    </row>
    <row r="99" spans="1:12" x14ac:dyDescent="0.35">
      <c r="A99" s="1">
        <v>12450</v>
      </c>
      <c r="B99">
        <v>0.115033</v>
      </c>
      <c r="C99">
        <v>0.113644</v>
      </c>
      <c r="D99">
        <v>0.20773900000000001</v>
      </c>
      <c r="E99">
        <v>0.20566899999999999</v>
      </c>
      <c r="F99">
        <v>15980449.6</v>
      </c>
      <c r="G99">
        <v>90</v>
      </c>
      <c r="H99">
        <v>14350816.199999999</v>
      </c>
      <c r="I99">
        <v>89</v>
      </c>
      <c r="J99">
        <v>11.17</v>
      </c>
      <c r="K99">
        <v>0.10594099999999999</v>
      </c>
      <c r="L99">
        <v>0.05</v>
      </c>
    </row>
    <row r="100" spans="1:12" x14ac:dyDescent="0.35">
      <c r="A100" s="1">
        <v>12478</v>
      </c>
      <c r="B100">
        <v>-3.2840000000000001E-2</v>
      </c>
      <c r="C100">
        <v>-3.7272E-2</v>
      </c>
      <c r="D100">
        <v>-2.6908999999999999E-2</v>
      </c>
      <c r="E100">
        <v>-2.9232000000000001E-2</v>
      </c>
      <c r="F100">
        <v>15384831.5</v>
      </c>
      <c r="G100">
        <v>90</v>
      </c>
      <c r="H100">
        <v>15980449.6</v>
      </c>
      <c r="I100">
        <v>89</v>
      </c>
      <c r="J100">
        <v>10.76</v>
      </c>
      <c r="K100">
        <v>-3.6705000000000002E-2</v>
      </c>
      <c r="L100">
        <v>0.02</v>
      </c>
    </row>
    <row r="101" spans="1:12" x14ac:dyDescent="0.35">
      <c r="A101" s="1">
        <v>12509</v>
      </c>
      <c r="B101">
        <v>5.3550000000000004E-3</v>
      </c>
      <c r="C101">
        <v>2.464E-3</v>
      </c>
      <c r="D101">
        <v>2.1259999999999999E-3</v>
      </c>
      <c r="E101">
        <v>-2.2599999999999999E-4</v>
      </c>
      <c r="F101">
        <v>15422745.1</v>
      </c>
      <c r="G101">
        <v>90</v>
      </c>
      <c r="H101">
        <v>15384831.5</v>
      </c>
      <c r="I101">
        <v>89</v>
      </c>
      <c r="J101">
        <v>10.75</v>
      </c>
      <c r="K101">
        <v>-9.2900000000000003E-4</v>
      </c>
      <c r="L101">
        <v>0.02</v>
      </c>
    </row>
    <row r="102" spans="1:12" x14ac:dyDescent="0.35">
      <c r="A102" s="1">
        <v>12539</v>
      </c>
      <c r="B102">
        <v>-2.5489999999999999E-2</v>
      </c>
      <c r="C102">
        <v>-2.6943999999999999E-2</v>
      </c>
      <c r="D102">
        <v>-8.7620000000000007E-3</v>
      </c>
      <c r="E102">
        <v>-1.0397E-2</v>
      </c>
      <c r="F102">
        <v>15026163.199999999</v>
      </c>
      <c r="G102">
        <v>90</v>
      </c>
      <c r="H102">
        <v>15422745.1</v>
      </c>
      <c r="I102">
        <v>89</v>
      </c>
      <c r="J102">
        <v>10.46</v>
      </c>
      <c r="K102">
        <v>-2.6977000000000001E-2</v>
      </c>
      <c r="L102">
        <v>0.01</v>
      </c>
    </row>
    <row r="103" spans="1:12" x14ac:dyDescent="0.35">
      <c r="A103" s="1">
        <v>12570</v>
      </c>
      <c r="B103">
        <v>-7.8496999999999997E-2</v>
      </c>
      <c r="C103">
        <v>-8.2254999999999995E-2</v>
      </c>
      <c r="D103">
        <v>-9.9887000000000004E-2</v>
      </c>
      <c r="E103">
        <v>-0.101924</v>
      </c>
      <c r="F103">
        <v>13790183.800000001</v>
      </c>
      <c r="G103">
        <v>90</v>
      </c>
      <c r="H103">
        <v>15026163.199999999</v>
      </c>
      <c r="I103">
        <v>90</v>
      </c>
      <c r="J103">
        <v>9.61</v>
      </c>
      <c r="K103">
        <v>-8.1262000000000001E-2</v>
      </c>
      <c r="L103">
        <v>0.01</v>
      </c>
    </row>
    <row r="104" spans="1:12" x14ac:dyDescent="0.35">
      <c r="A104" s="1">
        <v>12600</v>
      </c>
      <c r="B104">
        <v>2.4080000000000001E-2</v>
      </c>
      <c r="C104">
        <v>2.1101999999999999E-2</v>
      </c>
      <c r="D104">
        <v>2.7171000000000001E-2</v>
      </c>
      <c r="E104">
        <v>2.4656999999999998E-2</v>
      </c>
      <c r="F104">
        <v>14081193.199999999</v>
      </c>
      <c r="G104">
        <v>90</v>
      </c>
      <c r="H104">
        <v>13790183.800000001</v>
      </c>
      <c r="I104">
        <v>90</v>
      </c>
      <c r="J104">
        <v>9.81</v>
      </c>
      <c r="K104">
        <v>2.0812000000000001E-2</v>
      </c>
      <c r="L104">
        <v>0.01</v>
      </c>
    </row>
    <row r="105" spans="1:12" x14ac:dyDescent="0.35">
      <c r="A105" s="1">
        <v>12631</v>
      </c>
      <c r="B105">
        <v>-0.11984599999999999</v>
      </c>
      <c r="C105">
        <v>-0.121723</v>
      </c>
      <c r="D105">
        <v>-0.18762499999999999</v>
      </c>
      <c r="E105">
        <v>-0.18973999999999999</v>
      </c>
      <c r="F105">
        <v>12380214.9</v>
      </c>
      <c r="G105">
        <v>90</v>
      </c>
      <c r="H105">
        <v>14081193.199999999</v>
      </c>
      <c r="I105">
        <v>90</v>
      </c>
      <c r="J105">
        <v>8.68</v>
      </c>
      <c r="K105">
        <v>-0.115189</v>
      </c>
      <c r="L105">
        <v>0.01</v>
      </c>
    </row>
    <row r="106" spans="1:12" x14ac:dyDescent="0.35">
      <c r="A106" s="1">
        <v>12662</v>
      </c>
      <c r="B106">
        <v>5.8650000000000001E-2</v>
      </c>
      <c r="C106">
        <v>5.1629000000000001E-2</v>
      </c>
      <c r="D106">
        <v>9.8212999999999995E-2</v>
      </c>
      <c r="E106">
        <v>9.5364000000000004E-2</v>
      </c>
      <c r="F106">
        <v>13019396.1</v>
      </c>
      <c r="G106">
        <v>90</v>
      </c>
      <c r="H106">
        <v>12380214.9</v>
      </c>
      <c r="I106">
        <v>90</v>
      </c>
      <c r="J106">
        <v>9.15</v>
      </c>
      <c r="K106">
        <v>5.4147000000000001E-2</v>
      </c>
      <c r="L106">
        <v>0.01</v>
      </c>
    </row>
    <row r="107" spans="1:12" x14ac:dyDescent="0.35">
      <c r="A107" s="1">
        <v>12691</v>
      </c>
      <c r="B107">
        <v>-2.1599999999999999E-4</v>
      </c>
      <c r="C107">
        <v>-3.127E-3</v>
      </c>
      <c r="D107">
        <v>4.9909999999999998E-3</v>
      </c>
      <c r="E107">
        <v>2.4099999999999998E-3</v>
      </c>
      <c r="F107">
        <v>12836657.9</v>
      </c>
      <c r="G107">
        <v>90</v>
      </c>
      <c r="H107">
        <v>12876913.9</v>
      </c>
      <c r="I107">
        <v>89</v>
      </c>
      <c r="J107">
        <v>9.1</v>
      </c>
      <c r="K107">
        <v>-5.4640000000000001E-3</v>
      </c>
      <c r="L107">
        <v>0.01</v>
      </c>
    </row>
    <row r="108" spans="1:12" x14ac:dyDescent="0.35">
      <c r="A108" s="1">
        <v>12723</v>
      </c>
      <c r="B108">
        <v>-3.2662999999999998E-2</v>
      </c>
      <c r="C108">
        <v>-3.3731999999999998E-2</v>
      </c>
      <c r="D108">
        <v>-4.4209999999999999E-2</v>
      </c>
      <c r="E108">
        <v>-4.5816999999999997E-2</v>
      </c>
      <c r="F108">
        <v>12530900.4</v>
      </c>
      <c r="G108">
        <v>90</v>
      </c>
      <c r="H108">
        <v>12836657.9</v>
      </c>
      <c r="I108">
        <v>89</v>
      </c>
      <c r="J108">
        <v>8.81</v>
      </c>
      <c r="K108">
        <v>-3.1868E-2</v>
      </c>
      <c r="L108">
        <v>0.01</v>
      </c>
    </row>
    <row r="109" spans="1:12" x14ac:dyDescent="0.35">
      <c r="A109" s="1">
        <v>12753</v>
      </c>
      <c r="B109">
        <v>8.6058999999999997E-2</v>
      </c>
      <c r="C109">
        <v>8.0682000000000004E-2</v>
      </c>
      <c r="D109">
        <v>8.9399999999999993E-2</v>
      </c>
      <c r="E109">
        <v>8.6623000000000006E-2</v>
      </c>
      <c r="F109">
        <v>13558813.6</v>
      </c>
      <c r="G109">
        <v>90</v>
      </c>
      <c r="H109">
        <v>12530900.4</v>
      </c>
      <c r="I109">
        <v>90</v>
      </c>
      <c r="J109">
        <v>9.5399999999999991</v>
      </c>
      <c r="K109">
        <v>8.2860000000000003E-2</v>
      </c>
      <c r="L109">
        <v>0.01</v>
      </c>
    </row>
    <row r="110" spans="1:12" x14ac:dyDescent="0.35">
      <c r="A110" s="1">
        <v>12784</v>
      </c>
      <c r="B110">
        <v>-6.8099999999999996E-4</v>
      </c>
      <c r="C110">
        <v>-4.4149999999999997E-3</v>
      </c>
      <c r="D110">
        <v>-1.8467999999999998E-2</v>
      </c>
      <c r="E110">
        <v>-2.1814E-2</v>
      </c>
      <c r="F110">
        <v>13486763</v>
      </c>
      <c r="G110">
        <v>90</v>
      </c>
      <c r="H110">
        <v>13558813.6</v>
      </c>
      <c r="I110">
        <v>90</v>
      </c>
      <c r="J110">
        <v>9.5</v>
      </c>
      <c r="K110">
        <v>-4.1929999999999997E-3</v>
      </c>
      <c r="L110">
        <v>0.01</v>
      </c>
    </row>
    <row r="111" spans="1:12" x14ac:dyDescent="0.35">
      <c r="A111" s="1">
        <v>12815</v>
      </c>
      <c r="B111">
        <v>-4.2368000000000003E-2</v>
      </c>
      <c r="C111">
        <v>-4.3755000000000002E-2</v>
      </c>
      <c r="D111">
        <v>-5.8033000000000001E-2</v>
      </c>
      <c r="E111">
        <v>-6.0019000000000003E-2</v>
      </c>
      <c r="F111">
        <v>12896645.5</v>
      </c>
      <c r="G111">
        <v>90</v>
      </c>
      <c r="H111">
        <v>13486763</v>
      </c>
      <c r="I111">
        <v>90</v>
      </c>
      <c r="J111">
        <v>9.1</v>
      </c>
      <c r="K111">
        <v>-4.2104999999999997E-2</v>
      </c>
      <c r="L111">
        <v>0.01</v>
      </c>
    </row>
    <row r="112" spans="1:12" x14ac:dyDescent="0.35">
      <c r="A112" s="1">
        <v>12843</v>
      </c>
      <c r="B112">
        <v>-3.6839999999999998E-2</v>
      </c>
      <c r="C112">
        <v>-4.2659999999999997E-2</v>
      </c>
      <c r="D112">
        <v>-6.8250000000000005E-2</v>
      </c>
      <c r="E112">
        <v>-7.1253999999999998E-2</v>
      </c>
      <c r="F112">
        <v>12346469.6</v>
      </c>
      <c r="G112">
        <v>90</v>
      </c>
      <c r="H112">
        <v>12896645.5</v>
      </c>
      <c r="I112">
        <v>90</v>
      </c>
      <c r="J112">
        <v>8.74</v>
      </c>
      <c r="K112">
        <v>-3.9559999999999998E-2</v>
      </c>
      <c r="L112">
        <v>0.02</v>
      </c>
    </row>
    <row r="113" spans="1:12" x14ac:dyDescent="0.35">
      <c r="A113" s="1">
        <v>12873</v>
      </c>
      <c r="B113">
        <v>-3.1454000000000003E-2</v>
      </c>
      <c r="C113">
        <v>-3.5324000000000001E-2</v>
      </c>
      <c r="D113">
        <v>-4.5069999999999999E-2</v>
      </c>
      <c r="E113">
        <v>-4.8381E-2</v>
      </c>
      <c r="F113">
        <v>11910339.699999999</v>
      </c>
      <c r="G113">
        <v>90</v>
      </c>
      <c r="H113">
        <v>12346469.6</v>
      </c>
      <c r="I113">
        <v>90</v>
      </c>
      <c r="J113">
        <v>8.4700000000000006</v>
      </c>
      <c r="K113">
        <v>-3.0891999999999999E-2</v>
      </c>
      <c r="L113">
        <v>0.01</v>
      </c>
    </row>
    <row r="114" spans="1:12" x14ac:dyDescent="0.35">
      <c r="A114" s="1">
        <v>12904</v>
      </c>
      <c r="B114">
        <v>9.6492999999999995E-2</v>
      </c>
      <c r="C114">
        <v>9.5347000000000001E-2</v>
      </c>
      <c r="D114">
        <v>9.8006999999999997E-2</v>
      </c>
      <c r="E114">
        <v>9.6540000000000001E-2</v>
      </c>
      <c r="F114">
        <v>13045957.800000001</v>
      </c>
      <c r="G114">
        <v>90</v>
      </c>
      <c r="H114">
        <v>11910339.699999999</v>
      </c>
      <c r="I114">
        <v>90</v>
      </c>
      <c r="J114">
        <v>9.2799999999999994</v>
      </c>
      <c r="K114">
        <v>9.5631999999999995E-2</v>
      </c>
      <c r="L114">
        <v>0.01</v>
      </c>
    </row>
    <row r="115" spans="1:12" x14ac:dyDescent="0.35">
      <c r="A115" s="1">
        <v>12935</v>
      </c>
      <c r="B115">
        <v>3.8135000000000002E-2</v>
      </c>
      <c r="C115">
        <v>3.3058999999999998E-2</v>
      </c>
      <c r="D115">
        <v>5.2127E-2</v>
      </c>
      <c r="E115">
        <v>4.9410000000000003E-2</v>
      </c>
      <c r="F115">
        <v>13477245.6</v>
      </c>
      <c r="G115">
        <v>90</v>
      </c>
      <c r="H115">
        <v>13045957.800000001</v>
      </c>
      <c r="I115">
        <v>90</v>
      </c>
      <c r="J115">
        <v>9.58</v>
      </c>
      <c r="K115">
        <v>3.2328000000000003E-2</v>
      </c>
      <c r="L115">
        <v>0.01</v>
      </c>
    </row>
    <row r="116" spans="1:12" x14ac:dyDescent="0.35">
      <c r="A116" s="1">
        <v>12964</v>
      </c>
      <c r="B116">
        <v>7.0532999999999998E-2</v>
      </c>
      <c r="C116">
        <v>6.7124000000000003E-2</v>
      </c>
      <c r="D116">
        <v>7.2708999999999996E-2</v>
      </c>
      <c r="E116">
        <v>6.9916000000000006E-2</v>
      </c>
      <c r="F116">
        <v>14381896.199999999</v>
      </c>
      <c r="G116">
        <v>90</v>
      </c>
      <c r="H116">
        <v>13477245.6</v>
      </c>
      <c r="I116">
        <v>90</v>
      </c>
      <c r="J116">
        <v>10.23</v>
      </c>
      <c r="K116">
        <v>6.7849999999999994E-2</v>
      </c>
      <c r="L116">
        <v>0.01</v>
      </c>
    </row>
    <row r="117" spans="1:12" x14ac:dyDescent="0.35">
      <c r="A117" s="1">
        <v>12996</v>
      </c>
      <c r="B117">
        <v>8.3814E-2</v>
      </c>
      <c r="C117">
        <v>8.2471000000000003E-2</v>
      </c>
      <c r="D117">
        <v>9.2141000000000001E-2</v>
      </c>
      <c r="E117">
        <v>9.0329000000000007E-2</v>
      </c>
      <c r="F117">
        <v>15567988.6</v>
      </c>
      <c r="G117">
        <v>90</v>
      </c>
      <c r="H117">
        <v>14381896.199999999</v>
      </c>
      <c r="I117">
        <v>90</v>
      </c>
      <c r="J117">
        <v>11.08</v>
      </c>
      <c r="K117">
        <v>8.3088999999999996E-2</v>
      </c>
      <c r="L117">
        <v>0.01</v>
      </c>
    </row>
    <row r="118" spans="1:12" x14ac:dyDescent="0.35">
      <c r="A118" s="1">
        <v>13027</v>
      </c>
      <c r="B118">
        <v>2.6568999999999999E-2</v>
      </c>
      <c r="C118">
        <v>2.2105E-2</v>
      </c>
      <c r="D118">
        <v>6.4229999999999995E-2</v>
      </c>
      <c r="E118">
        <v>6.2257E-2</v>
      </c>
      <c r="F118">
        <v>15885007.800000001</v>
      </c>
      <c r="G118">
        <v>90</v>
      </c>
      <c r="H118">
        <v>15567988.6</v>
      </c>
      <c r="I118">
        <v>90</v>
      </c>
      <c r="J118">
        <v>11.32</v>
      </c>
      <c r="K118">
        <v>2.1661E-2</v>
      </c>
      <c r="L118">
        <v>0.01</v>
      </c>
    </row>
    <row r="119" spans="1:12" x14ac:dyDescent="0.35">
      <c r="A119" s="1">
        <v>13057</v>
      </c>
      <c r="B119">
        <v>2.5526E-2</v>
      </c>
      <c r="C119">
        <v>2.2175E-2</v>
      </c>
      <c r="D119">
        <v>1.3623E-2</v>
      </c>
      <c r="E119">
        <v>1.0788000000000001E-2</v>
      </c>
      <c r="F119">
        <v>16237254.9</v>
      </c>
      <c r="G119">
        <v>90</v>
      </c>
      <c r="H119">
        <v>15885007.800000001</v>
      </c>
      <c r="I119">
        <v>90</v>
      </c>
      <c r="J119">
        <v>11.59</v>
      </c>
      <c r="K119">
        <v>2.3852000000000002E-2</v>
      </c>
      <c r="L119">
        <v>0.01</v>
      </c>
    </row>
    <row r="120" spans="1:12" x14ac:dyDescent="0.35">
      <c r="A120" s="1">
        <v>13088</v>
      </c>
      <c r="B120">
        <v>7.1803000000000006E-2</v>
      </c>
      <c r="C120">
        <v>7.0634000000000002E-2</v>
      </c>
      <c r="D120">
        <v>7.7786999999999995E-2</v>
      </c>
      <c r="E120">
        <v>7.5864000000000001E-2</v>
      </c>
      <c r="F120">
        <v>17384156.600000001</v>
      </c>
      <c r="G120">
        <v>90</v>
      </c>
      <c r="H120">
        <v>16237254.9</v>
      </c>
      <c r="I120">
        <v>90</v>
      </c>
      <c r="J120">
        <v>12.46</v>
      </c>
      <c r="K120">
        <v>7.5065000000000007E-2</v>
      </c>
      <c r="L120">
        <v>0.01</v>
      </c>
    </row>
    <row r="121" spans="1:12" x14ac:dyDescent="0.35">
      <c r="A121" s="1">
        <v>13118</v>
      </c>
      <c r="B121">
        <v>5.1943000000000003E-2</v>
      </c>
      <c r="C121">
        <v>4.5620000000000001E-2</v>
      </c>
      <c r="D121">
        <v>0.114276</v>
      </c>
      <c r="E121">
        <v>0.111918</v>
      </c>
      <c r="F121">
        <v>18177064.600000001</v>
      </c>
      <c r="G121">
        <v>90</v>
      </c>
      <c r="H121">
        <v>17384156.600000001</v>
      </c>
      <c r="I121">
        <v>90</v>
      </c>
      <c r="J121">
        <v>12.95</v>
      </c>
      <c r="K121">
        <v>3.9326E-2</v>
      </c>
      <c r="L121">
        <v>0.02</v>
      </c>
    </row>
    <row r="122" spans="1:12" x14ac:dyDescent="0.35">
      <c r="A122" s="1">
        <v>13149</v>
      </c>
      <c r="B122">
        <v>3.9886999999999999E-2</v>
      </c>
      <c r="C122">
        <v>3.6743999999999999E-2</v>
      </c>
      <c r="D122">
        <v>4.6802000000000003E-2</v>
      </c>
      <c r="E122">
        <v>4.3700000000000003E-2</v>
      </c>
      <c r="F122">
        <v>18849101.300000001</v>
      </c>
      <c r="G122">
        <v>90</v>
      </c>
      <c r="H122">
        <v>18177064.600000001</v>
      </c>
      <c r="I122">
        <v>90</v>
      </c>
      <c r="J122">
        <v>13.43</v>
      </c>
      <c r="K122">
        <v>3.7066000000000002E-2</v>
      </c>
      <c r="L122">
        <v>0.01</v>
      </c>
    </row>
    <row r="123" spans="1:12" x14ac:dyDescent="0.35">
      <c r="A123" s="1">
        <v>13180</v>
      </c>
      <c r="B123">
        <v>7.1831999999999993E-2</v>
      </c>
      <c r="C123">
        <v>7.0186999999999999E-2</v>
      </c>
      <c r="D123">
        <v>0.113332</v>
      </c>
      <c r="E123">
        <v>0.11157400000000001</v>
      </c>
      <c r="F123">
        <v>20172070</v>
      </c>
      <c r="G123">
        <v>90</v>
      </c>
      <c r="H123">
        <v>18849101.300000001</v>
      </c>
      <c r="I123">
        <v>90</v>
      </c>
      <c r="J123">
        <v>14.31</v>
      </c>
      <c r="K123">
        <v>6.5525E-2</v>
      </c>
      <c r="L123">
        <v>0.01</v>
      </c>
    </row>
    <row r="124" spans="1:12" x14ac:dyDescent="0.35">
      <c r="A124" s="1">
        <v>13209</v>
      </c>
      <c r="B124">
        <v>2.2460999999999998E-2</v>
      </c>
      <c r="C124">
        <v>1.8856999999999999E-2</v>
      </c>
      <c r="D124">
        <v>4.5962999999999997E-2</v>
      </c>
      <c r="E124">
        <v>4.3968E-2</v>
      </c>
      <c r="F124">
        <v>20552449.5</v>
      </c>
      <c r="G124">
        <v>90</v>
      </c>
      <c r="H124">
        <v>20172070</v>
      </c>
      <c r="I124">
        <v>90</v>
      </c>
      <c r="J124">
        <v>14.55</v>
      </c>
      <c r="K124">
        <v>1.6771000000000001E-2</v>
      </c>
      <c r="L124">
        <v>0.01</v>
      </c>
    </row>
    <row r="125" spans="1:12" x14ac:dyDescent="0.35">
      <c r="A125" s="1">
        <v>13240</v>
      </c>
      <c r="B125">
        <v>2.4028999999999998E-2</v>
      </c>
      <c r="C125">
        <v>2.1457E-2</v>
      </c>
      <c r="D125">
        <v>7.6499999999999995E-4</v>
      </c>
      <c r="E125">
        <v>-1.495E-3</v>
      </c>
      <c r="F125">
        <v>20754445.199999999</v>
      </c>
      <c r="G125">
        <v>90</v>
      </c>
      <c r="H125">
        <v>20318476.399999999</v>
      </c>
      <c r="I125">
        <v>89</v>
      </c>
      <c r="J125">
        <v>14.92</v>
      </c>
      <c r="K125">
        <v>2.5430000000000001E-2</v>
      </c>
      <c r="L125">
        <v>0.02</v>
      </c>
    </row>
    <row r="126" spans="1:12" x14ac:dyDescent="0.35">
      <c r="A126" s="1">
        <v>13270</v>
      </c>
      <c r="B126">
        <v>-7.7588000000000004E-2</v>
      </c>
      <c r="C126">
        <v>-7.8355999999999995E-2</v>
      </c>
      <c r="D126">
        <v>-9.7463999999999995E-2</v>
      </c>
      <c r="E126">
        <v>-9.8552000000000001E-2</v>
      </c>
      <c r="F126">
        <v>19353767.100000001</v>
      </c>
      <c r="G126">
        <v>90</v>
      </c>
      <c r="H126">
        <v>20754445.199999999</v>
      </c>
      <c r="I126">
        <v>89</v>
      </c>
      <c r="J126">
        <v>13.77</v>
      </c>
      <c r="K126">
        <v>-7.7077999999999994E-2</v>
      </c>
      <c r="L126">
        <v>0.02</v>
      </c>
    </row>
    <row r="127" spans="1:12" x14ac:dyDescent="0.35">
      <c r="A127" s="1">
        <v>13299</v>
      </c>
      <c r="B127">
        <v>5.3106E-2</v>
      </c>
      <c r="C127">
        <v>4.6970999999999999E-2</v>
      </c>
      <c r="D127">
        <v>6.2926999999999997E-2</v>
      </c>
      <c r="E127">
        <v>6.0843000000000001E-2</v>
      </c>
      <c r="F127">
        <v>20262841.199999999</v>
      </c>
      <c r="G127">
        <v>90</v>
      </c>
      <c r="H127">
        <v>19353767.100000001</v>
      </c>
      <c r="I127">
        <v>90</v>
      </c>
      <c r="J127">
        <v>14.4</v>
      </c>
      <c r="K127">
        <v>4.5752000000000001E-2</v>
      </c>
      <c r="L127">
        <v>0.02</v>
      </c>
    </row>
    <row r="128" spans="1:12" x14ac:dyDescent="0.35">
      <c r="A128" s="1">
        <v>13331</v>
      </c>
      <c r="B128">
        <v>3.2542000000000001E-2</v>
      </c>
      <c r="C128">
        <v>2.9509000000000001E-2</v>
      </c>
      <c r="D128">
        <v>1.9286000000000001E-2</v>
      </c>
      <c r="E128">
        <v>1.6448000000000001E-2</v>
      </c>
      <c r="F128">
        <v>20909453</v>
      </c>
      <c r="G128">
        <v>90</v>
      </c>
      <c r="H128">
        <v>20262841.199999999</v>
      </c>
      <c r="I128">
        <v>90</v>
      </c>
      <c r="J128">
        <v>14.84</v>
      </c>
      <c r="K128">
        <v>3.0556E-2</v>
      </c>
      <c r="L128">
        <v>0.03</v>
      </c>
    </row>
    <row r="129" spans="1:12" x14ac:dyDescent="0.35">
      <c r="A129" s="1">
        <v>13362</v>
      </c>
      <c r="B129">
        <v>7.3441999999999993E-2</v>
      </c>
      <c r="C129">
        <v>7.2356000000000004E-2</v>
      </c>
      <c r="D129">
        <v>8.6786000000000002E-2</v>
      </c>
      <c r="E129">
        <v>8.5101999999999997E-2</v>
      </c>
      <c r="F129">
        <v>22424051.600000001</v>
      </c>
      <c r="G129">
        <v>90</v>
      </c>
      <c r="H129">
        <v>20909453</v>
      </c>
      <c r="I129">
        <v>90</v>
      </c>
      <c r="J129">
        <v>15.85</v>
      </c>
      <c r="K129">
        <v>6.8058999999999995E-2</v>
      </c>
      <c r="L129">
        <v>0.01</v>
      </c>
    </row>
    <row r="130" spans="1:12" x14ac:dyDescent="0.35">
      <c r="A130" s="1">
        <v>13393</v>
      </c>
      <c r="B130">
        <v>1.4123999999999999E-2</v>
      </c>
      <c r="C130">
        <v>8.9300000000000004E-3</v>
      </c>
      <c r="D130">
        <v>2.4098999999999999E-2</v>
      </c>
      <c r="E130">
        <v>2.1877000000000001E-2</v>
      </c>
      <c r="F130">
        <v>22624289.199999999</v>
      </c>
      <c r="G130">
        <v>90</v>
      </c>
      <c r="H130">
        <v>22424051.600000001</v>
      </c>
      <c r="I130">
        <v>90</v>
      </c>
      <c r="J130">
        <v>15.99</v>
      </c>
      <c r="K130">
        <v>8.8330000000000006E-3</v>
      </c>
      <c r="L130">
        <v>0.02</v>
      </c>
    </row>
    <row r="131" spans="1:12" x14ac:dyDescent="0.35">
      <c r="A131" s="1">
        <v>13423</v>
      </c>
      <c r="B131">
        <v>4.8170000000000001E-3</v>
      </c>
      <c r="C131">
        <v>1.6169999999999999E-3</v>
      </c>
      <c r="D131">
        <v>1.6308E-2</v>
      </c>
      <c r="E131">
        <v>1.3261E-2</v>
      </c>
      <c r="F131">
        <v>22660864.699999999</v>
      </c>
      <c r="G131">
        <v>90</v>
      </c>
      <c r="H131">
        <v>22624289.199999999</v>
      </c>
      <c r="I131">
        <v>90</v>
      </c>
      <c r="J131">
        <v>16.010000000000002</v>
      </c>
      <c r="K131">
        <v>1.2509999999999999E-3</v>
      </c>
      <c r="L131">
        <v>0.01</v>
      </c>
    </row>
    <row r="132" spans="1:12" x14ac:dyDescent="0.35">
      <c r="A132" s="1">
        <v>13454</v>
      </c>
      <c r="B132">
        <v>7.6281000000000002E-2</v>
      </c>
      <c r="C132">
        <v>7.5272000000000006E-2</v>
      </c>
      <c r="D132">
        <v>5.8555999999999997E-2</v>
      </c>
      <c r="E132">
        <v>5.6529000000000003E-2</v>
      </c>
      <c r="F132">
        <v>24366598.5</v>
      </c>
      <c r="G132">
        <v>90</v>
      </c>
      <c r="H132">
        <v>22660864.699999999</v>
      </c>
      <c r="I132">
        <v>90</v>
      </c>
      <c r="J132">
        <v>17.21</v>
      </c>
      <c r="K132">
        <v>7.4953000000000006E-2</v>
      </c>
      <c r="L132">
        <v>0.02</v>
      </c>
    </row>
    <row r="133" spans="1:12" x14ac:dyDescent="0.35">
      <c r="A133" s="1">
        <v>13484</v>
      </c>
      <c r="B133">
        <v>1.0666E-2</v>
      </c>
      <c r="C133">
        <v>-3.21E-4</v>
      </c>
      <c r="D133">
        <v>3.3980999999999997E-2</v>
      </c>
      <c r="E133">
        <v>2.7813000000000001E-2</v>
      </c>
      <c r="F133">
        <v>24358771.399999999</v>
      </c>
      <c r="G133">
        <v>90</v>
      </c>
      <c r="H133">
        <v>24366598.5</v>
      </c>
      <c r="I133">
        <v>90</v>
      </c>
      <c r="J133">
        <v>17.28</v>
      </c>
      <c r="K133">
        <v>4.0670000000000003E-3</v>
      </c>
      <c r="L133">
        <v>0.01</v>
      </c>
    </row>
    <row r="134" spans="1:12" x14ac:dyDescent="0.35">
      <c r="A134" s="1">
        <v>13515</v>
      </c>
      <c r="B134">
        <v>-3.8300000000000001E-3</v>
      </c>
      <c r="C134">
        <v>-7.2890000000000003E-3</v>
      </c>
      <c r="D134">
        <v>1.2644000000000001E-2</v>
      </c>
      <c r="E134">
        <v>9.2309999999999996E-3</v>
      </c>
      <c r="F134">
        <v>24307618.399999999</v>
      </c>
      <c r="G134">
        <v>90</v>
      </c>
      <c r="H134">
        <v>24358771.399999999</v>
      </c>
      <c r="I134">
        <v>90</v>
      </c>
      <c r="J134">
        <v>17.18</v>
      </c>
      <c r="K134">
        <v>-5.7869999999999996E-3</v>
      </c>
      <c r="L134">
        <v>0</v>
      </c>
    </row>
    <row r="135" spans="1:12" x14ac:dyDescent="0.35">
      <c r="A135" s="1">
        <v>13545</v>
      </c>
      <c r="B135">
        <v>3.6648E-2</v>
      </c>
      <c r="C135">
        <v>3.5915999999999997E-2</v>
      </c>
      <c r="D135">
        <v>5.0525E-2</v>
      </c>
      <c r="E135">
        <v>4.9084000000000003E-2</v>
      </c>
      <c r="F135">
        <v>25173100.5</v>
      </c>
      <c r="G135">
        <v>90</v>
      </c>
      <c r="H135">
        <v>24307618.399999999</v>
      </c>
      <c r="I135">
        <v>90</v>
      </c>
      <c r="J135">
        <v>17.829999999999998</v>
      </c>
      <c r="K135">
        <v>3.7835000000000001E-2</v>
      </c>
      <c r="L135">
        <v>0.01</v>
      </c>
    </row>
    <row r="136" spans="1:12" x14ac:dyDescent="0.35">
      <c r="A136" s="1">
        <v>13573</v>
      </c>
      <c r="B136">
        <v>1.8482999999999999E-2</v>
      </c>
      <c r="C136">
        <v>1.5350000000000001E-2</v>
      </c>
      <c r="D136">
        <v>3.0578999999999999E-2</v>
      </c>
      <c r="E136">
        <v>2.8191000000000001E-2</v>
      </c>
      <c r="F136">
        <v>25581658</v>
      </c>
      <c r="G136">
        <v>90</v>
      </c>
      <c r="H136">
        <v>25173100.5</v>
      </c>
      <c r="I136">
        <v>90</v>
      </c>
      <c r="J136">
        <v>18.09</v>
      </c>
      <c r="K136">
        <v>1.4581999999999999E-2</v>
      </c>
      <c r="L136">
        <v>0.02</v>
      </c>
    </row>
    <row r="137" spans="1:12" x14ac:dyDescent="0.35">
      <c r="A137" s="1">
        <v>13605</v>
      </c>
      <c r="B137">
        <v>-3.5109999999999998E-3</v>
      </c>
      <c r="C137">
        <v>-6.2420000000000002E-3</v>
      </c>
      <c r="D137">
        <v>1.4876E-2</v>
      </c>
      <c r="E137">
        <v>1.1969E-2</v>
      </c>
      <c r="F137">
        <v>25566856.899999999</v>
      </c>
      <c r="G137">
        <v>90</v>
      </c>
      <c r="H137">
        <v>25581658</v>
      </c>
      <c r="I137">
        <v>90</v>
      </c>
      <c r="J137">
        <v>17.920000000000002</v>
      </c>
      <c r="K137">
        <v>-9.3970000000000008E-3</v>
      </c>
      <c r="L137">
        <v>0.01</v>
      </c>
    </row>
    <row r="138" spans="1:12" x14ac:dyDescent="0.35">
      <c r="A138" s="1">
        <v>13635</v>
      </c>
      <c r="B138">
        <v>-8.0645999999999995E-2</v>
      </c>
      <c r="C138">
        <v>-8.1490000000000007E-2</v>
      </c>
      <c r="D138">
        <v>-8.7845000000000006E-2</v>
      </c>
      <c r="E138">
        <v>-8.8982000000000006E-2</v>
      </c>
      <c r="F138">
        <v>23502236.899999999</v>
      </c>
      <c r="G138">
        <v>90</v>
      </c>
      <c r="H138">
        <v>25566856.899999999</v>
      </c>
      <c r="I138">
        <v>90</v>
      </c>
      <c r="J138">
        <v>16.43</v>
      </c>
      <c r="K138">
        <v>-8.3146999999999999E-2</v>
      </c>
      <c r="L138">
        <v>0.03</v>
      </c>
    </row>
    <row r="139" spans="1:12" x14ac:dyDescent="0.35">
      <c r="A139" s="1">
        <v>13663</v>
      </c>
      <c r="B139">
        <v>-5.6990000000000001E-3</v>
      </c>
      <c r="C139">
        <v>-1.1686E-2</v>
      </c>
      <c r="D139">
        <v>-2.7491999999999999E-2</v>
      </c>
      <c r="E139">
        <v>-3.0766999999999999E-2</v>
      </c>
      <c r="F139">
        <v>23227600</v>
      </c>
      <c r="G139">
        <v>90</v>
      </c>
      <c r="H139">
        <v>23502236.899999999</v>
      </c>
      <c r="I139">
        <v>90</v>
      </c>
      <c r="J139">
        <v>16.260000000000002</v>
      </c>
      <c r="K139">
        <v>-1.0347E-2</v>
      </c>
      <c r="L139">
        <v>0.06</v>
      </c>
    </row>
    <row r="140" spans="1:12" x14ac:dyDescent="0.35">
      <c r="A140" s="1">
        <v>13696</v>
      </c>
      <c r="B140">
        <v>-5.3802999999999997E-2</v>
      </c>
      <c r="C140">
        <v>-5.7853000000000002E-2</v>
      </c>
      <c r="D140">
        <v>-7.6649999999999996E-2</v>
      </c>
      <c r="E140">
        <v>-8.0643000000000006E-2</v>
      </c>
      <c r="F140">
        <v>21883805.600000001</v>
      </c>
      <c r="G140">
        <v>90</v>
      </c>
      <c r="H140">
        <v>23227600</v>
      </c>
      <c r="I140">
        <v>90</v>
      </c>
      <c r="J140">
        <v>15.4</v>
      </c>
      <c r="K140">
        <v>-5.2891000000000001E-2</v>
      </c>
      <c r="L140">
        <v>0.03</v>
      </c>
    </row>
    <row r="141" spans="1:12" x14ac:dyDescent="0.35">
      <c r="A141" s="1">
        <v>13727</v>
      </c>
      <c r="B141">
        <v>9.8990999999999996E-2</v>
      </c>
      <c r="C141">
        <v>9.8012000000000002E-2</v>
      </c>
      <c r="D141">
        <v>0.114579</v>
      </c>
      <c r="E141">
        <v>0.112886</v>
      </c>
      <c r="F141">
        <v>24028887.5</v>
      </c>
      <c r="G141">
        <v>90</v>
      </c>
      <c r="H141">
        <v>21883805.600000001</v>
      </c>
      <c r="I141">
        <v>90</v>
      </c>
      <c r="J141">
        <v>16.98</v>
      </c>
      <c r="K141">
        <v>0.10259699999999999</v>
      </c>
      <c r="L141">
        <v>0.03</v>
      </c>
    </row>
    <row r="142" spans="1:12" x14ac:dyDescent="0.35">
      <c r="A142" s="1">
        <v>13758</v>
      </c>
      <c r="B142">
        <v>-5.1182999999999999E-2</v>
      </c>
      <c r="C142">
        <v>-5.6291000000000001E-2</v>
      </c>
      <c r="D142">
        <v>-5.8171E-2</v>
      </c>
      <c r="E142">
        <v>-6.1524000000000002E-2</v>
      </c>
      <c r="F142">
        <v>22679667.899999999</v>
      </c>
      <c r="G142">
        <v>90</v>
      </c>
      <c r="H142">
        <v>24028887.5</v>
      </c>
      <c r="I142">
        <v>90</v>
      </c>
      <c r="J142">
        <v>16.04</v>
      </c>
      <c r="K142">
        <v>-5.5358999999999998E-2</v>
      </c>
      <c r="L142">
        <v>0.02</v>
      </c>
    </row>
    <row r="143" spans="1:12" x14ac:dyDescent="0.35">
      <c r="A143" s="1">
        <v>13788</v>
      </c>
      <c r="B143">
        <v>-0.13961000000000001</v>
      </c>
      <c r="C143">
        <v>-0.14368300000000001</v>
      </c>
      <c r="D143">
        <v>-0.174125</v>
      </c>
      <c r="E143">
        <v>-0.177727</v>
      </c>
      <c r="F143">
        <v>19440315.399999999</v>
      </c>
      <c r="G143">
        <v>90</v>
      </c>
      <c r="H143">
        <v>22679667.899999999</v>
      </c>
      <c r="I143">
        <v>90</v>
      </c>
      <c r="J143">
        <v>13.76</v>
      </c>
      <c r="K143">
        <v>-0.14214499999999999</v>
      </c>
      <c r="L143">
        <v>0.04</v>
      </c>
    </row>
    <row r="144" spans="1:12" x14ac:dyDescent="0.35">
      <c r="A144" s="1">
        <v>13818</v>
      </c>
      <c r="B144">
        <v>-0.10272199999999999</v>
      </c>
      <c r="C144">
        <v>-0.103703</v>
      </c>
      <c r="D144">
        <v>-0.111564</v>
      </c>
      <c r="E144">
        <v>-0.11322400000000001</v>
      </c>
      <c r="F144">
        <v>17424300.5</v>
      </c>
      <c r="G144">
        <v>90</v>
      </c>
      <c r="H144">
        <v>19440315.399999999</v>
      </c>
      <c r="I144">
        <v>90</v>
      </c>
      <c r="J144">
        <v>12.36</v>
      </c>
      <c r="K144">
        <v>-0.101744</v>
      </c>
      <c r="L144">
        <v>0.02</v>
      </c>
    </row>
    <row r="145" spans="1:12" x14ac:dyDescent="0.35">
      <c r="A145" s="1">
        <v>13849</v>
      </c>
      <c r="B145">
        <v>-8.4289000000000003E-2</v>
      </c>
      <c r="C145">
        <v>-0.100254</v>
      </c>
      <c r="D145">
        <v>-9.3808000000000002E-2</v>
      </c>
      <c r="E145">
        <v>-0.103987</v>
      </c>
      <c r="F145">
        <v>15677438.6</v>
      </c>
      <c r="G145">
        <v>90</v>
      </c>
      <c r="H145">
        <v>17424300.5</v>
      </c>
      <c r="I145">
        <v>90</v>
      </c>
      <c r="J145">
        <v>11.11</v>
      </c>
      <c r="K145">
        <v>-0.101133</v>
      </c>
      <c r="L145">
        <v>0.02</v>
      </c>
    </row>
    <row r="146" spans="1:12" x14ac:dyDescent="0.35">
      <c r="A146" s="1">
        <v>13880</v>
      </c>
      <c r="B146">
        <v>-4.5828000000000001E-2</v>
      </c>
      <c r="C146">
        <v>-5.3018999999999997E-2</v>
      </c>
      <c r="D146">
        <v>-9.3196000000000001E-2</v>
      </c>
      <c r="E146">
        <v>-0.10073799999999999</v>
      </c>
      <c r="F146">
        <v>14872056.5</v>
      </c>
      <c r="G146">
        <v>90</v>
      </c>
      <c r="H146">
        <v>15677438.6</v>
      </c>
      <c r="I146">
        <v>90</v>
      </c>
      <c r="J146">
        <v>10.55</v>
      </c>
      <c r="K146">
        <v>-5.0404999999999998E-2</v>
      </c>
      <c r="L146">
        <v>0</v>
      </c>
    </row>
    <row r="147" spans="1:12" x14ac:dyDescent="0.35">
      <c r="A147" s="1">
        <v>13911</v>
      </c>
      <c r="B147">
        <v>1.2163E-2</v>
      </c>
      <c r="C147">
        <v>1.1096E-2</v>
      </c>
      <c r="D147">
        <v>4.6049999999999997E-3</v>
      </c>
      <c r="E147">
        <v>2.7750000000000001E-3</v>
      </c>
      <c r="F147">
        <v>15037082.199999999</v>
      </c>
      <c r="G147">
        <v>90</v>
      </c>
      <c r="H147">
        <v>14872056.5</v>
      </c>
      <c r="I147">
        <v>90</v>
      </c>
      <c r="J147">
        <v>10.69</v>
      </c>
      <c r="K147">
        <v>1.3270000000000001E-2</v>
      </c>
      <c r="L147">
        <v>0</v>
      </c>
    </row>
    <row r="148" spans="1:12" x14ac:dyDescent="0.35">
      <c r="A148" s="1">
        <v>13939</v>
      </c>
      <c r="B148">
        <v>6.5756999999999996E-2</v>
      </c>
      <c r="C148">
        <v>6.1130999999999998E-2</v>
      </c>
      <c r="D148">
        <v>8.5088999999999998E-2</v>
      </c>
      <c r="E148">
        <v>8.1997E-2</v>
      </c>
      <c r="F148">
        <v>15956306.9</v>
      </c>
      <c r="G148">
        <v>90</v>
      </c>
      <c r="H148">
        <v>15037082.199999999</v>
      </c>
      <c r="I148">
        <v>90</v>
      </c>
      <c r="J148">
        <v>11.34</v>
      </c>
      <c r="K148">
        <v>6.0803999999999997E-2</v>
      </c>
      <c r="L148">
        <v>0</v>
      </c>
    </row>
    <row r="149" spans="1:12" x14ac:dyDescent="0.35">
      <c r="A149" s="1">
        <v>13970</v>
      </c>
      <c r="B149">
        <v>-0.254106</v>
      </c>
      <c r="C149">
        <v>-0.25795099999999999</v>
      </c>
      <c r="D149">
        <v>-0.30692700000000001</v>
      </c>
      <c r="E149">
        <v>-0.31052400000000002</v>
      </c>
      <c r="F149">
        <v>11840357.5</v>
      </c>
      <c r="G149">
        <v>90</v>
      </c>
      <c r="H149">
        <v>15956306.9</v>
      </c>
      <c r="I149">
        <v>90</v>
      </c>
      <c r="J149">
        <v>8.5</v>
      </c>
      <c r="K149">
        <v>-0.25044100000000002</v>
      </c>
      <c r="L149">
        <v>-0.01</v>
      </c>
    </row>
    <row r="150" spans="1:12" x14ac:dyDescent="0.35">
      <c r="A150" s="1">
        <v>14000</v>
      </c>
      <c r="B150">
        <v>0.14266699999999999</v>
      </c>
      <c r="C150">
        <v>0.14096600000000001</v>
      </c>
      <c r="D150">
        <v>0.189299</v>
      </c>
      <c r="E150">
        <v>0.18748600000000001</v>
      </c>
      <c r="F150">
        <v>13509445.800000001</v>
      </c>
      <c r="G150">
        <v>90</v>
      </c>
      <c r="H150">
        <v>11840357.5</v>
      </c>
      <c r="I150">
        <v>90</v>
      </c>
      <c r="J150">
        <v>9.6999999999999993</v>
      </c>
      <c r="K150">
        <v>0.141176</v>
      </c>
      <c r="L150">
        <v>0.01</v>
      </c>
    </row>
    <row r="151" spans="1:12" x14ac:dyDescent="0.35">
      <c r="A151" s="1">
        <v>14031</v>
      </c>
      <c r="B151">
        <v>-3.9973000000000002E-2</v>
      </c>
      <c r="C151">
        <v>-4.6036000000000001E-2</v>
      </c>
      <c r="D151">
        <v>-4.3337000000000001E-2</v>
      </c>
      <c r="E151">
        <v>-4.5942999999999998E-2</v>
      </c>
      <c r="F151">
        <v>12887530.699999999</v>
      </c>
      <c r="G151">
        <v>90</v>
      </c>
      <c r="H151">
        <v>13509445.800000001</v>
      </c>
      <c r="I151">
        <v>90</v>
      </c>
      <c r="J151">
        <v>9.27</v>
      </c>
      <c r="K151">
        <v>-4.4330000000000001E-2</v>
      </c>
      <c r="L151">
        <v>0</v>
      </c>
    </row>
    <row r="152" spans="1:12" x14ac:dyDescent="0.35">
      <c r="A152" s="1">
        <v>14061</v>
      </c>
      <c r="B152">
        <v>0.25351899999999999</v>
      </c>
      <c r="C152">
        <v>0.249304</v>
      </c>
      <c r="D152">
        <v>0.30514799999999997</v>
      </c>
      <c r="E152">
        <v>0.30092000000000002</v>
      </c>
      <c r="F152">
        <v>16100445.5</v>
      </c>
      <c r="G152">
        <v>90</v>
      </c>
      <c r="H152">
        <v>12887530.699999999</v>
      </c>
      <c r="I152">
        <v>90</v>
      </c>
      <c r="J152">
        <v>11.56</v>
      </c>
      <c r="K152">
        <v>0.247033</v>
      </c>
      <c r="L152">
        <v>0</v>
      </c>
    </row>
    <row r="153" spans="1:12" x14ac:dyDescent="0.35">
      <c r="A153" s="1">
        <v>14091</v>
      </c>
      <c r="B153">
        <v>7.4737999999999999E-2</v>
      </c>
      <c r="C153">
        <v>7.3871999999999993E-2</v>
      </c>
      <c r="D153">
        <v>9.0908000000000003E-2</v>
      </c>
      <c r="E153">
        <v>8.9834999999999998E-2</v>
      </c>
      <c r="F153">
        <v>17289821.399999999</v>
      </c>
      <c r="G153">
        <v>90</v>
      </c>
      <c r="H153">
        <v>16100445.5</v>
      </c>
      <c r="I153">
        <v>90</v>
      </c>
      <c r="J153">
        <v>12.4</v>
      </c>
      <c r="K153">
        <v>7.2664000000000006E-2</v>
      </c>
      <c r="L153">
        <v>-0.01</v>
      </c>
    </row>
    <row r="154" spans="1:12" x14ac:dyDescent="0.35">
      <c r="A154" s="1">
        <v>14123</v>
      </c>
      <c r="B154">
        <v>-2.5901E-2</v>
      </c>
      <c r="C154">
        <v>-2.9465000000000002E-2</v>
      </c>
      <c r="D154">
        <v>-5.9336E-2</v>
      </c>
      <c r="E154">
        <v>-6.1588999999999998E-2</v>
      </c>
      <c r="F154">
        <v>16780368.800000001</v>
      </c>
      <c r="G154">
        <v>90</v>
      </c>
      <c r="H154">
        <v>17289821.399999999</v>
      </c>
      <c r="I154">
        <v>90</v>
      </c>
      <c r="J154">
        <v>12.06</v>
      </c>
      <c r="K154">
        <v>-2.7418999999999999E-2</v>
      </c>
      <c r="L154">
        <v>0</v>
      </c>
    </row>
    <row r="155" spans="1:12" x14ac:dyDescent="0.35">
      <c r="A155" s="1">
        <v>14153</v>
      </c>
      <c r="B155">
        <v>1.6931999999999999E-2</v>
      </c>
      <c r="C155">
        <v>1.3867000000000001E-2</v>
      </c>
      <c r="D155">
        <v>-2.6489999999999999E-3</v>
      </c>
      <c r="E155">
        <v>-5.6309999999999997E-3</v>
      </c>
      <c r="F155">
        <v>17013062.800000001</v>
      </c>
      <c r="G155">
        <v>90</v>
      </c>
      <c r="H155">
        <v>16780368.800000001</v>
      </c>
      <c r="I155">
        <v>90</v>
      </c>
      <c r="J155">
        <v>12.24</v>
      </c>
      <c r="K155">
        <v>1.4925000000000001E-2</v>
      </c>
      <c r="L155">
        <v>0.02</v>
      </c>
    </row>
    <row r="156" spans="1:12" x14ac:dyDescent="0.35">
      <c r="A156" s="1">
        <v>14184</v>
      </c>
      <c r="B156">
        <v>7.8960000000000002E-2</v>
      </c>
      <c r="C156">
        <v>7.8200000000000006E-2</v>
      </c>
      <c r="D156">
        <v>0.15041599999999999</v>
      </c>
      <c r="E156">
        <v>0.149341</v>
      </c>
      <c r="F156">
        <v>18343480.800000001</v>
      </c>
      <c r="G156">
        <v>90</v>
      </c>
      <c r="H156">
        <v>17013062.800000001</v>
      </c>
      <c r="I156">
        <v>90</v>
      </c>
      <c r="J156">
        <v>13.17</v>
      </c>
      <c r="K156">
        <v>7.5980000000000006E-2</v>
      </c>
      <c r="L156">
        <v>0.01</v>
      </c>
    </row>
    <row r="157" spans="1:12" x14ac:dyDescent="0.35">
      <c r="A157" s="1">
        <v>14214</v>
      </c>
      <c r="B157">
        <v>-2.6207000000000001E-2</v>
      </c>
      <c r="C157">
        <v>-3.2784000000000001E-2</v>
      </c>
      <c r="D157">
        <v>-4.4653999999999999E-2</v>
      </c>
      <c r="E157">
        <v>-4.8439999999999997E-2</v>
      </c>
      <c r="F157">
        <v>17742091.600000001</v>
      </c>
      <c r="G157">
        <v>90</v>
      </c>
      <c r="H157">
        <v>18343480.800000001</v>
      </c>
      <c r="I157">
        <v>90</v>
      </c>
      <c r="J157">
        <v>12.73</v>
      </c>
      <c r="K157">
        <v>-3.3409000000000001E-2</v>
      </c>
      <c r="L157">
        <v>-0.06</v>
      </c>
    </row>
    <row r="158" spans="1:12" x14ac:dyDescent="0.35">
      <c r="A158" s="1">
        <v>14245</v>
      </c>
      <c r="B158">
        <v>4.4810000000000003E-2</v>
      </c>
      <c r="C158">
        <v>4.1537999999999999E-2</v>
      </c>
      <c r="D158">
        <v>6.4239000000000004E-2</v>
      </c>
      <c r="E158">
        <v>6.1349000000000001E-2</v>
      </c>
      <c r="F158">
        <v>18422099.199999999</v>
      </c>
      <c r="G158">
        <v>90</v>
      </c>
      <c r="H158">
        <v>17742091.600000001</v>
      </c>
      <c r="I158">
        <v>90</v>
      </c>
      <c r="J158">
        <v>13.21</v>
      </c>
      <c r="K158">
        <v>3.7706000000000003E-2</v>
      </c>
      <c r="L158">
        <v>0</v>
      </c>
    </row>
    <row r="159" spans="1:12" x14ac:dyDescent="0.35">
      <c r="A159" s="1">
        <v>14276</v>
      </c>
      <c r="B159">
        <v>-7.0505999999999999E-2</v>
      </c>
      <c r="C159">
        <v>-7.1314000000000002E-2</v>
      </c>
      <c r="D159">
        <v>-8.3678000000000002E-2</v>
      </c>
      <c r="E159">
        <v>-8.4949999999999998E-2</v>
      </c>
      <c r="F159">
        <v>17108347.100000001</v>
      </c>
      <c r="G159">
        <v>90</v>
      </c>
      <c r="H159">
        <v>18422099.199999999</v>
      </c>
      <c r="I159">
        <v>90</v>
      </c>
      <c r="J159">
        <v>12.3</v>
      </c>
      <c r="K159">
        <v>-6.8887000000000004E-2</v>
      </c>
      <c r="L159">
        <v>-0.01</v>
      </c>
    </row>
    <row r="160" spans="1:12" x14ac:dyDescent="0.35">
      <c r="A160" s="1">
        <v>14304</v>
      </c>
      <c r="B160">
        <v>3.9292000000000001E-2</v>
      </c>
      <c r="C160">
        <v>3.4356999999999999E-2</v>
      </c>
      <c r="D160">
        <v>5.3259000000000001E-2</v>
      </c>
      <c r="E160">
        <v>5.0963000000000001E-2</v>
      </c>
      <c r="F160">
        <v>17696105.5</v>
      </c>
      <c r="G160">
        <v>90</v>
      </c>
      <c r="H160">
        <v>17108347.100000001</v>
      </c>
      <c r="I160">
        <v>90</v>
      </c>
      <c r="J160">
        <v>12.7</v>
      </c>
      <c r="K160">
        <v>3.252E-2</v>
      </c>
      <c r="L160">
        <v>0.01</v>
      </c>
    </row>
    <row r="161" spans="1:12" x14ac:dyDescent="0.35">
      <c r="A161" s="1">
        <v>14335</v>
      </c>
      <c r="B161">
        <v>-0.134821</v>
      </c>
      <c r="C161">
        <v>-0.13817099999999999</v>
      </c>
      <c r="D161">
        <v>-0.19492200000000001</v>
      </c>
      <c r="E161">
        <v>-0.19799600000000001</v>
      </c>
      <c r="F161">
        <v>15253640.9</v>
      </c>
      <c r="G161">
        <v>90</v>
      </c>
      <c r="H161">
        <v>17696105.5</v>
      </c>
      <c r="I161">
        <v>90</v>
      </c>
      <c r="J161">
        <v>10.98</v>
      </c>
      <c r="K161">
        <v>-0.135433</v>
      </c>
      <c r="L161">
        <v>-0.01</v>
      </c>
    </row>
    <row r="162" spans="1:12" x14ac:dyDescent="0.35">
      <c r="A162" s="1">
        <v>14364</v>
      </c>
      <c r="B162">
        <v>-6.6109999999999997E-3</v>
      </c>
      <c r="C162">
        <v>-7.842E-3</v>
      </c>
      <c r="D162">
        <v>7.8220000000000008E-3</v>
      </c>
      <c r="E162">
        <v>6.5830000000000003E-3</v>
      </c>
      <c r="F162">
        <v>15169574.6</v>
      </c>
      <c r="G162">
        <v>90</v>
      </c>
      <c r="H162">
        <v>15260826.5</v>
      </c>
      <c r="I162">
        <v>90</v>
      </c>
      <c r="J162">
        <v>10.92</v>
      </c>
      <c r="K162">
        <v>-5.4640000000000001E-3</v>
      </c>
      <c r="L162">
        <v>0</v>
      </c>
    </row>
    <row r="163" spans="1:12" x14ac:dyDescent="0.35">
      <c r="A163" s="1">
        <v>14396</v>
      </c>
      <c r="B163">
        <v>6.9556999999999994E-2</v>
      </c>
      <c r="C163">
        <v>6.3460000000000003E-2</v>
      </c>
      <c r="D163">
        <v>8.4914000000000003E-2</v>
      </c>
      <c r="E163">
        <v>8.2591999999999999E-2</v>
      </c>
      <c r="F163">
        <v>16132244.1</v>
      </c>
      <c r="G163">
        <v>90</v>
      </c>
      <c r="H163">
        <v>15169574.6</v>
      </c>
      <c r="I163">
        <v>90</v>
      </c>
      <c r="J163">
        <v>11.6</v>
      </c>
      <c r="K163">
        <v>6.2271E-2</v>
      </c>
      <c r="L163">
        <v>0.01</v>
      </c>
    </row>
    <row r="164" spans="1:12" x14ac:dyDescent="0.35">
      <c r="A164" s="1">
        <v>14426</v>
      </c>
      <c r="B164">
        <v>-6.1809999999999997E-2</v>
      </c>
      <c r="C164">
        <v>-6.5748000000000001E-2</v>
      </c>
      <c r="D164">
        <v>-9.5768000000000006E-2</v>
      </c>
      <c r="E164">
        <v>-9.9673999999999999E-2</v>
      </c>
      <c r="F164">
        <v>15071581</v>
      </c>
      <c r="G164">
        <v>90</v>
      </c>
      <c r="H164">
        <v>16132244.1</v>
      </c>
      <c r="I164">
        <v>90</v>
      </c>
      <c r="J164">
        <v>10.86</v>
      </c>
      <c r="K164">
        <v>-6.3793000000000002E-2</v>
      </c>
      <c r="L164">
        <v>0.01</v>
      </c>
    </row>
    <row r="165" spans="1:12" x14ac:dyDescent="0.35">
      <c r="A165" s="1">
        <v>14457</v>
      </c>
      <c r="B165">
        <v>0.11131000000000001</v>
      </c>
      <c r="C165">
        <v>0.11035499999999999</v>
      </c>
      <c r="D165">
        <v>0.15103900000000001</v>
      </c>
      <c r="E165">
        <v>0.149587</v>
      </c>
      <c r="F165">
        <v>16734799.1</v>
      </c>
      <c r="G165">
        <v>90</v>
      </c>
      <c r="H165">
        <v>15071581</v>
      </c>
      <c r="I165">
        <v>90</v>
      </c>
      <c r="J165">
        <v>12.04</v>
      </c>
      <c r="K165">
        <v>0.108656</v>
      </c>
      <c r="L165">
        <v>0</v>
      </c>
    </row>
    <row r="166" spans="1:12" x14ac:dyDescent="0.35">
      <c r="A166" s="1">
        <v>14488</v>
      </c>
      <c r="B166">
        <v>-6.7551E-2</v>
      </c>
      <c r="C166">
        <v>-7.3025000000000007E-2</v>
      </c>
      <c r="D166">
        <v>-0.10391599999999999</v>
      </c>
      <c r="E166">
        <v>-0.10639999999999999</v>
      </c>
      <c r="F166">
        <v>15512739.199999999</v>
      </c>
      <c r="G166">
        <v>90</v>
      </c>
      <c r="H166">
        <v>16734799.1</v>
      </c>
      <c r="I166">
        <v>90</v>
      </c>
      <c r="J166">
        <v>11.18</v>
      </c>
      <c r="K166">
        <v>-7.1429000000000006E-2</v>
      </c>
      <c r="L166">
        <v>-0.01</v>
      </c>
    </row>
    <row r="167" spans="1:12" x14ac:dyDescent="0.35">
      <c r="A167" s="1">
        <v>14518</v>
      </c>
      <c r="B167">
        <v>0.18116699999999999</v>
      </c>
      <c r="C167">
        <v>0.17757200000000001</v>
      </c>
      <c r="D167">
        <v>0.374805</v>
      </c>
      <c r="E167">
        <v>0.37147999999999998</v>
      </c>
      <c r="F167">
        <v>18267362.600000001</v>
      </c>
      <c r="G167">
        <v>90</v>
      </c>
      <c r="H167">
        <v>15512739.199999999</v>
      </c>
      <c r="I167">
        <v>90</v>
      </c>
      <c r="J167">
        <v>13.02</v>
      </c>
      <c r="K167">
        <v>0.16458</v>
      </c>
      <c r="L167">
        <v>0.01</v>
      </c>
    </row>
    <row r="168" spans="1:12" x14ac:dyDescent="0.35">
      <c r="A168" s="1">
        <v>14549</v>
      </c>
      <c r="B168">
        <v>-1.6886999999999999E-2</v>
      </c>
      <c r="C168">
        <v>-1.7639999999999999E-2</v>
      </c>
      <c r="D168">
        <v>-3.4072999999999999E-2</v>
      </c>
      <c r="E168">
        <v>-3.5007999999999997E-2</v>
      </c>
      <c r="F168">
        <v>17945133</v>
      </c>
      <c r="G168">
        <v>90</v>
      </c>
      <c r="H168">
        <v>18267362.600000001</v>
      </c>
      <c r="I168">
        <v>90</v>
      </c>
      <c r="J168">
        <v>12.83</v>
      </c>
      <c r="K168">
        <v>-1.4593E-2</v>
      </c>
      <c r="L168">
        <v>0</v>
      </c>
    </row>
    <row r="169" spans="1:12" x14ac:dyDescent="0.35">
      <c r="A169" s="1">
        <v>14579</v>
      </c>
      <c r="B169">
        <v>-4.0531999999999999E-2</v>
      </c>
      <c r="C169">
        <v>-5.1142E-2</v>
      </c>
      <c r="D169">
        <v>-8.5514000000000007E-2</v>
      </c>
      <c r="E169">
        <v>-9.0726000000000001E-2</v>
      </c>
      <c r="F169">
        <v>17027382.5</v>
      </c>
      <c r="G169">
        <v>90</v>
      </c>
      <c r="H169">
        <v>17945133</v>
      </c>
      <c r="I169">
        <v>90</v>
      </c>
      <c r="J169">
        <v>12.2</v>
      </c>
      <c r="K169">
        <v>-4.9104000000000002E-2</v>
      </c>
      <c r="L169">
        <v>0</v>
      </c>
    </row>
    <row r="170" spans="1:12" x14ac:dyDescent="0.35">
      <c r="A170" s="1">
        <v>14609</v>
      </c>
      <c r="B170">
        <v>2.8177000000000001E-2</v>
      </c>
      <c r="C170">
        <v>2.3143E-2</v>
      </c>
      <c r="D170">
        <v>2.5516E-2</v>
      </c>
      <c r="E170">
        <v>2.0423E-2</v>
      </c>
      <c r="F170">
        <v>17410395.899999999</v>
      </c>
      <c r="G170">
        <v>90</v>
      </c>
      <c r="H170">
        <v>17027382.5</v>
      </c>
      <c r="I170">
        <v>90</v>
      </c>
      <c r="J170">
        <v>12.49</v>
      </c>
      <c r="K170">
        <v>2.3769999999999999E-2</v>
      </c>
      <c r="L170">
        <v>0</v>
      </c>
    </row>
    <row r="171" spans="1:12" x14ac:dyDescent="0.35">
      <c r="A171" s="1">
        <v>14641</v>
      </c>
      <c r="B171">
        <v>-3.5927000000000001E-2</v>
      </c>
      <c r="C171">
        <v>-3.6799999999999999E-2</v>
      </c>
      <c r="D171">
        <v>-4.3764999999999998E-2</v>
      </c>
      <c r="E171">
        <v>-4.5026999999999998E-2</v>
      </c>
      <c r="F171">
        <v>16769693.699999999</v>
      </c>
      <c r="G171">
        <v>90</v>
      </c>
      <c r="H171">
        <v>17410395.899999999</v>
      </c>
      <c r="I171">
        <v>90</v>
      </c>
      <c r="J171">
        <v>12.05</v>
      </c>
      <c r="K171">
        <v>-3.5228000000000002E-2</v>
      </c>
      <c r="L171">
        <v>0</v>
      </c>
    </row>
    <row r="172" spans="1:12" x14ac:dyDescent="0.35">
      <c r="A172" s="1">
        <v>14670</v>
      </c>
      <c r="B172">
        <v>1.3139E-2</v>
      </c>
      <c r="C172">
        <v>6.9170000000000004E-3</v>
      </c>
      <c r="D172">
        <v>1.618E-2</v>
      </c>
      <c r="E172">
        <v>1.2690999999999999E-2</v>
      </c>
      <c r="F172">
        <v>16885686.699999999</v>
      </c>
      <c r="G172">
        <v>90</v>
      </c>
      <c r="H172">
        <v>16769693.699999999</v>
      </c>
      <c r="I172">
        <v>90</v>
      </c>
      <c r="J172">
        <v>12.13</v>
      </c>
      <c r="K172">
        <v>6.6389999999999999E-3</v>
      </c>
      <c r="L172">
        <v>0</v>
      </c>
    </row>
    <row r="173" spans="1:12" x14ac:dyDescent="0.35">
      <c r="A173" s="1">
        <v>14700</v>
      </c>
      <c r="B173">
        <v>1.3561E-2</v>
      </c>
      <c r="C173">
        <v>1.0518E-2</v>
      </c>
      <c r="D173">
        <v>9.4629999999999992E-3</v>
      </c>
      <c r="E173">
        <v>6.5649999999999997E-3</v>
      </c>
      <c r="F173">
        <v>17063294.899999999</v>
      </c>
      <c r="G173">
        <v>90</v>
      </c>
      <c r="H173">
        <v>16885686.699999999</v>
      </c>
      <c r="I173">
        <v>90</v>
      </c>
      <c r="J173">
        <v>12.25</v>
      </c>
      <c r="K173">
        <v>9.8930000000000008E-3</v>
      </c>
      <c r="L173">
        <v>0</v>
      </c>
    </row>
    <row r="174" spans="1:12" x14ac:dyDescent="0.35">
      <c r="A174" s="1">
        <v>14731</v>
      </c>
      <c r="B174">
        <v>-4.4780000000000002E-3</v>
      </c>
      <c r="C174">
        <v>-6.2310000000000004E-3</v>
      </c>
      <c r="D174">
        <v>7.3159999999999996E-3</v>
      </c>
      <c r="E174">
        <v>5.6389999999999999E-3</v>
      </c>
      <c r="F174">
        <v>16971535.399999999</v>
      </c>
      <c r="G174">
        <v>90</v>
      </c>
      <c r="H174">
        <v>17077941.600000001</v>
      </c>
      <c r="I174">
        <v>90</v>
      </c>
      <c r="J174">
        <v>12.19</v>
      </c>
      <c r="K174">
        <v>-4.8979999999999996E-3</v>
      </c>
      <c r="L174">
        <v>0</v>
      </c>
    </row>
    <row r="175" spans="1:12" x14ac:dyDescent="0.35">
      <c r="A175" s="1">
        <v>14762</v>
      </c>
      <c r="B175">
        <v>-0.23147999999999999</v>
      </c>
      <c r="C175">
        <v>-0.23976500000000001</v>
      </c>
      <c r="D175">
        <v>-0.28295300000000001</v>
      </c>
      <c r="E175">
        <v>-0.28655799999999998</v>
      </c>
      <c r="F175">
        <v>12902362</v>
      </c>
      <c r="G175">
        <v>90</v>
      </c>
      <c r="H175">
        <v>16971535.399999999</v>
      </c>
      <c r="I175">
        <v>90</v>
      </c>
      <c r="J175">
        <v>9.27</v>
      </c>
      <c r="K175">
        <v>-0.239541</v>
      </c>
      <c r="L175">
        <v>-0.02</v>
      </c>
    </row>
    <row r="176" spans="1:12" x14ac:dyDescent="0.35">
      <c r="A176" s="1">
        <v>14791</v>
      </c>
      <c r="B176">
        <v>8.3034999999999998E-2</v>
      </c>
      <c r="C176">
        <v>7.8208E-2</v>
      </c>
      <c r="D176">
        <v>0.12715199999999999</v>
      </c>
      <c r="E176">
        <v>0.121891</v>
      </c>
      <c r="F176">
        <v>13911434.300000001</v>
      </c>
      <c r="G176">
        <v>90</v>
      </c>
      <c r="H176">
        <v>12902362</v>
      </c>
      <c r="I176">
        <v>90</v>
      </c>
      <c r="J176">
        <v>9.98</v>
      </c>
      <c r="K176">
        <v>7.6591000000000006E-2</v>
      </c>
      <c r="L176">
        <v>0</v>
      </c>
    </row>
    <row r="177" spans="1:12" x14ac:dyDescent="0.35">
      <c r="A177" s="1">
        <v>14823</v>
      </c>
      <c r="B177">
        <v>3.3090000000000001E-2</v>
      </c>
      <c r="C177">
        <v>3.1913999999999998E-2</v>
      </c>
      <c r="D177">
        <v>2.8448999999999999E-2</v>
      </c>
      <c r="E177">
        <v>2.6516999999999999E-2</v>
      </c>
      <c r="F177">
        <v>14355397</v>
      </c>
      <c r="G177">
        <v>90</v>
      </c>
      <c r="H177">
        <v>13911434.300000001</v>
      </c>
      <c r="I177">
        <v>90</v>
      </c>
      <c r="J177">
        <v>10.29</v>
      </c>
      <c r="K177">
        <v>3.1061999999999999E-2</v>
      </c>
      <c r="L177">
        <v>0.01</v>
      </c>
    </row>
    <row r="178" spans="1:12" x14ac:dyDescent="0.35">
      <c r="A178" s="1">
        <v>14854</v>
      </c>
      <c r="B178">
        <v>3.5421000000000001E-2</v>
      </c>
      <c r="C178">
        <v>2.6630999999999998E-2</v>
      </c>
      <c r="D178">
        <v>2.7144999999999999E-2</v>
      </c>
      <c r="E178">
        <v>2.3005000000000001E-2</v>
      </c>
      <c r="F178">
        <v>14737696.199999999</v>
      </c>
      <c r="G178">
        <v>90</v>
      </c>
      <c r="H178">
        <v>14355397</v>
      </c>
      <c r="I178">
        <v>90</v>
      </c>
      <c r="J178">
        <v>10.56</v>
      </c>
      <c r="K178">
        <v>2.6238999999999998E-2</v>
      </c>
      <c r="L178">
        <v>-0.01</v>
      </c>
    </row>
    <row r="179" spans="1:12" x14ac:dyDescent="0.35">
      <c r="A179" s="1">
        <v>14884</v>
      </c>
      <c r="B179">
        <v>1.4220999999999999E-2</v>
      </c>
      <c r="C179">
        <v>1.0096000000000001E-2</v>
      </c>
      <c r="D179">
        <v>1.2085E-2</v>
      </c>
      <c r="E179">
        <v>7.7710000000000001E-3</v>
      </c>
      <c r="F179">
        <v>14886481.6</v>
      </c>
      <c r="G179">
        <v>90</v>
      </c>
      <c r="H179">
        <v>14737696.199999999</v>
      </c>
      <c r="I179">
        <v>90</v>
      </c>
      <c r="J179">
        <v>10.66</v>
      </c>
      <c r="K179">
        <v>9.4699999999999993E-3</v>
      </c>
      <c r="L179">
        <v>0</v>
      </c>
    </row>
    <row r="180" spans="1:12" x14ac:dyDescent="0.35">
      <c r="A180" s="1">
        <v>14915</v>
      </c>
      <c r="B180">
        <v>4.1467999999999998E-2</v>
      </c>
      <c r="C180">
        <v>4.018E-2</v>
      </c>
      <c r="D180">
        <v>6.1607000000000002E-2</v>
      </c>
      <c r="E180">
        <v>5.9823000000000001E-2</v>
      </c>
      <c r="F180">
        <v>15484615.699999999</v>
      </c>
      <c r="G180">
        <v>90</v>
      </c>
      <c r="H180">
        <v>14886481.6</v>
      </c>
      <c r="I180">
        <v>90</v>
      </c>
      <c r="J180">
        <v>11.08</v>
      </c>
      <c r="K180">
        <v>3.9399999999999998E-2</v>
      </c>
      <c r="L180">
        <v>0</v>
      </c>
    </row>
    <row r="181" spans="1:12" x14ac:dyDescent="0.35">
      <c r="A181" s="1">
        <v>14945</v>
      </c>
      <c r="B181">
        <v>-2.9430999999999999E-2</v>
      </c>
      <c r="C181">
        <v>-4.2997E-2</v>
      </c>
      <c r="D181">
        <v>-4.4139999999999999E-2</v>
      </c>
      <c r="E181">
        <v>-5.2155E-2</v>
      </c>
      <c r="F181">
        <v>14818817.300000001</v>
      </c>
      <c r="G181">
        <v>90</v>
      </c>
      <c r="H181">
        <v>15484615.699999999</v>
      </c>
      <c r="I181">
        <v>90</v>
      </c>
      <c r="J181">
        <v>10.61</v>
      </c>
      <c r="K181">
        <v>-4.2418999999999998E-2</v>
      </c>
      <c r="L181">
        <v>0</v>
      </c>
    </row>
    <row r="182" spans="1:12" x14ac:dyDescent="0.35">
      <c r="A182" s="1">
        <v>14976</v>
      </c>
      <c r="B182">
        <v>2.9269999999999999E-3</v>
      </c>
      <c r="C182">
        <v>-2.49E-3</v>
      </c>
      <c r="D182">
        <v>-1.3939E-2</v>
      </c>
      <c r="E182">
        <v>-2.0375000000000001E-2</v>
      </c>
      <c r="F182">
        <v>14791912.6</v>
      </c>
      <c r="G182">
        <v>90</v>
      </c>
      <c r="H182">
        <v>14818817.300000001</v>
      </c>
      <c r="I182">
        <v>90</v>
      </c>
      <c r="J182">
        <v>10.58</v>
      </c>
      <c r="K182">
        <v>-2.8279999999999998E-3</v>
      </c>
      <c r="L182">
        <v>0</v>
      </c>
    </row>
    <row r="183" spans="1:12" x14ac:dyDescent="0.35">
      <c r="A183" s="1">
        <v>15007</v>
      </c>
      <c r="B183">
        <v>-4.5554999999999998E-2</v>
      </c>
      <c r="C183">
        <v>-4.6847E-2</v>
      </c>
      <c r="D183">
        <v>-1.9415000000000002E-2</v>
      </c>
      <c r="E183">
        <v>-2.2339999999999999E-2</v>
      </c>
      <c r="F183">
        <v>14098962.5</v>
      </c>
      <c r="G183">
        <v>90</v>
      </c>
      <c r="H183">
        <v>14791912.6</v>
      </c>
      <c r="I183">
        <v>90</v>
      </c>
      <c r="J183">
        <v>10.07</v>
      </c>
      <c r="K183">
        <v>-4.8203999999999997E-2</v>
      </c>
      <c r="L183">
        <v>-0.01</v>
      </c>
    </row>
    <row r="184" spans="1:12" x14ac:dyDescent="0.35">
      <c r="A184" s="1">
        <v>15035</v>
      </c>
      <c r="B184">
        <v>-4.7289999999999997E-3</v>
      </c>
      <c r="C184">
        <v>-1.257E-2</v>
      </c>
      <c r="D184">
        <v>-1.1068E-2</v>
      </c>
      <c r="E184">
        <v>-1.5409000000000001E-2</v>
      </c>
      <c r="F184">
        <v>13921740.9</v>
      </c>
      <c r="G184">
        <v>90</v>
      </c>
      <c r="H184">
        <v>14098962.5</v>
      </c>
      <c r="I184">
        <v>90</v>
      </c>
      <c r="J184">
        <v>9.92</v>
      </c>
      <c r="K184">
        <v>-1.4896E-2</v>
      </c>
      <c r="L184">
        <v>-0.01</v>
      </c>
    </row>
    <row r="185" spans="1:12" x14ac:dyDescent="0.35">
      <c r="A185" s="1">
        <v>15066</v>
      </c>
      <c r="B185">
        <v>8.8719999999999997E-3</v>
      </c>
      <c r="C185">
        <v>4.1729999999999996E-3</v>
      </c>
      <c r="D185">
        <v>1.5164E-2</v>
      </c>
      <c r="E185">
        <v>1.0855999999999999E-2</v>
      </c>
      <c r="F185">
        <v>13979834.1</v>
      </c>
      <c r="G185">
        <v>90</v>
      </c>
      <c r="H185">
        <v>13921740.9</v>
      </c>
      <c r="I185">
        <v>90</v>
      </c>
      <c r="J185">
        <v>9.9600000000000009</v>
      </c>
      <c r="K185">
        <v>4.032E-3</v>
      </c>
      <c r="L185">
        <v>0.01</v>
      </c>
    </row>
    <row r="186" spans="1:12" x14ac:dyDescent="0.35">
      <c r="A186" s="1">
        <v>15096</v>
      </c>
      <c r="B186">
        <v>-6.2151999999999999E-2</v>
      </c>
      <c r="C186">
        <v>-6.3463000000000006E-2</v>
      </c>
      <c r="D186">
        <v>-6.7709000000000005E-2</v>
      </c>
      <c r="E186">
        <v>-6.8987999999999994E-2</v>
      </c>
      <c r="F186">
        <v>13092630.5</v>
      </c>
      <c r="G186">
        <v>90</v>
      </c>
      <c r="H186">
        <v>13979834.1</v>
      </c>
      <c r="I186">
        <v>90</v>
      </c>
      <c r="J186">
        <v>9.31</v>
      </c>
      <c r="K186">
        <v>-6.5261E-2</v>
      </c>
      <c r="L186">
        <v>-0.01</v>
      </c>
    </row>
    <row r="187" spans="1:12" x14ac:dyDescent="0.35">
      <c r="A187" s="1">
        <v>15127</v>
      </c>
      <c r="B187">
        <v>1.3184E-2</v>
      </c>
      <c r="C187">
        <v>2.14E-3</v>
      </c>
      <c r="D187">
        <v>-2.9429999999999999E-3</v>
      </c>
      <c r="E187">
        <v>-8.4609999999999998E-3</v>
      </c>
      <c r="F187">
        <v>13120643.199999999</v>
      </c>
      <c r="G187">
        <v>90</v>
      </c>
      <c r="H187">
        <v>13092630.5</v>
      </c>
      <c r="I187">
        <v>90</v>
      </c>
      <c r="J187">
        <v>9.35</v>
      </c>
      <c r="K187">
        <v>4.2960000000000003E-3</v>
      </c>
      <c r="L187">
        <v>0</v>
      </c>
    </row>
    <row r="188" spans="1:12" x14ac:dyDescent="0.35">
      <c r="A188" s="1">
        <v>15157</v>
      </c>
      <c r="B188">
        <v>5.8851000000000001E-2</v>
      </c>
      <c r="C188">
        <v>5.2485999999999998E-2</v>
      </c>
      <c r="D188">
        <v>6.0174999999999999E-2</v>
      </c>
      <c r="E188">
        <v>5.4052999999999997E-2</v>
      </c>
      <c r="F188">
        <v>13809294.1</v>
      </c>
      <c r="G188">
        <v>90</v>
      </c>
      <c r="H188">
        <v>13120643.199999999</v>
      </c>
      <c r="I188">
        <v>90</v>
      </c>
      <c r="J188">
        <v>9.85</v>
      </c>
      <c r="K188">
        <v>5.3476000000000003E-2</v>
      </c>
      <c r="L188">
        <v>0</v>
      </c>
    </row>
    <row r="189" spans="1:12" x14ac:dyDescent="0.35">
      <c r="A189" s="1">
        <v>15188</v>
      </c>
      <c r="B189">
        <v>5.7105999999999997E-2</v>
      </c>
      <c r="C189">
        <v>5.5619000000000002E-2</v>
      </c>
      <c r="D189">
        <v>0.12764200000000001</v>
      </c>
      <c r="E189">
        <v>0.12532299999999999</v>
      </c>
      <c r="F189">
        <v>14577352.5</v>
      </c>
      <c r="G189">
        <v>90</v>
      </c>
      <c r="H189">
        <v>13809294.1</v>
      </c>
      <c r="I189">
        <v>90</v>
      </c>
      <c r="J189">
        <v>10.39</v>
      </c>
      <c r="K189">
        <v>5.4822000000000003E-2</v>
      </c>
      <c r="L189">
        <v>0.03</v>
      </c>
    </row>
    <row r="190" spans="1:12" x14ac:dyDescent="0.35">
      <c r="A190" s="1">
        <v>15218</v>
      </c>
      <c r="B190">
        <v>-1.1130000000000001E-3</v>
      </c>
      <c r="C190">
        <v>-9.7359999999999999E-3</v>
      </c>
      <c r="D190">
        <v>-1.3498E-2</v>
      </c>
      <c r="E190">
        <v>-1.8072999999999999E-2</v>
      </c>
      <c r="F190">
        <v>14754795.1</v>
      </c>
      <c r="G190">
        <v>90</v>
      </c>
      <c r="H190">
        <v>14899856.800000001</v>
      </c>
      <c r="I190">
        <v>90</v>
      </c>
      <c r="J190">
        <v>10.3</v>
      </c>
      <c r="K190">
        <v>-8.6619999999999996E-3</v>
      </c>
      <c r="L190">
        <v>0.01</v>
      </c>
    </row>
    <row r="191" spans="1:12" x14ac:dyDescent="0.35">
      <c r="A191" s="1">
        <v>15249</v>
      </c>
      <c r="B191">
        <v>-7.3509999999999999E-3</v>
      </c>
      <c r="C191">
        <v>-1.1499000000000001E-2</v>
      </c>
      <c r="D191">
        <v>-2.4632000000000001E-2</v>
      </c>
      <c r="E191">
        <v>-2.9574E-2</v>
      </c>
      <c r="F191">
        <v>14585130</v>
      </c>
      <c r="G191">
        <v>90</v>
      </c>
      <c r="H191">
        <v>14754795.1</v>
      </c>
      <c r="I191">
        <v>90</v>
      </c>
      <c r="J191">
        <v>10.199999999999999</v>
      </c>
      <c r="K191">
        <v>-9.7090000000000006E-3</v>
      </c>
      <c r="L191">
        <v>0.01</v>
      </c>
    </row>
    <row r="192" spans="1:12" x14ac:dyDescent="0.35">
      <c r="A192" s="1">
        <v>15280</v>
      </c>
      <c r="B192">
        <v>-6.4602000000000007E-2</v>
      </c>
      <c r="C192">
        <v>-6.5955E-2</v>
      </c>
      <c r="D192">
        <v>-7.8187000000000006E-2</v>
      </c>
      <c r="E192">
        <v>-7.9560000000000006E-2</v>
      </c>
      <c r="F192">
        <v>13623171.6</v>
      </c>
      <c r="G192">
        <v>90</v>
      </c>
      <c r="H192">
        <v>14585130</v>
      </c>
      <c r="I192">
        <v>90</v>
      </c>
      <c r="J192">
        <v>9.5</v>
      </c>
      <c r="K192">
        <v>-6.8626999999999994E-2</v>
      </c>
      <c r="L192">
        <v>0</v>
      </c>
    </row>
    <row r="193" spans="1:12" x14ac:dyDescent="0.35">
      <c r="A193" s="1">
        <v>15309</v>
      </c>
      <c r="B193">
        <v>-2.4916000000000001E-2</v>
      </c>
      <c r="C193">
        <v>-4.2106999999999999E-2</v>
      </c>
      <c r="D193">
        <v>-5.0412999999999999E-2</v>
      </c>
      <c r="E193">
        <v>-6.1975000000000002E-2</v>
      </c>
      <c r="F193">
        <v>13049543.800000001</v>
      </c>
      <c r="G193">
        <v>90</v>
      </c>
      <c r="H193">
        <v>13623171.6</v>
      </c>
      <c r="I193">
        <v>90</v>
      </c>
      <c r="J193">
        <v>9.1</v>
      </c>
      <c r="K193">
        <v>-4.2104999999999997E-2</v>
      </c>
      <c r="L193">
        <v>0</v>
      </c>
    </row>
    <row r="194" spans="1:12" x14ac:dyDescent="0.35">
      <c r="A194" s="1">
        <v>15341</v>
      </c>
      <c r="B194">
        <v>-3.8843000000000003E-2</v>
      </c>
      <c r="C194">
        <v>-4.6205000000000003E-2</v>
      </c>
      <c r="D194">
        <v>-6.1795000000000003E-2</v>
      </c>
      <c r="E194">
        <v>-7.1332999999999994E-2</v>
      </c>
      <c r="F194">
        <v>12523723.4</v>
      </c>
      <c r="G194">
        <v>90</v>
      </c>
      <c r="H194">
        <v>13049543.800000001</v>
      </c>
      <c r="I194">
        <v>90</v>
      </c>
      <c r="J194">
        <v>8.69</v>
      </c>
      <c r="K194">
        <v>-4.5054999999999998E-2</v>
      </c>
      <c r="L194">
        <v>0.01</v>
      </c>
    </row>
    <row r="195" spans="1:12" x14ac:dyDescent="0.35">
      <c r="A195" s="1">
        <v>15372</v>
      </c>
      <c r="B195">
        <v>2.2276000000000001E-2</v>
      </c>
      <c r="C195">
        <v>2.0639000000000001E-2</v>
      </c>
      <c r="D195">
        <v>0.101572</v>
      </c>
      <c r="E195">
        <v>9.9856E-2</v>
      </c>
      <c r="F195">
        <v>12782200.800000001</v>
      </c>
      <c r="G195">
        <v>90</v>
      </c>
      <c r="H195">
        <v>12523723.4</v>
      </c>
      <c r="I195">
        <v>90</v>
      </c>
      <c r="J195">
        <v>8.81</v>
      </c>
      <c r="K195">
        <v>1.3809E-2</v>
      </c>
      <c r="L195">
        <v>0.02</v>
      </c>
    </row>
    <row r="196" spans="1:12" x14ac:dyDescent="0.35">
      <c r="A196" s="1">
        <v>15400</v>
      </c>
      <c r="B196">
        <v>-1.7646999999999999E-2</v>
      </c>
      <c r="C196">
        <v>-2.4642000000000001E-2</v>
      </c>
      <c r="D196">
        <v>-7.2789999999999999E-3</v>
      </c>
      <c r="E196">
        <v>-1.1653E-2</v>
      </c>
      <c r="F196">
        <v>12467217</v>
      </c>
      <c r="G196">
        <v>90</v>
      </c>
      <c r="H196">
        <v>12782200.800000001</v>
      </c>
      <c r="I196">
        <v>90</v>
      </c>
      <c r="J196">
        <v>8.59</v>
      </c>
      <c r="K196">
        <v>-2.4972000000000001E-2</v>
      </c>
      <c r="L196">
        <v>0.01</v>
      </c>
    </row>
    <row r="197" spans="1:12" x14ac:dyDescent="0.35">
      <c r="A197" s="1">
        <v>15431</v>
      </c>
      <c r="B197">
        <v>-6.4068E-2</v>
      </c>
      <c r="C197">
        <v>-6.9676000000000002E-2</v>
      </c>
      <c r="D197">
        <v>-7.4707999999999997E-2</v>
      </c>
      <c r="E197">
        <v>-8.1983E-2</v>
      </c>
      <c r="F197">
        <v>11598552.9</v>
      </c>
      <c r="G197">
        <v>90</v>
      </c>
      <c r="H197">
        <v>12467217</v>
      </c>
      <c r="I197">
        <v>90</v>
      </c>
      <c r="J197">
        <v>8.01</v>
      </c>
      <c r="K197">
        <v>-6.7519999999999997E-2</v>
      </c>
      <c r="L197">
        <v>0.01</v>
      </c>
    </row>
    <row r="198" spans="1:12" x14ac:dyDescent="0.35">
      <c r="A198" s="1">
        <v>15461</v>
      </c>
      <c r="B198">
        <v>-3.7988000000000001E-2</v>
      </c>
      <c r="C198">
        <v>-4.0322999999999998E-2</v>
      </c>
      <c r="D198">
        <v>-4.3660999999999998E-2</v>
      </c>
      <c r="E198">
        <v>-4.8335000000000003E-2</v>
      </c>
      <c r="F198">
        <v>11130870.199999999</v>
      </c>
      <c r="G198">
        <v>90</v>
      </c>
      <c r="H198">
        <v>11598552.9</v>
      </c>
      <c r="I198">
        <v>90</v>
      </c>
      <c r="J198">
        <v>7.66</v>
      </c>
      <c r="K198">
        <v>-4.3694999999999998E-2</v>
      </c>
      <c r="L198">
        <v>0.01</v>
      </c>
    </row>
    <row r="199" spans="1:12" x14ac:dyDescent="0.35">
      <c r="A199" s="1">
        <v>15490</v>
      </c>
      <c r="B199">
        <v>7.0338999999999999E-2</v>
      </c>
      <c r="C199">
        <v>6.0118999999999999E-2</v>
      </c>
      <c r="D199">
        <v>3.8245000000000001E-2</v>
      </c>
      <c r="E199">
        <v>3.2843999999999998E-2</v>
      </c>
      <c r="F199">
        <v>11800042.199999999</v>
      </c>
      <c r="G199">
        <v>90</v>
      </c>
      <c r="H199">
        <v>11130870.199999999</v>
      </c>
      <c r="I199">
        <v>90</v>
      </c>
      <c r="J199">
        <v>8.15</v>
      </c>
      <c r="K199">
        <v>6.3968999999999998E-2</v>
      </c>
      <c r="L199">
        <v>0.03</v>
      </c>
    </row>
    <row r="200" spans="1:12" x14ac:dyDescent="0.35">
      <c r="A200" s="1">
        <v>15522</v>
      </c>
      <c r="B200">
        <v>2.3543999999999999E-2</v>
      </c>
      <c r="C200">
        <v>1.6976000000000002E-2</v>
      </c>
      <c r="D200">
        <v>1.4064E-2</v>
      </c>
      <c r="E200">
        <v>7.5030000000000001E-3</v>
      </c>
      <c r="F200">
        <v>12000358.199999999</v>
      </c>
      <c r="G200">
        <v>90</v>
      </c>
      <c r="H200">
        <v>11800042.199999999</v>
      </c>
      <c r="I200">
        <v>90</v>
      </c>
      <c r="J200">
        <v>8.3000000000000007</v>
      </c>
      <c r="K200">
        <v>1.8405000000000001E-2</v>
      </c>
      <c r="L200">
        <v>0.02</v>
      </c>
    </row>
    <row r="201" spans="1:12" x14ac:dyDescent="0.35">
      <c r="A201" s="1">
        <v>15553</v>
      </c>
      <c r="B201">
        <v>3.6031000000000001E-2</v>
      </c>
      <c r="C201">
        <v>3.4313999999999997E-2</v>
      </c>
      <c r="D201">
        <v>5.2521999999999999E-2</v>
      </c>
      <c r="E201">
        <v>5.0429000000000002E-2</v>
      </c>
      <c r="F201">
        <v>12412143.6</v>
      </c>
      <c r="G201">
        <v>90</v>
      </c>
      <c r="H201">
        <v>12000358.199999999</v>
      </c>
      <c r="I201">
        <v>90</v>
      </c>
      <c r="J201">
        <v>8.56</v>
      </c>
      <c r="K201">
        <v>3.1324999999999999E-2</v>
      </c>
      <c r="L201">
        <v>0.03</v>
      </c>
    </row>
    <row r="202" spans="1:12" x14ac:dyDescent="0.35">
      <c r="A202" s="1">
        <v>15584</v>
      </c>
      <c r="B202">
        <v>1.5346E-2</v>
      </c>
      <c r="C202">
        <v>7.5310000000000004E-3</v>
      </c>
      <c r="D202">
        <v>1.2064999999999999E-2</v>
      </c>
      <c r="E202">
        <v>7.0730000000000003E-3</v>
      </c>
      <c r="F202">
        <v>12505619.800000001</v>
      </c>
      <c r="G202">
        <v>90</v>
      </c>
      <c r="H202">
        <v>12412143.6</v>
      </c>
      <c r="I202">
        <v>90</v>
      </c>
      <c r="J202">
        <v>8.6199999999999992</v>
      </c>
      <c r="K202">
        <v>7.0089999999999996E-3</v>
      </c>
      <c r="L202">
        <v>0.03</v>
      </c>
    </row>
    <row r="203" spans="1:12" x14ac:dyDescent="0.35">
      <c r="A203" s="1">
        <v>15614</v>
      </c>
      <c r="B203">
        <v>3.2448999999999999E-2</v>
      </c>
      <c r="C203">
        <v>2.7671000000000001E-2</v>
      </c>
      <c r="D203">
        <v>5.2096000000000003E-2</v>
      </c>
      <c r="E203">
        <v>4.5446E-2</v>
      </c>
      <c r="F203">
        <v>12851661.6</v>
      </c>
      <c r="G203">
        <v>90</v>
      </c>
      <c r="H203">
        <v>12505619.800000001</v>
      </c>
      <c r="I203">
        <v>90</v>
      </c>
      <c r="J203">
        <v>8.85</v>
      </c>
      <c r="K203">
        <v>2.6682000000000001E-2</v>
      </c>
      <c r="L203">
        <v>0.03</v>
      </c>
    </row>
    <row r="204" spans="1:12" x14ac:dyDescent="0.35">
      <c r="A204" s="1">
        <v>15645</v>
      </c>
      <c r="B204">
        <v>6.7866999999999997E-2</v>
      </c>
      <c r="C204">
        <v>6.6333000000000003E-2</v>
      </c>
      <c r="D204">
        <v>0.11028300000000001</v>
      </c>
      <c r="E204">
        <v>0.10832799999999999</v>
      </c>
      <c r="F204">
        <v>13704156.199999999</v>
      </c>
      <c r="G204">
        <v>90</v>
      </c>
      <c r="H204">
        <v>12851661.6</v>
      </c>
      <c r="I204">
        <v>90</v>
      </c>
      <c r="J204">
        <v>9.42</v>
      </c>
      <c r="K204">
        <v>6.4407000000000006E-2</v>
      </c>
      <c r="L204">
        <v>0.03</v>
      </c>
    </row>
    <row r="205" spans="1:12" x14ac:dyDescent="0.35">
      <c r="A205" s="1">
        <v>15675</v>
      </c>
      <c r="B205">
        <v>-4.3920000000000001E-3</v>
      </c>
      <c r="C205">
        <v>-1.6937000000000001E-2</v>
      </c>
      <c r="D205">
        <v>-3.2668000000000003E-2</v>
      </c>
      <c r="E205">
        <v>-4.3548000000000003E-2</v>
      </c>
      <c r="F205">
        <v>13472054.800000001</v>
      </c>
      <c r="G205">
        <v>90</v>
      </c>
      <c r="H205">
        <v>13704156.199999999</v>
      </c>
      <c r="I205">
        <v>90</v>
      </c>
      <c r="J205">
        <v>9.2899999999999991</v>
      </c>
      <c r="K205">
        <v>-1.38E-2</v>
      </c>
      <c r="L205">
        <v>0.03</v>
      </c>
    </row>
    <row r="206" spans="1:12" x14ac:dyDescent="0.35">
      <c r="A206" s="1">
        <v>15706</v>
      </c>
      <c r="B206">
        <v>5.7536999999999998E-2</v>
      </c>
      <c r="C206">
        <v>5.0449000000000001E-2</v>
      </c>
      <c r="D206">
        <v>4.5859999999999998E-2</v>
      </c>
      <c r="E206">
        <v>3.5700999999999997E-2</v>
      </c>
      <c r="F206">
        <v>14167177.800000001</v>
      </c>
      <c r="G206">
        <v>90</v>
      </c>
      <c r="H206">
        <v>13472054.800000001</v>
      </c>
      <c r="I206">
        <v>90</v>
      </c>
      <c r="J206">
        <v>9.77</v>
      </c>
      <c r="K206">
        <v>5.1667999999999999E-2</v>
      </c>
      <c r="L206">
        <v>0.03</v>
      </c>
    </row>
    <row r="207" spans="1:12" x14ac:dyDescent="0.35">
      <c r="A207" s="1">
        <v>15736</v>
      </c>
      <c r="B207">
        <v>7.2433999999999998E-2</v>
      </c>
      <c r="C207">
        <v>7.1062E-2</v>
      </c>
      <c r="D207">
        <v>0.12904599999999999</v>
      </c>
      <c r="E207">
        <v>0.12733800000000001</v>
      </c>
      <c r="F207">
        <v>15173925.199999999</v>
      </c>
      <c r="G207">
        <v>90</v>
      </c>
      <c r="H207">
        <v>14167177.800000001</v>
      </c>
      <c r="I207">
        <v>90</v>
      </c>
      <c r="J207">
        <v>10.47</v>
      </c>
      <c r="K207">
        <v>7.1648000000000003E-2</v>
      </c>
      <c r="L207">
        <v>0.03</v>
      </c>
    </row>
    <row r="208" spans="1:12" x14ac:dyDescent="0.35">
      <c r="A208" s="1">
        <v>15764</v>
      </c>
      <c r="B208">
        <v>5.8502999999999999E-2</v>
      </c>
      <c r="C208">
        <v>5.2676000000000001E-2</v>
      </c>
      <c r="D208">
        <v>0.115254</v>
      </c>
      <c r="E208">
        <v>0.111495</v>
      </c>
      <c r="F208">
        <v>15973223.9</v>
      </c>
      <c r="G208">
        <v>90</v>
      </c>
      <c r="H208">
        <v>15173925.199999999</v>
      </c>
      <c r="I208">
        <v>90</v>
      </c>
      <c r="J208">
        <v>11</v>
      </c>
      <c r="K208">
        <v>5.0620999999999999E-2</v>
      </c>
      <c r="L208">
        <v>0.03</v>
      </c>
    </row>
    <row r="209" spans="1:12" x14ac:dyDescent="0.35">
      <c r="A209" s="1">
        <v>15796</v>
      </c>
      <c r="B209">
        <v>5.9403999999999998E-2</v>
      </c>
      <c r="C209">
        <v>5.5182000000000002E-2</v>
      </c>
      <c r="D209">
        <v>9.0856999999999993E-2</v>
      </c>
      <c r="E209">
        <v>8.5496000000000003E-2</v>
      </c>
      <c r="F209">
        <v>16854665.600000001</v>
      </c>
      <c r="G209">
        <v>90</v>
      </c>
      <c r="H209">
        <v>15973223.9</v>
      </c>
      <c r="I209">
        <v>90</v>
      </c>
      <c r="J209">
        <v>11.58</v>
      </c>
      <c r="K209">
        <v>5.2727000000000003E-2</v>
      </c>
      <c r="L209">
        <v>0.03</v>
      </c>
    </row>
    <row r="210" spans="1:12" x14ac:dyDescent="0.35">
      <c r="A210" s="1">
        <v>15826</v>
      </c>
      <c r="B210">
        <v>3.588E-3</v>
      </c>
      <c r="C210">
        <v>2.3319999999999999E-3</v>
      </c>
      <c r="D210">
        <v>4.9291000000000001E-2</v>
      </c>
      <c r="E210">
        <v>4.7835999999999997E-2</v>
      </c>
      <c r="F210">
        <v>16893977.800000001</v>
      </c>
      <c r="G210">
        <v>90</v>
      </c>
      <c r="H210">
        <v>16854665.600000001</v>
      </c>
      <c r="I210">
        <v>90</v>
      </c>
      <c r="J210">
        <v>11.59</v>
      </c>
      <c r="K210">
        <v>8.6399999999999997E-4</v>
      </c>
      <c r="L210">
        <v>0.03</v>
      </c>
    </row>
    <row r="211" spans="1:12" x14ac:dyDescent="0.35">
      <c r="A211" s="1">
        <v>15855</v>
      </c>
      <c r="B211">
        <v>5.2698000000000002E-2</v>
      </c>
      <c r="C211">
        <v>4.5650999999999997E-2</v>
      </c>
      <c r="D211">
        <v>7.0961999999999997E-2</v>
      </c>
      <c r="E211">
        <v>6.6318000000000002E-2</v>
      </c>
      <c r="F211">
        <v>17665206</v>
      </c>
      <c r="G211">
        <v>90</v>
      </c>
      <c r="H211">
        <v>16893977.800000001</v>
      </c>
      <c r="I211">
        <v>90</v>
      </c>
      <c r="J211">
        <v>12.11</v>
      </c>
      <c r="K211">
        <v>4.4866000000000003E-2</v>
      </c>
      <c r="L211">
        <v>0.03</v>
      </c>
    </row>
    <row r="212" spans="1:12" x14ac:dyDescent="0.35">
      <c r="A212" s="1">
        <v>15887</v>
      </c>
      <c r="B212">
        <v>2.1689E-2</v>
      </c>
      <c r="C212">
        <v>1.7142000000000001E-2</v>
      </c>
      <c r="D212">
        <v>9.1450000000000004E-3</v>
      </c>
      <c r="E212">
        <v>4.1110000000000001E-3</v>
      </c>
      <c r="F212">
        <v>17968027.800000001</v>
      </c>
      <c r="G212">
        <v>90</v>
      </c>
      <c r="H212">
        <v>17665206</v>
      </c>
      <c r="I212">
        <v>90</v>
      </c>
      <c r="J212">
        <v>12.35</v>
      </c>
      <c r="K212">
        <v>1.9817999999999999E-2</v>
      </c>
      <c r="L212">
        <v>0.03</v>
      </c>
    </row>
    <row r="213" spans="1:12" x14ac:dyDescent="0.35">
      <c r="A213" s="1">
        <v>15918</v>
      </c>
      <c r="B213">
        <v>-5.3092E-2</v>
      </c>
      <c r="C213">
        <v>-5.4238000000000001E-2</v>
      </c>
      <c r="D213">
        <v>-6.6324999999999995E-2</v>
      </c>
      <c r="E213">
        <v>-6.787E-2</v>
      </c>
      <c r="F213">
        <v>16993471.100000001</v>
      </c>
      <c r="G213">
        <v>90</v>
      </c>
      <c r="H213">
        <v>17968027.800000001</v>
      </c>
      <c r="I213">
        <v>90</v>
      </c>
      <c r="J213">
        <v>11.68</v>
      </c>
      <c r="K213">
        <v>-5.4251000000000001E-2</v>
      </c>
      <c r="L213">
        <v>0.03</v>
      </c>
    </row>
    <row r="214" spans="1:12" x14ac:dyDescent="0.35">
      <c r="A214" s="1">
        <v>15949</v>
      </c>
      <c r="B214">
        <v>1.6232E-2</v>
      </c>
      <c r="C214">
        <v>1.0751E-2</v>
      </c>
      <c r="D214">
        <v>5.5279999999999999E-3</v>
      </c>
      <c r="E214">
        <v>1.7750000000000001E-3</v>
      </c>
      <c r="F214">
        <v>16996490.100000001</v>
      </c>
      <c r="G214">
        <v>90</v>
      </c>
      <c r="H214">
        <v>16993471.100000001</v>
      </c>
      <c r="I214">
        <v>90</v>
      </c>
      <c r="J214">
        <v>11.8</v>
      </c>
      <c r="K214">
        <v>1.0274E-2</v>
      </c>
      <c r="L214">
        <v>0.03</v>
      </c>
    </row>
    <row r="215" spans="1:12" x14ac:dyDescent="0.35">
      <c r="A215" s="1">
        <v>15979</v>
      </c>
      <c r="B215">
        <v>2.7498000000000002E-2</v>
      </c>
      <c r="C215">
        <v>2.3331000000000001E-2</v>
      </c>
      <c r="D215">
        <v>3.6760000000000001E-2</v>
      </c>
      <c r="E215">
        <v>3.2384000000000003E-2</v>
      </c>
      <c r="F215">
        <v>17393060.600000001</v>
      </c>
      <c r="G215">
        <v>90</v>
      </c>
      <c r="H215">
        <v>16996490.100000001</v>
      </c>
      <c r="I215">
        <v>90</v>
      </c>
      <c r="J215">
        <v>12.08</v>
      </c>
      <c r="K215">
        <v>2.3729E-2</v>
      </c>
      <c r="L215">
        <v>0.03</v>
      </c>
    </row>
    <row r="216" spans="1:12" x14ac:dyDescent="0.35">
      <c r="A216" s="1">
        <v>16009</v>
      </c>
      <c r="B216">
        <v>-1.1650000000000001E-2</v>
      </c>
      <c r="C216">
        <v>-1.2500000000000001E-2</v>
      </c>
      <c r="D216">
        <v>-2.1299999999999999E-3</v>
      </c>
      <c r="E216">
        <v>-4.0790000000000002E-3</v>
      </c>
      <c r="F216">
        <v>17175639.100000001</v>
      </c>
      <c r="G216">
        <v>90</v>
      </c>
      <c r="H216">
        <v>17393060.600000001</v>
      </c>
      <c r="I216">
        <v>90</v>
      </c>
      <c r="J216">
        <v>11.92</v>
      </c>
      <c r="K216">
        <v>-1.3245E-2</v>
      </c>
      <c r="L216">
        <v>0.03</v>
      </c>
    </row>
    <row r="217" spans="1:12" x14ac:dyDescent="0.35">
      <c r="A217" s="1">
        <v>16040</v>
      </c>
      <c r="B217">
        <v>-6.7052E-2</v>
      </c>
      <c r="C217">
        <v>-7.7965999999999994E-2</v>
      </c>
      <c r="D217">
        <v>-0.103342</v>
      </c>
      <c r="E217">
        <v>-0.114673</v>
      </c>
      <c r="F217">
        <v>15836522</v>
      </c>
      <c r="G217">
        <v>90</v>
      </c>
      <c r="H217">
        <v>17175639.100000001</v>
      </c>
      <c r="I217">
        <v>90</v>
      </c>
      <c r="J217">
        <v>11.02</v>
      </c>
      <c r="K217">
        <v>-7.5503000000000001E-2</v>
      </c>
      <c r="L217">
        <v>0.03</v>
      </c>
    </row>
    <row r="218" spans="1:12" x14ac:dyDescent="0.35">
      <c r="A218" s="1">
        <v>16071</v>
      </c>
      <c r="B218">
        <v>7.0305000000000006E-2</v>
      </c>
      <c r="C218">
        <v>6.5211000000000005E-2</v>
      </c>
      <c r="D218">
        <v>0.10051599999999999</v>
      </c>
      <c r="E218">
        <v>9.5195000000000002E-2</v>
      </c>
      <c r="F218">
        <v>16833831.800000001</v>
      </c>
      <c r="G218">
        <v>90</v>
      </c>
      <c r="H218">
        <v>15836522</v>
      </c>
      <c r="I218">
        <v>90</v>
      </c>
      <c r="J218">
        <v>11.67</v>
      </c>
      <c r="K218">
        <v>5.8984000000000002E-2</v>
      </c>
      <c r="L218">
        <v>0.03</v>
      </c>
    </row>
    <row r="219" spans="1:12" x14ac:dyDescent="0.35">
      <c r="A219" s="1">
        <v>16102</v>
      </c>
      <c r="B219">
        <v>1.8622E-2</v>
      </c>
      <c r="C219">
        <v>1.7309999999999999E-2</v>
      </c>
      <c r="D219">
        <v>4.2108E-2</v>
      </c>
      <c r="E219">
        <v>3.9865999999999999E-2</v>
      </c>
      <c r="F219">
        <v>17125221.899999999</v>
      </c>
      <c r="G219">
        <v>90</v>
      </c>
      <c r="H219">
        <v>16833831.800000001</v>
      </c>
      <c r="I219">
        <v>90</v>
      </c>
      <c r="J219">
        <v>11.85</v>
      </c>
      <c r="K219">
        <v>1.5424E-2</v>
      </c>
      <c r="L219">
        <v>0.03</v>
      </c>
    </row>
    <row r="220" spans="1:12" x14ac:dyDescent="0.35">
      <c r="A220" s="1">
        <v>16131</v>
      </c>
      <c r="B220">
        <v>6.4790000000000004E-3</v>
      </c>
      <c r="C220">
        <v>2.3800000000000001E-4</v>
      </c>
      <c r="D220">
        <v>2.5817E-2</v>
      </c>
      <c r="E220">
        <v>2.1521999999999999E-2</v>
      </c>
      <c r="F220">
        <v>17129292.399999999</v>
      </c>
      <c r="G220">
        <v>90</v>
      </c>
      <c r="H220">
        <v>17125221.899999999</v>
      </c>
      <c r="I220">
        <v>90</v>
      </c>
      <c r="J220">
        <v>11.82</v>
      </c>
      <c r="K220">
        <v>-2.532E-3</v>
      </c>
      <c r="L220">
        <v>0.03</v>
      </c>
    </row>
    <row r="221" spans="1:12" x14ac:dyDescent="0.35">
      <c r="A221" s="1">
        <v>16162</v>
      </c>
      <c r="B221">
        <v>2.1312999999999999E-2</v>
      </c>
      <c r="C221">
        <v>1.7309000000000001E-2</v>
      </c>
      <c r="D221">
        <v>3.3124000000000001E-2</v>
      </c>
      <c r="E221">
        <v>2.7865000000000001E-2</v>
      </c>
      <c r="F221">
        <v>17406442.199999999</v>
      </c>
      <c r="G221">
        <v>90</v>
      </c>
      <c r="H221">
        <v>17129292.399999999</v>
      </c>
      <c r="I221">
        <v>90</v>
      </c>
      <c r="J221">
        <v>12.02</v>
      </c>
      <c r="K221">
        <v>1.6920000000000001E-2</v>
      </c>
      <c r="L221">
        <v>0.02</v>
      </c>
    </row>
    <row r="222" spans="1:12" x14ac:dyDescent="0.35">
      <c r="A222" s="1">
        <v>16191</v>
      </c>
      <c r="B222">
        <v>-1.2427000000000001E-2</v>
      </c>
      <c r="C222">
        <v>-1.3433E-2</v>
      </c>
      <c r="D222">
        <v>-3.3196999999999997E-2</v>
      </c>
      <c r="E222">
        <v>-3.4122E-2</v>
      </c>
      <c r="F222">
        <v>17172623.899999999</v>
      </c>
      <c r="G222">
        <v>90</v>
      </c>
      <c r="H222">
        <v>17406442.199999999</v>
      </c>
      <c r="I222">
        <v>90</v>
      </c>
      <c r="J222">
        <v>11.87</v>
      </c>
      <c r="K222">
        <v>-1.2479000000000001E-2</v>
      </c>
      <c r="L222">
        <v>0.03</v>
      </c>
    </row>
    <row r="223" spans="1:12" x14ac:dyDescent="0.35">
      <c r="A223" s="1">
        <v>16223</v>
      </c>
      <c r="B223">
        <v>4.8841000000000002E-2</v>
      </c>
      <c r="C223">
        <v>4.0863999999999998E-2</v>
      </c>
      <c r="D223">
        <v>5.3428000000000003E-2</v>
      </c>
      <c r="E223">
        <v>4.8015000000000002E-2</v>
      </c>
      <c r="F223">
        <v>17825082.800000001</v>
      </c>
      <c r="G223">
        <v>90</v>
      </c>
      <c r="H223">
        <v>17125272.300000001</v>
      </c>
      <c r="I223">
        <v>89</v>
      </c>
      <c r="J223">
        <v>12.35</v>
      </c>
      <c r="K223">
        <v>4.0438000000000002E-2</v>
      </c>
      <c r="L223">
        <v>0.03</v>
      </c>
    </row>
    <row r="224" spans="1:12" x14ac:dyDescent="0.35">
      <c r="A224" s="1">
        <v>16253</v>
      </c>
      <c r="B224">
        <v>5.4573999999999998E-2</v>
      </c>
      <c r="C224">
        <v>4.9768E-2</v>
      </c>
      <c r="D224">
        <v>7.7512999999999999E-2</v>
      </c>
      <c r="E224">
        <v>7.2826000000000002E-2</v>
      </c>
      <c r="F224">
        <v>18732506.399999999</v>
      </c>
      <c r="G224">
        <v>90</v>
      </c>
      <c r="H224">
        <v>17844414.899999999</v>
      </c>
      <c r="I224">
        <v>89</v>
      </c>
      <c r="J224">
        <v>12.98</v>
      </c>
      <c r="K224">
        <v>5.1012000000000002E-2</v>
      </c>
      <c r="L224">
        <v>0.03</v>
      </c>
    </row>
    <row r="225" spans="1:12" x14ac:dyDescent="0.35">
      <c r="A225" s="1">
        <v>16284</v>
      </c>
      <c r="B225">
        <v>-1.9470000000000001E-2</v>
      </c>
      <c r="C225">
        <v>-2.0629000000000002E-2</v>
      </c>
      <c r="D225">
        <v>-1.1995E-2</v>
      </c>
      <c r="E225">
        <v>-1.3589E-2</v>
      </c>
      <c r="F225">
        <v>18346065.300000001</v>
      </c>
      <c r="G225">
        <v>90</v>
      </c>
      <c r="H225">
        <v>18732506.399999999</v>
      </c>
      <c r="I225">
        <v>89</v>
      </c>
      <c r="J225">
        <v>12.71</v>
      </c>
      <c r="K225">
        <v>-2.0801E-2</v>
      </c>
      <c r="L225">
        <v>0.03</v>
      </c>
    </row>
    <row r="226" spans="1:12" x14ac:dyDescent="0.35">
      <c r="A226" s="1">
        <v>16315</v>
      </c>
      <c r="B226">
        <v>1.47E-2</v>
      </c>
      <c r="C226">
        <v>8.208E-3</v>
      </c>
      <c r="D226">
        <v>2.5596000000000001E-2</v>
      </c>
      <c r="E226">
        <v>2.1430000000000001E-2</v>
      </c>
      <c r="F226">
        <v>18496646.199999999</v>
      </c>
      <c r="G226">
        <v>90</v>
      </c>
      <c r="H226">
        <v>18346065.300000001</v>
      </c>
      <c r="I226">
        <v>89</v>
      </c>
      <c r="J226">
        <v>12.82</v>
      </c>
      <c r="K226">
        <v>8.6549999999999995E-3</v>
      </c>
      <c r="L226">
        <v>0.03</v>
      </c>
    </row>
    <row r="227" spans="1:12" x14ac:dyDescent="0.35">
      <c r="A227" s="1">
        <v>16345</v>
      </c>
      <c r="B227">
        <v>-6.9200000000000002E-4</v>
      </c>
      <c r="C227">
        <v>-3.1180000000000001E-3</v>
      </c>
      <c r="D227">
        <v>-9.3740000000000004E-3</v>
      </c>
      <c r="E227">
        <v>-1.1917000000000001E-2</v>
      </c>
      <c r="F227">
        <v>18438979.399999999</v>
      </c>
      <c r="G227">
        <v>90</v>
      </c>
      <c r="H227">
        <v>18496646.199999999</v>
      </c>
      <c r="I227">
        <v>89</v>
      </c>
      <c r="J227">
        <v>12.78</v>
      </c>
      <c r="K227">
        <v>-3.1199999999999999E-3</v>
      </c>
      <c r="L227">
        <v>0.02</v>
      </c>
    </row>
    <row r="228" spans="1:12" x14ac:dyDescent="0.35">
      <c r="A228" s="1">
        <v>16376</v>
      </c>
      <c r="B228">
        <v>2.4350000000000001E-3</v>
      </c>
      <c r="C228">
        <v>1.0449999999999999E-3</v>
      </c>
      <c r="D228">
        <v>-8.1609999999999999E-3</v>
      </c>
      <c r="E228">
        <v>-1.0233000000000001E-2</v>
      </c>
      <c r="F228">
        <v>18458251.800000001</v>
      </c>
      <c r="G228">
        <v>90</v>
      </c>
      <c r="H228">
        <v>18438979.399999999</v>
      </c>
      <c r="I228">
        <v>89</v>
      </c>
      <c r="J228">
        <v>12.78</v>
      </c>
      <c r="K228">
        <v>0</v>
      </c>
      <c r="L228">
        <v>0.03</v>
      </c>
    </row>
    <row r="229" spans="1:12" x14ac:dyDescent="0.35">
      <c r="A229" s="1">
        <v>16406</v>
      </c>
      <c r="B229">
        <v>1.7326999999999999E-2</v>
      </c>
      <c r="C229">
        <v>5.8320000000000004E-3</v>
      </c>
      <c r="D229">
        <v>1.2122000000000001E-2</v>
      </c>
      <c r="E229">
        <v>2.5590000000000001E-3</v>
      </c>
      <c r="F229">
        <v>18565892.100000001</v>
      </c>
      <c r="G229">
        <v>90</v>
      </c>
      <c r="H229">
        <v>18458251.800000001</v>
      </c>
      <c r="I229">
        <v>89</v>
      </c>
      <c r="J229">
        <v>12.83</v>
      </c>
      <c r="K229">
        <v>3.9119999999999997E-3</v>
      </c>
      <c r="L229">
        <v>0.03</v>
      </c>
    </row>
    <row r="230" spans="1:12" x14ac:dyDescent="0.35">
      <c r="A230" s="1">
        <v>16436</v>
      </c>
      <c r="B230">
        <v>4.4777999999999998E-2</v>
      </c>
      <c r="C230">
        <v>4.1034000000000001E-2</v>
      </c>
      <c r="D230">
        <v>7.6757000000000006E-2</v>
      </c>
      <c r="E230">
        <v>7.2848999999999997E-2</v>
      </c>
      <c r="F230">
        <v>19414471.600000001</v>
      </c>
      <c r="G230">
        <v>90</v>
      </c>
      <c r="H230">
        <v>18493750.399999999</v>
      </c>
      <c r="I230">
        <v>88</v>
      </c>
      <c r="J230">
        <v>13.28</v>
      </c>
      <c r="K230">
        <v>3.5074000000000001E-2</v>
      </c>
      <c r="L230">
        <v>0.02</v>
      </c>
    </row>
    <row r="231" spans="1:12" x14ac:dyDescent="0.35">
      <c r="A231" s="1">
        <v>16468</v>
      </c>
      <c r="B231">
        <v>1.1901E-2</v>
      </c>
      <c r="C231">
        <v>1.0784E-2</v>
      </c>
      <c r="D231">
        <v>2.8499E-2</v>
      </c>
      <c r="E231">
        <v>2.6426000000000002E-2</v>
      </c>
      <c r="F231">
        <v>19700714.399999999</v>
      </c>
      <c r="G231">
        <v>90</v>
      </c>
      <c r="H231">
        <v>19414471.600000001</v>
      </c>
      <c r="I231">
        <v>88</v>
      </c>
      <c r="J231">
        <v>13.47</v>
      </c>
      <c r="K231">
        <v>1.4307E-2</v>
      </c>
      <c r="L231">
        <v>0.03</v>
      </c>
    </row>
    <row r="232" spans="1:12" x14ac:dyDescent="0.35">
      <c r="A232" s="1">
        <v>16496</v>
      </c>
      <c r="B232">
        <v>6.9472000000000006E-2</v>
      </c>
      <c r="C232">
        <v>6.3577999999999996E-2</v>
      </c>
      <c r="D232">
        <v>9.6540000000000001E-2</v>
      </c>
      <c r="E232">
        <v>9.1647000000000006E-2</v>
      </c>
      <c r="F232">
        <v>20953249.199999999</v>
      </c>
      <c r="G232">
        <v>90</v>
      </c>
      <c r="H232">
        <v>19700714.399999999</v>
      </c>
      <c r="I232">
        <v>89</v>
      </c>
      <c r="J232">
        <v>14.3</v>
      </c>
      <c r="K232">
        <v>6.1617999999999999E-2</v>
      </c>
      <c r="L232">
        <v>0.02</v>
      </c>
    </row>
    <row r="233" spans="1:12" x14ac:dyDescent="0.35">
      <c r="A233" s="1">
        <v>16527</v>
      </c>
      <c r="B233">
        <v>-4.1685E-2</v>
      </c>
      <c r="C233">
        <v>-4.4990000000000002E-2</v>
      </c>
      <c r="D233">
        <v>-3.7234000000000003E-2</v>
      </c>
      <c r="E233">
        <v>-4.0379999999999999E-2</v>
      </c>
      <c r="F233">
        <v>19737348.100000001</v>
      </c>
      <c r="G233">
        <v>90</v>
      </c>
      <c r="H233">
        <v>20667173.600000001</v>
      </c>
      <c r="I233">
        <v>90</v>
      </c>
      <c r="J233">
        <v>13.64</v>
      </c>
      <c r="K233">
        <v>-4.6154000000000001E-2</v>
      </c>
      <c r="L233">
        <v>0.02</v>
      </c>
    </row>
    <row r="234" spans="1:12" x14ac:dyDescent="0.35">
      <c r="A234" s="1">
        <v>16557</v>
      </c>
      <c r="B234">
        <v>9.0523999999999993E-2</v>
      </c>
      <c r="C234">
        <v>8.9465000000000003E-2</v>
      </c>
      <c r="D234">
        <v>0.116101</v>
      </c>
      <c r="E234">
        <v>0.11475299999999999</v>
      </c>
      <c r="F234">
        <v>21503150.5</v>
      </c>
      <c r="G234">
        <v>90</v>
      </c>
      <c r="H234">
        <v>19737348.100000001</v>
      </c>
      <c r="I234">
        <v>90</v>
      </c>
      <c r="J234">
        <v>14.84</v>
      </c>
      <c r="K234">
        <v>8.7977E-2</v>
      </c>
      <c r="L234">
        <v>0.03</v>
      </c>
    </row>
    <row r="235" spans="1:12" x14ac:dyDescent="0.35">
      <c r="A235" s="1">
        <v>16588</v>
      </c>
      <c r="B235">
        <v>2.0041E-2</v>
      </c>
      <c r="C235">
        <v>1.1624000000000001E-2</v>
      </c>
      <c r="D235">
        <v>3.1300000000000001E-2</v>
      </c>
      <c r="E235">
        <v>2.5423999999999999E-2</v>
      </c>
      <c r="F235">
        <v>21753093.899999999</v>
      </c>
      <c r="G235">
        <v>90</v>
      </c>
      <c r="H235">
        <v>21503150.5</v>
      </c>
      <c r="I235">
        <v>90</v>
      </c>
      <c r="J235">
        <v>15.01</v>
      </c>
      <c r="K235">
        <v>1.1455999999999999E-2</v>
      </c>
      <c r="L235">
        <v>0.03</v>
      </c>
    </row>
    <row r="236" spans="1:12" x14ac:dyDescent="0.35">
      <c r="A236" s="1">
        <v>16618</v>
      </c>
      <c r="B236">
        <v>2.3800000000000002E-3</v>
      </c>
      <c r="C236">
        <v>1.34E-4</v>
      </c>
      <c r="D236">
        <v>5.6001000000000002E-2</v>
      </c>
      <c r="E236">
        <v>5.3529E-2</v>
      </c>
      <c r="F236">
        <v>21756009.899999999</v>
      </c>
      <c r="G236">
        <v>90</v>
      </c>
      <c r="H236">
        <v>21753093.899999999</v>
      </c>
      <c r="I236">
        <v>90</v>
      </c>
      <c r="J236">
        <v>14.96</v>
      </c>
      <c r="K236">
        <v>-3.3310000000000002E-3</v>
      </c>
      <c r="L236">
        <v>0.02</v>
      </c>
    </row>
    <row r="237" spans="1:12" x14ac:dyDescent="0.35">
      <c r="A237" s="1">
        <v>16649</v>
      </c>
      <c r="B237">
        <v>-2.1538999999999999E-2</v>
      </c>
      <c r="C237">
        <v>-2.2478999999999999E-2</v>
      </c>
      <c r="D237">
        <v>-3.0841E-2</v>
      </c>
      <c r="E237">
        <v>-3.2017999999999998E-2</v>
      </c>
      <c r="F237">
        <v>21263136.399999999</v>
      </c>
      <c r="G237">
        <v>90</v>
      </c>
      <c r="H237">
        <v>21756009.899999999</v>
      </c>
      <c r="I237">
        <v>90</v>
      </c>
      <c r="J237">
        <v>14.66</v>
      </c>
      <c r="K237">
        <v>-2.0053000000000001E-2</v>
      </c>
      <c r="L237">
        <v>0.03</v>
      </c>
    </row>
    <row r="238" spans="1:12" x14ac:dyDescent="0.35">
      <c r="A238" s="1">
        <v>16680</v>
      </c>
      <c r="B238">
        <v>5.9852000000000002E-2</v>
      </c>
      <c r="C238">
        <v>5.4026999999999999E-2</v>
      </c>
      <c r="D238">
        <v>4.5350000000000001E-2</v>
      </c>
      <c r="E238">
        <v>4.0677999999999999E-2</v>
      </c>
      <c r="F238">
        <v>22411912.5</v>
      </c>
      <c r="G238">
        <v>90</v>
      </c>
      <c r="H238">
        <v>21263136.399999999</v>
      </c>
      <c r="I238">
        <v>90</v>
      </c>
      <c r="J238">
        <v>15.51</v>
      </c>
      <c r="K238">
        <v>5.7980999999999998E-2</v>
      </c>
      <c r="L238">
        <v>0.03</v>
      </c>
    </row>
    <row r="239" spans="1:12" x14ac:dyDescent="0.35">
      <c r="A239" s="1">
        <v>16709</v>
      </c>
      <c r="B239">
        <v>4.6360999999999999E-2</v>
      </c>
      <c r="C239">
        <v>4.3999000000000003E-2</v>
      </c>
      <c r="D239">
        <v>7.3603000000000002E-2</v>
      </c>
      <c r="E239">
        <v>7.1502999999999997E-2</v>
      </c>
      <c r="F239">
        <v>23398019.399999999</v>
      </c>
      <c r="G239">
        <v>90</v>
      </c>
      <c r="H239">
        <v>22411912.5</v>
      </c>
      <c r="I239">
        <v>90</v>
      </c>
      <c r="J239">
        <v>16.16</v>
      </c>
      <c r="K239">
        <v>4.1908000000000001E-2</v>
      </c>
      <c r="L239">
        <v>0.03</v>
      </c>
    </row>
    <row r="240" spans="1:12" x14ac:dyDescent="0.35">
      <c r="A240" s="1">
        <v>16741</v>
      </c>
      <c r="B240">
        <v>3.0814999999999999E-2</v>
      </c>
      <c r="C240">
        <v>2.9862E-2</v>
      </c>
      <c r="D240">
        <v>5.0408000000000001E-2</v>
      </c>
      <c r="E240">
        <v>4.8972000000000002E-2</v>
      </c>
      <c r="F240">
        <v>24105580.600000001</v>
      </c>
      <c r="G240">
        <v>90</v>
      </c>
      <c r="H240">
        <v>23398019.399999999</v>
      </c>
      <c r="I240">
        <v>90</v>
      </c>
      <c r="J240">
        <v>16.649999999999999</v>
      </c>
      <c r="K240">
        <v>3.0322000000000002E-2</v>
      </c>
      <c r="L240">
        <v>0.03</v>
      </c>
    </row>
    <row r="241" spans="1:12" x14ac:dyDescent="0.35">
      <c r="A241" s="1">
        <v>16771</v>
      </c>
      <c r="B241">
        <v>4.4949999999999997E-2</v>
      </c>
      <c r="C241">
        <v>3.5611999999999998E-2</v>
      </c>
      <c r="D241">
        <v>7.2602E-2</v>
      </c>
      <c r="E241">
        <v>6.4928E-2</v>
      </c>
      <c r="F241">
        <v>24964029.199999999</v>
      </c>
      <c r="G241">
        <v>90</v>
      </c>
      <c r="H241">
        <v>24105580.600000001</v>
      </c>
      <c r="I241">
        <v>90</v>
      </c>
      <c r="J241">
        <v>17.190000000000001</v>
      </c>
      <c r="K241">
        <v>3.2432000000000002E-2</v>
      </c>
      <c r="L241">
        <v>0.02</v>
      </c>
    </row>
    <row r="242" spans="1:12" x14ac:dyDescent="0.35">
      <c r="A242" s="1">
        <v>16802</v>
      </c>
      <c r="B242">
        <v>1.1133000000000001E-2</v>
      </c>
      <c r="C242">
        <v>8.8050000000000003E-3</v>
      </c>
      <c r="D242">
        <v>9.5630000000000003E-3</v>
      </c>
      <c r="E242">
        <v>7.1440000000000002E-3</v>
      </c>
      <c r="F242">
        <v>25379634.100000001</v>
      </c>
      <c r="G242">
        <v>90</v>
      </c>
      <c r="H242">
        <v>24900561.199999999</v>
      </c>
      <c r="I242">
        <v>89</v>
      </c>
      <c r="J242">
        <v>17.36</v>
      </c>
      <c r="K242">
        <v>9.8890000000000002E-3</v>
      </c>
      <c r="L242">
        <v>0.03</v>
      </c>
    </row>
    <row r="243" spans="1:12" x14ac:dyDescent="0.35">
      <c r="A243" s="1">
        <v>16833</v>
      </c>
      <c r="B243">
        <v>6.9503999999999996E-2</v>
      </c>
      <c r="C243">
        <v>6.8515000000000006E-2</v>
      </c>
      <c r="D243">
        <v>9.3161999999999995E-2</v>
      </c>
      <c r="E243">
        <v>9.1703999999999994E-2</v>
      </c>
      <c r="F243">
        <v>27182347.899999999</v>
      </c>
      <c r="G243">
        <v>90</v>
      </c>
      <c r="H243">
        <v>25379634.100000001</v>
      </c>
      <c r="I243">
        <v>89</v>
      </c>
      <c r="J243">
        <v>18.57</v>
      </c>
      <c r="K243">
        <v>6.9699999999999998E-2</v>
      </c>
      <c r="L243">
        <v>0.03</v>
      </c>
    </row>
    <row r="244" spans="1:12" x14ac:dyDescent="0.35">
      <c r="A244" s="1">
        <v>16861</v>
      </c>
      <c r="B244">
        <v>-6.5171000000000007E-2</v>
      </c>
      <c r="C244">
        <v>-6.9785E-2</v>
      </c>
      <c r="D244">
        <v>-7.1858000000000005E-2</v>
      </c>
      <c r="E244">
        <v>-7.5181999999999999E-2</v>
      </c>
      <c r="F244">
        <v>25313046.399999999</v>
      </c>
      <c r="G244">
        <v>90</v>
      </c>
      <c r="H244">
        <v>27182347.899999999</v>
      </c>
      <c r="I244">
        <v>90</v>
      </c>
      <c r="J244">
        <v>17.28</v>
      </c>
      <c r="K244">
        <v>-6.9467000000000001E-2</v>
      </c>
      <c r="L244">
        <v>0.03</v>
      </c>
    </row>
    <row r="245" spans="1:12" x14ac:dyDescent="0.35">
      <c r="A245" s="1">
        <v>16891</v>
      </c>
      <c r="B245">
        <v>4.9118000000000002E-2</v>
      </c>
      <c r="C245">
        <v>4.6147000000000001E-2</v>
      </c>
      <c r="D245">
        <v>5.4364999999999997E-2</v>
      </c>
      <c r="E245">
        <v>5.1199000000000001E-2</v>
      </c>
      <c r="F245">
        <v>26481189.899999999</v>
      </c>
      <c r="G245">
        <v>90</v>
      </c>
      <c r="H245">
        <v>25313046.399999999</v>
      </c>
      <c r="I245">
        <v>90</v>
      </c>
      <c r="J245">
        <v>18.079999999999998</v>
      </c>
      <c r="K245">
        <v>4.6295999999999997E-2</v>
      </c>
      <c r="L245">
        <v>0.03</v>
      </c>
    </row>
    <row r="246" spans="1:12" x14ac:dyDescent="0.35">
      <c r="A246" s="1">
        <v>16922</v>
      </c>
      <c r="B246">
        <v>3.5748000000000002E-2</v>
      </c>
      <c r="C246">
        <v>3.4707000000000002E-2</v>
      </c>
      <c r="D246">
        <v>2.7591999999999998E-2</v>
      </c>
      <c r="E246">
        <v>2.6393E-2</v>
      </c>
      <c r="F246">
        <v>27404658.5</v>
      </c>
      <c r="G246">
        <v>90</v>
      </c>
      <c r="H246">
        <v>26481189.899999999</v>
      </c>
      <c r="I246">
        <v>90</v>
      </c>
      <c r="J246">
        <v>18.760000000000002</v>
      </c>
      <c r="K246">
        <v>3.7610999999999999E-2</v>
      </c>
      <c r="L246">
        <v>0.03</v>
      </c>
    </row>
    <row r="247" spans="1:12" x14ac:dyDescent="0.35">
      <c r="A247" s="1">
        <v>16953</v>
      </c>
      <c r="B247">
        <v>2.8785000000000002E-2</v>
      </c>
      <c r="C247">
        <v>2.3202E-2</v>
      </c>
      <c r="D247">
        <v>4.3263000000000003E-2</v>
      </c>
      <c r="E247">
        <v>3.8810999999999998E-2</v>
      </c>
      <c r="F247">
        <v>28040511</v>
      </c>
      <c r="G247">
        <v>90</v>
      </c>
      <c r="H247">
        <v>27404658.5</v>
      </c>
      <c r="I247">
        <v>90</v>
      </c>
      <c r="J247">
        <v>19.18</v>
      </c>
      <c r="K247">
        <v>2.2388000000000002E-2</v>
      </c>
      <c r="L247">
        <v>0.03</v>
      </c>
    </row>
    <row r="248" spans="1:12" x14ac:dyDescent="0.35">
      <c r="A248" s="1">
        <v>16981</v>
      </c>
      <c r="B248">
        <v>-3.5289000000000001E-2</v>
      </c>
      <c r="C248">
        <v>-3.7520999999999999E-2</v>
      </c>
      <c r="D248">
        <v>-3.9962999999999999E-2</v>
      </c>
      <c r="E248">
        <v>-4.2283000000000001E-2</v>
      </c>
      <c r="F248">
        <v>26988412</v>
      </c>
      <c r="G248">
        <v>90</v>
      </c>
      <c r="H248">
        <v>28040511</v>
      </c>
      <c r="I248">
        <v>90</v>
      </c>
      <c r="J248">
        <v>18.43</v>
      </c>
      <c r="K248">
        <v>-3.9102999999999999E-2</v>
      </c>
      <c r="L248">
        <v>0.03</v>
      </c>
    </row>
    <row r="249" spans="1:12" x14ac:dyDescent="0.35">
      <c r="A249" s="1">
        <v>17014</v>
      </c>
      <c r="B249">
        <v>-2.7349999999999999E-2</v>
      </c>
      <c r="C249">
        <v>-2.8428999999999999E-2</v>
      </c>
      <c r="D249">
        <v>-4.2521000000000003E-2</v>
      </c>
      <c r="E249">
        <v>-4.3812999999999998E-2</v>
      </c>
      <c r="F249">
        <v>26268666.899999999</v>
      </c>
      <c r="G249">
        <v>90</v>
      </c>
      <c r="H249">
        <v>26988412</v>
      </c>
      <c r="I249">
        <v>90</v>
      </c>
      <c r="J249">
        <v>17.96</v>
      </c>
      <c r="K249">
        <v>-2.5502E-2</v>
      </c>
      <c r="L249">
        <v>0.03</v>
      </c>
    </row>
    <row r="250" spans="1:12" x14ac:dyDescent="0.35">
      <c r="A250" s="1">
        <v>17044</v>
      </c>
      <c r="B250">
        <v>-6.8855E-2</v>
      </c>
      <c r="C250">
        <v>-7.3365E-2</v>
      </c>
      <c r="D250">
        <v>-7.5229000000000004E-2</v>
      </c>
      <c r="E250">
        <v>-7.9221E-2</v>
      </c>
      <c r="F250">
        <v>24369861.100000001</v>
      </c>
      <c r="G250">
        <v>90</v>
      </c>
      <c r="H250">
        <v>26268666.899999999</v>
      </c>
      <c r="I250">
        <v>90</v>
      </c>
      <c r="J250">
        <v>16.649999999999999</v>
      </c>
      <c r="K250">
        <v>-7.2940000000000005E-2</v>
      </c>
      <c r="L250">
        <v>0.03</v>
      </c>
    </row>
    <row r="251" spans="1:12" x14ac:dyDescent="0.35">
      <c r="A251" s="1">
        <v>17075</v>
      </c>
      <c r="B251">
        <v>-0.104113</v>
      </c>
      <c r="C251">
        <v>-0.10661900000000001</v>
      </c>
      <c r="D251">
        <v>-0.127328</v>
      </c>
      <c r="E251">
        <v>-0.13042799999999999</v>
      </c>
      <c r="F251">
        <v>21771579.5</v>
      </c>
      <c r="G251">
        <v>90</v>
      </c>
      <c r="H251">
        <v>24369861.100000001</v>
      </c>
      <c r="I251">
        <v>90</v>
      </c>
      <c r="J251">
        <v>14.96</v>
      </c>
      <c r="K251">
        <v>-0.101502</v>
      </c>
      <c r="L251">
        <v>0.03</v>
      </c>
    </row>
    <row r="252" spans="1:12" x14ac:dyDescent="0.35">
      <c r="A252" s="1">
        <v>17106</v>
      </c>
      <c r="B252">
        <v>-5.6360000000000004E-3</v>
      </c>
      <c r="C252">
        <v>-6.8170000000000001E-3</v>
      </c>
      <c r="D252">
        <v>6.1549999999999999E-3</v>
      </c>
      <c r="E252">
        <v>4.5459999999999997E-3</v>
      </c>
      <c r="F252">
        <v>21628104.899999999</v>
      </c>
      <c r="G252">
        <v>90</v>
      </c>
      <c r="H252">
        <v>21771579.5</v>
      </c>
      <c r="I252">
        <v>90</v>
      </c>
      <c r="J252">
        <v>14.84</v>
      </c>
      <c r="K252">
        <v>-8.0210000000000004E-3</v>
      </c>
      <c r="L252">
        <v>0.03</v>
      </c>
    </row>
    <row r="253" spans="1:12" x14ac:dyDescent="0.35">
      <c r="A253" s="1">
        <v>17136</v>
      </c>
      <c r="B253">
        <v>-3.8010000000000001E-3</v>
      </c>
      <c r="C253">
        <v>-1.1741E-2</v>
      </c>
      <c r="D253">
        <v>1.5410000000000001E-3</v>
      </c>
      <c r="E253">
        <v>-6.3990000000000002E-3</v>
      </c>
      <c r="F253">
        <v>21374159.100000001</v>
      </c>
      <c r="G253">
        <v>90</v>
      </c>
      <c r="H253">
        <v>21628104.899999999</v>
      </c>
      <c r="I253">
        <v>90</v>
      </c>
      <c r="J253">
        <v>14.67</v>
      </c>
      <c r="K253">
        <v>-1.1455999999999999E-2</v>
      </c>
      <c r="L253">
        <v>0.03</v>
      </c>
    </row>
    <row r="254" spans="1:12" x14ac:dyDescent="0.35">
      <c r="A254" s="1">
        <v>17167</v>
      </c>
      <c r="B254">
        <v>4.6817999999999999E-2</v>
      </c>
      <c r="C254">
        <v>4.1973000000000003E-2</v>
      </c>
      <c r="D254">
        <v>4.6308000000000002E-2</v>
      </c>
      <c r="E254">
        <v>4.1326000000000002E-2</v>
      </c>
      <c r="F254">
        <v>22130819.800000001</v>
      </c>
      <c r="G254">
        <v>90</v>
      </c>
      <c r="H254">
        <v>21374159.100000001</v>
      </c>
      <c r="I254">
        <v>90</v>
      </c>
      <c r="J254">
        <v>15.3</v>
      </c>
      <c r="K254">
        <v>4.2944999999999997E-2</v>
      </c>
      <c r="L254">
        <v>0.03</v>
      </c>
    </row>
    <row r="255" spans="1:12" x14ac:dyDescent="0.35">
      <c r="A255" s="1">
        <v>17198</v>
      </c>
      <c r="B255">
        <v>2.2013000000000001E-2</v>
      </c>
      <c r="C255">
        <v>2.0952999999999999E-2</v>
      </c>
      <c r="D255">
        <v>1.8443000000000001E-2</v>
      </c>
      <c r="E255">
        <v>1.7151E-2</v>
      </c>
      <c r="F255">
        <v>22621109.199999999</v>
      </c>
      <c r="G255">
        <v>90</v>
      </c>
      <c r="H255">
        <v>22130819.800000001</v>
      </c>
      <c r="I255">
        <v>90</v>
      </c>
      <c r="J255">
        <v>15.66</v>
      </c>
      <c r="K255">
        <v>2.3529000000000001E-2</v>
      </c>
      <c r="L255">
        <v>0.03</v>
      </c>
    </row>
    <row r="256" spans="1:12" x14ac:dyDescent="0.35">
      <c r="A256" s="1">
        <v>17226</v>
      </c>
      <c r="B256">
        <v>-8.3070000000000001E-3</v>
      </c>
      <c r="C256">
        <v>-1.5166000000000001E-2</v>
      </c>
      <c r="D256">
        <v>-7.7279999999999996E-3</v>
      </c>
      <c r="E256">
        <v>-1.3424999999999999E-2</v>
      </c>
      <c r="F256">
        <v>22525535.600000001</v>
      </c>
      <c r="G256">
        <v>90</v>
      </c>
      <c r="H256">
        <v>22717128.5</v>
      </c>
      <c r="I256">
        <v>89</v>
      </c>
      <c r="J256">
        <v>15.43</v>
      </c>
      <c r="K256">
        <v>-1.4687E-2</v>
      </c>
      <c r="L256">
        <v>0.03</v>
      </c>
    </row>
    <row r="257" spans="1:12" x14ac:dyDescent="0.35">
      <c r="A257" s="1">
        <v>17257</v>
      </c>
      <c r="B257">
        <v>-1.5008000000000001E-2</v>
      </c>
      <c r="C257">
        <v>-1.7731E-2</v>
      </c>
      <c r="D257">
        <v>-2.9037E-2</v>
      </c>
      <c r="E257">
        <v>-3.2254999999999999E-2</v>
      </c>
      <c r="F257">
        <v>22084172</v>
      </c>
      <c r="G257">
        <v>90</v>
      </c>
      <c r="H257">
        <v>22525535.600000001</v>
      </c>
      <c r="I257">
        <v>90</v>
      </c>
      <c r="J257">
        <v>15.17</v>
      </c>
      <c r="K257">
        <v>-1.685E-2</v>
      </c>
      <c r="L257">
        <v>0.03</v>
      </c>
    </row>
    <row r="258" spans="1:12" x14ac:dyDescent="0.35">
      <c r="A258" s="1">
        <v>17287</v>
      </c>
      <c r="B258">
        <v>-3.9559999999999998E-2</v>
      </c>
      <c r="C258">
        <v>-4.0772000000000003E-2</v>
      </c>
      <c r="D258">
        <v>-6.5362000000000003E-2</v>
      </c>
      <c r="E258">
        <v>-6.7125000000000004E-2</v>
      </c>
      <c r="F258">
        <v>21236913.600000001</v>
      </c>
      <c r="G258">
        <v>90</v>
      </c>
      <c r="H258">
        <v>22084172</v>
      </c>
      <c r="I258">
        <v>90</v>
      </c>
      <c r="J258">
        <v>14.58</v>
      </c>
      <c r="K258">
        <v>-3.8892999999999997E-2</v>
      </c>
      <c r="L258">
        <v>0.03</v>
      </c>
    </row>
    <row r="259" spans="1:12" x14ac:dyDescent="0.35">
      <c r="A259" s="1">
        <v>17316</v>
      </c>
      <c r="B259">
        <v>-9.8999999999999999E-4</v>
      </c>
      <c r="C259">
        <v>-1.047E-2</v>
      </c>
      <c r="D259">
        <v>-1.8516000000000001E-2</v>
      </c>
      <c r="E259">
        <v>-2.5904E-2</v>
      </c>
      <c r="F259">
        <v>21030527.300000001</v>
      </c>
      <c r="G259">
        <v>90</v>
      </c>
      <c r="H259">
        <v>21236913.600000001</v>
      </c>
      <c r="I259">
        <v>90</v>
      </c>
      <c r="J259">
        <v>14.45</v>
      </c>
      <c r="K259">
        <v>-8.9160000000000003E-3</v>
      </c>
      <c r="L259">
        <v>0.03</v>
      </c>
    </row>
    <row r="260" spans="1:12" x14ac:dyDescent="0.35">
      <c r="A260" s="1">
        <v>17348</v>
      </c>
      <c r="B260">
        <v>5.3990999999999997E-2</v>
      </c>
      <c r="C260">
        <v>5.0908000000000002E-2</v>
      </c>
      <c r="D260">
        <v>5.0606999999999999E-2</v>
      </c>
      <c r="E260">
        <v>4.7253999999999997E-2</v>
      </c>
      <c r="F260">
        <v>22096799.899999999</v>
      </c>
      <c r="G260">
        <v>90</v>
      </c>
      <c r="H260">
        <v>21030527.300000001</v>
      </c>
      <c r="I260">
        <v>90</v>
      </c>
      <c r="J260">
        <v>15.21</v>
      </c>
      <c r="K260">
        <v>5.2595000000000003E-2</v>
      </c>
      <c r="L260">
        <v>0.03</v>
      </c>
    </row>
    <row r="261" spans="1:12" x14ac:dyDescent="0.35">
      <c r="A261" s="1">
        <v>17379</v>
      </c>
      <c r="B261">
        <v>3.9572000000000003E-2</v>
      </c>
      <c r="C261">
        <v>3.8369E-2</v>
      </c>
      <c r="D261">
        <v>5.4632E-2</v>
      </c>
      <c r="E261">
        <v>5.2664000000000002E-2</v>
      </c>
      <c r="F261">
        <v>22826862.600000001</v>
      </c>
      <c r="G261">
        <v>90</v>
      </c>
      <c r="H261">
        <v>21983388.199999999</v>
      </c>
      <c r="I261">
        <v>90</v>
      </c>
      <c r="J261">
        <v>15.76</v>
      </c>
      <c r="K261">
        <v>3.6159999999999998E-2</v>
      </c>
      <c r="L261">
        <v>0.03</v>
      </c>
    </row>
    <row r="262" spans="1:12" x14ac:dyDescent="0.35">
      <c r="A262" s="1">
        <v>17408</v>
      </c>
      <c r="B262">
        <v>-2.3075999999999999E-2</v>
      </c>
      <c r="C262">
        <v>-2.9148E-2</v>
      </c>
      <c r="D262">
        <v>-2.3744999999999999E-2</v>
      </c>
      <c r="E262">
        <v>-2.8934000000000001E-2</v>
      </c>
      <c r="F262">
        <v>22161496.600000001</v>
      </c>
      <c r="G262">
        <v>90</v>
      </c>
      <c r="H262">
        <v>22826862.600000001</v>
      </c>
      <c r="I262">
        <v>90</v>
      </c>
      <c r="J262">
        <v>15.32</v>
      </c>
      <c r="K262">
        <v>-2.7918999999999999E-2</v>
      </c>
      <c r="L262">
        <v>0.03</v>
      </c>
    </row>
    <row r="263" spans="1:12" x14ac:dyDescent="0.35">
      <c r="A263" s="1">
        <v>17440</v>
      </c>
      <c r="B263">
        <v>-9.9279999999999993E-3</v>
      </c>
      <c r="C263">
        <v>-1.3690000000000001E-2</v>
      </c>
      <c r="D263">
        <v>-1.423E-3</v>
      </c>
      <c r="E263">
        <v>-6.319E-3</v>
      </c>
      <c r="F263">
        <v>21959753.100000001</v>
      </c>
      <c r="G263">
        <v>90</v>
      </c>
      <c r="H263">
        <v>22161496.600000001</v>
      </c>
      <c r="I263">
        <v>90</v>
      </c>
      <c r="J263">
        <v>15.11</v>
      </c>
      <c r="K263">
        <v>-1.3708E-2</v>
      </c>
      <c r="L263">
        <v>0.06</v>
      </c>
    </row>
    <row r="264" spans="1:12" x14ac:dyDescent="0.35">
      <c r="A264" s="1">
        <v>17471</v>
      </c>
      <c r="B264">
        <v>2.0577999999999999E-2</v>
      </c>
      <c r="C264">
        <v>1.9352999999999999E-2</v>
      </c>
      <c r="D264">
        <v>1.1542999999999999E-2</v>
      </c>
      <c r="E264">
        <v>9.7730000000000004E-3</v>
      </c>
      <c r="F264">
        <v>22384733.5</v>
      </c>
      <c r="G264">
        <v>90</v>
      </c>
      <c r="H264">
        <v>21959753.100000001</v>
      </c>
      <c r="I264">
        <v>90</v>
      </c>
      <c r="J264">
        <v>15.43</v>
      </c>
      <c r="K264">
        <v>2.1177999999999999E-2</v>
      </c>
      <c r="L264">
        <v>0.06</v>
      </c>
    </row>
    <row r="265" spans="1:12" x14ac:dyDescent="0.35">
      <c r="A265" s="1">
        <v>17500</v>
      </c>
      <c r="B265">
        <v>-1.7632999999999999E-2</v>
      </c>
      <c r="C265">
        <v>-2.9555000000000001E-2</v>
      </c>
      <c r="D265">
        <v>-3.8862000000000001E-2</v>
      </c>
      <c r="E265">
        <v>-4.8263E-2</v>
      </c>
      <c r="F265">
        <v>21727652.199999999</v>
      </c>
      <c r="G265">
        <v>90</v>
      </c>
      <c r="H265">
        <v>22384733.5</v>
      </c>
      <c r="I265">
        <v>90</v>
      </c>
      <c r="J265">
        <v>14.99</v>
      </c>
      <c r="K265">
        <v>-2.8516E-2</v>
      </c>
      <c r="L265">
        <v>0.06</v>
      </c>
    </row>
    <row r="266" spans="1:12" x14ac:dyDescent="0.35">
      <c r="A266" s="1">
        <v>17532</v>
      </c>
      <c r="B266">
        <v>3.0783999999999999E-2</v>
      </c>
      <c r="C266">
        <v>2.5273E-2</v>
      </c>
      <c r="D266">
        <v>4.0835999999999997E-2</v>
      </c>
      <c r="E266">
        <v>3.3730000000000003E-2</v>
      </c>
      <c r="F266">
        <v>22263926.100000001</v>
      </c>
      <c r="G266">
        <v>90</v>
      </c>
      <c r="H266">
        <v>21727652.199999999</v>
      </c>
      <c r="I266">
        <v>90</v>
      </c>
      <c r="J266">
        <v>15.3</v>
      </c>
      <c r="K266">
        <v>2.068E-2</v>
      </c>
      <c r="L266">
        <v>0.08</v>
      </c>
    </row>
    <row r="267" spans="1:12" x14ac:dyDescent="0.35">
      <c r="A267" s="1">
        <v>17563</v>
      </c>
      <c r="B267">
        <v>-3.7742999999999999E-2</v>
      </c>
      <c r="C267">
        <v>-3.8905000000000002E-2</v>
      </c>
      <c r="D267">
        <v>-1.7680000000000001E-2</v>
      </c>
      <c r="E267">
        <v>-1.959E-2</v>
      </c>
      <c r="F267">
        <v>21406439.899999999</v>
      </c>
      <c r="G267">
        <v>90</v>
      </c>
      <c r="H267">
        <v>22263926.100000001</v>
      </c>
      <c r="I267">
        <v>90</v>
      </c>
      <c r="J267">
        <v>14.69</v>
      </c>
      <c r="K267">
        <v>-3.9869000000000002E-2</v>
      </c>
      <c r="L267">
        <v>7.0000000000000007E-2</v>
      </c>
    </row>
    <row r="268" spans="1:12" x14ac:dyDescent="0.35">
      <c r="A268" s="1">
        <v>17591</v>
      </c>
      <c r="B268">
        <v>-4.0231999999999997E-2</v>
      </c>
      <c r="C268">
        <v>-4.7781999999999998E-2</v>
      </c>
      <c r="D268">
        <v>-4.7395E-2</v>
      </c>
      <c r="E268">
        <v>-5.3806E-2</v>
      </c>
      <c r="F268">
        <v>20401686.600000001</v>
      </c>
      <c r="G268">
        <v>90</v>
      </c>
      <c r="H268">
        <v>21406439.899999999</v>
      </c>
      <c r="I268">
        <v>90</v>
      </c>
      <c r="J268">
        <v>14</v>
      </c>
      <c r="K268">
        <v>-4.6970999999999999E-2</v>
      </c>
      <c r="L268">
        <v>7.0000000000000007E-2</v>
      </c>
    </row>
    <row r="269" spans="1:12" x14ac:dyDescent="0.35">
      <c r="A269" s="1">
        <v>17623</v>
      </c>
      <c r="B269">
        <v>8.1439999999999999E-2</v>
      </c>
      <c r="C269">
        <v>7.7021999999999993E-2</v>
      </c>
      <c r="D269">
        <v>0.100368</v>
      </c>
      <c r="E269">
        <v>9.5031000000000004E-2</v>
      </c>
      <c r="F269">
        <v>21973063.600000001</v>
      </c>
      <c r="G269">
        <v>90</v>
      </c>
      <c r="H269">
        <v>20401686.600000001</v>
      </c>
      <c r="I269">
        <v>90</v>
      </c>
      <c r="J269">
        <v>15.08</v>
      </c>
      <c r="K269">
        <v>7.7143000000000003E-2</v>
      </c>
      <c r="L269">
        <v>0.09</v>
      </c>
    </row>
    <row r="270" spans="1:12" x14ac:dyDescent="0.35">
      <c r="A270" s="1">
        <v>17653</v>
      </c>
      <c r="B270">
        <v>3.0821000000000001E-2</v>
      </c>
      <c r="C270">
        <v>2.8537E-2</v>
      </c>
      <c r="D270">
        <v>3.4634999999999999E-2</v>
      </c>
      <c r="E270">
        <v>3.2835000000000003E-2</v>
      </c>
      <c r="F270">
        <v>22687253.5</v>
      </c>
      <c r="G270">
        <v>90</v>
      </c>
      <c r="H270">
        <v>21973063.600000001</v>
      </c>
      <c r="I270">
        <v>90</v>
      </c>
      <c r="J270">
        <v>15.48</v>
      </c>
      <c r="K270">
        <v>2.6525E-2</v>
      </c>
      <c r="L270">
        <v>0.08</v>
      </c>
    </row>
    <row r="271" spans="1:12" x14ac:dyDescent="0.35">
      <c r="A271" s="1">
        <v>17681</v>
      </c>
      <c r="B271">
        <v>8.4014000000000005E-2</v>
      </c>
      <c r="C271">
        <v>7.7522999999999995E-2</v>
      </c>
      <c r="D271">
        <v>7.7794000000000002E-2</v>
      </c>
      <c r="E271">
        <v>7.1325E-2</v>
      </c>
      <c r="F271">
        <v>24442390</v>
      </c>
      <c r="G271">
        <v>90</v>
      </c>
      <c r="H271">
        <v>22687253.5</v>
      </c>
      <c r="I271">
        <v>90</v>
      </c>
      <c r="J271">
        <v>16.690000000000001</v>
      </c>
      <c r="K271">
        <v>7.8164999999999998E-2</v>
      </c>
      <c r="L271">
        <v>0.08</v>
      </c>
    </row>
    <row r="272" spans="1:12" x14ac:dyDescent="0.35">
      <c r="A272" s="1">
        <v>17714</v>
      </c>
      <c r="B272">
        <v>7.6649999999999999E-3</v>
      </c>
      <c r="C272">
        <v>3.6870000000000002E-3</v>
      </c>
      <c r="D272">
        <v>1.0300999999999999E-2</v>
      </c>
      <c r="E272">
        <v>5.8840000000000003E-3</v>
      </c>
      <c r="F272">
        <v>24506634.899999999</v>
      </c>
      <c r="G272">
        <v>90</v>
      </c>
      <c r="H272">
        <v>24442390</v>
      </c>
      <c r="I272">
        <v>90</v>
      </c>
      <c r="J272">
        <v>16.739999999999998</v>
      </c>
      <c r="K272">
        <v>2.996E-3</v>
      </c>
      <c r="L272">
        <v>0.09</v>
      </c>
    </row>
    <row r="273" spans="1:12" x14ac:dyDescent="0.35">
      <c r="A273" s="1">
        <v>17744</v>
      </c>
      <c r="B273">
        <v>-5.2296000000000002E-2</v>
      </c>
      <c r="C273">
        <v>-5.3143999999999997E-2</v>
      </c>
      <c r="D273">
        <v>-4.8966000000000003E-2</v>
      </c>
      <c r="E273">
        <v>-5.0497E-2</v>
      </c>
      <c r="F273">
        <v>23205032.399999999</v>
      </c>
      <c r="G273">
        <v>90</v>
      </c>
      <c r="H273">
        <v>24507463.800000001</v>
      </c>
      <c r="I273">
        <v>90</v>
      </c>
      <c r="J273">
        <v>15.85</v>
      </c>
      <c r="K273">
        <v>-5.3165999999999998E-2</v>
      </c>
      <c r="L273">
        <v>0.08</v>
      </c>
    </row>
    <row r="274" spans="1:12" x14ac:dyDescent="0.35">
      <c r="A274" s="1">
        <v>17776</v>
      </c>
      <c r="B274">
        <v>1.5539000000000001E-2</v>
      </c>
      <c r="C274">
        <v>8.123E-3</v>
      </c>
      <c r="D274">
        <v>1.754E-2</v>
      </c>
      <c r="E274">
        <v>1.1143E-2</v>
      </c>
      <c r="F274">
        <v>23395827.100000001</v>
      </c>
      <c r="G274">
        <v>90</v>
      </c>
      <c r="H274">
        <v>23205032.399999999</v>
      </c>
      <c r="I274">
        <v>90</v>
      </c>
      <c r="J274">
        <v>15.97</v>
      </c>
      <c r="K274">
        <v>7.5709999999999996E-3</v>
      </c>
      <c r="L274">
        <v>0.09</v>
      </c>
    </row>
    <row r="275" spans="1:12" x14ac:dyDescent="0.35">
      <c r="A275" s="1">
        <v>17806</v>
      </c>
      <c r="B275">
        <v>-2.7015999999999998E-2</v>
      </c>
      <c r="C275">
        <v>-3.1158999999999999E-2</v>
      </c>
      <c r="D275">
        <v>-3.6962000000000002E-2</v>
      </c>
      <c r="E275">
        <v>-4.129E-2</v>
      </c>
      <c r="F275">
        <v>22666864.199999999</v>
      </c>
      <c r="G275">
        <v>90</v>
      </c>
      <c r="H275">
        <v>23395827.100000001</v>
      </c>
      <c r="I275">
        <v>90</v>
      </c>
      <c r="J275">
        <v>15.49</v>
      </c>
      <c r="K275">
        <v>-3.0055999999999999E-2</v>
      </c>
      <c r="L275">
        <v>0.04</v>
      </c>
    </row>
    <row r="276" spans="1:12" x14ac:dyDescent="0.35">
      <c r="A276" s="1">
        <v>17836</v>
      </c>
      <c r="B276">
        <v>7.0041000000000006E-2</v>
      </c>
      <c r="C276">
        <v>6.7022999999999999E-2</v>
      </c>
      <c r="D276">
        <v>5.9346999999999997E-2</v>
      </c>
      <c r="E276">
        <v>5.6642999999999999E-2</v>
      </c>
      <c r="F276">
        <v>24198325.199999999</v>
      </c>
      <c r="G276">
        <v>90</v>
      </c>
      <c r="H276">
        <v>22666864.199999999</v>
      </c>
      <c r="I276">
        <v>90</v>
      </c>
      <c r="J276">
        <v>16.54</v>
      </c>
      <c r="K276">
        <v>6.7785999999999999E-2</v>
      </c>
      <c r="L276">
        <v>0.04</v>
      </c>
    </row>
    <row r="277" spans="1:12" x14ac:dyDescent="0.35">
      <c r="A277" s="1">
        <v>17867</v>
      </c>
      <c r="B277">
        <v>-9.8332000000000003E-2</v>
      </c>
      <c r="C277">
        <v>-0.109939</v>
      </c>
      <c r="D277">
        <v>-0.109582</v>
      </c>
      <c r="E277">
        <v>-0.119509</v>
      </c>
      <c r="F277">
        <v>21550191.399999999</v>
      </c>
      <c r="G277">
        <v>90</v>
      </c>
      <c r="H277">
        <v>24198325.199999999</v>
      </c>
      <c r="I277">
        <v>90</v>
      </c>
      <c r="J277">
        <v>14.75</v>
      </c>
      <c r="K277">
        <v>-0.108223</v>
      </c>
      <c r="L277">
        <v>0.04</v>
      </c>
    </row>
    <row r="278" spans="1:12" x14ac:dyDescent="0.35">
      <c r="A278" s="1">
        <v>17898</v>
      </c>
      <c r="B278">
        <v>3.5951999999999998E-2</v>
      </c>
      <c r="C278">
        <v>2.9718999999999999E-2</v>
      </c>
      <c r="D278">
        <v>2.8018999999999999E-2</v>
      </c>
      <c r="E278">
        <v>2.0677999999999998E-2</v>
      </c>
      <c r="F278">
        <v>22094298.399999999</v>
      </c>
      <c r="G278">
        <v>90</v>
      </c>
      <c r="H278">
        <v>21550191.399999999</v>
      </c>
      <c r="I278">
        <v>90</v>
      </c>
      <c r="J278">
        <v>15.2</v>
      </c>
      <c r="K278">
        <v>3.0508E-2</v>
      </c>
      <c r="L278">
        <v>0.04</v>
      </c>
    </row>
    <row r="279" spans="1:12" x14ac:dyDescent="0.35">
      <c r="A279" s="1">
        <v>17929</v>
      </c>
      <c r="B279">
        <v>2.676E-3</v>
      </c>
      <c r="C279">
        <v>1.377E-3</v>
      </c>
      <c r="D279">
        <v>1.4855E-2</v>
      </c>
      <c r="E279">
        <v>1.2807000000000001E-2</v>
      </c>
      <c r="F279">
        <v>22124711.800000001</v>
      </c>
      <c r="G279">
        <v>90</v>
      </c>
      <c r="H279">
        <v>22094298.399999999</v>
      </c>
      <c r="I279">
        <v>90</v>
      </c>
      <c r="J279">
        <v>15.22</v>
      </c>
      <c r="K279">
        <v>1.3159999999999999E-3</v>
      </c>
      <c r="L279">
        <v>0.1</v>
      </c>
    </row>
    <row r="280" spans="1:12" x14ac:dyDescent="0.35">
      <c r="A280" s="1">
        <v>17957</v>
      </c>
      <c r="B280">
        <v>-3.1639E-2</v>
      </c>
      <c r="C280">
        <v>-4.1472000000000002E-2</v>
      </c>
      <c r="D280">
        <v>-2.8417999999999999E-2</v>
      </c>
      <c r="E280">
        <v>-3.6200999999999997E-2</v>
      </c>
      <c r="F280">
        <v>21226763.399999999</v>
      </c>
      <c r="G280">
        <v>90</v>
      </c>
      <c r="H280">
        <v>22124711.800000001</v>
      </c>
      <c r="I280">
        <v>90</v>
      </c>
      <c r="J280">
        <v>14.62</v>
      </c>
      <c r="K280">
        <v>-3.9421999999999999E-2</v>
      </c>
      <c r="L280">
        <v>0.09</v>
      </c>
    </row>
    <row r="281" spans="1:12" x14ac:dyDescent="0.35">
      <c r="A281" s="1">
        <v>17988</v>
      </c>
      <c r="B281">
        <v>3.3980999999999997E-2</v>
      </c>
      <c r="C281">
        <v>2.9349E-2</v>
      </c>
      <c r="D281">
        <v>4.2145000000000002E-2</v>
      </c>
      <c r="E281">
        <v>3.6672999999999997E-2</v>
      </c>
      <c r="F281">
        <v>21865403.399999999</v>
      </c>
      <c r="G281">
        <v>90</v>
      </c>
      <c r="H281">
        <v>21226763.399999999</v>
      </c>
      <c r="I281">
        <v>90</v>
      </c>
      <c r="J281">
        <v>15.06</v>
      </c>
      <c r="K281">
        <v>3.0096000000000001E-2</v>
      </c>
      <c r="L281">
        <v>0.1</v>
      </c>
    </row>
    <row r="282" spans="1:12" x14ac:dyDescent="0.35">
      <c r="A282" s="1">
        <v>18018</v>
      </c>
      <c r="B282">
        <v>-1.8690999999999999E-2</v>
      </c>
      <c r="C282">
        <v>-2.1717E-2</v>
      </c>
      <c r="D282">
        <v>-2.8888E-2</v>
      </c>
      <c r="E282">
        <v>-3.0948E-2</v>
      </c>
      <c r="F282">
        <v>21390528.600000001</v>
      </c>
      <c r="G282">
        <v>90</v>
      </c>
      <c r="H282">
        <v>21865403.399999999</v>
      </c>
      <c r="I282">
        <v>90</v>
      </c>
      <c r="J282">
        <v>14.74</v>
      </c>
      <c r="K282">
        <v>-2.1248E-2</v>
      </c>
      <c r="L282">
        <v>0.09</v>
      </c>
    </row>
    <row r="283" spans="1:12" x14ac:dyDescent="0.35">
      <c r="A283" s="1">
        <v>18049</v>
      </c>
      <c r="B283">
        <v>-2.9423000000000001E-2</v>
      </c>
      <c r="C283">
        <v>-3.7791999999999999E-2</v>
      </c>
      <c r="D283">
        <v>-2.6519000000000001E-2</v>
      </c>
      <c r="E283">
        <v>-3.4654999999999998E-2</v>
      </c>
      <c r="F283">
        <v>20603559.899999999</v>
      </c>
      <c r="G283">
        <v>90</v>
      </c>
      <c r="H283">
        <v>21390528.600000001</v>
      </c>
      <c r="I283">
        <v>90</v>
      </c>
      <c r="J283">
        <v>14.19</v>
      </c>
      <c r="K283">
        <v>-3.7312999999999999E-2</v>
      </c>
      <c r="L283">
        <v>0.1</v>
      </c>
    </row>
    <row r="284" spans="1:12" x14ac:dyDescent="0.35">
      <c r="A284" s="1">
        <v>18079</v>
      </c>
      <c r="B284">
        <v>1.7440000000000001E-3</v>
      </c>
      <c r="C284">
        <v>-3.2690000000000002E-3</v>
      </c>
      <c r="D284">
        <v>-6.7099999999999998E-3</v>
      </c>
      <c r="E284">
        <v>-1.1613999999999999E-2</v>
      </c>
      <c r="F284">
        <v>20536202.699999999</v>
      </c>
      <c r="G284">
        <v>90</v>
      </c>
      <c r="H284">
        <v>20603559.899999999</v>
      </c>
      <c r="I284">
        <v>90</v>
      </c>
      <c r="J284">
        <v>14.16</v>
      </c>
      <c r="K284">
        <v>-2.114E-3</v>
      </c>
      <c r="L284">
        <v>0.1</v>
      </c>
    </row>
    <row r="285" spans="1:12" x14ac:dyDescent="0.35">
      <c r="A285" s="1">
        <v>18108</v>
      </c>
      <c r="B285">
        <v>6.2731999999999996E-2</v>
      </c>
      <c r="C285">
        <v>6.1657000000000003E-2</v>
      </c>
      <c r="D285">
        <v>5.6198999999999999E-2</v>
      </c>
      <c r="E285">
        <v>5.4321000000000001E-2</v>
      </c>
      <c r="F285">
        <v>21836534</v>
      </c>
      <c r="G285">
        <v>90</v>
      </c>
      <c r="H285">
        <v>20541448.699999999</v>
      </c>
      <c r="I285">
        <v>90</v>
      </c>
      <c r="J285">
        <v>15.04</v>
      </c>
      <c r="K285">
        <v>6.2147000000000001E-2</v>
      </c>
      <c r="L285">
        <v>0.09</v>
      </c>
    </row>
    <row r="286" spans="1:12" x14ac:dyDescent="0.35">
      <c r="A286" s="1">
        <v>18141</v>
      </c>
      <c r="B286">
        <v>2.18E-2</v>
      </c>
      <c r="C286">
        <v>1.1738E-2</v>
      </c>
      <c r="D286">
        <v>2.3592999999999999E-2</v>
      </c>
      <c r="E286">
        <v>1.5023E-2</v>
      </c>
      <c r="F286">
        <v>22092860.199999999</v>
      </c>
      <c r="G286">
        <v>90</v>
      </c>
      <c r="H286">
        <v>21836534</v>
      </c>
      <c r="I286">
        <v>90</v>
      </c>
      <c r="J286">
        <v>15.22</v>
      </c>
      <c r="K286">
        <v>1.1967999999999999E-2</v>
      </c>
      <c r="L286">
        <v>0.09</v>
      </c>
    </row>
    <row r="287" spans="1:12" x14ac:dyDescent="0.35">
      <c r="A287" s="1">
        <v>18171</v>
      </c>
      <c r="B287">
        <v>2.7414999999999998E-2</v>
      </c>
      <c r="C287">
        <v>2.4292999999999999E-2</v>
      </c>
      <c r="D287">
        <v>3.4209000000000003E-2</v>
      </c>
      <c r="E287">
        <v>3.0225999999999999E-2</v>
      </c>
      <c r="F287">
        <v>22640450.199999999</v>
      </c>
      <c r="G287">
        <v>90</v>
      </c>
      <c r="H287">
        <v>22092860.199999999</v>
      </c>
      <c r="I287">
        <v>90</v>
      </c>
      <c r="J287">
        <v>15.58</v>
      </c>
      <c r="K287">
        <v>2.3653E-2</v>
      </c>
      <c r="L287">
        <v>0.09</v>
      </c>
    </row>
    <row r="288" spans="1:12" x14ac:dyDescent="0.35">
      <c r="A288" s="1">
        <v>18202</v>
      </c>
      <c r="B288">
        <v>2.9780000000000001E-2</v>
      </c>
      <c r="C288">
        <v>2.8437E-2</v>
      </c>
      <c r="D288">
        <v>1.8565000000000002E-2</v>
      </c>
      <c r="E288">
        <v>1.6267E-2</v>
      </c>
      <c r="F288">
        <v>23222496.5</v>
      </c>
      <c r="G288">
        <v>90</v>
      </c>
      <c r="H288">
        <v>22640450.199999999</v>
      </c>
      <c r="I288">
        <v>90</v>
      </c>
      <c r="J288">
        <v>16.04</v>
      </c>
      <c r="K288">
        <v>2.9524999999999999E-2</v>
      </c>
      <c r="L288">
        <v>0.09</v>
      </c>
    </row>
    <row r="289" spans="1:12" x14ac:dyDescent="0.35">
      <c r="A289" s="1">
        <v>18232</v>
      </c>
      <c r="B289">
        <v>2.0737999999999999E-2</v>
      </c>
      <c r="C289">
        <v>4.8200000000000001E-4</v>
      </c>
      <c r="D289">
        <v>1.8941E-2</v>
      </c>
      <c r="E289">
        <v>7.6340000000000002E-3</v>
      </c>
      <c r="F289">
        <v>23262075.199999999</v>
      </c>
      <c r="G289">
        <v>90</v>
      </c>
      <c r="H289">
        <v>23222496.5</v>
      </c>
      <c r="I289">
        <v>90</v>
      </c>
      <c r="J289">
        <v>16.059999999999999</v>
      </c>
      <c r="K289">
        <v>1.2470000000000001E-3</v>
      </c>
      <c r="L289">
        <v>0.08</v>
      </c>
    </row>
    <row r="290" spans="1:12" x14ac:dyDescent="0.35">
      <c r="A290" s="1">
        <v>18263</v>
      </c>
      <c r="B290">
        <v>5.0984000000000002E-2</v>
      </c>
      <c r="C290">
        <v>4.6033999999999999E-2</v>
      </c>
      <c r="D290">
        <v>6.8271999999999999E-2</v>
      </c>
      <c r="E290">
        <v>6.1707999999999999E-2</v>
      </c>
      <c r="F290">
        <v>24536226.899999999</v>
      </c>
      <c r="G290">
        <v>90</v>
      </c>
      <c r="H290">
        <v>23262075.199999999</v>
      </c>
      <c r="I290">
        <v>90</v>
      </c>
      <c r="J290">
        <v>16.760000000000002</v>
      </c>
      <c r="K290">
        <v>4.3587000000000001E-2</v>
      </c>
      <c r="L290">
        <v>0.09</v>
      </c>
    </row>
    <row r="291" spans="1:12" x14ac:dyDescent="0.35">
      <c r="A291" s="1">
        <v>18294</v>
      </c>
      <c r="B291">
        <v>1.9702999999999998E-2</v>
      </c>
      <c r="C291">
        <v>1.8245000000000001E-2</v>
      </c>
      <c r="D291">
        <v>3.3964000000000001E-2</v>
      </c>
      <c r="E291">
        <v>3.1614999999999997E-2</v>
      </c>
      <c r="F291">
        <v>24999176.5</v>
      </c>
      <c r="G291">
        <v>90</v>
      </c>
      <c r="H291">
        <v>24536226.899999999</v>
      </c>
      <c r="I291">
        <v>90</v>
      </c>
      <c r="J291">
        <v>17.05</v>
      </c>
      <c r="K291">
        <v>1.7302999999999999E-2</v>
      </c>
      <c r="L291">
        <v>0.09</v>
      </c>
    </row>
    <row r="292" spans="1:12" x14ac:dyDescent="0.35">
      <c r="A292" s="1">
        <v>18322</v>
      </c>
      <c r="B292">
        <v>1.9602999999999999E-2</v>
      </c>
      <c r="C292">
        <v>9.9749999999999995E-3</v>
      </c>
      <c r="D292">
        <v>1.8478999999999999E-2</v>
      </c>
      <c r="E292">
        <v>1.1781E-2</v>
      </c>
      <c r="F292">
        <v>25246904.899999999</v>
      </c>
      <c r="G292">
        <v>90</v>
      </c>
      <c r="H292">
        <v>24999176.5</v>
      </c>
      <c r="I292">
        <v>90</v>
      </c>
      <c r="J292">
        <v>17.22</v>
      </c>
      <c r="K292">
        <v>9.9710000000000007E-3</v>
      </c>
      <c r="L292">
        <v>0.09</v>
      </c>
    </row>
    <row r="293" spans="1:12" x14ac:dyDescent="0.35">
      <c r="A293" s="1">
        <v>18353</v>
      </c>
      <c r="B293">
        <v>8.1849999999999996E-3</v>
      </c>
      <c r="C293">
        <v>3.542E-3</v>
      </c>
      <c r="D293">
        <v>4.1110000000000001E-3</v>
      </c>
      <c r="E293">
        <v>-1.1709999999999999E-3</v>
      </c>
      <c r="F293">
        <v>25399291.899999999</v>
      </c>
      <c r="G293">
        <v>90</v>
      </c>
      <c r="H293">
        <v>25246904.899999999</v>
      </c>
      <c r="I293">
        <v>90</v>
      </c>
      <c r="J293">
        <v>17.29</v>
      </c>
      <c r="K293">
        <v>4.065E-3</v>
      </c>
      <c r="L293">
        <v>0.1</v>
      </c>
    </row>
    <row r="294" spans="1:12" x14ac:dyDescent="0.35">
      <c r="A294" s="1">
        <v>18382</v>
      </c>
      <c r="B294">
        <v>4.5886999999999997E-2</v>
      </c>
      <c r="C294">
        <v>4.4492999999999998E-2</v>
      </c>
      <c r="D294">
        <v>3.5929000000000003E-2</v>
      </c>
      <c r="E294">
        <v>3.3728000000000001E-2</v>
      </c>
      <c r="F294">
        <v>26529385.300000001</v>
      </c>
      <c r="G294">
        <v>90</v>
      </c>
      <c r="H294">
        <v>25399291.899999999</v>
      </c>
      <c r="I294">
        <v>90</v>
      </c>
      <c r="J294">
        <v>18.07</v>
      </c>
      <c r="K294">
        <v>4.5113E-2</v>
      </c>
      <c r="L294">
        <v>0.09</v>
      </c>
    </row>
    <row r="295" spans="1:12" x14ac:dyDescent="0.35">
      <c r="A295" s="1">
        <v>18414</v>
      </c>
      <c r="B295">
        <v>4.6901999999999999E-2</v>
      </c>
      <c r="C295">
        <v>3.7589999999999998E-2</v>
      </c>
      <c r="D295">
        <v>2.5339E-2</v>
      </c>
      <c r="E295">
        <v>1.7749999999999998E-2</v>
      </c>
      <c r="F295">
        <v>27535099.399999999</v>
      </c>
      <c r="G295">
        <v>90</v>
      </c>
      <c r="H295">
        <v>26529385.300000001</v>
      </c>
      <c r="I295">
        <v>90</v>
      </c>
      <c r="J295">
        <v>18.78</v>
      </c>
      <c r="K295">
        <v>3.9292000000000001E-2</v>
      </c>
      <c r="L295">
        <v>0.1</v>
      </c>
    </row>
    <row r="296" spans="1:12" x14ac:dyDescent="0.35">
      <c r="A296" s="1">
        <v>18444</v>
      </c>
      <c r="B296">
        <v>-5.4224000000000001E-2</v>
      </c>
      <c r="C296">
        <v>-5.7848999999999998E-2</v>
      </c>
      <c r="D296">
        <v>-7.2075E-2</v>
      </c>
      <c r="E296">
        <v>-7.6444999999999999E-2</v>
      </c>
      <c r="F296">
        <v>25950947.100000001</v>
      </c>
      <c r="G296">
        <v>90</v>
      </c>
      <c r="H296">
        <v>27535099.399999999</v>
      </c>
      <c r="I296">
        <v>90</v>
      </c>
      <c r="J296">
        <v>17.690000000000001</v>
      </c>
      <c r="K296">
        <v>-5.8040000000000001E-2</v>
      </c>
      <c r="L296">
        <v>0.1</v>
      </c>
    </row>
    <row r="297" spans="1:12" x14ac:dyDescent="0.35">
      <c r="A297" s="1">
        <v>18475</v>
      </c>
      <c r="B297">
        <v>1.6981E-2</v>
      </c>
      <c r="C297">
        <v>1.5875E-2</v>
      </c>
      <c r="D297">
        <v>4.9028000000000002E-2</v>
      </c>
      <c r="E297">
        <v>4.6996000000000003E-2</v>
      </c>
      <c r="F297">
        <v>25667012</v>
      </c>
      <c r="G297">
        <v>90</v>
      </c>
      <c r="H297">
        <v>25265923.100000001</v>
      </c>
      <c r="I297">
        <v>90</v>
      </c>
      <c r="J297">
        <v>17.84</v>
      </c>
      <c r="K297">
        <v>8.4790000000000004E-3</v>
      </c>
      <c r="L297">
        <v>0.1</v>
      </c>
    </row>
    <row r="298" spans="1:12" x14ac:dyDescent="0.35">
      <c r="A298" s="1">
        <v>18506</v>
      </c>
      <c r="B298">
        <v>4.8063000000000002E-2</v>
      </c>
      <c r="C298">
        <v>3.1525999999999998E-2</v>
      </c>
      <c r="D298">
        <v>3.4930999999999997E-2</v>
      </c>
      <c r="E298">
        <v>2.5701000000000002E-2</v>
      </c>
      <c r="F298">
        <v>26460058</v>
      </c>
      <c r="G298">
        <v>90</v>
      </c>
      <c r="H298">
        <v>25667012</v>
      </c>
      <c r="I298">
        <v>90</v>
      </c>
      <c r="J298">
        <v>18.420000000000002</v>
      </c>
      <c r="K298">
        <v>3.2510999999999998E-2</v>
      </c>
      <c r="L298">
        <v>0.1</v>
      </c>
    </row>
    <row r="299" spans="1:12" x14ac:dyDescent="0.35">
      <c r="A299" s="1">
        <v>18535</v>
      </c>
      <c r="B299">
        <v>5.9465999999999998E-2</v>
      </c>
      <c r="C299">
        <v>5.6509999999999998E-2</v>
      </c>
      <c r="D299">
        <v>6.4842999999999998E-2</v>
      </c>
      <c r="E299">
        <v>6.0596999999999998E-2</v>
      </c>
      <c r="F299">
        <v>27955307.100000001</v>
      </c>
      <c r="G299">
        <v>90</v>
      </c>
      <c r="H299">
        <v>26460058</v>
      </c>
      <c r="I299">
        <v>90</v>
      </c>
      <c r="J299">
        <v>19.45</v>
      </c>
      <c r="K299">
        <v>5.5917000000000001E-2</v>
      </c>
      <c r="L299">
        <v>0.1</v>
      </c>
    </row>
    <row r="300" spans="1:12" x14ac:dyDescent="0.35">
      <c r="A300" s="1">
        <v>18567</v>
      </c>
      <c r="B300">
        <v>5.084E-3</v>
      </c>
      <c r="C300">
        <v>3.4250000000000001E-3</v>
      </c>
      <c r="D300">
        <v>-7.084E-3</v>
      </c>
      <c r="E300">
        <v>-1.004E-2</v>
      </c>
      <c r="F300">
        <v>28064837.899999999</v>
      </c>
      <c r="G300">
        <v>90</v>
      </c>
      <c r="H300">
        <v>27955307.100000001</v>
      </c>
      <c r="I300">
        <v>90</v>
      </c>
      <c r="J300">
        <v>19.53</v>
      </c>
      <c r="K300">
        <v>4.1130000000000003E-3</v>
      </c>
      <c r="L300">
        <v>0.12</v>
      </c>
    </row>
    <row r="301" spans="1:12" x14ac:dyDescent="0.35">
      <c r="A301" s="1">
        <v>18597</v>
      </c>
      <c r="B301">
        <v>2.2429999999999999E-2</v>
      </c>
      <c r="C301">
        <v>-7.2999999999999999E-5</v>
      </c>
      <c r="D301">
        <v>2.8721E-2</v>
      </c>
      <c r="E301">
        <v>1.4962E-2</v>
      </c>
      <c r="F301">
        <v>28062793</v>
      </c>
      <c r="G301">
        <v>90</v>
      </c>
      <c r="H301">
        <v>28064837.899999999</v>
      </c>
      <c r="I301">
        <v>90</v>
      </c>
      <c r="J301">
        <v>19.510000000000002</v>
      </c>
      <c r="K301">
        <v>-1.024E-3</v>
      </c>
      <c r="L301">
        <v>0.11</v>
      </c>
    </row>
    <row r="302" spans="1:12" x14ac:dyDescent="0.35">
      <c r="A302" s="1">
        <v>18627</v>
      </c>
      <c r="B302">
        <v>5.5425000000000002E-2</v>
      </c>
      <c r="C302">
        <v>5.1025000000000001E-2</v>
      </c>
      <c r="D302">
        <v>7.9679E-2</v>
      </c>
      <c r="E302">
        <v>7.1877999999999997E-2</v>
      </c>
      <c r="F302">
        <v>29783857.300000001</v>
      </c>
      <c r="G302">
        <v>90</v>
      </c>
      <c r="H302">
        <v>28062793</v>
      </c>
      <c r="I302">
        <v>90</v>
      </c>
      <c r="J302">
        <v>20.41</v>
      </c>
      <c r="K302">
        <v>4.6129999999999997E-2</v>
      </c>
      <c r="L302">
        <v>0.11</v>
      </c>
    </row>
    <row r="303" spans="1:12" x14ac:dyDescent="0.35">
      <c r="A303" s="1">
        <v>18659</v>
      </c>
      <c r="B303">
        <v>6.5104999999999996E-2</v>
      </c>
      <c r="C303">
        <v>6.3309000000000004E-2</v>
      </c>
      <c r="D303">
        <v>7.2271000000000002E-2</v>
      </c>
      <c r="E303">
        <v>6.9941000000000003E-2</v>
      </c>
      <c r="F303">
        <v>31674640</v>
      </c>
      <c r="G303">
        <v>90</v>
      </c>
      <c r="H303">
        <v>29783857.300000001</v>
      </c>
      <c r="I303">
        <v>90</v>
      </c>
      <c r="J303">
        <v>21.66</v>
      </c>
      <c r="K303">
        <v>6.1244E-2</v>
      </c>
      <c r="L303">
        <v>0.13</v>
      </c>
    </row>
    <row r="304" spans="1:12" x14ac:dyDescent="0.35">
      <c r="A304" s="1">
        <v>18687</v>
      </c>
      <c r="B304">
        <v>1.4546E-2</v>
      </c>
      <c r="C304">
        <v>4.1850000000000004E-3</v>
      </c>
      <c r="D304">
        <v>9.4459999999999995E-3</v>
      </c>
      <c r="E304">
        <v>2.6080000000000001E-3</v>
      </c>
      <c r="F304">
        <v>31812722</v>
      </c>
      <c r="G304">
        <v>90</v>
      </c>
      <c r="H304">
        <v>31674640</v>
      </c>
      <c r="I304">
        <v>90</v>
      </c>
      <c r="J304">
        <v>21.8</v>
      </c>
      <c r="K304">
        <v>6.4640000000000001E-3</v>
      </c>
      <c r="L304">
        <v>0.1</v>
      </c>
    </row>
    <row r="305" spans="1:12" x14ac:dyDescent="0.35">
      <c r="A305" s="1">
        <v>18718</v>
      </c>
      <c r="B305">
        <v>-1.7484E-2</v>
      </c>
      <c r="C305">
        <v>-1.9706000000000001E-2</v>
      </c>
      <c r="D305">
        <v>-2.4806000000000002E-2</v>
      </c>
      <c r="E305">
        <v>-2.8969000000000002E-2</v>
      </c>
      <c r="F305">
        <v>31252904.5</v>
      </c>
      <c r="G305">
        <v>90</v>
      </c>
      <c r="H305">
        <v>31812722</v>
      </c>
      <c r="I305">
        <v>90</v>
      </c>
      <c r="J305">
        <v>21.4</v>
      </c>
      <c r="K305">
        <v>-1.8349000000000001E-2</v>
      </c>
      <c r="L305">
        <v>0.11</v>
      </c>
    </row>
    <row r="306" spans="1:12" x14ac:dyDescent="0.35">
      <c r="A306" s="1">
        <v>18748</v>
      </c>
      <c r="B306">
        <v>4.9107999999999999E-2</v>
      </c>
      <c r="C306">
        <v>4.7903000000000001E-2</v>
      </c>
      <c r="D306">
        <v>3.1718000000000003E-2</v>
      </c>
      <c r="E306">
        <v>2.9388000000000001E-2</v>
      </c>
      <c r="F306">
        <v>32748452.399999999</v>
      </c>
      <c r="G306">
        <v>90</v>
      </c>
      <c r="H306">
        <v>31252904.5</v>
      </c>
      <c r="I306">
        <v>90</v>
      </c>
      <c r="J306">
        <v>22.43</v>
      </c>
      <c r="K306">
        <v>4.8131E-2</v>
      </c>
      <c r="L306">
        <v>0.13</v>
      </c>
    </row>
    <row r="307" spans="1:12" x14ac:dyDescent="0.35">
      <c r="A307" s="1">
        <v>18779</v>
      </c>
      <c r="B307">
        <v>-2.9978999999999999E-2</v>
      </c>
      <c r="C307">
        <v>-4.0917000000000002E-2</v>
      </c>
      <c r="D307">
        <v>-2.2844E-2</v>
      </c>
      <c r="E307">
        <v>-3.0398999999999999E-2</v>
      </c>
      <c r="F307">
        <v>31408487.399999999</v>
      </c>
      <c r="G307">
        <v>90</v>
      </c>
      <c r="H307">
        <v>32748452.399999999</v>
      </c>
      <c r="I307">
        <v>90</v>
      </c>
      <c r="J307">
        <v>21.52</v>
      </c>
      <c r="K307">
        <v>-4.0571000000000003E-2</v>
      </c>
      <c r="L307">
        <v>0.12</v>
      </c>
    </row>
    <row r="308" spans="1:12" x14ac:dyDescent="0.35">
      <c r="A308" s="1">
        <v>18808</v>
      </c>
      <c r="B308">
        <v>-2.5847999999999999E-2</v>
      </c>
      <c r="C308">
        <v>-2.8185999999999999E-2</v>
      </c>
      <c r="D308">
        <v>-4.1803E-2</v>
      </c>
      <c r="E308">
        <v>-4.5823999999999997E-2</v>
      </c>
      <c r="F308">
        <v>30523217.800000001</v>
      </c>
      <c r="G308">
        <v>90</v>
      </c>
      <c r="H308">
        <v>31408487.399999999</v>
      </c>
      <c r="I308">
        <v>90</v>
      </c>
      <c r="J308">
        <v>20.96</v>
      </c>
      <c r="K308">
        <v>-2.6022E-2</v>
      </c>
      <c r="L308">
        <v>0.12</v>
      </c>
    </row>
    <row r="309" spans="1:12" x14ac:dyDescent="0.35">
      <c r="A309" s="1">
        <v>18840</v>
      </c>
      <c r="B309">
        <v>7.0934999999999998E-2</v>
      </c>
      <c r="C309">
        <v>7.0014000000000007E-2</v>
      </c>
      <c r="D309">
        <v>7.7190999999999996E-2</v>
      </c>
      <c r="E309">
        <v>7.4721999999999997E-2</v>
      </c>
      <c r="F309">
        <v>32660294.100000001</v>
      </c>
      <c r="G309">
        <v>90</v>
      </c>
      <c r="H309">
        <v>30523217.800000001</v>
      </c>
      <c r="I309">
        <v>90</v>
      </c>
      <c r="J309">
        <v>22.4</v>
      </c>
      <c r="K309">
        <v>6.8701999999999999E-2</v>
      </c>
      <c r="L309">
        <v>0.13</v>
      </c>
    </row>
    <row r="310" spans="1:12" x14ac:dyDescent="0.35">
      <c r="A310" s="1">
        <v>18871</v>
      </c>
      <c r="B310">
        <v>5.0220000000000001E-2</v>
      </c>
      <c r="C310">
        <v>3.8396E-2</v>
      </c>
      <c r="D310">
        <v>3.5092999999999999E-2</v>
      </c>
      <c r="E310">
        <v>2.7442999999999999E-2</v>
      </c>
      <c r="F310">
        <v>33914320.600000001</v>
      </c>
      <c r="G310">
        <v>90</v>
      </c>
      <c r="H310">
        <v>32660294.100000001</v>
      </c>
      <c r="I310">
        <v>90</v>
      </c>
      <c r="J310">
        <v>23.28</v>
      </c>
      <c r="K310">
        <v>3.9286000000000001E-2</v>
      </c>
      <c r="L310">
        <v>0.13</v>
      </c>
    </row>
    <row r="311" spans="1:12" x14ac:dyDescent="0.35">
      <c r="A311" s="1">
        <v>18899</v>
      </c>
      <c r="B311">
        <v>2.8679999999999999E-3</v>
      </c>
      <c r="C311">
        <v>1.1950000000000001E-3</v>
      </c>
      <c r="D311">
        <v>1.8519999999999998E-2</v>
      </c>
      <c r="E311">
        <v>1.4921E-2</v>
      </c>
      <c r="F311">
        <v>34522002.200000003</v>
      </c>
      <c r="G311">
        <v>90</v>
      </c>
      <c r="H311">
        <v>34480811.5</v>
      </c>
      <c r="I311">
        <v>90</v>
      </c>
      <c r="J311">
        <v>23.26</v>
      </c>
      <c r="K311">
        <v>-8.5899999999999995E-4</v>
      </c>
      <c r="L311">
        <v>0.12</v>
      </c>
    </row>
    <row r="312" spans="1:12" x14ac:dyDescent="0.35">
      <c r="A312" s="1">
        <v>18932</v>
      </c>
      <c r="B312">
        <v>-1.3321E-2</v>
      </c>
      <c r="C312">
        <v>-1.5088000000000001E-2</v>
      </c>
      <c r="D312">
        <v>-2.3050999999999999E-2</v>
      </c>
      <c r="E312">
        <v>-2.5891999999999998E-2</v>
      </c>
      <c r="F312">
        <v>34018023</v>
      </c>
      <c r="G312">
        <v>90</v>
      </c>
      <c r="H312">
        <v>34522002.200000003</v>
      </c>
      <c r="I312">
        <v>90</v>
      </c>
      <c r="J312">
        <v>22.94</v>
      </c>
      <c r="K312">
        <v>-1.3757999999999999E-2</v>
      </c>
      <c r="L312">
        <v>0.16</v>
      </c>
    </row>
    <row r="313" spans="1:12" x14ac:dyDescent="0.35">
      <c r="A313" s="1">
        <v>18962</v>
      </c>
      <c r="B313">
        <v>1.1388000000000001E-2</v>
      </c>
      <c r="C313">
        <v>-2.5739999999999999E-3</v>
      </c>
      <c r="D313">
        <v>1.4761E-2</v>
      </c>
      <c r="E313">
        <v>4.7670000000000004E-3</v>
      </c>
      <c r="F313">
        <v>33951915.200000003</v>
      </c>
      <c r="G313">
        <v>90</v>
      </c>
      <c r="H313">
        <v>34018023</v>
      </c>
      <c r="I313">
        <v>90</v>
      </c>
      <c r="J313">
        <v>22.88</v>
      </c>
      <c r="K313">
        <v>-2.6159999999999998E-3</v>
      </c>
      <c r="L313">
        <v>0.11</v>
      </c>
    </row>
    <row r="314" spans="1:12" x14ac:dyDescent="0.35">
      <c r="A314" s="1">
        <v>18993</v>
      </c>
      <c r="B314">
        <v>4.1814999999999998E-2</v>
      </c>
      <c r="C314">
        <v>3.8467000000000001E-2</v>
      </c>
      <c r="D314">
        <v>2.7917999999999998E-2</v>
      </c>
      <c r="E314">
        <v>2.1387E-2</v>
      </c>
      <c r="F314">
        <v>35444069</v>
      </c>
      <c r="G314">
        <v>90</v>
      </c>
      <c r="H314">
        <v>33951915.200000003</v>
      </c>
      <c r="I314">
        <v>90</v>
      </c>
      <c r="J314">
        <v>23.77</v>
      </c>
      <c r="K314">
        <v>3.8899000000000003E-2</v>
      </c>
      <c r="L314">
        <v>0.12</v>
      </c>
    </row>
    <row r="315" spans="1:12" x14ac:dyDescent="0.35">
      <c r="A315" s="1">
        <v>19024</v>
      </c>
      <c r="B315">
        <v>1.7767999999999999E-2</v>
      </c>
      <c r="C315">
        <v>1.6303000000000002E-2</v>
      </c>
      <c r="D315">
        <v>2.0778000000000001E-2</v>
      </c>
      <c r="E315">
        <v>1.8506999999999999E-2</v>
      </c>
      <c r="F315">
        <v>36042650</v>
      </c>
      <c r="G315">
        <v>90</v>
      </c>
      <c r="H315">
        <v>35444069</v>
      </c>
      <c r="I315">
        <v>90</v>
      </c>
      <c r="J315">
        <v>24.14</v>
      </c>
      <c r="K315">
        <v>1.5566E-2</v>
      </c>
      <c r="L315">
        <v>0.15</v>
      </c>
    </row>
    <row r="316" spans="1:12" x14ac:dyDescent="0.35">
      <c r="A316" s="1">
        <v>19053</v>
      </c>
      <c r="B316">
        <v>-2.5241E-2</v>
      </c>
      <c r="C316">
        <v>-3.5742999999999997E-2</v>
      </c>
      <c r="D316">
        <v>-1.6045E-2</v>
      </c>
      <c r="E316">
        <v>-2.3296000000000001E-2</v>
      </c>
      <c r="F316">
        <v>34754362.899999999</v>
      </c>
      <c r="G316">
        <v>90</v>
      </c>
      <c r="H316">
        <v>36042650</v>
      </c>
      <c r="I316">
        <v>90</v>
      </c>
      <c r="J316">
        <v>23.26</v>
      </c>
      <c r="K316">
        <v>-3.6454E-2</v>
      </c>
      <c r="L316">
        <v>0.12</v>
      </c>
    </row>
    <row r="317" spans="1:12" x14ac:dyDescent="0.35">
      <c r="A317" s="1">
        <v>19084</v>
      </c>
      <c r="B317">
        <v>5.2804999999999998E-2</v>
      </c>
      <c r="C317">
        <v>5.0654999999999999E-2</v>
      </c>
      <c r="D317">
        <v>4.5030000000000001E-2</v>
      </c>
      <c r="E317">
        <v>4.0612000000000002E-2</v>
      </c>
      <c r="F317">
        <v>36571939.899999999</v>
      </c>
      <c r="G317">
        <v>90</v>
      </c>
      <c r="H317">
        <v>34754362.899999999</v>
      </c>
      <c r="I317">
        <v>90</v>
      </c>
      <c r="J317">
        <v>24.37</v>
      </c>
      <c r="K317">
        <v>4.7721E-2</v>
      </c>
      <c r="L317">
        <v>0.11</v>
      </c>
    </row>
    <row r="318" spans="1:12" x14ac:dyDescent="0.35">
      <c r="A318" s="1">
        <v>19114</v>
      </c>
      <c r="B318">
        <v>-4.1423000000000001E-2</v>
      </c>
      <c r="C318">
        <v>-4.3268000000000001E-2</v>
      </c>
      <c r="D318">
        <v>-3.5340000000000003E-2</v>
      </c>
      <c r="E318">
        <v>-3.8039000000000003E-2</v>
      </c>
      <c r="F318">
        <v>34996117.100000001</v>
      </c>
      <c r="G318">
        <v>90</v>
      </c>
      <c r="H318">
        <v>36571939.899999999</v>
      </c>
      <c r="I318">
        <v>90</v>
      </c>
      <c r="J318">
        <v>23.32</v>
      </c>
      <c r="K318">
        <v>-4.3085999999999999E-2</v>
      </c>
      <c r="L318">
        <v>0.12</v>
      </c>
    </row>
    <row r="319" spans="1:12" x14ac:dyDescent="0.35">
      <c r="A319" s="1">
        <v>19143</v>
      </c>
      <c r="B319">
        <v>3.3697999999999999E-2</v>
      </c>
      <c r="C319">
        <v>2.3274E-2</v>
      </c>
      <c r="D319">
        <v>2.8118000000000001E-2</v>
      </c>
      <c r="E319">
        <v>2.0945999999999999E-2</v>
      </c>
      <c r="F319">
        <v>35837771.200000003</v>
      </c>
      <c r="G319">
        <v>90</v>
      </c>
      <c r="H319">
        <v>34996117.100000001</v>
      </c>
      <c r="I319">
        <v>90</v>
      </c>
      <c r="J319">
        <v>23.86</v>
      </c>
      <c r="K319">
        <v>2.3156E-2</v>
      </c>
      <c r="L319">
        <v>0.13</v>
      </c>
    </row>
    <row r="320" spans="1:12" x14ac:dyDescent="0.35">
      <c r="A320" s="1">
        <v>19175</v>
      </c>
      <c r="B320">
        <v>4.7832E-2</v>
      </c>
      <c r="C320">
        <v>4.5795000000000002E-2</v>
      </c>
      <c r="D320">
        <v>3.9011999999999998E-2</v>
      </c>
      <c r="E320">
        <v>3.4667999999999997E-2</v>
      </c>
      <c r="F320">
        <v>37574458.5</v>
      </c>
      <c r="G320">
        <v>90</v>
      </c>
      <c r="H320">
        <v>35837771.200000003</v>
      </c>
      <c r="I320">
        <v>90</v>
      </c>
      <c r="J320">
        <v>24.96</v>
      </c>
      <c r="K320">
        <v>4.6101999999999997E-2</v>
      </c>
      <c r="L320">
        <v>0.15</v>
      </c>
    </row>
    <row r="321" spans="1:12" x14ac:dyDescent="0.35">
      <c r="A321" s="1">
        <v>19206</v>
      </c>
      <c r="B321">
        <v>1.9129E-2</v>
      </c>
      <c r="C321">
        <v>1.7659000000000001E-2</v>
      </c>
      <c r="D321">
        <v>1.8870999999999999E-2</v>
      </c>
      <c r="E321">
        <v>1.6768000000000002E-2</v>
      </c>
      <c r="F321">
        <v>38238000.200000003</v>
      </c>
      <c r="G321">
        <v>90</v>
      </c>
      <c r="H321">
        <v>37574458.5</v>
      </c>
      <c r="I321">
        <v>90</v>
      </c>
      <c r="J321">
        <v>25.4</v>
      </c>
      <c r="K321">
        <v>1.7628000000000001E-2</v>
      </c>
      <c r="L321">
        <v>0.15</v>
      </c>
    </row>
    <row r="322" spans="1:12" x14ac:dyDescent="0.35">
      <c r="A322" s="1">
        <v>19235</v>
      </c>
      <c r="B322">
        <v>-5.6740000000000002E-3</v>
      </c>
      <c r="C322">
        <v>-1.5007E-2</v>
      </c>
      <c r="D322">
        <v>-4.182E-3</v>
      </c>
      <c r="E322">
        <v>-1.0595E-2</v>
      </c>
      <c r="F322">
        <v>37664161.700000003</v>
      </c>
      <c r="G322">
        <v>90</v>
      </c>
      <c r="H322">
        <v>38238000.200000003</v>
      </c>
      <c r="I322">
        <v>90</v>
      </c>
      <c r="J322">
        <v>25.03</v>
      </c>
      <c r="K322">
        <v>-1.4567E-2</v>
      </c>
      <c r="L322">
        <v>0.15</v>
      </c>
    </row>
    <row r="323" spans="1:12" x14ac:dyDescent="0.35">
      <c r="A323" s="1">
        <v>19267</v>
      </c>
      <c r="B323">
        <v>-1.8085E-2</v>
      </c>
      <c r="C323">
        <v>-2.0098000000000001E-2</v>
      </c>
      <c r="D323">
        <v>-1.8359E-2</v>
      </c>
      <c r="E323">
        <v>-2.2089999999999999E-2</v>
      </c>
      <c r="F323">
        <v>36895405.5</v>
      </c>
      <c r="G323">
        <v>90</v>
      </c>
      <c r="H323">
        <v>37664161.700000003</v>
      </c>
      <c r="I323">
        <v>90</v>
      </c>
      <c r="J323">
        <v>24.54</v>
      </c>
      <c r="K323">
        <v>-1.9577000000000001E-2</v>
      </c>
      <c r="L323">
        <v>0.16</v>
      </c>
    </row>
    <row r="324" spans="1:12" x14ac:dyDescent="0.35">
      <c r="A324" s="1">
        <v>19298</v>
      </c>
      <c r="B324">
        <v>3.2000000000000003E-4</v>
      </c>
      <c r="C324">
        <v>-1.2440000000000001E-3</v>
      </c>
      <c r="D324">
        <v>-1.1535999999999999E-2</v>
      </c>
      <c r="E324">
        <v>-1.4703000000000001E-2</v>
      </c>
      <c r="F324">
        <v>36849493.399999999</v>
      </c>
      <c r="G324">
        <v>90</v>
      </c>
      <c r="H324">
        <v>36895405.5</v>
      </c>
      <c r="I324">
        <v>90</v>
      </c>
      <c r="J324">
        <v>24.52</v>
      </c>
      <c r="K324">
        <v>-8.1499999999999997E-4</v>
      </c>
      <c r="L324">
        <v>0.14000000000000001</v>
      </c>
    </row>
    <row r="325" spans="1:12" x14ac:dyDescent="0.35">
      <c r="A325" s="1">
        <v>19326</v>
      </c>
      <c r="B325">
        <v>6.1381999999999999E-2</v>
      </c>
      <c r="C325">
        <v>4.8273000000000003E-2</v>
      </c>
      <c r="D325">
        <v>7.6124999999999998E-2</v>
      </c>
      <c r="E325">
        <v>6.6683000000000006E-2</v>
      </c>
      <c r="F325">
        <v>38668054.600000001</v>
      </c>
      <c r="G325">
        <v>90</v>
      </c>
      <c r="H325">
        <v>36849493.399999999</v>
      </c>
      <c r="I325">
        <v>90</v>
      </c>
      <c r="J325">
        <v>25.66</v>
      </c>
      <c r="K325">
        <v>4.6493E-2</v>
      </c>
      <c r="L325">
        <v>0.1</v>
      </c>
    </row>
    <row r="326" spans="1:12" x14ac:dyDescent="0.35">
      <c r="A326" s="1">
        <v>19359</v>
      </c>
      <c r="B326">
        <v>3.8214999999999999E-2</v>
      </c>
      <c r="C326">
        <v>3.5725E-2</v>
      </c>
      <c r="D326">
        <v>3.5867999999999997E-2</v>
      </c>
      <c r="E326">
        <v>3.0849999999999999E-2</v>
      </c>
      <c r="F326">
        <v>40315357.100000001</v>
      </c>
      <c r="G326">
        <v>90</v>
      </c>
      <c r="H326">
        <v>38668054.600000001</v>
      </c>
      <c r="I326">
        <v>90</v>
      </c>
      <c r="J326">
        <v>26.57</v>
      </c>
      <c r="K326">
        <v>3.5464000000000002E-2</v>
      </c>
      <c r="L326">
        <v>0.16</v>
      </c>
    </row>
    <row r="327" spans="1:12" x14ac:dyDescent="0.35">
      <c r="A327" s="1">
        <v>19389</v>
      </c>
      <c r="B327">
        <v>-6.2069999999999998E-3</v>
      </c>
      <c r="C327">
        <v>-6.7949999999999998E-3</v>
      </c>
      <c r="D327">
        <v>6.7619999999999998E-3</v>
      </c>
      <c r="E327">
        <v>5.3730000000000002E-3</v>
      </c>
      <c r="F327">
        <v>40072053</v>
      </c>
      <c r="G327">
        <v>90</v>
      </c>
      <c r="H327">
        <v>40315357.100000001</v>
      </c>
      <c r="I327">
        <v>90</v>
      </c>
      <c r="J327">
        <v>26.38</v>
      </c>
      <c r="K327">
        <v>-7.1510000000000002E-3</v>
      </c>
      <c r="L327">
        <v>0.16</v>
      </c>
    </row>
    <row r="328" spans="1:12" x14ac:dyDescent="0.35">
      <c r="A328" s="1">
        <v>19417</v>
      </c>
      <c r="B328">
        <v>-7.5399999999999998E-3</v>
      </c>
      <c r="C328">
        <v>-1.7804E-2</v>
      </c>
      <c r="D328">
        <v>-6.5030000000000001E-3</v>
      </c>
      <c r="E328">
        <v>-1.363E-2</v>
      </c>
      <c r="F328">
        <v>39358603.5</v>
      </c>
      <c r="G328">
        <v>90</v>
      </c>
      <c r="H328">
        <v>40072053</v>
      </c>
      <c r="I328">
        <v>90</v>
      </c>
      <c r="J328">
        <v>25.9</v>
      </c>
      <c r="K328">
        <v>-1.8196E-2</v>
      </c>
      <c r="L328">
        <v>0.14000000000000001</v>
      </c>
    </row>
    <row r="329" spans="1:12" x14ac:dyDescent="0.35">
      <c r="A329" s="1">
        <v>19449</v>
      </c>
      <c r="B329">
        <v>-2.2287999999999999E-2</v>
      </c>
      <c r="C329">
        <v>-2.4368000000000001E-2</v>
      </c>
      <c r="D329">
        <v>-1.6475E-2</v>
      </c>
      <c r="E329">
        <v>-2.0823999999999999E-2</v>
      </c>
      <c r="F329">
        <v>38399500.5</v>
      </c>
      <c r="G329">
        <v>90</v>
      </c>
      <c r="H329">
        <v>39358603.5</v>
      </c>
      <c r="I329">
        <v>90</v>
      </c>
      <c r="J329">
        <v>25.29</v>
      </c>
      <c r="K329">
        <v>-2.3552E-2</v>
      </c>
      <c r="L329">
        <v>0.18</v>
      </c>
    </row>
    <row r="330" spans="1:12" x14ac:dyDescent="0.35">
      <c r="A330" s="1">
        <v>19479</v>
      </c>
      <c r="B330">
        <v>-2.5308000000000001E-2</v>
      </c>
      <c r="C330">
        <v>-2.6832000000000002E-2</v>
      </c>
      <c r="D330">
        <v>-2.4339E-2</v>
      </c>
      <c r="E330">
        <v>-2.6714000000000002E-2</v>
      </c>
      <c r="F330">
        <v>37382725.799999997</v>
      </c>
      <c r="G330">
        <v>90</v>
      </c>
      <c r="H330">
        <v>38399500.5</v>
      </c>
      <c r="I330">
        <v>90</v>
      </c>
      <c r="J330">
        <v>24.62</v>
      </c>
      <c r="K330">
        <v>-2.6492999999999999E-2</v>
      </c>
      <c r="L330">
        <v>0.16</v>
      </c>
    </row>
    <row r="331" spans="1:12" x14ac:dyDescent="0.35">
      <c r="A331" s="1">
        <v>19508</v>
      </c>
      <c r="B331">
        <v>7.4009999999999996E-3</v>
      </c>
      <c r="C331">
        <v>-2.7299999999999998E-3</v>
      </c>
      <c r="D331">
        <v>9.4660000000000005E-3</v>
      </c>
      <c r="E331">
        <v>2.3600000000000001E-3</v>
      </c>
      <c r="F331">
        <v>37299755.799999997</v>
      </c>
      <c r="G331">
        <v>90</v>
      </c>
      <c r="H331">
        <v>37382725.799999997</v>
      </c>
      <c r="I331">
        <v>90</v>
      </c>
      <c r="J331">
        <v>24.54</v>
      </c>
      <c r="K331">
        <v>-3.2490000000000002E-3</v>
      </c>
      <c r="L331">
        <v>0.17</v>
      </c>
    </row>
    <row r="332" spans="1:12" x14ac:dyDescent="0.35">
      <c r="A332" s="1">
        <v>19540</v>
      </c>
      <c r="B332">
        <v>-1.4265999999999999E-2</v>
      </c>
      <c r="C332">
        <v>-1.6182999999999999E-2</v>
      </c>
      <c r="D332">
        <v>-1.8329999999999999E-2</v>
      </c>
      <c r="E332">
        <v>-2.2197999999999999E-2</v>
      </c>
      <c r="F332">
        <v>36494598.600000001</v>
      </c>
      <c r="G332">
        <v>90</v>
      </c>
      <c r="H332">
        <v>37094891.5</v>
      </c>
      <c r="I332">
        <v>90</v>
      </c>
      <c r="J332">
        <v>24.14</v>
      </c>
      <c r="K332">
        <v>-1.6299999999999999E-2</v>
      </c>
      <c r="L332">
        <v>0.18</v>
      </c>
    </row>
    <row r="333" spans="1:12" x14ac:dyDescent="0.35">
      <c r="A333" s="1">
        <v>19571</v>
      </c>
      <c r="B333">
        <v>2.6314000000000001E-2</v>
      </c>
      <c r="C333">
        <v>2.4844000000000001E-2</v>
      </c>
      <c r="D333">
        <v>2.3165000000000002E-2</v>
      </c>
      <c r="E333">
        <v>2.0736000000000001E-2</v>
      </c>
      <c r="F333">
        <v>37427558.5</v>
      </c>
      <c r="G333">
        <v>90</v>
      </c>
      <c r="H333">
        <v>36494598.600000001</v>
      </c>
      <c r="I333">
        <v>90</v>
      </c>
      <c r="J333">
        <v>24.75</v>
      </c>
      <c r="K333">
        <v>2.5269E-2</v>
      </c>
      <c r="L333">
        <v>0.15</v>
      </c>
    </row>
    <row r="334" spans="1:12" x14ac:dyDescent="0.35">
      <c r="A334" s="1">
        <v>19602</v>
      </c>
      <c r="B334">
        <v>-5.0101E-2</v>
      </c>
      <c r="C334">
        <v>-6.0096999999999998E-2</v>
      </c>
      <c r="D334">
        <v>-5.5386999999999999E-2</v>
      </c>
      <c r="E334">
        <v>-6.2175000000000001E-2</v>
      </c>
      <c r="F334">
        <v>35178263</v>
      </c>
      <c r="G334">
        <v>90</v>
      </c>
      <c r="H334">
        <v>37427558.5</v>
      </c>
      <c r="I334">
        <v>90</v>
      </c>
      <c r="J334">
        <v>23.32</v>
      </c>
      <c r="K334">
        <v>-5.7778000000000003E-2</v>
      </c>
      <c r="L334">
        <v>0.17</v>
      </c>
    </row>
    <row r="335" spans="1:12" x14ac:dyDescent="0.35">
      <c r="A335" s="1">
        <v>19632</v>
      </c>
      <c r="B335">
        <v>2.1870000000000001E-3</v>
      </c>
      <c r="C335">
        <v>7.2000000000000002E-5</v>
      </c>
      <c r="D335">
        <v>-6.6620000000000004E-3</v>
      </c>
      <c r="E335">
        <v>-1.0567999999999999E-2</v>
      </c>
      <c r="F335">
        <v>35247353.200000003</v>
      </c>
      <c r="G335">
        <v>90</v>
      </c>
      <c r="H335">
        <v>35178263</v>
      </c>
      <c r="I335">
        <v>90</v>
      </c>
      <c r="J335">
        <v>23.35</v>
      </c>
      <c r="K335">
        <v>1.286E-3</v>
      </c>
      <c r="L335">
        <v>0.16</v>
      </c>
    </row>
    <row r="336" spans="1:12" x14ac:dyDescent="0.35">
      <c r="A336" s="1">
        <v>19662</v>
      </c>
      <c r="B336">
        <v>5.1046000000000001E-2</v>
      </c>
      <c r="C336">
        <v>4.9806000000000003E-2</v>
      </c>
      <c r="D336">
        <v>4.2035000000000003E-2</v>
      </c>
      <c r="E336">
        <v>3.9157999999999998E-2</v>
      </c>
      <c r="F336">
        <v>37002888.100000001</v>
      </c>
      <c r="G336">
        <v>90</v>
      </c>
      <c r="H336">
        <v>35247353.200000003</v>
      </c>
      <c r="I336">
        <v>90</v>
      </c>
      <c r="J336">
        <v>24.54</v>
      </c>
      <c r="K336">
        <v>5.0964000000000002E-2</v>
      </c>
      <c r="L336">
        <v>0.13</v>
      </c>
    </row>
    <row r="337" spans="1:16" x14ac:dyDescent="0.35">
      <c r="A337" s="1">
        <v>19693</v>
      </c>
      <c r="B337">
        <v>2.3762999999999999E-2</v>
      </c>
      <c r="C337">
        <v>9.8790000000000006E-3</v>
      </c>
      <c r="D337">
        <v>2.6921E-2</v>
      </c>
      <c r="E337">
        <v>1.6747000000000001E-2</v>
      </c>
      <c r="F337">
        <v>37368452.200000003</v>
      </c>
      <c r="G337">
        <v>90</v>
      </c>
      <c r="H337">
        <v>37002888.100000001</v>
      </c>
      <c r="I337">
        <v>90</v>
      </c>
      <c r="J337">
        <v>24.76</v>
      </c>
      <c r="K337">
        <v>8.9650000000000007E-3</v>
      </c>
      <c r="L337">
        <v>0.08</v>
      </c>
    </row>
    <row r="338" spans="1:16" x14ac:dyDescent="0.35">
      <c r="A338" s="1">
        <v>19724</v>
      </c>
      <c r="B338">
        <v>1.7129999999999999E-3</v>
      </c>
      <c r="C338">
        <v>-1.189E-3</v>
      </c>
      <c r="D338">
        <v>-1.0892000000000001E-2</v>
      </c>
      <c r="E338">
        <v>-1.6379000000000001E-2</v>
      </c>
      <c r="F338">
        <v>37601343.100000001</v>
      </c>
      <c r="G338">
        <v>90</v>
      </c>
      <c r="H338">
        <v>37368452.200000003</v>
      </c>
      <c r="I338">
        <v>90</v>
      </c>
      <c r="J338">
        <v>24.81</v>
      </c>
      <c r="K338">
        <v>2.019E-3</v>
      </c>
      <c r="L338">
        <v>0.13</v>
      </c>
    </row>
    <row r="339" spans="1:16" x14ac:dyDescent="0.35">
      <c r="A339" s="1">
        <v>19753</v>
      </c>
      <c r="B339">
        <v>5.3485999999999999E-2</v>
      </c>
      <c r="C339">
        <v>5.2586000000000001E-2</v>
      </c>
      <c r="D339">
        <v>6.0393000000000002E-2</v>
      </c>
      <c r="E339">
        <v>5.8423000000000003E-2</v>
      </c>
      <c r="F339">
        <v>39598963.100000001</v>
      </c>
      <c r="G339">
        <v>90</v>
      </c>
      <c r="H339">
        <v>37601343.100000001</v>
      </c>
      <c r="I339">
        <v>90</v>
      </c>
      <c r="J339">
        <v>26.08</v>
      </c>
      <c r="K339">
        <v>5.1188999999999998E-2</v>
      </c>
      <c r="L339">
        <v>0.11</v>
      </c>
    </row>
    <row r="340" spans="1:16" x14ac:dyDescent="0.35">
      <c r="A340" s="1">
        <v>19781</v>
      </c>
      <c r="B340">
        <v>1.2916E-2</v>
      </c>
      <c r="C340">
        <v>2.343E-3</v>
      </c>
      <c r="D340">
        <v>9.1830000000000002E-3</v>
      </c>
      <c r="E340">
        <v>1.4059999999999999E-3</v>
      </c>
      <c r="F340">
        <v>39691751.200000003</v>
      </c>
      <c r="G340">
        <v>90</v>
      </c>
      <c r="H340">
        <v>39598963.100000001</v>
      </c>
      <c r="I340">
        <v>90</v>
      </c>
      <c r="J340">
        <v>26.15</v>
      </c>
      <c r="K340">
        <v>2.6840000000000002E-3</v>
      </c>
      <c r="L340">
        <v>7.0000000000000007E-2</v>
      </c>
    </row>
    <row r="341" spans="1:16" x14ac:dyDescent="0.35">
      <c r="A341" s="1">
        <v>19814</v>
      </c>
      <c r="B341">
        <v>3.0530000000000002E-2</v>
      </c>
      <c r="C341">
        <v>2.8423E-2</v>
      </c>
      <c r="D341">
        <v>2.4438999999999999E-2</v>
      </c>
      <c r="E341">
        <v>1.9602999999999999E-2</v>
      </c>
      <c r="F341">
        <v>40819920.200000003</v>
      </c>
      <c r="G341">
        <v>90</v>
      </c>
      <c r="H341">
        <v>39691751.200000003</v>
      </c>
      <c r="I341">
        <v>90</v>
      </c>
      <c r="J341">
        <v>26.94</v>
      </c>
      <c r="K341">
        <v>3.0210000000000001E-2</v>
      </c>
      <c r="L341">
        <v>0.08</v>
      </c>
    </row>
    <row r="342" spans="1:16" x14ac:dyDescent="0.35">
      <c r="A342" s="1">
        <v>19844</v>
      </c>
      <c r="B342">
        <v>4.8357999999999998E-2</v>
      </c>
      <c r="C342">
        <v>4.7140000000000001E-2</v>
      </c>
      <c r="D342">
        <v>1.8966E-2</v>
      </c>
      <c r="E342">
        <v>1.6993999999999999E-2</v>
      </c>
      <c r="F342">
        <v>43180701.5</v>
      </c>
      <c r="G342">
        <v>90</v>
      </c>
      <c r="H342">
        <v>41235274</v>
      </c>
      <c r="I342">
        <v>90</v>
      </c>
      <c r="J342">
        <v>28.26</v>
      </c>
      <c r="K342">
        <v>4.8998E-2</v>
      </c>
      <c r="L342">
        <v>0.09</v>
      </c>
    </row>
    <row r="343" spans="1:16" x14ac:dyDescent="0.35">
      <c r="A343" s="1">
        <v>19872</v>
      </c>
      <c r="B343">
        <v>4.2777000000000003E-2</v>
      </c>
      <c r="C343">
        <v>3.3605999999999997E-2</v>
      </c>
      <c r="D343">
        <v>4.4412E-2</v>
      </c>
      <c r="E343">
        <v>3.7574999999999997E-2</v>
      </c>
      <c r="F343">
        <v>44645695.100000001</v>
      </c>
      <c r="G343">
        <v>90</v>
      </c>
      <c r="H343">
        <v>43180701.5</v>
      </c>
      <c r="I343">
        <v>90</v>
      </c>
      <c r="J343">
        <v>29.19</v>
      </c>
      <c r="K343">
        <v>3.2909000000000001E-2</v>
      </c>
      <c r="L343">
        <v>0.05</v>
      </c>
    </row>
    <row r="344" spans="1:16" x14ac:dyDescent="0.35">
      <c r="A344" s="1">
        <v>19905</v>
      </c>
      <c r="B344">
        <v>2.467E-3</v>
      </c>
      <c r="C344">
        <v>5.3300000000000005E-4</v>
      </c>
      <c r="D344">
        <v>1.3743E-2</v>
      </c>
      <c r="E344">
        <v>1.0137999999999999E-2</v>
      </c>
      <c r="F344">
        <v>44761560.100000001</v>
      </c>
      <c r="G344">
        <v>91</v>
      </c>
      <c r="H344">
        <v>44704632.5</v>
      </c>
      <c r="I344">
        <v>91</v>
      </c>
      <c r="J344">
        <v>29.21</v>
      </c>
      <c r="K344">
        <v>6.8499999999999995E-4</v>
      </c>
      <c r="L344">
        <v>0.06</v>
      </c>
    </row>
    <row r="345" spans="1:16" x14ac:dyDescent="0.35">
      <c r="A345" s="1">
        <v>19935</v>
      </c>
      <c r="B345">
        <v>5.8701000000000003E-2</v>
      </c>
      <c r="C345">
        <v>5.7779999999999998E-2</v>
      </c>
      <c r="D345">
        <v>5.9917999999999999E-2</v>
      </c>
      <c r="E345">
        <v>5.8140999999999998E-2</v>
      </c>
      <c r="F345">
        <v>47347890.899999999</v>
      </c>
      <c r="G345">
        <v>91</v>
      </c>
      <c r="H345">
        <v>44761560.100000001</v>
      </c>
      <c r="I345">
        <v>91</v>
      </c>
      <c r="J345">
        <v>30.88</v>
      </c>
      <c r="K345">
        <v>5.7172000000000001E-2</v>
      </c>
      <c r="L345">
        <v>0.05</v>
      </c>
      <c r="M345">
        <v>26.86</v>
      </c>
    </row>
    <row r="346" spans="1:16" x14ac:dyDescent="0.35">
      <c r="A346" s="1">
        <v>19967</v>
      </c>
      <c r="B346">
        <v>-2.5894E-2</v>
      </c>
      <c r="C346">
        <v>-3.4752999999999999E-2</v>
      </c>
      <c r="D346">
        <v>-2.6370000000000001E-2</v>
      </c>
      <c r="E346">
        <v>-3.2922E-2</v>
      </c>
      <c r="F346">
        <v>45702419.399999999</v>
      </c>
      <c r="G346">
        <v>91</v>
      </c>
      <c r="H346">
        <v>47347890.899999999</v>
      </c>
      <c r="I346">
        <v>91</v>
      </c>
      <c r="J346">
        <v>29.83</v>
      </c>
      <c r="K346">
        <v>-3.4002999999999999E-2</v>
      </c>
      <c r="L346">
        <v>0.05</v>
      </c>
      <c r="M346">
        <v>26.85</v>
      </c>
      <c r="N346">
        <f>(1+B346)*M345/M346-1</f>
        <v>-2.5531204469273816E-2</v>
      </c>
      <c r="O346">
        <f>(1+L346/100)*M345/M346-1</f>
        <v>8.7262569832402548E-4</v>
      </c>
      <c r="P346">
        <f>N346-O346</f>
        <v>-2.6403830167597842E-2</v>
      </c>
    </row>
    <row r="347" spans="1:16" x14ac:dyDescent="0.35">
      <c r="A347" s="1">
        <v>19997</v>
      </c>
      <c r="B347">
        <v>8.2500000000000004E-2</v>
      </c>
      <c r="C347">
        <v>8.0888000000000002E-2</v>
      </c>
      <c r="D347">
        <v>4.5817999999999998E-2</v>
      </c>
      <c r="E347">
        <v>4.2523999999999999E-2</v>
      </c>
      <c r="F347">
        <v>49399184.799999997</v>
      </c>
      <c r="G347">
        <v>91</v>
      </c>
      <c r="H347">
        <v>45702419.399999999</v>
      </c>
      <c r="I347">
        <v>91</v>
      </c>
      <c r="J347">
        <v>32.31</v>
      </c>
      <c r="K347">
        <v>8.3138000000000004E-2</v>
      </c>
      <c r="L347">
        <v>0.09</v>
      </c>
      <c r="M347">
        <v>26.81</v>
      </c>
      <c r="N347">
        <f t="shared" ref="N347:N410" si="0">(1+B347)*M346/M347-1</f>
        <v>8.4115069004103038E-2</v>
      </c>
      <c r="O347">
        <f t="shared" ref="O347:O410" si="1">(1+L347/100)*M346/M347-1</f>
        <v>2.3933233867958759E-3</v>
      </c>
      <c r="P347">
        <f t="shared" ref="P347:P410" si="2">N347-O347</f>
        <v>8.1721745617307162E-2</v>
      </c>
    </row>
    <row r="348" spans="1:16" x14ac:dyDescent="0.35">
      <c r="A348" s="1">
        <v>20026</v>
      </c>
      <c r="B348">
        <v>-1.7867000000000001E-2</v>
      </c>
      <c r="C348">
        <v>-1.8658999999999999E-2</v>
      </c>
      <c r="D348">
        <v>-9.1369999999999993E-3</v>
      </c>
      <c r="E348">
        <v>-1.1018999999999999E-2</v>
      </c>
      <c r="F348">
        <v>48477471.100000001</v>
      </c>
      <c r="G348">
        <v>91</v>
      </c>
      <c r="H348">
        <v>49399184.799999997</v>
      </c>
      <c r="I348">
        <v>91</v>
      </c>
      <c r="J348">
        <v>31.68</v>
      </c>
      <c r="K348">
        <v>-1.9498999999999999E-2</v>
      </c>
      <c r="L348">
        <v>7.0000000000000007E-2</v>
      </c>
      <c r="M348">
        <v>26.72</v>
      </c>
      <c r="N348">
        <f t="shared" si="0"/>
        <v>-1.4558917290419138E-2</v>
      </c>
      <c r="O348">
        <f t="shared" si="1"/>
        <v>4.0706212574848077E-3</v>
      </c>
      <c r="P348">
        <f t="shared" si="2"/>
        <v>-1.8629538547903945E-2</v>
      </c>
    </row>
    <row r="349" spans="1:16" x14ac:dyDescent="0.35">
      <c r="A349" s="1">
        <v>20058</v>
      </c>
      <c r="B349">
        <v>9.5773999999999998E-2</v>
      </c>
      <c r="C349">
        <v>8.2711999999999994E-2</v>
      </c>
      <c r="D349">
        <v>0.107042</v>
      </c>
      <c r="E349">
        <v>9.7434000000000007E-2</v>
      </c>
      <c r="F349">
        <v>52487203.899999999</v>
      </c>
      <c r="G349">
        <v>91</v>
      </c>
      <c r="H349">
        <v>48477471.100000001</v>
      </c>
      <c r="I349">
        <v>91</v>
      </c>
      <c r="J349">
        <v>34.24</v>
      </c>
      <c r="K349">
        <v>8.0808000000000005E-2</v>
      </c>
      <c r="L349">
        <v>0.06</v>
      </c>
      <c r="M349">
        <v>26.78</v>
      </c>
      <c r="N349">
        <f t="shared" si="0"/>
        <v>9.331894249439876E-2</v>
      </c>
      <c r="O349">
        <f t="shared" si="1"/>
        <v>-1.6418222554146489E-3</v>
      </c>
      <c r="P349">
        <f t="shared" si="2"/>
        <v>9.4960764749813409E-2</v>
      </c>
    </row>
    <row r="350" spans="1:16" x14ac:dyDescent="0.35">
      <c r="A350" s="1">
        <v>20089</v>
      </c>
      <c r="B350">
        <v>5.4288000000000003E-2</v>
      </c>
      <c r="C350">
        <v>5.2360999999999998E-2</v>
      </c>
      <c r="D350">
        <v>7.5204999999999994E-2</v>
      </c>
      <c r="E350">
        <v>7.1814000000000003E-2</v>
      </c>
      <c r="F350">
        <v>56080951.799999997</v>
      </c>
      <c r="G350">
        <v>91</v>
      </c>
      <c r="H350">
        <v>52487203.899999999</v>
      </c>
      <c r="I350">
        <v>91</v>
      </c>
      <c r="J350">
        <v>35.979999999999997</v>
      </c>
      <c r="K350">
        <v>5.0818000000000002E-2</v>
      </c>
      <c r="L350">
        <v>0.08</v>
      </c>
      <c r="M350">
        <v>26.77</v>
      </c>
      <c r="N350">
        <f t="shared" si="0"/>
        <v>5.4681831901382205E-2</v>
      </c>
      <c r="O350">
        <f t="shared" si="1"/>
        <v>1.1738513261112526E-3</v>
      </c>
      <c r="P350">
        <f t="shared" si="2"/>
        <v>5.3507980575270953E-2</v>
      </c>
    </row>
    <row r="351" spans="1:16" x14ac:dyDescent="0.35">
      <c r="A351" s="1">
        <v>20120</v>
      </c>
      <c r="B351">
        <v>1.8075999999999998E-2</v>
      </c>
      <c r="C351">
        <v>1.7590999999999999E-2</v>
      </c>
      <c r="D351">
        <v>8.848E-3</v>
      </c>
      <c r="E351">
        <v>7.6439999999999998E-3</v>
      </c>
      <c r="F351">
        <v>56969739.399999999</v>
      </c>
      <c r="G351">
        <v>91</v>
      </c>
      <c r="H351">
        <v>56080951.799999997</v>
      </c>
      <c r="I351">
        <v>91</v>
      </c>
      <c r="J351">
        <v>36.630000000000003</v>
      </c>
      <c r="K351">
        <v>1.8065999999999999E-2</v>
      </c>
      <c r="L351">
        <v>0.08</v>
      </c>
      <c r="M351">
        <v>26.77</v>
      </c>
      <c r="N351">
        <f t="shared" si="0"/>
        <v>1.8075999999999981E-2</v>
      </c>
      <c r="O351">
        <f t="shared" si="1"/>
        <v>7.9999999999991189E-4</v>
      </c>
      <c r="P351">
        <f t="shared" si="2"/>
        <v>1.7276000000000069E-2</v>
      </c>
    </row>
    <row r="352" spans="1:16" x14ac:dyDescent="0.35">
      <c r="A352" s="1">
        <v>20148</v>
      </c>
      <c r="B352">
        <v>1.3526E-2</v>
      </c>
      <c r="C352">
        <v>5.4460000000000003E-3</v>
      </c>
      <c r="D352">
        <v>3.2884999999999998E-2</v>
      </c>
      <c r="E352">
        <v>2.6669000000000002E-2</v>
      </c>
      <c r="F352">
        <v>57600054.5</v>
      </c>
      <c r="G352">
        <v>91</v>
      </c>
      <c r="H352">
        <v>56969739.399999999</v>
      </c>
      <c r="I352">
        <v>91</v>
      </c>
      <c r="J352">
        <v>36.76</v>
      </c>
      <c r="K352">
        <v>3.5490000000000001E-3</v>
      </c>
      <c r="L352">
        <v>0.09</v>
      </c>
      <c r="M352">
        <v>26.82</v>
      </c>
      <c r="N352">
        <f t="shared" si="0"/>
        <v>1.1636503355704653E-2</v>
      </c>
      <c r="O352">
        <f t="shared" si="1"/>
        <v>-9.6595824011946885E-4</v>
      </c>
      <c r="P352">
        <f t="shared" si="2"/>
        <v>1.2602461595824122E-2</v>
      </c>
    </row>
    <row r="353" spans="1:16" x14ac:dyDescent="0.35">
      <c r="A353" s="1">
        <v>20179</v>
      </c>
      <c r="B353">
        <v>-2.2420000000000001E-3</v>
      </c>
      <c r="C353">
        <v>-3.8509999999999998E-3</v>
      </c>
      <c r="D353">
        <v>-3.973E-3</v>
      </c>
      <c r="E353">
        <v>-7.4749999999999999E-3</v>
      </c>
      <c r="F353">
        <v>57378250</v>
      </c>
      <c r="G353">
        <v>91</v>
      </c>
      <c r="H353">
        <v>57600054.5</v>
      </c>
      <c r="I353">
        <v>91</v>
      </c>
      <c r="J353">
        <v>36.58</v>
      </c>
      <c r="K353">
        <v>-4.8970000000000003E-3</v>
      </c>
      <c r="L353">
        <v>0.1</v>
      </c>
      <c r="M353">
        <v>26.79</v>
      </c>
      <c r="N353">
        <f t="shared" si="0"/>
        <v>-1.1246898096303193E-3</v>
      </c>
      <c r="O353">
        <f t="shared" si="1"/>
        <v>2.1209406494959726E-3</v>
      </c>
      <c r="P353">
        <f t="shared" si="2"/>
        <v>-3.2456304591262919E-3</v>
      </c>
    </row>
    <row r="354" spans="1:16" x14ac:dyDescent="0.35">
      <c r="A354" s="1">
        <v>20208</v>
      </c>
      <c r="B354">
        <v>3.9843000000000003E-2</v>
      </c>
      <c r="C354">
        <v>3.8885000000000003E-2</v>
      </c>
      <c r="D354">
        <v>3.6512999999999997E-2</v>
      </c>
      <c r="E354">
        <v>3.4980999999999998E-2</v>
      </c>
      <c r="F354">
        <v>59609412.799999997</v>
      </c>
      <c r="G354">
        <v>91</v>
      </c>
      <c r="H354">
        <v>57378250</v>
      </c>
      <c r="I354">
        <v>91</v>
      </c>
      <c r="J354">
        <v>37.96</v>
      </c>
      <c r="K354">
        <v>3.7726000000000003E-2</v>
      </c>
      <c r="L354">
        <v>0.1</v>
      </c>
      <c r="M354">
        <v>26.79</v>
      </c>
      <c r="N354">
        <f t="shared" si="0"/>
        <v>3.9843000000000073E-2</v>
      </c>
      <c r="O354">
        <f t="shared" si="1"/>
        <v>9.9999999999988987E-4</v>
      </c>
      <c r="P354">
        <f t="shared" si="2"/>
        <v>3.8843000000000183E-2</v>
      </c>
    </row>
    <row r="355" spans="1:16" x14ac:dyDescent="0.35">
      <c r="A355" s="1">
        <v>20240</v>
      </c>
      <c r="B355">
        <v>6.4330000000000003E-3</v>
      </c>
      <c r="C355">
        <v>-1.0809999999999999E-3</v>
      </c>
      <c r="D355">
        <v>1.2066E-2</v>
      </c>
      <c r="E355">
        <v>6.1980000000000004E-3</v>
      </c>
      <c r="F355">
        <v>59515827.100000001</v>
      </c>
      <c r="G355">
        <v>91</v>
      </c>
      <c r="H355">
        <v>59609412.799999997</v>
      </c>
      <c r="I355">
        <v>91</v>
      </c>
      <c r="J355">
        <v>37.909999999999997</v>
      </c>
      <c r="K355">
        <v>-1.317E-3</v>
      </c>
      <c r="L355">
        <v>0.14000000000000001</v>
      </c>
      <c r="M355">
        <v>26.77</v>
      </c>
      <c r="N355">
        <f t="shared" si="0"/>
        <v>7.1849110945085837E-3</v>
      </c>
      <c r="O355">
        <f t="shared" si="1"/>
        <v>2.1481509152034839E-3</v>
      </c>
      <c r="P355">
        <f t="shared" si="2"/>
        <v>5.0367601793050998E-3</v>
      </c>
    </row>
    <row r="356" spans="1:16" x14ac:dyDescent="0.35">
      <c r="A356" s="1">
        <v>20270</v>
      </c>
      <c r="B356">
        <v>8.1299999999999997E-2</v>
      </c>
      <c r="C356">
        <v>7.9930000000000001E-2</v>
      </c>
      <c r="D356">
        <v>4.0231000000000003E-2</v>
      </c>
      <c r="E356">
        <v>3.6964999999999998E-2</v>
      </c>
      <c r="F356">
        <v>64288556.799999997</v>
      </c>
      <c r="G356">
        <v>91</v>
      </c>
      <c r="H356">
        <v>59515827.100000001</v>
      </c>
      <c r="I356">
        <v>91</v>
      </c>
      <c r="J356">
        <v>41.03</v>
      </c>
      <c r="K356">
        <v>8.2299999999999998E-2</v>
      </c>
      <c r="L356">
        <v>0.1</v>
      </c>
      <c r="M356">
        <v>26.71</v>
      </c>
      <c r="N356">
        <f t="shared" si="0"/>
        <v>8.3728977910894731E-2</v>
      </c>
      <c r="O356">
        <f t="shared" si="1"/>
        <v>3.2485960314487805E-3</v>
      </c>
      <c r="P356">
        <f t="shared" si="2"/>
        <v>8.048038187944595E-2</v>
      </c>
    </row>
    <row r="357" spans="1:16" x14ac:dyDescent="0.35">
      <c r="A357" s="1">
        <v>20299</v>
      </c>
      <c r="B357">
        <v>5.7646000000000003E-2</v>
      </c>
      <c r="C357">
        <v>5.7068000000000001E-2</v>
      </c>
      <c r="D357">
        <v>7.4440000000000001E-3</v>
      </c>
      <c r="E357">
        <v>5.9719999999999999E-3</v>
      </c>
      <c r="F357">
        <v>68016870.200000003</v>
      </c>
      <c r="G357">
        <v>91</v>
      </c>
      <c r="H357">
        <v>64288556.799999997</v>
      </c>
      <c r="I357">
        <v>91</v>
      </c>
      <c r="J357">
        <v>43.52</v>
      </c>
      <c r="K357">
        <v>6.0686999999999998E-2</v>
      </c>
      <c r="L357">
        <v>0.1</v>
      </c>
      <c r="M357">
        <v>26.76</v>
      </c>
      <c r="N357">
        <f t="shared" si="0"/>
        <v>5.56698303437968E-2</v>
      </c>
      <c r="O357">
        <f t="shared" si="1"/>
        <v>-8.7032884902848995E-4</v>
      </c>
      <c r="P357">
        <f t="shared" si="2"/>
        <v>5.654015919282529E-2</v>
      </c>
    </row>
    <row r="358" spans="1:16" x14ac:dyDescent="0.35">
      <c r="A358" s="1">
        <v>20332</v>
      </c>
      <c r="B358">
        <v>-6.4800000000000003E-4</v>
      </c>
      <c r="C358">
        <v>-8.3129999999999992E-3</v>
      </c>
      <c r="D358">
        <v>4.2820000000000002E-3</v>
      </c>
      <c r="E358">
        <v>-1.4469999999999999E-3</v>
      </c>
      <c r="F358">
        <v>67451435.099999994</v>
      </c>
      <c r="G358">
        <v>91</v>
      </c>
      <c r="H358">
        <v>68016870.200000003</v>
      </c>
      <c r="I358">
        <v>91</v>
      </c>
      <c r="J358">
        <v>43.18</v>
      </c>
      <c r="K358">
        <v>-7.8130000000000005E-3</v>
      </c>
      <c r="L358">
        <v>0.16</v>
      </c>
      <c r="M358">
        <v>26.72</v>
      </c>
      <c r="N358">
        <f t="shared" si="0"/>
        <v>8.4803592814397533E-4</v>
      </c>
      <c r="O358">
        <f t="shared" si="1"/>
        <v>3.0994011976048785E-3</v>
      </c>
      <c r="P358">
        <f t="shared" si="2"/>
        <v>-2.2513652694609032E-3</v>
      </c>
    </row>
    <row r="359" spans="1:16" x14ac:dyDescent="0.35">
      <c r="A359" s="1">
        <v>20362</v>
      </c>
      <c r="B359">
        <v>1.1285999999999999E-2</v>
      </c>
      <c r="C359">
        <v>1.0116999999999999E-2</v>
      </c>
      <c r="D359">
        <v>-1.9939999999999999E-2</v>
      </c>
      <c r="E359">
        <v>-2.2709E-2</v>
      </c>
      <c r="F359">
        <v>68133842.900000006</v>
      </c>
      <c r="G359">
        <v>91</v>
      </c>
      <c r="H359">
        <v>67451435.099999994</v>
      </c>
      <c r="I359">
        <v>91</v>
      </c>
      <c r="J359">
        <v>43.67</v>
      </c>
      <c r="K359">
        <v>1.1348E-2</v>
      </c>
      <c r="L359">
        <v>0.16</v>
      </c>
      <c r="M359">
        <v>26.85</v>
      </c>
      <c r="N359">
        <f t="shared" si="0"/>
        <v>6.3896432029793004E-3</v>
      </c>
      <c r="O359">
        <f t="shared" si="1"/>
        <v>-3.2494599627561627E-3</v>
      </c>
      <c r="P359">
        <f t="shared" si="2"/>
        <v>9.6391031657354631E-3</v>
      </c>
    </row>
    <row r="360" spans="1:16" x14ac:dyDescent="0.35">
      <c r="A360" s="1">
        <v>20393</v>
      </c>
      <c r="B360">
        <v>-3.0467999999999999E-2</v>
      </c>
      <c r="C360">
        <v>-3.1E-2</v>
      </c>
      <c r="D360">
        <v>-2.9509000000000001E-2</v>
      </c>
      <c r="E360">
        <v>-3.1032000000000001E-2</v>
      </c>
      <c r="F360">
        <v>66027250.5</v>
      </c>
      <c r="G360">
        <v>91</v>
      </c>
      <c r="H360">
        <v>68133842.900000006</v>
      </c>
      <c r="I360">
        <v>91</v>
      </c>
      <c r="J360">
        <v>42.34</v>
      </c>
      <c r="K360">
        <v>-3.0456E-2</v>
      </c>
      <c r="L360">
        <v>0.18</v>
      </c>
      <c r="M360">
        <v>26.82</v>
      </c>
      <c r="N360">
        <f t="shared" si="0"/>
        <v>-2.9383512304250625E-2</v>
      </c>
      <c r="O360">
        <f t="shared" si="1"/>
        <v>2.920581655480925E-3</v>
      </c>
      <c r="P360">
        <f t="shared" si="2"/>
        <v>-3.230409395973155E-2</v>
      </c>
    </row>
    <row r="361" spans="1:16" x14ac:dyDescent="0.35">
      <c r="A361" s="1">
        <v>20423</v>
      </c>
      <c r="B361">
        <v>8.7825E-2</v>
      </c>
      <c r="C361">
        <v>7.5123999999999996E-2</v>
      </c>
      <c r="D361">
        <v>6.9657999999999998E-2</v>
      </c>
      <c r="E361">
        <v>6.0623999999999997E-2</v>
      </c>
      <c r="F361">
        <v>71047278.099999994</v>
      </c>
      <c r="G361">
        <v>91</v>
      </c>
      <c r="H361">
        <v>66027250.5</v>
      </c>
      <c r="I361">
        <v>91</v>
      </c>
      <c r="J361">
        <v>45.51</v>
      </c>
      <c r="K361">
        <v>7.4870000000000006E-2</v>
      </c>
      <c r="L361">
        <v>0.17</v>
      </c>
      <c r="M361">
        <v>26.88</v>
      </c>
      <c r="N361">
        <f t="shared" si="0"/>
        <v>8.5396819196428719E-2</v>
      </c>
      <c r="O361">
        <f t="shared" si="1"/>
        <v>-5.3593749999991669E-4</v>
      </c>
      <c r="P361">
        <f t="shared" si="2"/>
        <v>8.5932756696428636E-2</v>
      </c>
    </row>
    <row r="362" spans="1:16" x14ac:dyDescent="0.35">
      <c r="A362" s="1">
        <v>20453</v>
      </c>
      <c r="B362">
        <v>-3.0899999999999998E-4</v>
      </c>
      <c r="C362">
        <v>-1.6850000000000001E-3</v>
      </c>
      <c r="D362">
        <v>7.0200000000000002E-3</v>
      </c>
      <c r="E362">
        <v>4.091E-3</v>
      </c>
      <c r="F362">
        <v>71347306.599999994</v>
      </c>
      <c r="G362">
        <v>91</v>
      </c>
      <c r="H362">
        <v>71047278.099999994</v>
      </c>
      <c r="I362">
        <v>91</v>
      </c>
      <c r="J362">
        <v>45.48</v>
      </c>
      <c r="K362">
        <v>-6.5899999999999997E-4</v>
      </c>
      <c r="L362">
        <v>0.18</v>
      </c>
      <c r="M362">
        <v>26.87</v>
      </c>
      <c r="N362">
        <f t="shared" si="0"/>
        <v>6.3047264607263287E-5</v>
      </c>
      <c r="O362">
        <f t="shared" si="1"/>
        <v>2.1728321548195595E-3</v>
      </c>
      <c r="P362">
        <f t="shared" si="2"/>
        <v>-2.1097848902122962E-3</v>
      </c>
    </row>
    <row r="363" spans="1:16" x14ac:dyDescent="0.35">
      <c r="A363" s="1">
        <v>20485</v>
      </c>
      <c r="B363">
        <v>-3.5056999999999998E-2</v>
      </c>
      <c r="C363">
        <v>-3.6278999999999999E-2</v>
      </c>
      <c r="D363">
        <v>-2.9281999999999999E-2</v>
      </c>
      <c r="E363">
        <v>-3.1119999999999998E-2</v>
      </c>
      <c r="F363">
        <v>68758875.200000003</v>
      </c>
      <c r="G363">
        <v>91</v>
      </c>
      <c r="H363">
        <v>71347306.599999994</v>
      </c>
      <c r="I363">
        <v>91</v>
      </c>
      <c r="J363">
        <v>43.82</v>
      </c>
      <c r="K363">
        <v>-3.6499999999999998E-2</v>
      </c>
      <c r="L363">
        <v>0.22</v>
      </c>
      <c r="M363">
        <v>26.83</v>
      </c>
      <c r="N363">
        <f t="shared" si="0"/>
        <v>-3.3618396943719708E-2</v>
      </c>
      <c r="O363">
        <f t="shared" si="1"/>
        <v>3.6941483414090204E-3</v>
      </c>
      <c r="P363">
        <f t="shared" si="2"/>
        <v>-3.7312545285128729E-2</v>
      </c>
    </row>
    <row r="364" spans="1:16" x14ac:dyDescent="0.35">
      <c r="A364" s="1">
        <v>20514</v>
      </c>
      <c r="B364">
        <v>4.1397000000000003E-2</v>
      </c>
      <c r="C364">
        <v>3.4458000000000003E-2</v>
      </c>
      <c r="D364">
        <v>3.5647999999999999E-2</v>
      </c>
      <c r="E364">
        <v>2.9366E-2</v>
      </c>
      <c r="F364">
        <v>71164930.099999994</v>
      </c>
      <c r="G364">
        <v>91</v>
      </c>
      <c r="H364">
        <v>68758875.200000003</v>
      </c>
      <c r="I364">
        <v>91</v>
      </c>
      <c r="J364">
        <v>45.34</v>
      </c>
      <c r="K364">
        <v>3.4687000000000003E-2</v>
      </c>
      <c r="L364">
        <v>0.19</v>
      </c>
      <c r="M364">
        <v>26.86</v>
      </c>
      <c r="N364">
        <f t="shared" si="0"/>
        <v>4.0233861131794502E-2</v>
      </c>
      <c r="O364">
        <f t="shared" si="1"/>
        <v>7.8097542814581367E-4</v>
      </c>
      <c r="P364">
        <f t="shared" si="2"/>
        <v>3.9452885703648688E-2</v>
      </c>
    </row>
    <row r="365" spans="1:16" x14ac:dyDescent="0.35">
      <c r="A365" s="1">
        <v>20543</v>
      </c>
      <c r="B365">
        <v>7.0328000000000002E-2</v>
      </c>
      <c r="C365">
        <v>6.9225999999999996E-2</v>
      </c>
      <c r="D365">
        <v>5.7737999999999998E-2</v>
      </c>
      <c r="E365">
        <v>5.4316999999999997E-2</v>
      </c>
      <c r="F365">
        <v>76102491.900000006</v>
      </c>
      <c r="G365">
        <v>91</v>
      </c>
      <c r="H365">
        <v>71164930.099999994</v>
      </c>
      <c r="I365">
        <v>91</v>
      </c>
      <c r="J365">
        <v>48.48</v>
      </c>
      <c r="K365">
        <v>6.9254999999999997E-2</v>
      </c>
      <c r="L365">
        <v>0.15</v>
      </c>
      <c r="M365">
        <v>26.89</v>
      </c>
      <c r="N365">
        <f t="shared" si="0"/>
        <v>6.9133881740423897E-2</v>
      </c>
      <c r="O365">
        <f t="shared" si="1"/>
        <v>3.8267013759774038E-4</v>
      </c>
      <c r="P365">
        <f t="shared" si="2"/>
        <v>6.8751211602826157E-2</v>
      </c>
    </row>
    <row r="366" spans="1:16" x14ac:dyDescent="0.35">
      <c r="A366" s="1">
        <v>20575</v>
      </c>
      <c r="B366">
        <v>-6.3699999999999998E-4</v>
      </c>
      <c r="C366">
        <v>-1.4250000000000001E-3</v>
      </c>
      <c r="D366">
        <v>-6.672E-3</v>
      </c>
      <c r="E366">
        <v>-8.2590000000000007E-3</v>
      </c>
      <c r="F366">
        <v>75994060.099999994</v>
      </c>
      <c r="G366">
        <v>91</v>
      </c>
      <c r="H366">
        <v>76102491.900000006</v>
      </c>
      <c r="I366">
        <v>91</v>
      </c>
      <c r="J366">
        <v>48.38</v>
      </c>
      <c r="K366">
        <v>-2.0630000000000002E-3</v>
      </c>
      <c r="L366">
        <v>0.19</v>
      </c>
      <c r="M366">
        <v>26.93</v>
      </c>
      <c r="N366">
        <f t="shared" si="0"/>
        <v>-2.1213861864091133E-3</v>
      </c>
      <c r="O366">
        <f t="shared" si="1"/>
        <v>4.1184552543627184E-4</v>
      </c>
      <c r="P366">
        <f t="shared" si="2"/>
        <v>-2.5332317118453851E-3</v>
      </c>
    </row>
    <row r="367" spans="1:16" x14ac:dyDescent="0.35">
      <c r="A367" s="1">
        <v>20606</v>
      </c>
      <c r="B367">
        <v>-5.8414000000000001E-2</v>
      </c>
      <c r="C367">
        <v>-6.5976000000000007E-2</v>
      </c>
      <c r="D367">
        <v>-4.5338999999999997E-2</v>
      </c>
      <c r="E367">
        <v>-5.1490000000000001E-2</v>
      </c>
      <c r="F367">
        <v>70980257.599999994</v>
      </c>
      <c r="G367">
        <v>91</v>
      </c>
      <c r="H367">
        <v>75994060.099999994</v>
      </c>
      <c r="I367">
        <v>91</v>
      </c>
      <c r="J367">
        <v>45.2</v>
      </c>
      <c r="K367">
        <v>-6.5729999999999997E-2</v>
      </c>
      <c r="L367">
        <v>0.23</v>
      </c>
      <c r="M367">
        <v>27.03</v>
      </c>
      <c r="N367">
        <f t="shared" si="0"/>
        <v>-6.1897485016648157E-2</v>
      </c>
      <c r="O367">
        <f t="shared" si="1"/>
        <v>-1.4081021087681833E-3</v>
      </c>
      <c r="P367">
        <f t="shared" si="2"/>
        <v>-6.0489382907879974E-2</v>
      </c>
    </row>
    <row r="368" spans="1:16" x14ac:dyDescent="0.35">
      <c r="A368" s="1">
        <v>20635</v>
      </c>
      <c r="B368">
        <v>3.891E-2</v>
      </c>
      <c r="C368">
        <v>3.7761999999999997E-2</v>
      </c>
      <c r="D368">
        <v>2.5100000000000001E-2</v>
      </c>
      <c r="E368">
        <v>2.2321000000000001E-2</v>
      </c>
      <c r="F368">
        <v>73660638.900000006</v>
      </c>
      <c r="G368">
        <v>91</v>
      </c>
      <c r="H368">
        <v>70980257.599999994</v>
      </c>
      <c r="I368">
        <v>91</v>
      </c>
      <c r="J368">
        <v>46.97</v>
      </c>
      <c r="K368">
        <v>3.9158999999999999E-2</v>
      </c>
      <c r="L368">
        <v>0.2</v>
      </c>
      <c r="M368">
        <v>27.15</v>
      </c>
      <c r="N368">
        <f t="shared" si="0"/>
        <v>3.4318132596685258E-2</v>
      </c>
      <c r="O368">
        <f t="shared" si="1"/>
        <v>-2.4287292817678496E-3</v>
      </c>
      <c r="P368">
        <f t="shared" si="2"/>
        <v>3.6746861878453108E-2</v>
      </c>
    </row>
    <row r="369" spans="1:16" x14ac:dyDescent="0.35">
      <c r="A369" s="1">
        <v>20667</v>
      </c>
      <c r="B369">
        <v>5.1427E-2</v>
      </c>
      <c r="C369">
        <v>5.0618999999999997E-2</v>
      </c>
      <c r="D369">
        <v>3.9614000000000003E-2</v>
      </c>
      <c r="E369">
        <v>3.7922999999999998E-2</v>
      </c>
      <c r="F369">
        <v>77389230.099999994</v>
      </c>
      <c r="G369">
        <v>91</v>
      </c>
      <c r="H369">
        <v>73660638.900000006</v>
      </c>
      <c r="I369">
        <v>91</v>
      </c>
      <c r="J369">
        <v>49.39</v>
      </c>
      <c r="K369">
        <v>5.1521999999999998E-2</v>
      </c>
      <c r="L369">
        <v>0.22</v>
      </c>
      <c r="M369">
        <v>27.29</v>
      </c>
      <c r="N369">
        <f t="shared" si="0"/>
        <v>4.6033090875778448E-2</v>
      </c>
      <c r="O369">
        <f t="shared" si="1"/>
        <v>-2.9413704653720174E-3</v>
      </c>
      <c r="P369">
        <f t="shared" si="2"/>
        <v>4.8974461341150466E-2</v>
      </c>
    </row>
    <row r="370" spans="1:16" x14ac:dyDescent="0.35">
      <c r="A370" s="1">
        <v>20698</v>
      </c>
      <c r="B370">
        <v>-3.2787999999999998E-2</v>
      </c>
      <c r="C370">
        <v>-3.9975999999999998E-2</v>
      </c>
      <c r="D370">
        <v>-3.1743E-2</v>
      </c>
      <c r="E370">
        <v>-3.7397E-2</v>
      </c>
      <c r="F370">
        <v>74291102.400000006</v>
      </c>
      <c r="G370">
        <v>91</v>
      </c>
      <c r="H370">
        <v>77389230.099999994</v>
      </c>
      <c r="I370">
        <v>91</v>
      </c>
      <c r="J370">
        <v>47.51</v>
      </c>
      <c r="K370">
        <v>-3.8064000000000001E-2</v>
      </c>
      <c r="L370">
        <v>0.17</v>
      </c>
      <c r="M370">
        <v>27.31</v>
      </c>
      <c r="N370">
        <f t="shared" si="0"/>
        <v>-3.3496320761625786E-2</v>
      </c>
      <c r="O370">
        <f t="shared" si="1"/>
        <v>9.6642255584034054E-4</v>
      </c>
      <c r="P370">
        <f t="shared" si="2"/>
        <v>-3.4462743317466127E-2</v>
      </c>
    </row>
    <row r="371" spans="1:16" x14ac:dyDescent="0.35">
      <c r="A371" s="1">
        <v>20726</v>
      </c>
      <c r="B371">
        <v>-4.4021999999999999E-2</v>
      </c>
      <c r="C371">
        <v>-4.5127E-2</v>
      </c>
      <c r="D371">
        <v>-4.3159000000000003E-2</v>
      </c>
      <c r="E371">
        <v>-4.6116999999999998E-2</v>
      </c>
      <c r="F371">
        <v>70967696.400000006</v>
      </c>
      <c r="G371">
        <v>91</v>
      </c>
      <c r="H371">
        <v>74291102.400000006</v>
      </c>
      <c r="I371">
        <v>91</v>
      </c>
      <c r="J371">
        <v>45.35</v>
      </c>
      <c r="K371">
        <v>-4.5463999999999997E-2</v>
      </c>
      <c r="L371">
        <v>0.18</v>
      </c>
      <c r="M371">
        <v>27.35</v>
      </c>
      <c r="N371">
        <f t="shared" si="0"/>
        <v>-4.5420139670932502E-2</v>
      </c>
      <c r="O371">
        <f t="shared" si="1"/>
        <v>3.3484460694688245E-4</v>
      </c>
      <c r="P371">
        <f t="shared" si="2"/>
        <v>-4.5754984277879385E-2</v>
      </c>
    </row>
    <row r="372" spans="1:16" x14ac:dyDescent="0.35">
      <c r="A372" s="1">
        <v>20759</v>
      </c>
      <c r="B372">
        <v>6.6189999999999999E-3</v>
      </c>
      <c r="C372">
        <v>5.2979999999999998E-3</v>
      </c>
      <c r="D372">
        <v>4.7060000000000001E-3</v>
      </c>
      <c r="E372">
        <v>2.0110000000000002E-3</v>
      </c>
      <c r="F372">
        <v>71343659.799999997</v>
      </c>
      <c r="G372">
        <v>91</v>
      </c>
      <c r="H372">
        <v>70967696.400000006</v>
      </c>
      <c r="I372">
        <v>91</v>
      </c>
      <c r="J372">
        <v>45.58</v>
      </c>
      <c r="K372">
        <v>5.0720000000000001E-3</v>
      </c>
      <c r="L372">
        <v>0.25</v>
      </c>
      <c r="M372">
        <v>27.51</v>
      </c>
      <c r="N372">
        <f t="shared" si="0"/>
        <v>7.644365685204324E-4</v>
      </c>
      <c r="O372">
        <f t="shared" si="1"/>
        <v>-3.3306070519810715E-3</v>
      </c>
      <c r="P372">
        <f t="shared" si="2"/>
        <v>4.0950436205015039E-3</v>
      </c>
    </row>
    <row r="373" spans="1:16" x14ac:dyDescent="0.35">
      <c r="A373" s="1">
        <v>20789</v>
      </c>
      <c r="B373">
        <v>-1.921E-3</v>
      </c>
      <c r="C373">
        <v>-1.1161000000000001E-2</v>
      </c>
      <c r="D373">
        <v>-2.676E-3</v>
      </c>
      <c r="E373">
        <v>-9.8799999999999999E-3</v>
      </c>
      <c r="F373">
        <v>70545824.200000003</v>
      </c>
      <c r="G373">
        <v>91</v>
      </c>
      <c r="H373">
        <v>71343659.799999997</v>
      </c>
      <c r="I373">
        <v>91</v>
      </c>
      <c r="J373">
        <v>45.08</v>
      </c>
      <c r="K373">
        <v>-1.0970000000000001E-2</v>
      </c>
      <c r="L373">
        <v>0.2</v>
      </c>
      <c r="M373">
        <v>27.51</v>
      </c>
      <c r="N373">
        <f t="shared" si="0"/>
        <v>-1.9209999999999505E-3</v>
      </c>
      <c r="O373">
        <f t="shared" si="1"/>
        <v>2.0000000000000018E-3</v>
      </c>
      <c r="P373">
        <f t="shared" si="2"/>
        <v>-3.9209999999999523E-3</v>
      </c>
    </row>
    <row r="374" spans="1:16" x14ac:dyDescent="0.35">
      <c r="A374" s="1">
        <v>20820</v>
      </c>
      <c r="B374">
        <v>3.6283999999999997E-2</v>
      </c>
      <c r="C374">
        <v>3.4442E-2</v>
      </c>
      <c r="D374">
        <v>2.6143E-2</v>
      </c>
      <c r="E374">
        <v>2.1892999999999999E-2</v>
      </c>
      <c r="F374">
        <v>73906764</v>
      </c>
      <c r="G374">
        <v>91</v>
      </c>
      <c r="H374">
        <v>70545824.200000003</v>
      </c>
      <c r="I374">
        <v>91</v>
      </c>
      <c r="J374">
        <v>46.67</v>
      </c>
      <c r="K374">
        <v>3.5270999999999997E-2</v>
      </c>
      <c r="L374">
        <v>0.24</v>
      </c>
      <c r="M374">
        <v>27.63</v>
      </c>
      <c r="N374">
        <f t="shared" si="0"/>
        <v>3.1783309446254071E-2</v>
      </c>
      <c r="O374">
        <f t="shared" si="1"/>
        <v>-1.9535287730727546E-3</v>
      </c>
      <c r="P374">
        <f t="shared" si="2"/>
        <v>3.3736838219326826E-2</v>
      </c>
    </row>
    <row r="375" spans="1:16" x14ac:dyDescent="0.35">
      <c r="A375" s="1">
        <v>20851</v>
      </c>
      <c r="B375">
        <v>-4.0238000000000003E-2</v>
      </c>
      <c r="C375">
        <v>-4.1569000000000002E-2</v>
      </c>
      <c r="D375">
        <v>-7.4590000000000004E-3</v>
      </c>
      <c r="E375">
        <v>-9.5160000000000002E-3</v>
      </c>
      <c r="F375">
        <v>70834520.5</v>
      </c>
      <c r="G375">
        <v>91</v>
      </c>
      <c r="H375">
        <v>73906764</v>
      </c>
      <c r="I375">
        <v>91</v>
      </c>
      <c r="J375">
        <v>44.72</v>
      </c>
      <c r="K375">
        <v>-4.1783000000000001E-2</v>
      </c>
      <c r="L375">
        <v>0.27</v>
      </c>
      <c r="M375">
        <v>27.67</v>
      </c>
      <c r="N375">
        <f t="shared" si="0"/>
        <v>-4.1625440549331594E-2</v>
      </c>
      <c r="O375">
        <f t="shared" si="1"/>
        <v>1.2504878930248431E-3</v>
      </c>
      <c r="P375">
        <f t="shared" si="2"/>
        <v>-4.2875928442356437E-2</v>
      </c>
    </row>
    <row r="376" spans="1:16" x14ac:dyDescent="0.35">
      <c r="A376" s="1">
        <v>20879</v>
      </c>
      <c r="B376">
        <v>-2.4919E-2</v>
      </c>
      <c r="C376">
        <v>-3.2822999999999998E-2</v>
      </c>
      <c r="D376">
        <v>-2.7026999999999999E-2</v>
      </c>
      <c r="E376">
        <v>-3.3574E-2</v>
      </c>
      <c r="F376">
        <v>68532508.900000006</v>
      </c>
      <c r="G376">
        <v>91</v>
      </c>
      <c r="H376">
        <v>70834520.5</v>
      </c>
      <c r="I376">
        <v>91</v>
      </c>
      <c r="J376">
        <v>43.26</v>
      </c>
      <c r="K376">
        <v>-3.2648000000000003E-2</v>
      </c>
      <c r="L376">
        <v>0.24</v>
      </c>
      <c r="M376">
        <v>27.8</v>
      </c>
      <c r="N376">
        <f t="shared" si="0"/>
        <v>-2.9478731294964033E-2</v>
      </c>
      <c r="O376">
        <f t="shared" si="1"/>
        <v>-2.2874820143884422E-3</v>
      </c>
      <c r="P376">
        <f t="shared" si="2"/>
        <v>-2.7191249280575591E-2</v>
      </c>
    </row>
    <row r="377" spans="1:16" x14ac:dyDescent="0.35">
      <c r="A377" s="1">
        <v>20908</v>
      </c>
      <c r="B377">
        <v>2.3827000000000001E-2</v>
      </c>
      <c r="C377">
        <v>2.0752E-2</v>
      </c>
      <c r="D377">
        <v>2.1728999999999998E-2</v>
      </c>
      <c r="E377">
        <v>1.7485000000000001E-2</v>
      </c>
      <c r="F377">
        <v>175073435</v>
      </c>
      <c r="G377">
        <v>499</v>
      </c>
      <c r="H377">
        <v>171413672</v>
      </c>
      <c r="I377">
        <v>498</v>
      </c>
      <c r="J377">
        <v>44.11</v>
      </c>
      <c r="K377">
        <v>1.9649E-2</v>
      </c>
      <c r="L377">
        <v>0.23</v>
      </c>
      <c r="M377">
        <v>27.86</v>
      </c>
      <c r="N377">
        <f t="shared" si="0"/>
        <v>2.1622060301507595E-2</v>
      </c>
      <c r="O377">
        <f t="shared" si="1"/>
        <v>1.4142139267758758E-4</v>
      </c>
      <c r="P377">
        <f t="shared" si="2"/>
        <v>2.1480638908830008E-2</v>
      </c>
    </row>
    <row r="378" spans="1:16" x14ac:dyDescent="0.35">
      <c r="A378" s="1">
        <v>20940</v>
      </c>
      <c r="B378">
        <v>4.6538000000000003E-2</v>
      </c>
      <c r="C378">
        <v>4.5214999999999998E-2</v>
      </c>
      <c r="D378">
        <v>2.8393000000000002E-2</v>
      </c>
      <c r="E378">
        <v>2.6411E-2</v>
      </c>
      <c r="F378">
        <v>183265643</v>
      </c>
      <c r="G378">
        <v>499</v>
      </c>
      <c r="H378">
        <v>175073435</v>
      </c>
      <c r="I378">
        <v>498</v>
      </c>
      <c r="J378">
        <v>45.74</v>
      </c>
      <c r="K378">
        <v>3.6953E-2</v>
      </c>
      <c r="L378">
        <v>0.25</v>
      </c>
      <c r="M378">
        <v>27.93</v>
      </c>
      <c r="N378">
        <f t="shared" si="0"/>
        <v>4.3915097744360976E-2</v>
      </c>
      <c r="O378">
        <f t="shared" si="1"/>
        <v>-1.2531328320797286E-5</v>
      </c>
      <c r="P378">
        <f t="shared" si="2"/>
        <v>4.3927629072681773E-2</v>
      </c>
    </row>
    <row r="379" spans="1:16" x14ac:dyDescent="0.35">
      <c r="A379" s="1">
        <v>20971</v>
      </c>
      <c r="B379">
        <v>3.8733999999999998E-2</v>
      </c>
      <c r="C379">
        <v>3.3208000000000001E-2</v>
      </c>
      <c r="D379">
        <v>2.3924999999999998E-2</v>
      </c>
      <c r="E379">
        <v>1.8511E-2</v>
      </c>
      <c r="F379">
        <v>189586695</v>
      </c>
      <c r="G379">
        <v>499</v>
      </c>
      <c r="H379">
        <v>183265643</v>
      </c>
      <c r="I379">
        <v>498</v>
      </c>
      <c r="J379">
        <v>47.43</v>
      </c>
      <c r="K379">
        <v>3.6948000000000002E-2</v>
      </c>
      <c r="L379">
        <v>0.26</v>
      </c>
      <c r="M379">
        <v>28</v>
      </c>
      <c r="N379">
        <f t="shared" si="0"/>
        <v>3.6137164999999971E-2</v>
      </c>
      <c r="O379">
        <f t="shared" si="1"/>
        <v>9.3499999999968608E-5</v>
      </c>
      <c r="P379">
        <f t="shared" si="2"/>
        <v>3.6043665000000003E-2</v>
      </c>
    </row>
    <row r="380" spans="1:16" x14ac:dyDescent="0.35">
      <c r="A380" s="1">
        <v>20999</v>
      </c>
      <c r="B380">
        <v>-7.0500000000000001E-4</v>
      </c>
      <c r="C380">
        <v>-3.6319999999999998E-3</v>
      </c>
      <c r="D380">
        <v>-7.8650000000000005E-3</v>
      </c>
      <c r="E380">
        <v>-1.1632E-2</v>
      </c>
      <c r="F380">
        <v>188909079</v>
      </c>
      <c r="G380">
        <v>499</v>
      </c>
      <c r="H380">
        <v>189531565</v>
      </c>
      <c r="I380">
        <v>497</v>
      </c>
      <c r="J380">
        <v>47.37</v>
      </c>
      <c r="K380">
        <v>-1.2650000000000001E-3</v>
      </c>
      <c r="L380">
        <v>0.24</v>
      </c>
      <c r="M380">
        <v>28.11</v>
      </c>
      <c r="N380">
        <f t="shared" si="0"/>
        <v>-4.6154393454286291E-3</v>
      </c>
      <c r="O380">
        <f t="shared" si="1"/>
        <v>-1.5225898256847614E-3</v>
      </c>
      <c r="P380">
        <f t="shared" si="2"/>
        <v>-3.0928495197438677E-3</v>
      </c>
    </row>
    <row r="381" spans="1:16" x14ac:dyDescent="0.35">
      <c r="A381" s="1">
        <v>21032</v>
      </c>
      <c r="B381">
        <v>9.7470000000000005E-3</v>
      </c>
      <c r="C381">
        <v>8.2170000000000003E-3</v>
      </c>
      <c r="D381">
        <v>2.362E-3</v>
      </c>
      <c r="E381">
        <v>2.9500000000000001E-4</v>
      </c>
      <c r="F381">
        <v>190769088</v>
      </c>
      <c r="G381">
        <v>499</v>
      </c>
      <c r="H381">
        <v>189214298</v>
      </c>
      <c r="I381">
        <v>498</v>
      </c>
      <c r="J381">
        <v>47.91</v>
      </c>
      <c r="K381">
        <v>1.14E-2</v>
      </c>
      <c r="L381">
        <v>0.3</v>
      </c>
      <c r="M381">
        <v>28.19</v>
      </c>
      <c r="N381">
        <f t="shared" si="0"/>
        <v>6.8814533522525423E-3</v>
      </c>
      <c r="O381">
        <f t="shared" si="1"/>
        <v>1.5360056757707241E-4</v>
      </c>
      <c r="P381">
        <f t="shared" si="2"/>
        <v>6.7278527846754699E-3</v>
      </c>
    </row>
    <row r="382" spans="1:16" x14ac:dyDescent="0.35">
      <c r="A382" s="1">
        <v>21062</v>
      </c>
      <c r="B382">
        <v>-4.8998E-2</v>
      </c>
      <c r="C382">
        <v>-5.4177999999999997E-2</v>
      </c>
      <c r="D382">
        <v>-5.1083999999999997E-2</v>
      </c>
      <c r="E382">
        <v>-5.6160000000000002E-2</v>
      </c>
      <c r="F382">
        <v>180877800</v>
      </c>
      <c r="G382">
        <v>499</v>
      </c>
      <c r="H382">
        <v>191089378</v>
      </c>
      <c r="I382">
        <v>498</v>
      </c>
      <c r="J382">
        <v>45.22</v>
      </c>
      <c r="K382">
        <v>-5.6147000000000002E-2</v>
      </c>
      <c r="L382">
        <v>0.25</v>
      </c>
      <c r="M382">
        <v>28.28</v>
      </c>
      <c r="N382">
        <f t="shared" si="0"/>
        <v>-5.2024526874115962E-2</v>
      </c>
      <c r="O382">
        <f t="shared" si="1"/>
        <v>-6.9041725601137749E-4</v>
      </c>
      <c r="P382">
        <f t="shared" si="2"/>
        <v>-5.1334109618104584E-2</v>
      </c>
    </row>
    <row r="383" spans="1:16" x14ac:dyDescent="0.35">
      <c r="A383" s="1">
        <v>21093</v>
      </c>
      <c r="B383">
        <v>-5.7879E-2</v>
      </c>
      <c r="C383">
        <v>-6.0609000000000003E-2</v>
      </c>
      <c r="D383">
        <v>-4.9284000000000001E-2</v>
      </c>
      <c r="E383">
        <v>-5.3810999999999998E-2</v>
      </c>
      <c r="F383">
        <v>169918270</v>
      </c>
      <c r="G383">
        <v>499</v>
      </c>
      <c r="H383">
        <v>180877800</v>
      </c>
      <c r="I383">
        <v>498</v>
      </c>
      <c r="J383">
        <v>42.42</v>
      </c>
      <c r="K383">
        <v>-6.1920000000000003E-2</v>
      </c>
      <c r="L383">
        <v>0.26</v>
      </c>
      <c r="M383">
        <v>28.32</v>
      </c>
      <c r="N383">
        <f t="shared" si="0"/>
        <v>-5.9209679378531055E-2</v>
      </c>
      <c r="O383">
        <f t="shared" si="1"/>
        <v>1.1838983050846963E-3</v>
      </c>
      <c r="P383">
        <f t="shared" si="2"/>
        <v>-6.0393577683615751E-2</v>
      </c>
    </row>
    <row r="384" spans="1:16" x14ac:dyDescent="0.35">
      <c r="A384" s="1">
        <v>21124</v>
      </c>
      <c r="B384">
        <v>-3.8834E-2</v>
      </c>
      <c r="C384">
        <v>-4.0549000000000002E-2</v>
      </c>
      <c r="D384">
        <v>-5.5624E-2</v>
      </c>
      <c r="E384">
        <v>-5.8402000000000003E-2</v>
      </c>
      <c r="F384">
        <v>162970714</v>
      </c>
      <c r="G384">
        <v>499</v>
      </c>
      <c r="H384">
        <v>169859825</v>
      </c>
      <c r="I384">
        <v>497</v>
      </c>
      <c r="J384">
        <v>41.06</v>
      </c>
      <c r="K384">
        <v>-3.2059999999999998E-2</v>
      </c>
      <c r="L384">
        <v>0.28999999999999998</v>
      </c>
      <c r="M384">
        <v>28.32</v>
      </c>
      <c r="N384">
        <f t="shared" si="0"/>
        <v>-3.8834000000000035E-2</v>
      </c>
      <c r="O384">
        <f t="shared" si="1"/>
        <v>2.8999999999999027E-3</v>
      </c>
      <c r="P384">
        <f t="shared" si="2"/>
        <v>-4.1733999999999938E-2</v>
      </c>
    </row>
    <row r="385" spans="1:16" x14ac:dyDescent="0.35">
      <c r="A385" s="1">
        <v>21153</v>
      </c>
      <c r="B385">
        <v>2.3702999999999998E-2</v>
      </c>
      <c r="C385">
        <v>1.6483000000000001E-2</v>
      </c>
      <c r="D385">
        <v>2.3872999999999998E-2</v>
      </c>
      <c r="E385">
        <v>1.7426000000000001E-2</v>
      </c>
      <c r="F385">
        <v>165962567</v>
      </c>
      <c r="G385">
        <v>499</v>
      </c>
      <c r="H385">
        <v>162970714</v>
      </c>
      <c r="I385">
        <v>497</v>
      </c>
      <c r="J385">
        <v>41.72</v>
      </c>
      <c r="K385">
        <v>1.6074000000000001E-2</v>
      </c>
      <c r="L385">
        <v>0.28000000000000003</v>
      </c>
      <c r="M385">
        <v>28.41</v>
      </c>
      <c r="N385">
        <f t="shared" si="0"/>
        <v>2.0460012671594585E-2</v>
      </c>
      <c r="O385">
        <f t="shared" si="1"/>
        <v>-3.7676874340031308E-4</v>
      </c>
      <c r="P385">
        <f t="shared" si="2"/>
        <v>2.0836781414994898E-2</v>
      </c>
    </row>
    <row r="386" spans="1:16" x14ac:dyDescent="0.35">
      <c r="A386" s="1">
        <v>21185</v>
      </c>
      <c r="B386">
        <v>-3.7421999999999997E-2</v>
      </c>
      <c r="C386">
        <v>-4.1021000000000002E-2</v>
      </c>
      <c r="D386">
        <v>-4.8022000000000002E-2</v>
      </c>
      <c r="E386">
        <v>-5.3393999999999997E-2</v>
      </c>
      <c r="F386">
        <v>161687382</v>
      </c>
      <c r="G386">
        <v>499</v>
      </c>
      <c r="H386">
        <v>165742188</v>
      </c>
      <c r="I386">
        <v>496</v>
      </c>
      <c r="J386">
        <v>39.99</v>
      </c>
      <c r="K386">
        <v>-4.1466999999999997E-2</v>
      </c>
      <c r="L386">
        <v>0.24</v>
      </c>
      <c r="M386">
        <v>28.47</v>
      </c>
      <c r="N386">
        <f t="shared" si="0"/>
        <v>-3.9450615384615362E-2</v>
      </c>
      <c r="O386">
        <f t="shared" si="1"/>
        <v>2.8746048472072516E-4</v>
      </c>
      <c r="P386">
        <f t="shared" si="2"/>
        <v>-3.9738075869336087E-2</v>
      </c>
    </row>
    <row r="387" spans="1:16" x14ac:dyDescent="0.35">
      <c r="A387" s="1">
        <v>21216</v>
      </c>
      <c r="B387">
        <v>4.5518000000000003E-2</v>
      </c>
      <c r="C387">
        <v>4.4330000000000001E-2</v>
      </c>
      <c r="D387">
        <v>9.9789000000000003E-2</v>
      </c>
      <c r="E387">
        <v>9.7821000000000005E-2</v>
      </c>
      <c r="F387">
        <v>169531992</v>
      </c>
      <c r="G387">
        <v>499</v>
      </c>
      <c r="H387">
        <v>162268458</v>
      </c>
      <c r="I387">
        <v>497</v>
      </c>
      <c r="J387">
        <v>41.7</v>
      </c>
      <c r="K387">
        <v>4.2761E-2</v>
      </c>
      <c r="L387">
        <v>0.28000000000000003</v>
      </c>
      <c r="M387">
        <v>28.64</v>
      </c>
      <c r="N387">
        <f t="shared" si="0"/>
        <v>3.9312062150837823E-2</v>
      </c>
      <c r="O387">
        <f t="shared" si="1"/>
        <v>-3.1523743016761419E-3</v>
      </c>
      <c r="P387">
        <f t="shared" si="2"/>
        <v>4.2464436452513965E-2</v>
      </c>
    </row>
    <row r="388" spans="1:16" x14ac:dyDescent="0.35">
      <c r="A388" s="1">
        <v>21244</v>
      </c>
      <c r="B388">
        <v>-1.4109E-2</v>
      </c>
      <c r="C388">
        <v>-2.0288E-2</v>
      </c>
      <c r="D388">
        <v>-1.1325E-2</v>
      </c>
      <c r="E388">
        <v>-1.6617E-2</v>
      </c>
      <c r="F388">
        <v>166267488</v>
      </c>
      <c r="G388">
        <v>499</v>
      </c>
      <c r="H388">
        <v>169710492</v>
      </c>
      <c r="I388">
        <v>498</v>
      </c>
      <c r="J388">
        <v>40.840000000000003</v>
      </c>
      <c r="K388">
        <v>-2.0624E-2</v>
      </c>
      <c r="L388">
        <v>0.12</v>
      </c>
      <c r="M388">
        <v>28.7</v>
      </c>
      <c r="N388">
        <f t="shared" si="0"/>
        <v>-1.6170096167247405E-2</v>
      </c>
      <c r="O388">
        <f t="shared" si="1"/>
        <v>-8.9310104529594092E-4</v>
      </c>
      <c r="P388">
        <f t="shared" si="2"/>
        <v>-1.5276995121951464E-2</v>
      </c>
    </row>
    <row r="389" spans="1:16" x14ac:dyDescent="0.35">
      <c r="A389" s="1">
        <v>21275</v>
      </c>
      <c r="B389">
        <v>3.3051999999999998E-2</v>
      </c>
      <c r="C389">
        <v>2.9735999999999999E-2</v>
      </c>
      <c r="D389">
        <v>3.9060999999999998E-2</v>
      </c>
      <c r="E389">
        <v>3.4598999999999998E-2</v>
      </c>
      <c r="F389">
        <v>171224460</v>
      </c>
      <c r="G389">
        <v>499</v>
      </c>
      <c r="H389">
        <v>166266541</v>
      </c>
      <c r="I389">
        <v>498</v>
      </c>
      <c r="J389">
        <v>42.1</v>
      </c>
      <c r="K389">
        <v>3.0852000000000001E-2</v>
      </c>
      <c r="L389">
        <v>0.09</v>
      </c>
      <c r="M389">
        <v>28.87</v>
      </c>
      <c r="N389">
        <f t="shared" si="0"/>
        <v>2.6968908901974453E-2</v>
      </c>
      <c r="O389">
        <f t="shared" si="1"/>
        <v>-4.9937651541394068E-3</v>
      </c>
      <c r="P389">
        <f t="shared" si="2"/>
        <v>3.196267405611386E-2</v>
      </c>
    </row>
    <row r="390" spans="1:16" x14ac:dyDescent="0.35">
      <c r="A390" s="1">
        <v>21305</v>
      </c>
      <c r="B390">
        <v>3.3510999999999999E-2</v>
      </c>
      <c r="C390">
        <v>3.2037999999999997E-2</v>
      </c>
      <c r="D390">
        <v>3.3179E-2</v>
      </c>
      <c r="E390">
        <v>3.1104E-2</v>
      </c>
      <c r="F390">
        <v>177092196</v>
      </c>
      <c r="G390">
        <v>499</v>
      </c>
      <c r="H390">
        <v>171580020</v>
      </c>
      <c r="I390">
        <v>498</v>
      </c>
      <c r="J390">
        <v>43.44</v>
      </c>
      <c r="K390">
        <v>3.1829000000000003E-2</v>
      </c>
      <c r="L390">
        <v>0.08</v>
      </c>
      <c r="M390">
        <v>28.94</v>
      </c>
      <c r="N390">
        <f t="shared" si="0"/>
        <v>3.1011146164478198E-2</v>
      </c>
      <c r="O390">
        <f t="shared" si="1"/>
        <v>-1.6207325501037539E-3</v>
      </c>
      <c r="P390">
        <f t="shared" si="2"/>
        <v>3.2631878714581952E-2</v>
      </c>
    </row>
    <row r="391" spans="1:16" x14ac:dyDescent="0.35">
      <c r="A391" s="1">
        <v>21334</v>
      </c>
      <c r="B391">
        <v>2.1312999999999999E-2</v>
      </c>
      <c r="C391">
        <v>1.5502999999999999E-2</v>
      </c>
      <c r="D391">
        <v>3.4512000000000001E-2</v>
      </c>
      <c r="E391">
        <v>2.9863000000000001E-2</v>
      </c>
      <c r="F391">
        <v>179834278</v>
      </c>
      <c r="G391">
        <v>499</v>
      </c>
      <c r="H391">
        <v>177092196</v>
      </c>
      <c r="I391">
        <v>498</v>
      </c>
      <c r="J391">
        <v>44.09</v>
      </c>
      <c r="K391">
        <v>1.4963000000000001E-2</v>
      </c>
      <c r="L391">
        <v>0.11</v>
      </c>
      <c r="M391">
        <v>28.94</v>
      </c>
      <c r="N391">
        <f t="shared" si="0"/>
        <v>2.1312999999999915E-2</v>
      </c>
      <c r="O391">
        <f t="shared" si="1"/>
        <v>1.1000000000001009E-3</v>
      </c>
      <c r="P391">
        <f t="shared" si="2"/>
        <v>2.0212999999999814E-2</v>
      </c>
    </row>
    <row r="392" spans="1:16" x14ac:dyDescent="0.35">
      <c r="A392" s="1">
        <v>21366</v>
      </c>
      <c r="B392">
        <v>2.7997999999999999E-2</v>
      </c>
      <c r="C392">
        <v>2.4896999999999999E-2</v>
      </c>
      <c r="D392">
        <v>2.6758000000000001E-2</v>
      </c>
      <c r="E392">
        <v>2.2804999999999999E-2</v>
      </c>
      <c r="F392">
        <v>184791790</v>
      </c>
      <c r="G392">
        <v>500</v>
      </c>
      <c r="H392">
        <v>180259708</v>
      </c>
      <c r="I392">
        <v>499</v>
      </c>
      <c r="J392">
        <v>45.24</v>
      </c>
      <c r="K392">
        <v>2.6082999999999999E-2</v>
      </c>
      <c r="L392">
        <v>0.03</v>
      </c>
      <c r="M392">
        <v>28.91</v>
      </c>
      <c r="N392">
        <f t="shared" si="0"/>
        <v>2.9064756831546301E-2</v>
      </c>
      <c r="O392">
        <f t="shared" si="1"/>
        <v>1.3380145278449884E-3</v>
      </c>
      <c r="P392">
        <f t="shared" si="2"/>
        <v>2.7726742303701313E-2</v>
      </c>
    </row>
    <row r="393" spans="1:16" x14ac:dyDescent="0.35">
      <c r="A393" s="1">
        <v>21397</v>
      </c>
      <c r="B393">
        <v>4.3959999999999999E-2</v>
      </c>
      <c r="C393">
        <v>4.2417999999999997E-2</v>
      </c>
      <c r="D393">
        <v>5.6779000000000003E-2</v>
      </c>
      <c r="E393">
        <v>5.4981000000000002E-2</v>
      </c>
      <c r="F393">
        <v>192642259</v>
      </c>
      <c r="G393">
        <v>500</v>
      </c>
      <c r="H393">
        <v>184791790</v>
      </c>
      <c r="I393">
        <v>499</v>
      </c>
      <c r="J393">
        <v>47.19</v>
      </c>
      <c r="K393">
        <v>4.3103000000000002E-2</v>
      </c>
      <c r="L393">
        <v>7.0000000000000007E-2</v>
      </c>
      <c r="M393">
        <v>28.89</v>
      </c>
      <c r="N393">
        <f t="shared" si="0"/>
        <v>4.4682713741779123E-2</v>
      </c>
      <c r="O393">
        <f t="shared" si="1"/>
        <v>1.3927656628589524E-3</v>
      </c>
      <c r="P393">
        <f t="shared" si="2"/>
        <v>4.3289948078920171E-2</v>
      </c>
    </row>
    <row r="394" spans="1:16" x14ac:dyDescent="0.35">
      <c r="A394" s="1">
        <v>21426</v>
      </c>
      <c r="B394">
        <v>1.7999000000000001E-2</v>
      </c>
      <c r="C394">
        <v>1.3270000000000001E-2</v>
      </c>
      <c r="D394">
        <v>2.8989999999999998E-2</v>
      </c>
      <c r="E394">
        <v>2.4851000000000002E-2</v>
      </c>
      <c r="F394">
        <v>195204709</v>
      </c>
      <c r="G394">
        <v>500</v>
      </c>
      <c r="H394">
        <v>192642259</v>
      </c>
      <c r="I394">
        <v>499</v>
      </c>
      <c r="J394">
        <v>47.75</v>
      </c>
      <c r="K394">
        <v>1.1867000000000001E-2</v>
      </c>
      <c r="L394">
        <v>0.04</v>
      </c>
      <c r="M394">
        <v>28.94</v>
      </c>
      <c r="N394">
        <f t="shared" si="0"/>
        <v>1.6240190393918441E-2</v>
      </c>
      <c r="O394">
        <f t="shared" si="1"/>
        <v>-1.328403593642058E-3</v>
      </c>
      <c r="P394">
        <f t="shared" si="2"/>
        <v>1.7568593987560499E-2</v>
      </c>
    </row>
    <row r="395" spans="1:16" x14ac:dyDescent="0.35">
      <c r="A395" s="1">
        <v>21458</v>
      </c>
      <c r="B395">
        <v>5.0837E-2</v>
      </c>
      <c r="C395">
        <v>4.7953999999999997E-2</v>
      </c>
      <c r="D395">
        <v>5.3745000000000001E-2</v>
      </c>
      <c r="E395">
        <v>5.0037999999999999E-2</v>
      </c>
      <c r="F395">
        <v>204544758</v>
      </c>
      <c r="G395">
        <v>500</v>
      </c>
      <c r="H395">
        <v>195169789</v>
      </c>
      <c r="I395">
        <v>499</v>
      </c>
      <c r="J395">
        <v>50.06</v>
      </c>
      <c r="K395">
        <v>4.8377000000000003E-2</v>
      </c>
      <c r="L395">
        <v>0.19</v>
      </c>
      <c r="M395">
        <v>28.91</v>
      </c>
      <c r="N395">
        <f t="shared" si="0"/>
        <v>5.1927456935316529E-2</v>
      </c>
      <c r="O395">
        <f t="shared" si="1"/>
        <v>2.9396748529919581E-3</v>
      </c>
      <c r="P395">
        <f t="shared" si="2"/>
        <v>4.8987782082324571E-2</v>
      </c>
    </row>
    <row r="396" spans="1:16" x14ac:dyDescent="0.35">
      <c r="A396" s="1">
        <v>21489</v>
      </c>
      <c r="B396">
        <v>2.7369999999999998E-2</v>
      </c>
      <c r="C396">
        <v>2.5878000000000002E-2</v>
      </c>
      <c r="D396">
        <v>2.8065E-2</v>
      </c>
      <c r="E396">
        <v>2.613E-2</v>
      </c>
      <c r="F396">
        <v>209882747</v>
      </c>
      <c r="G396">
        <v>500</v>
      </c>
      <c r="H396">
        <v>204544758</v>
      </c>
      <c r="I396">
        <v>499</v>
      </c>
      <c r="J396">
        <v>51.33</v>
      </c>
      <c r="K396">
        <v>2.537E-2</v>
      </c>
      <c r="L396">
        <v>0.18</v>
      </c>
      <c r="M396">
        <v>28.91</v>
      </c>
      <c r="N396">
        <f t="shared" si="0"/>
        <v>2.7369999999999894E-2</v>
      </c>
      <c r="O396">
        <f t="shared" si="1"/>
        <v>1.8000000000000238E-3</v>
      </c>
      <c r="P396">
        <f t="shared" si="2"/>
        <v>2.5569999999999871E-2</v>
      </c>
    </row>
    <row r="397" spans="1:16" x14ac:dyDescent="0.35">
      <c r="A397" s="1">
        <v>21517</v>
      </c>
      <c r="B397">
        <v>2.8617E-2</v>
      </c>
      <c r="C397">
        <v>2.3385E-2</v>
      </c>
      <c r="D397">
        <v>3.9040999999999999E-2</v>
      </c>
      <c r="E397">
        <v>3.4636E-2</v>
      </c>
      <c r="F397">
        <v>214960657</v>
      </c>
      <c r="G397">
        <v>500</v>
      </c>
      <c r="H397">
        <v>209882747</v>
      </c>
      <c r="I397">
        <v>499</v>
      </c>
      <c r="J397">
        <v>52.48</v>
      </c>
      <c r="K397">
        <v>2.2404E-2</v>
      </c>
      <c r="L397">
        <v>0.11</v>
      </c>
      <c r="M397">
        <v>28.95</v>
      </c>
      <c r="N397">
        <f t="shared" si="0"/>
        <v>2.7195767530224346E-2</v>
      </c>
      <c r="O397">
        <f t="shared" si="1"/>
        <v>-2.8321243523310446E-4</v>
      </c>
      <c r="P397">
        <f t="shared" si="2"/>
        <v>2.7478979965457451E-2</v>
      </c>
    </row>
    <row r="398" spans="1:16" x14ac:dyDescent="0.35">
      <c r="A398" s="1">
        <v>21550</v>
      </c>
      <c r="B398">
        <v>5.4112E-2</v>
      </c>
      <c r="C398">
        <v>5.1431999999999999E-2</v>
      </c>
      <c r="D398">
        <v>3.9754999999999999E-2</v>
      </c>
      <c r="E398">
        <v>3.6005000000000002E-2</v>
      </c>
      <c r="F398">
        <v>231623360</v>
      </c>
      <c r="G398">
        <v>500</v>
      </c>
      <c r="H398">
        <v>214826303</v>
      </c>
      <c r="I398">
        <v>498</v>
      </c>
      <c r="J398">
        <v>55.21</v>
      </c>
      <c r="K398">
        <v>5.2019999999999997E-2</v>
      </c>
      <c r="L398">
        <v>0.22</v>
      </c>
      <c r="M398">
        <v>28.97</v>
      </c>
      <c r="N398">
        <f t="shared" si="0"/>
        <v>5.3384273386261727E-2</v>
      </c>
      <c r="O398">
        <f t="shared" si="1"/>
        <v>1.5081118398343474E-3</v>
      </c>
      <c r="P398">
        <f t="shared" si="2"/>
        <v>5.187616154642738E-2</v>
      </c>
    </row>
    <row r="399" spans="1:16" x14ac:dyDescent="0.35">
      <c r="A399" s="1">
        <v>21580</v>
      </c>
      <c r="B399">
        <v>6.3309999999999998E-3</v>
      </c>
      <c r="C399">
        <v>5.3949999999999996E-3</v>
      </c>
      <c r="D399">
        <v>3.3377999999999998E-2</v>
      </c>
      <c r="E399">
        <v>3.2037999999999997E-2</v>
      </c>
      <c r="F399">
        <v>232856525</v>
      </c>
      <c r="G399">
        <v>500</v>
      </c>
      <c r="H399">
        <v>231623360</v>
      </c>
      <c r="I399">
        <v>499</v>
      </c>
      <c r="J399">
        <v>55.42</v>
      </c>
      <c r="K399">
        <v>3.8040000000000001E-3</v>
      </c>
      <c r="L399">
        <v>0.21</v>
      </c>
      <c r="M399">
        <v>29.01</v>
      </c>
      <c r="N399">
        <f t="shared" si="0"/>
        <v>4.9434357118234296E-3</v>
      </c>
      <c r="O399">
        <f t="shared" si="1"/>
        <v>7.1826956221987537E-4</v>
      </c>
      <c r="P399">
        <f t="shared" si="2"/>
        <v>4.2251661496035542E-3</v>
      </c>
    </row>
    <row r="400" spans="1:16" x14ac:dyDescent="0.35">
      <c r="A400" s="1">
        <v>21608</v>
      </c>
      <c r="B400">
        <v>6.711E-3</v>
      </c>
      <c r="C400">
        <v>2.2100000000000002E-3</v>
      </c>
      <c r="D400">
        <v>2.4427000000000001E-2</v>
      </c>
      <c r="E400">
        <v>2.0708000000000001E-2</v>
      </c>
      <c r="F400">
        <v>233347822</v>
      </c>
      <c r="G400">
        <v>500</v>
      </c>
      <c r="H400">
        <v>232805527</v>
      </c>
      <c r="I400">
        <v>499</v>
      </c>
      <c r="J400">
        <v>55.41</v>
      </c>
      <c r="K400">
        <v>-1.8000000000000001E-4</v>
      </c>
      <c r="L400">
        <v>0.19</v>
      </c>
      <c r="M400">
        <v>29</v>
      </c>
      <c r="N400">
        <f t="shared" si="0"/>
        <v>7.0581417241377675E-3</v>
      </c>
      <c r="O400">
        <f t="shared" si="1"/>
        <v>2.2454827586206871E-3</v>
      </c>
      <c r="P400">
        <f t="shared" si="2"/>
        <v>4.8126589655170804E-3</v>
      </c>
    </row>
    <row r="401" spans="1:16" x14ac:dyDescent="0.35">
      <c r="A401" s="1">
        <v>21640</v>
      </c>
      <c r="B401">
        <v>3.3519999999999999E-3</v>
      </c>
      <c r="C401">
        <v>8.2600000000000002E-4</v>
      </c>
      <c r="D401">
        <v>5.5799999999999999E-3</v>
      </c>
      <c r="E401">
        <v>2.336E-3</v>
      </c>
      <c r="F401">
        <v>233737557</v>
      </c>
      <c r="G401">
        <v>500</v>
      </c>
      <c r="H401">
        <v>233547742</v>
      </c>
      <c r="I401">
        <v>499</v>
      </c>
      <c r="J401">
        <v>55.44</v>
      </c>
      <c r="K401">
        <v>5.4100000000000003E-4</v>
      </c>
      <c r="L401">
        <v>0.22</v>
      </c>
      <c r="M401">
        <v>28.97</v>
      </c>
      <c r="N401">
        <f t="shared" si="0"/>
        <v>4.3910251984813353E-3</v>
      </c>
      <c r="O401">
        <f t="shared" si="1"/>
        <v>3.2378322402486504E-3</v>
      </c>
      <c r="P401">
        <f t="shared" si="2"/>
        <v>1.153192958232685E-3</v>
      </c>
    </row>
    <row r="402" spans="1:16" x14ac:dyDescent="0.35">
      <c r="A402" s="1">
        <v>21670</v>
      </c>
      <c r="B402">
        <v>4.0053999999999999E-2</v>
      </c>
      <c r="C402">
        <v>3.9093000000000003E-2</v>
      </c>
      <c r="D402">
        <v>2.8593E-2</v>
      </c>
      <c r="E402">
        <v>2.7248999999999999E-2</v>
      </c>
      <c r="F402">
        <v>243117559</v>
      </c>
      <c r="G402">
        <v>500</v>
      </c>
      <c r="H402">
        <v>233931382</v>
      </c>
      <c r="I402">
        <v>499</v>
      </c>
      <c r="J402">
        <v>57.59</v>
      </c>
      <c r="K402">
        <v>3.8781000000000003E-2</v>
      </c>
      <c r="L402">
        <v>0.2</v>
      </c>
      <c r="M402">
        <v>28.98</v>
      </c>
      <c r="N402">
        <f t="shared" si="0"/>
        <v>3.9695113181504427E-2</v>
      </c>
      <c r="O402">
        <f t="shared" si="1"/>
        <v>1.654244306418029E-3</v>
      </c>
      <c r="P402">
        <f t="shared" si="2"/>
        <v>3.8040868875086398E-2</v>
      </c>
    </row>
    <row r="403" spans="1:16" x14ac:dyDescent="0.35">
      <c r="A403" s="1">
        <v>21699</v>
      </c>
      <c r="B403">
        <v>2.3630999999999999E-2</v>
      </c>
      <c r="C403">
        <v>1.9043000000000001E-2</v>
      </c>
      <c r="D403">
        <v>1.2160000000000001E-2</v>
      </c>
      <c r="E403">
        <v>8.4510000000000002E-3</v>
      </c>
      <c r="F403">
        <v>247835545</v>
      </c>
      <c r="G403">
        <v>500</v>
      </c>
      <c r="H403">
        <v>243151639</v>
      </c>
      <c r="I403">
        <v>499</v>
      </c>
      <c r="J403">
        <v>58.68</v>
      </c>
      <c r="K403">
        <v>1.8926999999999999E-2</v>
      </c>
      <c r="L403">
        <v>0.22</v>
      </c>
      <c r="M403">
        <v>29.04</v>
      </c>
      <c r="N403">
        <f t="shared" si="0"/>
        <v>2.151605991735539E-2</v>
      </c>
      <c r="O403">
        <f t="shared" si="1"/>
        <v>1.2933884297527953E-4</v>
      </c>
      <c r="P403">
        <f t="shared" si="2"/>
        <v>2.1386721074380111E-2</v>
      </c>
    </row>
    <row r="404" spans="1:16" x14ac:dyDescent="0.35">
      <c r="A404" s="1">
        <v>21731</v>
      </c>
      <c r="B404">
        <v>-7.2499999999999995E-4</v>
      </c>
      <c r="C404">
        <v>-3.1960000000000001E-3</v>
      </c>
      <c r="D404">
        <v>6.9389999999999999E-3</v>
      </c>
      <c r="E404">
        <v>3.8370000000000001E-3</v>
      </c>
      <c r="F404">
        <v>247095804</v>
      </c>
      <c r="G404">
        <v>500</v>
      </c>
      <c r="H404">
        <v>247835545</v>
      </c>
      <c r="I404">
        <v>499</v>
      </c>
      <c r="J404">
        <v>58.47</v>
      </c>
      <c r="K404">
        <v>-3.5790000000000001E-3</v>
      </c>
      <c r="L404">
        <v>0.25</v>
      </c>
      <c r="M404">
        <v>29.11</v>
      </c>
      <c r="N404">
        <f t="shared" si="0"/>
        <v>-3.1279285468911455E-3</v>
      </c>
      <c r="O404">
        <f t="shared" si="1"/>
        <v>8.931638612152959E-5</v>
      </c>
      <c r="P404">
        <f t="shared" si="2"/>
        <v>-3.2172449330126751E-3</v>
      </c>
    </row>
    <row r="405" spans="1:16" x14ac:dyDescent="0.35">
      <c r="A405" s="1">
        <v>21762</v>
      </c>
      <c r="B405">
        <v>3.4504E-2</v>
      </c>
      <c r="C405">
        <v>3.3514000000000002E-2</v>
      </c>
      <c r="D405">
        <v>2.8022999999999999E-2</v>
      </c>
      <c r="E405">
        <v>2.6727000000000001E-2</v>
      </c>
      <c r="F405">
        <v>255413171</v>
      </c>
      <c r="G405">
        <v>500</v>
      </c>
      <c r="H405">
        <v>247114819</v>
      </c>
      <c r="I405">
        <v>499</v>
      </c>
      <c r="J405">
        <v>60.51</v>
      </c>
      <c r="K405">
        <v>3.4889999999999997E-2</v>
      </c>
      <c r="L405">
        <v>0.25</v>
      </c>
      <c r="M405">
        <v>29.15</v>
      </c>
      <c r="N405">
        <f t="shared" si="0"/>
        <v>3.3084440480274591E-2</v>
      </c>
      <c r="O405">
        <f t="shared" si="1"/>
        <v>1.1243567753000949E-3</v>
      </c>
      <c r="P405">
        <f t="shared" si="2"/>
        <v>3.1960083704974496E-2</v>
      </c>
    </row>
    <row r="406" spans="1:16" x14ac:dyDescent="0.35">
      <c r="A406" s="1">
        <v>21793</v>
      </c>
      <c r="B406">
        <v>-1.1076000000000001E-2</v>
      </c>
      <c r="C406">
        <v>-1.5179E-2</v>
      </c>
      <c r="D406">
        <v>-1.4612999999999999E-2</v>
      </c>
      <c r="E406">
        <v>-1.8193999999999998E-2</v>
      </c>
      <c r="F406">
        <v>251535770</v>
      </c>
      <c r="G406">
        <v>500</v>
      </c>
      <c r="H406">
        <v>255413171</v>
      </c>
      <c r="I406">
        <v>499</v>
      </c>
      <c r="J406">
        <v>59.6</v>
      </c>
      <c r="K406">
        <v>-1.5039E-2</v>
      </c>
      <c r="L406">
        <v>0.19</v>
      </c>
      <c r="M406">
        <v>29.18</v>
      </c>
      <c r="N406">
        <f t="shared" si="0"/>
        <v>-1.209271418779978E-2</v>
      </c>
      <c r="O406">
        <f t="shared" si="1"/>
        <v>8.6994516792326948E-4</v>
      </c>
      <c r="P406">
        <f t="shared" si="2"/>
        <v>-1.296265935572305E-2</v>
      </c>
    </row>
    <row r="407" spans="1:16" x14ac:dyDescent="0.35">
      <c r="A407" s="1">
        <v>21823</v>
      </c>
      <c r="B407">
        <v>-4.3181999999999998E-2</v>
      </c>
      <c r="C407">
        <v>-4.5586000000000002E-2</v>
      </c>
      <c r="D407">
        <v>-4.0953999999999997E-2</v>
      </c>
      <c r="E407">
        <v>-4.4783000000000003E-2</v>
      </c>
      <c r="F407">
        <v>240069254</v>
      </c>
      <c r="G407">
        <v>500</v>
      </c>
      <c r="H407">
        <v>251535770</v>
      </c>
      <c r="I407">
        <v>499</v>
      </c>
      <c r="J407">
        <v>56.88</v>
      </c>
      <c r="K407">
        <v>-4.5637999999999998E-2</v>
      </c>
      <c r="L407">
        <v>0.31</v>
      </c>
      <c r="M407">
        <v>29.25</v>
      </c>
      <c r="N407">
        <f t="shared" si="0"/>
        <v>-4.5471820854700917E-2</v>
      </c>
      <c r="O407">
        <f t="shared" si="1"/>
        <v>6.9941880341883866E-4</v>
      </c>
      <c r="P407">
        <f t="shared" si="2"/>
        <v>-4.6171239658119756E-2</v>
      </c>
    </row>
    <row r="408" spans="1:16" x14ac:dyDescent="0.35">
      <c r="A408" s="1">
        <v>21853</v>
      </c>
      <c r="B408">
        <v>1.2574E-2</v>
      </c>
      <c r="C408">
        <v>1.1436E-2</v>
      </c>
      <c r="D408">
        <v>1.3011E-2</v>
      </c>
      <c r="E408">
        <v>1.1226E-2</v>
      </c>
      <c r="F408">
        <v>242842114</v>
      </c>
      <c r="G408">
        <v>500</v>
      </c>
      <c r="H408">
        <v>240069254</v>
      </c>
      <c r="I408">
        <v>499</v>
      </c>
      <c r="J408">
        <v>57.52</v>
      </c>
      <c r="K408">
        <v>1.1252E-2</v>
      </c>
      <c r="L408">
        <v>0.3</v>
      </c>
      <c r="M408">
        <v>29.35</v>
      </c>
      <c r="N408">
        <f t="shared" si="0"/>
        <v>9.1240034071551346E-3</v>
      </c>
      <c r="O408">
        <f t="shared" si="1"/>
        <v>-4.1737649063045001E-4</v>
      </c>
      <c r="P408">
        <f t="shared" si="2"/>
        <v>9.5413798977855846E-3</v>
      </c>
    </row>
    <row r="409" spans="1:16" x14ac:dyDescent="0.35">
      <c r="A409" s="1">
        <v>21884</v>
      </c>
      <c r="B409">
        <v>1.8485999999999999E-2</v>
      </c>
      <c r="C409">
        <v>1.3114000000000001E-2</v>
      </c>
      <c r="D409">
        <v>1.5520000000000001E-2</v>
      </c>
      <c r="E409">
        <v>1.0947E-2</v>
      </c>
      <c r="F409">
        <v>246037920</v>
      </c>
      <c r="G409">
        <v>500</v>
      </c>
      <c r="H409">
        <v>242842114</v>
      </c>
      <c r="I409">
        <v>499</v>
      </c>
      <c r="J409">
        <v>58.28</v>
      </c>
      <c r="K409">
        <v>1.3213000000000001E-2</v>
      </c>
      <c r="L409">
        <v>0.26</v>
      </c>
      <c r="M409">
        <v>29.35</v>
      </c>
      <c r="N409">
        <f t="shared" si="0"/>
        <v>1.8486000000000002E-2</v>
      </c>
      <c r="O409">
        <f t="shared" si="1"/>
        <v>2.5999999999999357E-3</v>
      </c>
      <c r="P409">
        <f t="shared" si="2"/>
        <v>1.5886000000000067E-2</v>
      </c>
    </row>
    <row r="410" spans="1:16" x14ac:dyDescent="0.35">
      <c r="A410" s="1">
        <v>21915</v>
      </c>
      <c r="B410">
        <v>2.9627000000000001E-2</v>
      </c>
      <c r="C410">
        <v>2.6911000000000001E-2</v>
      </c>
      <c r="D410">
        <v>1.7537000000000001E-2</v>
      </c>
      <c r="E410">
        <v>1.3658E-2</v>
      </c>
      <c r="F410">
        <v>256068996</v>
      </c>
      <c r="G410">
        <v>500</v>
      </c>
      <c r="H410">
        <v>245912974</v>
      </c>
      <c r="I410">
        <v>499</v>
      </c>
      <c r="J410">
        <v>59.89</v>
      </c>
      <c r="K410">
        <v>2.7625E-2</v>
      </c>
      <c r="L410">
        <v>0.34</v>
      </c>
      <c r="M410">
        <v>29.41</v>
      </c>
      <c r="N410">
        <f t="shared" si="0"/>
        <v>2.7526434886093298E-2</v>
      </c>
      <c r="O410">
        <f t="shared" si="1"/>
        <v>1.3529411764707788E-3</v>
      </c>
      <c r="P410">
        <f t="shared" si="2"/>
        <v>2.617349370962252E-2</v>
      </c>
    </row>
    <row r="411" spans="1:16" x14ac:dyDescent="0.35">
      <c r="A411" s="1">
        <v>21944</v>
      </c>
      <c r="B411">
        <v>-6.9932999999999995E-2</v>
      </c>
      <c r="C411">
        <v>-7.0834999999999995E-2</v>
      </c>
      <c r="D411">
        <v>-4.9086999999999999E-2</v>
      </c>
      <c r="E411">
        <v>-5.0335999999999999E-2</v>
      </c>
      <c r="F411">
        <v>237925278</v>
      </c>
      <c r="G411">
        <v>500</v>
      </c>
      <c r="H411">
        <v>256068996</v>
      </c>
      <c r="I411">
        <v>499</v>
      </c>
      <c r="J411">
        <v>55.61</v>
      </c>
      <c r="K411">
        <v>-7.1464E-2</v>
      </c>
      <c r="L411">
        <v>0.33</v>
      </c>
      <c r="M411">
        <v>29.37</v>
      </c>
      <c r="N411">
        <f t="shared" ref="N411:N474" si="3">(1+B411)*M410/M411-1</f>
        <v>-6.8666310180456325E-2</v>
      </c>
      <c r="O411">
        <f t="shared" ref="O411:O474" si="4">(1+L411/100)*M410/M411-1</f>
        <v>4.6664283282260577E-3</v>
      </c>
      <c r="P411">
        <f t="shared" ref="P411:P474" si="5">N411-O411</f>
        <v>-7.3332738508682382E-2</v>
      </c>
    </row>
    <row r="412" spans="1:16" x14ac:dyDescent="0.35">
      <c r="A412" s="1">
        <v>21975</v>
      </c>
      <c r="B412">
        <v>1.3922E-2</v>
      </c>
      <c r="C412">
        <v>9.129E-3</v>
      </c>
      <c r="D412">
        <v>7.4900000000000001E-3</v>
      </c>
      <c r="E412">
        <v>3.3400000000000001E-3</v>
      </c>
      <c r="F412">
        <v>240269700</v>
      </c>
      <c r="G412">
        <v>500</v>
      </c>
      <c r="H412">
        <v>237979352</v>
      </c>
      <c r="I412">
        <v>499</v>
      </c>
      <c r="J412">
        <v>56.12</v>
      </c>
      <c r="K412">
        <v>9.1710000000000003E-3</v>
      </c>
      <c r="L412">
        <v>0.28999999999999998</v>
      </c>
      <c r="M412">
        <v>29.41</v>
      </c>
      <c r="N412">
        <f t="shared" si="3"/>
        <v>1.254298333900028E-2</v>
      </c>
      <c r="O412">
        <f t="shared" si="4"/>
        <v>1.5359741584495268E-3</v>
      </c>
      <c r="P412">
        <f t="shared" si="5"/>
        <v>1.1007009180550753E-2</v>
      </c>
    </row>
    <row r="413" spans="1:16" x14ac:dyDescent="0.35">
      <c r="A413" s="1">
        <v>22006</v>
      </c>
      <c r="B413">
        <v>-1.2566000000000001E-2</v>
      </c>
      <c r="C413">
        <v>-1.5238E-2</v>
      </c>
      <c r="D413">
        <v>-2.5784000000000001E-2</v>
      </c>
      <c r="E413">
        <v>-2.9590000000000002E-2</v>
      </c>
      <c r="F413">
        <v>236713548</v>
      </c>
      <c r="G413">
        <v>500</v>
      </c>
      <c r="H413">
        <v>240376336</v>
      </c>
      <c r="I413">
        <v>499</v>
      </c>
      <c r="J413">
        <v>55.34</v>
      </c>
      <c r="K413">
        <v>-1.3899E-2</v>
      </c>
      <c r="L413">
        <v>0.35</v>
      </c>
      <c r="M413">
        <v>29.41</v>
      </c>
      <c r="N413">
        <f t="shared" si="3"/>
        <v>-1.2565999999999966E-2</v>
      </c>
      <c r="O413">
        <f t="shared" si="4"/>
        <v>3.5000000000000586E-3</v>
      </c>
      <c r="P413">
        <f t="shared" si="5"/>
        <v>-1.6066000000000025E-2</v>
      </c>
    </row>
    <row r="414" spans="1:16" x14ac:dyDescent="0.35">
      <c r="A414" s="1">
        <v>22035</v>
      </c>
      <c r="B414">
        <v>-1.6112999999999999E-2</v>
      </c>
      <c r="C414">
        <v>-1.7097000000000001E-2</v>
      </c>
      <c r="D414">
        <v>-1.5901999999999999E-2</v>
      </c>
      <c r="E414">
        <v>-1.7288999999999999E-2</v>
      </c>
      <c r="F414">
        <v>232699355</v>
      </c>
      <c r="G414">
        <v>500</v>
      </c>
      <c r="H414">
        <v>236732944</v>
      </c>
      <c r="I414">
        <v>499</v>
      </c>
      <c r="J414">
        <v>54.37</v>
      </c>
      <c r="K414">
        <v>-1.7527999999999998E-2</v>
      </c>
      <c r="L414">
        <v>0.19</v>
      </c>
      <c r="M414">
        <v>29.54</v>
      </c>
      <c r="N414">
        <f t="shared" si="3"/>
        <v>-2.0442902166553756E-2</v>
      </c>
      <c r="O414">
        <f t="shared" si="4"/>
        <v>-2.5091740013540864E-3</v>
      </c>
      <c r="P414">
        <f t="shared" si="5"/>
        <v>-1.7933728165199669E-2</v>
      </c>
    </row>
    <row r="415" spans="1:16" x14ac:dyDescent="0.35">
      <c r="A415" s="1">
        <v>22067</v>
      </c>
      <c r="B415">
        <v>3.3513000000000001E-2</v>
      </c>
      <c r="C415">
        <v>2.8312E-2</v>
      </c>
      <c r="D415">
        <v>2.5842E-2</v>
      </c>
      <c r="E415">
        <v>2.0906999999999999E-2</v>
      </c>
      <c r="F415">
        <v>239287611</v>
      </c>
      <c r="G415">
        <v>500</v>
      </c>
      <c r="H415">
        <v>232699355</v>
      </c>
      <c r="I415">
        <v>499</v>
      </c>
      <c r="J415">
        <v>55.83</v>
      </c>
      <c r="K415">
        <v>2.6852999999999998E-2</v>
      </c>
      <c r="L415">
        <v>0.27</v>
      </c>
      <c r="M415">
        <v>29.57</v>
      </c>
      <c r="N415">
        <f t="shared" si="3"/>
        <v>3.2464457896516752E-2</v>
      </c>
      <c r="O415">
        <f t="shared" si="4"/>
        <v>1.6827189719308411E-3</v>
      </c>
      <c r="P415">
        <f t="shared" si="5"/>
        <v>3.0781738924585911E-2</v>
      </c>
    </row>
    <row r="416" spans="1:16" x14ac:dyDescent="0.35">
      <c r="A416" s="1">
        <v>22097</v>
      </c>
      <c r="B416">
        <v>2.1801999999999998E-2</v>
      </c>
      <c r="C416">
        <v>1.9133000000000001E-2</v>
      </c>
      <c r="D416">
        <v>2.0119000000000001E-2</v>
      </c>
      <c r="E416">
        <v>1.6784E-2</v>
      </c>
      <c r="F416">
        <v>243810156</v>
      </c>
      <c r="G416">
        <v>500</v>
      </c>
      <c r="H416">
        <v>239232889</v>
      </c>
      <c r="I416">
        <v>498</v>
      </c>
      <c r="J416">
        <v>56.92</v>
      </c>
      <c r="K416">
        <v>1.9524E-2</v>
      </c>
      <c r="L416">
        <v>0.24</v>
      </c>
      <c r="M416">
        <v>29.61</v>
      </c>
      <c r="N416">
        <f t="shared" si="3"/>
        <v>2.0421652819993419E-2</v>
      </c>
      <c r="O416">
        <f t="shared" si="4"/>
        <v>1.0458628841607531E-3</v>
      </c>
      <c r="P416">
        <f t="shared" si="5"/>
        <v>1.9375789935832666E-2</v>
      </c>
    </row>
    <row r="417" spans="1:16" x14ac:dyDescent="0.35">
      <c r="A417" s="1">
        <v>22126</v>
      </c>
      <c r="B417">
        <v>-2.2948E-2</v>
      </c>
      <c r="C417">
        <v>-2.3813000000000001E-2</v>
      </c>
      <c r="D417">
        <v>-1.8612E-2</v>
      </c>
      <c r="E417">
        <v>-1.9928000000000001E-2</v>
      </c>
      <c r="F417">
        <v>238290809</v>
      </c>
      <c r="G417">
        <v>500</v>
      </c>
      <c r="H417">
        <v>243806117</v>
      </c>
      <c r="I417">
        <v>498</v>
      </c>
      <c r="J417">
        <v>55.51</v>
      </c>
      <c r="K417">
        <v>-2.4771999999999999E-2</v>
      </c>
      <c r="L417">
        <v>0.13</v>
      </c>
      <c r="M417">
        <v>29.55</v>
      </c>
      <c r="N417">
        <f t="shared" si="3"/>
        <v>-2.0964138071066007E-2</v>
      </c>
      <c r="O417">
        <f t="shared" si="4"/>
        <v>3.3330964467006563E-3</v>
      </c>
      <c r="P417">
        <f t="shared" si="5"/>
        <v>-2.4297234517766664E-2</v>
      </c>
    </row>
    <row r="418" spans="1:16" x14ac:dyDescent="0.35">
      <c r="A418" s="1">
        <v>22159</v>
      </c>
      <c r="B418">
        <v>3.1467000000000002E-2</v>
      </c>
      <c r="C418">
        <v>2.6197000000000002E-2</v>
      </c>
      <c r="D418">
        <v>3.4033000000000001E-2</v>
      </c>
      <c r="E418">
        <v>2.8714E-2</v>
      </c>
      <c r="F418">
        <v>244168450</v>
      </c>
      <c r="G418">
        <v>500</v>
      </c>
      <c r="H418">
        <v>237935302</v>
      </c>
      <c r="I418">
        <v>498</v>
      </c>
      <c r="J418">
        <v>56.96</v>
      </c>
      <c r="K418">
        <v>2.6120999999999998E-2</v>
      </c>
      <c r="L418">
        <v>0.17</v>
      </c>
      <c r="M418">
        <v>29.61</v>
      </c>
      <c r="N418">
        <f t="shared" si="3"/>
        <v>2.9376894630192441E-2</v>
      </c>
      <c r="O418">
        <f t="shared" si="4"/>
        <v>-3.2978723404253341E-4</v>
      </c>
      <c r="P418">
        <f t="shared" si="5"/>
        <v>2.9706681864234974E-2</v>
      </c>
    </row>
    <row r="419" spans="1:16" x14ac:dyDescent="0.35">
      <c r="A419" s="1">
        <v>22189</v>
      </c>
      <c r="B419">
        <v>-5.8713000000000001E-2</v>
      </c>
      <c r="C419">
        <v>-6.0920000000000002E-2</v>
      </c>
      <c r="D419">
        <v>-6.0560000000000003E-2</v>
      </c>
      <c r="E419">
        <v>-6.3382999999999995E-2</v>
      </c>
      <c r="F419">
        <v>229638856</v>
      </c>
      <c r="G419">
        <v>500</v>
      </c>
      <c r="H419">
        <v>244168450</v>
      </c>
      <c r="I419">
        <v>498</v>
      </c>
      <c r="J419">
        <v>53.52</v>
      </c>
      <c r="K419">
        <v>-6.0393000000000002E-2</v>
      </c>
      <c r="L419">
        <v>0.16</v>
      </c>
      <c r="M419">
        <v>29.61</v>
      </c>
      <c r="N419">
        <f t="shared" si="3"/>
        <v>-5.8713000000000126E-2</v>
      </c>
      <c r="O419">
        <f t="shared" si="4"/>
        <v>1.6000000000000458E-3</v>
      </c>
      <c r="P419">
        <f t="shared" si="5"/>
        <v>-6.0313000000000172E-2</v>
      </c>
    </row>
    <row r="420" spans="1:16" x14ac:dyDescent="0.35">
      <c r="A420" s="1">
        <v>22220</v>
      </c>
      <c r="B420">
        <v>-1.0790000000000001E-3</v>
      </c>
      <c r="C420">
        <v>-2.4069999999999999E-3</v>
      </c>
      <c r="D420">
        <v>-1.149E-2</v>
      </c>
      <c r="E420">
        <v>-1.3091E-2</v>
      </c>
      <c r="F420">
        <v>229776734</v>
      </c>
      <c r="G420">
        <v>500</v>
      </c>
      <c r="H420">
        <v>230331128</v>
      </c>
      <c r="I420">
        <v>499</v>
      </c>
      <c r="J420">
        <v>53.39</v>
      </c>
      <c r="K420">
        <v>-2.4290000000000002E-3</v>
      </c>
      <c r="L420">
        <v>0.22</v>
      </c>
      <c r="M420">
        <v>29.75</v>
      </c>
      <c r="N420">
        <f t="shared" si="3"/>
        <v>-5.7798047058824631E-3</v>
      </c>
      <c r="O420">
        <f t="shared" si="4"/>
        <v>-2.516235294117708E-3</v>
      </c>
      <c r="P420">
        <f t="shared" si="5"/>
        <v>-3.2635694117647551E-3</v>
      </c>
    </row>
    <row r="421" spans="1:16" x14ac:dyDescent="0.35">
      <c r="A421" s="1">
        <v>22250</v>
      </c>
      <c r="B421">
        <v>4.6080999999999997E-2</v>
      </c>
      <c r="C421">
        <v>3.9976999999999999E-2</v>
      </c>
      <c r="D421">
        <v>4.7319E-2</v>
      </c>
      <c r="E421">
        <v>4.1373E-2</v>
      </c>
      <c r="F421">
        <v>238962494</v>
      </c>
      <c r="G421">
        <v>500</v>
      </c>
      <c r="H421">
        <v>229776734</v>
      </c>
      <c r="I421">
        <v>499</v>
      </c>
      <c r="J421">
        <v>55.54</v>
      </c>
      <c r="K421">
        <v>4.027E-2</v>
      </c>
      <c r="L421">
        <v>0.13</v>
      </c>
      <c r="M421">
        <v>29.78</v>
      </c>
      <c r="N421">
        <f t="shared" si="3"/>
        <v>4.5027191067830818E-2</v>
      </c>
      <c r="O421">
        <f t="shared" si="4"/>
        <v>2.9130288784418035E-4</v>
      </c>
      <c r="P421">
        <f t="shared" si="5"/>
        <v>4.4735888179986638E-2</v>
      </c>
    </row>
    <row r="422" spans="1:16" x14ac:dyDescent="0.35">
      <c r="A422" s="1">
        <v>22280</v>
      </c>
      <c r="B422">
        <v>4.8839E-2</v>
      </c>
      <c r="C422">
        <v>4.6597E-2</v>
      </c>
      <c r="D422">
        <v>3.9061999999999999E-2</v>
      </c>
      <c r="E422">
        <v>3.6143000000000002E-2</v>
      </c>
      <c r="F422">
        <v>253558721</v>
      </c>
      <c r="G422">
        <v>500</v>
      </c>
      <c r="H422">
        <v>239568204</v>
      </c>
      <c r="I422">
        <v>498</v>
      </c>
      <c r="J422">
        <v>58.11</v>
      </c>
      <c r="K422">
        <v>4.6273000000000002E-2</v>
      </c>
      <c r="L422">
        <v>0.16</v>
      </c>
      <c r="M422">
        <v>29.81</v>
      </c>
      <c r="N422">
        <f t="shared" si="3"/>
        <v>4.7783476014760407E-2</v>
      </c>
      <c r="O422">
        <f t="shared" si="4"/>
        <v>5.9201610197945342E-4</v>
      </c>
      <c r="P422">
        <f t="shared" si="5"/>
        <v>4.7191459912780953E-2</v>
      </c>
    </row>
    <row r="423" spans="1:16" x14ac:dyDescent="0.35">
      <c r="A423" s="1">
        <v>22312</v>
      </c>
      <c r="B423">
        <v>6.4320000000000002E-2</v>
      </c>
      <c r="C423">
        <v>6.3181000000000001E-2</v>
      </c>
      <c r="D423">
        <v>7.8329999999999997E-2</v>
      </c>
      <c r="E423">
        <v>7.6854000000000006E-2</v>
      </c>
      <c r="F423">
        <v>270248746</v>
      </c>
      <c r="G423">
        <v>500</v>
      </c>
      <c r="H423">
        <v>253991261</v>
      </c>
      <c r="I423">
        <v>498</v>
      </c>
      <c r="J423">
        <v>61.78</v>
      </c>
      <c r="K423">
        <v>6.3156000000000004E-2</v>
      </c>
      <c r="L423">
        <v>0.19</v>
      </c>
      <c r="M423">
        <v>29.84</v>
      </c>
      <c r="N423">
        <f t="shared" si="3"/>
        <v>6.3249973190348419E-2</v>
      </c>
      <c r="O423">
        <f t="shared" si="4"/>
        <v>8.9272788203742515E-4</v>
      </c>
      <c r="P423">
        <f t="shared" si="5"/>
        <v>6.2357245308310993E-2</v>
      </c>
    </row>
    <row r="424" spans="1:16" x14ac:dyDescent="0.35">
      <c r="A424" s="1">
        <v>22340</v>
      </c>
      <c r="B424">
        <v>3.2837999999999999E-2</v>
      </c>
      <c r="C424">
        <v>2.8611999999999999E-2</v>
      </c>
      <c r="D424">
        <v>5.6078000000000003E-2</v>
      </c>
      <c r="E424">
        <v>5.1917999999999999E-2</v>
      </c>
      <c r="F424">
        <v>278269968</v>
      </c>
      <c r="G424">
        <v>500</v>
      </c>
      <c r="H424">
        <v>270529494</v>
      </c>
      <c r="I424">
        <v>499</v>
      </c>
      <c r="J424">
        <v>63.44</v>
      </c>
      <c r="K424">
        <v>2.6870000000000002E-2</v>
      </c>
      <c r="L424">
        <v>0.14000000000000001</v>
      </c>
      <c r="M424">
        <v>29.84</v>
      </c>
      <c r="N424">
        <f t="shared" si="3"/>
        <v>3.2837999999999923E-2</v>
      </c>
      <c r="O424">
        <f t="shared" si="4"/>
        <v>1.4000000000000679E-3</v>
      </c>
      <c r="P424">
        <f t="shared" si="5"/>
        <v>3.1437999999999855E-2</v>
      </c>
    </row>
    <row r="425" spans="1:16" x14ac:dyDescent="0.35">
      <c r="A425" s="1">
        <v>22370</v>
      </c>
      <c r="B425">
        <v>2.9345E-2</v>
      </c>
      <c r="C425">
        <v>2.7050999999999999E-2</v>
      </c>
      <c r="D425">
        <v>3.5927000000000001E-2</v>
      </c>
      <c r="E425">
        <v>3.2842999999999997E-2</v>
      </c>
      <c r="F425">
        <v>286809920</v>
      </c>
      <c r="G425">
        <v>500</v>
      </c>
      <c r="H425">
        <v>278269968</v>
      </c>
      <c r="I425">
        <v>499</v>
      </c>
      <c r="J425">
        <v>65.06</v>
      </c>
      <c r="K425">
        <v>2.5536E-2</v>
      </c>
      <c r="L425">
        <v>0.2</v>
      </c>
      <c r="M425">
        <v>29.84</v>
      </c>
      <c r="N425">
        <f t="shared" si="3"/>
        <v>2.9344999999999954E-2</v>
      </c>
      <c r="O425">
        <f t="shared" si="4"/>
        <v>2.0000000000000018E-3</v>
      </c>
      <c r="P425">
        <f t="shared" si="5"/>
        <v>2.7344999999999953E-2</v>
      </c>
    </row>
    <row r="426" spans="1:16" x14ac:dyDescent="0.35">
      <c r="A426" s="1">
        <v>22399</v>
      </c>
      <c r="B426">
        <v>4.5370000000000002E-3</v>
      </c>
      <c r="C426">
        <v>3.8430000000000001E-3</v>
      </c>
      <c r="D426">
        <v>6.8400000000000004E-4</v>
      </c>
      <c r="E426">
        <v>-3.2400000000000001E-4</v>
      </c>
      <c r="F426">
        <v>288418242</v>
      </c>
      <c r="G426">
        <v>500</v>
      </c>
      <c r="H426">
        <v>287317349</v>
      </c>
      <c r="I426">
        <v>499</v>
      </c>
      <c r="J426">
        <v>65.31</v>
      </c>
      <c r="K426">
        <v>3.8430000000000001E-3</v>
      </c>
      <c r="L426">
        <v>0.17</v>
      </c>
      <c r="M426">
        <v>29.81</v>
      </c>
      <c r="N426">
        <f t="shared" si="3"/>
        <v>5.547939617578157E-3</v>
      </c>
      <c r="O426">
        <f t="shared" si="4"/>
        <v>2.7080845353908423E-3</v>
      </c>
      <c r="P426">
        <f t="shared" si="5"/>
        <v>2.8398550821873147E-3</v>
      </c>
    </row>
    <row r="427" spans="1:16" x14ac:dyDescent="0.35">
      <c r="A427" s="1">
        <v>22432</v>
      </c>
      <c r="B427">
        <v>2.3553000000000001E-2</v>
      </c>
      <c r="C427">
        <v>1.8924E-2</v>
      </c>
      <c r="D427">
        <v>4.3180999999999997E-2</v>
      </c>
      <c r="E427">
        <v>3.8794000000000002E-2</v>
      </c>
      <c r="F427">
        <v>293874352</v>
      </c>
      <c r="G427">
        <v>500</v>
      </c>
      <c r="H427">
        <v>288418242</v>
      </c>
      <c r="I427">
        <v>499</v>
      </c>
      <c r="J427">
        <v>66.56</v>
      </c>
      <c r="K427">
        <v>1.9139E-2</v>
      </c>
      <c r="L427">
        <v>0.18</v>
      </c>
      <c r="M427">
        <v>29.84</v>
      </c>
      <c r="N427">
        <f t="shared" si="3"/>
        <v>2.2523958780160669E-2</v>
      </c>
      <c r="O427">
        <f t="shared" si="4"/>
        <v>7.9282841823058448E-4</v>
      </c>
      <c r="P427">
        <f t="shared" si="5"/>
        <v>2.1731130361930084E-2</v>
      </c>
    </row>
    <row r="428" spans="1:16" x14ac:dyDescent="0.35">
      <c r="A428" s="1">
        <v>22462</v>
      </c>
      <c r="B428">
        <v>-2.6672999999999999E-2</v>
      </c>
      <c r="C428">
        <v>-2.8725000000000001E-2</v>
      </c>
      <c r="D428">
        <v>-3.6305999999999998E-2</v>
      </c>
      <c r="E428">
        <v>-3.8926000000000002E-2</v>
      </c>
      <c r="F428">
        <v>285135807</v>
      </c>
      <c r="G428">
        <v>500</v>
      </c>
      <c r="H428">
        <v>293505196</v>
      </c>
      <c r="I428">
        <v>495</v>
      </c>
      <c r="J428">
        <v>64.64</v>
      </c>
      <c r="K428">
        <v>-2.8846E-2</v>
      </c>
      <c r="L428">
        <v>0.2</v>
      </c>
      <c r="M428">
        <v>29.84</v>
      </c>
      <c r="N428">
        <f t="shared" si="3"/>
        <v>-2.6672999999999947E-2</v>
      </c>
      <c r="O428">
        <f t="shared" si="4"/>
        <v>2.0000000000000018E-3</v>
      </c>
      <c r="P428">
        <f t="shared" si="5"/>
        <v>-2.8672999999999949E-2</v>
      </c>
    </row>
    <row r="429" spans="1:16" x14ac:dyDescent="0.35">
      <c r="A429" s="1">
        <v>22493</v>
      </c>
      <c r="B429">
        <v>3.3794999999999999E-2</v>
      </c>
      <c r="C429">
        <v>3.3119000000000003E-2</v>
      </c>
      <c r="D429">
        <v>1.7996000000000002E-2</v>
      </c>
      <c r="E429">
        <v>1.6974E-2</v>
      </c>
      <c r="F429">
        <v>295089111</v>
      </c>
      <c r="G429">
        <v>500</v>
      </c>
      <c r="H429">
        <v>285094627</v>
      </c>
      <c r="I429">
        <v>493</v>
      </c>
      <c r="J429">
        <v>66.760000000000005</v>
      </c>
      <c r="K429">
        <v>3.2797E-2</v>
      </c>
      <c r="L429">
        <v>0.18</v>
      </c>
      <c r="M429">
        <v>29.92</v>
      </c>
      <c r="N429">
        <f t="shared" si="3"/>
        <v>3.1030842245989287E-2</v>
      </c>
      <c r="O429">
        <f t="shared" si="4"/>
        <v>-8.7860962566843614E-4</v>
      </c>
      <c r="P429">
        <f t="shared" si="5"/>
        <v>3.1909451871657724E-2</v>
      </c>
    </row>
    <row r="430" spans="1:16" x14ac:dyDescent="0.35">
      <c r="A430" s="1">
        <v>22524</v>
      </c>
      <c r="B430">
        <v>2.4729999999999999E-2</v>
      </c>
      <c r="C430">
        <v>1.9511000000000001E-2</v>
      </c>
      <c r="D430">
        <v>2.7918999999999999E-2</v>
      </c>
      <c r="E430">
        <v>2.3491000000000001E-2</v>
      </c>
      <c r="F430">
        <v>301012696</v>
      </c>
      <c r="G430">
        <v>500</v>
      </c>
      <c r="H430">
        <v>295245653</v>
      </c>
      <c r="I430">
        <v>498</v>
      </c>
      <c r="J430">
        <v>68.069999999999993</v>
      </c>
      <c r="K430">
        <v>1.9623000000000002E-2</v>
      </c>
      <c r="L430">
        <v>0.14000000000000001</v>
      </c>
      <c r="M430">
        <v>29.94</v>
      </c>
      <c r="N430">
        <f t="shared" si="3"/>
        <v>2.404547762191056E-2</v>
      </c>
      <c r="O430">
        <f t="shared" si="4"/>
        <v>7.3106212424867145E-4</v>
      </c>
      <c r="P430">
        <f t="shared" si="5"/>
        <v>2.3314415497661889E-2</v>
      </c>
    </row>
    <row r="431" spans="1:16" x14ac:dyDescent="0.35">
      <c r="A431" s="1">
        <v>22553</v>
      </c>
      <c r="B431">
        <v>-1.8674E-2</v>
      </c>
      <c r="C431">
        <v>-1.9876999999999999E-2</v>
      </c>
      <c r="D431">
        <v>-2.5485000000000001E-2</v>
      </c>
      <c r="E431">
        <v>-2.7654000000000001E-2</v>
      </c>
      <c r="F431">
        <v>294878862</v>
      </c>
      <c r="G431">
        <v>500</v>
      </c>
      <c r="H431">
        <v>301060033</v>
      </c>
      <c r="I431">
        <v>499</v>
      </c>
      <c r="J431">
        <v>66.73</v>
      </c>
      <c r="K431">
        <v>-1.9685999999999999E-2</v>
      </c>
      <c r="L431">
        <v>0.17</v>
      </c>
      <c r="M431">
        <v>29.98</v>
      </c>
      <c r="N431">
        <f t="shared" si="3"/>
        <v>-1.9983307538358863E-2</v>
      </c>
      <c r="O431">
        <f t="shared" si="4"/>
        <v>3.6350900600412572E-4</v>
      </c>
      <c r="P431">
        <f t="shared" si="5"/>
        <v>-2.0346816544362989E-2</v>
      </c>
    </row>
    <row r="432" spans="1:16" x14ac:dyDescent="0.35">
      <c r="A432" s="1">
        <v>22585</v>
      </c>
      <c r="B432">
        <v>2.8174999999999999E-2</v>
      </c>
      <c r="C432">
        <v>2.6790999999999999E-2</v>
      </c>
      <c r="D432">
        <v>2.2914E-2</v>
      </c>
      <c r="E432">
        <v>2.1595E-2</v>
      </c>
      <c r="F432">
        <v>302878718</v>
      </c>
      <c r="G432">
        <v>500</v>
      </c>
      <c r="H432">
        <v>294960419</v>
      </c>
      <c r="I432">
        <v>499</v>
      </c>
      <c r="J432">
        <v>68.62</v>
      </c>
      <c r="K432">
        <v>2.8323000000000001E-2</v>
      </c>
      <c r="L432">
        <v>0.19</v>
      </c>
      <c r="M432">
        <v>29.98</v>
      </c>
      <c r="N432">
        <f t="shared" si="3"/>
        <v>2.8175000000000061E-2</v>
      </c>
      <c r="O432">
        <f t="shared" si="4"/>
        <v>1.9000000000000128E-3</v>
      </c>
      <c r="P432">
        <f t="shared" si="5"/>
        <v>2.6275000000000048E-2</v>
      </c>
    </row>
    <row r="433" spans="1:16" x14ac:dyDescent="0.35">
      <c r="A433" s="1">
        <v>22615</v>
      </c>
      <c r="B433">
        <v>4.5226000000000002E-2</v>
      </c>
      <c r="C433">
        <v>3.9323999999999998E-2</v>
      </c>
      <c r="D433">
        <v>4.1196000000000003E-2</v>
      </c>
      <c r="E433">
        <v>3.6662E-2</v>
      </c>
      <c r="F433">
        <v>314786791</v>
      </c>
      <c r="G433">
        <v>500</v>
      </c>
      <c r="H433">
        <v>302878718</v>
      </c>
      <c r="I433">
        <v>499</v>
      </c>
      <c r="J433">
        <v>71.319999999999993</v>
      </c>
      <c r="K433">
        <v>3.9347E-2</v>
      </c>
      <c r="L433">
        <v>0.15</v>
      </c>
      <c r="M433">
        <v>29.98</v>
      </c>
      <c r="N433">
        <f t="shared" si="3"/>
        <v>4.5225999999999988E-2</v>
      </c>
      <c r="O433">
        <f t="shared" si="4"/>
        <v>1.5000000000000568E-3</v>
      </c>
      <c r="P433">
        <f t="shared" si="5"/>
        <v>4.3725999999999932E-2</v>
      </c>
    </row>
    <row r="434" spans="1:16" x14ac:dyDescent="0.35">
      <c r="A434" s="1">
        <v>22644</v>
      </c>
      <c r="B434">
        <v>4.6959999999999997E-3</v>
      </c>
      <c r="C434">
        <v>3.4650000000000002E-3</v>
      </c>
      <c r="D434">
        <v>-1.5319999999999999E-3</v>
      </c>
      <c r="E434">
        <v>-3.9240000000000004E-3</v>
      </c>
      <c r="F434">
        <v>317326998</v>
      </c>
      <c r="G434">
        <v>500</v>
      </c>
      <c r="H434">
        <v>314672982</v>
      </c>
      <c r="I434">
        <v>498</v>
      </c>
      <c r="J434">
        <v>71.55</v>
      </c>
      <c r="K434">
        <v>3.225E-3</v>
      </c>
      <c r="L434">
        <v>0.19</v>
      </c>
      <c r="M434">
        <v>30.01</v>
      </c>
      <c r="N434">
        <f t="shared" si="3"/>
        <v>3.6916387870709055E-3</v>
      </c>
      <c r="O434">
        <f t="shared" si="4"/>
        <v>8.9843385538146414E-4</v>
      </c>
      <c r="P434">
        <f t="shared" si="5"/>
        <v>2.7932049316894414E-3</v>
      </c>
    </row>
    <row r="435" spans="1:16" x14ac:dyDescent="0.35">
      <c r="A435" s="1">
        <v>22677</v>
      </c>
      <c r="B435">
        <v>-3.7356E-2</v>
      </c>
      <c r="C435">
        <v>-3.8691999999999997E-2</v>
      </c>
      <c r="D435">
        <v>-1.256E-2</v>
      </c>
      <c r="E435">
        <v>-1.3858000000000001E-2</v>
      </c>
      <c r="F435">
        <v>305005515</v>
      </c>
      <c r="G435">
        <v>500</v>
      </c>
      <c r="H435">
        <v>317279272</v>
      </c>
      <c r="I435">
        <v>499</v>
      </c>
      <c r="J435">
        <v>68.84</v>
      </c>
      <c r="K435">
        <v>-3.7876E-2</v>
      </c>
      <c r="L435">
        <v>0.24</v>
      </c>
      <c r="M435">
        <v>30.04</v>
      </c>
      <c r="N435">
        <f t="shared" si="3"/>
        <v>-3.8317362183754922E-2</v>
      </c>
      <c r="O435">
        <f t="shared" si="4"/>
        <v>1.398934753661818E-3</v>
      </c>
      <c r="P435">
        <f t="shared" si="5"/>
        <v>-3.971629693741674E-2</v>
      </c>
    </row>
    <row r="436" spans="1:16" x14ac:dyDescent="0.35">
      <c r="A436" s="1">
        <v>22705</v>
      </c>
      <c r="B436">
        <v>2.0591999999999999E-2</v>
      </c>
      <c r="C436">
        <v>1.6147000000000002E-2</v>
      </c>
      <c r="D436">
        <v>1.4284E-2</v>
      </c>
      <c r="E436">
        <v>1.0451E-2</v>
      </c>
      <c r="F436">
        <v>310141559</v>
      </c>
      <c r="G436">
        <v>500</v>
      </c>
      <c r="H436">
        <v>305213190</v>
      </c>
      <c r="I436">
        <v>499</v>
      </c>
      <c r="J436">
        <v>69.959999999999994</v>
      </c>
      <c r="K436">
        <v>1.627E-2</v>
      </c>
      <c r="L436">
        <v>0.2</v>
      </c>
      <c r="M436">
        <v>30.11</v>
      </c>
      <c r="N436">
        <f t="shared" si="3"/>
        <v>1.8219318498837511E-2</v>
      </c>
      <c r="O436">
        <f t="shared" si="4"/>
        <v>-3.2945865161082555E-4</v>
      </c>
      <c r="P436">
        <f t="shared" si="5"/>
        <v>1.8548777150448337E-2</v>
      </c>
    </row>
    <row r="437" spans="1:16" x14ac:dyDescent="0.35">
      <c r="A437" s="1">
        <v>22735</v>
      </c>
      <c r="B437">
        <v>-3.8419999999999999E-3</v>
      </c>
      <c r="C437">
        <v>-5.1370000000000001E-3</v>
      </c>
      <c r="D437">
        <v>-8.3350000000000004E-3</v>
      </c>
      <c r="E437">
        <v>-1.0767000000000001E-2</v>
      </c>
      <c r="F437">
        <v>308573699</v>
      </c>
      <c r="G437">
        <v>500</v>
      </c>
      <c r="H437">
        <v>310141559</v>
      </c>
      <c r="I437">
        <v>499</v>
      </c>
      <c r="J437">
        <v>69.55</v>
      </c>
      <c r="K437">
        <v>-5.8599999999999998E-3</v>
      </c>
      <c r="L437">
        <v>0.2</v>
      </c>
      <c r="M437">
        <v>30.17</v>
      </c>
      <c r="N437">
        <f t="shared" si="3"/>
        <v>-5.8230898243288864E-3</v>
      </c>
      <c r="O437">
        <f t="shared" si="4"/>
        <v>7.2920119322805732E-6</v>
      </c>
      <c r="P437">
        <f t="shared" si="5"/>
        <v>-5.830381836261167E-3</v>
      </c>
    </row>
    <row r="438" spans="1:16" x14ac:dyDescent="0.35">
      <c r="A438" s="1">
        <v>22766</v>
      </c>
      <c r="B438">
        <v>-6.1742999999999999E-2</v>
      </c>
      <c r="C438">
        <v>-6.2442999999999999E-2</v>
      </c>
      <c r="D438">
        <v>-6.7392999999999995E-2</v>
      </c>
      <c r="E438">
        <v>-6.8373000000000003E-2</v>
      </c>
      <c r="F438">
        <v>289255920</v>
      </c>
      <c r="G438">
        <v>500</v>
      </c>
      <c r="H438">
        <v>308532642</v>
      </c>
      <c r="I438">
        <v>499</v>
      </c>
      <c r="J438">
        <v>65.239999999999995</v>
      </c>
      <c r="K438">
        <v>-6.1969999999999997E-2</v>
      </c>
      <c r="L438">
        <v>0.22</v>
      </c>
      <c r="M438">
        <v>30.21</v>
      </c>
      <c r="N438">
        <f t="shared" si="3"/>
        <v>-6.2985313141343924E-2</v>
      </c>
      <c r="O438">
        <f t="shared" si="4"/>
        <v>8.7302217808682414E-4</v>
      </c>
      <c r="P438">
        <f t="shared" si="5"/>
        <v>-6.3858335319430748E-2</v>
      </c>
    </row>
    <row r="439" spans="1:16" x14ac:dyDescent="0.35">
      <c r="A439" s="1">
        <v>22797</v>
      </c>
      <c r="B439">
        <v>-7.9847000000000001E-2</v>
      </c>
      <c r="C439">
        <v>-8.5499000000000006E-2</v>
      </c>
      <c r="D439">
        <v>-8.9426000000000005E-2</v>
      </c>
      <c r="E439">
        <v>-9.3901999999999999E-2</v>
      </c>
      <c r="F439">
        <v>264607353</v>
      </c>
      <c r="G439">
        <v>500</v>
      </c>
      <c r="H439">
        <v>289255920</v>
      </c>
      <c r="I439">
        <v>499</v>
      </c>
      <c r="J439">
        <v>59.63</v>
      </c>
      <c r="K439">
        <v>-8.5989999999999997E-2</v>
      </c>
      <c r="L439">
        <v>0.24</v>
      </c>
      <c r="M439">
        <v>30.24</v>
      </c>
      <c r="N439">
        <f t="shared" si="3"/>
        <v>-8.0759850198412697E-2</v>
      </c>
      <c r="O439">
        <f t="shared" si="4"/>
        <v>1.4055555555556598E-3</v>
      </c>
      <c r="P439">
        <f t="shared" si="5"/>
        <v>-8.2165405753968357E-2</v>
      </c>
    </row>
    <row r="440" spans="1:16" x14ac:dyDescent="0.35">
      <c r="A440" s="1">
        <v>22826</v>
      </c>
      <c r="B440">
        <v>-8.0669000000000005E-2</v>
      </c>
      <c r="C440">
        <v>-8.2222000000000003E-2</v>
      </c>
      <c r="D440">
        <v>-8.1228999999999996E-2</v>
      </c>
      <c r="E440">
        <v>-8.4085999999999994E-2</v>
      </c>
      <c r="F440">
        <v>241772462</v>
      </c>
      <c r="G440">
        <v>500</v>
      </c>
      <c r="H440">
        <v>264607353</v>
      </c>
      <c r="I440">
        <v>500</v>
      </c>
      <c r="J440">
        <v>54.75</v>
      </c>
      <c r="K440">
        <v>-8.1837999999999994E-2</v>
      </c>
      <c r="L440">
        <v>0.2</v>
      </c>
      <c r="M440">
        <v>30.21</v>
      </c>
      <c r="N440">
        <f t="shared" si="3"/>
        <v>-7.9756059582919536E-2</v>
      </c>
      <c r="O440">
        <f t="shared" si="4"/>
        <v>2.9950347567029301E-3</v>
      </c>
      <c r="P440">
        <f t="shared" si="5"/>
        <v>-8.2751094339622466E-2</v>
      </c>
    </row>
    <row r="441" spans="1:16" x14ac:dyDescent="0.35">
      <c r="A441" s="1">
        <v>22858</v>
      </c>
      <c r="B441">
        <v>6.5202999999999997E-2</v>
      </c>
      <c r="C441">
        <v>6.3968999999999998E-2</v>
      </c>
      <c r="D441">
        <v>5.7917000000000003E-2</v>
      </c>
      <c r="E441">
        <v>5.6460999999999997E-2</v>
      </c>
      <c r="F441">
        <v>257692032</v>
      </c>
      <c r="G441">
        <v>500</v>
      </c>
      <c r="H441">
        <v>241772462</v>
      </c>
      <c r="I441">
        <v>500</v>
      </c>
      <c r="J441">
        <v>58.23</v>
      </c>
      <c r="K441">
        <v>6.3561999999999994E-2</v>
      </c>
      <c r="L441">
        <v>0.27</v>
      </c>
      <c r="M441">
        <v>30.22</v>
      </c>
      <c r="N441">
        <f t="shared" si="3"/>
        <v>6.4850517207147629E-2</v>
      </c>
      <c r="O441">
        <f t="shared" si="4"/>
        <v>2.3681998676372551E-3</v>
      </c>
      <c r="P441">
        <f t="shared" si="5"/>
        <v>6.2482317339510374E-2</v>
      </c>
    </row>
    <row r="442" spans="1:16" x14ac:dyDescent="0.35">
      <c r="A442" s="1">
        <v>22889</v>
      </c>
      <c r="B442">
        <v>2.1669000000000001E-2</v>
      </c>
      <c r="C442">
        <v>1.5803000000000001E-2</v>
      </c>
      <c r="D442">
        <v>2.1885999999999999E-2</v>
      </c>
      <c r="E442">
        <v>1.704E-2</v>
      </c>
      <c r="F442">
        <v>261764246</v>
      </c>
      <c r="G442">
        <v>500</v>
      </c>
      <c r="H442">
        <v>257692032</v>
      </c>
      <c r="I442">
        <v>500</v>
      </c>
      <c r="J442">
        <v>59.12</v>
      </c>
      <c r="K442">
        <v>1.5284000000000001E-2</v>
      </c>
      <c r="L442">
        <v>0.23</v>
      </c>
      <c r="M442">
        <v>30.28</v>
      </c>
      <c r="N442">
        <f t="shared" si="3"/>
        <v>1.9644556803170232E-2</v>
      </c>
      <c r="O442">
        <f t="shared" si="4"/>
        <v>3.1393659180967148E-4</v>
      </c>
      <c r="P442">
        <f t="shared" si="5"/>
        <v>1.9330620211360561E-2</v>
      </c>
    </row>
    <row r="443" spans="1:16" x14ac:dyDescent="0.35">
      <c r="A443" s="1">
        <v>22917</v>
      </c>
      <c r="B443">
        <v>-4.8815999999999998E-2</v>
      </c>
      <c r="C443">
        <v>-5.0258999999999998E-2</v>
      </c>
      <c r="D443">
        <v>-5.8491000000000001E-2</v>
      </c>
      <c r="E443">
        <v>-6.1187999999999999E-2</v>
      </c>
      <c r="F443">
        <v>248485009</v>
      </c>
      <c r="G443">
        <v>500</v>
      </c>
      <c r="H443">
        <v>261634423</v>
      </c>
      <c r="I443">
        <v>500</v>
      </c>
      <c r="J443">
        <v>56.27</v>
      </c>
      <c r="K443">
        <v>-4.8207E-2</v>
      </c>
      <c r="L443">
        <v>0.21</v>
      </c>
      <c r="M443">
        <v>30.42</v>
      </c>
      <c r="N443">
        <f t="shared" si="3"/>
        <v>-5.3193572649572585E-2</v>
      </c>
      <c r="O443">
        <f t="shared" si="4"/>
        <v>-2.5119000657463086E-3</v>
      </c>
      <c r="P443">
        <f t="shared" si="5"/>
        <v>-5.0681672583826276E-2</v>
      </c>
    </row>
    <row r="444" spans="1:16" x14ac:dyDescent="0.35">
      <c r="A444" s="1">
        <v>22950</v>
      </c>
      <c r="B444">
        <v>8.3129999999999992E-3</v>
      </c>
      <c r="C444">
        <v>6.4050000000000001E-3</v>
      </c>
      <c r="D444">
        <v>-8.5159999999999993E-3</v>
      </c>
      <c r="E444">
        <v>-1.0463999999999999E-2</v>
      </c>
      <c r="F444">
        <v>247015623</v>
      </c>
      <c r="G444">
        <v>500</v>
      </c>
      <c r="H444">
        <v>245575079</v>
      </c>
      <c r="I444">
        <v>500</v>
      </c>
      <c r="J444">
        <v>56.52</v>
      </c>
      <c r="K444">
        <v>4.4429999999999999E-3</v>
      </c>
      <c r="L444">
        <v>0.25</v>
      </c>
      <c r="M444">
        <v>30.38</v>
      </c>
      <c r="N444">
        <f t="shared" si="3"/>
        <v>9.6406010533247599E-3</v>
      </c>
      <c r="O444">
        <f t="shared" si="4"/>
        <v>3.8199473337723333E-3</v>
      </c>
      <c r="P444">
        <f t="shared" si="5"/>
        <v>5.8206537195524266E-3</v>
      </c>
    </row>
    <row r="445" spans="1:16" x14ac:dyDescent="0.35">
      <c r="A445" s="1">
        <v>22980</v>
      </c>
      <c r="B445">
        <v>0.108268</v>
      </c>
      <c r="C445">
        <v>0.10052800000000001</v>
      </c>
      <c r="D445">
        <v>0.13283900000000001</v>
      </c>
      <c r="E445">
        <v>0.127246</v>
      </c>
      <c r="F445">
        <v>271847651</v>
      </c>
      <c r="G445">
        <v>500</v>
      </c>
      <c r="H445">
        <v>247015623</v>
      </c>
      <c r="I445">
        <v>500</v>
      </c>
      <c r="J445">
        <v>62.26</v>
      </c>
      <c r="K445">
        <v>0.10155699999999999</v>
      </c>
      <c r="L445">
        <v>0.2</v>
      </c>
      <c r="M445">
        <v>30.38</v>
      </c>
      <c r="N445">
        <f t="shared" si="3"/>
        <v>0.10826800000000003</v>
      </c>
      <c r="O445">
        <f t="shared" si="4"/>
        <v>2.0000000000000018E-3</v>
      </c>
      <c r="P445">
        <f t="shared" si="5"/>
        <v>0.10626800000000003</v>
      </c>
    </row>
    <row r="446" spans="1:16" x14ac:dyDescent="0.35">
      <c r="A446" s="1">
        <v>23011</v>
      </c>
      <c r="B446">
        <v>1.5533999999999999E-2</v>
      </c>
      <c r="C446">
        <v>1.404E-2</v>
      </c>
      <c r="D446">
        <v>-3.741E-3</v>
      </c>
      <c r="E446">
        <v>-6.8329999999999997E-3</v>
      </c>
      <c r="F446">
        <v>276107192</v>
      </c>
      <c r="G446">
        <v>500</v>
      </c>
      <c r="H446">
        <v>271829963</v>
      </c>
      <c r="I446">
        <v>499</v>
      </c>
      <c r="J446">
        <v>63.1</v>
      </c>
      <c r="K446">
        <v>1.3492000000000001E-2</v>
      </c>
      <c r="L446">
        <v>0.23</v>
      </c>
      <c r="M446">
        <v>30.38</v>
      </c>
      <c r="N446">
        <f t="shared" si="3"/>
        <v>1.5533999999999937E-2</v>
      </c>
      <c r="O446">
        <f t="shared" si="4"/>
        <v>2.2999999999999687E-3</v>
      </c>
      <c r="P446">
        <f t="shared" si="5"/>
        <v>1.3233999999999968E-2</v>
      </c>
    </row>
    <row r="447" spans="1:16" x14ac:dyDescent="0.35">
      <c r="A447" s="1">
        <v>23042</v>
      </c>
      <c r="B447">
        <v>5.0367000000000002E-2</v>
      </c>
      <c r="C447">
        <v>4.8957000000000001E-2</v>
      </c>
      <c r="D447">
        <v>7.3533000000000001E-2</v>
      </c>
      <c r="E447">
        <v>7.2097999999999995E-2</v>
      </c>
      <c r="F447">
        <v>289613552</v>
      </c>
      <c r="G447">
        <v>500</v>
      </c>
      <c r="H447">
        <v>276094041</v>
      </c>
      <c r="I447">
        <v>500</v>
      </c>
      <c r="J447">
        <v>66.2</v>
      </c>
      <c r="K447">
        <v>4.9127999999999998E-2</v>
      </c>
      <c r="L447">
        <v>0.25</v>
      </c>
      <c r="M447">
        <v>30.44</v>
      </c>
      <c r="N447">
        <f t="shared" si="3"/>
        <v>4.8296631406044677E-2</v>
      </c>
      <c r="O447">
        <f t="shared" si="4"/>
        <v>5.2398160315370035E-4</v>
      </c>
      <c r="P447">
        <f t="shared" si="5"/>
        <v>4.7772649802890976E-2</v>
      </c>
    </row>
    <row r="448" spans="1:16" x14ac:dyDescent="0.35">
      <c r="A448" s="1">
        <v>23070</v>
      </c>
      <c r="B448">
        <v>-2.4188999999999999E-2</v>
      </c>
      <c r="C448">
        <v>-2.9163999999999999E-2</v>
      </c>
      <c r="D448">
        <v>-1.3528999999999999E-2</v>
      </c>
      <c r="E448">
        <v>-1.7706E-2</v>
      </c>
      <c r="F448">
        <v>281167476</v>
      </c>
      <c r="G448">
        <v>500</v>
      </c>
      <c r="H448">
        <v>289613552</v>
      </c>
      <c r="I448">
        <v>500</v>
      </c>
      <c r="J448">
        <v>64.290000000000006</v>
      </c>
      <c r="K448">
        <v>-2.8851999999999999E-2</v>
      </c>
      <c r="L448">
        <v>0.23</v>
      </c>
      <c r="M448">
        <v>30.48</v>
      </c>
      <c r="N448">
        <f t="shared" si="3"/>
        <v>-2.5469591863517049E-2</v>
      </c>
      <c r="O448">
        <f t="shared" si="4"/>
        <v>9.8464566929123976E-4</v>
      </c>
      <c r="P448">
        <f t="shared" si="5"/>
        <v>-2.6454237532808289E-2</v>
      </c>
    </row>
    <row r="449" spans="1:16" x14ac:dyDescent="0.35">
      <c r="A449" s="1">
        <v>23099</v>
      </c>
      <c r="B449">
        <v>3.6581000000000002E-2</v>
      </c>
      <c r="C449">
        <v>3.5156E-2</v>
      </c>
      <c r="D449">
        <v>2.4483000000000001E-2</v>
      </c>
      <c r="E449">
        <v>2.1635999999999999E-2</v>
      </c>
      <c r="F449">
        <v>290465116</v>
      </c>
      <c r="G449">
        <v>500</v>
      </c>
      <c r="H449">
        <v>280367186</v>
      </c>
      <c r="I449">
        <v>499</v>
      </c>
      <c r="J449">
        <v>66.569999999999993</v>
      </c>
      <c r="K449">
        <v>3.5464000000000002E-2</v>
      </c>
      <c r="L449">
        <v>0.23</v>
      </c>
      <c r="M449">
        <v>30.51</v>
      </c>
      <c r="N449">
        <f t="shared" si="3"/>
        <v>3.5561746312684273E-2</v>
      </c>
      <c r="O449">
        <f t="shared" si="4"/>
        <v>1.3144542772860479E-3</v>
      </c>
      <c r="P449">
        <f t="shared" si="5"/>
        <v>3.4247292035398225E-2</v>
      </c>
    </row>
    <row r="450" spans="1:16" x14ac:dyDescent="0.35">
      <c r="A450" s="1">
        <v>23131</v>
      </c>
      <c r="B450">
        <v>4.9070000000000003E-2</v>
      </c>
      <c r="C450">
        <v>4.8176999999999998E-2</v>
      </c>
      <c r="D450">
        <v>4.5601000000000003E-2</v>
      </c>
      <c r="E450">
        <v>4.4408999999999997E-2</v>
      </c>
      <c r="F450">
        <v>304458174</v>
      </c>
      <c r="G450">
        <v>500</v>
      </c>
      <c r="H450">
        <v>290465116</v>
      </c>
      <c r="I450">
        <v>500</v>
      </c>
      <c r="J450">
        <v>69.8</v>
      </c>
      <c r="K450">
        <v>4.8520000000000001E-2</v>
      </c>
      <c r="L450">
        <v>0.25</v>
      </c>
      <c r="M450">
        <v>30.48</v>
      </c>
      <c r="N450">
        <f t="shared" si="3"/>
        <v>5.0102549212598602E-2</v>
      </c>
      <c r="O450">
        <f t="shared" si="4"/>
        <v>3.4867125984252567E-3</v>
      </c>
      <c r="P450">
        <f t="shared" si="5"/>
        <v>4.6615836614173345E-2</v>
      </c>
    </row>
    <row r="451" spans="1:16" x14ac:dyDescent="0.35">
      <c r="A451" s="1">
        <v>23162</v>
      </c>
      <c r="B451">
        <v>1.9674000000000001E-2</v>
      </c>
      <c r="C451">
        <v>1.3844E-2</v>
      </c>
      <c r="D451">
        <v>3.2577000000000002E-2</v>
      </c>
      <c r="E451">
        <v>2.8163000000000001E-2</v>
      </c>
      <c r="F451">
        <v>308673092</v>
      </c>
      <c r="G451">
        <v>500</v>
      </c>
      <c r="H451">
        <v>304458174</v>
      </c>
      <c r="I451">
        <v>500</v>
      </c>
      <c r="J451">
        <v>70.8</v>
      </c>
      <c r="K451">
        <v>1.4326999999999999E-2</v>
      </c>
      <c r="L451">
        <v>0.24</v>
      </c>
      <c r="M451">
        <v>30.51</v>
      </c>
      <c r="N451">
        <f t="shared" si="3"/>
        <v>1.8671370698131629E-2</v>
      </c>
      <c r="O451">
        <f t="shared" si="4"/>
        <v>1.4143559488692947E-3</v>
      </c>
      <c r="P451">
        <f t="shared" si="5"/>
        <v>1.7257014749262334E-2</v>
      </c>
    </row>
    <row r="452" spans="1:16" x14ac:dyDescent="0.35">
      <c r="A452" s="1">
        <v>23190</v>
      </c>
      <c r="B452">
        <v>-1.8605E-2</v>
      </c>
      <c r="C452">
        <v>-1.9806000000000001E-2</v>
      </c>
      <c r="D452">
        <v>-1.5077E-2</v>
      </c>
      <c r="E452">
        <v>-1.7482000000000001E-2</v>
      </c>
      <c r="F452">
        <v>302462150</v>
      </c>
      <c r="G452">
        <v>500</v>
      </c>
      <c r="H452">
        <v>308573333</v>
      </c>
      <c r="I452">
        <v>500</v>
      </c>
      <c r="J452">
        <v>69.37</v>
      </c>
      <c r="K452">
        <v>-2.0198000000000001E-2</v>
      </c>
      <c r="L452">
        <v>0.23</v>
      </c>
      <c r="M452">
        <v>30.61</v>
      </c>
      <c r="N452">
        <f t="shared" si="3"/>
        <v>-2.1811125449199498E-2</v>
      </c>
      <c r="O452">
        <f t="shared" si="4"/>
        <v>-9.7442012414239443E-4</v>
      </c>
      <c r="P452">
        <f t="shared" si="5"/>
        <v>-2.0836705325057103E-2</v>
      </c>
    </row>
    <row r="453" spans="1:16" x14ac:dyDescent="0.35">
      <c r="A453" s="1">
        <v>23223</v>
      </c>
      <c r="B453">
        <v>-1.8209999999999999E-3</v>
      </c>
      <c r="C453">
        <v>-3.1310000000000001E-3</v>
      </c>
      <c r="D453">
        <v>-1.1361E-2</v>
      </c>
      <c r="E453">
        <v>-1.2758E-2</v>
      </c>
      <c r="F453">
        <v>301532454</v>
      </c>
      <c r="G453">
        <v>500</v>
      </c>
      <c r="H453">
        <v>302462150</v>
      </c>
      <c r="I453">
        <v>500</v>
      </c>
      <c r="J453">
        <v>69.13</v>
      </c>
      <c r="K453">
        <v>-3.46E-3</v>
      </c>
      <c r="L453">
        <v>0.27</v>
      </c>
      <c r="M453">
        <v>30.69</v>
      </c>
      <c r="N453">
        <f t="shared" si="3"/>
        <v>-4.4229654610622449E-3</v>
      </c>
      <c r="O453">
        <f t="shared" si="4"/>
        <v>8.6249592700982092E-5</v>
      </c>
      <c r="P453">
        <f t="shared" si="5"/>
        <v>-4.509215053763227E-3</v>
      </c>
    </row>
    <row r="454" spans="1:16" x14ac:dyDescent="0.35">
      <c r="A454" s="1">
        <v>23253</v>
      </c>
      <c r="B454">
        <v>5.3466E-2</v>
      </c>
      <c r="C454">
        <v>4.8495999999999997E-2</v>
      </c>
      <c r="D454">
        <v>5.7986999999999997E-2</v>
      </c>
      <c r="E454">
        <v>5.3718000000000002E-2</v>
      </c>
      <c r="F454">
        <v>316373470</v>
      </c>
      <c r="G454">
        <v>500</v>
      </c>
      <c r="H454">
        <v>301743169</v>
      </c>
      <c r="I454">
        <v>500</v>
      </c>
      <c r="J454">
        <v>72.5</v>
      </c>
      <c r="K454">
        <v>4.8749000000000001E-2</v>
      </c>
      <c r="L454">
        <v>0.25</v>
      </c>
      <c r="M454">
        <v>30.75</v>
      </c>
      <c r="N454">
        <f t="shared" si="3"/>
        <v>5.1410456585365916E-2</v>
      </c>
      <c r="O454">
        <f t="shared" si="4"/>
        <v>5.4390243902435742E-4</v>
      </c>
      <c r="P454">
        <f t="shared" si="5"/>
        <v>5.0866554146341558E-2</v>
      </c>
    </row>
    <row r="455" spans="1:16" x14ac:dyDescent="0.35">
      <c r="A455" s="1">
        <v>23284</v>
      </c>
      <c r="B455">
        <v>-1.0402E-2</v>
      </c>
      <c r="C455">
        <v>-1.1579000000000001E-2</v>
      </c>
      <c r="D455">
        <v>-1.9518000000000001E-2</v>
      </c>
      <c r="E455">
        <v>-2.1909999999999999E-2</v>
      </c>
      <c r="F455">
        <v>313426910</v>
      </c>
      <c r="G455">
        <v>500</v>
      </c>
      <c r="H455">
        <v>317098598</v>
      </c>
      <c r="I455">
        <v>500</v>
      </c>
      <c r="J455">
        <v>71.7</v>
      </c>
      <c r="K455">
        <v>-1.1034E-2</v>
      </c>
      <c r="L455">
        <v>0.27</v>
      </c>
      <c r="M455">
        <v>30.72</v>
      </c>
      <c r="N455">
        <f t="shared" si="3"/>
        <v>-9.4355957031250215E-3</v>
      </c>
      <c r="O455">
        <f t="shared" si="4"/>
        <v>3.6791992187499289E-3</v>
      </c>
      <c r="P455">
        <f t="shared" si="5"/>
        <v>-1.311479492187495E-2</v>
      </c>
    </row>
    <row r="456" spans="1:16" x14ac:dyDescent="0.35">
      <c r="A456" s="1">
        <v>23315</v>
      </c>
      <c r="B456">
        <v>3.4825000000000002E-2</v>
      </c>
      <c r="C456">
        <v>3.329E-2</v>
      </c>
      <c r="D456">
        <v>2.6246999999999999E-2</v>
      </c>
      <c r="E456">
        <v>2.4639000000000001E-2</v>
      </c>
      <c r="F456">
        <v>323947532</v>
      </c>
      <c r="G456">
        <v>500</v>
      </c>
      <c r="H456">
        <v>313452264</v>
      </c>
      <c r="I456">
        <v>500</v>
      </c>
      <c r="J456">
        <v>74.010000000000005</v>
      </c>
      <c r="K456">
        <v>3.2217999999999997E-2</v>
      </c>
      <c r="L456">
        <v>0.28999999999999998</v>
      </c>
      <c r="M456">
        <v>30.75</v>
      </c>
      <c r="N456">
        <f t="shared" si="3"/>
        <v>3.3815414634146501E-2</v>
      </c>
      <c r="O456">
        <f t="shared" si="4"/>
        <v>1.9215609756095819E-3</v>
      </c>
      <c r="P456">
        <f t="shared" si="5"/>
        <v>3.1893853658536919E-2</v>
      </c>
    </row>
    <row r="457" spans="1:16" x14ac:dyDescent="0.35">
      <c r="A457" s="1">
        <v>23344</v>
      </c>
      <c r="B457">
        <v>-4.4869999999999997E-3</v>
      </c>
      <c r="C457">
        <v>-1.1084999999999999E-2</v>
      </c>
      <c r="D457">
        <v>-4.267E-3</v>
      </c>
      <c r="E457">
        <v>-8.5210000000000008E-3</v>
      </c>
      <c r="F457">
        <v>318999989</v>
      </c>
      <c r="G457">
        <v>500</v>
      </c>
      <c r="H457">
        <v>323917686</v>
      </c>
      <c r="I457">
        <v>499</v>
      </c>
      <c r="J457">
        <v>73.23</v>
      </c>
      <c r="K457">
        <v>-1.0539E-2</v>
      </c>
      <c r="L457">
        <v>0.27</v>
      </c>
      <c r="M457">
        <v>30.78</v>
      </c>
      <c r="N457">
        <f t="shared" si="3"/>
        <v>-5.4572855750487648E-3</v>
      </c>
      <c r="O457">
        <f t="shared" si="4"/>
        <v>1.7227095516567648E-3</v>
      </c>
      <c r="P457">
        <f t="shared" si="5"/>
        <v>-7.1799951267055295E-3</v>
      </c>
    </row>
    <row r="458" spans="1:16" x14ac:dyDescent="0.35">
      <c r="A458" s="1">
        <v>23376</v>
      </c>
      <c r="B458">
        <v>2.6065000000000001E-2</v>
      </c>
      <c r="C458">
        <v>2.4650999999999999E-2</v>
      </c>
      <c r="D458">
        <v>1.7259E-2</v>
      </c>
      <c r="E458">
        <v>1.3927999999999999E-2</v>
      </c>
      <c r="F458">
        <v>329238709</v>
      </c>
      <c r="G458">
        <v>500</v>
      </c>
      <c r="H458">
        <v>318003405</v>
      </c>
      <c r="I458">
        <v>497</v>
      </c>
      <c r="J458">
        <v>75.02</v>
      </c>
      <c r="K458">
        <v>2.4444E-2</v>
      </c>
      <c r="L458">
        <v>0.28999999999999998</v>
      </c>
      <c r="M458">
        <v>30.88</v>
      </c>
      <c r="N458">
        <f t="shared" si="3"/>
        <v>2.2742250647668438E-2</v>
      </c>
      <c r="O458">
        <f t="shared" si="4"/>
        <v>-3.4773316062175486E-4</v>
      </c>
      <c r="P458">
        <f t="shared" si="5"/>
        <v>2.3089983808290193E-2</v>
      </c>
    </row>
    <row r="459" spans="1:16" x14ac:dyDescent="0.35">
      <c r="A459" s="1">
        <v>23407</v>
      </c>
      <c r="B459">
        <v>2.7390999999999999E-2</v>
      </c>
      <c r="C459">
        <v>2.6373000000000001E-2</v>
      </c>
      <c r="D459">
        <v>1.9843E-2</v>
      </c>
      <c r="E459">
        <v>1.8578999999999998E-2</v>
      </c>
      <c r="F459">
        <v>341009401</v>
      </c>
      <c r="G459">
        <v>500</v>
      </c>
      <c r="H459">
        <v>329840568</v>
      </c>
      <c r="I459">
        <v>498</v>
      </c>
      <c r="J459">
        <v>77.040000000000006</v>
      </c>
      <c r="K459">
        <v>2.6925999999999999E-2</v>
      </c>
      <c r="L459">
        <v>0.3</v>
      </c>
      <c r="M459">
        <v>30.94</v>
      </c>
      <c r="N459">
        <f t="shared" si="3"/>
        <v>2.5398645119586227E-2</v>
      </c>
      <c r="O459">
        <f t="shared" si="4"/>
        <v>1.0549450549448558E-3</v>
      </c>
      <c r="P459">
        <f t="shared" si="5"/>
        <v>2.4343700064641371E-2</v>
      </c>
    </row>
    <row r="460" spans="1:16" x14ac:dyDescent="0.35">
      <c r="A460" s="1">
        <v>23435</v>
      </c>
      <c r="B460">
        <v>1.7014999999999999E-2</v>
      </c>
      <c r="C460">
        <v>1.2171E-2</v>
      </c>
      <c r="D460">
        <v>2.8215E-2</v>
      </c>
      <c r="E460">
        <v>2.4235E-2</v>
      </c>
      <c r="F460">
        <v>348203324</v>
      </c>
      <c r="G460">
        <v>500</v>
      </c>
      <c r="H460">
        <v>342870216</v>
      </c>
      <c r="I460">
        <v>500</v>
      </c>
      <c r="J460">
        <v>77.8</v>
      </c>
      <c r="K460">
        <v>9.8650000000000005E-3</v>
      </c>
      <c r="L460">
        <v>0.26</v>
      </c>
      <c r="M460">
        <v>30.91</v>
      </c>
      <c r="N460">
        <f t="shared" si="3"/>
        <v>1.8002073762536375E-2</v>
      </c>
      <c r="O460">
        <f t="shared" si="4"/>
        <v>3.5730831446132427E-3</v>
      </c>
      <c r="P460">
        <f t="shared" si="5"/>
        <v>1.4428990617923132E-2</v>
      </c>
    </row>
    <row r="461" spans="1:16" x14ac:dyDescent="0.35">
      <c r="A461" s="1">
        <v>23467</v>
      </c>
      <c r="B461">
        <v>1.7232000000000001E-2</v>
      </c>
      <c r="C461">
        <v>1.5814000000000002E-2</v>
      </c>
      <c r="D461">
        <v>3.2725999999999998E-2</v>
      </c>
      <c r="E461">
        <v>2.9991E-2</v>
      </c>
      <c r="F461">
        <v>353709735</v>
      </c>
      <c r="G461">
        <v>500</v>
      </c>
      <c r="H461">
        <v>348203324</v>
      </c>
      <c r="I461">
        <v>500</v>
      </c>
      <c r="J461">
        <v>78.98</v>
      </c>
      <c r="K461">
        <v>1.5167E-2</v>
      </c>
      <c r="L461">
        <v>0.31</v>
      </c>
      <c r="M461">
        <v>30.94</v>
      </c>
      <c r="N461">
        <f t="shared" si="3"/>
        <v>1.6245672915319753E-2</v>
      </c>
      <c r="O461">
        <f t="shared" si="4"/>
        <v>2.1273755656110449E-3</v>
      </c>
      <c r="P461">
        <f t="shared" si="5"/>
        <v>1.4118297349708708E-2</v>
      </c>
    </row>
    <row r="462" spans="1:16" x14ac:dyDescent="0.35">
      <c r="A462" s="1">
        <v>23497</v>
      </c>
      <c r="B462">
        <v>6.1919999999999996E-3</v>
      </c>
      <c r="C462">
        <v>5.2969999999999996E-3</v>
      </c>
      <c r="D462">
        <v>2.2030000000000001E-3</v>
      </c>
      <c r="E462">
        <v>9.0499999999999999E-4</v>
      </c>
      <c r="F462">
        <v>355705632</v>
      </c>
      <c r="G462">
        <v>500</v>
      </c>
      <c r="H462">
        <v>353597326</v>
      </c>
      <c r="I462">
        <v>499</v>
      </c>
      <c r="J462">
        <v>79.459999999999994</v>
      </c>
      <c r="K462">
        <v>6.0769999999999999E-3</v>
      </c>
      <c r="L462">
        <v>0.28999999999999998</v>
      </c>
      <c r="M462">
        <v>30.95</v>
      </c>
      <c r="N462">
        <f t="shared" si="3"/>
        <v>5.8668975767366405E-3</v>
      </c>
      <c r="O462">
        <f t="shared" si="4"/>
        <v>2.5759612277866939E-3</v>
      </c>
      <c r="P462">
        <f t="shared" si="5"/>
        <v>3.2909363489499466E-3</v>
      </c>
    </row>
    <row r="463" spans="1:16" x14ac:dyDescent="0.35">
      <c r="A463" s="1">
        <v>23525</v>
      </c>
      <c r="B463">
        <v>1.6815E-2</v>
      </c>
      <c r="C463">
        <v>1.146E-2</v>
      </c>
      <c r="D463">
        <v>1.8079000000000001E-2</v>
      </c>
      <c r="E463">
        <v>1.4185E-2</v>
      </c>
      <c r="F463">
        <v>359801369</v>
      </c>
      <c r="G463">
        <v>500</v>
      </c>
      <c r="H463">
        <v>355724894</v>
      </c>
      <c r="I463">
        <v>500</v>
      </c>
      <c r="J463">
        <v>80.37</v>
      </c>
      <c r="K463">
        <v>1.1452E-2</v>
      </c>
      <c r="L463">
        <v>0.26</v>
      </c>
      <c r="M463">
        <v>30.98</v>
      </c>
      <c r="N463">
        <f t="shared" si="3"/>
        <v>1.583035022595225E-2</v>
      </c>
      <c r="O463">
        <f t="shared" si="4"/>
        <v>1.6291155584247097E-3</v>
      </c>
      <c r="P463">
        <f t="shared" si="5"/>
        <v>1.420123466752754E-2</v>
      </c>
    </row>
    <row r="464" spans="1:16" x14ac:dyDescent="0.35">
      <c r="A464" s="1">
        <v>23558</v>
      </c>
      <c r="B464">
        <v>1.8083999999999999E-2</v>
      </c>
      <c r="C464">
        <v>1.6778999999999999E-2</v>
      </c>
      <c r="D464">
        <v>2.0368000000000001E-2</v>
      </c>
      <c r="E464">
        <v>1.7715000000000002E-2</v>
      </c>
      <c r="F464">
        <v>365346540</v>
      </c>
      <c r="G464">
        <v>500</v>
      </c>
      <c r="H464">
        <v>359253948</v>
      </c>
      <c r="I464">
        <v>499</v>
      </c>
      <c r="J464">
        <v>81.69</v>
      </c>
      <c r="K464">
        <v>1.6424000000000001E-2</v>
      </c>
      <c r="L464">
        <v>0.3</v>
      </c>
      <c r="M464">
        <v>31.01</v>
      </c>
      <c r="N464">
        <f t="shared" si="3"/>
        <v>1.7099075137052555E-2</v>
      </c>
      <c r="O464">
        <f t="shared" si="4"/>
        <v>2.0296678490807629E-3</v>
      </c>
      <c r="P464">
        <f t="shared" si="5"/>
        <v>1.5069407287971792E-2</v>
      </c>
    </row>
    <row r="465" spans="1:16" x14ac:dyDescent="0.35">
      <c r="A465" s="1">
        <v>23589</v>
      </c>
      <c r="B465">
        <v>1.891E-2</v>
      </c>
      <c r="C465">
        <v>1.7953E-2</v>
      </c>
      <c r="D465">
        <v>2.4316000000000001E-2</v>
      </c>
      <c r="E465">
        <v>2.2953999999999999E-2</v>
      </c>
      <c r="F465">
        <v>372525505</v>
      </c>
      <c r="G465">
        <v>500</v>
      </c>
      <c r="H465">
        <v>365381839</v>
      </c>
      <c r="I465">
        <v>499</v>
      </c>
      <c r="J465">
        <v>83.18</v>
      </c>
      <c r="K465">
        <v>1.8239999999999999E-2</v>
      </c>
      <c r="L465">
        <v>0.3</v>
      </c>
      <c r="M465">
        <v>31.02</v>
      </c>
      <c r="N465">
        <f t="shared" si="3"/>
        <v>1.8581531270148277E-2</v>
      </c>
      <c r="O465">
        <f t="shared" si="4"/>
        <v>2.6766602192134226E-3</v>
      </c>
      <c r="P465">
        <f t="shared" si="5"/>
        <v>1.5904871050934855E-2</v>
      </c>
    </row>
    <row r="466" spans="1:16" x14ac:dyDescent="0.35">
      <c r="A466" s="1">
        <v>23620</v>
      </c>
      <c r="B466">
        <v>-1.1620999999999999E-2</v>
      </c>
      <c r="C466">
        <v>-1.6285000000000001E-2</v>
      </c>
      <c r="D466">
        <v>-8.9289999999999994E-3</v>
      </c>
      <c r="E466">
        <v>-1.2553999999999999E-2</v>
      </c>
      <c r="F466">
        <v>366458810</v>
      </c>
      <c r="G466">
        <v>500</v>
      </c>
      <c r="H466">
        <v>372525505</v>
      </c>
      <c r="I466">
        <v>500</v>
      </c>
      <c r="J466">
        <v>81.83</v>
      </c>
      <c r="K466">
        <v>-1.6230000000000001E-2</v>
      </c>
      <c r="L466">
        <v>0.28000000000000003</v>
      </c>
      <c r="M466">
        <v>31.05</v>
      </c>
      <c r="N466">
        <f t="shared" si="3"/>
        <v>-1.2575955555555685E-2</v>
      </c>
      <c r="O466">
        <f t="shared" si="4"/>
        <v>1.8311111111108946E-3</v>
      </c>
      <c r="P466">
        <f t="shared" si="5"/>
        <v>-1.4407066666666579E-2</v>
      </c>
    </row>
    <row r="467" spans="1:16" x14ac:dyDescent="0.35">
      <c r="A467" s="1">
        <v>23650</v>
      </c>
      <c r="B467">
        <v>3.0398999999999999E-2</v>
      </c>
      <c r="C467">
        <v>2.9021999999999999E-2</v>
      </c>
      <c r="D467">
        <v>3.4313999999999997E-2</v>
      </c>
      <c r="E467">
        <v>3.1397000000000001E-2</v>
      </c>
      <c r="F467">
        <v>377169726</v>
      </c>
      <c r="G467">
        <v>500</v>
      </c>
      <c r="H467">
        <v>366492067</v>
      </c>
      <c r="I467">
        <v>500</v>
      </c>
      <c r="J467">
        <v>84.18</v>
      </c>
      <c r="K467">
        <v>2.8718E-2</v>
      </c>
      <c r="L467">
        <v>0.28000000000000003</v>
      </c>
      <c r="M467">
        <v>31.08</v>
      </c>
      <c r="N467">
        <f t="shared" si="3"/>
        <v>2.9404406370656444E-2</v>
      </c>
      <c r="O467">
        <f t="shared" si="4"/>
        <v>1.8320463320462554E-3</v>
      </c>
      <c r="P467">
        <f t="shared" si="5"/>
        <v>2.7572360038610189E-2</v>
      </c>
    </row>
    <row r="468" spans="1:16" x14ac:dyDescent="0.35">
      <c r="A468" s="1">
        <v>23680</v>
      </c>
      <c r="B468">
        <v>8.7449999999999993E-3</v>
      </c>
      <c r="C468">
        <v>7.5659999999999998E-3</v>
      </c>
      <c r="D468">
        <v>1.6292999999999998E-2</v>
      </c>
      <c r="E468">
        <v>1.4895E-2</v>
      </c>
      <c r="F468">
        <v>380515724</v>
      </c>
      <c r="G468">
        <v>500</v>
      </c>
      <c r="H468">
        <v>377658408</v>
      </c>
      <c r="I468">
        <v>500</v>
      </c>
      <c r="J468">
        <v>84.86</v>
      </c>
      <c r="K468">
        <v>8.0780000000000001E-3</v>
      </c>
      <c r="L468">
        <v>0.28999999999999998</v>
      </c>
      <c r="M468">
        <v>31.12</v>
      </c>
      <c r="N468">
        <f t="shared" si="3"/>
        <v>7.448412596400944E-3</v>
      </c>
      <c r="O468">
        <f t="shared" si="4"/>
        <v>1.6109254498712922E-3</v>
      </c>
      <c r="P468">
        <f t="shared" si="5"/>
        <v>5.8374871465296518E-3</v>
      </c>
    </row>
    <row r="469" spans="1:16" x14ac:dyDescent="0.35">
      <c r="A469" s="1">
        <v>23711</v>
      </c>
      <c r="B469">
        <v>1.598E-3</v>
      </c>
      <c r="C469">
        <v>-4.5880000000000001E-3</v>
      </c>
      <c r="D469">
        <v>-2.24E-4</v>
      </c>
      <c r="E469">
        <v>-4.2929999999999999E-3</v>
      </c>
      <c r="F469">
        <v>376545164</v>
      </c>
      <c r="G469">
        <v>500</v>
      </c>
      <c r="H469">
        <v>380515724</v>
      </c>
      <c r="I469">
        <v>500</v>
      </c>
      <c r="J469">
        <v>84.42</v>
      </c>
      <c r="K469">
        <v>-5.1850000000000004E-3</v>
      </c>
      <c r="L469">
        <v>0.28999999999999998</v>
      </c>
      <c r="M469">
        <v>31.21</v>
      </c>
      <c r="N469">
        <f t="shared" si="3"/>
        <v>-1.2902992630567933E-3</v>
      </c>
      <c r="O469">
        <f t="shared" si="4"/>
        <v>7.9461710988937284E-6</v>
      </c>
      <c r="P469">
        <f t="shared" si="5"/>
        <v>-1.2982454341556871E-3</v>
      </c>
    </row>
    <row r="470" spans="1:16" x14ac:dyDescent="0.35">
      <c r="A470" s="1">
        <v>23742</v>
      </c>
      <c r="B470">
        <v>5.228E-3</v>
      </c>
      <c r="C470">
        <v>3.803E-3</v>
      </c>
      <c r="D470">
        <v>-8.0759999999999998E-3</v>
      </c>
      <c r="E470">
        <v>-1.1202E-2</v>
      </c>
      <c r="F470">
        <v>382043530</v>
      </c>
      <c r="G470">
        <v>500</v>
      </c>
      <c r="H470">
        <v>376545164</v>
      </c>
      <c r="I470">
        <v>500</v>
      </c>
      <c r="J470">
        <v>84.75</v>
      </c>
      <c r="K470">
        <v>3.9090000000000001E-3</v>
      </c>
      <c r="L470">
        <v>0.31</v>
      </c>
      <c r="M470">
        <v>31.25</v>
      </c>
      <c r="N470">
        <f t="shared" si="3"/>
        <v>3.9413081600001565E-3</v>
      </c>
      <c r="O470">
        <f t="shared" si="4"/>
        <v>1.816032000000245E-3</v>
      </c>
      <c r="P470">
        <f t="shared" si="5"/>
        <v>2.1252761599999115E-3</v>
      </c>
    </row>
    <row r="471" spans="1:16" x14ac:dyDescent="0.35">
      <c r="A471" s="1">
        <v>23771</v>
      </c>
      <c r="B471">
        <v>3.4791000000000002E-2</v>
      </c>
      <c r="C471">
        <v>3.3836999999999999E-2</v>
      </c>
      <c r="D471">
        <v>5.6641999999999998E-2</v>
      </c>
      <c r="E471">
        <v>5.5452000000000001E-2</v>
      </c>
      <c r="F471">
        <v>395720841</v>
      </c>
      <c r="G471">
        <v>500</v>
      </c>
      <c r="H471">
        <v>382744572</v>
      </c>
      <c r="I471">
        <v>500</v>
      </c>
      <c r="J471">
        <v>87.56</v>
      </c>
      <c r="K471">
        <v>3.3155999999999998E-2</v>
      </c>
      <c r="L471">
        <v>0.28000000000000003</v>
      </c>
      <c r="M471">
        <v>31.28</v>
      </c>
      <c r="N471">
        <f t="shared" si="3"/>
        <v>3.3798553388746599E-2</v>
      </c>
      <c r="O471">
        <f t="shared" si="4"/>
        <v>1.8382352941175295E-3</v>
      </c>
      <c r="P471">
        <f t="shared" si="5"/>
        <v>3.196031809462907E-2</v>
      </c>
    </row>
    <row r="472" spans="1:16" x14ac:dyDescent="0.35">
      <c r="A472" s="1">
        <v>23799</v>
      </c>
      <c r="B472">
        <v>3.7460000000000002E-3</v>
      </c>
      <c r="C472">
        <v>-8.5300000000000003E-4</v>
      </c>
      <c r="D472">
        <v>2.5173999999999998E-2</v>
      </c>
      <c r="E472">
        <v>2.1342E-2</v>
      </c>
      <c r="F472">
        <v>395333720</v>
      </c>
      <c r="G472">
        <v>500</v>
      </c>
      <c r="H472">
        <v>395650685</v>
      </c>
      <c r="I472">
        <v>498</v>
      </c>
      <c r="J472">
        <v>87.43</v>
      </c>
      <c r="K472">
        <v>-1.485E-3</v>
      </c>
      <c r="L472">
        <v>0.3</v>
      </c>
      <c r="M472">
        <v>31.28</v>
      </c>
      <c r="N472">
        <f t="shared" si="3"/>
        <v>3.7460000000000271E-3</v>
      </c>
      <c r="O472">
        <f t="shared" si="4"/>
        <v>2.9999999999998916E-3</v>
      </c>
      <c r="P472">
        <f t="shared" si="5"/>
        <v>7.4600000000013544E-4</v>
      </c>
    </row>
    <row r="473" spans="1:16" x14ac:dyDescent="0.35">
      <c r="A473" s="1">
        <v>23832</v>
      </c>
      <c r="B473">
        <v>-1.2213E-2</v>
      </c>
      <c r="C473">
        <v>-1.3684999999999999E-2</v>
      </c>
      <c r="D473">
        <v>1.846E-3</v>
      </c>
      <c r="E473">
        <v>-9.01E-4</v>
      </c>
      <c r="F473">
        <v>390352723</v>
      </c>
      <c r="G473">
        <v>500</v>
      </c>
      <c r="H473">
        <v>395771034</v>
      </c>
      <c r="I473">
        <v>499</v>
      </c>
      <c r="J473">
        <v>86.16</v>
      </c>
      <c r="K473">
        <v>-1.4526000000000001E-2</v>
      </c>
      <c r="L473">
        <v>0.36</v>
      </c>
      <c r="M473">
        <v>31.31</v>
      </c>
      <c r="N473">
        <f t="shared" si="3"/>
        <v>-1.3159458320025519E-2</v>
      </c>
      <c r="O473">
        <f t="shared" si="4"/>
        <v>2.6383902906421675E-3</v>
      </c>
      <c r="P473">
        <f t="shared" si="5"/>
        <v>-1.5797848610667686E-2</v>
      </c>
    </row>
    <row r="474" spans="1:16" x14ac:dyDescent="0.35">
      <c r="A474" s="1">
        <v>23862</v>
      </c>
      <c r="B474">
        <v>3.5611999999999998E-2</v>
      </c>
      <c r="C474">
        <v>3.4769000000000001E-2</v>
      </c>
      <c r="D474">
        <v>3.1637999999999999E-2</v>
      </c>
      <c r="E474">
        <v>3.049E-2</v>
      </c>
      <c r="F474">
        <v>404184764</v>
      </c>
      <c r="G474">
        <v>500</v>
      </c>
      <c r="H474">
        <v>390352723</v>
      </c>
      <c r="I474">
        <v>500</v>
      </c>
      <c r="J474">
        <v>89.11</v>
      </c>
      <c r="K474">
        <v>3.4238999999999999E-2</v>
      </c>
      <c r="L474">
        <v>0.31</v>
      </c>
      <c r="M474">
        <v>31.38</v>
      </c>
      <c r="N474">
        <f t="shared" si="3"/>
        <v>3.330183938814546E-2</v>
      </c>
      <c r="O474">
        <f t="shared" si="4"/>
        <v>8.6236456341626244E-4</v>
      </c>
      <c r="P474">
        <f t="shared" si="5"/>
        <v>3.2439474824729198E-2</v>
      </c>
    </row>
    <row r="475" spans="1:16" x14ac:dyDescent="0.35">
      <c r="A475" s="1">
        <v>23890</v>
      </c>
      <c r="B475">
        <v>-3.1220000000000002E-3</v>
      </c>
      <c r="C475">
        <v>-8.3540000000000003E-3</v>
      </c>
      <c r="D475">
        <v>-6.4729999999999996E-3</v>
      </c>
      <c r="E475">
        <v>-1.0307999999999999E-2</v>
      </c>
      <c r="F475">
        <v>400798168</v>
      </c>
      <c r="G475">
        <v>500</v>
      </c>
      <c r="H475">
        <v>404184764</v>
      </c>
      <c r="I475">
        <v>500</v>
      </c>
      <c r="J475">
        <v>88.42</v>
      </c>
      <c r="K475">
        <v>-7.7429999999999999E-3</v>
      </c>
      <c r="L475">
        <v>0.31</v>
      </c>
      <c r="M475">
        <v>31.48</v>
      </c>
      <c r="N475">
        <f t="shared" ref="N475:N538" si="6">(1+B475)*M474/M475-1</f>
        <v>-6.2887026683609015E-3</v>
      </c>
      <c r="O475">
        <f t="shared" ref="O475:O538" si="7">(1+L475/100)*M474/M475-1</f>
        <v>-8.6467598475192808E-5</v>
      </c>
      <c r="P475">
        <f t="shared" ref="P475:P538" si="8">N475-O475</f>
        <v>-6.2022350698857087E-3</v>
      </c>
    </row>
    <row r="476" spans="1:16" x14ac:dyDescent="0.35">
      <c r="A476" s="1">
        <v>23923</v>
      </c>
      <c r="B476">
        <v>-4.6879999999999998E-2</v>
      </c>
      <c r="C476">
        <v>-4.8367E-2</v>
      </c>
      <c r="D476">
        <v>-6.7641000000000007E-2</v>
      </c>
      <c r="E476">
        <v>-7.0335999999999996E-2</v>
      </c>
      <c r="F476">
        <v>381776600</v>
      </c>
      <c r="G476">
        <v>500</v>
      </c>
      <c r="H476">
        <v>401185245</v>
      </c>
      <c r="I476">
        <v>500</v>
      </c>
      <c r="J476">
        <v>84.12</v>
      </c>
      <c r="K476">
        <v>-4.8632000000000002E-2</v>
      </c>
      <c r="L476">
        <v>0.35</v>
      </c>
      <c r="M476">
        <v>31.61</v>
      </c>
      <c r="N476">
        <f t="shared" si="6"/>
        <v>-5.0799822840873143E-2</v>
      </c>
      <c r="O476">
        <f t="shared" si="7"/>
        <v>-6.2701676684584484E-4</v>
      </c>
      <c r="P476">
        <f t="shared" si="8"/>
        <v>-5.0172806074027299E-2</v>
      </c>
    </row>
    <row r="477" spans="1:16" x14ac:dyDescent="0.35">
      <c r="A477" s="1">
        <v>23953</v>
      </c>
      <c r="B477">
        <v>1.4486000000000001E-2</v>
      </c>
      <c r="C477">
        <v>1.3677999999999999E-2</v>
      </c>
      <c r="D477">
        <v>2.4594999999999999E-2</v>
      </c>
      <c r="E477">
        <v>2.3334000000000001E-2</v>
      </c>
      <c r="F477">
        <v>387024297</v>
      </c>
      <c r="G477">
        <v>500</v>
      </c>
      <c r="H477">
        <v>381776600</v>
      </c>
      <c r="I477">
        <v>500</v>
      </c>
      <c r="J477">
        <v>85.25</v>
      </c>
      <c r="K477">
        <v>1.3433E-2</v>
      </c>
      <c r="L477">
        <v>0.31</v>
      </c>
      <c r="M477">
        <v>31.58</v>
      </c>
      <c r="N477">
        <f t="shared" si="6"/>
        <v>1.5449729575680804E-2</v>
      </c>
      <c r="O477">
        <f t="shared" si="7"/>
        <v>4.052913236225697E-3</v>
      </c>
      <c r="P477">
        <f t="shared" si="8"/>
        <v>1.1396816339455107E-2</v>
      </c>
    </row>
    <row r="478" spans="1:16" x14ac:dyDescent="0.35">
      <c r="A478" s="1">
        <v>23985</v>
      </c>
      <c r="B478">
        <v>2.7560000000000001E-2</v>
      </c>
      <c r="C478">
        <v>2.2473E-2</v>
      </c>
      <c r="D478">
        <v>4.2120999999999999E-2</v>
      </c>
      <c r="E478">
        <v>3.7824999999999998E-2</v>
      </c>
      <c r="F478">
        <v>395722071</v>
      </c>
      <c r="G478">
        <v>500</v>
      </c>
      <c r="H478">
        <v>387024297</v>
      </c>
      <c r="I478">
        <v>500</v>
      </c>
      <c r="J478">
        <v>87.17</v>
      </c>
      <c r="K478">
        <v>2.2522E-2</v>
      </c>
      <c r="L478">
        <v>0.33</v>
      </c>
      <c r="M478">
        <v>31.55</v>
      </c>
      <c r="N478">
        <f t="shared" si="6"/>
        <v>2.8537077654516407E-2</v>
      </c>
      <c r="O478">
        <f t="shared" si="7"/>
        <v>4.2540095087162388E-3</v>
      </c>
      <c r="P478">
        <f t="shared" si="8"/>
        <v>2.4283068145800168E-2</v>
      </c>
    </row>
    <row r="479" spans="1:16" x14ac:dyDescent="0.35">
      <c r="A479" s="1">
        <v>24015</v>
      </c>
      <c r="B479">
        <v>3.3366E-2</v>
      </c>
      <c r="C479">
        <v>3.2034E-2</v>
      </c>
      <c r="D479">
        <v>3.0380000000000001E-2</v>
      </c>
      <c r="E479">
        <v>2.7897000000000002E-2</v>
      </c>
      <c r="F479">
        <v>408447923</v>
      </c>
      <c r="G479">
        <v>500</v>
      </c>
      <c r="H479">
        <v>395754812</v>
      </c>
      <c r="I479">
        <v>500</v>
      </c>
      <c r="J479">
        <v>89.96</v>
      </c>
      <c r="K479">
        <v>3.2006E-2</v>
      </c>
      <c r="L479">
        <v>0.31</v>
      </c>
      <c r="M479">
        <v>31.62</v>
      </c>
      <c r="N479">
        <f t="shared" si="6"/>
        <v>3.1078345983554856E-2</v>
      </c>
      <c r="O479">
        <f t="shared" si="7"/>
        <v>8.7934851359916522E-4</v>
      </c>
      <c r="P479">
        <f t="shared" si="8"/>
        <v>3.0198997469955691E-2</v>
      </c>
    </row>
    <row r="480" spans="1:16" x14ac:dyDescent="0.35">
      <c r="A480" s="1">
        <v>24044</v>
      </c>
      <c r="B480">
        <v>2.8812000000000001E-2</v>
      </c>
      <c r="C480">
        <v>2.7737000000000001E-2</v>
      </c>
      <c r="D480">
        <v>3.9076E-2</v>
      </c>
      <c r="E480">
        <v>3.7682E-2</v>
      </c>
      <c r="F480">
        <v>420159232</v>
      </c>
      <c r="G480">
        <v>500</v>
      </c>
      <c r="H480">
        <v>408812374</v>
      </c>
      <c r="I480">
        <v>500</v>
      </c>
      <c r="J480">
        <v>92.42</v>
      </c>
      <c r="K480">
        <v>2.7345000000000001E-2</v>
      </c>
      <c r="L480">
        <v>0.31</v>
      </c>
      <c r="M480">
        <v>31.65</v>
      </c>
      <c r="N480">
        <f t="shared" si="6"/>
        <v>2.7836822748815271E-2</v>
      </c>
      <c r="O480">
        <f t="shared" si="7"/>
        <v>2.1491943127964763E-3</v>
      </c>
      <c r="P480">
        <f t="shared" si="8"/>
        <v>2.5687628436018795E-2</v>
      </c>
    </row>
    <row r="481" spans="1:16" x14ac:dyDescent="0.35">
      <c r="A481" s="1">
        <v>24076</v>
      </c>
      <c r="B481">
        <v>-3.8210000000000002E-3</v>
      </c>
      <c r="C481">
        <v>-1.0305999999999999E-2</v>
      </c>
      <c r="D481">
        <v>2.0357E-2</v>
      </c>
      <c r="E481">
        <v>1.5716000000000001E-2</v>
      </c>
      <c r="F481">
        <v>415845919</v>
      </c>
      <c r="G481">
        <v>500</v>
      </c>
      <c r="H481">
        <v>420162891</v>
      </c>
      <c r="I481">
        <v>500</v>
      </c>
      <c r="J481">
        <v>91.61</v>
      </c>
      <c r="K481">
        <v>-8.7639999999999992E-3</v>
      </c>
      <c r="L481">
        <v>0.35</v>
      </c>
      <c r="M481">
        <v>31.75</v>
      </c>
      <c r="N481">
        <f t="shared" si="6"/>
        <v>-6.9585716535432995E-3</v>
      </c>
      <c r="O481">
        <f t="shared" si="7"/>
        <v>3.3937007874018654E-4</v>
      </c>
      <c r="P481">
        <f t="shared" si="8"/>
        <v>-7.2979417322834861E-3</v>
      </c>
    </row>
    <row r="482" spans="1:16" x14ac:dyDescent="0.35">
      <c r="A482" s="1">
        <v>24107</v>
      </c>
      <c r="B482">
        <v>1.0349000000000001E-2</v>
      </c>
      <c r="C482">
        <v>9.0589999999999993E-3</v>
      </c>
      <c r="D482">
        <v>2.8025000000000001E-2</v>
      </c>
      <c r="E482">
        <v>2.5533E-2</v>
      </c>
      <c r="F482">
        <v>423333782</v>
      </c>
      <c r="G482">
        <v>500</v>
      </c>
      <c r="H482">
        <v>415800188</v>
      </c>
      <c r="I482">
        <v>499</v>
      </c>
      <c r="J482">
        <v>92.43</v>
      </c>
      <c r="K482">
        <v>8.9510000000000006E-3</v>
      </c>
      <c r="L482">
        <v>0.33</v>
      </c>
      <c r="M482">
        <v>31.85</v>
      </c>
      <c r="N482">
        <f t="shared" si="6"/>
        <v>7.1767896389325347E-3</v>
      </c>
      <c r="O482">
        <f t="shared" si="7"/>
        <v>1.4992150706438778E-4</v>
      </c>
      <c r="P482">
        <f t="shared" si="8"/>
        <v>7.026868131868147E-3</v>
      </c>
    </row>
    <row r="483" spans="1:16" x14ac:dyDescent="0.35">
      <c r="A483" s="1">
        <v>24138</v>
      </c>
      <c r="B483">
        <v>5.705E-3</v>
      </c>
      <c r="C483">
        <v>4.8739999999999999E-3</v>
      </c>
      <c r="D483">
        <v>3.4103000000000001E-2</v>
      </c>
      <c r="E483">
        <v>3.2999000000000001E-2</v>
      </c>
      <c r="F483">
        <v>425748149</v>
      </c>
      <c r="G483">
        <v>500</v>
      </c>
      <c r="H483">
        <v>423333445</v>
      </c>
      <c r="I483">
        <v>499</v>
      </c>
      <c r="J483">
        <v>92.88</v>
      </c>
      <c r="K483">
        <v>4.8690000000000001E-3</v>
      </c>
      <c r="L483">
        <v>0.38</v>
      </c>
      <c r="M483">
        <v>31.88</v>
      </c>
      <c r="N483">
        <f t="shared" si="6"/>
        <v>4.7586025721457759E-3</v>
      </c>
      <c r="O483">
        <f t="shared" si="7"/>
        <v>2.8553952321206388E-3</v>
      </c>
      <c r="P483">
        <f t="shared" si="8"/>
        <v>1.903207340025137E-3</v>
      </c>
    </row>
    <row r="484" spans="1:16" x14ac:dyDescent="0.35">
      <c r="A484" s="1">
        <v>24166</v>
      </c>
      <c r="B484">
        <v>-1.2749999999999999E-2</v>
      </c>
      <c r="C484">
        <v>-1.7548000000000001E-2</v>
      </c>
      <c r="D484">
        <v>3.274E-3</v>
      </c>
      <c r="E484">
        <v>-4.44E-4</v>
      </c>
      <c r="F484">
        <v>418310384</v>
      </c>
      <c r="G484">
        <v>500</v>
      </c>
      <c r="H484">
        <v>425748149</v>
      </c>
      <c r="I484">
        <v>500</v>
      </c>
      <c r="J484">
        <v>91.22</v>
      </c>
      <c r="K484">
        <v>-1.7873E-2</v>
      </c>
      <c r="L484">
        <v>0.35</v>
      </c>
      <c r="M484">
        <v>32.08</v>
      </c>
      <c r="N484">
        <f t="shared" si="6"/>
        <v>-1.8904925187032462E-2</v>
      </c>
      <c r="O484">
        <f t="shared" si="7"/>
        <v>-2.7562344139649975E-3</v>
      </c>
      <c r="P484">
        <f t="shared" si="8"/>
        <v>-1.6148690773067464E-2</v>
      </c>
    </row>
    <row r="485" spans="1:16" x14ac:dyDescent="0.35">
      <c r="A485" s="1">
        <v>24197</v>
      </c>
      <c r="B485">
        <v>-2.3040999999999999E-2</v>
      </c>
      <c r="C485">
        <v>-2.4608000000000001E-2</v>
      </c>
      <c r="D485">
        <v>-2.3868E-2</v>
      </c>
      <c r="E485">
        <v>-2.6598E-2</v>
      </c>
      <c r="F485">
        <v>408117420</v>
      </c>
      <c r="G485">
        <v>500</v>
      </c>
      <c r="H485">
        <v>418310384</v>
      </c>
      <c r="I485">
        <v>500</v>
      </c>
      <c r="J485">
        <v>89.23</v>
      </c>
      <c r="K485">
        <v>-2.1815000000000001E-2</v>
      </c>
      <c r="L485">
        <v>0.38</v>
      </c>
      <c r="M485">
        <v>32.18</v>
      </c>
      <c r="N485">
        <f t="shared" si="6"/>
        <v>-2.6076919825978817E-2</v>
      </c>
      <c r="O485">
        <f t="shared" si="7"/>
        <v>6.8067122436299421E-4</v>
      </c>
      <c r="P485">
        <f t="shared" si="8"/>
        <v>-2.6757591050341811E-2</v>
      </c>
    </row>
    <row r="486" spans="1:16" x14ac:dyDescent="0.35">
      <c r="A486" s="1">
        <v>24226</v>
      </c>
      <c r="B486">
        <v>2.2158000000000001E-2</v>
      </c>
      <c r="C486">
        <v>2.1250000000000002E-2</v>
      </c>
      <c r="D486">
        <v>2.5063999999999999E-2</v>
      </c>
      <c r="E486">
        <v>2.3883999999999999E-2</v>
      </c>
      <c r="F486">
        <v>416599135</v>
      </c>
      <c r="G486">
        <v>500</v>
      </c>
      <c r="H486">
        <v>407930688</v>
      </c>
      <c r="I486">
        <v>499</v>
      </c>
      <c r="J486">
        <v>91.06</v>
      </c>
      <c r="K486">
        <v>2.0508999999999999E-2</v>
      </c>
      <c r="L486">
        <v>0.34</v>
      </c>
      <c r="M486">
        <v>32.28</v>
      </c>
      <c r="N486">
        <f t="shared" si="6"/>
        <v>1.8991463444857359E-2</v>
      </c>
      <c r="O486">
        <f t="shared" si="7"/>
        <v>2.9157372986365893E-4</v>
      </c>
      <c r="P486">
        <f t="shared" si="8"/>
        <v>1.86998897149937E-2</v>
      </c>
    </row>
    <row r="487" spans="1:16" x14ac:dyDescent="0.35">
      <c r="A487" s="1">
        <v>24258</v>
      </c>
      <c r="B487">
        <v>-4.9140000000000003E-2</v>
      </c>
      <c r="C487">
        <v>-5.4644999999999999E-2</v>
      </c>
      <c r="D487">
        <v>-6.7309999999999995E-2</v>
      </c>
      <c r="E487">
        <v>-7.1516999999999997E-2</v>
      </c>
      <c r="F487">
        <v>394455866</v>
      </c>
      <c r="G487">
        <v>500</v>
      </c>
      <c r="H487">
        <v>417005608</v>
      </c>
      <c r="I487">
        <v>499</v>
      </c>
      <c r="J487">
        <v>86.13</v>
      </c>
      <c r="K487">
        <v>-5.4140000000000001E-2</v>
      </c>
      <c r="L487">
        <v>0.41</v>
      </c>
      <c r="M487">
        <v>32.35</v>
      </c>
      <c r="N487">
        <f t="shared" si="6"/>
        <v>-5.1197502318392485E-2</v>
      </c>
      <c r="O487">
        <f t="shared" si="7"/>
        <v>1.9272952086553108E-3</v>
      </c>
      <c r="P487">
        <f t="shared" si="8"/>
        <v>-5.3124797527047796E-2</v>
      </c>
    </row>
    <row r="488" spans="1:16" x14ac:dyDescent="0.35">
      <c r="A488" s="1">
        <v>24288</v>
      </c>
      <c r="B488">
        <v>-1.438E-2</v>
      </c>
      <c r="C488">
        <v>-1.5904000000000001E-2</v>
      </c>
      <c r="D488">
        <v>-1.0593E-2</v>
      </c>
      <c r="E488">
        <v>-1.3318E-2</v>
      </c>
      <c r="F488">
        <v>388660306</v>
      </c>
      <c r="G488">
        <v>500</v>
      </c>
      <c r="H488">
        <v>394433324</v>
      </c>
      <c r="I488">
        <v>500</v>
      </c>
      <c r="J488">
        <v>84.74</v>
      </c>
      <c r="K488">
        <v>-1.6138E-2</v>
      </c>
      <c r="L488">
        <v>0.38</v>
      </c>
      <c r="M488">
        <v>32.380000000000003</v>
      </c>
      <c r="N488">
        <f t="shared" si="6"/>
        <v>-1.5293174799258846E-2</v>
      </c>
      <c r="O488">
        <f t="shared" si="7"/>
        <v>2.869981470043248E-3</v>
      </c>
      <c r="P488">
        <f t="shared" si="8"/>
        <v>-1.8163156269302094E-2</v>
      </c>
    </row>
    <row r="489" spans="1:16" x14ac:dyDescent="0.35">
      <c r="A489" s="1">
        <v>24317</v>
      </c>
      <c r="B489">
        <v>-1.2128999999999999E-2</v>
      </c>
      <c r="C489">
        <v>-1.3039E-2</v>
      </c>
      <c r="D489">
        <v>-1.2030000000000001E-2</v>
      </c>
      <c r="E489">
        <v>-1.3254999999999999E-2</v>
      </c>
      <c r="F489">
        <v>383490284</v>
      </c>
      <c r="G489">
        <v>500</v>
      </c>
      <c r="H489">
        <v>388660306</v>
      </c>
      <c r="I489">
        <v>500</v>
      </c>
      <c r="J489">
        <v>83.6</v>
      </c>
      <c r="K489">
        <v>-1.3453E-2</v>
      </c>
      <c r="L489">
        <v>0.35</v>
      </c>
      <c r="M489">
        <v>32.450000000000003</v>
      </c>
      <c r="N489">
        <f t="shared" si="6"/>
        <v>-1.4260000616332813E-2</v>
      </c>
      <c r="O489">
        <f t="shared" si="7"/>
        <v>1.3352850539292138E-3</v>
      </c>
      <c r="P489">
        <f t="shared" si="8"/>
        <v>-1.5595285670262027E-2</v>
      </c>
    </row>
    <row r="490" spans="1:16" x14ac:dyDescent="0.35">
      <c r="A490" s="1">
        <v>24350</v>
      </c>
      <c r="B490">
        <v>-7.1650000000000005E-2</v>
      </c>
      <c r="C490">
        <v>-7.7487E-2</v>
      </c>
      <c r="D490">
        <v>-8.6738999999999997E-2</v>
      </c>
      <c r="E490">
        <v>-9.1722999999999999E-2</v>
      </c>
      <c r="F490">
        <v>353773060</v>
      </c>
      <c r="G490">
        <v>500</v>
      </c>
      <c r="H490">
        <v>383490284</v>
      </c>
      <c r="I490">
        <v>500</v>
      </c>
      <c r="J490">
        <v>77.099999999999994</v>
      </c>
      <c r="K490">
        <v>-7.7751000000000001E-2</v>
      </c>
      <c r="L490">
        <v>0.41</v>
      </c>
      <c r="M490">
        <v>32.65</v>
      </c>
      <c r="N490">
        <f t="shared" si="6"/>
        <v>-7.7336676875956911E-2</v>
      </c>
      <c r="O490">
        <f t="shared" si="7"/>
        <v>-2.0506891271054872E-3</v>
      </c>
      <c r="P490">
        <f t="shared" si="8"/>
        <v>-7.5285987748851424E-2</v>
      </c>
    </row>
    <row r="491" spans="1:16" x14ac:dyDescent="0.35">
      <c r="A491" s="1">
        <v>24380</v>
      </c>
      <c r="B491">
        <v>-6.2440000000000004E-3</v>
      </c>
      <c r="C491">
        <v>-7.6920000000000001E-3</v>
      </c>
      <c r="D491">
        <v>-1.3219E-2</v>
      </c>
      <c r="E491">
        <v>-1.5998999999999999E-2</v>
      </c>
      <c r="F491">
        <v>350550909</v>
      </c>
      <c r="G491">
        <v>500</v>
      </c>
      <c r="H491">
        <v>353213086</v>
      </c>
      <c r="I491">
        <v>500</v>
      </c>
      <c r="J491">
        <v>76.56</v>
      </c>
      <c r="K491">
        <v>-7.0039999999999998E-3</v>
      </c>
      <c r="L491">
        <v>0.4</v>
      </c>
      <c r="M491">
        <v>32.75</v>
      </c>
      <c r="N491">
        <f t="shared" si="6"/>
        <v>-9.2783694656488613E-3</v>
      </c>
      <c r="O491">
        <f t="shared" si="7"/>
        <v>9.3435114503814809E-4</v>
      </c>
      <c r="P491">
        <f t="shared" si="8"/>
        <v>-1.0212720610687009E-2</v>
      </c>
    </row>
    <row r="492" spans="1:16" x14ac:dyDescent="0.35">
      <c r="A492" s="1">
        <v>24411</v>
      </c>
      <c r="B492">
        <v>4.8333000000000001E-2</v>
      </c>
      <c r="C492">
        <v>4.7244000000000001E-2</v>
      </c>
      <c r="D492">
        <v>2.5877000000000001E-2</v>
      </c>
      <c r="E492">
        <v>2.4216999999999999E-2</v>
      </c>
      <c r="F492">
        <v>367237695</v>
      </c>
      <c r="G492">
        <v>500</v>
      </c>
      <c r="H492">
        <v>350670479</v>
      </c>
      <c r="I492">
        <v>500</v>
      </c>
      <c r="J492">
        <v>80.2</v>
      </c>
      <c r="K492">
        <v>4.7544000000000003E-2</v>
      </c>
      <c r="L492">
        <v>0.45</v>
      </c>
      <c r="M492">
        <v>32.85</v>
      </c>
      <c r="N492">
        <f t="shared" si="6"/>
        <v>4.5141727549467214E-2</v>
      </c>
      <c r="O492">
        <f t="shared" si="7"/>
        <v>1.4421613394215438E-3</v>
      </c>
      <c r="P492">
        <f t="shared" si="8"/>
        <v>4.3699566210045671E-2</v>
      </c>
    </row>
    <row r="493" spans="1:16" x14ac:dyDescent="0.35">
      <c r="A493" s="1">
        <v>24441</v>
      </c>
      <c r="B493">
        <v>1.1223E-2</v>
      </c>
      <c r="C493">
        <v>3.741E-3</v>
      </c>
      <c r="D493">
        <v>2.9148E-2</v>
      </c>
      <c r="E493">
        <v>2.2901999999999999E-2</v>
      </c>
      <c r="F493">
        <v>368733667</v>
      </c>
      <c r="G493">
        <v>500</v>
      </c>
      <c r="H493">
        <v>367237695</v>
      </c>
      <c r="I493">
        <v>500</v>
      </c>
      <c r="J493">
        <v>80.45</v>
      </c>
      <c r="K493">
        <v>3.117E-3</v>
      </c>
      <c r="L493">
        <v>0.4</v>
      </c>
      <c r="M493">
        <v>32.880000000000003</v>
      </c>
      <c r="N493">
        <f t="shared" si="6"/>
        <v>1.0300351277372277E-2</v>
      </c>
      <c r="O493">
        <f t="shared" si="7"/>
        <v>3.0839416058394686E-3</v>
      </c>
      <c r="P493">
        <f t="shared" si="8"/>
        <v>7.2164096715328085E-3</v>
      </c>
    </row>
    <row r="494" spans="1:16" x14ac:dyDescent="0.35">
      <c r="A494" s="1">
        <v>24471</v>
      </c>
      <c r="B494">
        <v>3.2600000000000001E-4</v>
      </c>
      <c r="C494">
        <v>-1.0889999999999999E-3</v>
      </c>
      <c r="D494">
        <v>1.2243E-2</v>
      </c>
      <c r="E494">
        <v>9.4079999999999997E-3</v>
      </c>
      <c r="F494">
        <v>372363869</v>
      </c>
      <c r="G494">
        <v>500</v>
      </c>
      <c r="H494">
        <v>369621207</v>
      </c>
      <c r="I494">
        <v>500</v>
      </c>
      <c r="J494">
        <v>80.33</v>
      </c>
      <c r="K494">
        <v>-1.4920000000000001E-3</v>
      </c>
      <c r="L494">
        <v>0.4</v>
      </c>
      <c r="M494">
        <v>32.92</v>
      </c>
      <c r="N494">
        <f t="shared" si="6"/>
        <v>-8.8946294046177155E-4</v>
      </c>
      <c r="O494">
        <f t="shared" si="7"/>
        <v>2.7800729040097227E-3</v>
      </c>
      <c r="P494">
        <f t="shared" si="8"/>
        <v>-3.6695358444714943E-3</v>
      </c>
    </row>
    <row r="495" spans="1:16" x14ac:dyDescent="0.35">
      <c r="A495" s="1">
        <v>24503</v>
      </c>
      <c r="B495">
        <v>7.9214999999999994E-2</v>
      </c>
      <c r="C495">
        <v>7.7723E-2</v>
      </c>
      <c r="D495">
        <v>0.123985</v>
      </c>
      <c r="E495">
        <v>0.12226099999999999</v>
      </c>
      <c r="F495">
        <v>401305139</v>
      </c>
      <c r="G495">
        <v>500</v>
      </c>
      <c r="H495">
        <v>372363869</v>
      </c>
      <c r="I495">
        <v>500</v>
      </c>
      <c r="J495">
        <v>86.61</v>
      </c>
      <c r="K495">
        <v>7.8177999999999997E-2</v>
      </c>
      <c r="L495">
        <v>0.43</v>
      </c>
      <c r="M495">
        <v>32.9</v>
      </c>
      <c r="N495">
        <f t="shared" si="6"/>
        <v>7.9871057750759977E-2</v>
      </c>
      <c r="O495">
        <f t="shared" si="7"/>
        <v>4.9105167173253417E-3</v>
      </c>
      <c r="P495">
        <f t="shared" si="8"/>
        <v>7.4960541033434636E-2</v>
      </c>
    </row>
    <row r="496" spans="1:16" x14ac:dyDescent="0.35">
      <c r="A496" s="1">
        <v>24531</v>
      </c>
      <c r="B496">
        <v>7.5139999999999998E-3</v>
      </c>
      <c r="C496">
        <v>2.4199999999999998E-3</v>
      </c>
      <c r="D496">
        <v>9.0060000000000001E-3</v>
      </c>
      <c r="E496">
        <v>4.6420000000000003E-3</v>
      </c>
      <c r="F496">
        <v>402304139</v>
      </c>
      <c r="G496">
        <v>500</v>
      </c>
      <c r="H496">
        <v>401333063</v>
      </c>
      <c r="I496">
        <v>500</v>
      </c>
      <c r="J496">
        <v>86.78</v>
      </c>
      <c r="K496">
        <v>1.9629999999999999E-3</v>
      </c>
      <c r="L496">
        <v>0.36</v>
      </c>
      <c r="M496">
        <v>33</v>
      </c>
      <c r="N496">
        <f t="shared" si="6"/>
        <v>4.4609272727273996E-3</v>
      </c>
      <c r="O496">
        <f t="shared" si="7"/>
        <v>5.5878787878782532E-4</v>
      </c>
      <c r="P496">
        <f t="shared" si="8"/>
        <v>3.9021393939395743E-3</v>
      </c>
    </row>
    <row r="497" spans="1:16" x14ac:dyDescent="0.35">
      <c r="A497" s="1">
        <v>24562</v>
      </c>
      <c r="B497">
        <v>4.1137E-2</v>
      </c>
      <c r="C497">
        <v>3.9544000000000003E-2</v>
      </c>
      <c r="D497">
        <v>5.0557999999999999E-2</v>
      </c>
      <c r="E497">
        <v>4.7743000000000001E-2</v>
      </c>
      <c r="F497">
        <v>418212081</v>
      </c>
      <c r="G497">
        <v>500</v>
      </c>
      <c r="H497">
        <v>402304139</v>
      </c>
      <c r="I497">
        <v>500</v>
      </c>
      <c r="J497">
        <v>90.2</v>
      </c>
      <c r="K497">
        <v>3.9410000000000001E-2</v>
      </c>
      <c r="L497">
        <v>0.39</v>
      </c>
      <c r="M497">
        <v>33</v>
      </c>
      <c r="N497">
        <f t="shared" si="6"/>
        <v>4.1136999999999979E-2</v>
      </c>
      <c r="O497">
        <f t="shared" si="7"/>
        <v>3.9000000000000146E-3</v>
      </c>
      <c r="P497">
        <f t="shared" si="8"/>
        <v>3.7236999999999965E-2</v>
      </c>
    </row>
    <row r="498" spans="1:16" x14ac:dyDescent="0.35">
      <c r="A498" s="1">
        <v>24590</v>
      </c>
      <c r="B498">
        <v>4.3371E-2</v>
      </c>
      <c r="C498">
        <v>4.2543999999999998E-2</v>
      </c>
      <c r="D498">
        <v>3.7676000000000001E-2</v>
      </c>
      <c r="E498">
        <v>3.6484000000000003E-2</v>
      </c>
      <c r="F498">
        <v>436290712</v>
      </c>
      <c r="G498">
        <v>500</v>
      </c>
      <c r="H498">
        <v>418494922</v>
      </c>
      <c r="I498">
        <v>500</v>
      </c>
      <c r="J498">
        <v>94.01</v>
      </c>
      <c r="K498">
        <v>4.2238999999999999E-2</v>
      </c>
      <c r="L498">
        <v>0.32</v>
      </c>
      <c r="M498">
        <v>33.1</v>
      </c>
      <c r="N498">
        <f t="shared" si="6"/>
        <v>4.0218821752265876E-2</v>
      </c>
      <c r="O498">
        <f t="shared" si="7"/>
        <v>1.6918429003021096E-4</v>
      </c>
      <c r="P498">
        <f t="shared" si="8"/>
        <v>4.0049637462235665E-2</v>
      </c>
    </row>
    <row r="499" spans="1:16" x14ac:dyDescent="0.35">
      <c r="A499" s="1">
        <v>24623</v>
      </c>
      <c r="B499">
        <v>-4.6809999999999997E-2</v>
      </c>
      <c r="C499">
        <v>-5.2313999999999999E-2</v>
      </c>
      <c r="D499">
        <v>-2.8493999999999998E-2</v>
      </c>
      <c r="E499">
        <v>-3.3227E-2</v>
      </c>
      <c r="F499">
        <v>416746784</v>
      </c>
      <c r="G499">
        <v>500</v>
      </c>
      <c r="H499">
        <v>439782345</v>
      </c>
      <c r="I499">
        <v>500</v>
      </c>
      <c r="J499">
        <v>89.08</v>
      </c>
      <c r="K499">
        <v>-5.2441000000000002E-2</v>
      </c>
      <c r="L499">
        <v>0.33</v>
      </c>
      <c r="M499">
        <v>33.1</v>
      </c>
      <c r="N499">
        <f t="shared" si="6"/>
        <v>-4.6810000000000018E-2</v>
      </c>
      <c r="O499">
        <f t="shared" si="7"/>
        <v>3.3000000000000806E-3</v>
      </c>
      <c r="P499">
        <f t="shared" si="8"/>
        <v>-5.0110000000000099E-2</v>
      </c>
    </row>
    <row r="500" spans="1:16" x14ac:dyDescent="0.35">
      <c r="A500" s="1">
        <v>24653</v>
      </c>
      <c r="B500">
        <v>1.9318999999999999E-2</v>
      </c>
      <c r="C500">
        <v>1.8015E-2</v>
      </c>
      <c r="D500">
        <v>3.6535999999999999E-2</v>
      </c>
      <c r="E500">
        <v>3.4047000000000001E-2</v>
      </c>
      <c r="F500">
        <v>424489155</v>
      </c>
      <c r="G500">
        <v>500</v>
      </c>
      <c r="H500">
        <v>416844210</v>
      </c>
      <c r="I500">
        <v>500</v>
      </c>
      <c r="J500">
        <v>90.64</v>
      </c>
      <c r="K500">
        <v>1.7512E-2</v>
      </c>
      <c r="L500">
        <v>0.27</v>
      </c>
      <c r="M500">
        <v>33.299999999999997</v>
      </c>
      <c r="N500">
        <f t="shared" si="6"/>
        <v>1.3196963963964192E-2</v>
      </c>
      <c r="O500">
        <f t="shared" si="7"/>
        <v>-3.3222222222222264E-3</v>
      </c>
      <c r="P500">
        <f t="shared" si="8"/>
        <v>1.6519186186186419E-2</v>
      </c>
    </row>
    <row r="501" spans="1:16" x14ac:dyDescent="0.35">
      <c r="A501" s="1">
        <v>24684</v>
      </c>
      <c r="B501">
        <v>4.6454000000000002E-2</v>
      </c>
      <c r="C501">
        <v>4.5622999999999997E-2</v>
      </c>
      <c r="D501">
        <v>6.7560999999999996E-2</v>
      </c>
      <c r="E501">
        <v>6.6295999999999994E-2</v>
      </c>
      <c r="F501">
        <v>443352887</v>
      </c>
      <c r="G501">
        <v>500</v>
      </c>
      <c r="H501">
        <v>423964182</v>
      </c>
      <c r="I501">
        <v>499</v>
      </c>
      <c r="J501">
        <v>94.75</v>
      </c>
      <c r="K501">
        <v>4.5344000000000002E-2</v>
      </c>
      <c r="L501">
        <v>0.31</v>
      </c>
      <c r="M501">
        <v>33.4</v>
      </c>
      <c r="N501">
        <f t="shared" si="6"/>
        <v>4.3320904191616716E-2</v>
      </c>
      <c r="O501">
        <f t="shared" si="7"/>
        <v>9.6706586826478258E-5</v>
      </c>
      <c r="P501">
        <f t="shared" si="8"/>
        <v>4.3224197604790238E-2</v>
      </c>
    </row>
    <row r="502" spans="1:16" x14ac:dyDescent="0.35">
      <c r="A502" s="1">
        <v>24715</v>
      </c>
      <c r="B502">
        <v>-6.8240000000000002E-3</v>
      </c>
      <c r="C502">
        <v>-1.2197E-2</v>
      </c>
      <c r="D502">
        <v>4.6670000000000001E-3</v>
      </c>
      <c r="E502">
        <v>3.5799999999999997E-4</v>
      </c>
      <c r="F502">
        <v>438076799</v>
      </c>
      <c r="G502">
        <v>500</v>
      </c>
      <c r="H502">
        <v>443495732</v>
      </c>
      <c r="I502">
        <v>499</v>
      </c>
      <c r="J502">
        <v>93.64</v>
      </c>
      <c r="K502">
        <v>-1.1715E-2</v>
      </c>
      <c r="L502">
        <v>0.31</v>
      </c>
      <c r="M502">
        <v>33.5</v>
      </c>
      <c r="N502">
        <f t="shared" si="6"/>
        <v>-9.7887044776120424E-3</v>
      </c>
      <c r="O502">
        <f t="shared" si="7"/>
        <v>1.0567164179109412E-4</v>
      </c>
      <c r="P502">
        <f t="shared" si="8"/>
        <v>-9.8943761194031365E-3</v>
      </c>
    </row>
    <row r="503" spans="1:16" x14ac:dyDescent="0.35">
      <c r="A503" s="1">
        <v>24744</v>
      </c>
      <c r="B503">
        <v>3.3814999999999998E-2</v>
      </c>
      <c r="C503">
        <v>3.2597000000000001E-2</v>
      </c>
      <c r="D503">
        <v>2.6207000000000001E-2</v>
      </c>
      <c r="E503">
        <v>2.3875E-2</v>
      </c>
      <c r="F503">
        <v>452224639</v>
      </c>
      <c r="G503">
        <v>500</v>
      </c>
      <c r="H503">
        <v>437391833</v>
      </c>
      <c r="I503">
        <v>498</v>
      </c>
      <c r="J503">
        <v>96.71</v>
      </c>
      <c r="K503">
        <v>3.2785000000000002E-2</v>
      </c>
      <c r="L503">
        <v>0.32</v>
      </c>
      <c r="M503">
        <v>33.6</v>
      </c>
      <c r="N503">
        <f t="shared" si="6"/>
        <v>3.0738169642857027E-2</v>
      </c>
      <c r="O503">
        <f t="shared" si="7"/>
        <v>2.1428571428594445E-4</v>
      </c>
      <c r="P503">
        <f t="shared" si="8"/>
        <v>3.0523883928571083E-2</v>
      </c>
    </row>
    <row r="504" spans="1:16" x14ac:dyDescent="0.35">
      <c r="A504" s="1">
        <v>24776</v>
      </c>
      <c r="B504">
        <v>-2.7448E-2</v>
      </c>
      <c r="C504">
        <v>-2.8701000000000001E-2</v>
      </c>
      <c r="D504">
        <v>-4.9521000000000003E-2</v>
      </c>
      <c r="E504">
        <v>-5.1077999999999998E-2</v>
      </c>
      <c r="F504">
        <v>439871866</v>
      </c>
      <c r="G504">
        <v>500</v>
      </c>
      <c r="H504">
        <v>452389733</v>
      </c>
      <c r="I504">
        <v>499</v>
      </c>
      <c r="J504">
        <v>93.9</v>
      </c>
      <c r="K504">
        <v>-2.9055999999999998E-2</v>
      </c>
      <c r="L504">
        <v>0.39</v>
      </c>
      <c r="M504">
        <v>33.700000000000003</v>
      </c>
      <c r="N504">
        <f t="shared" si="6"/>
        <v>-3.0333910979228551E-2</v>
      </c>
      <c r="O504">
        <f t="shared" si="7"/>
        <v>9.2106824925797248E-4</v>
      </c>
      <c r="P504">
        <f t="shared" si="8"/>
        <v>-3.1254979228486524E-2</v>
      </c>
    </row>
    <row r="505" spans="1:16" x14ac:dyDescent="0.35">
      <c r="A505" s="1">
        <v>24806</v>
      </c>
      <c r="B505">
        <v>6.4349999999999997E-3</v>
      </c>
      <c r="C505">
        <v>5.3300000000000005E-4</v>
      </c>
      <c r="D505">
        <v>-4.46E-4</v>
      </c>
      <c r="E505">
        <v>-5.1200000000000004E-3</v>
      </c>
      <c r="F505">
        <v>440401932</v>
      </c>
      <c r="G505">
        <v>500</v>
      </c>
      <c r="H505">
        <v>440167631</v>
      </c>
      <c r="I505">
        <v>500</v>
      </c>
      <c r="J505">
        <v>94</v>
      </c>
      <c r="K505">
        <v>1.065E-3</v>
      </c>
      <c r="L505">
        <v>0.36</v>
      </c>
      <c r="M505">
        <v>33.9</v>
      </c>
      <c r="N505">
        <f t="shared" si="6"/>
        <v>4.9733038348098724E-4</v>
      </c>
      <c r="O505">
        <f t="shared" si="7"/>
        <v>-2.3209439528021347E-3</v>
      </c>
      <c r="P505">
        <f t="shared" si="8"/>
        <v>2.818274336283122E-3</v>
      </c>
    </row>
    <row r="506" spans="1:16" x14ac:dyDescent="0.35">
      <c r="A506" s="1">
        <v>24835</v>
      </c>
      <c r="B506">
        <v>2.7078999999999999E-2</v>
      </c>
      <c r="C506">
        <v>2.5857000000000002E-2</v>
      </c>
      <c r="D506">
        <v>4.5376E-2</v>
      </c>
      <c r="E506">
        <v>4.2955E-2</v>
      </c>
      <c r="F506">
        <v>458595138</v>
      </c>
      <c r="G506">
        <v>500</v>
      </c>
      <c r="H506">
        <v>440401932</v>
      </c>
      <c r="I506">
        <v>500</v>
      </c>
      <c r="J506">
        <v>96.47</v>
      </c>
      <c r="K506">
        <v>2.6276999999999998E-2</v>
      </c>
      <c r="L506">
        <v>0.33</v>
      </c>
      <c r="M506">
        <v>34</v>
      </c>
      <c r="N506">
        <f t="shared" si="6"/>
        <v>2.4058179411764691E-2</v>
      </c>
      <c r="O506">
        <f t="shared" si="7"/>
        <v>3.4911764705891635E-4</v>
      </c>
      <c r="P506">
        <f t="shared" si="8"/>
        <v>2.3709061764705774E-2</v>
      </c>
    </row>
    <row r="507" spans="1:16" x14ac:dyDescent="0.35">
      <c r="A507" s="1">
        <v>24868</v>
      </c>
      <c r="B507">
        <v>-4.1875000000000002E-2</v>
      </c>
      <c r="C507">
        <v>-4.3522999999999999E-2</v>
      </c>
      <c r="D507">
        <v>-1.2453000000000001E-2</v>
      </c>
      <c r="E507">
        <v>-1.4206999999999999E-2</v>
      </c>
      <c r="F507">
        <v>439307565</v>
      </c>
      <c r="G507">
        <v>500</v>
      </c>
      <c r="H507">
        <v>458819114</v>
      </c>
      <c r="I507">
        <v>497</v>
      </c>
      <c r="J507">
        <v>92.24</v>
      </c>
      <c r="K507">
        <v>-4.3847999999999998E-2</v>
      </c>
      <c r="L507">
        <v>0.4</v>
      </c>
      <c r="M507">
        <v>34.1</v>
      </c>
      <c r="N507">
        <f t="shared" si="6"/>
        <v>-4.4684750733137824E-2</v>
      </c>
      <c r="O507">
        <f t="shared" si="7"/>
        <v>1.0557184750734638E-3</v>
      </c>
      <c r="P507">
        <f t="shared" si="8"/>
        <v>-4.5740469208211287E-2</v>
      </c>
    </row>
    <row r="508" spans="1:16" x14ac:dyDescent="0.35">
      <c r="A508" s="1">
        <v>24897</v>
      </c>
      <c r="B508">
        <v>-2.69E-2</v>
      </c>
      <c r="C508">
        <v>-3.1973000000000001E-2</v>
      </c>
      <c r="D508">
        <v>-3.0877000000000002E-2</v>
      </c>
      <c r="E508">
        <v>-3.5071999999999999E-2</v>
      </c>
      <c r="F508">
        <v>425370940</v>
      </c>
      <c r="G508">
        <v>500</v>
      </c>
      <c r="H508">
        <v>439420337</v>
      </c>
      <c r="I508">
        <v>500</v>
      </c>
      <c r="J508">
        <v>89.36</v>
      </c>
      <c r="K508">
        <v>-3.1223000000000001E-2</v>
      </c>
      <c r="L508">
        <v>0.39</v>
      </c>
      <c r="M508">
        <v>34.200000000000003</v>
      </c>
      <c r="N508">
        <f t="shared" si="6"/>
        <v>-2.9745321637426936E-2</v>
      </c>
      <c r="O508">
        <f t="shared" si="7"/>
        <v>9.6461988304086255E-4</v>
      </c>
      <c r="P508">
        <f t="shared" si="8"/>
        <v>-3.0709941520467798E-2</v>
      </c>
    </row>
    <row r="509" spans="1:16" x14ac:dyDescent="0.35">
      <c r="A509" s="1">
        <v>24926</v>
      </c>
      <c r="B509">
        <v>9.6959999999999998E-3</v>
      </c>
      <c r="C509">
        <v>8.5850000000000006E-3</v>
      </c>
      <c r="D509">
        <v>3.8249999999999998E-3</v>
      </c>
      <c r="E509">
        <v>1.547E-3</v>
      </c>
      <c r="F509">
        <v>429322070</v>
      </c>
      <c r="G509">
        <v>500</v>
      </c>
      <c r="H509">
        <v>425346701</v>
      </c>
      <c r="I509">
        <v>499</v>
      </c>
      <c r="J509">
        <v>90.2</v>
      </c>
      <c r="K509">
        <v>9.4000000000000004E-3</v>
      </c>
      <c r="L509">
        <v>0.38</v>
      </c>
      <c r="M509">
        <v>34.299999999999997</v>
      </c>
      <c r="N509">
        <f t="shared" si="6"/>
        <v>6.7522798833818953E-3</v>
      </c>
      <c r="O509">
        <f t="shared" si="7"/>
        <v>8.7346938775545446E-4</v>
      </c>
      <c r="P509">
        <f t="shared" si="8"/>
        <v>5.8788104956264409E-3</v>
      </c>
    </row>
    <row r="510" spans="1:16" x14ac:dyDescent="0.35">
      <c r="A510" s="1">
        <v>24958</v>
      </c>
      <c r="B510">
        <v>8.4092E-2</v>
      </c>
      <c r="C510">
        <v>8.2641999999999993E-2</v>
      </c>
      <c r="D510">
        <v>0.102252</v>
      </c>
      <c r="E510">
        <v>0.100449</v>
      </c>
      <c r="F510">
        <v>464746222</v>
      </c>
      <c r="G510">
        <v>500</v>
      </c>
      <c r="H510">
        <v>429261697</v>
      </c>
      <c r="I510">
        <v>500</v>
      </c>
      <c r="J510">
        <v>97.59</v>
      </c>
      <c r="K510">
        <v>8.1929000000000002E-2</v>
      </c>
      <c r="L510">
        <v>0.43</v>
      </c>
      <c r="M510">
        <v>34.4</v>
      </c>
      <c r="N510">
        <f t="shared" si="6"/>
        <v>8.0940569767441906E-2</v>
      </c>
      <c r="O510">
        <f t="shared" si="7"/>
        <v>1.380523255813948E-3</v>
      </c>
      <c r="P510">
        <f t="shared" si="8"/>
        <v>7.9560046511627958E-2</v>
      </c>
    </row>
    <row r="511" spans="1:16" x14ac:dyDescent="0.35">
      <c r="A511" s="1">
        <v>24989</v>
      </c>
      <c r="B511">
        <v>1.6374E-2</v>
      </c>
      <c r="C511">
        <v>1.1103999999999999E-2</v>
      </c>
      <c r="D511">
        <v>4.2875999999999997E-2</v>
      </c>
      <c r="E511">
        <v>3.8751000000000001E-2</v>
      </c>
      <c r="F511">
        <v>470465040</v>
      </c>
      <c r="G511">
        <v>500</v>
      </c>
      <c r="H511">
        <v>465298418</v>
      </c>
      <c r="I511">
        <v>500</v>
      </c>
      <c r="J511">
        <v>98.68</v>
      </c>
      <c r="K511">
        <v>1.1169E-2</v>
      </c>
      <c r="L511">
        <v>0.45</v>
      </c>
      <c r="M511">
        <v>34.5</v>
      </c>
      <c r="N511">
        <f t="shared" si="6"/>
        <v>1.3427988405796842E-2</v>
      </c>
      <c r="O511">
        <f t="shared" si="7"/>
        <v>1.5884057971013998E-3</v>
      </c>
      <c r="P511">
        <f t="shared" si="8"/>
        <v>1.1839582608695443E-2</v>
      </c>
    </row>
    <row r="512" spans="1:16" x14ac:dyDescent="0.35">
      <c r="A512" s="1">
        <v>25017</v>
      </c>
      <c r="B512">
        <v>9.9159999999999995E-3</v>
      </c>
      <c r="C512">
        <v>8.6949999999999996E-3</v>
      </c>
      <c r="D512">
        <v>2.0069E-2</v>
      </c>
      <c r="E512">
        <v>1.7867999999999998E-2</v>
      </c>
      <c r="F512">
        <v>474369191</v>
      </c>
      <c r="G512">
        <v>500</v>
      </c>
      <c r="H512">
        <v>470280820</v>
      </c>
      <c r="I512">
        <v>500</v>
      </c>
      <c r="J512">
        <v>99.58</v>
      </c>
      <c r="K512">
        <v>9.1199999999999996E-3</v>
      </c>
      <c r="L512">
        <v>0.43</v>
      </c>
      <c r="M512">
        <v>34.700000000000003</v>
      </c>
      <c r="N512">
        <f t="shared" si="6"/>
        <v>4.095158501441043E-3</v>
      </c>
      <c r="O512">
        <f t="shared" si="7"/>
        <v>-1.4884726224784206E-3</v>
      </c>
      <c r="P512">
        <f t="shared" si="8"/>
        <v>5.5836311239194636E-3</v>
      </c>
    </row>
    <row r="513" spans="1:16" x14ac:dyDescent="0.35">
      <c r="A513" s="1">
        <v>25049</v>
      </c>
      <c r="B513">
        <v>-1.7444000000000001E-2</v>
      </c>
      <c r="C513">
        <v>-1.8664E-2</v>
      </c>
      <c r="D513">
        <v>-2.6166999999999999E-2</v>
      </c>
      <c r="E513">
        <v>-2.7628E-2</v>
      </c>
      <c r="F513">
        <v>465054666</v>
      </c>
      <c r="G513">
        <v>500</v>
      </c>
      <c r="H513">
        <v>473678580</v>
      </c>
      <c r="I513">
        <v>498</v>
      </c>
      <c r="J513">
        <v>97.74</v>
      </c>
      <c r="K513">
        <v>-1.8478000000000001E-2</v>
      </c>
      <c r="L513">
        <v>0.48</v>
      </c>
      <c r="M513">
        <v>34.9</v>
      </c>
      <c r="N513">
        <f t="shared" si="6"/>
        <v>-2.3074693409741998E-2</v>
      </c>
      <c r="O513">
        <f t="shared" si="7"/>
        <v>-9.5816618911170881E-4</v>
      </c>
      <c r="P513">
        <f t="shared" si="8"/>
        <v>-2.2116527220630289E-2</v>
      </c>
    </row>
    <row r="514" spans="1:16" x14ac:dyDescent="0.35">
      <c r="A514" s="1">
        <v>25080</v>
      </c>
      <c r="B514">
        <v>1.6414999999999999E-2</v>
      </c>
      <c r="C514">
        <v>1.1259E-2</v>
      </c>
      <c r="D514">
        <v>2.5885999999999999E-2</v>
      </c>
      <c r="E514">
        <v>2.1767999999999999E-2</v>
      </c>
      <c r="F514">
        <v>468973664</v>
      </c>
      <c r="G514">
        <v>500</v>
      </c>
      <c r="H514">
        <v>462970555</v>
      </c>
      <c r="I514">
        <v>499</v>
      </c>
      <c r="J514">
        <v>98.86</v>
      </c>
      <c r="K514">
        <v>1.1459E-2</v>
      </c>
      <c r="L514">
        <v>0.42</v>
      </c>
      <c r="M514">
        <v>35</v>
      </c>
      <c r="N514">
        <f t="shared" si="6"/>
        <v>1.3510957142857105E-2</v>
      </c>
      <c r="O514">
        <f t="shared" si="7"/>
        <v>1.3308571428571891E-3</v>
      </c>
      <c r="P514">
        <f t="shared" si="8"/>
        <v>1.2180099999999916E-2</v>
      </c>
    </row>
    <row r="515" spans="1:16" x14ac:dyDescent="0.35">
      <c r="A515" s="1">
        <v>25111</v>
      </c>
      <c r="B515">
        <v>3.9350999999999997E-2</v>
      </c>
      <c r="C515">
        <v>3.8210000000000001E-2</v>
      </c>
      <c r="D515">
        <v>5.4931000000000001E-2</v>
      </c>
      <c r="E515">
        <v>5.2878000000000001E-2</v>
      </c>
      <c r="F515">
        <v>486880957</v>
      </c>
      <c r="G515">
        <v>500</v>
      </c>
      <c r="H515">
        <v>468930939</v>
      </c>
      <c r="I515">
        <v>500</v>
      </c>
      <c r="J515">
        <v>102.67</v>
      </c>
      <c r="K515">
        <v>3.8538999999999997E-2</v>
      </c>
      <c r="L515">
        <v>0.43</v>
      </c>
      <c r="M515">
        <v>35.1</v>
      </c>
      <c r="N515">
        <f t="shared" si="6"/>
        <v>3.638988603988591E-2</v>
      </c>
      <c r="O515">
        <f t="shared" si="7"/>
        <v>1.4387464387464188E-3</v>
      </c>
      <c r="P515">
        <f t="shared" si="8"/>
        <v>3.4951139601139491E-2</v>
      </c>
    </row>
    <row r="516" spans="1:16" x14ac:dyDescent="0.35">
      <c r="A516" s="1">
        <v>25142</v>
      </c>
      <c r="B516">
        <v>8.5869999999999991E-3</v>
      </c>
      <c r="C516">
        <v>6.7510000000000001E-3</v>
      </c>
      <c r="D516">
        <v>1.3221E-2</v>
      </c>
      <c r="E516">
        <v>1.1577E-2</v>
      </c>
      <c r="F516">
        <v>490167830</v>
      </c>
      <c r="G516">
        <v>500</v>
      </c>
      <c r="H516">
        <v>486880957</v>
      </c>
      <c r="I516">
        <v>500</v>
      </c>
      <c r="J516">
        <v>103.41</v>
      </c>
      <c r="K516">
        <v>7.208E-3</v>
      </c>
      <c r="L516">
        <v>0.44</v>
      </c>
      <c r="M516">
        <v>35.299999999999997</v>
      </c>
      <c r="N516">
        <f t="shared" si="6"/>
        <v>2.8726260623228583E-3</v>
      </c>
      <c r="O516">
        <f t="shared" si="7"/>
        <v>-1.2906515580735078E-3</v>
      </c>
      <c r="P516">
        <f t="shared" si="8"/>
        <v>4.1632776203963662E-3</v>
      </c>
    </row>
    <row r="517" spans="1:16" x14ac:dyDescent="0.35">
      <c r="A517" s="1">
        <v>25171</v>
      </c>
      <c r="B517">
        <v>5.3580000000000003E-2</v>
      </c>
      <c r="C517">
        <v>4.8659000000000001E-2</v>
      </c>
      <c r="D517">
        <v>6.8079000000000001E-2</v>
      </c>
      <c r="E517">
        <v>6.4312999999999995E-2</v>
      </c>
      <c r="F517">
        <v>514088024</v>
      </c>
      <c r="G517">
        <v>500</v>
      </c>
      <c r="H517">
        <v>490242725</v>
      </c>
      <c r="I517">
        <v>500</v>
      </c>
      <c r="J517">
        <v>108.37</v>
      </c>
      <c r="K517">
        <v>4.7964E-2</v>
      </c>
      <c r="L517">
        <v>0.42</v>
      </c>
      <c r="M517">
        <v>35.4</v>
      </c>
      <c r="N517">
        <f t="shared" si="6"/>
        <v>5.0603785310734395E-2</v>
      </c>
      <c r="O517">
        <f t="shared" si="7"/>
        <v>1.3632768361582226E-3</v>
      </c>
      <c r="P517">
        <f t="shared" si="8"/>
        <v>4.9240508474576172E-2</v>
      </c>
    </row>
    <row r="518" spans="1:16" x14ac:dyDescent="0.35">
      <c r="A518" s="1">
        <v>25203</v>
      </c>
      <c r="B518">
        <v>-4.0826000000000001E-2</v>
      </c>
      <c r="C518">
        <v>-4.2140999999999998E-2</v>
      </c>
      <c r="D518">
        <v>-2.4459999999999999E-2</v>
      </c>
      <c r="E518">
        <v>-2.665E-2</v>
      </c>
      <c r="F518">
        <v>500207694</v>
      </c>
      <c r="G518">
        <v>500</v>
      </c>
      <c r="H518">
        <v>513541225</v>
      </c>
      <c r="I518">
        <v>499</v>
      </c>
      <c r="J518">
        <v>103.86</v>
      </c>
      <c r="K518">
        <v>-4.1617000000000001E-2</v>
      </c>
      <c r="L518">
        <v>0.43</v>
      </c>
      <c r="M518">
        <v>35.6</v>
      </c>
      <c r="N518">
        <f t="shared" si="6"/>
        <v>-4.6214617977528238E-2</v>
      </c>
      <c r="O518">
        <f t="shared" si="7"/>
        <v>-1.3421348314607284E-3</v>
      </c>
      <c r="P518">
        <f t="shared" si="8"/>
        <v>-4.487248314606751E-2</v>
      </c>
    </row>
    <row r="519" spans="1:16" x14ac:dyDescent="0.35">
      <c r="A519" s="1">
        <v>25234</v>
      </c>
      <c r="B519">
        <v>-7.5469999999999999E-3</v>
      </c>
      <c r="C519">
        <v>-8.6119999999999999E-3</v>
      </c>
      <c r="D519">
        <v>-4.4980000000000003E-3</v>
      </c>
      <c r="E519">
        <v>-5.8100000000000001E-3</v>
      </c>
      <c r="F519">
        <v>497201143</v>
      </c>
      <c r="G519">
        <v>500</v>
      </c>
      <c r="H519">
        <v>501491726</v>
      </c>
      <c r="I519">
        <v>499</v>
      </c>
      <c r="J519">
        <v>103.01</v>
      </c>
      <c r="K519">
        <v>-8.1840000000000003E-3</v>
      </c>
      <c r="L519">
        <v>0.53</v>
      </c>
      <c r="M519">
        <v>35.700000000000003</v>
      </c>
      <c r="N519">
        <f t="shared" si="6"/>
        <v>-1.0326980392156959E-2</v>
      </c>
      <c r="O519">
        <f t="shared" si="7"/>
        <v>2.4840336134455132E-3</v>
      </c>
      <c r="P519">
        <f t="shared" si="8"/>
        <v>-1.2811014005602472E-2</v>
      </c>
    </row>
    <row r="520" spans="1:16" x14ac:dyDescent="0.35">
      <c r="A520" s="1">
        <v>25262</v>
      </c>
      <c r="B520">
        <v>-4.2320999999999998E-2</v>
      </c>
      <c r="C520">
        <v>-4.7384000000000003E-2</v>
      </c>
      <c r="D520">
        <v>-6.3397999999999996E-2</v>
      </c>
      <c r="E520">
        <v>-6.6977999999999996E-2</v>
      </c>
      <c r="F520">
        <v>473970955</v>
      </c>
      <c r="G520">
        <v>500</v>
      </c>
      <c r="H520">
        <v>497546914</v>
      </c>
      <c r="I520">
        <v>498</v>
      </c>
      <c r="J520">
        <v>98.13</v>
      </c>
      <c r="K520">
        <v>-4.7373999999999999E-2</v>
      </c>
      <c r="L520">
        <v>0.46</v>
      </c>
      <c r="M520">
        <v>35.799999999999997</v>
      </c>
      <c r="N520">
        <f t="shared" si="6"/>
        <v>-4.4996081005586608E-2</v>
      </c>
      <c r="O520">
        <f t="shared" si="7"/>
        <v>1.7938547486036072E-3</v>
      </c>
      <c r="P520">
        <f t="shared" si="8"/>
        <v>-4.6789935754190215E-2</v>
      </c>
    </row>
    <row r="521" spans="1:16" x14ac:dyDescent="0.35">
      <c r="A521" s="1">
        <v>25290</v>
      </c>
      <c r="B521">
        <v>3.4847000000000003E-2</v>
      </c>
      <c r="C521">
        <v>3.3598999999999997E-2</v>
      </c>
      <c r="D521">
        <v>2.1137E-2</v>
      </c>
      <c r="E521">
        <v>1.8877999999999999E-2</v>
      </c>
      <c r="F521">
        <v>490827770</v>
      </c>
      <c r="G521">
        <v>500</v>
      </c>
      <c r="H521">
        <v>474663421</v>
      </c>
      <c r="I521">
        <v>500</v>
      </c>
      <c r="J521">
        <v>101.51</v>
      </c>
      <c r="K521">
        <v>3.4444000000000002E-2</v>
      </c>
      <c r="L521">
        <v>0.46</v>
      </c>
      <c r="M521">
        <v>36.1</v>
      </c>
      <c r="N521">
        <f t="shared" si="6"/>
        <v>2.6247163434903076E-2</v>
      </c>
      <c r="O521">
        <f t="shared" si="7"/>
        <v>-3.7484764542938809E-3</v>
      </c>
      <c r="P521">
        <f t="shared" si="8"/>
        <v>2.9995639889196957E-2</v>
      </c>
    </row>
    <row r="522" spans="1:16" x14ac:dyDescent="0.35">
      <c r="A522" s="1">
        <v>25323</v>
      </c>
      <c r="B522">
        <v>2.2771E-2</v>
      </c>
      <c r="C522">
        <v>2.1448999999999999E-2</v>
      </c>
      <c r="D522">
        <v>1.1764999999999999E-2</v>
      </c>
      <c r="E522">
        <v>1.0071999999999999E-2</v>
      </c>
      <c r="F522">
        <v>500948556</v>
      </c>
      <c r="G522">
        <v>500</v>
      </c>
      <c r="H522">
        <v>490411773</v>
      </c>
      <c r="I522">
        <v>497</v>
      </c>
      <c r="J522">
        <v>103.69</v>
      </c>
      <c r="K522">
        <v>2.1475999999999999E-2</v>
      </c>
      <c r="L522">
        <v>0.53</v>
      </c>
      <c r="M522">
        <v>36.299999999999997</v>
      </c>
      <c r="N522">
        <f t="shared" si="6"/>
        <v>1.7135898071625633E-2</v>
      </c>
      <c r="O522">
        <f t="shared" si="7"/>
        <v>-2.3884297520648801E-4</v>
      </c>
      <c r="P522">
        <f t="shared" si="8"/>
        <v>1.7374741046832121E-2</v>
      </c>
    </row>
    <row r="523" spans="1:16" x14ac:dyDescent="0.35">
      <c r="A523" s="1">
        <v>25352</v>
      </c>
      <c r="B523">
        <v>3.8539999999999998E-3</v>
      </c>
      <c r="C523">
        <v>-1.8619999999999999E-3</v>
      </c>
      <c r="D523">
        <v>-5.287E-3</v>
      </c>
      <c r="E523">
        <v>-9.0880000000000006E-3</v>
      </c>
      <c r="F523">
        <v>501849148</v>
      </c>
      <c r="G523">
        <v>500</v>
      </c>
      <c r="H523">
        <v>502582263</v>
      </c>
      <c r="I523">
        <v>497</v>
      </c>
      <c r="J523">
        <v>103.46</v>
      </c>
      <c r="K523">
        <v>-2.2179999999999999E-3</v>
      </c>
      <c r="L523">
        <v>0.48</v>
      </c>
      <c r="M523">
        <v>36.4</v>
      </c>
      <c r="N523">
        <f t="shared" si="6"/>
        <v>1.0961593406593195E-3</v>
      </c>
      <c r="O523">
        <f t="shared" si="7"/>
        <v>2.0395604395604394E-3</v>
      </c>
      <c r="P523">
        <f t="shared" si="8"/>
        <v>-9.4340109890111989E-4</v>
      </c>
    </row>
    <row r="524" spans="1:16" x14ac:dyDescent="0.35">
      <c r="A524" s="1">
        <v>25384</v>
      </c>
      <c r="B524">
        <v>-5.4357000000000003E-2</v>
      </c>
      <c r="C524">
        <v>-5.5685999999999999E-2</v>
      </c>
      <c r="D524">
        <v>-8.2491999999999996E-2</v>
      </c>
      <c r="E524">
        <v>-8.4784999999999999E-2</v>
      </c>
      <c r="F524">
        <v>473658686</v>
      </c>
      <c r="G524">
        <v>500</v>
      </c>
      <c r="H524">
        <v>501264029</v>
      </c>
      <c r="I524">
        <v>497</v>
      </c>
      <c r="J524">
        <v>97.71</v>
      </c>
      <c r="K524">
        <v>-5.5577000000000001E-2</v>
      </c>
      <c r="L524">
        <v>0.51</v>
      </c>
      <c r="M524">
        <v>36.6</v>
      </c>
      <c r="N524">
        <f t="shared" si="6"/>
        <v>-5.9524448087431625E-2</v>
      </c>
      <c r="O524">
        <f t="shared" si="7"/>
        <v>-3.9234972677582025E-4</v>
      </c>
      <c r="P524">
        <f t="shared" si="8"/>
        <v>-5.9132098360655805E-2</v>
      </c>
    </row>
    <row r="525" spans="1:16" x14ac:dyDescent="0.35">
      <c r="A525" s="1">
        <v>25415</v>
      </c>
      <c r="B525">
        <v>-5.8631999999999997E-2</v>
      </c>
      <c r="C525">
        <v>-5.9919E-2</v>
      </c>
      <c r="D525">
        <v>-6.9725999999999996E-2</v>
      </c>
      <c r="E525">
        <v>-7.1378999999999998E-2</v>
      </c>
      <c r="F525">
        <v>445370123</v>
      </c>
      <c r="G525">
        <v>500</v>
      </c>
      <c r="H525">
        <v>472727562</v>
      </c>
      <c r="I525">
        <v>498</v>
      </c>
      <c r="J525">
        <v>91.83</v>
      </c>
      <c r="K525">
        <v>-6.0178000000000002E-2</v>
      </c>
      <c r="L525">
        <v>0.53</v>
      </c>
      <c r="M525">
        <v>36.799999999999997</v>
      </c>
      <c r="N525">
        <f t="shared" si="6"/>
        <v>-6.3748130434782446E-2</v>
      </c>
      <c r="O525">
        <f t="shared" si="7"/>
        <v>-1.63586956521522E-4</v>
      </c>
      <c r="P525">
        <f t="shared" si="8"/>
        <v>-6.3584543478260924E-2</v>
      </c>
    </row>
    <row r="526" spans="1:16" x14ac:dyDescent="0.35">
      <c r="A526" s="1">
        <v>25444</v>
      </c>
      <c r="B526">
        <v>4.5727999999999998E-2</v>
      </c>
      <c r="C526">
        <v>4.018E-2</v>
      </c>
      <c r="D526">
        <v>4.4136000000000002E-2</v>
      </c>
      <c r="E526">
        <v>3.9639000000000001E-2</v>
      </c>
      <c r="F526">
        <v>463485687</v>
      </c>
      <c r="G526">
        <v>500</v>
      </c>
      <c r="H526">
        <v>445305272</v>
      </c>
      <c r="I526">
        <v>499</v>
      </c>
      <c r="J526">
        <v>95.51</v>
      </c>
      <c r="K526">
        <v>4.0073999999999999E-2</v>
      </c>
      <c r="L526">
        <v>0.5</v>
      </c>
      <c r="M526">
        <v>36.9</v>
      </c>
      <c r="N526">
        <f t="shared" si="6"/>
        <v>4.2894048780487859E-2</v>
      </c>
      <c r="O526">
        <f t="shared" si="7"/>
        <v>2.2764227642275703E-3</v>
      </c>
      <c r="P526">
        <f t="shared" si="8"/>
        <v>4.0617626016260289E-2</v>
      </c>
    </row>
    <row r="527" spans="1:16" x14ac:dyDescent="0.35">
      <c r="A527" s="1">
        <v>25476</v>
      </c>
      <c r="B527">
        <v>-2.3941E-2</v>
      </c>
      <c r="C527">
        <v>-2.5284999999999998E-2</v>
      </c>
      <c r="D527">
        <v>-1.8318000000000001E-2</v>
      </c>
      <c r="E527">
        <v>-2.0837999999999999E-2</v>
      </c>
      <c r="F527">
        <v>451516734</v>
      </c>
      <c r="G527">
        <v>500</v>
      </c>
      <c r="H527">
        <v>463146467</v>
      </c>
      <c r="I527">
        <v>497</v>
      </c>
      <c r="J527">
        <v>93.12</v>
      </c>
      <c r="K527">
        <v>-2.5024000000000001E-2</v>
      </c>
      <c r="L527">
        <v>0.62</v>
      </c>
      <c r="M527">
        <v>37.1</v>
      </c>
      <c r="N527">
        <f t="shared" si="6"/>
        <v>-2.920277358490575E-2</v>
      </c>
      <c r="O527">
        <f t="shared" si="7"/>
        <v>7.7574123989210264E-4</v>
      </c>
      <c r="P527">
        <f t="shared" si="8"/>
        <v>-2.9978514824797853E-2</v>
      </c>
    </row>
    <row r="528" spans="1:16" x14ac:dyDescent="0.35">
      <c r="A528" s="1">
        <v>25507</v>
      </c>
      <c r="B528">
        <v>4.6899999999999997E-2</v>
      </c>
      <c r="C528">
        <v>4.4660999999999999E-2</v>
      </c>
      <c r="D528">
        <v>6.4115000000000005E-2</v>
      </c>
      <c r="E528">
        <v>6.1803999999999998E-2</v>
      </c>
      <c r="F528">
        <v>471971603</v>
      </c>
      <c r="G528">
        <v>500</v>
      </c>
      <c r="H528">
        <v>451516734</v>
      </c>
      <c r="I528">
        <v>497</v>
      </c>
      <c r="J528">
        <v>97.24</v>
      </c>
      <c r="K528">
        <v>4.4243999999999999E-2</v>
      </c>
      <c r="L528">
        <v>0.6</v>
      </c>
      <c r="M528">
        <v>37.299999999999997</v>
      </c>
      <c r="N528">
        <f t="shared" si="6"/>
        <v>4.1286595174262919E-2</v>
      </c>
      <c r="O528">
        <f t="shared" si="7"/>
        <v>6.0589812332456638E-4</v>
      </c>
      <c r="P528">
        <f t="shared" si="8"/>
        <v>4.0680697050938353E-2</v>
      </c>
    </row>
    <row r="529" spans="1:16" x14ac:dyDescent="0.35">
      <c r="A529" s="1">
        <v>25535</v>
      </c>
      <c r="B529">
        <v>-2.9152000000000001E-2</v>
      </c>
      <c r="C529">
        <v>-3.4432999999999998E-2</v>
      </c>
      <c r="D529">
        <v>-4.3121E-2</v>
      </c>
      <c r="E529">
        <v>-4.7190000000000003E-2</v>
      </c>
      <c r="F529">
        <v>455787067</v>
      </c>
      <c r="G529">
        <v>500</v>
      </c>
      <c r="H529">
        <v>471971603</v>
      </c>
      <c r="I529">
        <v>498</v>
      </c>
      <c r="J529">
        <v>93.81</v>
      </c>
      <c r="K529">
        <v>-3.5274E-2</v>
      </c>
      <c r="L529">
        <v>0.52</v>
      </c>
      <c r="M529">
        <v>37.5</v>
      </c>
      <c r="N529">
        <f t="shared" si="6"/>
        <v>-3.4329855999999936E-2</v>
      </c>
      <c r="O529">
        <f t="shared" si="7"/>
        <v>-1.610666666665983E-4</v>
      </c>
      <c r="P529">
        <f t="shared" si="8"/>
        <v>-3.4168789333333338E-2</v>
      </c>
    </row>
    <row r="530" spans="1:16" x14ac:dyDescent="0.35">
      <c r="A530" s="1">
        <v>25568</v>
      </c>
      <c r="B530">
        <v>-1.6922E-2</v>
      </c>
      <c r="C530">
        <v>-1.8364999999999999E-2</v>
      </c>
      <c r="D530">
        <v>-3.993E-2</v>
      </c>
      <c r="E530">
        <v>-4.2639999999999997E-2</v>
      </c>
      <c r="F530">
        <v>452813432</v>
      </c>
      <c r="G530">
        <v>500</v>
      </c>
      <c r="H530">
        <v>455787067</v>
      </c>
      <c r="I530">
        <v>498</v>
      </c>
      <c r="J530">
        <v>92.06</v>
      </c>
      <c r="K530">
        <v>-1.8655000000000001E-2</v>
      </c>
      <c r="L530">
        <v>0.64</v>
      </c>
      <c r="M530">
        <v>37.700000000000003</v>
      </c>
      <c r="N530">
        <f t="shared" si="6"/>
        <v>-2.2137267904509317E-2</v>
      </c>
      <c r="O530">
        <f t="shared" si="7"/>
        <v>1.0610079575597009E-3</v>
      </c>
      <c r="P530">
        <f t="shared" si="8"/>
        <v>-2.3198275862069018E-2</v>
      </c>
    </row>
    <row r="531" spans="1:16" x14ac:dyDescent="0.35">
      <c r="A531" s="1">
        <v>25598</v>
      </c>
      <c r="B531">
        <v>-7.5398000000000007E-2</v>
      </c>
      <c r="C531">
        <v>-7.6809000000000002E-2</v>
      </c>
      <c r="D531">
        <v>-5.8388000000000002E-2</v>
      </c>
      <c r="E531">
        <v>-5.9927000000000001E-2</v>
      </c>
      <c r="F531">
        <v>418033322</v>
      </c>
      <c r="G531">
        <v>500</v>
      </c>
      <c r="H531">
        <v>452813432</v>
      </c>
      <c r="I531">
        <v>498</v>
      </c>
      <c r="J531">
        <v>85.02</v>
      </c>
      <c r="K531">
        <v>-7.6471999999999998E-2</v>
      </c>
      <c r="L531">
        <v>0.6</v>
      </c>
      <c r="M531">
        <v>37.9</v>
      </c>
      <c r="N531">
        <f t="shared" si="6"/>
        <v>-8.0277166226912722E-2</v>
      </c>
      <c r="O531">
        <f t="shared" si="7"/>
        <v>6.9129287598945766E-4</v>
      </c>
      <c r="P531">
        <f t="shared" si="8"/>
        <v>-8.0968459102902179E-2</v>
      </c>
    </row>
    <row r="532" spans="1:16" x14ac:dyDescent="0.35">
      <c r="A532" s="1">
        <v>25626</v>
      </c>
      <c r="B532">
        <v>5.9520999999999998E-2</v>
      </c>
      <c r="C532">
        <v>5.3615000000000003E-2</v>
      </c>
      <c r="D532">
        <v>6.8592E-2</v>
      </c>
      <c r="E532">
        <v>6.3780000000000003E-2</v>
      </c>
      <c r="F532">
        <v>440867101</v>
      </c>
      <c r="G532">
        <v>500</v>
      </c>
      <c r="H532">
        <v>418033322</v>
      </c>
      <c r="I532">
        <v>498</v>
      </c>
      <c r="J532">
        <v>89.5</v>
      </c>
      <c r="K532">
        <v>5.2692999999999997E-2</v>
      </c>
      <c r="L532">
        <v>0.62</v>
      </c>
      <c r="M532">
        <v>38.1</v>
      </c>
      <c r="N532">
        <f t="shared" si="6"/>
        <v>5.3959209973753142E-2</v>
      </c>
      <c r="O532">
        <f t="shared" si="7"/>
        <v>9.181102362203486E-4</v>
      </c>
      <c r="P532">
        <f t="shared" si="8"/>
        <v>5.3041099737532793E-2</v>
      </c>
    </row>
    <row r="533" spans="1:16" x14ac:dyDescent="0.35">
      <c r="A533" s="1">
        <v>25658</v>
      </c>
      <c r="B533">
        <v>2.8059999999999999E-3</v>
      </c>
      <c r="C533">
        <v>1.232E-3</v>
      </c>
      <c r="D533">
        <v>3.637E-3</v>
      </c>
      <c r="E533">
        <v>7.2599999999999997E-4</v>
      </c>
      <c r="F533">
        <v>442009426</v>
      </c>
      <c r="G533">
        <v>500</v>
      </c>
      <c r="H533">
        <v>440926702</v>
      </c>
      <c r="I533">
        <v>497</v>
      </c>
      <c r="J533">
        <v>89.63</v>
      </c>
      <c r="K533">
        <v>1.4530000000000001E-3</v>
      </c>
      <c r="L533">
        <v>0.56999999999999995</v>
      </c>
      <c r="M533">
        <v>38.299999999999997</v>
      </c>
      <c r="N533">
        <f t="shared" si="6"/>
        <v>-2.4305848563966892E-3</v>
      </c>
      <c r="O533">
        <f t="shared" si="7"/>
        <v>4.4830287206276687E-4</v>
      </c>
      <c r="P533">
        <f t="shared" si="8"/>
        <v>-2.8788877284594561E-3</v>
      </c>
    </row>
    <row r="534" spans="1:16" x14ac:dyDescent="0.35">
      <c r="A534" s="1">
        <v>25688</v>
      </c>
      <c r="B534">
        <v>-8.8830999999999993E-2</v>
      </c>
      <c r="C534">
        <v>-9.0035000000000004E-2</v>
      </c>
      <c r="D534">
        <v>-0.10880099999999999</v>
      </c>
      <c r="E534">
        <v>-0.11044900000000001</v>
      </c>
      <c r="F534">
        <v>403393044</v>
      </c>
      <c r="G534">
        <v>500</v>
      </c>
      <c r="H534">
        <v>443704845</v>
      </c>
      <c r="I534">
        <v>499</v>
      </c>
      <c r="J534">
        <v>81.52</v>
      </c>
      <c r="K534">
        <v>-9.0482999999999994E-2</v>
      </c>
      <c r="L534">
        <v>0.5</v>
      </c>
      <c r="M534">
        <v>38.5</v>
      </c>
      <c r="N534">
        <f t="shared" si="6"/>
        <v>-9.3564345454545506E-2</v>
      </c>
      <c r="O534">
        <f t="shared" si="7"/>
        <v>-2.2077922077934353E-4</v>
      </c>
      <c r="P534">
        <f t="shared" si="8"/>
        <v>-9.3343566233766162E-2</v>
      </c>
    </row>
    <row r="535" spans="1:16" x14ac:dyDescent="0.35">
      <c r="A535" s="1">
        <v>25717</v>
      </c>
      <c r="B535">
        <v>-5.4689000000000002E-2</v>
      </c>
      <c r="C535">
        <v>-6.1112E-2</v>
      </c>
      <c r="D535">
        <v>-8.2317000000000001E-2</v>
      </c>
      <c r="E535">
        <v>-8.7107000000000004E-2</v>
      </c>
      <c r="F535">
        <v>378813252</v>
      </c>
      <c r="G535">
        <v>500</v>
      </c>
      <c r="H535">
        <v>403393044</v>
      </c>
      <c r="I535">
        <v>499</v>
      </c>
      <c r="J535">
        <v>76.55</v>
      </c>
      <c r="K535">
        <v>-6.0967E-2</v>
      </c>
      <c r="L535">
        <v>0.53</v>
      </c>
      <c r="M535">
        <v>38.6</v>
      </c>
      <c r="N535">
        <f t="shared" si="6"/>
        <v>-5.7137992227979217E-2</v>
      </c>
      <c r="O535">
        <f t="shared" si="7"/>
        <v>2.6955958549224057E-3</v>
      </c>
      <c r="P535">
        <f t="shared" si="8"/>
        <v>-5.9833588082901623E-2</v>
      </c>
    </row>
    <row r="536" spans="1:16" x14ac:dyDescent="0.35">
      <c r="A536" s="1">
        <v>25749</v>
      </c>
      <c r="B536">
        <v>-4.9031999999999999E-2</v>
      </c>
      <c r="C536">
        <v>-5.0902000000000003E-2</v>
      </c>
      <c r="D536">
        <v>-5.8853999999999997E-2</v>
      </c>
      <c r="E536">
        <v>-6.2243E-2</v>
      </c>
      <c r="F536">
        <v>360516105</v>
      </c>
      <c r="G536">
        <v>500</v>
      </c>
      <c r="H536">
        <v>379696959</v>
      </c>
      <c r="I536">
        <v>499</v>
      </c>
      <c r="J536">
        <v>72.72</v>
      </c>
      <c r="K536">
        <v>-5.0033000000000001E-2</v>
      </c>
      <c r="L536">
        <v>0.57999999999999996</v>
      </c>
      <c r="M536">
        <v>38.799999999999997</v>
      </c>
      <c r="N536">
        <f t="shared" si="6"/>
        <v>-5.3933896907216394E-2</v>
      </c>
      <c r="O536">
        <f t="shared" si="7"/>
        <v>6.154639175259824E-4</v>
      </c>
      <c r="P536">
        <f t="shared" si="8"/>
        <v>-5.4549360824742377E-2</v>
      </c>
    </row>
    <row r="537" spans="1:16" x14ac:dyDescent="0.35">
      <c r="A537" s="1">
        <v>25780</v>
      </c>
      <c r="B537">
        <v>7.5523000000000007E-2</v>
      </c>
      <c r="C537">
        <v>7.3219000000000006E-2</v>
      </c>
      <c r="D537">
        <v>8.1903000000000004E-2</v>
      </c>
      <c r="E537">
        <v>7.9639000000000001E-2</v>
      </c>
      <c r="F537">
        <v>386921446</v>
      </c>
      <c r="G537">
        <v>500</v>
      </c>
      <c r="H537">
        <v>360516105</v>
      </c>
      <c r="I537">
        <v>499</v>
      </c>
      <c r="J537">
        <v>78.05</v>
      </c>
      <c r="K537">
        <v>7.3294999999999999E-2</v>
      </c>
      <c r="L537">
        <v>0.52</v>
      </c>
      <c r="M537">
        <v>38.9</v>
      </c>
      <c r="N537">
        <f t="shared" si="6"/>
        <v>7.2758159383033316E-2</v>
      </c>
      <c r="O537">
        <f t="shared" si="7"/>
        <v>2.615938303341947E-3</v>
      </c>
      <c r="P537">
        <f t="shared" si="8"/>
        <v>7.0142221079691369E-2</v>
      </c>
    </row>
    <row r="538" spans="1:16" x14ac:dyDescent="0.35">
      <c r="A538" s="1">
        <v>25811</v>
      </c>
      <c r="B538">
        <v>4.9778000000000003E-2</v>
      </c>
      <c r="C538">
        <v>4.3782000000000001E-2</v>
      </c>
      <c r="D538">
        <v>6.2742000000000006E-2</v>
      </c>
      <c r="E538">
        <v>5.7507000000000003E-2</v>
      </c>
      <c r="F538">
        <v>403929033</v>
      </c>
      <c r="G538">
        <v>500</v>
      </c>
      <c r="H538">
        <v>386949693</v>
      </c>
      <c r="I538">
        <v>499</v>
      </c>
      <c r="J538">
        <v>81.52</v>
      </c>
      <c r="K538">
        <v>4.4458999999999999E-2</v>
      </c>
      <c r="L538">
        <v>0.53</v>
      </c>
      <c r="M538">
        <v>39</v>
      </c>
      <c r="N538">
        <f t="shared" si="6"/>
        <v>4.7086261538461738E-2</v>
      </c>
      <c r="O538">
        <f t="shared" si="7"/>
        <v>2.7223076923077461E-3</v>
      </c>
      <c r="P538">
        <f t="shared" si="8"/>
        <v>4.4363953846153992E-2</v>
      </c>
    </row>
    <row r="539" spans="1:16" x14ac:dyDescent="0.35">
      <c r="A539" s="1">
        <v>25841</v>
      </c>
      <c r="B539">
        <v>3.4701999999999997E-2</v>
      </c>
      <c r="C539">
        <v>3.3021000000000002E-2</v>
      </c>
      <c r="D539">
        <v>6.5250000000000002E-2</v>
      </c>
      <c r="E539">
        <v>6.2405000000000002E-2</v>
      </c>
      <c r="F539">
        <v>417383490</v>
      </c>
      <c r="G539">
        <v>500</v>
      </c>
      <c r="H539">
        <v>403929033</v>
      </c>
      <c r="I539">
        <v>499</v>
      </c>
      <c r="J539">
        <v>84.21</v>
      </c>
      <c r="K539">
        <v>3.2998E-2</v>
      </c>
      <c r="L539">
        <v>0.54</v>
      </c>
      <c r="M539">
        <v>39.200000000000003</v>
      </c>
      <c r="N539">
        <f t="shared" ref="N539:N602" si="9">(1+B539)*M538/M539-1</f>
        <v>2.9422908163265316E-2</v>
      </c>
      <c r="O539">
        <f t="shared" ref="O539:O602" si="10">(1+L539/100)*M538/M539-1</f>
        <v>2.7040816326517891E-4</v>
      </c>
      <c r="P539">
        <f t="shared" ref="P539:P602" si="11">N539-O539</f>
        <v>2.9152500000000137E-2</v>
      </c>
    </row>
    <row r="540" spans="1:16" x14ac:dyDescent="0.35">
      <c r="A540" s="1">
        <v>25871</v>
      </c>
      <c r="B540">
        <v>-9.0320000000000001E-3</v>
      </c>
      <c r="C540">
        <v>-1.1639E-2</v>
      </c>
      <c r="D540">
        <v>-3.2162999999999997E-2</v>
      </c>
      <c r="E540">
        <v>-3.44E-2</v>
      </c>
      <c r="F540">
        <v>412742767</v>
      </c>
      <c r="G540">
        <v>500</v>
      </c>
      <c r="H540">
        <v>417513165</v>
      </c>
      <c r="I540">
        <v>499</v>
      </c>
      <c r="J540">
        <v>83.25</v>
      </c>
      <c r="K540">
        <v>-1.14E-2</v>
      </c>
      <c r="L540">
        <v>0.46</v>
      </c>
      <c r="M540">
        <v>39.4</v>
      </c>
      <c r="N540">
        <f t="shared" si="9"/>
        <v>-1.4062294416243626E-2</v>
      </c>
      <c r="O540">
        <f t="shared" si="10"/>
        <v>-4.9949238578683719E-4</v>
      </c>
      <c r="P540">
        <f t="shared" si="11"/>
        <v>-1.3562802030456789E-2</v>
      </c>
    </row>
    <row r="541" spans="1:16" x14ac:dyDescent="0.35">
      <c r="A541" s="1">
        <v>25902</v>
      </c>
      <c r="B541">
        <v>5.4386999999999998E-2</v>
      </c>
      <c r="C541">
        <v>4.8835999999999997E-2</v>
      </c>
      <c r="D541">
        <v>4.6937E-2</v>
      </c>
      <c r="E541">
        <v>4.2168999999999998E-2</v>
      </c>
      <c r="F541">
        <v>435983629</v>
      </c>
      <c r="G541">
        <v>500</v>
      </c>
      <c r="H541">
        <v>415702522</v>
      </c>
      <c r="I541">
        <v>499</v>
      </c>
      <c r="J541">
        <v>87.2</v>
      </c>
      <c r="K541">
        <v>4.7447000000000003E-2</v>
      </c>
      <c r="L541">
        <v>0.46</v>
      </c>
      <c r="M541">
        <v>39.6</v>
      </c>
      <c r="N541">
        <f t="shared" si="9"/>
        <v>4.906181313131297E-2</v>
      </c>
      <c r="O541">
        <f t="shared" si="10"/>
        <v>-4.7373737373757052E-4</v>
      </c>
      <c r="P541">
        <f t="shared" si="11"/>
        <v>4.9535550505050541E-2</v>
      </c>
    </row>
    <row r="542" spans="1:16" x14ac:dyDescent="0.35">
      <c r="A542" s="1">
        <v>25933</v>
      </c>
      <c r="B542">
        <v>5.8684E-2</v>
      </c>
      <c r="C542">
        <v>5.7357999999999999E-2</v>
      </c>
      <c r="D542">
        <v>8.4504999999999997E-2</v>
      </c>
      <c r="E542">
        <v>8.1911999999999999E-2</v>
      </c>
      <c r="F542">
        <v>466060421</v>
      </c>
      <c r="G542">
        <v>500</v>
      </c>
      <c r="H542">
        <v>435628866</v>
      </c>
      <c r="I542">
        <v>498</v>
      </c>
      <c r="J542">
        <v>92.15</v>
      </c>
      <c r="K542">
        <v>5.6765999999999997E-2</v>
      </c>
      <c r="L542">
        <v>0.42</v>
      </c>
      <c r="M542">
        <v>39.799999999999997</v>
      </c>
      <c r="N542">
        <f t="shared" si="9"/>
        <v>5.3363979899497593E-2</v>
      </c>
      <c r="O542">
        <f t="shared" si="10"/>
        <v>-8.4623115577886487E-4</v>
      </c>
      <c r="P542">
        <f t="shared" si="11"/>
        <v>5.4210211055276458E-2</v>
      </c>
    </row>
    <row r="543" spans="1:16" x14ac:dyDescent="0.35">
      <c r="A543" s="1">
        <v>25962</v>
      </c>
      <c r="B543">
        <v>4.2827999999999998E-2</v>
      </c>
      <c r="C543">
        <v>4.1500000000000002E-2</v>
      </c>
      <c r="D543">
        <v>8.3934999999999996E-2</v>
      </c>
      <c r="E543">
        <v>8.2498000000000002E-2</v>
      </c>
      <c r="F543">
        <v>485661737</v>
      </c>
      <c r="G543">
        <v>500</v>
      </c>
      <c r="H543">
        <v>466060421</v>
      </c>
      <c r="I543">
        <v>498</v>
      </c>
      <c r="J543">
        <v>95.88</v>
      </c>
      <c r="K543">
        <v>4.0476999999999999E-2</v>
      </c>
      <c r="L543">
        <v>0.38</v>
      </c>
      <c r="M543">
        <v>39.9</v>
      </c>
      <c r="N543">
        <f t="shared" si="9"/>
        <v>4.0214395989975005E-2</v>
      </c>
      <c r="O543">
        <f t="shared" si="10"/>
        <v>1.2842105263157766E-3</v>
      </c>
      <c r="P543">
        <f t="shared" si="11"/>
        <v>3.8930185463659228E-2</v>
      </c>
    </row>
    <row r="544" spans="1:16" x14ac:dyDescent="0.35">
      <c r="A544" s="1">
        <v>25990</v>
      </c>
      <c r="B544">
        <v>1.3317000000000001E-2</v>
      </c>
      <c r="C544">
        <v>8.1519999999999995E-3</v>
      </c>
      <c r="D544">
        <v>2.1101000000000002E-2</v>
      </c>
      <c r="E544">
        <v>1.7321E-2</v>
      </c>
      <c r="F544">
        <v>489509758</v>
      </c>
      <c r="G544">
        <v>500</v>
      </c>
      <c r="H544">
        <v>485491748</v>
      </c>
      <c r="I544">
        <v>498</v>
      </c>
      <c r="J544">
        <v>96.75</v>
      </c>
      <c r="K544">
        <v>9.0740000000000005E-3</v>
      </c>
      <c r="L544">
        <v>0.33</v>
      </c>
      <c r="M544">
        <v>39.9</v>
      </c>
      <c r="N544">
        <f t="shared" si="9"/>
        <v>1.3317000000000023E-2</v>
      </c>
      <c r="O544">
        <f t="shared" si="10"/>
        <v>3.3000000000000806E-3</v>
      </c>
      <c r="P544">
        <f t="shared" si="11"/>
        <v>1.0016999999999943E-2</v>
      </c>
    </row>
    <row r="545" spans="1:16" x14ac:dyDescent="0.35">
      <c r="A545" s="1">
        <v>26023</v>
      </c>
      <c r="B545">
        <v>3.9067999999999999E-2</v>
      </c>
      <c r="C545">
        <v>3.7623999999999998E-2</v>
      </c>
      <c r="D545">
        <v>3.9888E-2</v>
      </c>
      <c r="E545">
        <v>3.7383E-2</v>
      </c>
      <c r="F545">
        <v>508149503</v>
      </c>
      <c r="G545">
        <v>500</v>
      </c>
      <c r="H545">
        <v>489706681</v>
      </c>
      <c r="I545">
        <v>499</v>
      </c>
      <c r="J545">
        <v>100.31</v>
      </c>
      <c r="K545">
        <v>3.6796000000000002E-2</v>
      </c>
      <c r="L545">
        <v>0.3</v>
      </c>
      <c r="M545">
        <v>40</v>
      </c>
      <c r="N545">
        <f t="shared" si="9"/>
        <v>3.6470329999999995E-2</v>
      </c>
      <c r="O545">
        <f t="shared" si="10"/>
        <v>4.9249999999978478E-4</v>
      </c>
      <c r="P545">
        <f t="shared" si="11"/>
        <v>3.597783000000021E-2</v>
      </c>
    </row>
    <row r="546" spans="1:16" x14ac:dyDescent="0.35">
      <c r="A546" s="1">
        <v>26053</v>
      </c>
      <c r="B546">
        <v>3.6964999999999998E-2</v>
      </c>
      <c r="C546">
        <v>3.5789000000000001E-2</v>
      </c>
      <c r="D546">
        <v>4.1374000000000001E-2</v>
      </c>
      <c r="E546">
        <v>3.9944E-2</v>
      </c>
      <c r="F546">
        <v>526321899</v>
      </c>
      <c r="G546">
        <v>500</v>
      </c>
      <c r="H546">
        <v>508149503</v>
      </c>
      <c r="I546">
        <v>499</v>
      </c>
      <c r="J546">
        <v>103.95</v>
      </c>
      <c r="K546">
        <v>3.6288000000000001E-2</v>
      </c>
      <c r="L546">
        <v>0.28000000000000003</v>
      </c>
      <c r="M546">
        <v>40.1</v>
      </c>
      <c r="N546">
        <f t="shared" si="9"/>
        <v>3.4379052369077234E-2</v>
      </c>
      <c r="O546">
        <f t="shared" si="10"/>
        <v>2.9925187032397993E-4</v>
      </c>
      <c r="P546">
        <f t="shared" si="11"/>
        <v>3.4079800498753254E-2</v>
      </c>
    </row>
    <row r="547" spans="1:16" x14ac:dyDescent="0.35">
      <c r="A547" s="1">
        <v>26081</v>
      </c>
      <c r="B547">
        <v>-3.7150000000000002E-2</v>
      </c>
      <c r="C547">
        <v>-4.2138000000000002E-2</v>
      </c>
      <c r="D547">
        <v>-4.1095E-2</v>
      </c>
      <c r="E547">
        <v>-4.4648E-2</v>
      </c>
      <c r="F547">
        <v>504256364</v>
      </c>
      <c r="G547">
        <v>500</v>
      </c>
      <c r="H547">
        <v>526321899</v>
      </c>
      <c r="I547">
        <v>499</v>
      </c>
      <c r="J547">
        <v>99.63</v>
      </c>
      <c r="K547">
        <v>-4.1557999999999998E-2</v>
      </c>
      <c r="L547">
        <v>0.28999999999999998</v>
      </c>
      <c r="M547">
        <v>40.299999999999997</v>
      </c>
      <c r="N547">
        <f t="shared" si="9"/>
        <v>-4.1928411910669983E-2</v>
      </c>
      <c r="O547">
        <f t="shared" si="10"/>
        <v>-2.077171215880802E-3</v>
      </c>
      <c r="P547">
        <f t="shared" si="11"/>
        <v>-3.9851240694789181E-2</v>
      </c>
    </row>
    <row r="548" spans="1:16" x14ac:dyDescent="0.35">
      <c r="A548" s="1">
        <v>26114</v>
      </c>
      <c r="B548">
        <v>2.4390000000000002E-3</v>
      </c>
      <c r="C548">
        <v>1.0610000000000001E-3</v>
      </c>
      <c r="D548">
        <v>-5.6470000000000001E-3</v>
      </c>
      <c r="E548">
        <v>-8.1189999999999995E-3</v>
      </c>
      <c r="F548">
        <v>504454384</v>
      </c>
      <c r="G548">
        <v>500</v>
      </c>
      <c r="H548">
        <v>504055184</v>
      </c>
      <c r="I548">
        <v>499</v>
      </c>
      <c r="J548">
        <v>99.7</v>
      </c>
      <c r="K548">
        <v>7.0299999999999996E-4</v>
      </c>
      <c r="L548">
        <v>0.37</v>
      </c>
      <c r="M548">
        <v>40.5</v>
      </c>
      <c r="N548">
        <f t="shared" si="9"/>
        <v>-2.5113160493827058E-3</v>
      </c>
      <c r="O548">
        <f t="shared" si="10"/>
        <v>-1.2565432098765594E-3</v>
      </c>
      <c r="P548">
        <f t="shared" si="11"/>
        <v>-1.2547728395061464E-3</v>
      </c>
    </row>
    <row r="549" spans="1:16" x14ac:dyDescent="0.35">
      <c r="A549" s="1">
        <v>26144</v>
      </c>
      <c r="B549">
        <v>-4.0827000000000002E-2</v>
      </c>
      <c r="C549">
        <v>-4.1901000000000001E-2</v>
      </c>
      <c r="D549">
        <v>-4.2866000000000001E-2</v>
      </c>
      <c r="E549">
        <v>-4.4263999999999998E-2</v>
      </c>
      <c r="F549">
        <v>483177627</v>
      </c>
      <c r="G549">
        <v>500</v>
      </c>
      <c r="H549">
        <v>504308825</v>
      </c>
      <c r="I549">
        <v>499</v>
      </c>
      <c r="J549">
        <v>95.58</v>
      </c>
      <c r="K549">
        <v>-4.1324E-2</v>
      </c>
      <c r="L549">
        <v>0.4</v>
      </c>
      <c r="M549">
        <v>40.6</v>
      </c>
      <c r="N549">
        <f t="shared" si="9"/>
        <v>-4.3189495073891582E-2</v>
      </c>
      <c r="O549">
        <f t="shared" si="10"/>
        <v>1.5270935960589593E-3</v>
      </c>
      <c r="P549">
        <f t="shared" si="11"/>
        <v>-4.4716588669950541E-2</v>
      </c>
    </row>
    <row r="550" spans="1:16" x14ac:dyDescent="0.35">
      <c r="A550" s="1">
        <v>26176</v>
      </c>
      <c r="B550">
        <v>4.2035999999999997E-2</v>
      </c>
      <c r="C550">
        <v>3.6548999999999998E-2</v>
      </c>
      <c r="D550">
        <v>5.2668E-2</v>
      </c>
      <c r="E550">
        <v>4.8586999999999998E-2</v>
      </c>
      <c r="F550">
        <v>501783719</v>
      </c>
      <c r="G550">
        <v>500</v>
      </c>
      <c r="H550">
        <v>483959048</v>
      </c>
      <c r="I550">
        <v>499</v>
      </c>
      <c r="J550">
        <v>99.03</v>
      </c>
      <c r="K550">
        <v>3.6095000000000002E-2</v>
      </c>
      <c r="L550">
        <v>0.47</v>
      </c>
      <c r="M550">
        <v>40.700000000000003</v>
      </c>
      <c r="N550">
        <f t="shared" si="9"/>
        <v>3.947571498771496E-2</v>
      </c>
      <c r="O550">
        <f t="shared" si="10"/>
        <v>2.2314496314495003E-3</v>
      </c>
      <c r="P550">
        <f t="shared" si="11"/>
        <v>3.724426535626546E-2</v>
      </c>
    </row>
    <row r="551" spans="1:16" x14ac:dyDescent="0.35">
      <c r="A551" s="1">
        <v>26206</v>
      </c>
      <c r="B551">
        <v>-5.0379999999999999E-3</v>
      </c>
      <c r="C551">
        <v>-6.3870000000000003E-3</v>
      </c>
      <c r="D551">
        <v>-1.4161999999999999E-2</v>
      </c>
      <c r="E551">
        <v>-1.6264000000000001E-2</v>
      </c>
      <c r="F551">
        <v>498676054</v>
      </c>
      <c r="G551">
        <v>500</v>
      </c>
      <c r="H551">
        <v>501783719</v>
      </c>
      <c r="I551">
        <v>499</v>
      </c>
      <c r="J551">
        <v>98.34</v>
      </c>
      <c r="K551">
        <v>-6.9680000000000002E-3</v>
      </c>
      <c r="L551">
        <v>0.37</v>
      </c>
      <c r="M551">
        <v>40.799999999999997</v>
      </c>
      <c r="N551">
        <f t="shared" si="9"/>
        <v>-7.4766323529411594E-3</v>
      </c>
      <c r="O551">
        <f t="shared" si="10"/>
        <v>1.2399509803924236E-3</v>
      </c>
      <c r="P551">
        <f t="shared" si="11"/>
        <v>-8.7165833333335829E-3</v>
      </c>
    </row>
    <row r="552" spans="1:16" x14ac:dyDescent="0.35">
      <c r="A552" s="1">
        <v>26235</v>
      </c>
      <c r="B552">
        <v>-4.0128999999999998E-2</v>
      </c>
      <c r="C552">
        <v>-4.2014999999999997E-2</v>
      </c>
      <c r="D552">
        <v>-5.4981000000000002E-2</v>
      </c>
      <c r="E552">
        <v>-5.6836999999999999E-2</v>
      </c>
      <c r="F552">
        <v>477724289</v>
      </c>
      <c r="G552">
        <v>500</v>
      </c>
      <c r="H552">
        <v>498676054</v>
      </c>
      <c r="I552">
        <v>499</v>
      </c>
      <c r="J552">
        <v>94.23</v>
      </c>
      <c r="K552">
        <v>-4.1793999999999998E-2</v>
      </c>
      <c r="L552">
        <v>0.37</v>
      </c>
      <c r="M552">
        <v>40.9</v>
      </c>
      <c r="N552">
        <f t="shared" si="9"/>
        <v>-4.2475872860635699E-2</v>
      </c>
      <c r="O552">
        <f t="shared" si="10"/>
        <v>1.2459657701713311E-3</v>
      </c>
      <c r="P552">
        <f t="shared" si="11"/>
        <v>-4.3721838630807031E-2</v>
      </c>
    </row>
    <row r="553" spans="1:16" x14ac:dyDescent="0.35">
      <c r="A553" s="1">
        <v>26267</v>
      </c>
      <c r="B553">
        <v>2.898E-3</v>
      </c>
      <c r="C553">
        <v>-2.029E-3</v>
      </c>
      <c r="D553">
        <v>-1.7273E-2</v>
      </c>
      <c r="E553">
        <v>-2.1114000000000001E-2</v>
      </c>
      <c r="F553">
        <v>476754849</v>
      </c>
      <c r="G553">
        <v>500</v>
      </c>
      <c r="H553">
        <v>477724289</v>
      </c>
      <c r="I553">
        <v>499</v>
      </c>
      <c r="J553">
        <v>93.99</v>
      </c>
      <c r="K553">
        <v>-2.5469999999999998E-3</v>
      </c>
      <c r="L553">
        <v>0.37</v>
      </c>
      <c r="M553">
        <v>41</v>
      </c>
      <c r="N553">
        <f t="shared" si="9"/>
        <v>4.5190731707323017E-4</v>
      </c>
      <c r="O553">
        <f t="shared" si="10"/>
        <v>1.2519512195121596E-3</v>
      </c>
      <c r="P553">
        <f t="shared" si="11"/>
        <v>-8.0004390243892942E-4</v>
      </c>
    </row>
    <row r="554" spans="1:16" x14ac:dyDescent="0.35">
      <c r="A554" s="1">
        <v>26298</v>
      </c>
      <c r="B554">
        <v>8.788E-2</v>
      </c>
      <c r="C554">
        <v>8.6485999999999993E-2</v>
      </c>
      <c r="D554">
        <v>0.108969</v>
      </c>
      <c r="E554">
        <v>0.10660799999999999</v>
      </c>
      <c r="F554">
        <v>526495908</v>
      </c>
      <c r="G554">
        <v>500</v>
      </c>
      <c r="H554">
        <v>476981042</v>
      </c>
      <c r="I554">
        <v>499</v>
      </c>
      <c r="J554">
        <v>102.09</v>
      </c>
      <c r="K554">
        <v>8.6179000000000006E-2</v>
      </c>
      <c r="L554">
        <v>0.37</v>
      </c>
      <c r="M554">
        <v>41.1</v>
      </c>
      <c r="N554">
        <f t="shared" si="9"/>
        <v>8.5233090024330771E-2</v>
      </c>
      <c r="O554">
        <f t="shared" si="10"/>
        <v>1.2579075425789288E-3</v>
      </c>
      <c r="P554">
        <f t="shared" si="11"/>
        <v>8.3975182481751842E-2</v>
      </c>
    </row>
    <row r="555" spans="1:16" x14ac:dyDescent="0.35">
      <c r="A555" s="1">
        <v>26329</v>
      </c>
      <c r="B555">
        <v>1.9088000000000001E-2</v>
      </c>
      <c r="C555">
        <v>1.7814E-2</v>
      </c>
      <c r="D555">
        <v>3.8138999999999999E-2</v>
      </c>
      <c r="E555">
        <v>3.6525000000000002E-2</v>
      </c>
      <c r="F555">
        <v>535658341</v>
      </c>
      <c r="G555">
        <v>500</v>
      </c>
      <c r="H555">
        <v>526291936</v>
      </c>
      <c r="I555">
        <v>498</v>
      </c>
      <c r="J555">
        <v>103.94</v>
      </c>
      <c r="K555">
        <v>1.8121000000000002E-2</v>
      </c>
      <c r="L555">
        <v>0.28999999999999998</v>
      </c>
      <c r="M555">
        <v>41.2</v>
      </c>
      <c r="N555">
        <f t="shared" si="9"/>
        <v>1.6614485436893034E-2</v>
      </c>
      <c r="O555">
        <f t="shared" si="10"/>
        <v>4.6577669902903018E-4</v>
      </c>
      <c r="P555">
        <f t="shared" si="11"/>
        <v>1.6148708737864004E-2</v>
      </c>
    </row>
    <row r="556" spans="1:16" x14ac:dyDescent="0.35">
      <c r="A556" s="1">
        <v>26358</v>
      </c>
      <c r="B556">
        <v>3.0221000000000001E-2</v>
      </c>
      <c r="C556">
        <v>2.5416000000000001E-2</v>
      </c>
      <c r="D556">
        <v>2.7577999999999998E-2</v>
      </c>
      <c r="E556">
        <v>2.4025999999999999E-2</v>
      </c>
      <c r="F556">
        <v>549602845</v>
      </c>
      <c r="G556">
        <v>500</v>
      </c>
      <c r="H556">
        <v>535660140</v>
      </c>
      <c r="I556">
        <v>498</v>
      </c>
      <c r="J556">
        <v>106.57</v>
      </c>
      <c r="K556">
        <v>2.5302999999999999E-2</v>
      </c>
      <c r="L556">
        <v>0.25</v>
      </c>
      <c r="M556">
        <v>41.4</v>
      </c>
      <c r="N556">
        <f t="shared" si="9"/>
        <v>2.5244086956522027E-2</v>
      </c>
      <c r="O556">
        <f t="shared" si="10"/>
        <v>-2.3429951690822071E-3</v>
      </c>
      <c r="P556">
        <f t="shared" si="11"/>
        <v>2.7587082125604234E-2</v>
      </c>
    </row>
    <row r="557" spans="1:16" x14ac:dyDescent="0.35">
      <c r="A557" s="1">
        <v>26388</v>
      </c>
      <c r="B557">
        <v>7.3150000000000003E-3</v>
      </c>
      <c r="C557">
        <v>6.1320000000000003E-3</v>
      </c>
      <c r="D557">
        <v>1.281E-3</v>
      </c>
      <c r="E557">
        <v>-7.6400000000000003E-4</v>
      </c>
      <c r="F557">
        <v>552973875</v>
      </c>
      <c r="G557">
        <v>500</v>
      </c>
      <c r="H557">
        <v>549602845</v>
      </c>
      <c r="I557">
        <v>499</v>
      </c>
      <c r="J557">
        <v>107.2</v>
      </c>
      <c r="K557">
        <v>5.9119999999999997E-3</v>
      </c>
      <c r="L557">
        <v>0.27</v>
      </c>
      <c r="M557">
        <v>41.4</v>
      </c>
      <c r="N557">
        <f t="shared" si="9"/>
        <v>7.3149999999999604E-3</v>
      </c>
      <c r="O557">
        <f t="shared" si="10"/>
        <v>2.6999999999999247E-3</v>
      </c>
      <c r="P557">
        <f t="shared" si="11"/>
        <v>4.6150000000000357E-3</v>
      </c>
    </row>
    <row r="558" spans="1:16" x14ac:dyDescent="0.35">
      <c r="A558" s="1">
        <v>26417</v>
      </c>
      <c r="B558">
        <v>5.476E-3</v>
      </c>
      <c r="C558">
        <v>4.6579999999999998E-3</v>
      </c>
      <c r="D558">
        <v>4.6699999999999997E-3</v>
      </c>
      <c r="E558">
        <v>3.3670000000000002E-3</v>
      </c>
      <c r="F558">
        <v>555549856</v>
      </c>
      <c r="G558">
        <v>500</v>
      </c>
      <c r="H558">
        <v>552973875</v>
      </c>
      <c r="I558">
        <v>499</v>
      </c>
      <c r="J558">
        <v>107.67</v>
      </c>
      <c r="K558">
        <v>4.3839999999999999E-3</v>
      </c>
      <c r="L558">
        <v>0.28999999999999998</v>
      </c>
      <c r="M558">
        <v>41.5</v>
      </c>
      <c r="N558">
        <f t="shared" si="9"/>
        <v>3.0531662650603586E-3</v>
      </c>
      <c r="O558">
        <f t="shared" si="10"/>
        <v>4.8337349397575835E-4</v>
      </c>
      <c r="P558">
        <f t="shared" si="11"/>
        <v>2.5697927710846002E-3</v>
      </c>
    </row>
    <row r="559" spans="1:16" x14ac:dyDescent="0.35">
      <c r="A559" s="1">
        <v>26450</v>
      </c>
      <c r="B559">
        <v>2.2019E-2</v>
      </c>
      <c r="C559">
        <v>1.6763E-2</v>
      </c>
      <c r="D559">
        <v>9.4499999999999998E-4</v>
      </c>
      <c r="E559">
        <v>-3.0149999999999999E-3</v>
      </c>
      <c r="F559">
        <v>564940979</v>
      </c>
      <c r="G559">
        <v>500</v>
      </c>
      <c r="H559">
        <v>555549856</v>
      </c>
      <c r="I559">
        <v>499</v>
      </c>
      <c r="J559">
        <v>109.53</v>
      </c>
      <c r="K559">
        <v>1.7274999999999999E-2</v>
      </c>
      <c r="L559">
        <v>0.3</v>
      </c>
      <c r="M559">
        <v>41.6</v>
      </c>
      <c r="N559">
        <f t="shared" si="9"/>
        <v>1.9562223557692437E-2</v>
      </c>
      <c r="O559">
        <f t="shared" si="10"/>
        <v>5.8894230769213074E-4</v>
      </c>
      <c r="P559">
        <f t="shared" si="11"/>
        <v>1.8973281250000307E-2</v>
      </c>
    </row>
    <row r="560" spans="1:16" x14ac:dyDescent="0.35">
      <c r="A560" s="1">
        <v>26480</v>
      </c>
      <c r="B560">
        <v>-2.0156E-2</v>
      </c>
      <c r="C560">
        <v>-2.1378000000000001E-2</v>
      </c>
      <c r="D560">
        <v>-3.1019999999999999E-2</v>
      </c>
      <c r="E560">
        <v>-3.3208000000000001E-2</v>
      </c>
      <c r="F560">
        <v>553085990</v>
      </c>
      <c r="G560">
        <v>500</v>
      </c>
      <c r="H560">
        <v>564940979</v>
      </c>
      <c r="I560">
        <v>499</v>
      </c>
      <c r="J560">
        <v>107.14</v>
      </c>
      <c r="K560">
        <v>-2.1821E-2</v>
      </c>
      <c r="L560">
        <v>0.28999999999999998</v>
      </c>
      <c r="M560">
        <v>41.7</v>
      </c>
      <c r="N560">
        <f t="shared" si="9"/>
        <v>-2.2505745803357291E-2</v>
      </c>
      <c r="O560">
        <f t="shared" si="10"/>
        <v>4.949640287768009E-4</v>
      </c>
      <c r="P560">
        <f t="shared" si="11"/>
        <v>-2.3000709832134092E-2</v>
      </c>
    </row>
    <row r="561" spans="1:16" x14ac:dyDescent="0.35">
      <c r="A561" s="1">
        <v>26511</v>
      </c>
      <c r="B561">
        <v>3.2450000000000001E-3</v>
      </c>
      <c r="C561">
        <v>2.1259999999999999E-3</v>
      </c>
      <c r="D561">
        <v>-2.0226000000000001E-2</v>
      </c>
      <c r="E561">
        <v>-2.1821E-2</v>
      </c>
      <c r="F561">
        <v>554340684</v>
      </c>
      <c r="G561">
        <v>500</v>
      </c>
      <c r="H561">
        <v>553085990</v>
      </c>
      <c r="I561">
        <v>499</v>
      </c>
      <c r="J561">
        <v>107.39</v>
      </c>
      <c r="K561">
        <v>2.333E-3</v>
      </c>
      <c r="L561">
        <v>0.31</v>
      </c>
      <c r="M561">
        <v>41.8</v>
      </c>
      <c r="N561">
        <f t="shared" si="9"/>
        <v>8.4489234449769413E-4</v>
      </c>
      <c r="O561">
        <f t="shared" si="10"/>
        <v>7.0023923444995084E-4</v>
      </c>
      <c r="P561">
        <f t="shared" si="11"/>
        <v>1.4465311004774328E-4</v>
      </c>
    </row>
    <row r="562" spans="1:16" x14ac:dyDescent="0.35">
      <c r="A562" s="1">
        <v>26542</v>
      </c>
      <c r="B562">
        <v>3.9425000000000002E-2</v>
      </c>
      <c r="C562">
        <v>3.4648999999999999E-2</v>
      </c>
      <c r="D562">
        <v>4.1005E-2</v>
      </c>
      <c r="E562">
        <v>3.7075999999999998E-2</v>
      </c>
      <c r="F562">
        <v>573547922</v>
      </c>
      <c r="G562">
        <v>500</v>
      </c>
      <c r="H562">
        <v>554340684</v>
      </c>
      <c r="I562">
        <v>499</v>
      </c>
      <c r="J562">
        <v>111.09</v>
      </c>
      <c r="K562">
        <v>3.4453999999999999E-2</v>
      </c>
      <c r="L562">
        <v>0.28999999999999998</v>
      </c>
      <c r="M562">
        <v>41.9</v>
      </c>
      <c r="N562">
        <f t="shared" si="9"/>
        <v>3.6944272076372187E-2</v>
      </c>
      <c r="O562">
        <f t="shared" si="10"/>
        <v>5.0644391408094513E-4</v>
      </c>
      <c r="P562">
        <f t="shared" si="11"/>
        <v>3.6437828162291241E-2</v>
      </c>
    </row>
    <row r="563" spans="1:16" x14ac:dyDescent="0.35">
      <c r="A563" s="1">
        <v>26571</v>
      </c>
      <c r="B563">
        <v>-3.277E-3</v>
      </c>
      <c r="C563">
        <v>-4.516E-3</v>
      </c>
      <c r="D563">
        <v>-2.1427999999999999E-2</v>
      </c>
      <c r="E563">
        <v>-2.3557000000000002E-2</v>
      </c>
      <c r="F563">
        <v>576108284</v>
      </c>
      <c r="G563">
        <v>500</v>
      </c>
      <c r="H563">
        <v>578648894</v>
      </c>
      <c r="I563">
        <v>500</v>
      </c>
      <c r="J563">
        <v>110.55</v>
      </c>
      <c r="K563">
        <v>-4.8609999999999999E-3</v>
      </c>
      <c r="L563">
        <v>0.34</v>
      </c>
      <c r="M563">
        <v>42.1</v>
      </c>
      <c r="N563">
        <f t="shared" si="9"/>
        <v>-8.0120261282661254E-3</v>
      </c>
      <c r="O563">
        <f t="shared" si="10"/>
        <v>-1.366745843230488E-3</v>
      </c>
      <c r="P563">
        <f t="shared" si="11"/>
        <v>-6.6452802850356374E-3</v>
      </c>
    </row>
    <row r="564" spans="1:16" x14ac:dyDescent="0.35">
      <c r="A564" s="1">
        <v>26603</v>
      </c>
      <c r="B564">
        <v>1.0878000000000001E-2</v>
      </c>
      <c r="C564">
        <v>9.5029999999999993E-3</v>
      </c>
      <c r="D564">
        <v>3.1610000000000002E-3</v>
      </c>
      <c r="E564">
        <v>1.2570000000000001E-3</v>
      </c>
      <c r="F564">
        <v>581582968</v>
      </c>
      <c r="G564">
        <v>500</v>
      </c>
      <c r="H564">
        <v>576108284</v>
      </c>
      <c r="I564">
        <v>500</v>
      </c>
      <c r="J564">
        <v>111.58</v>
      </c>
      <c r="K564">
        <v>9.3170000000000006E-3</v>
      </c>
      <c r="L564">
        <v>0.4</v>
      </c>
      <c r="M564">
        <v>42.2</v>
      </c>
      <c r="N564">
        <f t="shared" si="9"/>
        <v>8.4825545023694549E-3</v>
      </c>
      <c r="O564">
        <f t="shared" si="10"/>
        <v>1.620853080568585E-3</v>
      </c>
      <c r="P564">
        <f t="shared" si="11"/>
        <v>6.8617014218008698E-3</v>
      </c>
    </row>
    <row r="565" spans="1:16" x14ac:dyDescent="0.35">
      <c r="A565" s="1">
        <v>26633</v>
      </c>
      <c r="B565">
        <v>5.0297000000000001E-2</v>
      </c>
      <c r="C565">
        <v>4.5172999999999998E-2</v>
      </c>
      <c r="D565">
        <v>7.3013999999999996E-2</v>
      </c>
      <c r="E565">
        <v>6.9041000000000005E-2</v>
      </c>
      <c r="F565">
        <v>607854861</v>
      </c>
      <c r="G565">
        <v>500</v>
      </c>
      <c r="H565">
        <v>581582968</v>
      </c>
      <c r="I565">
        <v>500</v>
      </c>
      <c r="J565">
        <v>116.67</v>
      </c>
      <c r="K565">
        <v>4.5616999999999998E-2</v>
      </c>
      <c r="L565">
        <v>0.37</v>
      </c>
      <c r="M565">
        <v>42.4</v>
      </c>
      <c r="N565">
        <f t="shared" si="9"/>
        <v>4.5342768867924654E-2</v>
      </c>
      <c r="O565">
        <f t="shared" si="10"/>
        <v>-1.034433962263992E-3</v>
      </c>
      <c r="P565">
        <f t="shared" si="11"/>
        <v>4.6377202830188646E-2</v>
      </c>
    </row>
    <row r="566" spans="1:16" x14ac:dyDescent="0.35">
      <c r="A566" s="1">
        <v>26662</v>
      </c>
      <c r="B566">
        <v>1.3663E-2</v>
      </c>
      <c r="C566">
        <v>1.2622E-2</v>
      </c>
      <c r="D566">
        <v>-1.1839000000000001E-2</v>
      </c>
      <c r="E566">
        <v>-1.392E-2</v>
      </c>
      <c r="F566">
        <v>626697189</v>
      </c>
      <c r="G566">
        <v>500</v>
      </c>
      <c r="H566">
        <v>607854861</v>
      </c>
      <c r="I566">
        <v>500</v>
      </c>
      <c r="J566">
        <v>118.05</v>
      </c>
      <c r="K566">
        <v>1.1828E-2</v>
      </c>
      <c r="L566">
        <v>0.37</v>
      </c>
      <c r="M566">
        <v>42.5</v>
      </c>
      <c r="N566">
        <f t="shared" si="9"/>
        <v>1.127791058823524E-2</v>
      </c>
      <c r="O566">
        <f t="shared" si="10"/>
        <v>1.3383529411765682E-3</v>
      </c>
      <c r="P566">
        <f t="shared" si="11"/>
        <v>9.9395576470586722E-3</v>
      </c>
    </row>
    <row r="567" spans="1:16" x14ac:dyDescent="0.35">
      <c r="A567" s="1">
        <v>26695</v>
      </c>
      <c r="B567">
        <v>-1.6752E-2</v>
      </c>
      <c r="C567">
        <v>-1.8044000000000001E-2</v>
      </c>
      <c r="D567">
        <v>-4.9043000000000003E-2</v>
      </c>
      <c r="E567">
        <v>-5.0561000000000002E-2</v>
      </c>
      <c r="F567">
        <v>615367335</v>
      </c>
      <c r="G567">
        <v>500</v>
      </c>
      <c r="H567">
        <v>626697189</v>
      </c>
      <c r="I567">
        <v>500</v>
      </c>
      <c r="J567">
        <v>116.03</v>
      </c>
      <c r="K567">
        <v>-1.7111000000000001E-2</v>
      </c>
      <c r="L567">
        <v>0.44</v>
      </c>
      <c r="M567">
        <v>42.7</v>
      </c>
      <c r="N567">
        <f t="shared" si="9"/>
        <v>-2.1357377049180393E-2</v>
      </c>
      <c r="O567">
        <f t="shared" si="10"/>
        <v>-3.0444964871201297E-4</v>
      </c>
      <c r="P567">
        <f t="shared" si="11"/>
        <v>-2.105292740046838E-2</v>
      </c>
    </row>
    <row r="568" spans="1:16" x14ac:dyDescent="0.35">
      <c r="A568" s="1">
        <v>26723</v>
      </c>
      <c r="B568">
        <v>-3.3818000000000001E-2</v>
      </c>
      <c r="C568">
        <v>-3.8228999999999999E-2</v>
      </c>
      <c r="D568">
        <v>-4.8057000000000002E-2</v>
      </c>
      <c r="E568">
        <v>-5.1915000000000003E-2</v>
      </c>
      <c r="F568">
        <v>591396738</v>
      </c>
      <c r="G568">
        <v>500</v>
      </c>
      <c r="H568">
        <v>614899917</v>
      </c>
      <c r="I568">
        <v>498</v>
      </c>
      <c r="J568">
        <v>111.68</v>
      </c>
      <c r="K568">
        <v>-3.7490000000000002E-2</v>
      </c>
      <c r="L568">
        <v>0.41</v>
      </c>
      <c r="M568">
        <v>43</v>
      </c>
      <c r="N568">
        <f t="shared" si="9"/>
        <v>-4.0558804651162794E-2</v>
      </c>
      <c r="O568">
        <f t="shared" si="10"/>
        <v>-2.9053488372092762E-3</v>
      </c>
      <c r="P568">
        <f t="shared" si="11"/>
        <v>-3.7653455813953518E-2</v>
      </c>
    </row>
    <row r="569" spans="1:16" x14ac:dyDescent="0.35">
      <c r="A569" s="1">
        <v>26753</v>
      </c>
      <c r="B569">
        <v>-1.093E-3</v>
      </c>
      <c r="C569">
        <v>-2.0890000000000001E-3</v>
      </c>
      <c r="D569">
        <v>-1.3546000000000001E-2</v>
      </c>
      <c r="E569">
        <v>-1.5889E-2</v>
      </c>
      <c r="F569">
        <v>591285424</v>
      </c>
      <c r="G569">
        <v>500</v>
      </c>
      <c r="H569">
        <v>592245356</v>
      </c>
      <c r="I569">
        <v>499</v>
      </c>
      <c r="J569">
        <v>111.52</v>
      </c>
      <c r="K569">
        <v>-1.433E-3</v>
      </c>
      <c r="L569">
        <v>0.46</v>
      </c>
      <c r="M569">
        <v>43.4</v>
      </c>
      <c r="N569">
        <f t="shared" si="9"/>
        <v>-1.0299516129032238E-2</v>
      </c>
      <c r="O569">
        <f t="shared" si="10"/>
        <v>-4.6589861751151762E-3</v>
      </c>
      <c r="P569">
        <f t="shared" si="11"/>
        <v>-5.6405299539170617E-3</v>
      </c>
    </row>
    <row r="570" spans="1:16" x14ac:dyDescent="0.35">
      <c r="A570" s="1">
        <v>26784</v>
      </c>
      <c r="B570">
        <v>-4.0064000000000002E-2</v>
      </c>
      <c r="C570">
        <v>-4.1236000000000002E-2</v>
      </c>
      <c r="D570">
        <v>-4.8871999999999999E-2</v>
      </c>
      <c r="E570">
        <v>-5.0663E-2</v>
      </c>
      <c r="F570">
        <v>567244613</v>
      </c>
      <c r="G570">
        <v>500</v>
      </c>
      <c r="H570">
        <v>591285424</v>
      </c>
      <c r="I570">
        <v>499</v>
      </c>
      <c r="J570">
        <v>106.97</v>
      </c>
      <c r="K570">
        <v>-4.0800000000000003E-2</v>
      </c>
      <c r="L570">
        <v>0.52</v>
      </c>
      <c r="M570">
        <v>43.7</v>
      </c>
      <c r="N570">
        <f t="shared" si="9"/>
        <v>-4.6653949656750626E-2</v>
      </c>
      <c r="O570">
        <f t="shared" si="10"/>
        <v>-1.7006864988557968E-3</v>
      </c>
      <c r="P570">
        <f t="shared" si="11"/>
        <v>-4.4953263157894829E-2</v>
      </c>
    </row>
    <row r="571" spans="1:16" x14ac:dyDescent="0.35">
      <c r="A571" s="1">
        <v>26815</v>
      </c>
      <c r="B571">
        <v>-1.3950000000000001E-2</v>
      </c>
      <c r="C571">
        <v>-1.9002000000000002E-2</v>
      </c>
      <c r="D571">
        <v>-4.6894999999999999E-2</v>
      </c>
      <c r="E571">
        <v>-5.1584999999999999E-2</v>
      </c>
      <c r="F571">
        <v>563510443</v>
      </c>
      <c r="G571">
        <v>500</v>
      </c>
      <c r="H571">
        <v>574385710</v>
      </c>
      <c r="I571">
        <v>500</v>
      </c>
      <c r="J571">
        <v>104.95</v>
      </c>
      <c r="K571">
        <v>-1.8884000000000001E-2</v>
      </c>
      <c r="L571">
        <v>0.51</v>
      </c>
      <c r="M571">
        <v>43.9</v>
      </c>
      <c r="N571">
        <f t="shared" si="9"/>
        <v>-1.8442255125284635E-2</v>
      </c>
      <c r="O571">
        <f t="shared" si="10"/>
        <v>5.2095671981811087E-4</v>
      </c>
      <c r="P571">
        <f t="shared" si="11"/>
        <v>-1.8963211845102745E-2</v>
      </c>
    </row>
    <row r="572" spans="1:16" x14ac:dyDescent="0.35">
      <c r="A572" s="1">
        <v>26844</v>
      </c>
      <c r="B572">
        <v>-5.1780000000000003E-3</v>
      </c>
      <c r="C572">
        <v>-6.522E-3</v>
      </c>
      <c r="D572">
        <v>-2.6751E-2</v>
      </c>
      <c r="E572">
        <v>-2.9548000000000001E-2</v>
      </c>
      <c r="F572">
        <v>559852115</v>
      </c>
      <c r="G572">
        <v>500</v>
      </c>
      <c r="H572">
        <v>563523110</v>
      </c>
      <c r="I572">
        <v>500</v>
      </c>
      <c r="J572">
        <v>104.26</v>
      </c>
      <c r="K572">
        <v>-6.5750000000000001E-3</v>
      </c>
      <c r="L572">
        <v>0.51</v>
      </c>
      <c r="M572">
        <v>44.2</v>
      </c>
      <c r="N572">
        <f t="shared" si="9"/>
        <v>-1.193018552036218E-2</v>
      </c>
      <c r="O572">
        <f t="shared" si="10"/>
        <v>-1.7219457013574191E-3</v>
      </c>
      <c r="P572">
        <f t="shared" si="11"/>
        <v>-1.0208239819004761E-2</v>
      </c>
    </row>
    <row r="573" spans="1:16" x14ac:dyDescent="0.35">
      <c r="A573" s="1">
        <v>26876</v>
      </c>
      <c r="B573">
        <v>3.9128000000000003E-2</v>
      </c>
      <c r="C573">
        <v>3.7678999999999997E-2</v>
      </c>
      <c r="D573">
        <v>7.4205999999999994E-2</v>
      </c>
      <c r="E573">
        <v>7.2114999999999999E-2</v>
      </c>
      <c r="F573">
        <v>580990000</v>
      </c>
      <c r="G573">
        <v>500</v>
      </c>
      <c r="H573">
        <v>559852115</v>
      </c>
      <c r="I573">
        <v>500</v>
      </c>
      <c r="J573">
        <v>108.22</v>
      </c>
      <c r="K573">
        <v>3.7982000000000002E-2</v>
      </c>
      <c r="L573">
        <v>0.64</v>
      </c>
      <c r="M573">
        <v>44.2</v>
      </c>
      <c r="N573">
        <f t="shared" si="9"/>
        <v>3.9128000000000052E-2</v>
      </c>
      <c r="O573">
        <f t="shared" si="10"/>
        <v>6.3999999999999613E-3</v>
      </c>
      <c r="P573">
        <f t="shared" si="11"/>
        <v>3.272800000000009E-2</v>
      </c>
    </row>
    <row r="574" spans="1:16" x14ac:dyDescent="0.35">
      <c r="A574" s="1">
        <v>26907</v>
      </c>
      <c r="B574">
        <v>-3.1544000000000003E-2</v>
      </c>
      <c r="C574">
        <v>-3.6505000000000003E-2</v>
      </c>
      <c r="D574">
        <v>-2.043E-2</v>
      </c>
      <c r="E574">
        <v>-2.5377E-2</v>
      </c>
      <c r="F574">
        <v>560143940</v>
      </c>
      <c r="G574">
        <v>500</v>
      </c>
      <c r="H574">
        <v>581398400</v>
      </c>
      <c r="I574">
        <v>500</v>
      </c>
      <c r="J574">
        <v>104.25</v>
      </c>
      <c r="K574">
        <v>-3.6685000000000002E-2</v>
      </c>
      <c r="L574">
        <v>0.7</v>
      </c>
      <c r="M574">
        <v>45</v>
      </c>
      <c r="N574">
        <f t="shared" si="9"/>
        <v>-4.8760995555555575E-2</v>
      </c>
      <c r="O574">
        <f t="shared" si="10"/>
        <v>-1.0902222222222258E-2</v>
      </c>
      <c r="P574">
        <f t="shared" si="11"/>
        <v>-3.7858773333333318E-2</v>
      </c>
    </row>
    <row r="575" spans="1:16" x14ac:dyDescent="0.35">
      <c r="A575" s="1">
        <v>26935</v>
      </c>
      <c r="B575">
        <v>4.2219E-2</v>
      </c>
      <c r="C575">
        <v>4.1037999999999998E-2</v>
      </c>
      <c r="D575">
        <v>9.5102000000000006E-2</v>
      </c>
      <c r="E575">
        <v>9.2734999999999998E-2</v>
      </c>
      <c r="F575">
        <v>583169144</v>
      </c>
      <c r="G575">
        <v>500</v>
      </c>
      <c r="H575">
        <v>560143940</v>
      </c>
      <c r="I575">
        <v>500</v>
      </c>
      <c r="J575">
        <v>108.43</v>
      </c>
      <c r="K575">
        <v>4.0096E-2</v>
      </c>
      <c r="L575">
        <v>0.68</v>
      </c>
      <c r="M575">
        <v>45.2</v>
      </c>
      <c r="N575">
        <f t="shared" si="9"/>
        <v>3.7607411504424704E-2</v>
      </c>
      <c r="O575">
        <f t="shared" si="10"/>
        <v>2.3451327433627878E-3</v>
      </c>
      <c r="P575">
        <f t="shared" si="11"/>
        <v>3.5262278761061916E-2</v>
      </c>
    </row>
    <row r="576" spans="1:16" x14ac:dyDescent="0.35">
      <c r="A576" s="1">
        <v>26968</v>
      </c>
      <c r="B576">
        <v>3.1199999999999999E-4</v>
      </c>
      <c r="C576">
        <v>-1.56E-3</v>
      </c>
      <c r="D576">
        <v>3.6999999999999999E-4</v>
      </c>
      <c r="E576">
        <v>-2.016E-3</v>
      </c>
      <c r="F576">
        <v>582331588</v>
      </c>
      <c r="G576">
        <v>500</v>
      </c>
      <c r="H576">
        <v>583169144</v>
      </c>
      <c r="I576">
        <v>500</v>
      </c>
      <c r="J576">
        <v>108.29</v>
      </c>
      <c r="K576">
        <v>-1.291E-3</v>
      </c>
      <c r="L576">
        <v>0.65</v>
      </c>
      <c r="M576">
        <v>45.6</v>
      </c>
      <c r="N576">
        <f t="shared" si="9"/>
        <v>-8.4626666666665074E-3</v>
      </c>
      <c r="O576">
        <f t="shared" si="10"/>
        <v>-2.3289473684210416E-3</v>
      </c>
      <c r="P576">
        <f t="shared" si="11"/>
        <v>-6.1337192982454658E-3</v>
      </c>
    </row>
    <row r="577" spans="1:16" x14ac:dyDescent="0.35">
      <c r="A577" s="1">
        <v>26998</v>
      </c>
      <c r="B577">
        <v>-0.10722</v>
      </c>
      <c r="C577">
        <v>-0.11304599999999999</v>
      </c>
      <c r="D577">
        <v>-0.150922</v>
      </c>
      <c r="E577">
        <v>-0.155919</v>
      </c>
      <c r="F577">
        <v>517289633</v>
      </c>
      <c r="G577">
        <v>500</v>
      </c>
      <c r="H577">
        <v>583218586</v>
      </c>
      <c r="I577">
        <v>500</v>
      </c>
      <c r="J577">
        <v>95.96</v>
      </c>
      <c r="K577">
        <v>-0.113861</v>
      </c>
      <c r="L577">
        <v>0.56000000000000005</v>
      </c>
      <c r="M577">
        <v>45.9</v>
      </c>
      <c r="N577">
        <f t="shared" si="9"/>
        <v>-0.1130551633986927</v>
      </c>
      <c r="O577">
        <f t="shared" si="10"/>
        <v>-9.7254901960774909E-4</v>
      </c>
      <c r="P577">
        <f t="shared" si="11"/>
        <v>-0.11208261437908495</v>
      </c>
    </row>
    <row r="578" spans="1:16" x14ac:dyDescent="0.35">
      <c r="A578" s="1">
        <v>27029</v>
      </c>
      <c r="B578">
        <v>1.7971000000000001E-2</v>
      </c>
      <c r="C578">
        <v>1.6534E-2</v>
      </c>
      <c r="D578">
        <v>1.0212000000000001E-2</v>
      </c>
      <c r="E578">
        <v>6.8040000000000002E-3</v>
      </c>
      <c r="F578">
        <v>526208833</v>
      </c>
      <c r="G578">
        <v>500</v>
      </c>
      <c r="H578">
        <v>517289633</v>
      </c>
      <c r="I578">
        <v>500</v>
      </c>
      <c r="J578">
        <v>97.55</v>
      </c>
      <c r="K578">
        <v>1.6569E-2</v>
      </c>
      <c r="L578">
        <v>0.64</v>
      </c>
      <c r="M578">
        <v>46.3</v>
      </c>
      <c r="N578">
        <f t="shared" si="9"/>
        <v>9.1764341252700277E-3</v>
      </c>
      <c r="O578">
        <f t="shared" si="10"/>
        <v>-2.2946004319653879E-3</v>
      </c>
      <c r="P578">
        <f t="shared" si="11"/>
        <v>1.1471034557235416E-2</v>
      </c>
    </row>
    <row r="579" spans="1:16" x14ac:dyDescent="0.35">
      <c r="A579" s="1">
        <v>27060</v>
      </c>
      <c r="B579">
        <v>-8.1200000000000005E-3</v>
      </c>
      <c r="C579">
        <v>-9.7490000000000007E-3</v>
      </c>
      <c r="D579">
        <v>7.0594000000000004E-2</v>
      </c>
      <c r="E579">
        <v>6.8305000000000005E-2</v>
      </c>
      <c r="F579">
        <v>521083068</v>
      </c>
      <c r="G579">
        <v>500</v>
      </c>
      <c r="H579">
        <v>526208833</v>
      </c>
      <c r="I579">
        <v>500</v>
      </c>
      <c r="J579">
        <v>96.57</v>
      </c>
      <c r="K579">
        <v>-1.0045999999999999E-2</v>
      </c>
      <c r="L579">
        <v>0.63</v>
      </c>
      <c r="M579">
        <v>46.8</v>
      </c>
      <c r="N579">
        <f t="shared" si="9"/>
        <v>-1.871700854700864E-2</v>
      </c>
      <c r="O579">
        <f t="shared" si="10"/>
        <v>-4.4510683760684566E-3</v>
      </c>
      <c r="P579">
        <f t="shared" si="11"/>
        <v>-1.4265940170940183E-2</v>
      </c>
    </row>
    <row r="580" spans="1:16" x14ac:dyDescent="0.35">
      <c r="A580" s="1">
        <v>27088</v>
      </c>
      <c r="B580">
        <v>1.9919999999999998E-3</v>
      </c>
      <c r="C580">
        <v>-3.6949999999999999E-3</v>
      </c>
      <c r="D580">
        <v>1.525E-2</v>
      </c>
      <c r="E580">
        <v>1.0418999999999999E-2</v>
      </c>
      <c r="F580">
        <v>518891052</v>
      </c>
      <c r="G580">
        <v>500</v>
      </c>
      <c r="H580">
        <v>520815373</v>
      </c>
      <c r="I580">
        <v>500</v>
      </c>
      <c r="J580">
        <v>96.22</v>
      </c>
      <c r="K580">
        <v>-3.6240000000000001E-3</v>
      </c>
      <c r="L580">
        <v>0.57999999999999996</v>
      </c>
      <c r="M580">
        <v>47.3</v>
      </c>
      <c r="N580">
        <f t="shared" si="9"/>
        <v>-8.5998816067653916E-3</v>
      </c>
      <c r="O580">
        <f t="shared" si="10"/>
        <v>-4.8321353065539085E-3</v>
      </c>
      <c r="P580">
        <f t="shared" si="11"/>
        <v>-3.767746300211483E-3</v>
      </c>
    </row>
    <row r="581" spans="1:16" x14ac:dyDescent="0.35">
      <c r="A581" s="1">
        <v>27117</v>
      </c>
      <c r="B581">
        <v>-2.1818000000000001E-2</v>
      </c>
      <c r="C581">
        <v>-2.3154000000000001E-2</v>
      </c>
      <c r="D581">
        <v>-2.0739E-2</v>
      </c>
      <c r="E581">
        <v>-2.4063000000000001E-2</v>
      </c>
      <c r="F581">
        <v>507050428</v>
      </c>
      <c r="G581">
        <v>500</v>
      </c>
      <c r="H581">
        <v>518891052</v>
      </c>
      <c r="I581">
        <v>500</v>
      </c>
      <c r="J581">
        <v>93.98</v>
      </c>
      <c r="K581">
        <v>-2.3279999999999999E-2</v>
      </c>
      <c r="L581">
        <v>0.56000000000000005</v>
      </c>
      <c r="M581">
        <v>47.8</v>
      </c>
      <c r="N581">
        <f t="shared" si="9"/>
        <v>-3.205002928870293E-2</v>
      </c>
      <c r="O581">
        <f t="shared" si="10"/>
        <v>-4.9188284518827396E-3</v>
      </c>
      <c r="P581">
        <f t="shared" si="11"/>
        <v>-2.7131200836820191E-2</v>
      </c>
    </row>
    <row r="582" spans="1:16" x14ac:dyDescent="0.35">
      <c r="A582" s="1">
        <v>27149</v>
      </c>
      <c r="B582">
        <v>-3.7649000000000002E-2</v>
      </c>
      <c r="C582">
        <v>-3.9358999999999998E-2</v>
      </c>
      <c r="D582">
        <v>-5.4490999999999998E-2</v>
      </c>
      <c r="E582">
        <v>-5.7072999999999999E-2</v>
      </c>
      <c r="F582">
        <v>487884643</v>
      </c>
      <c r="G582">
        <v>500</v>
      </c>
      <c r="H582">
        <v>507925941</v>
      </c>
      <c r="I582">
        <v>499</v>
      </c>
      <c r="J582">
        <v>90.31</v>
      </c>
      <c r="K582">
        <v>-3.9051000000000002E-2</v>
      </c>
      <c r="L582">
        <v>0.75</v>
      </c>
      <c r="M582">
        <v>48.1</v>
      </c>
      <c r="N582">
        <f t="shared" si="9"/>
        <v>-4.365118918918931E-2</v>
      </c>
      <c r="O582">
        <f t="shared" si="10"/>
        <v>1.2162162162163703E-3</v>
      </c>
      <c r="P582">
        <f t="shared" si="11"/>
        <v>-4.486740540540568E-2</v>
      </c>
    </row>
    <row r="583" spans="1:16" x14ac:dyDescent="0.35">
      <c r="A583" s="1">
        <v>27180</v>
      </c>
      <c r="B583">
        <v>-2.6896E-2</v>
      </c>
      <c r="C583">
        <v>-3.3126999999999997E-2</v>
      </c>
      <c r="D583">
        <v>-6.2036000000000001E-2</v>
      </c>
      <c r="E583">
        <v>-6.7642999999999995E-2</v>
      </c>
      <c r="F583">
        <v>471498804</v>
      </c>
      <c r="G583">
        <v>500</v>
      </c>
      <c r="H583">
        <v>487616259</v>
      </c>
      <c r="I583">
        <v>500</v>
      </c>
      <c r="J583">
        <v>87.28</v>
      </c>
      <c r="K583">
        <v>-3.3550999999999997E-2</v>
      </c>
      <c r="L583">
        <v>0.75</v>
      </c>
      <c r="M583">
        <v>48.6</v>
      </c>
      <c r="N583">
        <f t="shared" si="9"/>
        <v>-3.6907358024691361E-2</v>
      </c>
      <c r="O583">
        <f t="shared" si="10"/>
        <v>-2.8652263374484566E-3</v>
      </c>
      <c r="P583">
        <f t="shared" si="11"/>
        <v>-3.4042131687242905E-2</v>
      </c>
    </row>
    <row r="584" spans="1:16" x14ac:dyDescent="0.35">
      <c r="A584" s="1">
        <v>27208</v>
      </c>
      <c r="B584">
        <v>-1.2815999999999999E-2</v>
      </c>
      <c r="C584">
        <v>-1.4583E-2</v>
      </c>
      <c r="D584">
        <v>-2.8427999999999998E-2</v>
      </c>
      <c r="E584">
        <v>-3.2315000000000003E-2</v>
      </c>
      <c r="F584">
        <v>464425537</v>
      </c>
      <c r="G584">
        <v>500</v>
      </c>
      <c r="H584">
        <v>471411977</v>
      </c>
      <c r="I584">
        <v>500</v>
      </c>
      <c r="J584">
        <v>86</v>
      </c>
      <c r="K584">
        <v>-1.4664999999999999E-2</v>
      </c>
      <c r="L584">
        <v>0.6</v>
      </c>
      <c r="M584">
        <v>49</v>
      </c>
      <c r="N584">
        <f t="shared" si="9"/>
        <v>-2.0874644897959205E-2</v>
      </c>
      <c r="O584">
        <f t="shared" si="10"/>
        <v>-2.2122448979591258E-3</v>
      </c>
      <c r="P584">
        <f t="shared" si="11"/>
        <v>-1.8662400000000079E-2</v>
      </c>
    </row>
    <row r="585" spans="1:16" x14ac:dyDescent="0.35">
      <c r="A585" s="1">
        <v>27241</v>
      </c>
      <c r="B585">
        <v>-7.6698000000000002E-2</v>
      </c>
      <c r="C585">
        <v>-7.85E-2</v>
      </c>
      <c r="D585">
        <v>-4.8017999999999998E-2</v>
      </c>
      <c r="E585">
        <v>-5.0820999999999998E-2</v>
      </c>
      <c r="F585">
        <v>427967948</v>
      </c>
      <c r="G585">
        <v>500</v>
      </c>
      <c r="H585">
        <v>464425537</v>
      </c>
      <c r="I585">
        <v>500</v>
      </c>
      <c r="J585">
        <v>79.31</v>
      </c>
      <c r="K585">
        <v>-7.7790999999999999E-2</v>
      </c>
      <c r="L585">
        <v>0.7</v>
      </c>
      <c r="M585">
        <v>49.3</v>
      </c>
      <c r="N585">
        <f t="shared" si="9"/>
        <v>-8.2316470588235324E-2</v>
      </c>
      <c r="O585">
        <f t="shared" si="10"/>
        <v>8.7221095334677479E-4</v>
      </c>
      <c r="P585">
        <f t="shared" si="11"/>
        <v>-8.3188681541582099E-2</v>
      </c>
    </row>
    <row r="586" spans="1:16" x14ac:dyDescent="0.35">
      <c r="A586" s="1">
        <v>27271</v>
      </c>
      <c r="B586">
        <v>-8.2177E-2</v>
      </c>
      <c r="C586">
        <v>-8.9736999999999997E-2</v>
      </c>
      <c r="D586">
        <v>-8.8521000000000002E-2</v>
      </c>
      <c r="E586">
        <v>-9.529E-2</v>
      </c>
      <c r="F586">
        <v>389555362</v>
      </c>
      <c r="G586">
        <v>500</v>
      </c>
      <c r="H586">
        <v>427967948</v>
      </c>
      <c r="I586">
        <v>500</v>
      </c>
      <c r="J586">
        <v>72.150000000000006</v>
      </c>
      <c r="K586">
        <v>-9.0278999999999998E-2</v>
      </c>
      <c r="L586">
        <v>0.6</v>
      </c>
      <c r="M586">
        <v>49.9</v>
      </c>
      <c r="N586">
        <f t="shared" si="9"/>
        <v>-9.3212947895791598E-2</v>
      </c>
      <c r="O586">
        <f t="shared" si="10"/>
        <v>-6.0961923847695498E-3</v>
      </c>
      <c r="P586">
        <f t="shared" si="11"/>
        <v>-8.7116755511022048E-2</v>
      </c>
    </row>
    <row r="587" spans="1:16" x14ac:dyDescent="0.35">
      <c r="A587" s="1">
        <v>27302</v>
      </c>
      <c r="B587">
        <v>-0.117511</v>
      </c>
      <c r="C587">
        <v>-0.119578</v>
      </c>
      <c r="D587">
        <v>-8.0482999999999999E-2</v>
      </c>
      <c r="E587">
        <v>-8.5022E-2</v>
      </c>
      <c r="F587">
        <v>342825793</v>
      </c>
      <c r="G587">
        <v>500</v>
      </c>
      <c r="H587">
        <v>389387600</v>
      </c>
      <c r="I587">
        <v>497</v>
      </c>
      <c r="J587">
        <v>63.54</v>
      </c>
      <c r="K587">
        <v>-0.119335</v>
      </c>
      <c r="L587">
        <v>0.81</v>
      </c>
      <c r="M587">
        <v>50.6</v>
      </c>
      <c r="N587">
        <f t="shared" si="9"/>
        <v>-0.12971934584980238</v>
      </c>
      <c r="O587">
        <f t="shared" si="10"/>
        <v>-5.8460474308300592E-3</v>
      </c>
      <c r="P587">
        <f t="shared" si="11"/>
        <v>-0.12387329841897232</v>
      </c>
    </row>
    <row r="588" spans="1:16" x14ac:dyDescent="0.35">
      <c r="A588" s="1">
        <v>27333</v>
      </c>
      <c r="B588">
        <v>0.16811300000000001</v>
      </c>
      <c r="C588">
        <v>0.16481399999999999</v>
      </c>
      <c r="D588">
        <v>0.136543</v>
      </c>
      <c r="E588">
        <v>0.132523</v>
      </c>
      <c r="F588">
        <v>402894440</v>
      </c>
      <c r="G588">
        <v>500</v>
      </c>
      <c r="H588">
        <v>345629814</v>
      </c>
      <c r="I588">
        <v>497</v>
      </c>
      <c r="J588">
        <v>73.900000000000006</v>
      </c>
      <c r="K588">
        <v>0.163047</v>
      </c>
      <c r="L588">
        <v>0.51</v>
      </c>
      <c r="M588">
        <v>51</v>
      </c>
      <c r="N588">
        <f t="shared" si="9"/>
        <v>0.1589513294117646</v>
      </c>
      <c r="O588">
        <f t="shared" si="10"/>
        <v>-2.7831372549017575E-3</v>
      </c>
      <c r="P588">
        <f t="shared" si="11"/>
        <v>0.16173446666666635</v>
      </c>
    </row>
    <row r="589" spans="1:16" x14ac:dyDescent="0.35">
      <c r="A589" s="1">
        <v>27362</v>
      </c>
      <c r="B589">
        <v>-4.5687999999999999E-2</v>
      </c>
      <c r="C589">
        <v>-5.3816000000000003E-2</v>
      </c>
      <c r="D589">
        <v>-4.0365999999999999E-2</v>
      </c>
      <c r="E589">
        <v>-4.8104000000000001E-2</v>
      </c>
      <c r="F589">
        <v>382860515</v>
      </c>
      <c r="G589">
        <v>500</v>
      </c>
      <c r="H589">
        <v>402785522</v>
      </c>
      <c r="I589">
        <v>498</v>
      </c>
      <c r="J589">
        <v>69.97</v>
      </c>
      <c r="K589">
        <v>-5.3179999999999998E-2</v>
      </c>
      <c r="L589">
        <v>0.54</v>
      </c>
      <c r="M589">
        <v>51.5</v>
      </c>
      <c r="N589">
        <f t="shared" si="9"/>
        <v>-5.495316504854364E-2</v>
      </c>
      <c r="O589">
        <f t="shared" si="10"/>
        <v>-4.3611650485435582E-3</v>
      </c>
      <c r="P589">
        <f t="shared" si="11"/>
        <v>-5.0592000000000081E-2</v>
      </c>
    </row>
    <row r="590" spans="1:16" x14ac:dyDescent="0.35">
      <c r="A590" s="1">
        <v>27394</v>
      </c>
      <c r="B590">
        <v>-1.8020999999999999E-2</v>
      </c>
      <c r="C590">
        <v>-2.0305E-2</v>
      </c>
      <c r="D590">
        <v>-3.4577999999999998E-2</v>
      </c>
      <c r="E590">
        <v>-3.9534E-2</v>
      </c>
      <c r="F590">
        <v>375972948</v>
      </c>
      <c r="G590">
        <v>500</v>
      </c>
      <c r="H590">
        <v>382860515</v>
      </c>
      <c r="I590">
        <v>498</v>
      </c>
      <c r="J590">
        <v>68.56</v>
      </c>
      <c r="K590">
        <v>-2.0150999999999999E-2</v>
      </c>
      <c r="L590">
        <v>0.7</v>
      </c>
      <c r="M590">
        <v>51.9</v>
      </c>
      <c r="N590">
        <f t="shared" si="9"/>
        <v>-2.5589238921001844E-2</v>
      </c>
      <c r="O590">
        <f t="shared" si="10"/>
        <v>-7.610789980733168E-4</v>
      </c>
      <c r="P590">
        <f t="shared" si="11"/>
        <v>-2.4828159922928528E-2</v>
      </c>
    </row>
    <row r="591" spans="1:16" x14ac:dyDescent="0.35">
      <c r="A591" s="1">
        <v>27425</v>
      </c>
      <c r="B591">
        <v>0.12361</v>
      </c>
      <c r="C591">
        <v>0.121698</v>
      </c>
      <c r="D591">
        <v>0.231295</v>
      </c>
      <c r="E591">
        <v>0.228545</v>
      </c>
      <c r="F591">
        <v>422020102</v>
      </c>
      <c r="G591">
        <v>500</v>
      </c>
      <c r="H591">
        <v>375972948</v>
      </c>
      <c r="I591">
        <v>499</v>
      </c>
      <c r="J591">
        <v>76.98</v>
      </c>
      <c r="K591">
        <v>0.122812</v>
      </c>
      <c r="L591">
        <v>0.57999999999999996</v>
      </c>
      <c r="M591">
        <v>52.3</v>
      </c>
      <c r="N591">
        <f t="shared" si="9"/>
        <v>0.11501642447418736</v>
      </c>
      <c r="O591">
        <f t="shared" si="10"/>
        <v>-1.8925430210324778E-3</v>
      </c>
      <c r="P591">
        <f t="shared" si="11"/>
        <v>0.11690896749521984</v>
      </c>
    </row>
    <row r="592" spans="1:16" x14ac:dyDescent="0.35">
      <c r="A592" s="1">
        <v>27453</v>
      </c>
      <c r="B592">
        <v>6.7460000000000006E-2</v>
      </c>
      <c r="C592">
        <v>5.9497000000000001E-2</v>
      </c>
      <c r="D592">
        <v>4.7100999999999997E-2</v>
      </c>
      <c r="E592">
        <v>4.0466000000000002E-2</v>
      </c>
      <c r="F592">
        <v>448872080</v>
      </c>
      <c r="G592">
        <v>500</v>
      </c>
      <c r="H592">
        <v>422667956</v>
      </c>
      <c r="I592">
        <v>499</v>
      </c>
      <c r="J592">
        <v>81.59</v>
      </c>
      <c r="K592">
        <v>5.9886000000000002E-2</v>
      </c>
      <c r="L592">
        <v>0.43</v>
      </c>
      <c r="M592">
        <v>52.6</v>
      </c>
      <c r="N592">
        <f t="shared" si="9"/>
        <v>6.1371825095057009E-2</v>
      </c>
      <c r="O592">
        <f t="shared" si="10"/>
        <v>-1.4279467680610169E-3</v>
      </c>
      <c r="P592">
        <f t="shared" si="11"/>
        <v>6.2799771863118026E-2</v>
      </c>
    </row>
    <row r="593" spans="1:16" x14ac:dyDescent="0.35">
      <c r="A593" s="1">
        <v>27484</v>
      </c>
      <c r="B593">
        <v>2.4014000000000001E-2</v>
      </c>
      <c r="C593">
        <v>2.2121999999999999E-2</v>
      </c>
      <c r="D593">
        <v>6.8628999999999996E-2</v>
      </c>
      <c r="E593">
        <v>6.4324999999999993E-2</v>
      </c>
      <c r="F593">
        <v>463043916</v>
      </c>
      <c r="G593">
        <v>500</v>
      </c>
      <c r="H593">
        <v>448883998</v>
      </c>
      <c r="I593">
        <v>500</v>
      </c>
      <c r="J593">
        <v>83.36</v>
      </c>
      <c r="K593">
        <v>2.1694000000000001E-2</v>
      </c>
      <c r="L593">
        <v>0.41</v>
      </c>
      <c r="M593">
        <v>52.8</v>
      </c>
      <c r="N593">
        <f t="shared" si="9"/>
        <v>2.0135159090909127E-2</v>
      </c>
      <c r="O593">
        <f t="shared" si="10"/>
        <v>2.9659090909106567E-4</v>
      </c>
      <c r="P593">
        <f t="shared" si="11"/>
        <v>1.9838568181818061E-2</v>
      </c>
    </row>
    <row r="594" spans="1:16" x14ac:dyDescent="0.35">
      <c r="A594" s="1">
        <v>27514</v>
      </c>
      <c r="B594">
        <v>4.9424000000000003E-2</v>
      </c>
      <c r="C594">
        <v>4.7293000000000002E-2</v>
      </c>
      <c r="D594">
        <v>4.3085999999999999E-2</v>
      </c>
      <c r="E594">
        <v>4.0603E-2</v>
      </c>
      <c r="F594">
        <v>486177403</v>
      </c>
      <c r="G594">
        <v>500</v>
      </c>
      <c r="H594">
        <v>463000398</v>
      </c>
      <c r="I594">
        <v>498</v>
      </c>
      <c r="J594">
        <v>87.3</v>
      </c>
      <c r="K594">
        <v>4.7265000000000001E-2</v>
      </c>
      <c r="L594">
        <v>0.44</v>
      </c>
      <c r="M594">
        <v>53</v>
      </c>
      <c r="N594">
        <f t="shared" si="9"/>
        <v>4.5463909433962169E-2</v>
      </c>
      <c r="O594">
        <f t="shared" si="10"/>
        <v>6.0981132075466071E-4</v>
      </c>
      <c r="P594">
        <f t="shared" si="11"/>
        <v>4.4854098113207508E-2</v>
      </c>
    </row>
    <row r="595" spans="1:16" x14ac:dyDescent="0.35">
      <c r="A595" s="1">
        <v>27544</v>
      </c>
      <c r="B595">
        <v>5.1193000000000002E-2</v>
      </c>
      <c r="C595">
        <v>4.4794E-2</v>
      </c>
      <c r="D595">
        <v>5.9038E-2</v>
      </c>
      <c r="E595">
        <v>5.3101000000000002E-2</v>
      </c>
      <c r="F595">
        <v>509362863</v>
      </c>
      <c r="G595">
        <v>500</v>
      </c>
      <c r="H595">
        <v>486164474</v>
      </c>
      <c r="I595">
        <v>497</v>
      </c>
      <c r="J595">
        <v>91.15</v>
      </c>
      <c r="K595">
        <v>4.4101000000000001E-2</v>
      </c>
      <c r="L595">
        <v>0.44</v>
      </c>
      <c r="M595">
        <v>53.1</v>
      </c>
      <c r="N595">
        <f t="shared" si="9"/>
        <v>4.9213352165725199E-2</v>
      </c>
      <c r="O595">
        <f t="shared" si="10"/>
        <v>2.5084745762711247E-3</v>
      </c>
      <c r="P595">
        <f t="shared" si="11"/>
        <v>4.6704877589454075E-2</v>
      </c>
    </row>
    <row r="596" spans="1:16" x14ac:dyDescent="0.35">
      <c r="A596" s="1">
        <v>27575</v>
      </c>
      <c r="B596">
        <v>4.6219999999999997E-2</v>
      </c>
      <c r="C596">
        <v>4.4341999999999999E-2</v>
      </c>
      <c r="D596">
        <v>6.4031000000000005E-2</v>
      </c>
      <c r="E596">
        <v>6.0386000000000002E-2</v>
      </c>
      <c r="F596">
        <v>532701443</v>
      </c>
      <c r="G596">
        <v>500</v>
      </c>
      <c r="H596">
        <v>509516563</v>
      </c>
      <c r="I596">
        <v>498</v>
      </c>
      <c r="J596">
        <v>95.19</v>
      </c>
      <c r="K596">
        <v>4.4323000000000001E-2</v>
      </c>
      <c r="L596">
        <v>0.41</v>
      </c>
      <c r="M596">
        <v>53.5</v>
      </c>
      <c r="N596">
        <f t="shared" si="9"/>
        <v>3.8397794392523332E-2</v>
      </c>
      <c r="O596">
        <f t="shared" si="10"/>
        <v>-3.4072897196262275E-3</v>
      </c>
      <c r="P596">
        <f t="shared" si="11"/>
        <v>4.180508411214956E-2</v>
      </c>
    </row>
    <row r="597" spans="1:16" x14ac:dyDescent="0.35">
      <c r="A597" s="1">
        <v>27606</v>
      </c>
      <c r="B597">
        <v>-6.5504000000000007E-2</v>
      </c>
      <c r="C597">
        <v>-6.7553000000000002E-2</v>
      </c>
      <c r="D597">
        <v>-5.4768999999999998E-2</v>
      </c>
      <c r="E597">
        <v>-5.7049000000000002E-2</v>
      </c>
      <c r="F597">
        <v>497053514</v>
      </c>
      <c r="G597">
        <v>500</v>
      </c>
      <c r="H597">
        <v>532678000</v>
      </c>
      <c r="I597">
        <v>498</v>
      </c>
      <c r="J597">
        <v>88.75</v>
      </c>
      <c r="K597">
        <v>-6.7654000000000006E-2</v>
      </c>
      <c r="L597">
        <v>0.48</v>
      </c>
      <c r="M597">
        <v>54</v>
      </c>
      <c r="N597">
        <f t="shared" si="9"/>
        <v>-7.4156740740740745E-2</v>
      </c>
      <c r="O597">
        <f t="shared" si="10"/>
        <v>-4.5037037037037875E-3</v>
      </c>
      <c r="P597">
        <f t="shared" si="11"/>
        <v>-6.9653037037036958E-2</v>
      </c>
    </row>
    <row r="598" spans="1:16" x14ac:dyDescent="0.35">
      <c r="A598" s="1">
        <v>27635</v>
      </c>
      <c r="B598">
        <v>-1.5663E-2</v>
      </c>
      <c r="C598">
        <v>-2.1731E-2</v>
      </c>
      <c r="D598">
        <v>-2.8157000000000001E-2</v>
      </c>
      <c r="E598">
        <v>-3.3283E-2</v>
      </c>
      <c r="F598">
        <v>486677682</v>
      </c>
      <c r="G598">
        <v>500</v>
      </c>
      <c r="H598">
        <v>497389785</v>
      </c>
      <c r="I598">
        <v>500</v>
      </c>
      <c r="J598">
        <v>86.88</v>
      </c>
      <c r="K598">
        <v>-2.1069999999999998E-2</v>
      </c>
      <c r="L598">
        <v>0.48</v>
      </c>
      <c r="M598">
        <v>54.2</v>
      </c>
      <c r="N598">
        <f t="shared" si="9"/>
        <v>-1.929523985239856E-2</v>
      </c>
      <c r="O598">
        <f t="shared" si="10"/>
        <v>1.092250922509086E-3</v>
      </c>
      <c r="P598">
        <f t="shared" si="11"/>
        <v>-2.0387490774907646E-2</v>
      </c>
    </row>
    <row r="599" spans="1:16" x14ac:dyDescent="0.35">
      <c r="A599" s="1">
        <v>27667</v>
      </c>
      <c r="B599">
        <v>-3.2250000000000001E-2</v>
      </c>
      <c r="C599">
        <v>-3.4225999999999999E-2</v>
      </c>
      <c r="D599">
        <v>-3.5548000000000003E-2</v>
      </c>
      <c r="E599">
        <v>-3.9229E-2</v>
      </c>
      <c r="F599">
        <v>470272460</v>
      </c>
      <c r="G599">
        <v>500</v>
      </c>
      <c r="H599">
        <v>486628734</v>
      </c>
      <c r="I599">
        <v>499</v>
      </c>
      <c r="J599">
        <v>83.87</v>
      </c>
      <c r="K599">
        <v>-3.4645000000000002E-2</v>
      </c>
      <c r="L599">
        <v>0.53</v>
      </c>
      <c r="M599">
        <v>54.6</v>
      </c>
      <c r="N599">
        <f t="shared" si="9"/>
        <v>-3.933974358974357E-2</v>
      </c>
      <c r="O599">
        <f t="shared" si="10"/>
        <v>-2.0648351648350216E-3</v>
      </c>
      <c r="P599">
        <f t="shared" si="11"/>
        <v>-3.7274908424908548E-2</v>
      </c>
    </row>
    <row r="600" spans="1:16" x14ac:dyDescent="0.35">
      <c r="A600" s="1">
        <v>27698</v>
      </c>
      <c r="B600">
        <v>6.4854999999999996E-2</v>
      </c>
      <c r="C600">
        <v>6.2135000000000003E-2</v>
      </c>
      <c r="D600">
        <v>4.802E-2</v>
      </c>
      <c r="E600">
        <v>4.4944999999999999E-2</v>
      </c>
      <c r="F600">
        <v>500766658</v>
      </c>
      <c r="G600">
        <v>500</v>
      </c>
      <c r="H600">
        <v>471147358</v>
      </c>
      <c r="I600">
        <v>498</v>
      </c>
      <c r="J600">
        <v>89.04</v>
      </c>
      <c r="K600">
        <v>6.1643000000000003E-2</v>
      </c>
      <c r="L600">
        <v>0.56000000000000005</v>
      </c>
      <c r="M600">
        <v>54.9</v>
      </c>
      <c r="N600">
        <f t="shared" si="9"/>
        <v>5.9036120218579402E-2</v>
      </c>
      <c r="O600">
        <f t="shared" si="10"/>
        <v>1.0491803278700473E-4</v>
      </c>
      <c r="P600">
        <f t="shared" si="11"/>
        <v>5.8931202185792397E-2</v>
      </c>
    </row>
    <row r="601" spans="1:16" x14ac:dyDescent="0.35">
      <c r="A601" s="1">
        <v>27726</v>
      </c>
      <c r="B601">
        <v>3.0089000000000001E-2</v>
      </c>
      <c r="C601">
        <v>2.3996E-2</v>
      </c>
      <c r="D601">
        <v>3.5284999999999997E-2</v>
      </c>
      <c r="E601">
        <v>3.0446000000000001E-2</v>
      </c>
      <c r="F601">
        <v>513823885</v>
      </c>
      <c r="G601">
        <v>500</v>
      </c>
      <c r="H601">
        <v>500766658</v>
      </c>
      <c r="I601">
        <v>498</v>
      </c>
      <c r="J601">
        <v>91.24</v>
      </c>
      <c r="K601">
        <v>2.4708000000000001E-2</v>
      </c>
      <c r="L601">
        <v>0.41</v>
      </c>
      <c r="M601">
        <v>55.3</v>
      </c>
      <c r="N601">
        <f t="shared" si="9"/>
        <v>2.2638084990958429E-2</v>
      </c>
      <c r="O601">
        <f t="shared" si="10"/>
        <v>-3.1629294755876058E-3</v>
      </c>
      <c r="P601">
        <f t="shared" si="11"/>
        <v>2.5801014466546035E-2</v>
      </c>
    </row>
    <row r="602" spans="1:16" x14ac:dyDescent="0.35">
      <c r="A602" s="1">
        <v>27759</v>
      </c>
      <c r="B602">
        <v>-1.0485E-2</v>
      </c>
      <c r="C602">
        <v>-1.2296E-2</v>
      </c>
      <c r="D602">
        <v>-2.209E-3</v>
      </c>
      <c r="E602">
        <v>-5.8910000000000004E-3</v>
      </c>
      <c r="F602">
        <v>509814701</v>
      </c>
      <c r="G602">
        <v>500</v>
      </c>
      <c r="H602">
        <v>515510822</v>
      </c>
      <c r="I602">
        <v>497</v>
      </c>
      <c r="J602">
        <v>90.19</v>
      </c>
      <c r="K602">
        <v>-1.1508000000000001E-2</v>
      </c>
      <c r="L602">
        <v>0.48</v>
      </c>
      <c r="M602">
        <v>55.6</v>
      </c>
      <c r="N602">
        <f t="shared" si="9"/>
        <v>-1.582410971223025E-2</v>
      </c>
      <c r="O602">
        <f t="shared" si="10"/>
        <v>-6.2158273381307527E-4</v>
      </c>
      <c r="P602">
        <f t="shared" si="11"/>
        <v>-1.5202526978417175E-2</v>
      </c>
    </row>
    <row r="603" spans="1:16" x14ac:dyDescent="0.35">
      <c r="A603" s="1">
        <v>27789</v>
      </c>
      <c r="B603">
        <v>0.120143</v>
      </c>
      <c r="C603">
        <v>0.118545</v>
      </c>
      <c r="D603">
        <v>0.16025300000000001</v>
      </c>
      <c r="E603">
        <v>0.15825</v>
      </c>
      <c r="F603">
        <v>572928167</v>
      </c>
      <c r="G603">
        <v>500</v>
      </c>
      <c r="H603">
        <v>511680944</v>
      </c>
      <c r="I603">
        <v>499</v>
      </c>
      <c r="J603">
        <v>100.86</v>
      </c>
      <c r="K603">
        <v>0.11830599999999999</v>
      </c>
      <c r="L603">
        <v>0.47</v>
      </c>
      <c r="M603">
        <v>55.8</v>
      </c>
      <c r="N603">
        <f t="shared" ref="N603:N666" si="12">(1+B603)*M602/M603-1</f>
        <v>0.11612815053763459</v>
      </c>
      <c r="O603">
        <f t="shared" ref="O603:O666" si="13">(1+L603/100)*M602/M603-1</f>
        <v>1.0989247311827821E-3</v>
      </c>
      <c r="P603">
        <f t="shared" ref="P603:P666" si="14">N603-O603</f>
        <v>0.11502922580645181</v>
      </c>
    </row>
    <row r="604" spans="1:16" x14ac:dyDescent="0.35">
      <c r="A604" s="1">
        <v>27817</v>
      </c>
      <c r="B604">
        <v>-5.7559999999999998E-3</v>
      </c>
      <c r="C604">
        <v>-1.162E-2</v>
      </c>
      <c r="D604">
        <v>3.5711E-2</v>
      </c>
      <c r="E604">
        <v>3.1244999999999998E-2</v>
      </c>
      <c r="F604">
        <v>568326394</v>
      </c>
      <c r="G604">
        <v>500</v>
      </c>
      <c r="H604">
        <v>572778846</v>
      </c>
      <c r="I604">
        <v>499</v>
      </c>
      <c r="J604">
        <v>99.71</v>
      </c>
      <c r="K604">
        <v>-1.1402000000000001E-2</v>
      </c>
      <c r="L604">
        <v>0.34</v>
      </c>
      <c r="M604">
        <v>55.9</v>
      </c>
      <c r="N604">
        <f t="shared" si="12"/>
        <v>-7.5346118067978196E-3</v>
      </c>
      <c r="O604">
        <f t="shared" si="13"/>
        <v>1.6050089445438509E-3</v>
      </c>
      <c r="P604">
        <f t="shared" si="14"/>
        <v>-9.1396207513416705E-3</v>
      </c>
    </row>
    <row r="605" spans="1:16" x14ac:dyDescent="0.35">
      <c r="A605" s="1">
        <v>27850</v>
      </c>
      <c r="B605">
        <v>3.2640000000000002E-2</v>
      </c>
      <c r="C605">
        <v>3.0786000000000001E-2</v>
      </c>
      <c r="D605">
        <v>1.9318999999999999E-2</v>
      </c>
      <c r="E605">
        <v>1.5831000000000001E-2</v>
      </c>
      <c r="F605">
        <v>587396299</v>
      </c>
      <c r="G605">
        <v>500</v>
      </c>
      <c r="H605">
        <v>569156843</v>
      </c>
      <c r="I605">
        <v>500</v>
      </c>
      <c r="J605">
        <v>102.77</v>
      </c>
      <c r="K605">
        <v>3.0689000000000001E-2</v>
      </c>
      <c r="L605">
        <v>0.4</v>
      </c>
      <c r="M605">
        <v>56</v>
      </c>
      <c r="N605">
        <f t="shared" si="12"/>
        <v>3.0796000000000046E-2</v>
      </c>
      <c r="O605">
        <f t="shared" si="13"/>
        <v>2.207142857142852E-3</v>
      </c>
      <c r="P605">
        <f t="shared" si="14"/>
        <v>2.8588857142857194E-2</v>
      </c>
    </row>
    <row r="606" spans="1:16" x14ac:dyDescent="0.35">
      <c r="A606" s="1">
        <v>27880</v>
      </c>
      <c r="B606">
        <v>-9.6100000000000005E-3</v>
      </c>
      <c r="C606">
        <v>-1.0699E-2</v>
      </c>
      <c r="D606">
        <v>-8.6440000000000006E-3</v>
      </c>
      <c r="E606">
        <v>-1.0487E-2</v>
      </c>
      <c r="F606">
        <v>581613605</v>
      </c>
      <c r="G606">
        <v>500</v>
      </c>
      <c r="H606">
        <v>587396299</v>
      </c>
      <c r="I606">
        <v>500</v>
      </c>
      <c r="J606">
        <v>101.64</v>
      </c>
      <c r="K606">
        <v>-1.0995E-2</v>
      </c>
      <c r="L606">
        <v>0.42</v>
      </c>
      <c r="M606">
        <v>56.1</v>
      </c>
      <c r="N606">
        <f t="shared" si="12"/>
        <v>-1.1375401069518731E-2</v>
      </c>
      <c r="O606">
        <f t="shared" si="13"/>
        <v>2.409982174687908E-3</v>
      </c>
      <c r="P606">
        <f t="shared" si="14"/>
        <v>-1.3785383244206639E-2</v>
      </c>
    </row>
    <row r="607" spans="1:16" x14ac:dyDescent="0.35">
      <c r="A607" s="1">
        <v>27908</v>
      </c>
      <c r="B607">
        <v>-8.116E-3</v>
      </c>
      <c r="C607">
        <v>-1.5025999999999999E-2</v>
      </c>
      <c r="D607">
        <v>-1.6461E-2</v>
      </c>
      <c r="E607">
        <v>-2.1277999999999998E-2</v>
      </c>
      <c r="F607">
        <v>574407346</v>
      </c>
      <c r="G607">
        <v>500</v>
      </c>
      <c r="H607">
        <v>581789258</v>
      </c>
      <c r="I607">
        <v>500</v>
      </c>
      <c r="J607">
        <v>100.18</v>
      </c>
      <c r="K607">
        <v>-1.4364E-2</v>
      </c>
      <c r="L607">
        <v>0.37</v>
      </c>
      <c r="M607">
        <v>56.4</v>
      </c>
      <c r="N607">
        <f t="shared" si="12"/>
        <v>-1.3391978723404141E-2</v>
      </c>
      <c r="O607">
        <f t="shared" si="13"/>
        <v>-1.638829787233953E-3</v>
      </c>
      <c r="P607">
        <f t="shared" si="14"/>
        <v>-1.1753148936170188E-2</v>
      </c>
    </row>
    <row r="608" spans="1:16" x14ac:dyDescent="0.35">
      <c r="A608" s="1">
        <v>27941</v>
      </c>
      <c r="B608">
        <v>4.3958999999999998E-2</v>
      </c>
      <c r="C608">
        <v>4.2158000000000001E-2</v>
      </c>
      <c r="D608">
        <v>5.4092000000000001E-2</v>
      </c>
      <c r="E608">
        <v>5.0594E-2</v>
      </c>
      <c r="F608">
        <v>599232313</v>
      </c>
      <c r="G608">
        <v>500</v>
      </c>
      <c r="H608">
        <v>574407346</v>
      </c>
      <c r="I608">
        <v>500</v>
      </c>
      <c r="J608">
        <v>104.28</v>
      </c>
      <c r="K608">
        <v>4.0925999999999997E-2</v>
      </c>
      <c r="L608">
        <v>0.43</v>
      </c>
      <c r="M608">
        <v>56.7</v>
      </c>
      <c r="N608">
        <f t="shared" si="12"/>
        <v>3.8435407407407363E-2</v>
      </c>
      <c r="O608">
        <f t="shared" si="13"/>
        <v>-1.0137566137566889E-3</v>
      </c>
      <c r="P608">
        <f t="shared" si="14"/>
        <v>3.9449164021164052E-2</v>
      </c>
    </row>
    <row r="609" spans="1:16" x14ac:dyDescent="0.35">
      <c r="A609" s="1">
        <v>27971</v>
      </c>
      <c r="B609">
        <v>-7.2020000000000001E-3</v>
      </c>
      <c r="C609">
        <v>-8.4539999999999997E-3</v>
      </c>
      <c r="D609">
        <v>-6.0559999999999998E-3</v>
      </c>
      <c r="E609">
        <v>-7.535E-3</v>
      </c>
      <c r="F609">
        <v>623800459</v>
      </c>
      <c r="G609">
        <v>500</v>
      </c>
      <c r="H609">
        <v>628853584</v>
      </c>
      <c r="I609">
        <v>500</v>
      </c>
      <c r="J609">
        <v>103.44</v>
      </c>
      <c r="K609">
        <v>-8.0549999999999997E-3</v>
      </c>
      <c r="L609">
        <v>0.47</v>
      </c>
      <c r="M609">
        <v>57</v>
      </c>
      <c r="N609">
        <f t="shared" si="12"/>
        <v>-1.2427252631578956E-2</v>
      </c>
      <c r="O609">
        <f t="shared" si="13"/>
        <v>-5.8789473684206506E-4</v>
      </c>
      <c r="P609">
        <f t="shared" si="14"/>
        <v>-1.183935789473689E-2</v>
      </c>
    </row>
    <row r="610" spans="1:16" x14ac:dyDescent="0.35">
      <c r="A610" s="1">
        <v>28003</v>
      </c>
      <c r="B610">
        <v>1.5989999999999999E-3</v>
      </c>
      <c r="C610">
        <v>-4.9820000000000003E-3</v>
      </c>
      <c r="D610">
        <v>-1.0466E-2</v>
      </c>
      <c r="E610">
        <v>-1.5543E-2</v>
      </c>
      <c r="F610">
        <v>621186189</v>
      </c>
      <c r="G610">
        <v>500</v>
      </c>
      <c r="H610">
        <v>623763543</v>
      </c>
      <c r="I610">
        <v>498</v>
      </c>
      <c r="J610">
        <v>102.91</v>
      </c>
      <c r="K610">
        <v>-5.1240000000000001E-3</v>
      </c>
      <c r="L610">
        <v>0.42</v>
      </c>
      <c r="M610">
        <v>57.3</v>
      </c>
      <c r="N610">
        <f t="shared" si="12"/>
        <v>-3.6449738219895833E-3</v>
      </c>
      <c r="O610">
        <f t="shared" si="13"/>
        <v>-1.0575916230366467E-3</v>
      </c>
      <c r="P610">
        <f t="shared" si="14"/>
        <v>-2.5873821989529366E-3</v>
      </c>
    </row>
    <row r="611" spans="1:16" x14ac:dyDescent="0.35">
      <c r="A611" s="1">
        <v>28033</v>
      </c>
      <c r="B611">
        <v>2.4421000000000002E-2</v>
      </c>
      <c r="C611">
        <v>2.2669999999999999E-2</v>
      </c>
      <c r="D611">
        <v>1.9879999999999998E-2</v>
      </c>
      <c r="E611">
        <v>1.685E-2</v>
      </c>
      <c r="F611">
        <v>636178589</v>
      </c>
      <c r="G611">
        <v>500</v>
      </c>
      <c r="H611">
        <v>621285071</v>
      </c>
      <c r="I611">
        <v>497</v>
      </c>
      <c r="J611">
        <v>105.24</v>
      </c>
      <c r="K611">
        <v>2.2641000000000001E-2</v>
      </c>
      <c r="L611">
        <v>0.44</v>
      </c>
      <c r="M611">
        <v>57.6</v>
      </c>
      <c r="N611">
        <f t="shared" si="12"/>
        <v>1.9085473958333266E-2</v>
      </c>
      <c r="O611">
        <f t="shared" si="13"/>
        <v>-8.3125000000006111E-4</v>
      </c>
      <c r="P611">
        <f t="shared" si="14"/>
        <v>1.9916723958333327E-2</v>
      </c>
    </row>
    <row r="612" spans="1:16" x14ac:dyDescent="0.35">
      <c r="A612" s="1">
        <v>28062</v>
      </c>
      <c r="B612">
        <v>-2.0211E-2</v>
      </c>
      <c r="C612">
        <v>-2.1995000000000001E-2</v>
      </c>
      <c r="D612">
        <v>-2.4063999999999999E-2</v>
      </c>
      <c r="E612">
        <v>-2.6095E-2</v>
      </c>
      <c r="F612">
        <v>621508456</v>
      </c>
      <c r="G612">
        <v>500</v>
      </c>
      <c r="H612">
        <v>634504278</v>
      </c>
      <c r="I612">
        <v>496</v>
      </c>
      <c r="J612">
        <v>102.9</v>
      </c>
      <c r="K612">
        <v>-2.2235000000000001E-2</v>
      </c>
      <c r="L612">
        <v>0.41</v>
      </c>
      <c r="M612">
        <v>57.9</v>
      </c>
      <c r="N612">
        <f t="shared" si="12"/>
        <v>-2.5287626943005126E-2</v>
      </c>
      <c r="O612">
        <f t="shared" si="13"/>
        <v>-1.102590673575099E-3</v>
      </c>
      <c r="P612">
        <f t="shared" si="14"/>
        <v>-2.4185036269430027E-2</v>
      </c>
    </row>
    <row r="613" spans="1:16" x14ac:dyDescent="0.35">
      <c r="A613" s="1">
        <v>28094</v>
      </c>
      <c r="B613">
        <v>-1.041E-3</v>
      </c>
      <c r="C613">
        <v>-8.6280000000000003E-3</v>
      </c>
      <c r="D613">
        <v>2.2976E-2</v>
      </c>
      <c r="E613">
        <v>1.7395999999999998E-2</v>
      </c>
      <c r="F613">
        <v>617346638</v>
      </c>
      <c r="G613">
        <v>500</v>
      </c>
      <c r="H613">
        <v>621508456</v>
      </c>
      <c r="I613">
        <v>497</v>
      </c>
      <c r="J613">
        <v>102.1</v>
      </c>
      <c r="K613">
        <v>-7.7749999999999998E-3</v>
      </c>
      <c r="L613">
        <v>0.4</v>
      </c>
      <c r="M613">
        <v>58.1</v>
      </c>
      <c r="N613">
        <f t="shared" si="12"/>
        <v>-4.4797573149741865E-3</v>
      </c>
      <c r="O613">
        <f t="shared" si="13"/>
        <v>5.4388984509468052E-4</v>
      </c>
      <c r="P613">
        <f t="shared" si="14"/>
        <v>-5.023647160068867E-3</v>
      </c>
    </row>
    <row r="614" spans="1:16" x14ac:dyDescent="0.35">
      <c r="A614" s="1">
        <v>28125</v>
      </c>
      <c r="B614">
        <v>5.3775000000000003E-2</v>
      </c>
      <c r="C614">
        <v>5.2170000000000001E-2</v>
      </c>
      <c r="D614">
        <v>7.4750999999999998E-2</v>
      </c>
      <c r="E614">
        <v>7.1956000000000006E-2</v>
      </c>
      <c r="F614">
        <v>654696366</v>
      </c>
      <c r="G614">
        <v>500</v>
      </c>
      <c r="H614">
        <v>618575479</v>
      </c>
      <c r="I614">
        <v>500</v>
      </c>
      <c r="J614">
        <v>107.46</v>
      </c>
      <c r="K614">
        <v>5.2498000000000003E-2</v>
      </c>
      <c r="L614">
        <v>0.4</v>
      </c>
      <c r="M614">
        <v>58.4</v>
      </c>
      <c r="N614">
        <f t="shared" si="12"/>
        <v>4.8361772260273828E-2</v>
      </c>
      <c r="O614">
        <f t="shared" si="13"/>
        <v>-1.1575342465752758E-3</v>
      </c>
      <c r="P614">
        <f t="shared" si="14"/>
        <v>4.9519306506849103E-2</v>
      </c>
    </row>
    <row r="615" spans="1:16" x14ac:dyDescent="0.35">
      <c r="A615" s="1">
        <v>28156</v>
      </c>
      <c r="B615">
        <v>-4.9653999999999997E-2</v>
      </c>
      <c r="C615">
        <v>-5.1166999999999997E-2</v>
      </c>
      <c r="D615">
        <v>-3.3987000000000003E-2</v>
      </c>
      <c r="E615">
        <v>-3.5663E-2</v>
      </c>
      <c r="F615">
        <v>622113511</v>
      </c>
      <c r="G615">
        <v>500</v>
      </c>
      <c r="H615">
        <v>654294471</v>
      </c>
      <c r="I615">
        <v>500</v>
      </c>
      <c r="J615">
        <v>102.03</v>
      </c>
      <c r="K615">
        <v>-5.0529999999999999E-2</v>
      </c>
      <c r="L615">
        <v>0.36</v>
      </c>
      <c r="M615">
        <v>58.7</v>
      </c>
      <c r="N615">
        <f t="shared" si="12"/>
        <v>-5.4510964224872227E-2</v>
      </c>
      <c r="O615">
        <f t="shared" si="13"/>
        <v>-1.52913117546849E-3</v>
      </c>
      <c r="P615">
        <f t="shared" si="14"/>
        <v>-5.2981833049403737E-2</v>
      </c>
    </row>
    <row r="616" spans="1:16" x14ac:dyDescent="0.35">
      <c r="A616" s="1">
        <v>28184</v>
      </c>
      <c r="B616">
        <v>-1.5637999999999999E-2</v>
      </c>
      <c r="C616">
        <v>-2.24E-2</v>
      </c>
      <c r="D616">
        <v>-1.8894000000000001E-2</v>
      </c>
      <c r="E616">
        <v>-2.3644999999999999E-2</v>
      </c>
      <c r="F616">
        <v>609124012</v>
      </c>
      <c r="G616">
        <v>500</v>
      </c>
      <c r="H616">
        <v>621815892</v>
      </c>
      <c r="I616">
        <v>499</v>
      </c>
      <c r="J616">
        <v>99.82</v>
      </c>
      <c r="K616">
        <v>-2.1659999999999999E-2</v>
      </c>
      <c r="L616">
        <v>0.35</v>
      </c>
      <c r="M616">
        <v>59.3</v>
      </c>
      <c r="N616">
        <f t="shared" si="12"/>
        <v>-2.559781787521076E-2</v>
      </c>
      <c r="O616">
        <f t="shared" si="13"/>
        <v>-6.653456998313434E-3</v>
      </c>
      <c r="P616">
        <f t="shared" si="14"/>
        <v>-1.8944360876897326E-2</v>
      </c>
    </row>
    <row r="617" spans="1:16" x14ac:dyDescent="0.35">
      <c r="A617" s="1">
        <v>28215</v>
      </c>
      <c r="B617">
        <v>-1.2501999999999999E-2</v>
      </c>
      <c r="C617">
        <v>-1.4548E-2</v>
      </c>
      <c r="D617">
        <v>7.5699999999999997E-4</v>
      </c>
      <c r="E617">
        <v>-2.6099999999999999E-3</v>
      </c>
      <c r="F617">
        <v>601766122</v>
      </c>
      <c r="G617">
        <v>500</v>
      </c>
      <c r="H617">
        <v>609013347</v>
      </c>
      <c r="I617">
        <v>499</v>
      </c>
      <c r="J617">
        <v>98.42</v>
      </c>
      <c r="K617">
        <v>-1.4024999999999999E-2</v>
      </c>
      <c r="L617">
        <v>0.38</v>
      </c>
      <c r="M617">
        <v>59.6</v>
      </c>
      <c r="N617">
        <f t="shared" si="12"/>
        <v>-1.7472627516778583E-2</v>
      </c>
      <c r="O617">
        <f t="shared" si="13"/>
        <v>-1.2526845637583772E-3</v>
      </c>
      <c r="P617">
        <f t="shared" si="14"/>
        <v>-1.6219942953020206E-2</v>
      </c>
    </row>
    <row r="618" spans="1:16" x14ac:dyDescent="0.35">
      <c r="A618" s="1">
        <v>28244</v>
      </c>
      <c r="B618">
        <v>6.4099999999999997E-4</v>
      </c>
      <c r="C618">
        <v>-5.0299999999999997E-4</v>
      </c>
      <c r="D618">
        <v>8.2450000000000006E-3</v>
      </c>
      <c r="E618">
        <v>6.6410000000000002E-3</v>
      </c>
      <c r="F618">
        <v>602718249</v>
      </c>
      <c r="G618">
        <v>500</v>
      </c>
      <c r="H618">
        <v>601741133</v>
      </c>
      <c r="I618">
        <v>498</v>
      </c>
      <c r="J618">
        <v>98.44</v>
      </c>
      <c r="K618">
        <v>2.03E-4</v>
      </c>
      <c r="L618">
        <v>0.38</v>
      </c>
      <c r="M618">
        <v>60</v>
      </c>
      <c r="N618">
        <f t="shared" si="12"/>
        <v>-6.0299400000000114E-3</v>
      </c>
      <c r="O618">
        <f t="shared" si="13"/>
        <v>-2.8919999999998947E-3</v>
      </c>
      <c r="P618">
        <f t="shared" si="14"/>
        <v>-3.1379400000001167E-3</v>
      </c>
    </row>
    <row r="619" spans="1:16" x14ac:dyDescent="0.35">
      <c r="A619" s="1">
        <v>28276</v>
      </c>
      <c r="B619">
        <v>-1.5063999999999999E-2</v>
      </c>
      <c r="C619">
        <v>-2.3540999999999999E-2</v>
      </c>
      <c r="D619">
        <v>-1.3983000000000001E-2</v>
      </c>
      <c r="E619">
        <v>-1.9743E-2</v>
      </c>
      <c r="F619">
        <v>591411644</v>
      </c>
      <c r="G619">
        <v>500</v>
      </c>
      <c r="H619">
        <v>604361998</v>
      </c>
      <c r="I619">
        <v>500</v>
      </c>
      <c r="J619">
        <v>96.12</v>
      </c>
      <c r="K619">
        <v>-2.3567999999999999E-2</v>
      </c>
      <c r="L619">
        <v>0.37</v>
      </c>
      <c r="M619">
        <v>60.2</v>
      </c>
      <c r="N619">
        <f t="shared" si="12"/>
        <v>-1.8336212624584736E-2</v>
      </c>
      <c r="O619">
        <f t="shared" si="13"/>
        <v>3.6544850498332337E-4</v>
      </c>
      <c r="P619">
        <f t="shared" si="14"/>
        <v>-1.8701661129568059E-2</v>
      </c>
    </row>
    <row r="620" spans="1:16" x14ac:dyDescent="0.35">
      <c r="A620" s="1">
        <v>28306</v>
      </c>
      <c r="B620">
        <v>4.7775999999999999E-2</v>
      </c>
      <c r="C620">
        <v>4.5705000000000003E-2</v>
      </c>
      <c r="D620">
        <v>5.2665999999999998E-2</v>
      </c>
      <c r="E620">
        <v>4.9498E-2</v>
      </c>
      <c r="F620">
        <v>620052333</v>
      </c>
      <c r="G620">
        <v>500</v>
      </c>
      <c r="H620">
        <v>591604858</v>
      </c>
      <c r="I620">
        <v>500</v>
      </c>
      <c r="J620">
        <v>100.48</v>
      </c>
      <c r="K620">
        <v>4.5359999999999998E-2</v>
      </c>
      <c r="L620">
        <v>0.4</v>
      </c>
      <c r="M620">
        <v>60.5</v>
      </c>
      <c r="N620">
        <f t="shared" si="12"/>
        <v>4.2580416528925635E-2</v>
      </c>
      <c r="O620">
        <f t="shared" si="13"/>
        <v>-9.7851239669421997E-4</v>
      </c>
      <c r="P620">
        <f t="shared" si="14"/>
        <v>4.3558928925619855E-2</v>
      </c>
    </row>
    <row r="621" spans="1:16" x14ac:dyDescent="0.35">
      <c r="A621" s="1">
        <v>28335</v>
      </c>
      <c r="B621">
        <v>-1.5453E-2</v>
      </c>
      <c r="C621">
        <v>-1.6589E-2</v>
      </c>
      <c r="D621">
        <v>-1.7614000000000001E-2</v>
      </c>
      <c r="E621">
        <v>-1.9139E-2</v>
      </c>
      <c r="F621">
        <v>610833966</v>
      </c>
      <c r="G621">
        <v>500</v>
      </c>
      <c r="H621">
        <v>620052333</v>
      </c>
      <c r="I621">
        <v>500</v>
      </c>
      <c r="J621">
        <v>98.85</v>
      </c>
      <c r="K621">
        <v>-1.6222E-2</v>
      </c>
      <c r="L621">
        <v>0.42</v>
      </c>
      <c r="M621">
        <v>60.8</v>
      </c>
      <c r="N621">
        <f t="shared" si="12"/>
        <v>-2.031096217105266E-2</v>
      </c>
      <c r="O621">
        <f t="shared" si="13"/>
        <v>-7.549342105263035E-4</v>
      </c>
      <c r="P621">
        <f t="shared" si="14"/>
        <v>-1.9556027960526357E-2</v>
      </c>
    </row>
    <row r="622" spans="1:16" x14ac:dyDescent="0.35">
      <c r="A622" s="1">
        <v>28368</v>
      </c>
      <c r="B622">
        <v>-1.231E-2</v>
      </c>
      <c r="C622">
        <v>-2.0220999999999999E-2</v>
      </c>
      <c r="D622">
        <v>-1.4605999999999999E-2</v>
      </c>
      <c r="E622">
        <v>-2.0464E-2</v>
      </c>
      <c r="F622">
        <v>599095754</v>
      </c>
      <c r="G622">
        <v>500</v>
      </c>
      <c r="H622">
        <v>610833966</v>
      </c>
      <c r="I622">
        <v>500</v>
      </c>
      <c r="J622">
        <v>96.77</v>
      </c>
      <c r="K622">
        <v>-2.1042000000000002E-2</v>
      </c>
      <c r="L622">
        <v>0.44</v>
      </c>
      <c r="M622">
        <v>61.1</v>
      </c>
      <c r="N622">
        <f t="shared" si="12"/>
        <v>-1.7159541734861006E-2</v>
      </c>
      <c r="O622">
        <f t="shared" si="13"/>
        <v>-5.3158756137494656E-4</v>
      </c>
      <c r="P622">
        <f t="shared" si="14"/>
        <v>-1.6627954173486059E-2</v>
      </c>
    </row>
    <row r="623" spans="1:16" x14ac:dyDescent="0.35">
      <c r="A623" s="1">
        <v>28398</v>
      </c>
      <c r="B623">
        <v>-8.25E-4</v>
      </c>
      <c r="C623">
        <v>-3.0839999999999999E-3</v>
      </c>
      <c r="D623">
        <v>-1.9400000000000001E-3</v>
      </c>
      <c r="E623">
        <v>-5.2069999999999998E-3</v>
      </c>
      <c r="F623">
        <v>598206381</v>
      </c>
      <c r="G623">
        <v>500</v>
      </c>
      <c r="H623">
        <v>599095754</v>
      </c>
      <c r="I623">
        <v>500</v>
      </c>
      <c r="J623">
        <v>96.53</v>
      </c>
      <c r="K623">
        <v>-2.48E-3</v>
      </c>
      <c r="L623">
        <v>0.43</v>
      </c>
      <c r="M623">
        <v>61.3</v>
      </c>
      <c r="N623">
        <f t="shared" si="12"/>
        <v>-4.0849510603587769E-3</v>
      </c>
      <c r="O623">
        <f t="shared" si="13"/>
        <v>1.0233278955955605E-3</v>
      </c>
      <c r="P623">
        <f t="shared" si="14"/>
        <v>-5.1082789559543373E-3</v>
      </c>
    </row>
    <row r="624" spans="1:16" x14ac:dyDescent="0.35">
      <c r="A624" s="1">
        <v>28429</v>
      </c>
      <c r="B624">
        <v>-4.1984E-2</v>
      </c>
      <c r="C624">
        <v>-4.3868999999999998E-2</v>
      </c>
      <c r="D624">
        <v>-3.7298999999999999E-2</v>
      </c>
      <c r="E624">
        <v>-3.9474000000000002E-2</v>
      </c>
      <c r="F624">
        <v>572127829</v>
      </c>
      <c r="G624">
        <v>500</v>
      </c>
      <c r="H624">
        <v>598120956</v>
      </c>
      <c r="I624">
        <v>499</v>
      </c>
      <c r="J624">
        <v>92.34</v>
      </c>
      <c r="K624">
        <v>-4.3406E-2</v>
      </c>
      <c r="L624">
        <v>0.49</v>
      </c>
      <c r="M624">
        <v>61.6</v>
      </c>
      <c r="N624">
        <f t="shared" si="12"/>
        <v>-4.6649662337662434E-2</v>
      </c>
      <c r="O624">
        <f t="shared" si="13"/>
        <v>6.0064935063497416E-6</v>
      </c>
      <c r="P624">
        <f t="shared" si="14"/>
        <v>-4.6655668831168784E-2</v>
      </c>
    </row>
    <row r="625" spans="1:16" x14ac:dyDescent="0.35">
      <c r="A625" s="1">
        <v>28459</v>
      </c>
      <c r="B625">
        <v>3.6752E-2</v>
      </c>
      <c r="C625">
        <v>2.6953000000000001E-2</v>
      </c>
      <c r="D625">
        <v>6.2859999999999999E-2</v>
      </c>
      <c r="E625">
        <v>5.6316999999999999E-2</v>
      </c>
      <c r="F625">
        <v>589218487</v>
      </c>
      <c r="G625">
        <v>500</v>
      </c>
      <c r="H625">
        <v>572753717</v>
      </c>
      <c r="I625">
        <v>500</v>
      </c>
      <c r="J625">
        <v>94.83</v>
      </c>
      <c r="K625">
        <v>2.6966E-2</v>
      </c>
      <c r="L625">
        <v>0.5</v>
      </c>
      <c r="M625">
        <v>62</v>
      </c>
      <c r="N625">
        <f t="shared" si="12"/>
        <v>3.0063277419354772E-2</v>
      </c>
      <c r="O625">
        <f t="shared" si="13"/>
        <v>-1.4838709677420514E-3</v>
      </c>
      <c r="P625">
        <f t="shared" si="14"/>
        <v>3.1547148387096824E-2</v>
      </c>
    </row>
    <row r="626" spans="1:16" x14ac:dyDescent="0.35">
      <c r="A626" s="1">
        <v>28489</v>
      </c>
      <c r="B626">
        <v>5.5700000000000003E-3</v>
      </c>
      <c r="C626">
        <v>3.637E-3</v>
      </c>
      <c r="D626">
        <v>1.322E-3</v>
      </c>
      <c r="E626">
        <v>-1.8580000000000001E-3</v>
      </c>
      <c r="F626">
        <v>594481564</v>
      </c>
      <c r="G626">
        <v>500</v>
      </c>
      <c r="H626">
        <v>589218487</v>
      </c>
      <c r="I626">
        <v>500</v>
      </c>
      <c r="J626">
        <v>95.1</v>
      </c>
      <c r="K626">
        <v>2.8470000000000001E-3</v>
      </c>
      <c r="L626">
        <v>0.49</v>
      </c>
      <c r="M626">
        <v>62.3</v>
      </c>
      <c r="N626">
        <f t="shared" si="12"/>
        <v>7.2776886035330612E-4</v>
      </c>
      <c r="O626">
        <f t="shared" si="13"/>
        <v>6.0995184590684204E-5</v>
      </c>
      <c r="P626">
        <f t="shared" si="14"/>
        <v>6.6677367576262192E-4</v>
      </c>
    </row>
    <row r="627" spans="1:16" x14ac:dyDescent="0.35">
      <c r="A627" s="1">
        <v>28521</v>
      </c>
      <c r="B627">
        <v>-6.0643000000000002E-2</v>
      </c>
      <c r="C627">
        <v>-6.2611E-2</v>
      </c>
      <c r="D627">
        <v>-5.2202999999999999E-2</v>
      </c>
      <c r="E627">
        <v>-5.4196000000000001E-2</v>
      </c>
      <c r="F627">
        <v>556967829</v>
      </c>
      <c r="G627">
        <v>500</v>
      </c>
      <c r="H627">
        <v>594481564</v>
      </c>
      <c r="I627">
        <v>500</v>
      </c>
      <c r="J627">
        <v>89.25</v>
      </c>
      <c r="K627">
        <v>-6.1513999999999999E-2</v>
      </c>
      <c r="L627">
        <v>0.49</v>
      </c>
      <c r="M627">
        <v>62.7</v>
      </c>
      <c r="N627">
        <f t="shared" si="12"/>
        <v>-6.663570813397135E-2</v>
      </c>
      <c r="O627">
        <f t="shared" si="13"/>
        <v>-1.5108452950560736E-3</v>
      </c>
      <c r="P627">
        <f t="shared" si="14"/>
        <v>-6.5124862838915276E-2</v>
      </c>
    </row>
    <row r="628" spans="1:16" x14ac:dyDescent="0.35">
      <c r="A628" s="1">
        <v>28549</v>
      </c>
      <c r="B628">
        <v>-1.626E-2</v>
      </c>
      <c r="C628">
        <v>-2.4937999999999998E-2</v>
      </c>
      <c r="D628">
        <v>-1.0106E-2</v>
      </c>
      <c r="E628">
        <v>-1.6400000000000001E-2</v>
      </c>
      <c r="F628">
        <v>543089174</v>
      </c>
      <c r="G628">
        <v>500</v>
      </c>
      <c r="H628">
        <v>556929640</v>
      </c>
      <c r="I628">
        <v>499</v>
      </c>
      <c r="J628">
        <v>87.04</v>
      </c>
      <c r="K628">
        <v>-2.4761999999999999E-2</v>
      </c>
      <c r="L628">
        <v>0.46</v>
      </c>
      <c r="M628">
        <v>63</v>
      </c>
      <c r="N628">
        <f t="shared" si="12"/>
        <v>-2.0944476190476236E-2</v>
      </c>
      <c r="O628">
        <f t="shared" si="13"/>
        <v>-1.8380952380958604E-4</v>
      </c>
      <c r="P628">
        <f t="shared" si="14"/>
        <v>-2.076066666666665E-2</v>
      </c>
    </row>
    <row r="629" spans="1:16" x14ac:dyDescent="0.35">
      <c r="A629" s="1">
        <v>28580</v>
      </c>
      <c r="B629">
        <v>2.6925000000000001E-2</v>
      </c>
      <c r="C629">
        <v>2.4355999999999999E-2</v>
      </c>
      <c r="D629">
        <v>5.2852000000000003E-2</v>
      </c>
      <c r="E629">
        <v>4.9195000000000003E-2</v>
      </c>
      <c r="F629">
        <v>556897077</v>
      </c>
      <c r="G629">
        <v>500</v>
      </c>
      <c r="H629">
        <v>543249852</v>
      </c>
      <c r="I629">
        <v>500</v>
      </c>
      <c r="J629">
        <v>89.21</v>
      </c>
      <c r="K629">
        <v>2.4930999999999998E-2</v>
      </c>
      <c r="L629">
        <v>0.53</v>
      </c>
      <c r="M629">
        <v>63.4</v>
      </c>
      <c r="N629">
        <f t="shared" si="12"/>
        <v>2.0445977917981084E-2</v>
      </c>
      <c r="O629">
        <f t="shared" si="13"/>
        <v>-1.0425867507884989E-3</v>
      </c>
      <c r="P629">
        <f t="shared" si="14"/>
        <v>2.1488564668769583E-2</v>
      </c>
    </row>
    <row r="630" spans="1:16" x14ac:dyDescent="0.35">
      <c r="A630" s="1">
        <v>28608</v>
      </c>
      <c r="B630">
        <v>8.8964000000000001E-2</v>
      </c>
      <c r="C630">
        <v>8.7593000000000004E-2</v>
      </c>
      <c r="D630">
        <v>8.4346000000000004E-2</v>
      </c>
      <c r="E630">
        <v>8.2595000000000002E-2</v>
      </c>
      <c r="F630">
        <v>606128316</v>
      </c>
      <c r="G630">
        <v>500</v>
      </c>
      <c r="H630">
        <v>556989558</v>
      </c>
      <c r="I630">
        <v>499</v>
      </c>
      <c r="J630">
        <v>96.83</v>
      </c>
      <c r="K630">
        <v>8.5416000000000006E-2</v>
      </c>
      <c r="L630">
        <v>0.54</v>
      </c>
      <c r="M630">
        <v>63.9</v>
      </c>
      <c r="N630">
        <f t="shared" si="12"/>
        <v>8.0443154929577432E-2</v>
      </c>
      <c r="O630">
        <f t="shared" si="13"/>
        <v>-2.466979655711965E-3</v>
      </c>
      <c r="P630">
        <f t="shared" si="14"/>
        <v>8.2910134585289397E-2</v>
      </c>
    </row>
    <row r="631" spans="1:16" x14ac:dyDescent="0.35">
      <c r="A631" s="1">
        <v>28641</v>
      </c>
      <c r="B631">
        <v>1.3719E-2</v>
      </c>
      <c r="C631">
        <v>4.4359999999999998E-3</v>
      </c>
      <c r="D631">
        <v>3.3584999999999997E-2</v>
      </c>
      <c r="E631">
        <v>2.7039000000000001E-2</v>
      </c>
      <c r="F631">
        <v>609584310</v>
      </c>
      <c r="G631">
        <v>500</v>
      </c>
      <c r="H631">
        <v>606760443</v>
      </c>
      <c r="I631">
        <v>500</v>
      </c>
      <c r="J631">
        <v>97.24</v>
      </c>
      <c r="K631">
        <v>4.2339999999999999E-3</v>
      </c>
      <c r="L631">
        <v>0.51</v>
      </c>
      <c r="M631">
        <v>64.5</v>
      </c>
      <c r="N631">
        <f t="shared" si="12"/>
        <v>4.2890558139534463E-3</v>
      </c>
      <c r="O631">
        <f t="shared" si="13"/>
        <v>-4.2497674418603415E-3</v>
      </c>
      <c r="P631">
        <f t="shared" si="14"/>
        <v>8.5388232558137878E-3</v>
      </c>
    </row>
    <row r="632" spans="1:16" x14ac:dyDescent="0.35">
      <c r="A632" s="1">
        <v>28671</v>
      </c>
      <c r="B632">
        <v>-1.6577999999999999E-2</v>
      </c>
      <c r="C632">
        <v>-1.8953000000000001E-2</v>
      </c>
      <c r="D632">
        <v>-1.2137999999999999E-2</v>
      </c>
      <c r="E632">
        <v>-1.5439E-2</v>
      </c>
      <c r="F632">
        <v>599829769</v>
      </c>
      <c r="G632">
        <v>500</v>
      </c>
      <c r="H632">
        <v>609532320</v>
      </c>
      <c r="I632">
        <v>499</v>
      </c>
      <c r="J632">
        <v>95.53</v>
      </c>
      <c r="K632">
        <v>-1.7585E-2</v>
      </c>
      <c r="L632">
        <v>0.54</v>
      </c>
      <c r="M632">
        <v>65</v>
      </c>
      <c r="N632">
        <f t="shared" si="12"/>
        <v>-2.4142784615384549E-2</v>
      </c>
      <c r="O632">
        <f t="shared" si="13"/>
        <v>-2.3338461538460198E-3</v>
      </c>
      <c r="P632">
        <f t="shared" si="14"/>
        <v>-2.180893846153853E-2</v>
      </c>
    </row>
    <row r="633" spans="1:16" x14ac:dyDescent="0.35">
      <c r="A633" s="1">
        <v>28702</v>
      </c>
      <c r="B633">
        <v>5.6973999999999997E-2</v>
      </c>
      <c r="C633">
        <v>5.5121000000000003E-2</v>
      </c>
      <c r="D633">
        <v>6.1512999999999998E-2</v>
      </c>
      <c r="E633">
        <v>5.9431999999999999E-2</v>
      </c>
      <c r="F633">
        <v>633315847</v>
      </c>
      <c r="G633">
        <v>500</v>
      </c>
      <c r="H633">
        <v>599922948</v>
      </c>
      <c r="I633">
        <v>500</v>
      </c>
      <c r="J633">
        <v>100.68</v>
      </c>
      <c r="K633">
        <v>5.391E-2</v>
      </c>
      <c r="L633">
        <v>0.56000000000000005</v>
      </c>
      <c r="M633">
        <v>65.5</v>
      </c>
      <c r="N633">
        <f t="shared" si="12"/>
        <v>4.8905496183206054E-2</v>
      </c>
      <c r="O633">
        <f t="shared" si="13"/>
        <v>-2.0763358778624896E-3</v>
      </c>
      <c r="P633">
        <f t="shared" si="14"/>
        <v>5.0981832061068544E-2</v>
      </c>
    </row>
    <row r="634" spans="1:16" x14ac:dyDescent="0.35">
      <c r="A634" s="1">
        <v>28733</v>
      </c>
      <c r="B634">
        <v>3.3640999999999997E-2</v>
      </c>
      <c r="C634">
        <v>2.5562999999999999E-2</v>
      </c>
      <c r="D634">
        <v>5.0555999999999997E-2</v>
      </c>
      <c r="E634">
        <v>4.4742999999999998E-2</v>
      </c>
      <c r="F634">
        <v>650678659</v>
      </c>
      <c r="G634">
        <v>500</v>
      </c>
      <c r="H634">
        <v>633960942</v>
      </c>
      <c r="I634">
        <v>500</v>
      </c>
      <c r="J634">
        <v>103.29</v>
      </c>
      <c r="K634">
        <v>2.5923999999999999E-2</v>
      </c>
      <c r="L634">
        <v>0.56000000000000005</v>
      </c>
      <c r="M634">
        <v>65.900000000000006</v>
      </c>
      <c r="N634">
        <f t="shared" si="12"/>
        <v>2.736700303490136E-2</v>
      </c>
      <c r="O634">
        <f t="shared" si="13"/>
        <v>-5.0379362670727179E-4</v>
      </c>
      <c r="P634">
        <f t="shared" si="14"/>
        <v>2.7870796661608632E-2</v>
      </c>
    </row>
    <row r="635" spans="1:16" x14ac:dyDescent="0.35">
      <c r="A635" s="1">
        <v>28762</v>
      </c>
      <c r="B635">
        <v>-5.1630000000000001E-3</v>
      </c>
      <c r="C635">
        <v>-7.4830000000000001E-3</v>
      </c>
      <c r="D635">
        <v>-8.4449999999999994E-3</v>
      </c>
      <c r="E635">
        <v>-1.1506000000000001E-2</v>
      </c>
      <c r="F635">
        <v>646610977</v>
      </c>
      <c r="G635">
        <v>500</v>
      </c>
      <c r="H635">
        <v>650678659</v>
      </c>
      <c r="I635">
        <v>500</v>
      </c>
      <c r="J635">
        <v>102.54</v>
      </c>
      <c r="K635">
        <v>-7.2610000000000001E-3</v>
      </c>
      <c r="L635">
        <v>0.62</v>
      </c>
      <c r="M635">
        <v>66.5</v>
      </c>
      <c r="N635">
        <f t="shared" si="12"/>
        <v>-1.4138972932330796E-2</v>
      </c>
      <c r="O635">
        <f t="shared" si="13"/>
        <v>-2.8784962406014358E-3</v>
      </c>
      <c r="P635">
        <f t="shared" si="14"/>
        <v>-1.126047669172936E-2</v>
      </c>
    </row>
    <row r="636" spans="1:16" x14ac:dyDescent="0.35">
      <c r="A636" s="1">
        <v>28794</v>
      </c>
      <c r="B636">
        <v>-8.9569999999999997E-2</v>
      </c>
      <c r="C636">
        <v>-9.2269000000000004E-2</v>
      </c>
      <c r="D636">
        <v>-0.13270799999999999</v>
      </c>
      <c r="E636">
        <v>-0.13525799999999999</v>
      </c>
      <c r="F636">
        <v>592429103</v>
      </c>
      <c r="G636">
        <v>500</v>
      </c>
      <c r="H636">
        <v>652176264</v>
      </c>
      <c r="I636">
        <v>499</v>
      </c>
      <c r="J636">
        <v>93.15</v>
      </c>
      <c r="K636">
        <v>-9.1574000000000003E-2</v>
      </c>
      <c r="L636">
        <v>0.68</v>
      </c>
      <c r="M636">
        <v>67.099999999999994</v>
      </c>
      <c r="N636">
        <f t="shared" si="12"/>
        <v>-9.7710953800298039E-2</v>
      </c>
      <c r="O636">
        <f t="shared" si="13"/>
        <v>-2.2026825633383318E-3</v>
      </c>
      <c r="P636">
        <f t="shared" si="14"/>
        <v>-9.5508271236959708E-2</v>
      </c>
    </row>
    <row r="637" spans="1:16" x14ac:dyDescent="0.35">
      <c r="A637" s="1">
        <v>28824</v>
      </c>
      <c r="B637">
        <v>2.6771E-2</v>
      </c>
      <c r="C637">
        <v>1.7399999999999999E-2</v>
      </c>
      <c r="D637">
        <v>2.8728E-2</v>
      </c>
      <c r="E637">
        <v>2.2027000000000001E-2</v>
      </c>
      <c r="F637">
        <v>604097848</v>
      </c>
      <c r="G637">
        <v>500</v>
      </c>
      <c r="H637">
        <v>592919172</v>
      </c>
      <c r="I637">
        <v>499</v>
      </c>
      <c r="J637">
        <v>94.7</v>
      </c>
      <c r="K637">
        <v>1.6639999999999999E-2</v>
      </c>
      <c r="L637">
        <v>0.7</v>
      </c>
      <c r="M637">
        <v>67.5</v>
      </c>
      <c r="N637">
        <f t="shared" si="12"/>
        <v>2.0686431111111236E-2</v>
      </c>
      <c r="O637">
        <f t="shared" si="13"/>
        <v>1.0325925925922519E-3</v>
      </c>
      <c r="P637">
        <f t="shared" si="14"/>
        <v>1.9653838518518985E-2</v>
      </c>
    </row>
    <row r="638" spans="1:16" x14ac:dyDescent="0.35">
      <c r="A638" s="1">
        <v>28853</v>
      </c>
      <c r="B638">
        <v>1.6626999999999999E-2</v>
      </c>
      <c r="C638">
        <v>1.4264000000000001E-2</v>
      </c>
      <c r="D638">
        <v>9.0729999999999995E-3</v>
      </c>
      <c r="E638">
        <v>5.3220000000000003E-3</v>
      </c>
      <c r="F638">
        <v>615931745</v>
      </c>
      <c r="G638">
        <v>500</v>
      </c>
      <c r="H638">
        <v>604102222</v>
      </c>
      <c r="I638">
        <v>499</v>
      </c>
      <c r="J638">
        <v>96.11</v>
      </c>
      <c r="K638">
        <v>1.4888999999999999E-2</v>
      </c>
      <c r="L638">
        <v>0.78</v>
      </c>
      <c r="M638">
        <v>67.900000000000006</v>
      </c>
      <c r="N638">
        <f t="shared" si="12"/>
        <v>1.0638033873342945E-2</v>
      </c>
      <c r="O638">
        <f t="shared" si="13"/>
        <v>1.8630338733429674E-3</v>
      </c>
      <c r="P638">
        <f t="shared" si="14"/>
        <v>8.7749999999999773E-3</v>
      </c>
    </row>
    <row r="639" spans="1:16" x14ac:dyDescent="0.35">
      <c r="A639" s="1">
        <v>28886</v>
      </c>
      <c r="B639">
        <v>4.2696999999999999E-2</v>
      </c>
      <c r="C639">
        <v>4.0161000000000002E-2</v>
      </c>
      <c r="D639">
        <v>6.8737999999999994E-2</v>
      </c>
      <c r="E639">
        <v>6.6211000000000006E-2</v>
      </c>
      <c r="F639">
        <v>641065799</v>
      </c>
      <c r="G639">
        <v>500</v>
      </c>
      <c r="H639">
        <v>615436980</v>
      </c>
      <c r="I639">
        <v>496</v>
      </c>
      <c r="J639">
        <v>99.93</v>
      </c>
      <c r="K639">
        <v>3.9745999999999997E-2</v>
      </c>
      <c r="L639">
        <v>0.77</v>
      </c>
      <c r="M639">
        <v>68.5</v>
      </c>
      <c r="N639">
        <f t="shared" si="12"/>
        <v>3.356388759124096E-2</v>
      </c>
      <c r="O639">
        <f t="shared" si="13"/>
        <v>-1.1265693430656532E-3</v>
      </c>
      <c r="P639">
        <f t="shared" si="14"/>
        <v>3.4690456934306613E-2</v>
      </c>
    </row>
    <row r="640" spans="1:16" x14ac:dyDescent="0.35">
      <c r="A640" s="1">
        <v>28914</v>
      </c>
      <c r="B640">
        <v>-2.8649000000000001E-2</v>
      </c>
      <c r="C640">
        <v>-3.6957999999999998E-2</v>
      </c>
      <c r="D640">
        <v>-3.0595000000000001E-2</v>
      </c>
      <c r="E640">
        <v>-3.6748999999999997E-2</v>
      </c>
      <c r="F640">
        <v>620259408</v>
      </c>
      <c r="G640">
        <v>500</v>
      </c>
      <c r="H640">
        <v>643455141</v>
      </c>
      <c r="I640">
        <v>498</v>
      </c>
      <c r="J640">
        <v>96.28</v>
      </c>
      <c r="K640">
        <v>-3.6526000000000003E-2</v>
      </c>
      <c r="L640">
        <v>0.73</v>
      </c>
      <c r="M640">
        <v>69.2</v>
      </c>
      <c r="N640">
        <f t="shared" si="12"/>
        <v>-3.8474804913294913E-2</v>
      </c>
      <c r="O640">
        <f t="shared" si="13"/>
        <v>-2.8894508670520569E-3</v>
      </c>
      <c r="P640">
        <f t="shared" si="14"/>
        <v>-3.5585354046242856E-2</v>
      </c>
    </row>
    <row r="641" spans="1:16" x14ac:dyDescent="0.35">
      <c r="A641" s="1">
        <v>28944</v>
      </c>
      <c r="B641">
        <v>5.7361000000000002E-2</v>
      </c>
      <c r="C641">
        <v>5.4824999999999999E-2</v>
      </c>
      <c r="D641">
        <v>7.2952000000000003E-2</v>
      </c>
      <c r="E641">
        <v>6.9100999999999996E-2</v>
      </c>
      <c r="F641">
        <v>655684372</v>
      </c>
      <c r="G641">
        <v>500</v>
      </c>
      <c r="H641">
        <v>621342451</v>
      </c>
      <c r="I641">
        <v>499</v>
      </c>
      <c r="J641">
        <v>101.59</v>
      </c>
      <c r="K641">
        <v>5.5152E-2</v>
      </c>
      <c r="L641">
        <v>0.81</v>
      </c>
      <c r="M641">
        <v>69.900000000000006</v>
      </c>
      <c r="N641">
        <f t="shared" si="12"/>
        <v>4.677226323319017E-2</v>
      </c>
      <c r="O641">
        <f t="shared" si="13"/>
        <v>-1.995422031473626E-3</v>
      </c>
      <c r="P641">
        <f t="shared" si="14"/>
        <v>4.8767685264663796E-2</v>
      </c>
    </row>
    <row r="642" spans="1:16" x14ac:dyDescent="0.35">
      <c r="A642" s="1">
        <v>28975</v>
      </c>
      <c r="B642">
        <v>4.1830000000000001E-3</v>
      </c>
      <c r="C642">
        <v>2.2179999999999999E-3</v>
      </c>
      <c r="D642">
        <v>1.0732999999999999E-2</v>
      </c>
      <c r="E642">
        <v>8.2839999999999997E-3</v>
      </c>
      <c r="F642">
        <v>657223904</v>
      </c>
      <c r="G642">
        <v>500</v>
      </c>
      <c r="H642">
        <v>655684372</v>
      </c>
      <c r="I642">
        <v>500</v>
      </c>
      <c r="J642">
        <v>101.76</v>
      </c>
      <c r="K642">
        <v>1.673E-3</v>
      </c>
      <c r="L642">
        <v>0.8</v>
      </c>
      <c r="M642">
        <v>70.599999999999994</v>
      </c>
      <c r="N642">
        <f t="shared" si="12"/>
        <v>-5.7734886685549824E-3</v>
      </c>
      <c r="O642">
        <f t="shared" si="13"/>
        <v>-1.9943342776201911E-3</v>
      </c>
      <c r="P642">
        <f t="shared" si="14"/>
        <v>-3.7791543909347913E-3</v>
      </c>
    </row>
    <row r="643" spans="1:16" x14ac:dyDescent="0.35">
      <c r="A643" s="1">
        <v>29006</v>
      </c>
      <c r="B643">
        <v>-1.6818E-2</v>
      </c>
      <c r="C643">
        <v>-2.6303E-2</v>
      </c>
      <c r="D643">
        <v>-1.2932000000000001E-2</v>
      </c>
      <c r="E643">
        <v>-1.9439000000000001E-2</v>
      </c>
      <c r="F643">
        <v>641323529</v>
      </c>
      <c r="G643">
        <v>500</v>
      </c>
      <c r="H643">
        <v>657774872</v>
      </c>
      <c r="I643">
        <v>500</v>
      </c>
      <c r="J643">
        <v>99.08</v>
      </c>
      <c r="K643">
        <v>-2.6335999999999998E-2</v>
      </c>
      <c r="L643">
        <v>0.82</v>
      </c>
      <c r="M643">
        <v>71.400000000000006</v>
      </c>
      <c r="N643">
        <f t="shared" si="12"/>
        <v>-2.7834044817927395E-2</v>
      </c>
      <c r="O643">
        <f t="shared" si="13"/>
        <v>-3.09635854341761E-3</v>
      </c>
      <c r="P643">
        <f t="shared" si="14"/>
        <v>-2.4737686274509785E-2</v>
      </c>
    </row>
    <row r="644" spans="1:16" x14ac:dyDescent="0.35">
      <c r="A644" s="1">
        <v>29035</v>
      </c>
      <c r="B644">
        <v>4.0323999999999999E-2</v>
      </c>
      <c r="C644">
        <v>3.7791999999999999E-2</v>
      </c>
      <c r="D644">
        <v>5.1771999999999999E-2</v>
      </c>
      <c r="E644">
        <v>4.7840000000000001E-2</v>
      </c>
      <c r="F644">
        <v>665919027</v>
      </c>
      <c r="G644">
        <v>500</v>
      </c>
      <c r="H644">
        <v>640969679</v>
      </c>
      <c r="I644">
        <v>499</v>
      </c>
      <c r="J644">
        <v>102.91</v>
      </c>
      <c r="K644">
        <v>3.8656000000000003E-2</v>
      </c>
      <c r="L644">
        <v>0.81</v>
      </c>
      <c r="M644">
        <v>72.2</v>
      </c>
      <c r="N644">
        <f t="shared" si="12"/>
        <v>2.8796864265927979E-2</v>
      </c>
      <c r="O644">
        <f t="shared" si="13"/>
        <v>-3.0700831024931263E-3</v>
      </c>
      <c r="P644">
        <f t="shared" si="14"/>
        <v>3.1866947368421106E-2</v>
      </c>
    </row>
    <row r="645" spans="1:16" x14ac:dyDescent="0.35">
      <c r="A645" s="1">
        <v>29067</v>
      </c>
      <c r="B645">
        <v>1.2050999999999999E-2</v>
      </c>
      <c r="C645">
        <v>9.7370000000000009E-3</v>
      </c>
      <c r="D645">
        <v>2.7324000000000001E-2</v>
      </c>
      <c r="E645">
        <v>2.4764999999999999E-2</v>
      </c>
      <c r="F645">
        <v>673727755</v>
      </c>
      <c r="G645">
        <v>500</v>
      </c>
      <c r="H645">
        <v>666967533</v>
      </c>
      <c r="I645">
        <v>500</v>
      </c>
      <c r="J645">
        <v>103.81</v>
      </c>
      <c r="K645">
        <v>8.7460000000000003E-3</v>
      </c>
      <c r="L645">
        <v>0.77</v>
      </c>
      <c r="M645">
        <v>73</v>
      </c>
      <c r="N645">
        <f t="shared" si="12"/>
        <v>9.6003013698631179E-4</v>
      </c>
      <c r="O645">
        <f t="shared" si="13"/>
        <v>-3.3432876712327086E-3</v>
      </c>
      <c r="P645">
        <f t="shared" si="14"/>
        <v>4.3033178082190204E-3</v>
      </c>
    </row>
    <row r="646" spans="1:16" x14ac:dyDescent="0.35">
      <c r="A646" s="1">
        <v>29098</v>
      </c>
      <c r="B646">
        <v>6.1865000000000003E-2</v>
      </c>
      <c r="C646">
        <v>5.3221999999999998E-2</v>
      </c>
      <c r="D646">
        <v>7.1897000000000003E-2</v>
      </c>
      <c r="E646">
        <v>6.5442E-2</v>
      </c>
      <c r="F646">
        <v>710875678</v>
      </c>
      <c r="G646">
        <v>500</v>
      </c>
      <c r="H646">
        <v>673727755</v>
      </c>
      <c r="I646">
        <v>500</v>
      </c>
      <c r="J646">
        <v>109.32</v>
      </c>
      <c r="K646">
        <v>5.3078E-2</v>
      </c>
      <c r="L646">
        <v>0.77</v>
      </c>
      <c r="M646">
        <v>73.7</v>
      </c>
      <c r="N646">
        <f t="shared" si="12"/>
        <v>5.1779443690637805E-2</v>
      </c>
      <c r="O646">
        <f t="shared" si="13"/>
        <v>-1.8710990502035507E-3</v>
      </c>
      <c r="P646">
        <f t="shared" si="14"/>
        <v>5.3650542740841356E-2</v>
      </c>
    </row>
    <row r="647" spans="1:16" x14ac:dyDescent="0.35">
      <c r="A647" s="1">
        <v>29126</v>
      </c>
      <c r="B647">
        <v>1.4159999999999999E-3</v>
      </c>
      <c r="C647">
        <v>-8.7200000000000005E-4</v>
      </c>
      <c r="D647">
        <v>-9.6400000000000001E-4</v>
      </c>
      <c r="E647">
        <v>-3.8960000000000002E-3</v>
      </c>
      <c r="F647">
        <v>710769041</v>
      </c>
      <c r="G647">
        <v>500</v>
      </c>
      <c r="H647">
        <v>710454638</v>
      </c>
      <c r="I647">
        <v>499</v>
      </c>
      <c r="J647">
        <v>109.32</v>
      </c>
      <c r="K647">
        <v>0</v>
      </c>
      <c r="L647">
        <v>0.83</v>
      </c>
      <c r="M647">
        <v>74.400000000000006</v>
      </c>
      <c r="N647">
        <f t="shared" si="12"/>
        <v>-8.0059247311827786E-3</v>
      </c>
      <c r="O647">
        <f t="shared" si="13"/>
        <v>-1.1866935483870744E-3</v>
      </c>
      <c r="P647">
        <f t="shared" si="14"/>
        <v>-6.8192311827957042E-3</v>
      </c>
    </row>
    <row r="648" spans="1:16" x14ac:dyDescent="0.35">
      <c r="A648" s="1">
        <v>29159</v>
      </c>
      <c r="B648">
        <v>-6.5559999999999993E-2</v>
      </c>
      <c r="C648">
        <v>-6.8516999999999995E-2</v>
      </c>
      <c r="D648">
        <v>-9.1443999999999998E-2</v>
      </c>
      <c r="E648">
        <v>-9.4342999999999996E-2</v>
      </c>
      <c r="F648">
        <v>662504340</v>
      </c>
      <c r="G648">
        <v>500</v>
      </c>
      <c r="H648">
        <v>710969681</v>
      </c>
      <c r="I648">
        <v>500</v>
      </c>
      <c r="J648">
        <v>101.82</v>
      </c>
      <c r="K648">
        <v>-6.8606E-2</v>
      </c>
      <c r="L648">
        <v>0.87</v>
      </c>
      <c r="M648">
        <v>75.2</v>
      </c>
      <c r="N648">
        <f t="shared" si="12"/>
        <v>-7.5500851063829644E-2</v>
      </c>
      <c r="O648">
        <f t="shared" si="13"/>
        <v>-2.0308510638298305E-3</v>
      </c>
      <c r="P648">
        <f t="shared" si="14"/>
        <v>-7.3469999999999813E-2</v>
      </c>
    </row>
    <row r="649" spans="1:16" x14ac:dyDescent="0.35">
      <c r="A649" s="1">
        <v>29189</v>
      </c>
      <c r="B649">
        <v>5.2776999999999998E-2</v>
      </c>
      <c r="C649">
        <v>4.3569999999999998E-2</v>
      </c>
      <c r="D649">
        <v>6.5807000000000004E-2</v>
      </c>
      <c r="E649">
        <v>5.8867000000000003E-2</v>
      </c>
      <c r="F649">
        <v>693055996</v>
      </c>
      <c r="G649">
        <v>500</v>
      </c>
      <c r="H649">
        <v>662504340</v>
      </c>
      <c r="I649">
        <v>500</v>
      </c>
      <c r="J649">
        <v>106.16</v>
      </c>
      <c r="K649">
        <v>4.2624000000000002E-2</v>
      </c>
      <c r="L649">
        <v>0.99</v>
      </c>
      <c r="M649">
        <v>76</v>
      </c>
      <c r="N649">
        <f t="shared" si="12"/>
        <v>4.169513684210524E-2</v>
      </c>
      <c r="O649">
        <f t="shared" si="13"/>
        <v>-7.3052631578951477E-4</v>
      </c>
      <c r="P649">
        <f t="shared" si="14"/>
        <v>4.2425663157894755E-2</v>
      </c>
    </row>
    <row r="650" spans="1:16" x14ac:dyDescent="0.35">
      <c r="A650" s="1">
        <v>29220</v>
      </c>
      <c r="B650">
        <v>1.8339999999999999E-2</v>
      </c>
      <c r="C650">
        <v>1.5892E-2</v>
      </c>
      <c r="D650">
        <v>4.0351999999999999E-2</v>
      </c>
      <c r="E650">
        <v>3.6377E-2</v>
      </c>
      <c r="F650">
        <v>707416137</v>
      </c>
      <c r="G650">
        <v>500</v>
      </c>
      <c r="H650">
        <v>693104358</v>
      </c>
      <c r="I650">
        <v>500</v>
      </c>
      <c r="J650">
        <v>107.94</v>
      </c>
      <c r="K650">
        <v>1.6767000000000001E-2</v>
      </c>
      <c r="L650">
        <v>0.95</v>
      </c>
      <c r="M650">
        <v>76.900000000000006</v>
      </c>
      <c r="N650">
        <f t="shared" si="12"/>
        <v>6.4218465539660485E-3</v>
      </c>
      <c r="O650">
        <f t="shared" si="13"/>
        <v>-2.3146944083224374E-3</v>
      </c>
      <c r="P650">
        <f t="shared" si="14"/>
        <v>8.736540962288486E-3</v>
      </c>
    </row>
    <row r="651" spans="1:16" x14ac:dyDescent="0.35">
      <c r="A651" s="1">
        <v>29251</v>
      </c>
      <c r="B651">
        <v>6.1308000000000001E-2</v>
      </c>
      <c r="C651">
        <v>5.8935000000000001E-2</v>
      </c>
      <c r="D651">
        <v>5.8776000000000002E-2</v>
      </c>
      <c r="E651">
        <v>5.6395000000000001E-2</v>
      </c>
      <c r="F651">
        <v>750494264</v>
      </c>
      <c r="G651">
        <v>500</v>
      </c>
      <c r="H651">
        <v>708241165</v>
      </c>
      <c r="I651">
        <v>500</v>
      </c>
      <c r="J651">
        <v>114.16</v>
      </c>
      <c r="K651">
        <v>5.7625000000000003E-2</v>
      </c>
      <c r="L651">
        <v>0.8</v>
      </c>
      <c r="M651">
        <v>78</v>
      </c>
      <c r="N651">
        <f t="shared" si="12"/>
        <v>4.6340835897435761E-2</v>
      </c>
      <c r="O651">
        <f t="shared" si="13"/>
        <v>-6.2153846153845116E-3</v>
      </c>
      <c r="P651">
        <f t="shared" si="14"/>
        <v>5.2556220512820273E-2</v>
      </c>
    </row>
    <row r="652" spans="1:16" x14ac:dyDescent="0.35">
      <c r="A652" s="1">
        <v>29280</v>
      </c>
      <c r="B652">
        <v>2.611E-3</v>
      </c>
      <c r="C652">
        <v>-5.574E-3</v>
      </c>
      <c r="D652">
        <v>-3.1633000000000001E-2</v>
      </c>
      <c r="E652">
        <v>-3.7766000000000001E-2</v>
      </c>
      <c r="F652">
        <v>747780101</v>
      </c>
      <c r="G652">
        <v>500</v>
      </c>
      <c r="H652">
        <v>751589950</v>
      </c>
      <c r="I652">
        <v>500</v>
      </c>
      <c r="J652">
        <v>113.66</v>
      </c>
      <c r="K652">
        <v>-4.3800000000000002E-3</v>
      </c>
      <c r="L652">
        <v>0.89</v>
      </c>
      <c r="M652">
        <v>79</v>
      </c>
      <c r="N652">
        <f t="shared" si="12"/>
        <v>-1.0080278481012783E-2</v>
      </c>
      <c r="O652">
        <f t="shared" si="13"/>
        <v>-3.8708860759494312E-3</v>
      </c>
      <c r="P652">
        <f t="shared" si="14"/>
        <v>-6.209392405063352E-3</v>
      </c>
    </row>
    <row r="653" spans="1:16" x14ac:dyDescent="0.35">
      <c r="A653" s="1">
        <v>29311</v>
      </c>
      <c r="B653">
        <v>-9.7517999999999994E-2</v>
      </c>
      <c r="C653">
        <v>-0.100096</v>
      </c>
      <c r="D653">
        <v>-0.105716</v>
      </c>
      <c r="E653">
        <v>-0.109875</v>
      </c>
      <c r="F653">
        <v>672127528</v>
      </c>
      <c r="G653">
        <v>500</v>
      </c>
      <c r="H653">
        <v>745613849</v>
      </c>
      <c r="I653">
        <v>499</v>
      </c>
      <c r="J653">
        <v>102.09</v>
      </c>
      <c r="K653">
        <v>-0.101795</v>
      </c>
      <c r="L653">
        <v>1.21</v>
      </c>
      <c r="M653">
        <v>80.099999999999994</v>
      </c>
      <c r="N653">
        <f t="shared" si="12"/>
        <v>-0.10991163545568039</v>
      </c>
      <c r="O653">
        <f t="shared" si="13"/>
        <v>-1.7990012484393469E-3</v>
      </c>
      <c r="P653">
        <f t="shared" si="14"/>
        <v>-0.10811263420724104</v>
      </c>
    </row>
    <row r="654" spans="1:16" x14ac:dyDescent="0.35">
      <c r="A654" s="1">
        <v>29341</v>
      </c>
      <c r="B654">
        <v>4.2394000000000001E-2</v>
      </c>
      <c r="C654">
        <v>3.9877000000000003E-2</v>
      </c>
      <c r="D654">
        <v>4.5939000000000001E-2</v>
      </c>
      <c r="E654">
        <v>4.3137000000000002E-2</v>
      </c>
      <c r="F654">
        <v>702410163</v>
      </c>
      <c r="G654">
        <v>500</v>
      </c>
      <c r="H654">
        <v>672309381</v>
      </c>
      <c r="I654">
        <v>498</v>
      </c>
      <c r="J654">
        <v>106.29</v>
      </c>
      <c r="K654">
        <v>4.1140000000000003E-2</v>
      </c>
      <c r="L654">
        <v>1.26</v>
      </c>
      <c r="M654">
        <v>80.900000000000006</v>
      </c>
      <c r="N654">
        <f t="shared" si="12"/>
        <v>3.2086024721878825E-2</v>
      </c>
      <c r="O654">
        <f t="shared" si="13"/>
        <v>2.5866501854139301E-3</v>
      </c>
      <c r="P654">
        <f t="shared" si="14"/>
        <v>2.9499374536464895E-2</v>
      </c>
    </row>
    <row r="655" spans="1:16" x14ac:dyDescent="0.35">
      <c r="A655" s="1">
        <v>29371</v>
      </c>
      <c r="B655">
        <v>5.5559999999999998E-2</v>
      </c>
      <c r="C655">
        <v>4.6650999999999998E-2</v>
      </c>
      <c r="D655">
        <v>8.1395999999999996E-2</v>
      </c>
      <c r="E655">
        <v>7.4573E-2</v>
      </c>
      <c r="F655">
        <v>736800187</v>
      </c>
      <c r="G655">
        <v>500</v>
      </c>
      <c r="H655">
        <v>702410163</v>
      </c>
      <c r="I655">
        <v>500</v>
      </c>
      <c r="J655">
        <v>111.24</v>
      </c>
      <c r="K655">
        <v>4.6571000000000001E-2</v>
      </c>
      <c r="L655">
        <v>0.81</v>
      </c>
      <c r="M655">
        <v>81.7</v>
      </c>
      <c r="N655">
        <f t="shared" si="12"/>
        <v>4.5224039167686803E-2</v>
      </c>
      <c r="O655">
        <f t="shared" si="13"/>
        <v>-1.771236230110218E-3</v>
      </c>
      <c r="P655">
        <f t="shared" si="14"/>
        <v>4.6995275397797021E-2</v>
      </c>
    </row>
    <row r="656" spans="1:16" x14ac:dyDescent="0.35">
      <c r="A656" s="1">
        <v>29402</v>
      </c>
      <c r="B656">
        <v>2.9721999999999998E-2</v>
      </c>
      <c r="C656">
        <v>2.6894999999999999E-2</v>
      </c>
      <c r="D656">
        <v>3.2730000000000002E-2</v>
      </c>
      <c r="E656">
        <v>2.8528999999999999E-2</v>
      </c>
      <c r="F656">
        <v>756854493</v>
      </c>
      <c r="G656">
        <v>500</v>
      </c>
      <c r="H656">
        <v>736427437</v>
      </c>
      <c r="I656">
        <v>499</v>
      </c>
      <c r="J656">
        <v>114.24</v>
      </c>
      <c r="K656">
        <v>2.6969E-2</v>
      </c>
      <c r="L656">
        <v>0.61</v>
      </c>
      <c r="M656">
        <v>82.5</v>
      </c>
      <c r="N656">
        <f t="shared" si="12"/>
        <v>1.973681696969698E-2</v>
      </c>
      <c r="O656">
        <f t="shared" si="13"/>
        <v>-3.6561212121212217E-3</v>
      </c>
      <c r="P656">
        <f t="shared" si="14"/>
        <v>2.3392938181818201E-2</v>
      </c>
    </row>
    <row r="657" spans="1:16" x14ac:dyDescent="0.35">
      <c r="A657" s="1">
        <v>29433</v>
      </c>
      <c r="B657">
        <v>6.8199999999999997E-2</v>
      </c>
      <c r="C657">
        <v>6.5629999999999994E-2</v>
      </c>
      <c r="D657">
        <v>9.1635999999999995E-2</v>
      </c>
      <c r="E657">
        <v>8.9087E-2</v>
      </c>
      <c r="F657">
        <v>806826712</v>
      </c>
      <c r="G657">
        <v>500</v>
      </c>
      <c r="H657">
        <v>756854493</v>
      </c>
      <c r="I657">
        <v>500</v>
      </c>
      <c r="J657">
        <v>121.67</v>
      </c>
      <c r="K657">
        <v>6.5039E-2</v>
      </c>
      <c r="L657">
        <v>0.53</v>
      </c>
      <c r="M657">
        <v>82.6</v>
      </c>
      <c r="N657">
        <f t="shared" si="12"/>
        <v>6.6906779661017213E-2</v>
      </c>
      <c r="O657">
        <f t="shared" si="13"/>
        <v>4.0829297820823562E-3</v>
      </c>
      <c r="P657">
        <f t="shared" si="14"/>
        <v>6.2823849878934857E-2</v>
      </c>
    </row>
    <row r="658" spans="1:16" x14ac:dyDescent="0.35">
      <c r="A658" s="1">
        <v>29462</v>
      </c>
      <c r="B658">
        <v>1.3454000000000001E-2</v>
      </c>
      <c r="C658">
        <v>6.0299999999999998E-3</v>
      </c>
      <c r="D658">
        <v>2.6901000000000001E-2</v>
      </c>
      <c r="E658">
        <v>2.1016E-2</v>
      </c>
      <c r="F658">
        <v>812980237</v>
      </c>
      <c r="G658">
        <v>500</v>
      </c>
      <c r="H658">
        <v>807301092</v>
      </c>
      <c r="I658">
        <v>500</v>
      </c>
      <c r="J658">
        <v>122.38</v>
      </c>
      <c r="K658">
        <v>5.8349999999999999E-3</v>
      </c>
      <c r="L658">
        <v>0.64</v>
      </c>
      <c r="M658">
        <v>83.2</v>
      </c>
      <c r="N658">
        <f t="shared" si="12"/>
        <v>6.1454374999998507E-3</v>
      </c>
      <c r="O658">
        <f t="shared" si="13"/>
        <v>-8.576923076925036E-4</v>
      </c>
      <c r="P658">
        <f t="shared" si="14"/>
        <v>7.0031298076923543E-3</v>
      </c>
    </row>
    <row r="659" spans="1:16" x14ac:dyDescent="0.35">
      <c r="A659" s="1">
        <v>29494</v>
      </c>
      <c r="B659">
        <v>2.7935000000000001E-2</v>
      </c>
      <c r="C659">
        <v>2.5155E-2</v>
      </c>
      <c r="D659">
        <v>2.86E-2</v>
      </c>
      <c r="E659">
        <v>2.4885999999999998E-2</v>
      </c>
      <c r="F659">
        <v>837757103</v>
      </c>
      <c r="G659">
        <v>500</v>
      </c>
      <c r="H659">
        <v>811538884</v>
      </c>
      <c r="I659">
        <v>497</v>
      </c>
      <c r="J659">
        <v>125.46</v>
      </c>
      <c r="K659">
        <v>2.5167999999999999E-2</v>
      </c>
      <c r="L659">
        <v>0.75</v>
      </c>
      <c r="M659">
        <v>83.9</v>
      </c>
      <c r="N659">
        <f t="shared" si="12"/>
        <v>1.9358665077473303E-2</v>
      </c>
      <c r="O659">
        <f t="shared" si="13"/>
        <v>-9.0584028605478206E-4</v>
      </c>
      <c r="P659">
        <f t="shared" si="14"/>
        <v>2.0264505363528085E-2</v>
      </c>
    </row>
    <row r="660" spans="1:16" x14ac:dyDescent="0.35">
      <c r="A660" s="1">
        <v>29525</v>
      </c>
      <c r="B660">
        <v>1.7808999999999998E-2</v>
      </c>
      <c r="C660">
        <v>1.4742E-2</v>
      </c>
      <c r="D660">
        <v>8.9890000000000005E-3</v>
      </c>
      <c r="E660">
        <v>5.9230000000000003E-3</v>
      </c>
      <c r="F660">
        <v>849964314</v>
      </c>
      <c r="G660">
        <v>500</v>
      </c>
      <c r="H660">
        <v>837831548</v>
      </c>
      <c r="I660">
        <v>498</v>
      </c>
      <c r="J660">
        <v>127.47</v>
      </c>
      <c r="K660">
        <v>1.6021000000000001E-2</v>
      </c>
      <c r="L660">
        <v>0.95</v>
      </c>
      <c r="M660">
        <v>84.7</v>
      </c>
      <c r="N660">
        <f t="shared" si="12"/>
        <v>8.1956918536008061E-3</v>
      </c>
      <c r="O660">
        <f t="shared" si="13"/>
        <v>-3.4828807556008812E-5</v>
      </c>
      <c r="P660">
        <f t="shared" si="14"/>
        <v>8.2305206611568149E-3</v>
      </c>
    </row>
    <row r="661" spans="1:16" x14ac:dyDescent="0.35">
      <c r="A661" s="1">
        <v>29553</v>
      </c>
      <c r="B661">
        <v>0.10990999999999999</v>
      </c>
      <c r="C661">
        <v>0.103015</v>
      </c>
      <c r="D661">
        <v>6.4685999999999994E-2</v>
      </c>
      <c r="E661">
        <v>5.9359000000000002E-2</v>
      </c>
      <c r="F661">
        <v>941031406</v>
      </c>
      <c r="G661">
        <v>500</v>
      </c>
      <c r="H661">
        <v>850501540</v>
      </c>
      <c r="I661">
        <v>498</v>
      </c>
      <c r="J661">
        <v>140.52000000000001</v>
      </c>
      <c r="K661">
        <v>0.102377</v>
      </c>
      <c r="L661">
        <v>0.96</v>
      </c>
      <c r="M661">
        <v>85.6</v>
      </c>
      <c r="N661">
        <f t="shared" si="12"/>
        <v>9.8240385514018813E-2</v>
      </c>
      <c r="O661">
        <f t="shared" si="13"/>
        <v>-1.014953271027963E-3</v>
      </c>
      <c r="P661">
        <f t="shared" si="14"/>
        <v>9.9255338785046776E-2</v>
      </c>
    </row>
    <row r="662" spans="1:16" x14ac:dyDescent="0.35">
      <c r="A662" s="1">
        <v>29586</v>
      </c>
      <c r="B662">
        <v>-3.0634000000000002E-2</v>
      </c>
      <c r="C662">
        <v>-3.3006000000000001E-2</v>
      </c>
      <c r="D662">
        <v>-1.1077999999999999E-2</v>
      </c>
      <c r="E662">
        <v>-1.5066E-2</v>
      </c>
      <c r="F662">
        <v>919424016</v>
      </c>
      <c r="G662">
        <v>500</v>
      </c>
      <c r="H662">
        <v>942000789</v>
      </c>
      <c r="I662">
        <v>500</v>
      </c>
      <c r="J662">
        <v>135.76</v>
      </c>
      <c r="K662">
        <v>-3.3874000000000001E-2</v>
      </c>
      <c r="L662">
        <v>1.31</v>
      </c>
      <c r="M662">
        <v>86.4</v>
      </c>
      <c r="N662">
        <f t="shared" si="12"/>
        <v>-3.9609611111111276E-2</v>
      </c>
      <c r="O662">
        <f t="shared" si="13"/>
        <v>3.7194444444443864E-3</v>
      </c>
      <c r="P662">
        <f t="shared" si="14"/>
        <v>-4.3329055555555662E-2</v>
      </c>
    </row>
    <row r="663" spans="1:16" x14ac:dyDescent="0.35">
      <c r="A663" s="1">
        <v>29616</v>
      </c>
      <c r="B663">
        <v>-4.3369999999999999E-2</v>
      </c>
      <c r="C663">
        <v>-4.5036E-2</v>
      </c>
      <c r="D663">
        <v>-1.1364000000000001E-2</v>
      </c>
      <c r="E663">
        <v>-1.3365999999999999E-2</v>
      </c>
      <c r="F663">
        <v>878958424</v>
      </c>
      <c r="G663">
        <v>500</v>
      </c>
      <c r="H663">
        <v>919382392</v>
      </c>
      <c r="I663">
        <v>499</v>
      </c>
      <c r="J663">
        <v>129.55000000000001</v>
      </c>
      <c r="K663">
        <v>-4.5741999999999998E-2</v>
      </c>
      <c r="L663">
        <v>1.04</v>
      </c>
      <c r="M663">
        <v>87.2</v>
      </c>
      <c r="N663">
        <f t="shared" si="12"/>
        <v>-5.2146422018348626E-2</v>
      </c>
      <c r="O663">
        <f t="shared" si="13"/>
        <v>1.1302752293578244E-3</v>
      </c>
      <c r="P663">
        <f t="shared" si="14"/>
        <v>-5.327669724770645E-2</v>
      </c>
    </row>
    <row r="664" spans="1:16" x14ac:dyDescent="0.35">
      <c r="A664" s="1">
        <v>29644</v>
      </c>
      <c r="B664">
        <v>2.1267000000000001E-2</v>
      </c>
      <c r="C664">
        <v>1.3492000000000001E-2</v>
      </c>
      <c r="D664">
        <v>2.8191999999999998E-2</v>
      </c>
      <c r="E664">
        <v>2.2379E-2</v>
      </c>
      <c r="F664">
        <v>892332358</v>
      </c>
      <c r="G664">
        <v>500</v>
      </c>
      <c r="H664">
        <v>880097963</v>
      </c>
      <c r="I664">
        <v>500</v>
      </c>
      <c r="J664">
        <v>131.27000000000001</v>
      </c>
      <c r="K664">
        <v>1.3277000000000001E-2</v>
      </c>
      <c r="L664">
        <v>1.07</v>
      </c>
      <c r="M664">
        <v>88</v>
      </c>
      <c r="N664">
        <f t="shared" si="12"/>
        <v>1.1982754545454499E-2</v>
      </c>
      <c r="O664">
        <f t="shared" si="13"/>
        <v>1.5118181818181142E-3</v>
      </c>
      <c r="P664">
        <f t="shared" si="14"/>
        <v>1.0470936363636385E-2</v>
      </c>
    </row>
    <row r="665" spans="1:16" x14ac:dyDescent="0.35">
      <c r="A665" s="1">
        <v>29676</v>
      </c>
      <c r="B665">
        <v>3.8285E-2</v>
      </c>
      <c r="C665">
        <v>3.5425999999999999E-2</v>
      </c>
      <c r="D665">
        <v>8.2033999999999996E-2</v>
      </c>
      <c r="E665">
        <v>7.7859999999999999E-2</v>
      </c>
      <c r="F665">
        <v>922348296</v>
      </c>
      <c r="G665">
        <v>500</v>
      </c>
      <c r="H665">
        <v>890072044</v>
      </c>
      <c r="I665">
        <v>497</v>
      </c>
      <c r="J665">
        <v>136</v>
      </c>
      <c r="K665">
        <v>3.6033000000000003E-2</v>
      </c>
      <c r="L665">
        <v>1.21</v>
      </c>
      <c r="M665">
        <v>88.6</v>
      </c>
      <c r="N665">
        <f t="shared" si="12"/>
        <v>3.1253724604966227E-2</v>
      </c>
      <c r="O665">
        <f t="shared" si="13"/>
        <v>5.2460496613997432E-3</v>
      </c>
      <c r="P665">
        <f t="shared" si="14"/>
        <v>2.6007674943566483E-2</v>
      </c>
    </row>
    <row r="666" spans="1:16" x14ac:dyDescent="0.35">
      <c r="A666" s="1">
        <v>29706</v>
      </c>
      <c r="B666">
        <v>-2.0211E-2</v>
      </c>
      <c r="C666">
        <v>-2.1967E-2</v>
      </c>
      <c r="D666">
        <v>6.6100000000000002E-4</v>
      </c>
      <c r="E666">
        <v>-1.4270000000000001E-3</v>
      </c>
      <c r="F666">
        <v>904043755</v>
      </c>
      <c r="G666">
        <v>500</v>
      </c>
      <c r="H666">
        <v>920737117</v>
      </c>
      <c r="I666">
        <v>496</v>
      </c>
      <c r="J666">
        <v>132.81</v>
      </c>
      <c r="K666">
        <v>-2.3456000000000001E-2</v>
      </c>
      <c r="L666">
        <v>1.08</v>
      </c>
      <c r="M666">
        <v>89.1</v>
      </c>
      <c r="N666">
        <f t="shared" si="12"/>
        <v>-2.5709254769921364E-2</v>
      </c>
      <c r="O666">
        <f t="shared" si="13"/>
        <v>5.127721661055018E-3</v>
      </c>
      <c r="P666">
        <f t="shared" si="14"/>
        <v>-3.0836976430976382E-2</v>
      </c>
    </row>
    <row r="667" spans="1:16" x14ac:dyDescent="0.35">
      <c r="A667" s="1">
        <v>29735</v>
      </c>
      <c r="B667">
        <v>6.5389999999999997E-3</v>
      </c>
      <c r="C667">
        <v>-1.124E-3</v>
      </c>
      <c r="D667">
        <v>1.7051E-2</v>
      </c>
      <c r="E667">
        <v>1.1688E-2</v>
      </c>
      <c r="F667">
        <v>905985939</v>
      </c>
      <c r="G667">
        <v>500</v>
      </c>
      <c r="H667">
        <v>907046869</v>
      </c>
      <c r="I667">
        <v>499</v>
      </c>
      <c r="J667">
        <v>132.59</v>
      </c>
      <c r="K667">
        <v>-1.6570000000000001E-3</v>
      </c>
      <c r="L667">
        <v>1.1499999999999999</v>
      </c>
      <c r="M667">
        <v>89.7</v>
      </c>
      <c r="N667">
        <f t="shared" ref="N667:N730" si="15">(1+B667)*M666/M667-1</f>
        <v>-1.9370234113702534E-4</v>
      </c>
      <c r="O667">
        <f t="shared" ref="O667:O730" si="16">(1+L667/100)*M666/M667-1</f>
        <v>4.7341137123746435E-3</v>
      </c>
      <c r="P667">
        <f t="shared" ref="P667:P730" si="17">N667-O667</f>
        <v>-4.9278160535116688E-3</v>
      </c>
    </row>
    <row r="668" spans="1:16" x14ac:dyDescent="0.35">
      <c r="A668" s="1">
        <v>29767</v>
      </c>
      <c r="B668">
        <v>-8.2550000000000002E-3</v>
      </c>
      <c r="C668">
        <v>-1.1180000000000001E-2</v>
      </c>
      <c r="D668">
        <v>-8.7569999999999992E-3</v>
      </c>
      <c r="E668">
        <v>-1.2767000000000001E-2</v>
      </c>
      <c r="F668">
        <v>900244202</v>
      </c>
      <c r="G668">
        <v>500</v>
      </c>
      <c r="H668">
        <v>907249007</v>
      </c>
      <c r="I668">
        <v>500</v>
      </c>
      <c r="J668">
        <v>131.21</v>
      </c>
      <c r="K668">
        <v>-1.0408000000000001E-2</v>
      </c>
      <c r="L668">
        <v>1.35</v>
      </c>
      <c r="M668">
        <v>90.5</v>
      </c>
      <c r="N668">
        <f t="shared" si="15"/>
        <v>-1.7021806629834324E-2</v>
      </c>
      <c r="O668">
        <f t="shared" si="16"/>
        <v>4.5408839779006449E-3</v>
      </c>
      <c r="P668">
        <f t="shared" si="17"/>
        <v>-2.1562690607734969E-2</v>
      </c>
    </row>
    <row r="669" spans="1:16" x14ac:dyDescent="0.35">
      <c r="A669" s="1">
        <v>29798</v>
      </c>
      <c r="B669">
        <v>7.1400000000000001E-4</v>
      </c>
      <c r="C669">
        <v>-9.4600000000000001E-4</v>
      </c>
      <c r="D669">
        <v>-1.7618000000000002E-2</v>
      </c>
      <c r="E669">
        <v>-1.9626000000000001E-2</v>
      </c>
      <c r="F669">
        <v>901729014</v>
      </c>
      <c r="G669">
        <v>500</v>
      </c>
      <c r="H669">
        <v>899505512</v>
      </c>
      <c r="I669">
        <v>498</v>
      </c>
      <c r="J669">
        <v>130.91999999999999</v>
      </c>
      <c r="K669">
        <v>-2.2100000000000002E-3</v>
      </c>
      <c r="L669">
        <v>1.24</v>
      </c>
      <c r="M669">
        <v>91.5</v>
      </c>
      <c r="N669">
        <f t="shared" si="15"/>
        <v>-1.0222765027322223E-2</v>
      </c>
      <c r="O669">
        <f t="shared" si="16"/>
        <v>1.3355191256829713E-3</v>
      </c>
      <c r="P669">
        <f t="shared" si="17"/>
        <v>-1.1558284153005194E-2</v>
      </c>
    </row>
    <row r="670" spans="1:16" x14ac:dyDescent="0.35">
      <c r="A670" s="1">
        <v>29829</v>
      </c>
      <c r="B670">
        <v>-5.5539999999999999E-2</v>
      </c>
      <c r="C670">
        <v>-6.3658999999999993E-2</v>
      </c>
      <c r="D670">
        <v>-6.2569E-2</v>
      </c>
      <c r="E670">
        <v>-6.8274000000000001E-2</v>
      </c>
      <c r="F670">
        <v>845474331</v>
      </c>
      <c r="G670">
        <v>500</v>
      </c>
      <c r="H670">
        <v>899434311</v>
      </c>
      <c r="I670">
        <v>496</v>
      </c>
      <c r="J670">
        <v>122.79</v>
      </c>
      <c r="K670">
        <v>-6.2099000000000001E-2</v>
      </c>
      <c r="L670">
        <v>1.28</v>
      </c>
      <c r="M670">
        <v>92.2</v>
      </c>
      <c r="N670">
        <f t="shared" si="15"/>
        <v>-6.2710520607375364E-2</v>
      </c>
      <c r="O670">
        <f t="shared" si="16"/>
        <v>5.1106290672451316E-3</v>
      </c>
      <c r="P670">
        <f t="shared" si="17"/>
        <v>-6.7821149674620496E-2</v>
      </c>
    </row>
    <row r="671" spans="1:16" x14ac:dyDescent="0.35">
      <c r="A671" s="1">
        <v>29859</v>
      </c>
      <c r="B671">
        <v>-5.0465999999999997E-2</v>
      </c>
      <c r="C671">
        <v>-5.3499999999999999E-2</v>
      </c>
      <c r="D671">
        <v>-5.1380000000000002E-2</v>
      </c>
      <c r="E671">
        <v>-5.5579999999999997E-2</v>
      </c>
      <c r="F671">
        <v>799675022</v>
      </c>
      <c r="G671">
        <v>500</v>
      </c>
      <c r="H671">
        <v>843871369</v>
      </c>
      <c r="I671">
        <v>498</v>
      </c>
      <c r="J671">
        <v>116.18</v>
      </c>
      <c r="K671">
        <v>-5.3831999999999998E-2</v>
      </c>
      <c r="L671">
        <v>1.24</v>
      </c>
      <c r="M671">
        <v>93.1</v>
      </c>
      <c r="N671">
        <f t="shared" si="15"/>
        <v>-5.9645168635875323E-2</v>
      </c>
      <c r="O671">
        <f t="shared" si="16"/>
        <v>2.6131041890440354E-3</v>
      </c>
      <c r="P671">
        <f t="shared" si="17"/>
        <v>-6.2258272824919358E-2</v>
      </c>
    </row>
    <row r="672" spans="1:16" x14ac:dyDescent="0.35">
      <c r="A672" s="1">
        <v>29889</v>
      </c>
      <c r="B672">
        <v>5.2115000000000002E-2</v>
      </c>
      <c r="C672">
        <v>4.8694000000000001E-2</v>
      </c>
      <c r="D672">
        <v>5.8788E-2</v>
      </c>
      <c r="E672">
        <v>5.5661000000000002E-2</v>
      </c>
      <c r="F672">
        <v>839292684</v>
      </c>
      <c r="G672">
        <v>500</v>
      </c>
      <c r="H672">
        <v>799661527</v>
      </c>
      <c r="I672">
        <v>500</v>
      </c>
      <c r="J672">
        <v>121.89</v>
      </c>
      <c r="K672">
        <v>4.9147999999999997E-2</v>
      </c>
      <c r="L672">
        <v>1.21</v>
      </c>
      <c r="M672">
        <v>93.4</v>
      </c>
      <c r="N672">
        <f t="shared" si="15"/>
        <v>4.8735615631691598E-2</v>
      </c>
      <c r="O672">
        <f t="shared" si="16"/>
        <v>8.8491434689506043E-3</v>
      </c>
      <c r="P672">
        <f t="shared" si="17"/>
        <v>3.9886472162740993E-2</v>
      </c>
    </row>
    <row r="673" spans="1:16" x14ac:dyDescent="0.35">
      <c r="A673" s="1">
        <v>29920</v>
      </c>
      <c r="B673">
        <v>4.3826999999999998E-2</v>
      </c>
      <c r="C673">
        <v>3.5917999999999999E-2</v>
      </c>
      <c r="D673">
        <v>4.2338000000000001E-2</v>
      </c>
      <c r="E673">
        <v>3.6247000000000001E-2</v>
      </c>
      <c r="F673">
        <v>873879192</v>
      </c>
      <c r="G673">
        <v>500</v>
      </c>
      <c r="H673">
        <v>838994136</v>
      </c>
      <c r="I673">
        <v>499</v>
      </c>
      <c r="J673">
        <v>126.35</v>
      </c>
      <c r="K673">
        <v>3.6589999999999998E-2</v>
      </c>
      <c r="L673">
        <v>1.07</v>
      </c>
      <c r="M673">
        <v>93.8</v>
      </c>
      <c r="N673">
        <f t="shared" si="15"/>
        <v>3.9375712153518316E-2</v>
      </c>
      <c r="O673">
        <f t="shared" si="16"/>
        <v>6.3899786780383661E-3</v>
      </c>
      <c r="P673">
        <f t="shared" si="17"/>
        <v>3.298573347547995E-2</v>
      </c>
    </row>
    <row r="674" spans="1:16" x14ac:dyDescent="0.35">
      <c r="A674" s="1">
        <v>29951</v>
      </c>
      <c r="B674">
        <v>-2.7059E-2</v>
      </c>
      <c r="C674">
        <v>-2.9745000000000001E-2</v>
      </c>
      <c r="D674">
        <v>-1.9789000000000001E-2</v>
      </c>
      <c r="E674">
        <v>-2.3557000000000002E-2</v>
      </c>
      <c r="F674">
        <v>851316511</v>
      </c>
      <c r="G674">
        <v>500</v>
      </c>
      <c r="H674">
        <v>872880097</v>
      </c>
      <c r="I674">
        <v>500</v>
      </c>
      <c r="J674">
        <v>122.55</v>
      </c>
      <c r="K674">
        <v>-3.0075000000000001E-2</v>
      </c>
      <c r="L674">
        <v>0.87</v>
      </c>
      <c r="M674">
        <v>94.1</v>
      </c>
      <c r="N674">
        <f t="shared" si="15"/>
        <v>-3.0160831030818236E-2</v>
      </c>
      <c r="O674">
        <f t="shared" si="16"/>
        <v>5.4841657810840161E-3</v>
      </c>
      <c r="P674">
        <f t="shared" si="17"/>
        <v>-3.5644996811902252E-2</v>
      </c>
    </row>
    <row r="675" spans="1:16" x14ac:dyDescent="0.35">
      <c r="A675" s="1">
        <v>29980</v>
      </c>
      <c r="B675">
        <v>-1.5367E-2</v>
      </c>
      <c r="C675">
        <v>-1.6874E-2</v>
      </c>
      <c r="D675">
        <v>-1.9549E-2</v>
      </c>
      <c r="E675">
        <v>-2.1498E-2</v>
      </c>
      <c r="F675">
        <v>836871941</v>
      </c>
      <c r="G675">
        <v>500</v>
      </c>
      <c r="H675">
        <v>851260622</v>
      </c>
      <c r="I675">
        <v>500</v>
      </c>
      <c r="J675">
        <v>120.4</v>
      </c>
      <c r="K675">
        <v>-1.7544000000000001E-2</v>
      </c>
      <c r="L675">
        <v>0.8</v>
      </c>
      <c r="M675">
        <v>94.4</v>
      </c>
      <c r="N675">
        <f t="shared" si="15"/>
        <v>-1.8496130296610236E-2</v>
      </c>
      <c r="O675">
        <f t="shared" si="16"/>
        <v>4.7966101694913998E-3</v>
      </c>
      <c r="P675">
        <f t="shared" si="17"/>
        <v>-2.3292740466101636E-2</v>
      </c>
    </row>
    <row r="676" spans="1:16" x14ac:dyDescent="0.35">
      <c r="A676" s="1">
        <v>30008</v>
      </c>
      <c r="B676">
        <v>-5.0441E-2</v>
      </c>
      <c r="C676">
        <v>-5.9588000000000002E-2</v>
      </c>
      <c r="D676">
        <v>-3.6622000000000002E-2</v>
      </c>
      <c r="E676">
        <v>-4.2848999999999998E-2</v>
      </c>
      <c r="F676">
        <v>786717627</v>
      </c>
      <c r="G676">
        <v>500</v>
      </c>
      <c r="H676">
        <v>836824161</v>
      </c>
      <c r="I676">
        <v>499</v>
      </c>
      <c r="J676">
        <v>113.11</v>
      </c>
      <c r="K676">
        <v>-6.0547999999999998E-2</v>
      </c>
      <c r="L676">
        <v>0.92</v>
      </c>
      <c r="M676">
        <v>94.7</v>
      </c>
      <c r="N676">
        <f t="shared" si="15"/>
        <v>-5.3449106652587064E-2</v>
      </c>
      <c r="O676">
        <f t="shared" si="16"/>
        <v>6.0029567053854205E-3</v>
      </c>
      <c r="P676">
        <f t="shared" si="17"/>
        <v>-5.9452063357972484E-2</v>
      </c>
    </row>
    <row r="677" spans="1:16" x14ac:dyDescent="0.35">
      <c r="A677" s="1">
        <v>30041</v>
      </c>
      <c r="B677">
        <v>-6.8050000000000003E-3</v>
      </c>
      <c r="C677">
        <v>-1.0463E-2</v>
      </c>
      <c r="D677">
        <v>-3.248E-3</v>
      </c>
      <c r="E677">
        <v>-8.0960000000000008E-3</v>
      </c>
      <c r="F677">
        <v>778829619</v>
      </c>
      <c r="G677">
        <v>500</v>
      </c>
      <c r="H677">
        <v>786339703</v>
      </c>
      <c r="I677">
        <v>500</v>
      </c>
      <c r="J677">
        <v>111.96</v>
      </c>
      <c r="K677">
        <v>-1.0167000000000001E-2</v>
      </c>
      <c r="L677">
        <v>0.98</v>
      </c>
      <c r="M677">
        <v>94.7</v>
      </c>
      <c r="N677">
        <f t="shared" si="15"/>
        <v>-6.80499999999995E-3</v>
      </c>
      <c r="O677">
        <f t="shared" si="16"/>
        <v>9.8000000000000309E-3</v>
      </c>
      <c r="P677">
        <f t="shared" si="17"/>
        <v>-1.6604999999999981E-2</v>
      </c>
    </row>
    <row r="678" spans="1:16" x14ac:dyDescent="0.35">
      <c r="A678" s="1">
        <v>30071</v>
      </c>
      <c r="B678">
        <v>4.1549999999999997E-2</v>
      </c>
      <c r="C678">
        <v>4.0063000000000001E-2</v>
      </c>
      <c r="D678">
        <v>4.7614999999999998E-2</v>
      </c>
      <c r="E678">
        <v>4.5501E-2</v>
      </c>
      <c r="F678">
        <v>810825172</v>
      </c>
      <c r="G678">
        <v>500</v>
      </c>
      <c r="H678">
        <v>776067017</v>
      </c>
      <c r="I678">
        <v>499</v>
      </c>
      <c r="J678">
        <v>116.44</v>
      </c>
      <c r="K678">
        <v>4.0014000000000001E-2</v>
      </c>
      <c r="L678">
        <v>1.1299999999999999</v>
      </c>
      <c r="M678">
        <v>95</v>
      </c>
      <c r="N678">
        <f t="shared" si="15"/>
        <v>3.8260894736842133E-2</v>
      </c>
      <c r="O678">
        <f t="shared" si="16"/>
        <v>8.1064210526318181E-3</v>
      </c>
      <c r="P678">
        <f t="shared" si="17"/>
        <v>3.0154473684210314E-2</v>
      </c>
    </row>
    <row r="679" spans="1:16" x14ac:dyDescent="0.35">
      <c r="A679" s="1">
        <v>30099</v>
      </c>
      <c r="B679">
        <v>-2.9505E-2</v>
      </c>
      <c r="C679">
        <v>-3.9834000000000001E-2</v>
      </c>
      <c r="D679">
        <v>-4.3971999999999997E-2</v>
      </c>
      <c r="E679">
        <v>-5.0999999999999997E-2</v>
      </c>
      <c r="F679">
        <v>781434082</v>
      </c>
      <c r="G679">
        <v>500</v>
      </c>
      <c r="H679">
        <v>810825172</v>
      </c>
      <c r="I679">
        <v>500</v>
      </c>
      <c r="J679">
        <v>111.88</v>
      </c>
      <c r="K679">
        <v>-3.9162000000000002E-2</v>
      </c>
      <c r="L679">
        <v>1.06</v>
      </c>
      <c r="M679">
        <v>95.9</v>
      </c>
      <c r="N679">
        <f t="shared" si="15"/>
        <v>-3.8612877997914574E-2</v>
      </c>
      <c r="O679">
        <f t="shared" si="16"/>
        <v>1.115745568300186E-3</v>
      </c>
      <c r="P679">
        <f t="shared" si="17"/>
        <v>-3.972862356621476E-2</v>
      </c>
    </row>
    <row r="680" spans="1:16" x14ac:dyDescent="0.35">
      <c r="A680" s="1">
        <v>30132</v>
      </c>
      <c r="B680">
        <v>-1.5779000000000001E-2</v>
      </c>
      <c r="C680">
        <v>-1.8933999999999999E-2</v>
      </c>
      <c r="D680">
        <v>-7.2249999999999997E-3</v>
      </c>
      <c r="E680">
        <v>-1.1401E-2</v>
      </c>
      <c r="F680">
        <v>769665113</v>
      </c>
      <c r="G680">
        <v>500</v>
      </c>
      <c r="H680">
        <v>779760754</v>
      </c>
      <c r="I680">
        <v>498</v>
      </c>
      <c r="J680">
        <v>109.61</v>
      </c>
      <c r="K680">
        <v>-2.0289999999999999E-2</v>
      </c>
      <c r="L680">
        <v>0.96</v>
      </c>
      <c r="M680">
        <v>97</v>
      </c>
      <c r="N680">
        <f t="shared" si="15"/>
        <v>-2.6940269072164957E-2</v>
      </c>
      <c r="O680">
        <f t="shared" si="16"/>
        <v>-1.8490721649483399E-3</v>
      </c>
      <c r="P680">
        <f t="shared" si="17"/>
        <v>-2.5091196907216617E-2</v>
      </c>
    </row>
    <row r="681" spans="1:16" x14ac:dyDescent="0.35">
      <c r="A681" s="1">
        <v>30162</v>
      </c>
      <c r="B681">
        <v>-2.0199000000000002E-2</v>
      </c>
      <c r="C681">
        <v>-2.2058000000000001E-2</v>
      </c>
      <c r="D681">
        <v>-1.5098E-2</v>
      </c>
      <c r="E681">
        <v>-1.7267999999999999E-2</v>
      </c>
      <c r="F681">
        <v>743612136</v>
      </c>
      <c r="G681">
        <v>500</v>
      </c>
      <c r="H681">
        <v>760319904</v>
      </c>
      <c r="I681">
        <v>497</v>
      </c>
      <c r="J681">
        <v>107.09</v>
      </c>
      <c r="K681">
        <v>-2.2991000000000001E-2</v>
      </c>
      <c r="L681">
        <v>1.05</v>
      </c>
      <c r="M681">
        <v>97.5</v>
      </c>
      <c r="N681">
        <f t="shared" si="15"/>
        <v>-2.5223620512820455E-2</v>
      </c>
      <c r="O681">
        <f t="shared" si="16"/>
        <v>5.3179487179486618E-3</v>
      </c>
      <c r="P681">
        <f t="shared" si="17"/>
        <v>-3.0541569230769117E-2</v>
      </c>
    </row>
    <row r="682" spans="1:16" x14ac:dyDescent="0.35">
      <c r="A682" s="1">
        <v>30194</v>
      </c>
      <c r="B682">
        <v>0.12740199999999999</v>
      </c>
      <c r="C682">
        <v>0.116647</v>
      </c>
      <c r="D682">
        <v>0.129328</v>
      </c>
      <c r="E682">
        <v>0.12173100000000001</v>
      </c>
      <c r="F682">
        <v>841420395</v>
      </c>
      <c r="G682">
        <v>500</v>
      </c>
      <c r="H682">
        <v>744961686</v>
      </c>
      <c r="I682">
        <v>498</v>
      </c>
      <c r="J682">
        <v>119.51</v>
      </c>
      <c r="K682">
        <v>0.115977</v>
      </c>
      <c r="L682">
        <v>0.76</v>
      </c>
      <c r="M682">
        <v>97.7</v>
      </c>
      <c r="N682">
        <f t="shared" si="15"/>
        <v>0.12509411463664266</v>
      </c>
      <c r="O682">
        <f t="shared" si="16"/>
        <v>5.5373592630501012E-3</v>
      </c>
      <c r="P682">
        <f t="shared" si="17"/>
        <v>0.11955675537359256</v>
      </c>
    </row>
    <row r="683" spans="1:16" x14ac:dyDescent="0.35">
      <c r="A683" s="1">
        <v>30224</v>
      </c>
      <c r="B683">
        <v>1.0496E-2</v>
      </c>
      <c r="C683">
        <v>7.7169999999999999E-3</v>
      </c>
      <c r="D683">
        <v>1.6275000000000001E-2</v>
      </c>
      <c r="E683">
        <v>1.2506E-2</v>
      </c>
      <c r="F683">
        <v>851212632</v>
      </c>
      <c r="G683">
        <v>500</v>
      </c>
      <c r="H683">
        <v>842347818</v>
      </c>
      <c r="I683">
        <v>499</v>
      </c>
      <c r="J683">
        <v>120.42</v>
      </c>
      <c r="K683">
        <v>7.6140000000000001E-3</v>
      </c>
      <c r="L683">
        <v>0.51</v>
      </c>
      <c r="M683">
        <v>97.7</v>
      </c>
      <c r="N683">
        <f t="shared" si="15"/>
        <v>1.0496000000000061E-2</v>
      </c>
      <c r="O683">
        <f t="shared" si="16"/>
        <v>5.1000000000001044E-3</v>
      </c>
      <c r="P683">
        <f t="shared" si="17"/>
        <v>5.3959999999999564E-3</v>
      </c>
    </row>
    <row r="684" spans="1:16" x14ac:dyDescent="0.35">
      <c r="A684" s="1">
        <v>30253</v>
      </c>
      <c r="B684">
        <v>0.11386300000000001</v>
      </c>
      <c r="C684">
        <v>0.111235</v>
      </c>
      <c r="D684">
        <v>0.14391799999999999</v>
      </c>
      <c r="E684">
        <v>0.14135900000000001</v>
      </c>
      <c r="F684">
        <v>947740073</v>
      </c>
      <c r="G684">
        <v>500</v>
      </c>
      <c r="H684">
        <v>851742198</v>
      </c>
      <c r="I684">
        <v>499</v>
      </c>
      <c r="J684">
        <v>133.71</v>
      </c>
      <c r="K684">
        <v>0.110364</v>
      </c>
      <c r="L684">
        <v>0.59</v>
      </c>
      <c r="M684">
        <v>98.1</v>
      </c>
      <c r="N684">
        <f t="shared" si="15"/>
        <v>0.10932125484199817</v>
      </c>
      <c r="O684">
        <f t="shared" si="16"/>
        <v>1.7984709480123318E-3</v>
      </c>
      <c r="P684">
        <f t="shared" si="17"/>
        <v>0.10752278389398584</v>
      </c>
    </row>
    <row r="685" spans="1:16" x14ac:dyDescent="0.35">
      <c r="A685" s="1">
        <v>30285</v>
      </c>
      <c r="B685">
        <v>4.5754000000000003E-2</v>
      </c>
      <c r="C685">
        <v>3.7553999999999997E-2</v>
      </c>
      <c r="D685">
        <v>6.0061000000000003E-2</v>
      </c>
      <c r="E685">
        <v>5.4567999999999998E-2</v>
      </c>
      <c r="F685">
        <v>983365521</v>
      </c>
      <c r="G685">
        <v>500</v>
      </c>
      <c r="H685">
        <v>947437346</v>
      </c>
      <c r="I685">
        <v>500</v>
      </c>
      <c r="J685">
        <v>138.54</v>
      </c>
      <c r="K685">
        <v>3.6123000000000002E-2</v>
      </c>
      <c r="L685">
        <v>0.63</v>
      </c>
      <c r="M685">
        <v>98</v>
      </c>
      <c r="N685">
        <f t="shared" si="15"/>
        <v>4.682109591836725E-2</v>
      </c>
      <c r="O685">
        <f t="shared" si="16"/>
        <v>7.326836734693698E-3</v>
      </c>
      <c r="P685">
        <f t="shared" si="17"/>
        <v>3.9494259183673552E-2</v>
      </c>
    </row>
    <row r="686" spans="1:16" x14ac:dyDescent="0.35">
      <c r="A686" s="1">
        <v>30316</v>
      </c>
      <c r="B686">
        <v>1.6834999999999999E-2</v>
      </c>
      <c r="C686">
        <v>1.4676E-2</v>
      </c>
      <c r="D686">
        <v>1.5472E-2</v>
      </c>
      <c r="E686">
        <v>1.2345999999999999E-2</v>
      </c>
      <c r="F686">
        <v>1006322600</v>
      </c>
      <c r="G686">
        <v>500</v>
      </c>
      <c r="H686">
        <v>981347644</v>
      </c>
      <c r="I686">
        <v>500</v>
      </c>
      <c r="J686">
        <v>140.63999999999999</v>
      </c>
      <c r="K686">
        <v>1.5158E-2</v>
      </c>
      <c r="L686">
        <v>0.67</v>
      </c>
      <c r="M686">
        <v>97.7</v>
      </c>
      <c r="N686">
        <f t="shared" si="15"/>
        <v>1.9957318321391915E-2</v>
      </c>
      <c r="O686">
        <f t="shared" si="16"/>
        <v>9.7911975435005516E-3</v>
      </c>
      <c r="P686">
        <f t="shared" si="17"/>
        <v>1.0166120777891363E-2</v>
      </c>
    </row>
    <row r="687" spans="1:16" x14ac:dyDescent="0.35">
      <c r="A687" s="1">
        <v>30347</v>
      </c>
      <c r="B687">
        <v>3.5292999999999998E-2</v>
      </c>
      <c r="C687">
        <v>3.3316999999999999E-2</v>
      </c>
      <c r="D687">
        <v>3.5262000000000002E-2</v>
      </c>
      <c r="E687">
        <v>3.3168000000000003E-2</v>
      </c>
      <c r="F687">
        <v>1039979280</v>
      </c>
      <c r="G687">
        <v>500</v>
      </c>
      <c r="H687">
        <v>1006313380</v>
      </c>
      <c r="I687">
        <v>500</v>
      </c>
      <c r="J687">
        <v>145.30000000000001</v>
      </c>
      <c r="K687">
        <v>3.3133999999999997E-2</v>
      </c>
      <c r="L687">
        <v>0.69</v>
      </c>
      <c r="M687">
        <v>97.9</v>
      </c>
      <c r="N687">
        <f t="shared" si="15"/>
        <v>3.317799897854945E-2</v>
      </c>
      <c r="O687">
        <f t="shared" si="16"/>
        <v>4.8430030643511479E-3</v>
      </c>
      <c r="P687">
        <f t="shared" si="17"/>
        <v>2.8334995914198302E-2</v>
      </c>
    </row>
    <row r="688" spans="1:16" x14ac:dyDescent="0.35">
      <c r="A688" s="1">
        <v>30375</v>
      </c>
      <c r="B688">
        <v>2.5732999999999999E-2</v>
      </c>
      <c r="C688">
        <v>1.8539E-2</v>
      </c>
      <c r="D688">
        <v>4.0992000000000001E-2</v>
      </c>
      <c r="E688">
        <v>3.6144000000000003E-2</v>
      </c>
      <c r="F688">
        <v>1056784080</v>
      </c>
      <c r="G688">
        <v>500</v>
      </c>
      <c r="H688">
        <v>1037790260</v>
      </c>
      <c r="I688">
        <v>500</v>
      </c>
      <c r="J688">
        <v>148.06</v>
      </c>
      <c r="K688">
        <v>1.8995000000000001E-2</v>
      </c>
      <c r="L688">
        <v>0.62</v>
      </c>
      <c r="M688">
        <v>98</v>
      </c>
      <c r="N688">
        <f t="shared" si="15"/>
        <v>2.4686333673469507E-2</v>
      </c>
      <c r="O688">
        <f t="shared" si="16"/>
        <v>5.1732653061224987E-3</v>
      </c>
      <c r="P688">
        <f t="shared" si="17"/>
        <v>1.9513068367347008E-2</v>
      </c>
    </row>
    <row r="689" spans="1:16" x14ac:dyDescent="0.35">
      <c r="A689" s="1">
        <v>30406</v>
      </c>
      <c r="B689">
        <v>3.5470000000000002E-2</v>
      </c>
      <c r="C689">
        <v>3.2459000000000002E-2</v>
      </c>
      <c r="D689">
        <v>5.1423000000000003E-2</v>
      </c>
      <c r="E689">
        <v>4.8001000000000002E-2</v>
      </c>
      <c r="F689">
        <v>1095174060</v>
      </c>
      <c r="G689">
        <v>500</v>
      </c>
      <c r="H689">
        <v>1058008820</v>
      </c>
      <c r="I689">
        <v>500</v>
      </c>
      <c r="J689">
        <v>152.96</v>
      </c>
      <c r="K689">
        <v>3.3094999999999999E-2</v>
      </c>
      <c r="L689">
        <v>0.63</v>
      </c>
      <c r="M689">
        <v>98.1</v>
      </c>
      <c r="N689">
        <f t="shared" si="15"/>
        <v>3.4414475025484448E-2</v>
      </c>
      <c r="O689">
        <f t="shared" si="16"/>
        <v>5.2742099898064332E-3</v>
      </c>
      <c r="P689">
        <f t="shared" si="17"/>
        <v>2.9140265035678015E-2</v>
      </c>
    </row>
    <row r="690" spans="1:16" x14ac:dyDescent="0.35">
      <c r="A690" s="1">
        <v>30435</v>
      </c>
      <c r="B690">
        <v>7.5718999999999995E-2</v>
      </c>
      <c r="C690">
        <v>7.4654999999999999E-2</v>
      </c>
      <c r="D690">
        <v>6.8731E-2</v>
      </c>
      <c r="E690">
        <v>6.7364999999999994E-2</v>
      </c>
      <c r="F690">
        <v>1176235190</v>
      </c>
      <c r="G690">
        <v>500</v>
      </c>
      <c r="H690">
        <v>1094440010</v>
      </c>
      <c r="I690">
        <v>499</v>
      </c>
      <c r="J690">
        <v>164.42</v>
      </c>
      <c r="K690">
        <v>7.4922000000000002E-2</v>
      </c>
      <c r="L690">
        <v>0.71</v>
      </c>
      <c r="M690">
        <v>98.8</v>
      </c>
      <c r="N690">
        <f t="shared" si="15"/>
        <v>6.8097509109311671E-2</v>
      </c>
      <c r="O690">
        <f t="shared" si="16"/>
        <v>-3.53238866396266E-5</v>
      </c>
      <c r="P690">
        <f t="shared" si="17"/>
        <v>6.8132832995951298E-2</v>
      </c>
    </row>
    <row r="691" spans="1:16" x14ac:dyDescent="0.35">
      <c r="A691" s="1">
        <v>30467</v>
      </c>
      <c r="B691">
        <v>-5.6870000000000002E-3</v>
      </c>
      <c r="C691">
        <v>-1.21E-2</v>
      </c>
      <c r="D691">
        <v>2.5787999999999998E-2</v>
      </c>
      <c r="E691">
        <v>2.0797E-2</v>
      </c>
      <c r="F691">
        <v>1165217990</v>
      </c>
      <c r="G691">
        <v>500</v>
      </c>
      <c r="H691">
        <v>1174379240</v>
      </c>
      <c r="I691">
        <v>498</v>
      </c>
      <c r="J691">
        <v>162.38999999999999</v>
      </c>
      <c r="K691">
        <v>-1.2345999999999999E-2</v>
      </c>
      <c r="L691">
        <v>0.69</v>
      </c>
      <c r="M691">
        <v>99.2</v>
      </c>
      <c r="N691">
        <f t="shared" si="15"/>
        <v>-9.6963266129032055E-3</v>
      </c>
      <c r="O691">
        <f t="shared" si="16"/>
        <v>2.839919354838516E-3</v>
      </c>
      <c r="P691">
        <f t="shared" si="17"/>
        <v>-1.2536245967741722E-2</v>
      </c>
    </row>
    <row r="692" spans="1:16" x14ac:dyDescent="0.35">
      <c r="A692" s="1">
        <v>30497</v>
      </c>
      <c r="B692">
        <v>3.6970000000000003E-2</v>
      </c>
      <c r="C692">
        <v>3.3718999999999999E-2</v>
      </c>
      <c r="D692">
        <v>3.1633000000000001E-2</v>
      </c>
      <c r="E692">
        <v>2.8802000000000001E-2</v>
      </c>
      <c r="F692">
        <v>1211352890</v>
      </c>
      <c r="G692">
        <v>500</v>
      </c>
      <c r="H692">
        <v>1164623730</v>
      </c>
      <c r="I692">
        <v>499</v>
      </c>
      <c r="J692">
        <v>168.11</v>
      </c>
      <c r="K692">
        <v>3.5223999999999998E-2</v>
      </c>
      <c r="L692">
        <v>0.67</v>
      </c>
      <c r="M692">
        <v>99.4</v>
      </c>
      <c r="N692">
        <f t="shared" si="15"/>
        <v>3.4883541247484828E-2</v>
      </c>
      <c r="O692">
        <f t="shared" si="16"/>
        <v>4.6744466800803242E-3</v>
      </c>
      <c r="P692">
        <f t="shared" si="17"/>
        <v>3.0209094567404504E-2</v>
      </c>
    </row>
    <row r="693" spans="1:16" x14ac:dyDescent="0.35">
      <c r="A693" s="1">
        <v>30526</v>
      </c>
      <c r="B693">
        <v>-3.1237999999999998E-2</v>
      </c>
      <c r="C693">
        <v>-3.2321000000000003E-2</v>
      </c>
      <c r="D693">
        <v>-2.6509000000000001E-2</v>
      </c>
      <c r="E693">
        <v>-2.7889000000000001E-2</v>
      </c>
      <c r="F693">
        <v>1174219920</v>
      </c>
      <c r="G693">
        <v>500</v>
      </c>
      <c r="H693">
        <v>1212294970</v>
      </c>
      <c r="I693">
        <v>499</v>
      </c>
      <c r="J693">
        <v>162.56</v>
      </c>
      <c r="K693">
        <v>-3.3014000000000002E-2</v>
      </c>
      <c r="L693">
        <v>0.74</v>
      </c>
      <c r="M693">
        <v>99.8</v>
      </c>
      <c r="N693">
        <f t="shared" si="15"/>
        <v>-3.5120813627254499E-2</v>
      </c>
      <c r="O693">
        <f t="shared" si="16"/>
        <v>3.3623246492986425E-3</v>
      </c>
      <c r="P693">
        <f t="shared" si="17"/>
        <v>-3.8483138276553142E-2</v>
      </c>
    </row>
    <row r="694" spans="1:16" x14ac:dyDescent="0.35">
      <c r="A694" s="1">
        <v>30559</v>
      </c>
      <c r="B694">
        <v>1.5864E-2</v>
      </c>
      <c r="C694">
        <v>9.4839999999999994E-3</v>
      </c>
      <c r="D694">
        <v>4.522E-3</v>
      </c>
      <c r="E694">
        <v>-3.5100000000000002E-4</v>
      </c>
      <c r="F694">
        <v>1187214840</v>
      </c>
      <c r="G694">
        <v>500</v>
      </c>
      <c r="H694">
        <v>1173778870</v>
      </c>
      <c r="I694">
        <v>499</v>
      </c>
      <c r="J694">
        <v>164.4</v>
      </c>
      <c r="K694">
        <v>1.1318999999999999E-2</v>
      </c>
      <c r="L694">
        <v>0.76</v>
      </c>
      <c r="M694">
        <v>100.1</v>
      </c>
      <c r="N694">
        <f t="shared" si="15"/>
        <v>1.2819452547452759E-2</v>
      </c>
      <c r="O694">
        <f t="shared" si="16"/>
        <v>4.5802197802198297E-3</v>
      </c>
      <c r="P694">
        <f t="shared" si="17"/>
        <v>8.2392327672329291E-3</v>
      </c>
    </row>
    <row r="695" spans="1:16" x14ac:dyDescent="0.35">
      <c r="A695" s="1">
        <v>30589</v>
      </c>
      <c r="B695">
        <v>1.4104999999999999E-2</v>
      </c>
      <c r="C695">
        <v>1.0838E-2</v>
      </c>
      <c r="D695">
        <v>2.6009000000000001E-2</v>
      </c>
      <c r="E695">
        <v>2.3181E-2</v>
      </c>
      <c r="F695">
        <v>1208335440</v>
      </c>
      <c r="G695">
        <v>500</v>
      </c>
      <c r="H695">
        <v>1189798660</v>
      </c>
      <c r="I695">
        <v>499</v>
      </c>
      <c r="J695">
        <v>166.07</v>
      </c>
      <c r="K695">
        <v>1.0158E-2</v>
      </c>
      <c r="L695">
        <v>0.76</v>
      </c>
      <c r="M695">
        <v>100.4</v>
      </c>
      <c r="N695">
        <f t="shared" si="15"/>
        <v>1.1074805776892349E-2</v>
      </c>
      <c r="O695">
        <f t="shared" si="16"/>
        <v>4.5892430278884344E-3</v>
      </c>
      <c r="P695">
        <f t="shared" si="17"/>
        <v>6.4855627490039147E-3</v>
      </c>
    </row>
    <row r="696" spans="1:16" x14ac:dyDescent="0.35">
      <c r="A696" s="1">
        <v>30620</v>
      </c>
      <c r="B696">
        <v>-1.3108E-2</v>
      </c>
      <c r="C696">
        <v>-1.4695E-2</v>
      </c>
      <c r="D696">
        <v>-1.8815999999999999E-2</v>
      </c>
      <c r="E696">
        <v>-2.0632999999999999E-2</v>
      </c>
      <c r="F696">
        <v>1192555910</v>
      </c>
      <c r="G696">
        <v>500</v>
      </c>
      <c r="H696">
        <v>1209216160</v>
      </c>
      <c r="I696">
        <v>500</v>
      </c>
      <c r="J696">
        <v>163.55000000000001</v>
      </c>
      <c r="K696">
        <v>-1.5174E-2</v>
      </c>
      <c r="L696">
        <v>0.76</v>
      </c>
      <c r="M696">
        <v>100.8</v>
      </c>
      <c r="N696">
        <f t="shared" si="15"/>
        <v>-1.7024238095238009E-2</v>
      </c>
      <c r="O696">
        <f t="shared" si="16"/>
        <v>3.6015873015873279E-3</v>
      </c>
      <c r="P696">
        <f t="shared" si="17"/>
        <v>-2.0625825396825337E-2</v>
      </c>
    </row>
    <row r="697" spans="1:16" x14ac:dyDescent="0.35">
      <c r="A697" s="1">
        <v>30650</v>
      </c>
      <c r="B697">
        <v>2.3845999999999999E-2</v>
      </c>
      <c r="C697">
        <v>1.7363E-2</v>
      </c>
      <c r="D697">
        <v>4.7169000000000003E-2</v>
      </c>
      <c r="E697">
        <v>4.2411999999999998E-2</v>
      </c>
      <c r="F697">
        <v>1214791050</v>
      </c>
      <c r="G697">
        <v>500</v>
      </c>
      <c r="H697">
        <v>1192555910</v>
      </c>
      <c r="I697">
        <v>500</v>
      </c>
      <c r="J697">
        <v>166.4</v>
      </c>
      <c r="K697">
        <v>1.7426000000000001E-2</v>
      </c>
      <c r="L697">
        <v>0.7</v>
      </c>
      <c r="M697">
        <v>101.1</v>
      </c>
      <c r="N697">
        <f t="shared" si="15"/>
        <v>2.0807881305638043E-2</v>
      </c>
      <c r="O697">
        <f t="shared" si="16"/>
        <v>4.0118694362016871E-3</v>
      </c>
      <c r="P697">
        <f t="shared" si="17"/>
        <v>1.6796011869436356E-2</v>
      </c>
    </row>
    <row r="698" spans="1:16" x14ac:dyDescent="0.35">
      <c r="A698" s="1">
        <v>30680</v>
      </c>
      <c r="B698">
        <v>-5.7489999999999998E-3</v>
      </c>
      <c r="C698">
        <v>-8.6990000000000001E-3</v>
      </c>
      <c r="D698">
        <v>-8.6309999999999998E-3</v>
      </c>
      <c r="E698">
        <v>-1.1391999999999999E-2</v>
      </c>
      <c r="F698">
        <v>1249077630</v>
      </c>
      <c r="G698">
        <v>500</v>
      </c>
      <c r="H698">
        <v>1245628870</v>
      </c>
      <c r="I698">
        <v>499</v>
      </c>
      <c r="J698">
        <v>164.93</v>
      </c>
      <c r="K698">
        <v>-8.8339999999999998E-3</v>
      </c>
      <c r="L698">
        <v>0.73</v>
      </c>
      <c r="M698">
        <v>101.4</v>
      </c>
      <c r="N698">
        <f t="shared" si="15"/>
        <v>-8.6905710059173025E-3</v>
      </c>
      <c r="O698">
        <f t="shared" si="16"/>
        <v>4.3198224852070144E-3</v>
      </c>
      <c r="P698">
        <f t="shared" si="17"/>
        <v>-1.3010393491124317E-2</v>
      </c>
    </row>
    <row r="699" spans="1:16" x14ac:dyDescent="0.35">
      <c r="A699" s="1">
        <v>30712</v>
      </c>
      <c r="B699">
        <v>-3.898E-3</v>
      </c>
      <c r="C699">
        <v>-5.6569999999999997E-3</v>
      </c>
      <c r="D699">
        <v>-1.3908E-2</v>
      </c>
      <c r="E699">
        <v>-1.5610000000000001E-2</v>
      </c>
      <c r="F699">
        <v>1241600170</v>
      </c>
      <c r="G699">
        <v>500</v>
      </c>
      <c r="H699">
        <v>1249077630</v>
      </c>
      <c r="I699">
        <v>500</v>
      </c>
      <c r="J699">
        <v>163.41</v>
      </c>
      <c r="K699">
        <v>-9.2160000000000002E-3</v>
      </c>
      <c r="L699">
        <v>0.76</v>
      </c>
      <c r="M699">
        <v>102.1</v>
      </c>
      <c r="N699">
        <f t="shared" si="15"/>
        <v>-1.0727298726738277E-2</v>
      </c>
      <c r="O699">
        <f t="shared" si="16"/>
        <v>6.9187071498544306E-4</v>
      </c>
      <c r="P699">
        <f t="shared" si="17"/>
        <v>-1.141916944172372E-2</v>
      </c>
    </row>
    <row r="700" spans="1:16" x14ac:dyDescent="0.35">
      <c r="A700" s="1">
        <v>30741</v>
      </c>
      <c r="B700">
        <v>-3.4034000000000002E-2</v>
      </c>
      <c r="C700">
        <v>-3.9504999999999998E-2</v>
      </c>
      <c r="D700">
        <v>-4.7416E-2</v>
      </c>
      <c r="E700">
        <v>-5.1678000000000002E-2</v>
      </c>
      <c r="F700">
        <v>1137430700</v>
      </c>
      <c r="G700">
        <v>500</v>
      </c>
      <c r="H700">
        <v>1231673040</v>
      </c>
      <c r="I700">
        <v>496</v>
      </c>
      <c r="J700">
        <v>157.06</v>
      </c>
      <c r="K700">
        <v>-3.8858999999999998E-2</v>
      </c>
      <c r="L700">
        <v>0.71</v>
      </c>
      <c r="M700">
        <v>102.6</v>
      </c>
      <c r="N700">
        <f t="shared" si="15"/>
        <v>-3.8741436647173444E-2</v>
      </c>
      <c r="O700">
        <f t="shared" si="16"/>
        <v>2.1921052631579396E-3</v>
      </c>
      <c r="P700">
        <f t="shared" si="17"/>
        <v>-4.0933541910331384E-2</v>
      </c>
    </row>
    <row r="701" spans="1:16" x14ac:dyDescent="0.35">
      <c r="A701" s="1">
        <v>30771</v>
      </c>
      <c r="B701">
        <v>1.7295000000000001E-2</v>
      </c>
      <c r="C701">
        <v>1.3714E-2</v>
      </c>
      <c r="D701">
        <v>2.2523999999999999E-2</v>
      </c>
      <c r="E701">
        <v>1.9238999999999999E-2</v>
      </c>
      <c r="F701">
        <v>1155048730</v>
      </c>
      <c r="G701">
        <v>500</v>
      </c>
      <c r="H701">
        <v>1140664830</v>
      </c>
      <c r="I701">
        <v>499</v>
      </c>
      <c r="J701">
        <v>159.18</v>
      </c>
      <c r="K701">
        <v>1.3498E-2</v>
      </c>
      <c r="L701">
        <v>0.73</v>
      </c>
      <c r="M701">
        <v>102.9</v>
      </c>
      <c r="N701">
        <f t="shared" si="15"/>
        <v>1.4329125364431317E-2</v>
      </c>
      <c r="O701">
        <f t="shared" si="16"/>
        <v>4.3632653061222992E-3</v>
      </c>
      <c r="P701">
        <f t="shared" si="17"/>
        <v>9.9658600583090173E-3</v>
      </c>
    </row>
    <row r="702" spans="1:16" x14ac:dyDescent="0.35">
      <c r="A702" s="1">
        <v>30802</v>
      </c>
      <c r="B702">
        <v>6.7809999999999997E-3</v>
      </c>
      <c r="C702">
        <v>5.2290000000000001E-3</v>
      </c>
      <c r="D702">
        <v>-8.9730000000000001E-3</v>
      </c>
      <c r="E702">
        <v>-1.0725999999999999E-2</v>
      </c>
      <c r="F702">
        <v>1160784230</v>
      </c>
      <c r="G702">
        <v>500</v>
      </c>
      <c r="H702">
        <v>1154868260</v>
      </c>
      <c r="I702">
        <v>498</v>
      </c>
      <c r="J702">
        <v>160.05000000000001</v>
      </c>
      <c r="K702">
        <v>5.4660000000000004E-3</v>
      </c>
      <c r="L702">
        <v>0.81</v>
      </c>
      <c r="M702">
        <v>103.3</v>
      </c>
      <c r="N702">
        <f t="shared" si="15"/>
        <v>2.8825256534366073E-3</v>
      </c>
      <c r="O702">
        <f t="shared" si="16"/>
        <v>4.1964181994191829E-3</v>
      </c>
      <c r="P702">
        <f t="shared" si="17"/>
        <v>-1.3138925459825757E-3</v>
      </c>
    </row>
    <row r="703" spans="1:16" x14ac:dyDescent="0.35">
      <c r="A703" s="1">
        <v>30833</v>
      </c>
      <c r="B703">
        <v>-5.3130999999999998E-2</v>
      </c>
      <c r="C703">
        <v>-5.9544E-2</v>
      </c>
      <c r="D703">
        <v>-5.8790000000000002E-2</v>
      </c>
      <c r="E703">
        <v>-6.3506999999999994E-2</v>
      </c>
      <c r="F703">
        <v>1094470780</v>
      </c>
      <c r="G703">
        <v>500</v>
      </c>
      <c r="H703">
        <v>1163827220</v>
      </c>
      <c r="I703">
        <v>500</v>
      </c>
      <c r="J703">
        <v>150.55000000000001</v>
      </c>
      <c r="K703">
        <v>-5.9355999999999999E-2</v>
      </c>
      <c r="L703">
        <v>0.78</v>
      </c>
      <c r="M703">
        <v>103.5</v>
      </c>
      <c r="N703">
        <f t="shared" si="15"/>
        <v>-5.4960698550724607E-2</v>
      </c>
      <c r="O703">
        <f t="shared" si="16"/>
        <v>5.8525603864734155E-3</v>
      </c>
      <c r="P703">
        <f t="shared" si="17"/>
        <v>-6.0813258937198023E-2</v>
      </c>
    </row>
    <row r="704" spans="1:16" x14ac:dyDescent="0.35">
      <c r="A704" s="1">
        <v>30862</v>
      </c>
      <c r="B704">
        <v>2.2936999999999999E-2</v>
      </c>
      <c r="C704">
        <v>1.8709E-2</v>
      </c>
      <c r="D704">
        <v>3.1563000000000001E-2</v>
      </c>
      <c r="E704">
        <v>2.7845999999999999E-2</v>
      </c>
      <c r="F704">
        <v>1100459790</v>
      </c>
      <c r="G704">
        <v>500</v>
      </c>
      <c r="H704">
        <v>1082151670</v>
      </c>
      <c r="I704">
        <v>499</v>
      </c>
      <c r="J704">
        <v>153.18</v>
      </c>
      <c r="K704">
        <v>1.7468999999999998E-2</v>
      </c>
      <c r="L704">
        <v>0.75</v>
      </c>
      <c r="M704">
        <v>103.7</v>
      </c>
      <c r="N704">
        <f t="shared" si="15"/>
        <v>2.0964122468659641E-2</v>
      </c>
      <c r="O704">
        <f t="shared" si="16"/>
        <v>5.5568948891031589E-3</v>
      </c>
      <c r="P704">
        <f t="shared" si="17"/>
        <v>1.5407227579556482E-2</v>
      </c>
    </row>
    <row r="705" spans="1:16" x14ac:dyDescent="0.35">
      <c r="A705" s="1">
        <v>30894</v>
      </c>
      <c r="B705">
        <v>-1.3764999999999999E-2</v>
      </c>
      <c r="C705">
        <v>-1.5640999999999999E-2</v>
      </c>
      <c r="D705">
        <v>-2.9441999999999999E-2</v>
      </c>
      <c r="E705">
        <v>-3.1390000000000001E-2</v>
      </c>
      <c r="F705">
        <v>1087618390</v>
      </c>
      <c r="G705">
        <v>500</v>
      </c>
      <c r="H705">
        <v>1104372300</v>
      </c>
      <c r="I705">
        <v>500</v>
      </c>
      <c r="J705">
        <v>150.66</v>
      </c>
      <c r="K705">
        <v>-1.6451E-2</v>
      </c>
      <c r="L705">
        <v>0.82</v>
      </c>
      <c r="M705">
        <v>104.1</v>
      </c>
      <c r="N705">
        <f t="shared" si="15"/>
        <v>-1.7554567723342851E-2</v>
      </c>
      <c r="O705">
        <f t="shared" si="16"/>
        <v>4.3260326609031452E-3</v>
      </c>
      <c r="P705">
        <f t="shared" si="17"/>
        <v>-2.1880600384245996E-2</v>
      </c>
    </row>
    <row r="706" spans="1:16" x14ac:dyDescent="0.35">
      <c r="A706" s="1">
        <v>30925</v>
      </c>
      <c r="B706">
        <v>0.112438</v>
      </c>
      <c r="C706">
        <v>0.105753</v>
      </c>
      <c r="D706">
        <v>0.12825700000000001</v>
      </c>
      <c r="E706">
        <v>0.12306400000000001</v>
      </c>
      <c r="F706">
        <v>1200703690</v>
      </c>
      <c r="G706">
        <v>500</v>
      </c>
      <c r="H706">
        <v>1086047540</v>
      </c>
      <c r="I706">
        <v>500</v>
      </c>
      <c r="J706">
        <v>166.68</v>
      </c>
      <c r="K706">
        <v>0.106332</v>
      </c>
      <c r="L706">
        <v>0.83</v>
      </c>
      <c r="M706">
        <v>104.4</v>
      </c>
      <c r="N706">
        <f t="shared" si="15"/>
        <v>0.10924133908045963</v>
      </c>
      <c r="O706">
        <f t="shared" si="16"/>
        <v>5.4025862068964869E-3</v>
      </c>
      <c r="P706">
        <f t="shared" si="17"/>
        <v>0.10383875287356314</v>
      </c>
    </row>
    <row r="707" spans="1:16" x14ac:dyDescent="0.35">
      <c r="A707" s="1">
        <v>30953</v>
      </c>
      <c r="B707">
        <v>-6.3999999999999997E-5</v>
      </c>
      <c r="C707">
        <v>-3.2919999999999998E-3</v>
      </c>
      <c r="D707">
        <v>3.49E-3</v>
      </c>
      <c r="E707">
        <v>5.5000000000000003E-4</v>
      </c>
      <c r="F707">
        <v>1197100670</v>
      </c>
      <c r="G707">
        <v>500</v>
      </c>
      <c r="H707">
        <v>1200313560</v>
      </c>
      <c r="I707">
        <v>499</v>
      </c>
      <c r="J707">
        <v>166.1</v>
      </c>
      <c r="K707">
        <v>-3.48E-3</v>
      </c>
      <c r="L707">
        <v>0.86</v>
      </c>
      <c r="M707">
        <v>104.7</v>
      </c>
      <c r="N707">
        <f t="shared" si="15"/>
        <v>-2.9291461318050604E-3</v>
      </c>
      <c r="O707">
        <f t="shared" si="16"/>
        <v>5.7100286532949518E-3</v>
      </c>
      <c r="P707">
        <f t="shared" si="17"/>
        <v>-8.6391747851000122E-3</v>
      </c>
    </row>
    <row r="708" spans="1:16" x14ac:dyDescent="0.35">
      <c r="A708" s="1">
        <v>30986</v>
      </c>
      <c r="B708">
        <v>3.3310000000000002E-3</v>
      </c>
      <c r="C708">
        <v>2.1599999999999999E-4</v>
      </c>
      <c r="D708">
        <v>6.0999999999999997E-4</v>
      </c>
      <c r="E708">
        <v>-1.619E-3</v>
      </c>
      <c r="F708">
        <v>1193390380</v>
      </c>
      <c r="G708">
        <v>500</v>
      </c>
      <c r="H708">
        <v>1192934180</v>
      </c>
      <c r="I708">
        <v>500</v>
      </c>
      <c r="J708">
        <v>166.09</v>
      </c>
      <c r="K708">
        <v>-6.0000000000000002E-5</v>
      </c>
      <c r="L708">
        <v>1</v>
      </c>
      <c r="M708">
        <v>105.1</v>
      </c>
      <c r="N708">
        <f t="shared" si="15"/>
        <v>-4.8757659372022921E-4</v>
      </c>
      <c r="O708">
        <f t="shared" si="16"/>
        <v>6.1560418648907156E-3</v>
      </c>
      <c r="P708">
        <f t="shared" si="17"/>
        <v>-6.6436184586109448E-3</v>
      </c>
    </row>
    <row r="709" spans="1:16" x14ac:dyDescent="0.35">
      <c r="A709" s="1">
        <v>31016</v>
      </c>
      <c r="B709">
        <v>-9.8410000000000008E-3</v>
      </c>
      <c r="C709">
        <v>-1.495E-2</v>
      </c>
      <c r="D709">
        <v>-3.016E-3</v>
      </c>
      <c r="E709">
        <v>-7.2659999999999999E-3</v>
      </c>
      <c r="F709">
        <v>1173894250</v>
      </c>
      <c r="G709">
        <v>500</v>
      </c>
      <c r="H709">
        <v>1192782710</v>
      </c>
      <c r="I709">
        <v>500</v>
      </c>
      <c r="J709">
        <v>163.58000000000001</v>
      </c>
      <c r="K709">
        <v>-1.5112E-2</v>
      </c>
      <c r="L709">
        <v>0.73</v>
      </c>
      <c r="M709">
        <v>105.3</v>
      </c>
      <c r="N709">
        <f t="shared" si="15"/>
        <v>-1.1721643874643806E-2</v>
      </c>
      <c r="O709">
        <f t="shared" si="16"/>
        <v>5.3867996201331092E-3</v>
      </c>
      <c r="P709">
        <f t="shared" si="17"/>
        <v>-1.7108443494776915E-2</v>
      </c>
    </row>
    <row r="710" spans="1:16" x14ac:dyDescent="0.35">
      <c r="A710" s="1">
        <v>31047</v>
      </c>
      <c r="B710">
        <v>2.5555999999999999E-2</v>
      </c>
      <c r="C710">
        <v>2.1843000000000001E-2</v>
      </c>
      <c r="D710">
        <v>2.4721E-2</v>
      </c>
      <c r="E710">
        <v>2.1253000000000001E-2</v>
      </c>
      <c r="F710">
        <v>1197609540</v>
      </c>
      <c r="G710">
        <v>500</v>
      </c>
      <c r="H710">
        <v>1172840990</v>
      </c>
      <c r="I710">
        <v>499</v>
      </c>
      <c r="J710">
        <v>167.24</v>
      </c>
      <c r="K710">
        <v>2.2374000000000002E-2</v>
      </c>
      <c r="L710">
        <v>0.64</v>
      </c>
      <c r="M710">
        <v>105.5</v>
      </c>
      <c r="N710">
        <f t="shared" si="15"/>
        <v>2.3611818009478647E-2</v>
      </c>
      <c r="O710">
        <f t="shared" si="16"/>
        <v>4.4921327014217916E-3</v>
      </c>
      <c r="P710">
        <f t="shared" si="17"/>
        <v>1.9119685308056855E-2</v>
      </c>
    </row>
    <row r="711" spans="1:16" x14ac:dyDescent="0.35">
      <c r="A711" s="1">
        <v>31078</v>
      </c>
      <c r="B711">
        <v>7.6868000000000006E-2</v>
      </c>
      <c r="C711">
        <v>7.4736999999999998E-2</v>
      </c>
      <c r="D711">
        <v>9.4719999999999999E-2</v>
      </c>
      <c r="E711">
        <v>9.2789999999999997E-2</v>
      </c>
      <c r="F711">
        <v>1285818410</v>
      </c>
      <c r="G711">
        <v>500</v>
      </c>
      <c r="H711">
        <v>1196414530</v>
      </c>
      <c r="I711">
        <v>500</v>
      </c>
      <c r="J711">
        <v>179.63</v>
      </c>
      <c r="K711">
        <v>7.4084999999999998E-2</v>
      </c>
      <c r="L711">
        <v>0.65</v>
      </c>
      <c r="M711">
        <v>105.7</v>
      </c>
      <c r="N711">
        <f t="shared" si="15"/>
        <v>7.4830406811731143E-2</v>
      </c>
      <c r="O711">
        <f t="shared" si="16"/>
        <v>4.5955534531691988E-3</v>
      </c>
      <c r="P711">
        <f t="shared" si="17"/>
        <v>7.0234853358561944E-2</v>
      </c>
    </row>
    <row r="712" spans="1:16" x14ac:dyDescent="0.35">
      <c r="A712" s="1">
        <v>31106</v>
      </c>
      <c r="B712">
        <v>1.4166E-2</v>
      </c>
      <c r="C712">
        <v>8.8859999999999998E-3</v>
      </c>
      <c r="D712">
        <v>9.7900000000000001E-3</v>
      </c>
      <c r="E712">
        <v>5.8770000000000003E-3</v>
      </c>
      <c r="F712">
        <v>1297564690</v>
      </c>
      <c r="G712">
        <v>500</v>
      </c>
      <c r="H712">
        <v>1286269340</v>
      </c>
      <c r="I712">
        <v>500</v>
      </c>
      <c r="J712">
        <v>181.19</v>
      </c>
      <c r="K712">
        <v>8.685E-3</v>
      </c>
      <c r="L712">
        <v>0.57999999999999996</v>
      </c>
      <c r="M712">
        <v>106.3</v>
      </c>
      <c r="N712">
        <f t="shared" si="15"/>
        <v>8.4416387582313401E-3</v>
      </c>
      <c r="O712">
        <f t="shared" si="16"/>
        <v>1.2285983066795403E-4</v>
      </c>
      <c r="P712">
        <f t="shared" si="17"/>
        <v>8.3187789275633861E-3</v>
      </c>
    </row>
    <row r="713" spans="1:16" x14ac:dyDescent="0.35">
      <c r="A713" s="1">
        <v>31135</v>
      </c>
      <c r="B713">
        <v>-6.3599999999999996E-4</v>
      </c>
      <c r="C713">
        <v>-3.98E-3</v>
      </c>
      <c r="D713">
        <v>-3.5929999999999998E-3</v>
      </c>
      <c r="E713">
        <v>-6.6559999999999996E-3</v>
      </c>
      <c r="F713">
        <v>1289551970</v>
      </c>
      <c r="G713">
        <v>500</v>
      </c>
      <c r="H713">
        <v>1296368440</v>
      </c>
      <c r="I713">
        <v>499</v>
      </c>
      <c r="J713">
        <v>180.66</v>
      </c>
      <c r="K713">
        <v>-2.9250000000000001E-3</v>
      </c>
      <c r="L713">
        <v>0.62</v>
      </c>
      <c r="M713">
        <v>106.8</v>
      </c>
      <c r="N713">
        <f t="shared" si="15"/>
        <v>-5.3146704119849675E-3</v>
      </c>
      <c r="O713">
        <f t="shared" si="16"/>
        <v>1.489325842696676E-3</v>
      </c>
      <c r="P713">
        <f t="shared" si="17"/>
        <v>-6.8039962546816435E-3</v>
      </c>
    </row>
    <row r="714" spans="1:16" x14ac:dyDescent="0.35">
      <c r="A714" s="1">
        <v>31167</v>
      </c>
      <c r="B714">
        <v>-3.7039999999999998E-3</v>
      </c>
      <c r="C714">
        <v>-5.4130000000000003E-3</v>
      </c>
      <c r="D714">
        <v>-1.1623E-2</v>
      </c>
      <c r="E714">
        <v>-1.3323E-2</v>
      </c>
      <c r="F714">
        <v>1285298480</v>
      </c>
      <c r="G714">
        <v>500</v>
      </c>
      <c r="H714">
        <v>1291451790</v>
      </c>
      <c r="I714">
        <v>500</v>
      </c>
      <c r="J714">
        <v>179.83</v>
      </c>
      <c r="K714">
        <v>-4.594E-3</v>
      </c>
      <c r="L714">
        <v>0.72</v>
      </c>
      <c r="M714">
        <v>107</v>
      </c>
      <c r="N714">
        <f t="shared" si="15"/>
        <v>-5.5662355140188025E-3</v>
      </c>
      <c r="O714">
        <f t="shared" si="16"/>
        <v>5.3173831775701341E-3</v>
      </c>
      <c r="P714">
        <f t="shared" si="17"/>
        <v>-1.0883618691588937E-2</v>
      </c>
    </row>
    <row r="715" spans="1:16" x14ac:dyDescent="0.35">
      <c r="A715" s="1">
        <v>31198</v>
      </c>
      <c r="B715">
        <v>6.2740000000000004E-2</v>
      </c>
      <c r="C715">
        <v>5.6847000000000002E-2</v>
      </c>
      <c r="D715">
        <v>6.6695000000000004E-2</v>
      </c>
      <c r="E715">
        <v>6.2521999999999994E-2</v>
      </c>
      <c r="F715">
        <v>1353227680</v>
      </c>
      <c r="G715">
        <v>500</v>
      </c>
      <c r="H715">
        <v>1284835860</v>
      </c>
      <c r="I715">
        <v>500</v>
      </c>
      <c r="J715">
        <v>189.55</v>
      </c>
      <c r="K715">
        <v>5.4051000000000002E-2</v>
      </c>
      <c r="L715">
        <v>0.66</v>
      </c>
      <c r="M715">
        <v>107.2</v>
      </c>
      <c r="N715">
        <f t="shared" si="15"/>
        <v>6.075727611940307E-2</v>
      </c>
      <c r="O715">
        <f t="shared" si="16"/>
        <v>4.7220149253730526E-3</v>
      </c>
      <c r="P715">
        <f t="shared" si="17"/>
        <v>5.6035261194030017E-2</v>
      </c>
    </row>
    <row r="716" spans="1:16" x14ac:dyDescent="0.35">
      <c r="A716" s="1">
        <v>31226</v>
      </c>
      <c r="B716">
        <v>1.6064999999999999E-2</v>
      </c>
      <c r="C716">
        <v>1.2925000000000001E-2</v>
      </c>
      <c r="D716">
        <v>1.4504E-2</v>
      </c>
      <c r="E716">
        <v>1.1597E-2</v>
      </c>
      <c r="F716">
        <v>1354417850</v>
      </c>
      <c r="G716">
        <v>500</v>
      </c>
      <c r="H716">
        <v>1336915320</v>
      </c>
      <c r="I716">
        <v>500</v>
      </c>
      <c r="J716">
        <v>191.85</v>
      </c>
      <c r="K716">
        <v>1.2134000000000001E-2</v>
      </c>
      <c r="L716">
        <v>0.55000000000000004</v>
      </c>
      <c r="M716">
        <v>107.5</v>
      </c>
      <c r="N716">
        <f t="shared" si="15"/>
        <v>1.3229469767441771E-2</v>
      </c>
      <c r="O716">
        <f t="shared" si="16"/>
        <v>2.6939534883720917E-3</v>
      </c>
      <c r="P716">
        <f t="shared" si="17"/>
        <v>1.0535516279069679E-2</v>
      </c>
    </row>
    <row r="717" spans="1:16" x14ac:dyDescent="0.35">
      <c r="A717" s="1">
        <v>31259</v>
      </c>
      <c r="B717">
        <v>-3.3210000000000002E-3</v>
      </c>
      <c r="C717">
        <v>-5.2350000000000001E-3</v>
      </c>
      <c r="D717">
        <v>9.2429999999999995E-3</v>
      </c>
      <c r="E717">
        <v>7.4570000000000001E-3</v>
      </c>
      <c r="F717">
        <v>1347352940</v>
      </c>
      <c r="G717">
        <v>500</v>
      </c>
      <c r="H717">
        <v>1355121780</v>
      </c>
      <c r="I717">
        <v>500</v>
      </c>
      <c r="J717">
        <v>190.92</v>
      </c>
      <c r="K717">
        <v>-4.8479999999999999E-3</v>
      </c>
      <c r="L717">
        <v>0.62</v>
      </c>
      <c r="M717">
        <v>107.7</v>
      </c>
      <c r="N717">
        <f t="shared" si="15"/>
        <v>-5.1718430826370732E-3</v>
      </c>
      <c r="O717">
        <f t="shared" si="16"/>
        <v>4.3314763231196984E-3</v>
      </c>
      <c r="P717">
        <f t="shared" si="17"/>
        <v>-9.5033194057567716E-3</v>
      </c>
    </row>
    <row r="718" spans="1:16" x14ac:dyDescent="0.35">
      <c r="A718" s="1">
        <v>31289</v>
      </c>
      <c r="B718">
        <v>-6.4729999999999996E-3</v>
      </c>
      <c r="C718">
        <v>-1.1871E-2</v>
      </c>
      <c r="D718">
        <v>-8.3809999999999996E-3</v>
      </c>
      <c r="E718">
        <v>-1.2437E-2</v>
      </c>
      <c r="F718">
        <v>1329905880</v>
      </c>
      <c r="G718">
        <v>500</v>
      </c>
      <c r="H718">
        <v>1346366990</v>
      </c>
      <c r="I718">
        <v>500</v>
      </c>
      <c r="J718">
        <v>188.63</v>
      </c>
      <c r="K718">
        <v>-1.1995E-2</v>
      </c>
      <c r="L718">
        <v>0.55000000000000004</v>
      </c>
      <c r="M718">
        <v>107.9</v>
      </c>
      <c r="N718">
        <f t="shared" si="15"/>
        <v>-8.3145699721964839E-3</v>
      </c>
      <c r="O718">
        <f t="shared" si="16"/>
        <v>3.6362372567193546E-3</v>
      </c>
      <c r="P718">
        <f t="shared" si="17"/>
        <v>-1.1950807228915838E-2</v>
      </c>
    </row>
    <row r="719" spans="1:16" x14ac:dyDescent="0.35">
      <c r="A719" s="1">
        <v>31320</v>
      </c>
      <c r="B719">
        <v>-3.3248E-2</v>
      </c>
      <c r="C719">
        <v>-3.6197E-2</v>
      </c>
      <c r="D719">
        <v>-4.4998999999999997E-2</v>
      </c>
      <c r="E719">
        <v>-4.7550000000000002E-2</v>
      </c>
      <c r="F719">
        <v>1276501990</v>
      </c>
      <c r="G719">
        <v>500</v>
      </c>
      <c r="H719">
        <v>1322691570</v>
      </c>
      <c r="I719">
        <v>500</v>
      </c>
      <c r="J719">
        <v>182.08</v>
      </c>
      <c r="K719">
        <v>-3.4723999999999998E-2</v>
      </c>
      <c r="L719">
        <v>0.6</v>
      </c>
      <c r="M719">
        <v>108.1</v>
      </c>
      <c r="N719">
        <f t="shared" si="15"/>
        <v>-3.5036625346900885E-2</v>
      </c>
      <c r="O719">
        <f t="shared" si="16"/>
        <v>4.1387604070306505E-3</v>
      </c>
      <c r="P719">
        <f t="shared" si="17"/>
        <v>-3.9175385753931535E-2</v>
      </c>
    </row>
    <row r="720" spans="1:16" x14ac:dyDescent="0.35">
      <c r="A720" s="1">
        <v>31351</v>
      </c>
      <c r="B720">
        <v>4.5079000000000001E-2</v>
      </c>
      <c r="C720">
        <v>4.2653000000000003E-2</v>
      </c>
      <c r="D720">
        <v>4.2570999999999998E-2</v>
      </c>
      <c r="E720">
        <v>4.0654000000000003E-2</v>
      </c>
      <c r="F720">
        <v>1333602110</v>
      </c>
      <c r="G720">
        <v>500</v>
      </c>
      <c r="H720">
        <v>1278748340</v>
      </c>
      <c r="I720">
        <v>500</v>
      </c>
      <c r="J720">
        <v>189.82</v>
      </c>
      <c r="K720">
        <v>4.2508999999999998E-2</v>
      </c>
      <c r="L720">
        <v>0.65</v>
      </c>
      <c r="M720">
        <v>108.5</v>
      </c>
      <c r="N720">
        <f t="shared" si="15"/>
        <v>4.1226174193548459E-2</v>
      </c>
      <c r="O720">
        <f t="shared" si="16"/>
        <v>2.7894009216589133E-3</v>
      </c>
      <c r="P720">
        <f t="shared" si="17"/>
        <v>3.8436773271889546E-2</v>
      </c>
    </row>
    <row r="721" spans="1:16" x14ac:dyDescent="0.35">
      <c r="A721" s="1">
        <v>31380</v>
      </c>
      <c r="B721">
        <v>7.1887000000000006E-2</v>
      </c>
      <c r="C721">
        <v>6.6629999999999995E-2</v>
      </c>
      <c r="D721">
        <v>7.4397000000000005E-2</v>
      </c>
      <c r="E721">
        <v>7.0386000000000004E-2</v>
      </c>
      <c r="F721">
        <v>1410949630</v>
      </c>
      <c r="G721">
        <v>500</v>
      </c>
      <c r="H721">
        <v>1325172250</v>
      </c>
      <c r="I721">
        <v>500</v>
      </c>
      <c r="J721">
        <v>202.17</v>
      </c>
      <c r="K721">
        <v>6.5061999999999995E-2</v>
      </c>
      <c r="L721">
        <v>0.61</v>
      </c>
      <c r="M721">
        <v>109</v>
      </c>
      <c r="N721">
        <f t="shared" si="15"/>
        <v>6.6970087155963309E-2</v>
      </c>
      <c r="O721">
        <f t="shared" si="16"/>
        <v>1.4848623853211951E-3</v>
      </c>
      <c r="P721">
        <f t="shared" si="17"/>
        <v>6.5485224770642114E-2</v>
      </c>
    </row>
    <row r="722" spans="1:16" x14ac:dyDescent="0.35">
      <c r="A722" s="1">
        <v>31412</v>
      </c>
      <c r="B722">
        <v>4.8155999999999997E-2</v>
      </c>
      <c r="C722">
        <v>4.5156000000000002E-2</v>
      </c>
      <c r="D722">
        <v>4.3534999999999997E-2</v>
      </c>
      <c r="E722">
        <v>4.0813000000000002E-2</v>
      </c>
      <c r="F722">
        <v>1480667030</v>
      </c>
      <c r="G722">
        <v>500</v>
      </c>
      <c r="H722">
        <v>1409075500</v>
      </c>
      <c r="I722">
        <v>500</v>
      </c>
      <c r="J722">
        <v>211.28</v>
      </c>
      <c r="K722">
        <v>4.5060999999999997E-2</v>
      </c>
      <c r="L722">
        <v>0.65</v>
      </c>
      <c r="M722">
        <v>109.5</v>
      </c>
      <c r="N722">
        <f t="shared" si="15"/>
        <v>4.3369899543379109E-2</v>
      </c>
      <c r="O722">
        <f t="shared" si="16"/>
        <v>1.9041095890410809E-3</v>
      </c>
      <c r="P722">
        <f t="shared" si="17"/>
        <v>4.1465789954338028E-2</v>
      </c>
    </row>
    <row r="723" spans="1:16" x14ac:dyDescent="0.35">
      <c r="A723" s="1">
        <v>31443</v>
      </c>
      <c r="B723">
        <v>4.7060000000000001E-3</v>
      </c>
      <c r="C723">
        <v>2.9619999999999998E-3</v>
      </c>
      <c r="D723">
        <v>1.6882000000000001E-2</v>
      </c>
      <c r="E723">
        <v>1.5342E-2</v>
      </c>
      <c r="F723">
        <v>1484606310</v>
      </c>
      <c r="G723">
        <v>500</v>
      </c>
      <c r="H723">
        <v>1479819170</v>
      </c>
      <c r="I723">
        <v>500</v>
      </c>
      <c r="J723">
        <v>211.78</v>
      </c>
      <c r="K723">
        <v>2.3670000000000002E-3</v>
      </c>
      <c r="L723">
        <v>0.56000000000000005</v>
      </c>
      <c r="M723">
        <v>109.9</v>
      </c>
      <c r="N723">
        <f t="shared" si="15"/>
        <v>1.0491992720655929E-3</v>
      </c>
      <c r="O723">
        <f t="shared" si="16"/>
        <v>1.9399454049136011E-3</v>
      </c>
      <c r="P723">
        <f t="shared" si="17"/>
        <v>-8.9074613284800819E-4</v>
      </c>
    </row>
    <row r="724" spans="1:16" x14ac:dyDescent="0.35">
      <c r="A724" s="1">
        <v>31471</v>
      </c>
      <c r="B724">
        <v>7.6524999999999996E-2</v>
      </c>
      <c r="C724">
        <v>7.1555999999999995E-2</v>
      </c>
      <c r="D724">
        <v>8.0965999999999996E-2</v>
      </c>
      <c r="E724">
        <v>7.7508999999999995E-2</v>
      </c>
      <c r="F724">
        <v>1589622680</v>
      </c>
      <c r="G724">
        <v>500</v>
      </c>
      <c r="H724">
        <v>1482508790</v>
      </c>
      <c r="I724">
        <v>500</v>
      </c>
      <c r="J724">
        <v>226.92</v>
      </c>
      <c r="K724">
        <v>7.1488999999999997E-2</v>
      </c>
      <c r="L724">
        <v>0.53</v>
      </c>
      <c r="M724">
        <v>109.7</v>
      </c>
      <c r="N724">
        <f t="shared" si="15"/>
        <v>7.8487670920692754E-2</v>
      </c>
      <c r="O724">
        <f t="shared" si="16"/>
        <v>7.1328167730175807E-3</v>
      </c>
      <c r="P724">
        <f t="shared" si="17"/>
        <v>7.1354854147675173E-2</v>
      </c>
    </row>
    <row r="725" spans="1:16" x14ac:dyDescent="0.35">
      <c r="A725" s="1">
        <v>31502</v>
      </c>
      <c r="B725">
        <v>5.5832E-2</v>
      </c>
      <c r="C725">
        <v>5.3319999999999999E-2</v>
      </c>
      <c r="D725">
        <v>6.0394000000000003E-2</v>
      </c>
      <c r="E725">
        <v>5.8049000000000003E-2</v>
      </c>
      <c r="F725">
        <v>1671573890</v>
      </c>
      <c r="G725">
        <v>500</v>
      </c>
      <c r="H725">
        <v>1588343210</v>
      </c>
      <c r="I725">
        <v>499</v>
      </c>
      <c r="J725">
        <v>238.9</v>
      </c>
      <c r="K725">
        <v>5.2794000000000001E-2</v>
      </c>
      <c r="L725">
        <v>0.6</v>
      </c>
      <c r="M725">
        <v>109.1</v>
      </c>
      <c r="N725">
        <f t="shared" si="15"/>
        <v>6.1638592117323698E-2</v>
      </c>
      <c r="O725">
        <f t="shared" si="16"/>
        <v>1.1532538955087102E-2</v>
      </c>
      <c r="P725">
        <f t="shared" si="17"/>
        <v>5.0106053162236597E-2</v>
      </c>
    </row>
    <row r="726" spans="1:16" x14ac:dyDescent="0.35">
      <c r="A726" s="1">
        <v>31532</v>
      </c>
      <c r="B726">
        <v>-1.3348E-2</v>
      </c>
      <c r="C726">
        <v>-1.5054E-2</v>
      </c>
      <c r="D726">
        <v>-1.9923E-2</v>
      </c>
      <c r="E726">
        <v>-2.138E-2</v>
      </c>
      <c r="F726">
        <v>1642760880</v>
      </c>
      <c r="G726">
        <v>500</v>
      </c>
      <c r="H726">
        <v>1668204960</v>
      </c>
      <c r="I726">
        <v>499</v>
      </c>
      <c r="J726">
        <v>235.52</v>
      </c>
      <c r="K726">
        <v>-1.4148000000000001E-2</v>
      </c>
      <c r="L726">
        <v>0.52</v>
      </c>
      <c r="M726">
        <v>108.7</v>
      </c>
      <c r="N726">
        <f t="shared" si="15"/>
        <v>-9.7172658693653879E-3</v>
      </c>
      <c r="O726">
        <f t="shared" si="16"/>
        <v>8.898988040478395E-3</v>
      </c>
      <c r="P726">
        <f t="shared" si="17"/>
        <v>-1.8616253909843783E-2</v>
      </c>
    </row>
    <row r="727" spans="1:16" x14ac:dyDescent="0.35">
      <c r="A727" s="1">
        <v>31562</v>
      </c>
      <c r="B727">
        <v>5.5326E-2</v>
      </c>
      <c r="C727">
        <v>5.0804000000000002E-2</v>
      </c>
      <c r="D727">
        <v>5.7889000000000003E-2</v>
      </c>
      <c r="E727">
        <v>5.4503999999999997E-2</v>
      </c>
      <c r="F727">
        <v>1724749350</v>
      </c>
      <c r="G727">
        <v>500</v>
      </c>
      <c r="H727">
        <v>1644868210</v>
      </c>
      <c r="I727">
        <v>500</v>
      </c>
      <c r="J727">
        <v>247.35</v>
      </c>
      <c r="K727">
        <v>5.0229000000000003E-2</v>
      </c>
      <c r="L727">
        <v>0.49</v>
      </c>
      <c r="M727">
        <v>109</v>
      </c>
      <c r="N727">
        <f t="shared" si="15"/>
        <v>5.2421433027523001E-2</v>
      </c>
      <c r="O727">
        <f t="shared" si="16"/>
        <v>2.1342201834861907E-3</v>
      </c>
      <c r="P727">
        <f t="shared" si="17"/>
        <v>5.028721284403681E-2</v>
      </c>
    </row>
    <row r="728" spans="1:16" x14ac:dyDescent="0.35">
      <c r="A728" s="1">
        <v>31593</v>
      </c>
      <c r="B728">
        <v>1.5744000000000001E-2</v>
      </c>
      <c r="C728">
        <v>1.3310000000000001E-2</v>
      </c>
      <c r="D728">
        <v>1.9740000000000001E-3</v>
      </c>
      <c r="E728">
        <v>-1.4899999999999999E-4</v>
      </c>
      <c r="F728">
        <v>1748550190</v>
      </c>
      <c r="G728">
        <v>500</v>
      </c>
      <c r="H728">
        <v>1718438020</v>
      </c>
      <c r="I728">
        <v>499</v>
      </c>
      <c r="J728">
        <v>250.84</v>
      </c>
      <c r="K728">
        <v>1.4109999999999999E-2</v>
      </c>
      <c r="L728">
        <v>0.52</v>
      </c>
      <c r="M728">
        <v>109.4</v>
      </c>
      <c r="N728">
        <f t="shared" si="15"/>
        <v>1.2030127970749538E-2</v>
      </c>
      <c r="O728">
        <f t="shared" si="16"/>
        <v>1.5246800731261168E-3</v>
      </c>
      <c r="P728">
        <f t="shared" si="17"/>
        <v>1.0505447897623421E-2</v>
      </c>
    </row>
    <row r="729" spans="1:16" x14ac:dyDescent="0.35">
      <c r="A729" s="1">
        <v>31624</v>
      </c>
      <c r="B729">
        <v>-5.7541000000000002E-2</v>
      </c>
      <c r="C729">
        <v>-5.9378E-2</v>
      </c>
      <c r="D729">
        <v>-7.5329999999999994E-2</v>
      </c>
      <c r="E729">
        <v>-7.6817999999999997E-2</v>
      </c>
      <c r="F729">
        <v>1652188980</v>
      </c>
      <c r="G729">
        <v>500</v>
      </c>
      <c r="H729">
        <v>1748786110</v>
      </c>
      <c r="I729">
        <v>499</v>
      </c>
      <c r="J729">
        <v>236.12</v>
      </c>
      <c r="K729">
        <v>-5.8682999999999999E-2</v>
      </c>
      <c r="L729">
        <v>0.52</v>
      </c>
      <c r="M729">
        <v>109.5</v>
      </c>
      <c r="N729">
        <f t="shared" si="15"/>
        <v>-5.8401693150684886E-2</v>
      </c>
      <c r="O729">
        <f t="shared" si="16"/>
        <v>4.2820091324202725E-3</v>
      </c>
      <c r="P729">
        <f t="shared" si="17"/>
        <v>-6.2683702283105158E-2</v>
      </c>
    </row>
    <row r="730" spans="1:16" x14ac:dyDescent="0.35">
      <c r="A730" s="1">
        <v>31653</v>
      </c>
      <c r="B730">
        <v>7.4416999999999997E-2</v>
      </c>
      <c r="C730">
        <v>7.0075999999999999E-2</v>
      </c>
      <c r="D730">
        <v>7.7912999999999996E-2</v>
      </c>
      <c r="E730">
        <v>7.4543999999999999E-2</v>
      </c>
      <c r="F730">
        <v>1772686180</v>
      </c>
      <c r="G730">
        <v>500</v>
      </c>
      <c r="H730">
        <v>1653062200</v>
      </c>
      <c r="I730">
        <v>500</v>
      </c>
      <c r="J730">
        <v>252.93</v>
      </c>
      <c r="K730">
        <v>7.1193000000000006E-2</v>
      </c>
      <c r="L730">
        <v>0.46</v>
      </c>
      <c r="M730">
        <v>109.6</v>
      </c>
      <c r="N730">
        <f t="shared" si="15"/>
        <v>7.3436692518248137E-2</v>
      </c>
      <c r="O730">
        <f t="shared" si="16"/>
        <v>3.6833941605840526E-3</v>
      </c>
      <c r="P730">
        <f t="shared" si="17"/>
        <v>6.9753298357664084E-2</v>
      </c>
    </row>
    <row r="731" spans="1:16" x14ac:dyDescent="0.35">
      <c r="A731" s="1">
        <v>31685</v>
      </c>
      <c r="B731">
        <v>-8.3242999999999998E-2</v>
      </c>
      <c r="C731">
        <v>-8.5664000000000004E-2</v>
      </c>
      <c r="D731">
        <v>-7.1239999999999998E-2</v>
      </c>
      <c r="E731">
        <v>-7.3145000000000002E-2</v>
      </c>
      <c r="F731">
        <v>1617006670</v>
      </c>
      <c r="G731">
        <v>500</v>
      </c>
      <c r="H731">
        <v>1768816440</v>
      </c>
      <c r="I731">
        <v>500</v>
      </c>
      <c r="J731">
        <v>231.32</v>
      </c>
      <c r="K731">
        <v>-8.5439000000000001E-2</v>
      </c>
      <c r="L731">
        <v>0.45</v>
      </c>
      <c r="M731">
        <v>110</v>
      </c>
      <c r="N731">
        <f t="shared" ref="N731:N794" si="18">(1+B731)*M730/M731-1</f>
        <v>-8.6576661818181799E-2</v>
      </c>
      <c r="O731">
        <f t="shared" ref="O731:O794" si="19">(1+L731/100)*M730/M731-1</f>
        <v>8.4727272727258551E-4</v>
      </c>
      <c r="P731">
        <f t="shared" ref="P731:P794" si="20">N731-O731</f>
        <v>-8.7423934545454385E-2</v>
      </c>
    </row>
    <row r="732" spans="1:16" x14ac:dyDescent="0.35">
      <c r="A732" s="1">
        <v>31716</v>
      </c>
      <c r="B732">
        <v>5.6537999999999998E-2</v>
      </c>
      <c r="C732">
        <v>5.3813E-2</v>
      </c>
      <c r="D732">
        <v>6.3058000000000003E-2</v>
      </c>
      <c r="E732">
        <v>5.9845000000000002E-2</v>
      </c>
      <c r="F732">
        <v>1700190900</v>
      </c>
      <c r="G732">
        <v>500</v>
      </c>
      <c r="H732">
        <v>1614313450</v>
      </c>
      <c r="I732">
        <v>500</v>
      </c>
      <c r="J732">
        <v>243.98</v>
      </c>
      <c r="K732">
        <v>5.4729E-2</v>
      </c>
      <c r="L732">
        <v>0.46</v>
      </c>
      <c r="M732">
        <v>110.2</v>
      </c>
      <c r="N732">
        <f t="shared" si="18"/>
        <v>5.4620508166969062E-2</v>
      </c>
      <c r="O732">
        <f t="shared" si="19"/>
        <v>2.7767695099818468E-3</v>
      </c>
      <c r="P732">
        <f t="shared" si="20"/>
        <v>5.1843738656987215E-2</v>
      </c>
    </row>
    <row r="733" spans="1:16" x14ac:dyDescent="0.35">
      <c r="A733" s="1">
        <v>31744</v>
      </c>
      <c r="B733">
        <v>2.4875999999999999E-2</v>
      </c>
      <c r="C733">
        <v>1.9716999999999998E-2</v>
      </c>
      <c r="D733">
        <v>2.2384000000000001E-2</v>
      </c>
      <c r="E733">
        <v>1.8211999999999999E-2</v>
      </c>
      <c r="F733">
        <v>1731030070</v>
      </c>
      <c r="G733">
        <v>500</v>
      </c>
      <c r="H733">
        <v>1697652260</v>
      </c>
      <c r="I733">
        <v>500</v>
      </c>
      <c r="J733">
        <v>249.22</v>
      </c>
      <c r="K733">
        <v>2.1477E-2</v>
      </c>
      <c r="L733">
        <v>0.39</v>
      </c>
      <c r="M733">
        <v>110.4</v>
      </c>
      <c r="N733">
        <f t="shared" si="18"/>
        <v>2.3019340579710112E-2</v>
      </c>
      <c r="O733">
        <f t="shared" si="19"/>
        <v>2.0813405797102114E-3</v>
      </c>
      <c r="P733">
        <f t="shared" si="20"/>
        <v>2.0937999999999901E-2</v>
      </c>
    </row>
    <row r="734" spans="1:16" x14ac:dyDescent="0.35">
      <c r="A734" s="1">
        <v>31777</v>
      </c>
      <c r="B734">
        <v>-2.7512999999999999E-2</v>
      </c>
      <c r="C734">
        <v>-3.0173999999999999E-2</v>
      </c>
      <c r="D734">
        <v>-3.2350999999999998E-2</v>
      </c>
      <c r="E734">
        <v>-3.4728000000000002E-2</v>
      </c>
      <c r="F734">
        <v>1673969690</v>
      </c>
      <c r="G734">
        <v>500</v>
      </c>
      <c r="H734">
        <v>1729530810</v>
      </c>
      <c r="I734">
        <v>499</v>
      </c>
      <c r="J734">
        <v>242.17</v>
      </c>
      <c r="K734">
        <v>-2.8288000000000001E-2</v>
      </c>
      <c r="L734">
        <v>0.49</v>
      </c>
      <c r="M734">
        <v>110.8</v>
      </c>
      <c r="N734">
        <f t="shared" si="18"/>
        <v>-3.1023783393501758E-2</v>
      </c>
      <c r="O734">
        <f t="shared" si="19"/>
        <v>1.2722021660649396E-3</v>
      </c>
      <c r="P734">
        <f t="shared" si="20"/>
        <v>-3.2295985559566698E-2</v>
      </c>
    </row>
    <row r="735" spans="1:16" x14ac:dyDescent="0.35">
      <c r="A735" s="1">
        <v>31807</v>
      </c>
      <c r="B735">
        <v>0.135183</v>
      </c>
      <c r="C735">
        <v>0.13372400000000001</v>
      </c>
      <c r="D735">
        <v>0.141074</v>
      </c>
      <c r="E735">
        <v>0.139769</v>
      </c>
      <c r="F735">
        <v>1903806490</v>
      </c>
      <c r="G735">
        <v>500</v>
      </c>
      <c r="H735">
        <v>1675204730</v>
      </c>
      <c r="I735">
        <v>500</v>
      </c>
      <c r="J735">
        <v>274.08</v>
      </c>
      <c r="K735">
        <v>0.131767</v>
      </c>
      <c r="L735">
        <v>0.42</v>
      </c>
      <c r="M735">
        <v>111.4</v>
      </c>
      <c r="N735">
        <f t="shared" si="18"/>
        <v>0.12906890843806096</v>
      </c>
      <c r="O735">
        <f t="shared" si="19"/>
        <v>-1.208617594254946E-3</v>
      </c>
      <c r="P735">
        <f t="shared" si="20"/>
        <v>0.1302775260323159</v>
      </c>
    </row>
    <row r="736" spans="1:16" x14ac:dyDescent="0.35">
      <c r="A736" s="1">
        <v>31835</v>
      </c>
      <c r="B736">
        <v>4.1778000000000003E-2</v>
      </c>
      <c r="C736">
        <v>3.7844999999999997E-2</v>
      </c>
      <c r="D736">
        <v>5.9275000000000001E-2</v>
      </c>
      <c r="E736">
        <v>5.6598000000000002E-2</v>
      </c>
      <c r="F736">
        <v>1974781120</v>
      </c>
      <c r="G736">
        <v>500</v>
      </c>
      <c r="H736">
        <v>1902489610</v>
      </c>
      <c r="I736">
        <v>500</v>
      </c>
      <c r="J736">
        <v>284.2</v>
      </c>
      <c r="K736">
        <v>3.6923999999999998E-2</v>
      </c>
      <c r="L736">
        <v>0.43</v>
      </c>
      <c r="M736">
        <v>111.8</v>
      </c>
      <c r="N736">
        <f t="shared" si="18"/>
        <v>3.8050708407871392E-2</v>
      </c>
      <c r="O736">
        <f t="shared" si="19"/>
        <v>7.0679785330951539E-4</v>
      </c>
      <c r="P736">
        <f t="shared" si="20"/>
        <v>3.7343910554561877E-2</v>
      </c>
    </row>
    <row r="737" spans="1:16" x14ac:dyDescent="0.35">
      <c r="A737" s="1">
        <v>31867</v>
      </c>
      <c r="B737">
        <v>2.6335999999999998E-2</v>
      </c>
      <c r="C737">
        <v>2.3831999999999999E-2</v>
      </c>
      <c r="D737">
        <v>1.9910000000000001E-2</v>
      </c>
      <c r="E737">
        <v>1.7727E-2</v>
      </c>
      <c r="F737">
        <v>2023149540</v>
      </c>
      <c r="G737">
        <v>500</v>
      </c>
      <c r="H737">
        <v>1973485700</v>
      </c>
      <c r="I737">
        <v>500</v>
      </c>
      <c r="J737">
        <v>291.7</v>
      </c>
      <c r="K737">
        <v>2.639E-2</v>
      </c>
      <c r="L737">
        <v>0.47</v>
      </c>
      <c r="M737">
        <v>112.2</v>
      </c>
      <c r="N737">
        <f t="shared" si="18"/>
        <v>2.2677048128342037E-2</v>
      </c>
      <c r="O737">
        <f t="shared" si="19"/>
        <v>1.118181818181796E-3</v>
      </c>
      <c r="P737">
        <f t="shared" si="20"/>
        <v>2.1558866310160241E-2</v>
      </c>
    </row>
    <row r="738" spans="1:16" x14ac:dyDescent="0.35">
      <c r="A738" s="1">
        <v>31897</v>
      </c>
      <c r="B738">
        <v>-9.0449999999999992E-3</v>
      </c>
      <c r="C738">
        <v>-1.1093E-2</v>
      </c>
      <c r="D738">
        <v>-1.2616E-2</v>
      </c>
      <c r="E738">
        <v>-1.5321E-2</v>
      </c>
      <c r="F738">
        <v>2004505370</v>
      </c>
      <c r="G738">
        <v>500</v>
      </c>
      <c r="H738">
        <v>2024964530</v>
      </c>
      <c r="I738">
        <v>499</v>
      </c>
      <c r="J738">
        <v>288.36</v>
      </c>
      <c r="K738">
        <v>-1.145E-2</v>
      </c>
      <c r="L738">
        <v>0.44</v>
      </c>
      <c r="M738">
        <v>112.7</v>
      </c>
      <c r="N738">
        <f t="shared" si="18"/>
        <v>-1.3441428571428604E-2</v>
      </c>
      <c r="O738">
        <f t="shared" si="19"/>
        <v>-5.6078083407351542E-5</v>
      </c>
      <c r="P738">
        <f t="shared" si="20"/>
        <v>-1.3385350488021253E-2</v>
      </c>
    </row>
    <row r="739" spans="1:16" x14ac:dyDescent="0.35">
      <c r="A739" s="1">
        <v>31926</v>
      </c>
      <c r="B739">
        <v>9.1280000000000007E-3</v>
      </c>
      <c r="C739">
        <v>5.1989999999999996E-3</v>
      </c>
      <c r="D739">
        <v>1.2787E-2</v>
      </c>
      <c r="E739">
        <v>1.0011000000000001E-2</v>
      </c>
      <c r="F739">
        <v>2014116250</v>
      </c>
      <c r="G739">
        <v>500</v>
      </c>
      <c r="H739">
        <v>2004326900</v>
      </c>
      <c r="I739">
        <v>500</v>
      </c>
      <c r="J739">
        <v>290.10000000000002</v>
      </c>
      <c r="K739">
        <v>6.0340000000000003E-3</v>
      </c>
      <c r="L739">
        <v>0.38</v>
      </c>
      <c r="M739">
        <v>113</v>
      </c>
      <c r="N739">
        <f t="shared" si="18"/>
        <v>6.4488991150442043E-3</v>
      </c>
      <c r="O739">
        <f t="shared" si="19"/>
        <v>1.1350442477877642E-3</v>
      </c>
      <c r="P739">
        <f t="shared" si="20"/>
        <v>5.3138548672564401E-3</v>
      </c>
    </row>
    <row r="740" spans="1:16" x14ac:dyDescent="0.35">
      <c r="A740" s="1">
        <v>31958</v>
      </c>
      <c r="B740">
        <v>5.0139999999999997E-2</v>
      </c>
      <c r="C740">
        <v>4.7654000000000002E-2</v>
      </c>
      <c r="D740">
        <v>4.4006999999999998E-2</v>
      </c>
      <c r="E740">
        <v>4.1715000000000002E-2</v>
      </c>
      <c r="F740">
        <v>2103716950</v>
      </c>
      <c r="G740">
        <v>500</v>
      </c>
      <c r="H740">
        <v>1996845210</v>
      </c>
      <c r="I740">
        <v>498</v>
      </c>
      <c r="J740">
        <v>304</v>
      </c>
      <c r="K740">
        <v>4.7914999999999999E-2</v>
      </c>
      <c r="L740">
        <v>0.48</v>
      </c>
      <c r="M740">
        <v>113.5</v>
      </c>
      <c r="N740">
        <f t="shared" si="18"/>
        <v>4.5513832599119119E-2</v>
      </c>
      <c r="O740">
        <f t="shared" si="19"/>
        <v>3.735682819381303E-4</v>
      </c>
      <c r="P740">
        <f t="shared" si="20"/>
        <v>4.5140264317180989E-2</v>
      </c>
    </row>
    <row r="741" spans="1:16" x14ac:dyDescent="0.35">
      <c r="A741" s="1">
        <v>31989</v>
      </c>
      <c r="B741">
        <v>4.9842999999999998E-2</v>
      </c>
      <c r="C741">
        <v>4.7883000000000002E-2</v>
      </c>
      <c r="D741">
        <v>6.5254999999999994E-2</v>
      </c>
      <c r="E741">
        <v>6.2814999999999996E-2</v>
      </c>
      <c r="F741">
        <v>2204747480</v>
      </c>
      <c r="G741">
        <v>500</v>
      </c>
      <c r="H741">
        <v>2104418890</v>
      </c>
      <c r="I741">
        <v>499</v>
      </c>
      <c r="J741">
        <v>318.66000000000003</v>
      </c>
      <c r="K741">
        <v>4.8224000000000003E-2</v>
      </c>
      <c r="L741">
        <v>0.46</v>
      </c>
      <c r="M741">
        <v>113.8</v>
      </c>
      <c r="N741">
        <f t="shared" si="18"/>
        <v>4.7075399824253239E-2</v>
      </c>
      <c r="O741">
        <f t="shared" si="19"/>
        <v>1.9516695957819685E-3</v>
      </c>
      <c r="P741">
        <f t="shared" si="20"/>
        <v>4.512373022847127E-2</v>
      </c>
    </row>
    <row r="742" spans="1:16" x14ac:dyDescent="0.35">
      <c r="A742" s="1">
        <v>32020</v>
      </c>
      <c r="B742">
        <v>3.9107999999999997E-2</v>
      </c>
      <c r="C742">
        <v>3.5441E-2</v>
      </c>
      <c r="D742">
        <v>2.9416999999999999E-2</v>
      </c>
      <c r="E742">
        <v>2.6638999999999999E-2</v>
      </c>
      <c r="F742">
        <v>2291539780</v>
      </c>
      <c r="G742">
        <v>500</v>
      </c>
      <c r="H742">
        <v>2208870660</v>
      </c>
      <c r="I742">
        <v>499</v>
      </c>
      <c r="J742">
        <v>329.8</v>
      </c>
      <c r="K742">
        <v>3.4958999999999997E-2</v>
      </c>
      <c r="L742">
        <v>0.47</v>
      </c>
      <c r="M742">
        <v>114.3</v>
      </c>
      <c r="N742">
        <f t="shared" si="18"/>
        <v>3.4562470691163583E-2</v>
      </c>
      <c r="O742">
        <f t="shared" si="19"/>
        <v>3.0498687664026747E-4</v>
      </c>
      <c r="P742">
        <f t="shared" si="20"/>
        <v>3.4257483814523315E-2</v>
      </c>
    </row>
    <row r="743" spans="1:16" x14ac:dyDescent="0.35">
      <c r="A743" s="1">
        <v>32050</v>
      </c>
      <c r="B743">
        <v>-2.1940000000000001E-2</v>
      </c>
      <c r="C743">
        <v>-2.4079E-2</v>
      </c>
      <c r="D743">
        <v>-1.6378E-2</v>
      </c>
      <c r="E743">
        <v>-1.8613000000000001E-2</v>
      </c>
      <c r="F743">
        <v>2241474230</v>
      </c>
      <c r="G743">
        <v>500</v>
      </c>
      <c r="H743">
        <v>2290786440</v>
      </c>
      <c r="I743">
        <v>500</v>
      </c>
      <c r="J743">
        <v>321.83</v>
      </c>
      <c r="K743">
        <v>-2.4166E-2</v>
      </c>
      <c r="L743">
        <v>0.45</v>
      </c>
      <c r="M743">
        <v>114.7</v>
      </c>
      <c r="N743">
        <f t="shared" si="18"/>
        <v>-2.5350845684394052E-2</v>
      </c>
      <c r="O743">
        <f t="shared" si="19"/>
        <v>9.9694856146448352E-4</v>
      </c>
      <c r="P743">
        <f t="shared" si="20"/>
        <v>-2.6347794245858536E-2</v>
      </c>
    </row>
    <row r="744" spans="1:16" x14ac:dyDescent="0.35">
      <c r="A744" s="1">
        <v>32080</v>
      </c>
      <c r="B744">
        <v>-0.21579499999999999</v>
      </c>
      <c r="C744">
        <v>-0.217944</v>
      </c>
      <c r="D744">
        <v>-0.25607000000000002</v>
      </c>
      <c r="E744">
        <v>-0.25778099999999998</v>
      </c>
      <c r="F744">
        <v>1752282500</v>
      </c>
      <c r="G744">
        <v>500</v>
      </c>
      <c r="H744">
        <v>2240564260</v>
      </c>
      <c r="I744">
        <v>500</v>
      </c>
      <c r="J744">
        <v>251.79</v>
      </c>
      <c r="K744">
        <v>-0.21762999999999999</v>
      </c>
      <c r="L744">
        <v>0.6</v>
      </c>
      <c r="M744">
        <v>115</v>
      </c>
      <c r="N744">
        <f t="shared" si="18"/>
        <v>-0.21784075217391297</v>
      </c>
      <c r="O744">
        <f t="shared" si="19"/>
        <v>3.3756521739130019E-3</v>
      </c>
      <c r="P744">
        <f t="shared" si="20"/>
        <v>-0.22121640434782597</v>
      </c>
    </row>
    <row r="745" spans="1:16" x14ac:dyDescent="0.35">
      <c r="A745" s="1">
        <v>32111</v>
      </c>
      <c r="B745">
        <v>-8.1874000000000002E-2</v>
      </c>
      <c r="C745">
        <v>-8.6541000000000007E-2</v>
      </c>
      <c r="D745">
        <v>-6.2282999999999998E-2</v>
      </c>
      <c r="E745">
        <v>-6.5983E-2</v>
      </c>
      <c r="F745">
        <v>1600625140</v>
      </c>
      <c r="G745">
        <v>500</v>
      </c>
      <c r="H745">
        <v>1752282500</v>
      </c>
      <c r="I745">
        <v>500</v>
      </c>
      <c r="J745">
        <v>230.3</v>
      </c>
      <c r="K745">
        <v>-8.5348999999999994E-2</v>
      </c>
      <c r="L745">
        <v>0.35</v>
      </c>
      <c r="M745">
        <v>115.4</v>
      </c>
      <c r="N745">
        <f t="shared" si="18"/>
        <v>-8.5056412478336285E-2</v>
      </c>
      <c r="O745">
        <f t="shared" si="19"/>
        <v>2.1663778162928082E-5</v>
      </c>
      <c r="P745">
        <f t="shared" si="20"/>
        <v>-8.5078076256499213E-2</v>
      </c>
    </row>
    <row r="746" spans="1:16" x14ac:dyDescent="0.35">
      <c r="A746" s="1">
        <v>32142</v>
      </c>
      <c r="B746">
        <v>7.3922000000000002E-2</v>
      </c>
      <c r="C746">
        <v>7.1025000000000005E-2</v>
      </c>
      <c r="D746">
        <v>9.4686999999999993E-2</v>
      </c>
      <c r="E746">
        <v>9.1943999999999998E-2</v>
      </c>
      <c r="F746">
        <v>1711657220</v>
      </c>
      <c r="G746">
        <v>500</v>
      </c>
      <c r="H746">
        <v>1596889640</v>
      </c>
      <c r="I746">
        <v>500</v>
      </c>
      <c r="J746">
        <v>247.08</v>
      </c>
      <c r="K746">
        <v>7.2860999999999995E-2</v>
      </c>
      <c r="L746">
        <v>0.39</v>
      </c>
      <c r="M746">
        <v>115.6</v>
      </c>
      <c r="N746">
        <f t="shared" si="18"/>
        <v>7.2064003460207804E-2</v>
      </c>
      <c r="O746">
        <f t="shared" si="19"/>
        <v>2.163148788927538E-3</v>
      </c>
      <c r="P746">
        <f t="shared" si="20"/>
        <v>6.9900854671280266E-2</v>
      </c>
    </row>
    <row r="747" spans="1:16" x14ac:dyDescent="0.35">
      <c r="A747" s="1">
        <v>32171</v>
      </c>
      <c r="B747">
        <v>4.2712E-2</v>
      </c>
      <c r="C747">
        <v>4.1085999999999998E-2</v>
      </c>
      <c r="D747">
        <v>5.0075000000000001E-2</v>
      </c>
      <c r="E747">
        <v>4.8666000000000001E-2</v>
      </c>
      <c r="F747">
        <v>1779388160</v>
      </c>
      <c r="G747">
        <v>500</v>
      </c>
      <c r="H747">
        <v>1711657220</v>
      </c>
      <c r="I747">
        <v>500</v>
      </c>
      <c r="J747">
        <v>257.07</v>
      </c>
      <c r="K747">
        <v>4.0432000000000003E-2</v>
      </c>
      <c r="L747">
        <v>0.28999999999999998</v>
      </c>
      <c r="M747">
        <v>116</v>
      </c>
      <c r="N747">
        <f t="shared" si="18"/>
        <v>3.9116441379310363E-2</v>
      </c>
      <c r="O747">
        <f t="shared" si="19"/>
        <v>-5.5827586206913526E-4</v>
      </c>
      <c r="P747">
        <f t="shared" si="20"/>
        <v>3.9674717241379498E-2</v>
      </c>
    </row>
    <row r="748" spans="1:16" x14ac:dyDescent="0.35">
      <c r="A748" s="1">
        <v>32202</v>
      </c>
      <c r="B748">
        <v>4.7445000000000001E-2</v>
      </c>
      <c r="C748">
        <v>4.0573999999999999E-2</v>
      </c>
      <c r="D748">
        <v>7.5351000000000001E-2</v>
      </c>
      <c r="E748">
        <v>7.0554000000000006E-2</v>
      </c>
      <c r="F748">
        <v>1849150230</v>
      </c>
      <c r="G748">
        <v>500</v>
      </c>
      <c r="H748">
        <v>1777094100</v>
      </c>
      <c r="I748">
        <v>500</v>
      </c>
      <c r="J748">
        <v>267.82</v>
      </c>
      <c r="K748">
        <v>4.1817E-2</v>
      </c>
      <c r="L748">
        <v>0.46</v>
      </c>
      <c r="M748">
        <v>116.2</v>
      </c>
      <c r="N748">
        <f t="shared" si="18"/>
        <v>4.5642168674698835E-2</v>
      </c>
      <c r="O748">
        <f t="shared" si="19"/>
        <v>2.8709122203096626E-3</v>
      </c>
      <c r="P748">
        <f t="shared" si="20"/>
        <v>4.2771256454389173E-2</v>
      </c>
    </row>
    <row r="749" spans="1:16" x14ac:dyDescent="0.35">
      <c r="A749" s="1">
        <v>32233</v>
      </c>
      <c r="B749">
        <v>-3.0846999999999999E-2</v>
      </c>
      <c r="C749">
        <v>-3.3368000000000002E-2</v>
      </c>
      <c r="D749">
        <v>-7.6299999999999996E-3</v>
      </c>
      <c r="E749">
        <v>-9.8890000000000002E-3</v>
      </c>
      <c r="F749">
        <v>1783600710</v>
      </c>
      <c r="G749">
        <v>500</v>
      </c>
      <c r="H749">
        <v>1849536510</v>
      </c>
      <c r="I749">
        <v>500</v>
      </c>
      <c r="J749">
        <v>258.89</v>
      </c>
      <c r="K749">
        <v>-3.3342999999999998E-2</v>
      </c>
      <c r="L749">
        <v>0.44</v>
      </c>
      <c r="M749">
        <v>116.5</v>
      </c>
      <c r="N749">
        <f t="shared" si="18"/>
        <v>-3.3342672961373387E-2</v>
      </c>
      <c r="O749">
        <f t="shared" si="19"/>
        <v>1.8135622317596578E-3</v>
      </c>
      <c r="P749">
        <f t="shared" si="20"/>
        <v>-3.5156235193133045E-2</v>
      </c>
    </row>
    <row r="750" spans="1:16" x14ac:dyDescent="0.35">
      <c r="A750" s="1">
        <v>32262</v>
      </c>
      <c r="B750">
        <v>1.0515999999999999E-2</v>
      </c>
      <c r="C750">
        <v>8.7729999999999995E-3</v>
      </c>
      <c r="D750">
        <v>3.4090000000000001E-3</v>
      </c>
      <c r="E750">
        <v>2.1050000000000001E-3</v>
      </c>
      <c r="F750">
        <v>1810206540</v>
      </c>
      <c r="G750">
        <v>500</v>
      </c>
      <c r="H750">
        <v>1794664650</v>
      </c>
      <c r="I750">
        <v>500</v>
      </c>
      <c r="J750">
        <v>261.33</v>
      </c>
      <c r="K750">
        <v>9.4249999999999994E-3</v>
      </c>
      <c r="L750">
        <v>0.46</v>
      </c>
      <c r="M750">
        <v>117.2</v>
      </c>
      <c r="N750">
        <f t="shared" si="18"/>
        <v>4.4804948805459155E-3</v>
      </c>
      <c r="O750">
        <f t="shared" si="19"/>
        <v>-1.4001706484642051E-3</v>
      </c>
      <c r="P750">
        <f t="shared" si="20"/>
        <v>5.8806655290101206E-3</v>
      </c>
    </row>
    <row r="751" spans="1:16" x14ac:dyDescent="0.35">
      <c r="A751" s="1">
        <v>32294</v>
      </c>
      <c r="B751">
        <v>8.012E-3</v>
      </c>
      <c r="C751">
        <v>2.882E-3</v>
      </c>
      <c r="D751">
        <v>4.5649999999999996E-3</v>
      </c>
      <c r="E751">
        <v>6.9999999999999999E-4</v>
      </c>
      <c r="F751">
        <v>1811159240</v>
      </c>
      <c r="G751">
        <v>500</v>
      </c>
      <c r="H751">
        <v>1805952840</v>
      </c>
      <c r="I751">
        <v>500</v>
      </c>
      <c r="J751">
        <v>262.16000000000003</v>
      </c>
      <c r="K751">
        <v>3.176E-3</v>
      </c>
      <c r="L751">
        <v>0.51</v>
      </c>
      <c r="M751">
        <v>117.5</v>
      </c>
      <c r="N751">
        <f t="shared" si="18"/>
        <v>5.4383523404253342E-3</v>
      </c>
      <c r="O751">
        <f t="shared" si="19"/>
        <v>2.5337872340427392E-3</v>
      </c>
      <c r="P751">
        <f t="shared" si="20"/>
        <v>2.904565106382595E-3</v>
      </c>
    </row>
    <row r="752" spans="1:16" x14ac:dyDescent="0.35">
      <c r="A752" s="1">
        <v>32324</v>
      </c>
      <c r="B752">
        <v>4.7676000000000003E-2</v>
      </c>
      <c r="C752">
        <v>4.5067999999999997E-2</v>
      </c>
      <c r="D752">
        <v>6.0296000000000002E-2</v>
      </c>
      <c r="E752">
        <v>5.8011E-2</v>
      </c>
      <c r="F752">
        <v>1880035460</v>
      </c>
      <c r="G752">
        <v>500</v>
      </c>
      <c r="H752">
        <v>1810734820</v>
      </c>
      <c r="I752">
        <v>500</v>
      </c>
      <c r="J752">
        <v>273.5</v>
      </c>
      <c r="K752">
        <v>4.3256000000000003E-2</v>
      </c>
      <c r="L752">
        <v>0.49</v>
      </c>
      <c r="M752">
        <v>118</v>
      </c>
      <c r="N752">
        <f t="shared" si="18"/>
        <v>4.3236694915254281E-2</v>
      </c>
      <c r="O752">
        <f t="shared" si="19"/>
        <v>6.4194915254223162E-4</v>
      </c>
      <c r="P752">
        <f t="shared" si="20"/>
        <v>4.259474576271205E-2</v>
      </c>
    </row>
    <row r="753" spans="1:16" x14ac:dyDescent="0.35">
      <c r="A753" s="1">
        <v>32353</v>
      </c>
      <c r="B753">
        <v>-4.4580000000000002E-3</v>
      </c>
      <c r="C753">
        <v>-7.3930000000000003E-3</v>
      </c>
      <c r="D753">
        <v>-1.0678999999999999E-2</v>
      </c>
      <c r="E753">
        <v>-1.4683E-2</v>
      </c>
      <c r="F753">
        <v>1867345360</v>
      </c>
      <c r="G753">
        <v>500</v>
      </c>
      <c r="H753">
        <v>1881578440</v>
      </c>
      <c r="I753">
        <v>500</v>
      </c>
      <c r="J753">
        <v>272.02</v>
      </c>
      <c r="K753">
        <v>-5.411E-3</v>
      </c>
      <c r="L753">
        <v>0.51</v>
      </c>
      <c r="M753">
        <v>118.5</v>
      </c>
      <c r="N753">
        <f t="shared" si="18"/>
        <v>-8.6585991561181075E-3</v>
      </c>
      <c r="O753">
        <f t="shared" si="19"/>
        <v>8.5907172995791647E-4</v>
      </c>
      <c r="P753">
        <f t="shared" si="20"/>
        <v>-9.517670886076024E-3</v>
      </c>
    </row>
    <row r="754" spans="1:16" x14ac:dyDescent="0.35">
      <c r="A754" s="1">
        <v>32386</v>
      </c>
      <c r="B754">
        <v>-3.2488000000000003E-2</v>
      </c>
      <c r="C754">
        <v>-3.7289999999999997E-2</v>
      </c>
      <c r="D754">
        <v>-3.3321000000000003E-2</v>
      </c>
      <c r="E754">
        <v>-3.7053999999999997E-2</v>
      </c>
      <c r="F754">
        <v>1796903750</v>
      </c>
      <c r="G754">
        <v>500</v>
      </c>
      <c r="H754">
        <v>1867413760</v>
      </c>
      <c r="I754">
        <v>500</v>
      </c>
      <c r="J754">
        <v>261.52</v>
      </c>
      <c r="K754">
        <v>-3.8600000000000002E-2</v>
      </c>
      <c r="L754">
        <v>0.59</v>
      </c>
      <c r="M754">
        <v>119</v>
      </c>
      <c r="N754">
        <f t="shared" si="18"/>
        <v>-3.65531764705882E-2</v>
      </c>
      <c r="O754">
        <f t="shared" si="19"/>
        <v>1.6735294117646848E-3</v>
      </c>
      <c r="P754">
        <f t="shared" si="20"/>
        <v>-3.8226705882352885E-2</v>
      </c>
    </row>
    <row r="755" spans="1:16" x14ac:dyDescent="0.35">
      <c r="A755" s="1">
        <v>32416</v>
      </c>
      <c r="B755">
        <v>4.2738999999999999E-2</v>
      </c>
      <c r="C755">
        <v>4.0085999999999997E-2</v>
      </c>
      <c r="D755">
        <v>4.1666000000000002E-2</v>
      </c>
      <c r="E755">
        <v>3.9428999999999999E-2</v>
      </c>
      <c r="F755">
        <v>1864651110</v>
      </c>
      <c r="G755">
        <v>500</v>
      </c>
      <c r="H755">
        <v>1796903750</v>
      </c>
      <c r="I755">
        <v>500</v>
      </c>
      <c r="J755">
        <v>271.91000000000003</v>
      </c>
      <c r="K755">
        <v>3.9729E-2</v>
      </c>
      <c r="L755">
        <v>0.62</v>
      </c>
      <c r="M755">
        <v>119.5</v>
      </c>
      <c r="N755">
        <f t="shared" si="18"/>
        <v>3.8376075313807601E-2</v>
      </c>
      <c r="O755">
        <f t="shared" si="19"/>
        <v>1.9899581589957194E-3</v>
      </c>
      <c r="P755">
        <f t="shared" si="20"/>
        <v>3.6386117154811881E-2</v>
      </c>
    </row>
    <row r="756" spans="1:16" x14ac:dyDescent="0.35">
      <c r="A756" s="1">
        <v>32447</v>
      </c>
      <c r="B756">
        <v>2.6891000000000002E-2</v>
      </c>
      <c r="C756">
        <v>2.3328000000000002E-2</v>
      </c>
      <c r="D756">
        <v>1.3806000000000001E-2</v>
      </c>
      <c r="E756">
        <v>1.0892000000000001E-2</v>
      </c>
      <c r="F756">
        <v>1909704860</v>
      </c>
      <c r="G756">
        <v>500</v>
      </c>
      <c r="H756">
        <v>1863715280</v>
      </c>
      <c r="I756">
        <v>498</v>
      </c>
      <c r="J756">
        <v>278.97000000000003</v>
      </c>
      <c r="K756">
        <v>2.5964000000000001E-2</v>
      </c>
      <c r="L756">
        <v>0.61</v>
      </c>
      <c r="M756">
        <v>119.9</v>
      </c>
      <c r="N756">
        <f t="shared" si="18"/>
        <v>2.346517514595492E-2</v>
      </c>
      <c r="O756">
        <f t="shared" si="19"/>
        <v>2.7435362802334939E-3</v>
      </c>
      <c r="P756">
        <f t="shared" si="20"/>
        <v>2.0721638865721426E-2</v>
      </c>
    </row>
    <row r="757" spans="1:16" x14ac:dyDescent="0.35">
      <c r="A757" s="1">
        <v>32477</v>
      </c>
      <c r="B757">
        <v>-1.4355E-2</v>
      </c>
      <c r="C757">
        <v>-1.9769999999999999E-2</v>
      </c>
      <c r="D757">
        <v>-2.2981000000000001E-2</v>
      </c>
      <c r="E757">
        <v>-2.7705E-2</v>
      </c>
      <c r="F757">
        <v>1869942410</v>
      </c>
      <c r="G757">
        <v>500</v>
      </c>
      <c r="H757">
        <v>1910743650</v>
      </c>
      <c r="I757">
        <v>500</v>
      </c>
      <c r="J757">
        <v>273.7</v>
      </c>
      <c r="K757">
        <v>-1.8891000000000002E-2</v>
      </c>
      <c r="L757">
        <v>0.56999999999999995</v>
      </c>
      <c r="M757">
        <v>120.3</v>
      </c>
      <c r="N757">
        <f t="shared" si="18"/>
        <v>-1.7632290108063109E-2</v>
      </c>
      <c r="O757">
        <f t="shared" si="19"/>
        <v>2.3560266001663166E-3</v>
      </c>
      <c r="P757">
        <f t="shared" si="20"/>
        <v>-1.9988316708229426E-2</v>
      </c>
    </row>
    <row r="758" spans="1:16" x14ac:dyDescent="0.35">
      <c r="A758" s="1">
        <v>32507</v>
      </c>
      <c r="B758">
        <v>1.8553E-2</v>
      </c>
      <c r="C758">
        <v>1.5184E-2</v>
      </c>
      <c r="D758">
        <v>2.7688999999999998E-2</v>
      </c>
      <c r="E758">
        <v>2.4537E-2</v>
      </c>
      <c r="F758">
        <v>1873261790</v>
      </c>
      <c r="G758">
        <v>500</v>
      </c>
      <c r="H758">
        <v>1857788960</v>
      </c>
      <c r="I758">
        <v>500</v>
      </c>
      <c r="J758">
        <v>277.72000000000003</v>
      </c>
      <c r="K758">
        <v>1.4688E-2</v>
      </c>
      <c r="L758">
        <v>0.63</v>
      </c>
      <c r="M758">
        <v>120.7</v>
      </c>
      <c r="N758">
        <f t="shared" si="18"/>
        <v>1.517751367025677E-2</v>
      </c>
      <c r="O758">
        <f t="shared" si="19"/>
        <v>2.9651201325600063E-3</v>
      </c>
      <c r="P758">
        <f t="shared" si="20"/>
        <v>1.2212393537696764E-2</v>
      </c>
    </row>
    <row r="759" spans="1:16" x14ac:dyDescent="0.35">
      <c r="A759" s="1">
        <v>32539</v>
      </c>
      <c r="B759">
        <v>7.2303000000000006E-2</v>
      </c>
      <c r="C759">
        <v>6.9633E-2</v>
      </c>
      <c r="D759">
        <v>7.1117E-2</v>
      </c>
      <c r="E759">
        <v>6.8598000000000006E-2</v>
      </c>
      <c r="F759">
        <v>1995895570</v>
      </c>
      <c r="G759">
        <v>500</v>
      </c>
      <c r="H759">
        <v>1869461900</v>
      </c>
      <c r="I759">
        <v>500</v>
      </c>
      <c r="J759">
        <v>297.47000000000003</v>
      </c>
      <c r="K759">
        <v>7.1114999999999998E-2</v>
      </c>
      <c r="L759">
        <v>0.55000000000000004</v>
      </c>
      <c r="M759">
        <v>121.2</v>
      </c>
      <c r="N759">
        <f t="shared" si="18"/>
        <v>6.7879307755775553E-2</v>
      </c>
      <c r="O759">
        <f t="shared" si="19"/>
        <v>1.351897689769066E-3</v>
      </c>
      <c r="P759">
        <f t="shared" si="20"/>
        <v>6.6527410066006487E-2</v>
      </c>
    </row>
    <row r="760" spans="1:16" x14ac:dyDescent="0.35">
      <c r="A760" s="1">
        <v>32567</v>
      </c>
      <c r="B760">
        <v>-2.5031000000000001E-2</v>
      </c>
      <c r="C760">
        <v>-2.9187000000000001E-2</v>
      </c>
      <c r="D760">
        <v>-1.1181999999999999E-2</v>
      </c>
      <c r="E760">
        <v>-1.4701000000000001E-2</v>
      </c>
      <c r="F760">
        <v>1916452910</v>
      </c>
      <c r="G760">
        <v>500</v>
      </c>
      <c r="H760">
        <v>1975988500</v>
      </c>
      <c r="I760">
        <v>500</v>
      </c>
      <c r="J760">
        <v>288.86</v>
      </c>
      <c r="K760">
        <v>-2.8944000000000001E-2</v>
      </c>
      <c r="L760">
        <v>0.61</v>
      </c>
      <c r="M760">
        <v>121.6</v>
      </c>
      <c r="N760">
        <f t="shared" si="18"/>
        <v>-2.8238134868420972E-2</v>
      </c>
      <c r="O760">
        <f t="shared" si="19"/>
        <v>2.7904605263158189E-3</v>
      </c>
      <c r="P760">
        <f t="shared" si="20"/>
        <v>-3.1028595394736791E-2</v>
      </c>
    </row>
    <row r="761" spans="1:16" x14ac:dyDescent="0.35">
      <c r="A761" s="1">
        <v>32598</v>
      </c>
      <c r="B761">
        <v>2.3037999999999999E-2</v>
      </c>
      <c r="C761">
        <v>2.044E-2</v>
      </c>
      <c r="D761">
        <v>2.0053000000000001E-2</v>
      </c>
      <c r="E761">
        <v>1.7174999999999999E-2</v>
      </c>
      <c r="F761">
        <v>1957844650</v>
      </c>
      <c r="G761">
        <v>500</v>
      </c>
      <c r="H761">
        <v>1917409030</v>
      </c>
      <c r="I761">
        <v>500</v>
      </c>
      <c r="J761">
        <v>294.87</v>
      </c>
      <c r="K761">
        <v>2.0806000000000002E-2</v>
      </c>
      <c r="L761">
        <v>0.67</v>
      </c>
      <c r="M761">
        <v>122.2</v>
      </c>
      <c r="N761">
        <f t="shared" si="18"/>
        <v>1.8014900163666026E-2</v>
      </c>
      <c r="O761">
        <f t="shared" si="19"/>
        <v>1.7571194762682207E-3</v>
      </c>
      <c r="P761">
        <f t="shared" si="20"/>
        <v>1.6257780687397805E-2</v>
      </c>
    </row>
    <row r="762" spans="1:16" x14ac:dyDescent="0.35">
      <c r="A762" s="1">
        <v>32626</v>
      </c>
      <c r="B762">
        <v>5.1707000000000003E-2</v>
      </c>
      <c r="C762">
        <v>4.9898999999999999E-2</v>
      </c>
      <c r="D762">
        <v>4.9637000000000001E-2</v>
      </c>
      <c r="E762">
        <v>4.8389000000000001E-2</v>
      </c>
      <c r="F762">
        <v>2054123610</v>
      </c>
      <c r="G762">
        <v>500</v>
      </c>
      <c r="H762">
        <v>1956874870</v>
      </c>
      <c r="I762">
        <v>500</v>
      </c>
      <c r="J762">
        <v>309.64</v>
      </c>
      <c r="K762">
        <v>5.0090000000000003E-2</v>
      </c>
      <c r="L762">
        <v>0.67</v>
      </c>
      <c r="M762">
        <v>123.1</v>
      </c>
      <c r="N762">
        <f t="shared" si="18"/>
        <v>4.4017834281072421E-2</v>
      </c>
      <c r="O762">
        <f t="shared" si="19"/>
        <v>-6.6011372867591511E-4</v>
      </c>
      <c r="P762">
        <f t="shared" si="20"/>
        <v>4.4677948009748336E-2</v>
      </c>
    </row>
    <row r="763" spans="1:16" x14ac:dyDescent="0.35">
      <c r="A763" s="1">
        <v>32659</v>
      </c>
      <c r="B763">
        <v>4.1022000000000003E-2</v>
      </c>
      <c r="C763">
        <v>3.5451000000000003E-2</v>
      </c>
      <c r="D763">
        <v>4.7240999999999998E-2</v>
      </c>
      <c r="E763">
        <v>4.2324000000000001E-2</v>
      </c>
      <c r="F763">
        <v>2127029740</v>
      </c>
      <c r="G763">
        <v>500</v>
      </c>
      <c r="H763">
        <v>2052732430</v>
      </c>
      <c r="I763">
        <v>499</v>
      </c>
      <c r="J763">
        <v>320.52</v>
      </c>
      <c r="K763">
        <v>3.5138000000000003E-2</v>
      </c>
      <c r="L763">
        <v>0.79</v>
      </c>
      <c r="M763">
        <v>123.7</v>
      </c>
      <c r="N763">
        <f t="shared" si="18"/>
        <v>3.5972580436539836E-2</v>
      </c>
      <c r="O763">
        <f t="shared" si="19"/>
        <v>3.0112368633792297E-3</v>
      </c>
      <c r="P763">
        <f t="shared" si="20"/>
        <v>3.2961343573160606E-2</v>
      </c>
    </row>
    <row r="764" spans="1:16" x14ac:dyDescent="0.35">
      <c r="A764" s="1">
        <v>32689</v>
      </c>
      <c r="B764">
        <v>-5.6109999999999997E-3</v>
      </c>
      <c r="C764">
        <v>-7.9399999999999991E-3</v>
      </c>
      <c r="D764">
        <v>-6.7499999999999999E-3</v>
      </c>
      <c r="E764">
        <v>-8.8710000000000004E-3</v>
      </c>
      <c r="F764">
        <v>2108810760</v>
      </c>
      <c r="G764">
        <v>500</v>
      </c>
      <c r="H764">
        <v>2126857310</v>
      </c>
      <c r="I764">
        <v>499</v>
      </c>
      <c r="J764">
        <v>317.98</v>
      </c>
      <c r="K764">
        <v>-7.9249999999999998E-3</v>
      </c>
      <c r="L764">
        <v>0.71</v>
      </c>
      <c r="M764">
        <v>124.1</v>
      </c>
      <c r="N764">
        <f t="shared" si="18"/>
        <v>-8.8161216760676009E-3</v>
      </c>
      <c r="O764">
        <f t="shared" si="19"/>
        <v>3.8539081385979834E-3</v>
      </c>
      <c r="P764">
        <f t="shared" si="20"/>
        <v>-1.2670029814665584E-2</v>
      </c>
    </row>
    <row r="765" spans="1:16" x14ac:dyDescent="0.35">
      <c r="A765" s="1">
        <v>32720</v>
      </c>
      <c r="B765">
        <v>9.0052999999999994E-2</v>
      </c>
      <c r="C765">
        <v>8.8193999999999995E-2</v>
      </c>
      <c r="D765">
        <v>8.2832000000000003E-2</v>
      </c>
      <c r="E765">
        <v>8.1447000000000006E-2</v>
      </c>
      <c r="F765">
        <v>2291840670</v>
      </c>
      <c r="G765">
        <v>500</v>
      </c>
      <c r="H765">
        <v>2106257560</v>
      </c>
      <c r="I765">
        <v>500</v>
      </c>
      <c r="J765">
        <v>346.08</v>
      </c>
      <c r="K765">
        <v>8.8370000000000004E-2</v>
      </c>
      <c r="L765">
        <v>0.7</v>
      </c>
      <c r="M765">
        <v>124.5</v>
      </c>
      <c r="N765">
        <f t="shared" si="18"/>
        <v>8.6550821686746771E-2</v>
      </c>
      <c r="O765">
        <f t="shared" si="19"/>
        <v>3.7646586345381206E-3</v>
      </c>
      <c r="P765">
        <f t="shared" si="20"/>
        <v>8.278616305220865E-2</v>
      </c>
    </row>
    <row r="766" spans="1:16" x14ac:dyDescent="0.35">
      <c r="A766" s="1">
        <v>32751</v>
      </c>
      <c r="B766">
        <v>1.9852999999999999E-2</v>
      </c>
      <c r="C766">
        <v>1.5516E-2</v>
      </c>
      <c r="D766">
        <v>2.9177000000000002E-2</v>
      </c>
      <c r="E766">
        <v>2.5708000000000002E-2</v>
      </c>
      <c r="F766">
        <v>2319747940</v>
      </c>
      <c r="G766">
        <v>500</v>
      </c>
      <c r="H766">
        <v>2284510660</v>
      </c>
      <c r="I766">
        <v>500</v>
      </c>
      <c r="J766">
        <v>351.45</v>
      </c>
      <c r="K766">
        <v>1.5517E-2</v>
      </c>
      <c r="L766">
        <v>0.74</v>
      </c>
      <c r="M766">
        <v>124.5</v>
      </c>
      <c r="N766">
        <f t="shared" si="18"/>
        <v>1.9852999999999899E-2</v>
      </c>
      <c r="O766">
        <f t="shared" si="19"/>
        <v>7.4000000000000732E-3</v>
      </c>
      <c r="P766">
        <f t="shared" si="20"/>
        <v>1.2452999999999825E-2</v>
      </c>
    </row>
    <row r="767" spans="1:16" x14ac:dyDescent="0.35">
      <c r="A767" s="1">
        <v>32780</v>
      </c>
      <c r="B767">
        <v>-4.0039999999999997E-3</v>
      </c>
      <c r="C767">
        <v>-6.6160000000000004E-3</v>
      </c>
      <c r="D767">
        <v>-1.5646E-2</v>
      </c>
      <c r="E767">
        <v>-1.9462E-2</v>
      </c>
      <c r="F767">
        <v>2303271950</v>
      </c>
      <c r="G767">
        <v>500</v>
      </c>
      <c r="H767">
        <v>2320064780</v>
      </c>
      <c r="I767">
        <v>500</v>
      </c>
      <c r="J767">
        <v>349.15</v>
      </c>
      <c r="K767">
        <v>-6.5440000000000003E-3</v>
      </c>
      <c r="L767">
        <v>0.65</v>
      </c>
      <c r="M767">
        <v>124.8</v>
      </c>
      <c r="N767">
        <f t="shared" si="18"/>
        <v>-6.3982211538461398E-3</v>
      </c>
      <c r="O767">
        <f t="shared" si="19"/>
        <v>4.0805288461538414E-3</v>
      </c>
      <c r="P767">
        <f t="shared" si="20"/>
        <v>-1.0478749999999981E-2</v>
      </c>
    </row>
    <row r="768" spans="1:16" x14ac:dyDescent="0.35">
      <c r="A768" s="1">
        <v>32812</v>
      </c>
      <c r="B768">
        <v>-2.3639E-2</v>
      </c>
      <c r="C768">
        <v>-2.5668E-2</v>
      </c>
      <c r="D768">
        <v>-4.6675000000000001E-2</v>
      </c>
      <c r="E768">
        <v>-4.8198999999999999E-2</v>
      </c>
      <c r="F768">
        <v>2245974590</v>
      </c>
      <c r="G768">
        <v>500</v>
      </c>
      <c r="H768">
        <v>2291250720</v>
      </c>
      <c r="I768">
        <v>500</v>
      </c>
      <c r="J768">
        <v>340.36</v>
      </c>
      <c r="K768">
        <v>-2.5174999999999999E-2</v>
      </c>
      <c r="L768">
        <v>0.68</v>
      </c>
      <c r="M768">
        <v>125.4</v>
      </c>
      <c r="N768">
        <f t="shared" si="18"/>
        <v>-2.8310583732057415E-2</v>
      </c>
      <c r="O768">
        <f t="shared" si="19"/>
        <v>1.9827751196170862E-3</v>
      </c>
      <c r="P768">
        <f t="shared" si="20"/>
        <v>-3.0293358851674501E-2</v>
      </c>
    </row>
    <row r="769" spans="1:16" x14ac:dyDescent="0.35">
      <c r="A769" s="1">
        <v>32842</v>
      </c>
      <c r="B769">
        <v>2.0479000000000001E-2</v>
      </c>
      <c r="C769">
        <v>1.6641E-2</v>
      </c>
      <c r="D769">
        <v>1.2291E-2</v>
      </c>
      <c r="E769">
        <v>8.9200000000000008E-3</v>
      </c>
      <c r="F769">
        <v>2283429520</v>
      </c>
      <c r="G769">
        <v>500</v>
      </c>
      <c r="H769">
        <v>2245974590</v>
      </c>
      <c r="I769">
        <v>500</v>
      </c>
      <c r="J769">
        <v>345.99</v>
      </c>
      <c r="K769">
        <v>1.6541E-2</v>
      </c>
      <c r="L769">
        <v>0.69</v>
      </c>
      <c r="M769">
        <v>125.9</v>
      </c>
      <c r="N769">
        <f t="shared" si="18"/>
        <v>1.6426263701350141E-2</v>
      </c>
      <c r="O769">
        <f t="shared" si="19"/>
        <v>2.9011914217631496E-3</v>
      </c>
      <c r="P769">
        <f t="shared" si="20"/>
        <v>1.3525072279586992E-2</v>
      </c>
    </row>
    <row r="770" spans="1:16" x14ac:dyDescent="0.35">
      <c r="A770" s="1">
        <v>32871</v>
      </c>
      <c r="B770">
        <v>2.2657E-2</v>
      </c>
      <c r="C770">
        <v>1.9987999999999999E-2</v>
      </c>
      <c r="D770">
        <v>1.5265000000000001E-2</v>
      </c>
      <c r="E770">
        <v>1.2744E-2</v>
      </c>
      <c r="F770">
        <v>2331045780</v>
      </c>
      <c r="G770">
        <v>500</v>
      </c>
      <c r="H770">
        <v>2283152230</v>
      </c>
      <c r="I770">
        <v>500</v>
      </c>
      <c r="J770">
        <v>353.4</v>
      </c>
      <c r="K770">
        <v>2.1416999999999999E-2</v>
      </c>
      <c r="L770">
        <v>0.61</v>
      </c>
      <c r="M770">
        <v>126.3</v>
      </c>
      <c r="N770">
        <f t="shared" si="18"/>
        <v>1.941818131433104E-2</v>
      </c>
      <c r="O770">
        <f t="shared" si="19"/>
        <v>2.913618368962867E-3</v>
      </c>
      <c r="P770">
        <f t="shared" si="20"/>
        <v>1.6504562945368173E-2</v>
      </c>
    </row>
    <row r="771" spans="1:16" x14ac:dyDescent="0.35">
      <c r="A771" s="1">
        <v>32904</v>
      </c>
      <c r="B771">
        <v>-6.7660999999999999E-2</v>
      </c>
      <c r="C771">
        <v>-6.9406999999999996E-2</v>
      </c>
      <c r="D771">
        <v>-7.3185E-2</v>
      </c>
      <c r="E771">
        <v>-7.4576000000000003E-2</v>
      </c>
      <c r="F771">
        <v>2169257170</v>
      </c>
      <c r="G771">
        <v>500</v>
      </c>
      <c r="H771">
        <v>2331045780</v>
      </c>
      <c r="I771">
        <v>500</v>
      </c>
      <c r="J771">
        <v>329.08</v>
      </c>
      <c r="K771">
        <v>-6.8817000000000003E-2</v>
      </c>
      <c r="L771">
        <v>0.56999999999999995</v>
      </c>
      <c r="M771">
        <v>127.5</v>
      </c>
      <c r="N771">
        <f t="shared" si="18"/>
        <v>-7.643595529411773E-2</v>
      </c>
      <c r="O771">
        <f t="shared" si="19"/>
        <v>-3.765411764705906E-3</v>
      </c>
      <c r="P771">
        <f t="shared" si="20"/>
        <v>-7.2670543529411824E-2</v>
      </c>
    </row>
    <row r="772" spans="1:16" x14ac:dyDescent="0.35">
      <c r="A772" s="1">
        <v>32932</v>
      </c>
      <c r="B772">
        <v>1.3381000000000001E-2</v>
      </c>
      <c r="C772">
        <v>8.9859999999999992E-3</v>
      </c>
      <c r="D772">
        <v>1.4022E-2</v>
      </c>
      <c r="E772">
        <v>1.031E-2</v>
      </c>
      <c r="F772">
        <v>2189175420</v>
      </c>
      <c r="G772">
        <v>500</v>
      </c>
      <c r="H772">
        <v>2167660830</v>
      </c>
      <c r="I772">
        <v>499</v>
      </c>
      <c r="J772">
        <v>331.89</v>
      </c>
      <c r="K772">
        <v>8.5389999999999997E-3</v>
      </c>
      <c r="L772">
        <v>0.56999999999999995</v>
      </c>
      <c r="M772">
        <v>128</v>
      </c>
      <c r="N772">
        <f t="shared" si="18"/>
        <v>9.4224804687501607E-3</v>
      </c>
      <c r="O772">
        <f t="shared" si="19"/>
        <v>1.7714843750000764E-3</v>
      </c>
      <c r="P772">
        <f t="shared" si="20"/>
        <v>7.6509960937500843E-3</v>
      </c>
    </row>
    <row r="773" spans="1:16" x14ac:dyDescent="0.35">
      <c r="A773" s="1">
        <v>32962</v>
      </c>
      <c r="B773">
        <v>2.6588000000000001E-2</v>
      </c>
      <c r="C773">
        <v>2.436E-2</v>
      </c>
      <c r="D773">
        <v>3.1747999999999998E-2</v>
      </c>
      <c r="E773">
        <v>2.9479000000000002E-2</v>
      </c>
      <c r="F773">
        <v>2235390660</v>
      </c>
      <c r="G773">
        <v>500</v>
      </c>
      <c r="H773">
        <v>2183095680</v>
      </c>
      <c r="I773">
        <v>500</v>
      </c>
      <c r="J773">
        <v>339.94</v>
      </c>
      <c r="K773">
        <v>2.4254999999999999E-2</v>
      </c>
      <c r="L773">
        <v>0.64</v>
      </c>
      <c r="M773">
        <v>128.6</v>
      </c>
      <c r="N773">
        <f t="shared" si="18"/>
        <v>2.1798320373250579E-2</v>
      </c>
      <c r="O773">
        <f t="shared" si="19"/>
        <v>1.7045101088646319E-3</v>
      </c>
      <c r="P773">
        <f t="shared" si="20"/>
        <v>2.0093810264385947E-2</v>
      </c>
    </row>
    <row r="774" spans="1:16" x14ac:dyDescent="0.35">
      <c r="A774" s="1">
        <v>32993</v>
      </c>
      <c r="B774">
        <v>-2.4504000000000001E-2</v>
      </c>
      <c r="C774">
        <v>-2.6508E-2</v>
      </c>
      <c r="D774">
        <v>-4.0596E-2</v>
      </c>
      <c r="E774">
        <v>-4.2153999999999997E-2</v>
      </c>
      <c r="F774">
        <v>2174598700</v>
      </c>
      <c r="G774">
        <v>500</v>
      </c>
      <c r="H774">
        <v>2235390660</v>
      </c>
      <c r="I774">
        <v>500</v>
      </c>
      <c r="J774">
        <v>330.8</v>
      </c>
      <c r="K774">
        <v>-2.6887000000000001E-2</v>
      </c>
      <c r="L774">
        <v>0.69</v>
      </c>
      <c r="M774">
        <v>128.9</v>
      </c>
      <c r="N774">
        <f t="shared" si="18"/>
        <v>-2.677435531419714E-2</v>
      </c>
      <c r="O774">
        <f t="shared" si="19"/>
        <v>4.5565554693558497E-3</v>
      </c>
      <c r="P774">
        <f t="shared" si="20"/>
        <v>-3.133091078355299E-2</v>
      </c>
    </row>
    <row r="775" spans="1:16" x14ac:dyDescent="0.35">
      <c r="A775" s="1">
        <v>33024</v>
      </c>
      <c r="B775">
        <v>9.7419000000000006E-2</v>
      </c>
      <c r="C775">
        <v>9.2408000000000004E-2</v>
      </c>
      <c r="D775">
        <v>9.6223000000000003E-2</v>
      </c>
      <c r="E775">
        <v>9.2115000000000002E-2</v>
      </c>
      <c r="F775">
        <v>2374490580</v>
      </c>
      <c r="G775">
        <v>500</v>
      </c>
      <c r="H775">
        <v>2173568860</v>
      </c>
      <c r="I775">
        <v>500</v>
      </c>
      <c r="J775">
        <v>361.23</v>
      </c>
      <c r="K775">
        <v>9.1989000000000001E-2</v>
      </c>
      <c r="L775">
        <v>0.68</v>
      </c>
      <c r="M775">
        <v>129.1</v>
      </c>
      <c r="N775">
        <f t="shared" si="18"/>
        <v>9.5718893106119252E-2</v>
      </c>
      <c r="O775">
        <f t="shared" si="19"/>
        <v>5.2402788536018985E-3</v>
      </c>
      <c r="P775">
        <f t="shared" si="20"/>
        <v>9.0478614252517353E-2</v>
      </c>
    </row>
    <row r="776" spans="1:16" x14ac:dyDescent="0.35">
      <c r="A776" s="1">
        <v>33053</v>
      </c>
      <c r="B776">
        <v>-6.7539999999999996E-3</v>
      </c>
      <c r="C776">
        <v>-8.9210000000000001E-3</v>
      </c>
      <c r="D776">
        <v>-1.4536E-2</v>
      </c>
      <c r="E776">
        <v>-1.6792999999999999E-2</v>
      </c>
      <c r="F776">
        <v>2349498440</v>
      </c>
      <c r="G776">
        <v>500</v>
      </c>
      <c r="H776">
        <v>2372779120</v>
      </c>
      <c r="I776">
        <v>500</v>
      </c>
      <c r="J776">
        <v>358.02</v>
      </c>
      <c r="K776">
        <v>-8.8859999999999998E-3</v>
      </c>
      <c r="L776">
        <v>0.63</v>
      </c>
      <c r="M776">
        <v>129.9</v>
      </c>
      <c r="N776">
        <f t="shared" si="18"/>
        <v>-1.2870988452655996E-2</v>
      </c>
      <c r="O776">
        <f t="shared" si="19"/>
        <v>1.0261739799832803E-4</v>
      </c>
      <c r="P776">
        <f t="shared" si="20"/>
        <v>-1.2973605850654324E-2</v>
      </c>
    </row>
    <row r="777" spans="1:16" x14ac:dyDescent="0.35">
      <c r="A777" s="1">
        <v>33085</v>
      </c>
      <c r="B777">
        <v>-4.4539999999999996E-3</v>
      </c>
      <c r="C777">
        <v>-6.5079999999999999E-3</v>
      </c>
      <c r="D777">
        <v>-2.4604999999999998E-2</v>
      </c>
      <c r="E777">
        <v>-2.6190000000000001E-2</v>
      </c>
      <c r="F777">
        <v>2334209120</v>
      </c>
      <c r="G777">
        <v>500</v>
      </c>
      <c r="H777">
        <v>2349498440</v>
      </c>
      <c r="I777">
        <v>500</v>
      </c>
      <c r="J777">
        <v>356.15</v>
      </c>
      <c r="K777">
        <v>-5.2230000000000002E-3</v>
      </c>
      <c r="L777">
        <v>0.68</v>
      </c>
      <c r="M777">
        <v>130.5</v>
      </c>
      <c r="N777">
        <f t="shared" si="18"/>
        <v>-9.0312229885056716E-3</v>
      </c>
      <c r="O777">
        <f t="shared" si="19"/>
        <v>2.1710344827585715E-3</v>
      </c>
      <c r="P777">
        <f t="shared" si="20"/>
        <v>-1.1202257471264243E-2</v>
      </c>
    </row>
    <row r="778" spans="1:16" x14ac:dyDescent="0.35">
      <c r="A778" s="1">
        <v>33116</v>
      </c>
      <c r="B778">
        <v>-9.0801000000000007E-2</v>
      </c>
      <c r="C778">
        <v>-9.4896999999999995E-2</v>
      </c>
      <c r="D778">
        <v>-0.112374</v>
      </c>
      <c r="E778">
        <v>-0.116285</v>
      </c>
      <c r="F778">
        <v>2112582920</v>
      </c>
      <c r="G778">
        <v>500</v>
      </c>
      <c r="H778">
        <v>2334144960</v>
      </c>
      <c r="I778">
        <v>500</v>
      </c>
      <c r="J778">
        <v>322.56</v>
      </c>
      <c r="K778">
        <v>-9.4313999999999995E-2</v>
      </c>
      <c r="L778">
        <v>0.66</v>
      </c>
      <c r="M778">
        <v>131.6</v>
      </c>
      <c r="N778">
        <f t="shared" si="18"/>
        <v>-9.8400687689969568E-2</v>
      </c>
      <c r="O778">
        <f t="shared" si="19"/>
        <v>-1.8138297872339892E-3</v>
      </c>
      <c r="P778">
        <f t="shared" si="20"/>
        <v>-9.6586857902735579E-2</v>
      </c>
    </row>
    <row r="779" spans="1:16" x14ac:dyDescent="0.35">
      <c r="A779" s="1">
        <v>33144</v>
      </c>
      <c r="B779">
        <v>-4.8959000000000003E-2</v>
      </c>
      <c r="C779">
        <v>-5.1213000000000002E-2</v>
      </c>
      <c r="D779">
        <v>-7.3623999999999995E-2</v>
      </c>
      <c r="E779">
        <v>-7.5720999999999997E-2</v>
      </c>
      <c r="F779">
        <v>2002928580</v>
      </c>
      <c r="G779">
        <v>500</v>
      </c>
      <c r="H779">
        <v>2111638140</v>
      </c>
      <c r="I779">
        <v>499</v>
      </c>
      <c r="J779">
        <v>306.05</v>
      </c>
      <c r="K779">
        <v>-5.1184E-2</v>
      </c>
      <c r="L779">
        <v>0.6</v>
      </c>
      <c r="M779">
        <v>132.5</v>
      </c>
      <c r="N779">
        <f t="shared" si="18"/>
        <v>-5.5418901132075482E-2</v>
      </c>
      <c r="O779">
        <f t="shared" si="19"/>
        <v>-8.3320754716975642E-4</v>
      </c>
      <c r="P779">
        <f t="shared" si="20"/>
        <v>-5.4585693584905726E-2</v>
      </c>
    </row>
    <row r="780" spans="1:16" x14ac:dyDescent="0.35">
      <c r="A780" s="1">
        <v>33177</v>
      </c>
      <c r="B780">
        <v>-3.5969999999999999E-3</v>
      </c>
      <c r="C780">
        <v>-6.11E-3</v>
      </c>
      <c r="D780">
        <v>-3.6372000000000002E-2</v>
      </c>
      <c r="E780">
        <v>-3.8471999999999999E-2</v>
      </c>
      <c r="F780">
        <v>1991168900</v>
      </c>
      <c r="G780">
        <v>500</v>
      </c>
      <c r="H780">
        <v>2003368480</v>
      </c>
      <c r="I780">
        <v>500</v>
      </c>
      <c r="J780">
        <v>304</v>
      </c>
      <c r="K780">
        <v>-6.698E-3</v>
      </c>
      <c r="L780">
        <v>0.68</v>
      </c>
      <c r="M780">
        <v>133.4</v>
      </c>
      <c r="N780">
        <f t="shared" si="18"/>
        <v>-1.0319359070464662E-2</v>
      </c>
      <c r="O780">
        <f t="shared" si="19"/>
        <v>7.4962518739063455E-6</v>
      </c>
      <c r="P780">
        <f t="shared" si="20"/>
        <v>-1.0326855322338568E-2</v>
      </c>
    </row>
    <row r="781" spans="1:16" x14ac:dyDescent="0.35">
      <c r="A781" s="1">
        <v>33207</v>
      </c>
      <c r="B781">
        <v>6.4560999999999993E-2</v>
      </c>
      <c r="C781">
        <v>5.9896999999999999E-2</v>
      </c>
      <c r="D781">
        <v>9.2115000000000002E-2</v>
      </c>
      <c r="E781">
        <v>8.7744000000000003E-2</v>
      </c>
      <c r="F781">
        <v>2110446020</v>
      </c>
      <c r="G781">
        <v>500</v>
      </c>
      <c r="H781">
        <v>1991168900</v>
      </c>
      <c r="I781">
        <v>500</v>
      </c>
      <c r="J781">
        <v>322.22000000000003</v>
      </c>
      <c r="K781">
        <v>5.9934000000000001E-2</v>
      </c>
      <c r="L781">
        <v>0.56999999999999995</v>
      </c>
      <c r="M781">
        <v>133.69999999999999</v>
      </c>
      <c r="N781">
        <f t="shared" si="18"/>
        <v>6.2172306656694154E-2</v>
      </c>
      <c r="O781">
        <f t="shared" si="19"/>
        <v>3.4433807030667118E-3</v>
      </c>
      <c r="P781">
        <f t="shared" si="20"/>
        <v>5.8728925953627442E-2</v>
      </c>
    </row>
    <row r="782" spans="1:16" x14ac:dyDescent="0.35">
      <c r="A782" s="1">
        <v>33238</v>
      </c>
      <c r="B782">
        <v>2.7987000000000001E-2</v>
      </c>
      <c r="C782">
        <v>2.4954E-2</v>
      </c>
      <c r="D782">
        <v>4.1911999999999998E-2</v>
      </c>
      <c r="E782">
        <v>3.8774999999999997E-2</v>
      </c>
      <c r="F782">
        <v>2157632800</v>
      </c>
      <c r="G782">
        <v>500</v>
      </c>
      <c r="H782">
        <v>2109306380</v>
      </c>
      <c r="I782">
        <v>500</v>
      </c>
      <c r="J782">
        <v>330.22</v>
      </c>
      <c r="K782">
        <v>2.4827999999999999E-2</v>
      </c>
      <c r="L782">
        <v>0.6</v>
      </c>
      <c r="M782">
        <v>134.19999999999999</v>
      </c>
      <c r="N782">
        <f t="shared" si="18"/>
        <v>2.4156944113263856E-2</v>
      </c>
      <c r="O782">
        <f t="shared" si="19"/>
        <v>2.251862891207157E-3</v>
      </c>
      <c r="P782">
        <f t="shared" si="20"/>
        <v>2.1905081222056699E-2</v>
      </c>
    </row>
    <row r="783" spans="1:16" x14ac:dyDescent="0.35">
      <c r="A783" s="1">
        <v>33269</v>
      </c>
      <c r="B783">
        <v>4.5000999999999999E-2</v>
      </c>
      <c r="C783">
        <v>4.3062999999999997E-2</v>
      </c>
      <c r="D783">
        <v>8.2064999999999999E-2</v>
      </c>
      <c r="E783">
        <v>8.0434000000000005E-2</v>
      </c>
      <c r="F783">
        <v>2252386090</v>
      </c>
      <c r="G783">
        <v>500</v>
      </c>
      <c r="H783">
        <v>2159391170</v>
      </c>
      <c r="I783">
        <v>500</v>
      </c>
      <c r="J783">
        <v>343.93</v>
      </c>
      <c r="K783">
        <v>4.1517999999999999E-2</v>
      </c>
      <c r="L783">
        <v>0.52</v>
      </c>
      <c r="M783">
        <v>134.69999999999999</v>
      </c>
      <c r="N783">
        <f t="shared" si="18"/>
        <v>4.1122005939123962E-2</v>
      </c>
      <c r="O783">
        <f t="shared" si="19"/>
        <v>1.4687453600594758E-3</v>
      </c>
      <c r="P783">
        <f t="shared" si="20"/>
        <v>3.9653260579064487E-2</v>
      </c>
    </row>
    <row r="784" spans="1:16" x14ac:dyDescent="0.35">
      <c r="A784" s="1">
        <v>33297</v>
      </c>
      <c r="B784">
        <v>7.1565000000000004E-2</v>
      </c>
      <c r="C784">
        <v>6.7371E-2</v>
      </c>
      <c r="D784">
        <v>8.5194000000000006E-2</v>
      </c>
      <c r="E784">
        <v>8.1479999999999997E-2</v>
      </c>
      <c r="F784">
        <v>2405166440</v>
      </c>
      <c r="G784">
        <v>500</v>
      </c>
      <c r="H784">
        <v>2253452300</v>
      </c>
      <c r="I784">
        <v>500</v>
      </c>
      <c r="J784">
        <v>367.07</v>
      </c>
      <c r="K784">
        <v>6.7280999999999994E-2</v>
      </c>
      <c r="L784">
        <v>0.48</v>
      </c>
      <c r="M784">
        <v>134.80000000000001</v>
      </c>
      <c r="N784">
        <f t="shared" si="18"/>
        <v>7.0770070474777347E-2</v>
      </c>
      <c r="O784">
        <f t="shared" si="19"/>
        <v>4.05459940652797E-3</v>
      </c>
      <c r="P784">
        <f t="shared" si="20"/>
        <v>6.6715471068249377E-2</v>
      </c>
    </row>
    <row r="785" spans="1:16" x14ac:dyDescent="0.35">
      <c r="A785" s="1">
        <v>33325</v>
      </c>
      <c r="B785">
        <v>2.4354000000000001E-2</v>
      </c>
      <c r="C785">
        <v>2.2311999999999999E-2</v>
      </c>
      <c r="D785">
        <v>3.0852999999999998E-2</v>
      </c>
      <c r="E785">
        <v>2.8634E-2</v>
      </c>
      <c r="F785">
        <v>2467384060</v>
      </c>
      <c r="G785">
        <v>500</v>
      </c>
      <c r="H785">
        <v>2405166440</v>
      </c>
      <c r="I785">
        <v>500</v>
      </c>
      <c r="J785">
        <v>375.22</v>
      </c>
      <c r="K785">
        <v>2.2203000000000001E-2</v>
      </c>
      <c r="L785">
        <v>0.44</v>
      </c>
      <c r="M785">
        <v>134.80000000000001</v>
      </c>
      <c r="N785">
        <f t="shared" si="18"/>
        <v>2.4353999999999987E-2</v>
      </c>
      <c r="O785">
        <f t="shared" si="19"/>
        <v>4.3999999999999595E-3</v>
      </c>
      <c r="P785">
        <f t="shared" si="20"/>
        <v>1.9954000000000027E-2</v>
      </c>
    </row>
    <row r="786" spans="1:16" x14ac:dyDescent="0.35">
      <c r="A786" s="1">
        <v>33358</v>
      </c>
      <c r="B786">
        <v>2.2680000000000001E-3</v>
      </c>
      <c r="C786">
        <v>2.14E-4</v>
      </c>
      <c r="D786">
        <v>5.0460000000000001E-3</v>
      </c>
      <c r="E786">
        <v>3.3519999999999999E-3</v>
      </c>
      <c r="F786">
        <v>2468691450</v>
      </c>
      <c r="G786">
        <v>500</v>
      </c>
      <c r="H786">
        <v>2468209980</v>
      </c>
      <c r="I786">
        <v>499</v>
      </c>
      <c r="J786">
        <v>375.35</v>
      </c>
      <c r="K786">
        <v>3.4600000000000001E-4</v>
      </c>
      <c r="L786">
        <v>0.53</v>
      </c>
      <c r="M786">
        <v>135.1</v>
      </c>
      <c r="N786">
        <f t="shared" si="18"/>
        <v>4.2386380459058515E-5</v>
      </c>
      <c r="O786">
        <f t="shared" si="19"/>
        <v>3.067653589933661E-3</v>
      </c>
      <c r="P786">
        <f t="shared" si="20"/>
        <v>-3.0252672094746025E-3</v>
      </c>
    </row>
    <row r="787" spans="1:16" x14ac:dyDescent="0.35">
      <c r="A787" s="1">
        <v>33389</v>
      </c>
      <c r="B787">
        <v>4.2930000000000003E-2</v>
      </c>
      <c r="C787">
        <v>3.8759000000000002E-2</v>
      </c>
      <c r="D787">
        <v>5.4462000000000003E-2</v>
      </c>
      <c r="E787">
        <v>5.0928000000000001E-2</v>
      </c>
      <c r="F787">
        <v>2564421530</v>
      </c>
      <c r="G787">
        <v>500</v>
      </c>
      <c r="H787">
        <v>2469616230</v>
      </c>
      <c r="I787">
        <v>500</v>
      </c>
      <c r="J787">
        <v>389.83</v>
      </c>
      <c r="K787">
        <v>3.8577E-2</v>
      </c>
      <c r="L787">
        <v>0.47</v>
      </c>
      <c r="M787">
        <v>135.6</v>
      </c>
      <c r="N787">
        <f t="shared" si="18"/>
        <v>3.9084387905604645E-2</v>
      </c>
      <c r="O787">
        <f t="shared" si="19"/>
        <v>9.9535398230066185E-4</v>
      </c>
      <c r="P787">
        <f t="shared" si="20"/>
        <v>3.8089033923303983E-2</v>
      </c>
    </row>
    <row r="788" spans="1:16" x14ac:dyDescent="0.35">
      <c r="A788" s="1">
        <v>33417</v>
      </c>
      <c r="B788">
        <v>-4.5357000000000001E-2</v>
      </c>
      <c r="C788">
        <v>-4.7497999999999999E-2</v>
      </c>
      <c r="D788">
        <v>-4.9743000000000002E-2</v>
      </c>
      <c r="E788">
        <v>-5.1791999999999998E-2</v>
      </c>
      <c r="F788">
        <v>2450413650</v>
      </c>
      <c r="G788">
        <v>500</v>
      </c>
      <c r="H788">
        <v>2564421530</v>
      </c>
      <c r="I788">
        <v>500</v>
      </c>
      <c r="J788">
        <v>371.16</v>
      </c>
      <c r="K788">
        <v>-4.7892999999999998E-2</v>
      </c>
      <c r="L788">
        <v>0.42</v>
      </c>
      <c r="M788">
        <v>136</v>
      </c>
      <c r="N788">
        <f t="shared" si="18"/>
        <v>-4.8164773529411731E-2</v>
      </c>
      <c r="O788">
        <f t="shared" si="19"/>
        <v>1.2464705882353488E-3</v>
      </c>
      <c r="P788">
        <f t="shared" si="20"/>
        <v>-4.941124411764708E-2</v>
      </c>
    </row>
    <row r="789" spans="1:16" x14ac:dyDescent="0.35">
      <c r="A789" s="1">
        <v>33450</v>
      </c>
      <c r="B789">
        <v>4.6525999999999998E-2</v>
      </c>
      <c r="C789">
        <v>4.4798999999999999E-2</v>
      </c>
      <c r="D789">
        <v>4.1944000000000002E-2</v>
      </c>
      <c r="E789">
        <v>4.0443E-2</v>
      </c>
      <c r="F789">
        <v>2562517660</v>
      </c>
      <c r="G789">
        <v>500</v>
      </c>
      <c r="H789">
        <v>2450413650</v>
      </c>
      <c r="I789">
        <v>500</v>
      </c>
      <c r="J789">
        <v>387.81</v>
      </c>
      <c r="K789">
        <v>4.4859000000000003E-2</v>
      </c>
      <c r="L789">
        <v>0.49</v>
      </c>
      <c r="M789">
        <v>136.19999999999999</v>
      </c>
      <c r="N789">
        <f t="shared" si="18"/>
        <v>4.4989251101321681E-2</v>
      </c>
      <c r="O789">
        <f t="shared" si="19"/>
        <v>3.4243759177678967E-3</v>
      </c>
      <c r="P789">
        <f t="shared" si="20"/>
        <v>4.1564875183553784E-2</v>
      </c>
    </row>
    <row r="790" spans="1:16" x14ac:dyDescent="0.35">
      <c r="A790" s="1">
        <v>33480</v>
      </c>
      <c r="B790">
        <v>2.3885E-2</v>
      </c>
      <c r="C790">
        <v>1.9911999999999999E-2</v>
      </c>
      <c r="D790">
        <v>2.2633E-2</v>
      </c>
      <c r="E790">
        <v>1.8943999999999999E-2</v>
      </c>
      <c r="F790">
        <v>2613522050</v>
      </c>
      <c r="G790">
        <v>500</v>
      </c>
      <c r="H790">
        <v>2562517660</v>
      </c>
      <c r="I790">
        <v>500</v>
      </c>
      <c r="J790">
        <v>395.43</v>
      </c>
      <c r="K790">
        <v>1.9649E-2</v>
      </c>
      <c r="L790">
        <v>0.46</v>
      </c>
      <c r="M790">
        <v>136.6</v>
      </c>
      <c r="N790">
        <f t="shared" si="18"/>
        <v>2.0886800878477052E-2</v>
      </c>
      <c r="O790">
        <f t="shared" si="19"/>
        <v>1.6582723279647826E-3</v>
      </c>
      <c r="P790">
        <f t="shared" si="20"/>
        <v>1.9228528550512269E-2</v>
      </c>
    </row>
    <row r="791" spans="1:16" x14ac:dyDescent="0.35">
      <c r="A791" s="1">
        <v>33511</v>
      </c>
      <c r="B791">
        <v>-1.6861000000000001E-2</v>
      </c>
      <c r="C791">
        <v>-1.9061000000000002E-2</v>
      </c>
      <c r="D791">
        <v>-1.9202E-2</v>
      </c>
      <c r="E791">
        <v>-2.1058E-2</v>
      </c>
      <c r="F791">
        <v>2576043750</v>
      </c>
      <c r="G791">
        <v>500</v>
      </c>
      <c r="H791">
        <v>2609675860</v>
      </c>
      <c r="I791">
        <v>500</v>
      </c>
      <c r="J791">
        <v>387.86</v>
      </c>
      <c r="K791">
        <v>-1.9144000000000001E-2</v>
      </c>
      <c r="L791">
        <v>0.46</v>
      </c>
      <c r="M791">
        <v>137</v>
      </c>
      <c r="N791">
        <f t="shared" si="18"/>
        <v>-1.9731478832116789E-2</v>
      </c>
      <c r="O791">
        <f t="shared" si="19"/>
        <v>1.6668613138683952E-3</v>
      </c>
      <c r="P791">
        <f t="shared" si="20"/>
        <v>-2.1398340145985184E-2</v>
      </c>
    </row>
    <row r="792" spans="1:16" x14ac:dyDescent="0.35">
      <c r="A792" s="1">
        <v>33542</v>
      </c>
      <c r="B792">
        <v>1.3457999999999999E-2</v>
      </c>
      <c r="C792">
        <v>1.1899E-2</v>
      </c>
      <c r="D792">
        <v>1.0789999999999999E-2</v>
      </c>
      <c r="E792">
        <v>9.4450000000000003E-3</v>
      </c>
      <c r="F792">
        <v>2607206870</v>
      </c>
      <c r="G792">
        <v>500</v>
      </c>
      <c r="H792">
        <v>2576043750</v>
      </c>
      <c r="I792">
        <v>500</v>
      </c>
      <c r="J792">
        <v>392.46</v>
      </c>
      <c r="K792">
        <v>1.1860000000000001E-2</v>
      </c>
      <c r="L792">
        <v>0.42</v>
      </c>
      <c r="M792">
        <v>137.19999999999999</v>
      </c>
      <c r="N792">
        <f t="shared" si="18"/>
        <v>1.1980655976676635E-2</v>
      </c>
      <c r="O792">
        <f t="shared" si="19"/>
        <v>2.7361516034987154E-3</v>
      </c>
      <c r="P792">
        <f t="shared" si="20"/>
        <v>9.2445043731779197E-3</v>
      </c>
    </row>
    <row r="793" spans="1:16" x14ac:dyDescent="0.35">
      <c r="A793" s="1">
        <v>33571</v>
      </c>
      <c r="B793">
        <v>-4.0214E-2</v>
      </c>
      <c r="C793">
        <v>-4.3972999999999998E-2</v>
      </c>
      <c r="D793">
        <v>-5.0809E-2</v>
      </c>
      <c r="E793">
        <v>-5.416E-2</v>
      </c>
      <c r="F793">
        <v>2503675760</v>
      </c>
      <c r="G793">
        <v>500</v>
      </c>
      <c r="H793">
        <v>2618010040</v>
      </c>
      <c r="I793">
        <v>500</v>
      </c>
      <c r="J793">
        <v>375.22</v>
      </c>
      <c r="K793">
        <v>-4.3928000000000002E-2</v>
      </c>
      <c r="L793">
        <v>0.39</v>
      </c>
      <c r="M793">
        <v>137.80000000000001</v>
      </c>
      <c r="N793">
        <f t="shared" si="18"/>
        <v>-4.4393039187228034E-2</v>
      </c>
      <c r="O793">
        <f t="shared" si="19"/>
        <v>-4.7111756168383145E-4</v>
      </c>
      <c r="P793">
        <f t="shared" si="20"/>
        <v>-4.3921921625544202E-2</v>
      </c>
    </row>
    <row r="794" spans="1:16" x14ac:dyDescent="0.35">
      <c r="A794" s="1">
        <v>33603</v>
      </c>
      <c r="B794">
        <v>0.114089</v>
      </c>
      <c r="C794">
        <v>0.11147600000000001</v>
      </c>
      <c r="D794">
        <v>0.113619</v>
      </c>
      <c r="E794">
        <v>0.111208</v>
      </c>
      <c r="F794">
        <v>2789110760</v>
      </c>
      <c r="G794">
        <v>500</v>
      </c>
      <c r="H794">
        <v>2503675760</v>
      </c>
      <c r="I794">
        <v>500</v>
      </c>
      <c r="J794">
        <v>417.09</v>
      </c>
      <c r="K794">
        <v>0.11158800000000001</v>
      </c>
      <c r="L794">
        <v>0.38</v>
      </c>
      <c r="M794">
        <v>138.19999999999999</v>
      </c>
      <c r="N794">
        <f t="shared" si="18"/>
        <v>0.11086442981186684</v>
      </c>
      <c r="O794">
        <f t="shared" si="19"/>
        <v>8.9464544138939672E-4</v>
      </c>
      <c r="P794">
        <f t="shared" si="20"/>
        <v>0.10996978437047744</v>
      </c>
    </row>
    <row r="795" spans="1:16" x14ac:dyDescent="0.35">
      <c r="A795" s="1">
        <v>33634</v>
      </c>
      <c r="B795">
        <v>-1.8348E-2</v>
      </c>
      <c r="C795">
        <v>-1.9654000000000001E-2</v>
      </c>
      <c r="D795">
        <v>1.7853000000000001E-2</v>
      </c>
      <c r="E795">
        <v>1.6646999999999999E-2</v>
      </c>
      <c r="F795">
        <v>2745911680</v>
      </c>
      <c r="G795">
        <v>500</v>
      </c>
      <c r="H795">
        <v>2800740140</v>
      </c>
      <c r="I795">
        <v>500</v>
      </c>
      <c r="J795">
        <v>408.79</v>
      </c>
      <c r="K795">
        <v>-1.9900000000000001E-2</v>
      </c>
      <c r="L795">
        <v>0.34</v>
      </c>
      <c r="M795">
        <v>138.30000000000001</v>
      </c>
      <c r="N795">
        <f t="shared" ref="N795:N858" si="21">(1+B795)*M794/M795-1</f>
        <v>-1.9057798987708097E-2</v>
      </c>
      <c r="O795">
        <f t="shared" ref="O795:O858" si="22">(1+L795/100)*M794/M795-1</f>
        <v>2.6744757772956262E-3</v>
      </c>
      <c r="P795">
        <f t="shared" ref="P795:P858" si="23">N795-O795</f>
        <v>-2.1732274765003723E-2</v>
      </c>
    </row>
    <row r="796" spans="1:16" x14ac:dyDescent="0.35">
      <c r="A796" s="1">
        <v>33662</v>
      </c>
      <c r="B796">
        <v>1.2865E-2</v>
      </c>
      <c r="C796">
        <v>9.4420000000000007E-3</v>
      </c>
      <c r="D796">
        <v>3.0384999999999999E-2</v>
      </c>
      <c r="E796">
        <v>2.7321000000000002E-2</v>
      </c>
      <c r="F796">
        <v>2773359970</v>
      </c>
      <c r="G796">
        <v>500</v>
      </c>
      <c r="H796">
        <v>2747385930</v>
      </c>
      <c r="I796">
        <v>500</v>
      </c>
      <c r="J796">
        <v>412.7</v>
      </c>
      <c r="K796">
        <v>9.5650000000000006E-3</v>
      </c>
      <c r="L796">
        <v>0.28000000000000003</v>
      </c>
      <c r="M796">
        <v>138.6</v>
      </c>
      <c r="N796">
        <f t="shared" si="21"/>
        <v>1.0672651515151621E-2</v>
      </c>
      <c r="O796">
        <f t="shared" si="22"/>
        <v>6.2943722943731295E-4</v>
      </c>
      <c r="P796">
        <f t="shared" si="23"/>
        <v>1.0043214285714308E-2</v>
      </c>
    </row>
    <row r="797" spans="1:16" x14ac:dyDescent="0.35">
      <c r="A797" s="1">
        <v>33694</v>
      </c>
      <c r="B797">
        <v>-1.9470000000000001E-2</v>
      </c>
      <c r="C797">
        <v>-2.1873E-2</v>
      </c>
      <c r="D797">
        <v>-2.0264000000000001E-2</v>
      </c>
      <c r="E797">
        <v>-2.2422000000000001E-2</v>
      </c>
      <c r="F797">
        <v>2728268260</v>
      </c>
      <c r="G797">
        <v>500</v>
      </c>
      <c r="H797">
        <v>2773359970</v>
      </c>
      <c r="I797">
        <v>500</v>
      </c>
      <c r="J797">
        <v>403.69</v>
      </c>
      <c r="K797">
        <v>-2.1832000000000001E-2</v>
      </c>
      <c r="L797">
        <v>0.34</v>
      </c>
      <c r="M797">
        <v>139.1</v>
      </c>
      <c r="N797">
        <f t="shared" si="21"/>
        <v>-2.2994550682961967E-2</v>
      </c>
      <c r="O797">
        <f t="shared" si="22"/>
        <v>-2.0675772825284877E-4</v>
      </c>
      <c r="P797">
        <f t="shared" si="23"/>
        <v>-2.2787792954709118E-2</v>
      </c>
    </row>
    <row r="798" spans="1:16" x14ac:dyDescent="0.35">
      <c r="A798" s="1">
        <v>33724</v>
      </c>
      <c r="B798">
        <v>2.8614000000000001E-2</v>
      </c>
      <c r="C798">
        <v>2.7157000000000001E-2</v>
      </c>
      <c r="D798">
        <v>1.6597000000000001E-2</v>
      </c>
      <c r="E798">
        <v>1.5297E-2</v>
      </c>
      <c r="F798">
        <v>2799309950</v>
      </c>
      <c r="G798">
        <v>500</v>
      </c>
      <c r="H798">
        <v>2725319640</v>
      </c>
      <c r="I798">
        <v>500</v>
      </c>
      <c r="J798">
        <v>414.95</v>
      </c>
      <c r="K798">
        <v>2.7893000000000001E-2</v>
      </c>
      <c r="L798">
        <v>0.32</v>
      </c>
      <c r="M798">
        <v>139.4</v>
      </c>
      <c r="N798">
        <f t="shared" si="21"/>
        <v>2.6400340028694291E-2</v>
      </c>
      <c r="O798">
        <f t="shared" si="22"/>
        <v>1.0410329985652833E-3</v>
      </c>
      <c r="P798">
        <f t="shared" si="23"/>
        <v>2.5359307030129008E-2</v>
      </c>
    </row>
    <row r="799" spans="1:16" x14ac:dyDescent="0.35">
      <c r="A799" s="1">
        <v>33753</v>
      </c>
      <c r="B799">
        <v>4.8500000000000001E-3</v>
      </c>
      <c r="C799">
        <v>1.0870000000000001E-3</v>
      </c>
      <c r="D799">
        <v>1.9300000000000001E-3</v>
      </c>
      <c r="E799">
        <v>-1.292E-3</v>
      </c>
      <c r="F799">
        <v>2802423500</v>
      </c>
      <c r="G799">
        <v>500</v>
      </c>
      <c r="H799">
        <v>2799309950</v>
      </c>
      <c r="I799">
        <v>500</v>
      </c>
      <c r="J799">
        <v>415.35</v>
      </c>
      <c r="K799">
        <v>9.6400000000000001E-4</v>
      </c>
      <c r="L799">
        <v>0.28000000000000003</v>
      </c>
      <c r="M799">
        <v>139.69999999999999</v>
      </c>
      <c r="N799">
        <f t="shared" si="21"/>
        <v>2.6921259842522804E-3</v>
      </c>
      <c r="O799">
        <f t="shared" si="22"/>
        <v>6.4652827487465814E-4</v>
      </c>
      <c r="P799">
        <f t="shared" si="23"/>
        <v>2.0455977093776223E-3</v>
      </c>
    </row>
    <row r="800" spans="1:16" x14ac:dyDescent="0.35">
      <c r="A800" s="1">
        <v>33785</v>
      </c>
      <c r="B800">
        <v>-1.503E-2</v>
      </c>
      <c r="C800">
        <v>-1.7545000000000002E-2</v>
      </c>
      <c r="D800">
        <v>-2.0451E-2</v>
      </c>
      <c r="E800">
        <v>-2.2667E-2</v>
      </c>
      <c r="F800">
        <v>2771525140</v>
      </c>
      <c r="G800">
        <v>500</v>
      </c>
      <c r="H800">
        <v>2802423500</v>
      </c>
      <c r="I800">
        <v>500</v>
      </c>
      <c r="J800">
        <v>408.14</v>
      </c>
      <c r="K800">
        <v>-1.7358999999999999E-2</v>
      </c>
      <c r="L800">
        <v>0.32</v>
      </c>
      <c r="M800">
        <v>140.1</v>
      </c>
      <c r="N800">
        <f t="shared" si="21"/>
        <v>-1.7842191291934428E-2</v>
      </c>
      <c r="O800">
        <f t="shared" si="22"/>
        <v>3.3576017130632074E-4</v>
      </c>
      <c r="P800">
        <f t="shared" si="23"/>
        <v>-1.8177951463240749E-2</v>
      </c>
    </row>
    <row r="801" spans="1:16" x14ac:dyDescent="0.35">
      <c r="A801" s="1">
        <v>33816</v>
      </c>
      <c r="B801">
        <v>4.0924000000000002E-2</v>
      </c>
      <c r="C801">
        <v>3.9465E-2</v>
      </c>
      <c r="D801">
        <v>4.079E-2</v>
      </c>
      <c r="E801">
        <v>3.9542000000000001E-2</v>
      </c>
      <c r="F801">
        <v>2886309510</v>
      </c>
      <c r="G801">
        <v>500</v>
      </c>
      <c r="H801">
        <v>2779162430</v>
      </c>
      <c r="I801">
        <v>500</v>
      </c>
      <c r="J801">
        <v>424.21</v>
      </c>
      <c r="K801">
        <v>3.9373999999999999E-2</v>
      </c>
      <c r="L801">
        <v>0.31</v>
      </c>
      <c r="M801">
        <v>140.5</v>
      </c>
      <c r="N801">
        <f t="shared" si="21"/>
        <v>3.7960515302491116E-2</v>
      </c>
      <c r="O801">
        <f t="shared" si="22"/>
        <v>2.441992882562527E-4</v>
      </c>
      <c r="P801">
        <f t="shared" si="23"/>
        <v>3.7716316014234863E-2</v>
      </c>
    </row>
    <row r="802" spans="1:16" x14ac:dyDescent="0.35">
      <c r="A802" s="1">
        <v>33847</v>
      </c>
      <c r="B802">
        <v>-2.0615000000000001E-2</v>
      </c>
      <c r="C802">
        <v>-2.4213999999999999E-2</v>
      </c>
      <c r="D802">
        <v>-2.7431000000000001E-2</v>
      </c>
      <c r="E802">
        <v>-3.0637000000000001E-2</v>
      </c>
      <c r="F802">
        <v>2818496900</v>
      </c>
      <c r="G802">
        <v>500</v>
      </c>
      <c r="H802">
        <v>2888621690</v>
      </c>
      <c r="I802">
        <v>500</v>
      </c>
      <c r="J802">
        <v>414.03</v>
      </c>
      <c r="K802">
        <v>-2.3997999999999998E-2</v>
      </c>
      <c r="L802">
        <v>0.26</v>
      </c>
      <c r="M802">
        <v>140.80000000000001</v>
      </c>
      <c r="N802">
        <f t="shared" si="21"/>
        <v>-2.2701757812500167E-2</v>
      </c>
      <c r="O802">
        <f t="shared" si="22"/>
        <v>4.6377840909084256E-4</v>
      </c>
      <c r="P802">
        <f t="shared" si="23"/>
        <v>-2.316553622159101E-2</v>
      </c>
    </row>
    <row r="803" spans="1:16" x14ac:dyDescent="0.35">
      <c r="A803" s="1">
        <v>33877</v>
      </c>
      <c r="B803">
        <v>1.1339999999999999E-2</v>
      </c>
      <c r="C803">
        <v>8.9160000000000003E-3</v>
      </c>
      <c r="D803">
        <v>1.8991000000000001E-2</v>
      </c>
      <c r="E803">
        <v>1.6985E-2</v>
      </c>
      <c r="F803">
        <v>2846183180</v>
      </c>
      <c r="G803">
        <v>500</v>
      </c>
      <c r="H803">
        <v>2818496900</v>
      </c>
      <c r="I803">
        <v>500</v>
      </c>
      <c r="J803">
        <v>417.8</v>
      </c>
      <c r="K803">
        <v>9.1059999999999995E-3</v>
      </c>
      <c r="L803">
        <v>0.26</v>
      </c>
      <c r="M803">
        <v>141.1</v>
      </c>
      <c r="N803">
        <f t="shared" si="21"/>
        <v>9.1897377746279485E-3</v>
      </c>
      <c r="O803">
        <f t="shared" si="22"/>
        <v>4.6832034018429169E-4</v>
      </c>
      <c r="P803">
        <f t="shared" si="23"/>
        <v>8.7214174344436568E-3</v>
      </c>
    </row>
    <row r="804" spans="1:16" x14ac:dyDescent="0.35">
      <c r="A804" s="1">
        <v>33907</v>
      </c>
      <c r="B804">
        <v>4.7959999999999999E-3</v>
      </c>
      <c r="C804">
        <v>3.4550000000000002E-3</v>
      </c>
      <c r="D804">
        <v>2.0397999999999999E-2</v>
      </c>
      <c r="E804">
        <v>1.9324999999999998E-2</v>
      </c>
      <c r="F804">
        <v>2857804680</v>
      </c>
      <c r="G804">
        <v>500</v>
      </c>
      <c r="H804">
        <v>2847881010</v>
      </c>
      <c r="I804">
        <v>500</v>
      </c>
      <c r="J804">
        <v>418.68</v>
      </c>
      <c r="K804">
        <v>2.1059999999999998E-3</v>
      </c>
      <c r="L804">
        <v>0.23</v>
      </c>
      <c r="M804">
        <v>141.69999999999999</v>
      </c>
      <c r="N804">
        <f t="shared" si="21"/>
        <v>5.4139449541290574E-4</v>
      </c>
      <c r="O804">
        <f t="shared" si="22"/>
        <v>-1.9440366972477419E-3</v>
      </c>
      <c r="P804">
        <f t="shared" si="23"/>
        <v>2.4854311926606476E-3</v>
      </c>
    </row>
    <row r="805" spans="1:16" x14ac:dyDescent="0.35">
      <c r="A805" s="1">
        <v>33938</v>
      </c>
      <c r="B805">
        <v>3.3793999999999998E-2</v>
      </c>
      <c r="C805">
        <v>3.0068999999999999E-2</v>
      </c>
      <c r="D805">
        <v>4.4228999999999997E-2</v>
      </c>
      <c r="E805">
        <v>4.0785000000000002E-2</v>
      </c>
      <c r="F805">
        <v>2943785130</v>
      </c>
      <c r="G805">
        <v>500</v>
      </c>
      <c r="H805">
        <v>2857804680</v>
      </c>
      <c r="I805">
        <v>500</v>
      </c>
      <c r="J805">
        <v>431.35</v>
      </c>
      <c r="K805">
        <v>3.0262000000000001E-2</v>
      </c>
      <c r="L805">
        <v>0.23</v>
      </c>
      <c r="M805">
        <v>142.1</v>
      </c>
      <c r="N805">
        <f t="shared" si="21"/>
        <v>3.0883953553835441E-2</v>
      </c>
      <c r="O805">
        <f t="shared" si="22"/>
        <v>-5.2139338494028298E-4</v>
      </c>
      <c r="P805">
        <f t="shared" si="23"/>
        <v>3.1405346938775724E-2</v>
      </c>
    </row>
    <row r="806" spans="1:16" x14ac:dyDescent="0.35">
      <c r="A806" s="1">
        <v>33969</v>
      </c>
      <c r="B806">
        <v>1.338E-2</v>
      </c>
      <c r="C806">
        <v>1.1197E-2</v>
      </c>
      <c r="D806">
        <v>2.2532E-2</v>
      </c>
      <c r="E806">
        <v>2.0619999999999999E-2</v>
      </c>
      <c r="F806">
        <v>2985091950</v>
      </c>
      <c r="G806">
        <v>500</v>
      </c>
      <c r="H806">
        <v>2943785130</v>
      </c>
      <c r="I806">
        <v>500</v>
      </c>
      <c r="J806">
        <v>435.71</v>
      </c>
      <c r="K806">
        <v>1.0108000000000001E-2</v>
      </c>
      <c r="L806">
        <v>0.28000000000000003</v>
      </c>
      <c r="M806">
        <v>142.30000000000001</v>
      </c>
      <c r="N806">
        <f t="shared" si="21"/>
        <v>1.1955713281798896E-2</v>
      </c>
      <c r="O806">
        <f t="shared" si="22"/>
        <v>1.3905832747713731E-3</v>
      </c>
      <c r="P806">
        <f t="shared" si="23"/>
        <v>1.0565130007027523E-2</v>
      </c>
    </row>
    <row r="807" spans="1:16" x14ac:dyDescent="0.35">
      <c r="A807" s="1">
        <v>33998</v>
      </c>
      <c r="B807">
        <v>7.2820000000000003E-3</v>
      </c>
      <c r="C807">
        <v>5.9639999999999997E-3</v>
      </c>
      <c r="D807">
        <v>2.2706E-2</v>
      </c>
      <c r="E807">
        <v>2.1732999999999999E-2</v>
      </c>
      <c r="F807">
        <v>3002993400</v>
      </c>
      <c r="G807">
        <v>500</v>
      </c>
      <c r="H807">
        <v>2985091950</v>
      </c>
      <c r="I807">
        <v>500</v>
      </c>
      <c r="J807">
        <v>438.78</v>
      </c>
      <c r="K807">
        <v>7.0460000000000002E-3</v>
      </c>
      <c r="L807">
        <v>0.23</v>
      </c>
      <c r="M807">
        <v>142.80000000000001</v>
      </c>
      <c r="N807">
        <f t="shared" si="21"/>
        <v>3.7551022408963686E-3</v>
      </c>
      <c r="O807">
        <f t="shared" si="22"/>
        <v>-1.2094537815126039E-3</v>
      </c>
      <c r="P807">
        <f t="shared" si="23"/>
        <v>4.9645560224089724E-3</v>
      </c>
    </row>
    <row r="808" spans="1:16" x14ac:dyDescent="0.35">
      <c r="A808" s="1">
        <v>34026</v>
      </c>
      <c r="B808">
        <v>1.3526E-2</v>
      </c>
      <c r="C808">
        <v>1.0361E-2</v>
      </c>
      <c r="D808">
        <v>1.0886E-2</v>
      </c>
      <c r="E808">
        <v>8.0180000000000008E-3</v>
      </c>
      <c r="F808">
        <v>3034142190</v>
      </c>
      <c r="G808">
        <v>500</v>
      </c>
      <c r="H808">
        <v>3002993400</v>
      </c>
      <c r="I808">
        <v>500</v>
      </c>
      <c r="J808">
        <v>443.38</v>
      </c>
      <c r="K808">
        <v>1.0484E-2</v>
      </c>
      <c r="L808">
        <v>0.22</v>
      </c>
      <c r="M808">
        <v>143.1</v>
      </c>
      <c r="N808">
        <f t="shared" si="21"/>
        <v>1.1401207547169889E-2</v>
      </c>
      <c r="O808">
        <f t="shared" si="22"/>
        <v>9.8951781970724184E-5</v>
      </c>
      <c r="P808">
        <f t="shared" si="23"/>
        <v>1.1302255765199165E-2</v>
      </c>
    </row>
    <row r="809" spans="1:16" x14ac:dyDescent="0.35">
      <c r="A809" s="1">
        <v>34059</v>
      </c>
      <c r="B809">
        <v>2.1201999999999999E-2</v>
      </c>
      <c r="C809">
        <v>1.8578000000000001E-2</v>
      </c>
      <c r="D809">
        <v>2.7449999999999999E-2</v>
      </c>
      <c r="E809">
        <v>2.5059999999999999E-2</v>
      </c>
      <c r="F809">
        <v>3101305850</v>
      </c>
      <c r="G809">
        <v>500</v>
      </c>
      <c r="H809">
        <v>3033016650</v>
      </c>
      <c r="I809">
        <v>500</v>
      </c>
      <c r="J809">
        <v>451.67</v>
      </c>
      <c r="K809">
        <v>1.8696999999999998E-2</v>
      </c>
      <c r="L809">
        <v>0.25</v>
      </c>
      <c r="M809">
        <v>143.30000000000001</v>
      </c>
      <c r="N809">
        <f t="shared" si="21"/>
        <v>1.9776735519888122E-2</v>
      </c>
      <c r="O809">
        <f t="shared" si="22"/>
        <v>1.1008374040470947E-3</v>
      </c>
      <c r="P809">
        <f t="shared" si="23"/>
        <v>1.8675898115841028E-2</v>
      </c>
    </row>
    <row r="810" spans="1:16" x14ac:dyDescent="0.35">
      <c r="A810" s="1">
        <v>34089</v>
      </c>
      <c r="B810">
        <v>-2.4518999999999999E-2</v>
      </c>
      <c r="C810">
        <v>-2.5780000000000001E-2</v>
      </c>
      <c r="D810">
        <v>-2.1944999999999999E-2</v>
      </c>
      <c r="E810">
        <v>-2.2985999999999999E-2</v>
      </c>
      <c r="F810">
        <v>3021410410</v>
      </c>
      <c r="G810">
        <v>500</v>
      </c>
      <c r="H810">
        <v>3101305850</v>
      </c>
      <c r="I810">
        <v>500</v>
      </c>
      <c r="J810">
        <v>440.19</v>
      </c>
      <c r="K810">
        <v>-2.5416999999999999E-2</v>
      </c>
      <c r="L810">
        <v>0.24</v>
      </c>
      <c r="M810">
        <v>143.80000000000001</v>
      </c>
      <c r="N810">
        <f t="shared" si="21"/>
        <v>-2.7910797635605E-2</v>
      </c>
      <c r="O810">
        <f t="shared" si="22"/>
        <v>-1.0853963838665104E-3</v>
      </c>
      <c r="P810">
        <f t="shared" si="23"/>
        <v>-2.682540125173849E-2</v>
      </c>
    </row>
    <row r="811" spans="1:16" x14ac:dyDescent="0.35">
      <c r="A811" s="1">
        <v>34117</v>
      </c>
      <c r="B811">
        <v>2.6259000000000001E-2</v>
      </c>
      <c r="C811">
        <v>2.2549E-2</v>
      </c>
      <c r="D811">
        <v>3.1629999999999998E-2</v>
      </c>
      <c r="E811">
        <v>2.8379999999999999E-2</v>
      </c>
      <c r="F811">
        <v>3089518660</v>
      </c>
      <c r="G811">
        <v>500</v>
      </c>
      <c r="H811">
        <v>3021410410</v>
      </c>
      <c r="I811">
        <v>500</v>
      </c>
      <c r="J811">
        <v>450.19</v>
      </c>
      <c r="K811">
        <v>2.2717000000000001E-2</v>
      </c>
      <c r="L811">
        <v>0.22</v>
      </c>
      <c r="M811">
        <v>144.19999999999999</v>
      </c>
      <c r="N811">
        <f t="shared" si="21"/>
        <v>2.3412234396671394E-2</v>
      </c>
      <c r="O811">
        <f t="shared" si="22"/>
        <v>-5.8002773925081019E-4</v>
      </c>
      <c r="P811">
        <f t="shared" si="23"/>
        <v>2.3992262135922204E-2</v>
      </c>
    </row>
    <row r="812" spans="1:16" x14ac:dyDescent="0.35">
      <c r="A812" s="1">
        <v>34150</v>
      </c>
      <c r="B812">
        <v>3.4659999999999999E-3</v>
      </c>
      <c r="C812">
        <v>1.0950000000000001E-3</v>
      </c>
      <c r="D812">
        <v>3.4770000000000001E-3</v>
      </c>
      <c r="E812">
        <v>1.3669999999999999E-3</v>
      </c>
      <c r="F812">
        <v>3107724070</v>
      </c>
      <c r="G812">
        <v>500</v>
      </c>
      <c r="H812">
        <v>3089518660</v>
      </c>
      <c r="I812">
        <v>500</v>
      </c>
      <c r="J812">
        <v>450.53</v>
      </c>
      <c r="K812">
        <v>7.5500000000000003E-4</v>
      </c>
      <c r="L812">
        <v>0.25</v>
      </c>
      <c r="M812">
        <v>144.30000000000001</v>
      </c>
      <c r="N812">
        <f t="shared" si="21"/>
        <v>2.7705973665972383E-3</v>
      </c>
      <c r="O812">
        <f t="shared" si="22"/>
        <v>1.8052668052666032E-3</v>
      </c>
      <c r="P812">
        <f t="shared" si="23"/>
        <v>9.6533056133063511E-4</v>
      </c>
    </row>
    <row r="813" spans="1:16" x14ac:dyDescent="0.35">
      <c r="A813" s="1">
        <v>34180</v>
      </c>
      <c r="B813">
        <v>-4.5929999999999999E-3</v>
      </c>
      <c r="C813">
        <v>-5.9090000000000002E-3</v>
      </c>
      <c r="D813">
        <v>-7.2099999999999996E-4</v>
      </c>
      <c r="E813">
        <v>-1.789E-3</v>
      </c>
      <c r="F813">
        <v>3095027090</v>
      </c>
      <c r="G813">
        <v>500</v>
      </c>
      <c r="H813">
        <v>3120483250</v>
      </c>
      <c r="I813">
        <v>500</v>
      </c>
      <c r="J813">
        <v>448.13</v>
      </c>
      <c r="K813">
        <v>-5.3270000000000001E-3</v>
      </c>
      <c r="L813">
        <v>0.24</v>
      </c>
      <c r="M813">
        <v>144.5</v>
      </c>
      <c r="N813">
        <f t="shared" si="21"/>
        <v>-5.9707259515570099E-3</v>
      </c>
      <c r="O813">
        <f t="shared" si="22"/>
        <v>1.0125951557093948E-3</v>
      </c>
      <c r="P813">
        <f t="shared" si="23"/>
        <v>-6.9833211072664048E-3</v>
      </c>
    </row>
    <row r="814" spans="1:16" x14ac:dyDescent="0.35">
      <c r="A814" s="1">
        <v>34212</v>
      </c>
      <c r="B814">
        <v>3.7430999999999999E-2</v>
      </c>
      <c r="C814">
        <v>3.3957000000000001E-2</v>
      </c>
      <c r="D814">
        <v>4.0022000000000002E-2</v>
      </c>
      <c r="E814">
        <v>3.6713999999999997E-2</v>
      </c>
      <c r="F814">
        <v>3200756680</v>
      </c>
      <c r="G814">
        <v>500</v>
      </c>
      <c r="H814">
        <v>3095027090</v>
      </c>
      <c r="I814">
        <v>500</v>
      </c>
      <c r="J814">
        <v>463.56</v>
      </c>
      <c r="K814">
        <v>3.4431999999999997E-2</v>
      </c>
      <c r="L814">
        <v>0.25</v>
      </c>
      <c r="M814">
        <v>144.80000000000001</v>
      </c>
      <c r="N814">
        <f t="shared" si="21"/>
        <v>3.5281626381215458E-2</v>
      </c>
      <c r="O814">
        <f t="shared" si="22"/>
        <v>4.2299723756888952E-4</v>
      </c>
      <c r="P814">
        <f t="shared" si="23"/>
        <v>3.4858629143646569E-2</v>
      </c>
    </row>
    <row r="815" spans="1:16" x14ac:dyDescent="0.35">
      <c r="A815" s="1">
        <v>34242</v>
      </c>
      <c r="B815">
        <v>-7.5820000000000002E-3</v>
      </c>
      <c r="C815">
        <v>-9.8420000000000001E-3</v>
      </c>
      <c r="D815">
        <v>-6.2360000000000002E-3</v>
      </c>
      <c r="E815">
        <v>-8.0339999999999995E-3</v>
      </c>
      <c r="F815">
        <v>3176271090</v>
      </c>
      <c r="G815">
        <v>500</v>
      </c>
      <c r="H815">
        <v>3201480910</v>
      </c>
      <c r="I815">
        <v>500</v>
      </c>
      <c r="J815">
        <v>458.93</v>
      </c>
      <c r="K815">
        <v>-9.9880000000000004E-3</v>
      </c>
      <c r="L815">
        <v>0.26</v>
      </c>
      <c r="M815">
        <v>145</v>
      </c>
      <c r="N815">
        <f t="shared" si="21"/>
        <v>-8.950852413792898E-3</v>
      </c>
      <c r="O815">
        <f t="shared" si="22"/>
        <v>1.217103448275747E-3</v>
      </c>
      <c r="P815">
        <f t="shared" si="23"/>
        <v>-1.0167955862068645E-2</v>
      </c>
    </row>
    <row r="816" spans="1:16" x14ac:dyDescent="0.35">
      <c r="A816" s="1">
        <v>34271</v>
      </c>
      <c r="B816">
        <v>1.9883999999999999E-2</v>
      </c>
      <c r="C816">
        <v>1.8589999999999999E-2</v>
      </c>
      <c r="D816">
        <v>1.9667E-2</v>
      </c>
      <c r="E816">
        <v>1.8665999999999999E-2</v>
      </c>
      <c r="F816">
        <v>3244481480</v>
      </c>
      <c r="G816">
        <v>500</v>
      </c>
      <c r="H816">
        <v>3182384410</v>
      </c>
      <c r="I816">
        <v>499</v>
      </c>
      <c r="J816">
        <v>467.83</v>
      </c>
      <c r="K816">
        <v>1.9393000000000001E-2</v>
      </c>
      <c r="L816">
        <v>0.22</v>
      </c>
      <c r="M816">
        <v>145.6</v>
      </c>
      <c r="N816">
        <f t="shared" si="21"/>
        <v>1.5681181318681459E-2</v>
      </c>
      <c r="O816">
        <f t="shared" si="22"/>
        <v>-1.929945054945148E-3</v>
      </c>
      <c r="P816">
        <f t="shared" si="23"/>
        <v>1.7611126373626607E-2</v>
      </c>
    </row>
    <row r="817" spans="1:16" x14ac:dyDescent="0.35">
      <c r="A817" s="1">
        <v>34303</v>
      </c>
      <c r="B817">
        <v>-8.6549999999999995E-3</v>
      </c>
      <c r="C817">
        <v>-1.2083999999999999E-2</v>
      </c>
      <c r="D817">
        <v>-8.5699999999999995E-3</v>
      </c>
      <c r="E817">
        <v>-1.1802999999999999E-2</v>
      </c>
      <c r="F817">
        <v>3212582540</v>
      </c>
      <c r="G817">
        <v>500</v>
      </c>
      <c r="H817">
        <v>3246691510</v>
      </c>
      <c r="I817">
        <v>500</v>
      </c>
      <c r="J817">
        <v>461.79</v>
      </c>
      <c r="K817">
        <v>-1.2911000000000001E-2</v>
      </c>
      <c r="L817">
        <v>0.25</v>
      </c>
      <c r="M817">
        <v>146</v>
      </c>
      <c r="N817">
        <f t="shared" si="21"/>
        <v>-1.1371013698630139E-2</v>
      </c>
      <c r="O817">
        <f t="shared" si="22"/>
        <v>-2.4657534246574908E-4</v>
      </c>
      <c r="P817">
        <f t="shared" si="23"/>
        <v>-1.112443835616439E-2</v>
      </c>
    </row>
    <row r="818" spans="1:16" x14ac:dyDescent="0.35">
      <c r="A818" s="1">
        <v>34334</v>
      </c>
      <c r="B818">
        <v>1.2645999999999999E-2</v>
      </c>
      <c r="C818">
        <v>1.0617E-2</v>
      </c>
      <c r="D818">
        <v>2.3359000000000001E-2</v>
      </c>
      <c r="E818">
        <v>2.162E-2</v>
      </c>
      <c r="F818">
        <v>3258608580</v>
      </c>
      <c r="G818">
        <v>500</v>
      </c>
      <c r="H818">
        <v>3216985690</v>
      </c>
      <c r="I818">
        <v>500</v>
      </c>
      <c r="J818">
        <v>466.45</v>
      </c>
      <c r="K818">
        <v>1.0090999999999999E-2</v>
      </c>
      <c r="L818">
        <v>0.23</v>
      </c>
      <c r="M818">
        <v>146.30000000000001</v>
      </c>
      <c r="N818">
        <f t="shared" si="21"/>
        <v>1.0569487354750384E-2</v>
      </c>
      <c r="O818">
        <f t="shared" si="22"/>
        <v>2.4470266575526978E-4</v>
      </c>
      <c r="P818">
        <f t="shared" si="23"/>
        <v>1.0324784688995114E-2</v>
      </c>
    </row>
    <row r="819" spans="1:16" x14ac:dyDescent="0.35">
      <c r="A819" s="1">
        <v>34365</v>
      </c>
      <c r="B819">
        <v>3.3429E-2</v>
      </c>
      <c r="C819">
        <v>3.1954000000000003E-2</v>
      </c>
      <c r="D819">
        <v>3.7019000000000003E-2</v>
      </c>
      <c r="E819">
        <v>3.5800999999999999E-2</v>
      </c>
      <c r="F819">
        <v>3373853650</v>
      </c>
      <c r="G819">
        <v>500</v>
      </c>
      <c r="H819">
        <v>3265025000</v>
      </c>
      <c r="I819">
        <v>500</v>
      </c>
      <c r="J819">
        <v>481.61</v>
      </c>
      <c r="K819">
        <v>3.2501000000000002E-2</v>
      </c>
      <c r="L819">
        <v>0.25</v>
      </c>
      <c r="M819">
        <v>146.30000000000001</v>
      </c>
      <c r="N819">
        <f t="shared" si="21"/>
        <v>3.3428999999999931E-2</v>
      </c>
      <c r="O819">
        <f t="shared" si="22"/>
        <v>2.4999999999999467E-3</v>
      </c>
      <c r="P819">
        <f t="shared" si="23"/>
        <v>3.0928999999999984E-2</v>
      </c>
    </row>
    <row r="820" spans="1:16" x14ac:dyDescent="0.35">
      <c r="A820" s="1">
        <v>34393</v>
      </c>
      <c r="B820">
        <v>-2.7161000000000001E-2</v>
      </c>
      <c r="C820">
        <v>-3.0120999999999998E-2</v>
      </c>
      <c r="D820">
        <v>-1.7378999999999999E-2</v>
      </c>
      <c r="E820">
        <v>-2.0102999999999999E-2</v>
      </c>
      <c r="F820">
        <v>3282927660</v>
      </c>
      <c r="G820">
        <v>500</v>
      </c>
      <c r="H820">
        <v>3373853650</v>
      </c>
      <c r="I820">
        <v>500</v>
      </c>
      <c r="J820">
        <v>467.14</v>
      </c>
      <c r="K820">
        <v>-3.0044999999999999E-2</v>
      </c>
      <c r="L820">
        <v>0.21</v>
      </c>
      <c r="M820">
        <v>146.69999999999999</v>
      </c>
      <c r="N820">
        <f t="shared" si="21"/>
        <v>-2.9813594410361133E-2</v>
      </c>
      <c r="O820">
        <f t="shared" si="22"/>
        <v>-6.3237900477142173E-4</v>
      </c>
      <c r="P820">
        <f t="shared" si="23"/>
        <v>-2.9181215405589711E-2</v>
      </c>
    </row>
    <row r="821" spans="1:16" x14ac:dyDescent="0.35">
      <c r="A821" s="1">
        <v>34424</v>
      </c>
      <c r="B821">
        <v>-4.3456000000000002E-2</v>
      </c>
      <c r="C821">
        <v>-4.5727999999999998E-2</v>
      </c>
      <c r="D821">
        <v>-4.3719000000000001E-2</v>
      </c>
      <c r="E821">
        <v>-4.5656000000000002E-2</v>
      </c>
      <c r="F821">
        <v>3138972940</v>
      </c>
      <c r="G821">
        <v>500</v>
      </c>
      <c r="H821">
        <v>3281536220</v>
      </c>
      <c r="I821">
        <v>499</v>
      </c>
      <c r="J821">
        <v>445.77</v>
      </c>
      <c r="K821">
        <v>-4.5746000000000002E-2</v>
      </c>
      <c r="L821">
        <v>0.27</v>
      </c>
      <c r="M821">
        <v>147.1</v>
      </c>
      <c r="N821">
        <f t="shared" si="21"/>
        <v>-4.6057071380013692E-2</v>
      </c>
      <c r="O821">
        <f t="shared" si="22"/>
        <v>-2.6580557444089159E-5</v>
      </c>
      <c r="P821">
        <f t="shared" si="23"/>
        <v>-4.6030490822569603E-2</v>
      </c>
    </row>
    <row r="822" spans="1:16" x14ac:dyDescent="0.35">
      <c r="A822" s="1">
        <v>34453</v>
      </c>
      <c r="B822">
        <v>1.2817E-2</v>
      </c>
      <c r="C822">
        <v>1.1476999999999999E-2</v>
      </c>
      <c r="D822">
        <v>4.4619999999999998E-3</v>
      </c>
      <c r="E822">
        <v>3.4099999999999998E-3</v>
      </c>
      <c r="F822">
        <v>3182866410</v>
      </c>
      <c r="G822">
        <v>500</v>
      </c>
      <c r="H822">
        <v>3152739470</v>
      </c>
      <c r="I822">
        <v>500</v>
      </c>
      <c r="J822">
        <v>450.91</v>
      </c>
      <c r="K822">
        <v>1.1531E-2</v>
      </c>
      <c r="L822">
        <v>0.27</v>
      </c>
      <c r="M822">
        <v>147.19999999999999</v>
      </c>
      <c r="N822">
        <f t="shared" si="21"/>
        <v>1.2128944972826128E-2</v>
      </c>
      <c r="O822">
        <f t="shared" si="22"/>
        <v>2.0188179347826463E-3</v>
      </c>
      <c r="P822">
        <f t="shared" si="23"/>
        <v>1.0110127038043482E-2</v>
      </c>
    </row>
    <row r="823" spans="1:16" x14ac:dyDescent="0.35">
      <c r="A823" s="1">
        <v>34485</v>
      </c>
      <c r="B823">
        <v>1.6309000000000001E-2</v>
      </c>
      <c r="C823">
        <v>1.2559000000000001E-2</v>
      </c>
      <c r="D823">
        <v>1.2087000000000001E-2</v>
      </c>
      <c r="E823">
        <v>8.6210000000000002E-3</v>
      </c>
      <c r="F823">
        <v>3221406980</v>
      </c>
      <c r="G823">
        <v>500</v>
      </c>
      <c r="H823">
        <v>3182866410</v>
      </c>
      <c r="I823">
        <v>500</v>
      </c>
      <c r="J823">
        <v>456.51</v>
      </c>
      <c r="K823">
        <v>1.2418999999999999E-2</v>
      </c>
      <c r="L823">
        <v>0.31</v>
      </c>
      <c r="M823">
        <v>147.5</v>
      </c>
      <c r="N823">
        <f t="shared" si="21"/>
        <v>1.4241930847457507E-2</v>
      </c>
      <c r="O823">
        <f t="shared" si="22"/>
        <v>1.0597966101695278E-3</v>
      </c>
      <c r="P823">
        <f t="shared" si="23"/>
        <v>1.3182134237287979E-2</v>
      </c>
    </row>
    <row r="824" spans="1:16" x14ac:dyDescent="0.35">
      <c r="A824" s="1">
        <v>34515</v>
      </c>
      <c r="B824">
        <v>-2.4761999999999999E-2</v>
      </c>
      <c r="C824">
        <v>-2.7113000000000002E-2</v>
      </c>
      <c r="D824">
        <v>-2.1933000000000001E-2</v>
      </c>
      <c r="E824">
        <v>-2.3789000000000001E-2</v>
      </c>
      <c r="F824">
        <v>3161937000</v>
      </c>
      <c r="G824">
        <v>500</v>
      </c>
      <c r="H824">
        <v>3247039430</v>
      </c>
      <c r="I824">
        <v>500</v>
      </c>
      <c r="J824">
        <v>444.27</v>
      </c>
      <c r="K824">
        <v>-2.6811999999999999E-2</v>
      </c>
      <c r="L824">
        <v>0.31</v>
      </c>
      <c r="M824">
        <v>147.9</v>
      </c>
      <c r="N824">
        <f t="shared" si="21"/>
        <v>-2.739956051386061E-2</v>
      </c>
      <c r="O824">
        <f t="shared" si="22"/>
        <v>3.8708586883040574E-4</v>
      </c>
      <c r="P824">
        <f t="shared" si="23"/>
        <v>-2.7786646382691016E-2</v>
      </c>
    </row>
    <row r="825" spans="1:16" x14ac:dyDescent="0.35">
      <c r="A825" s="1">
        <v>34544</v>
      </c>
      <c r="B825">
        <v>3.2714E-2</v>
      </c>
      <c r="C825">
        <v>3.1380999999999999E-2</v>
      </c>
      <c r="D825">
        <v>3.3750000000000002E-2</v>
      </c>
      <c r="E825">
        <v>3.2604000000000001E-2</v>
      </c>
      <c r="F825">
        <v>3268304340</v>
      </c>
      <c r="G825">
        <v>500</v>
      </c>
      <c r="H825">
        <v>3166536970</v>
      </c>
      <c r="I825">
        <v>500</v>
      </c>
      <c r="J825">
        <v>458.25</v>
      </c>
      <c r="K825">
        <v>3.1467000000000002E-2</v>
      </c>
      <c r="L825">
        <v>0.28000000000000003</v>
      </c>
      <c r="M825">
        <v>148.4</v>
      </c>
      <c r="N825">
        <f t="shared" si="21"/>
        <v>2.9234505390835608E-2</v>
      </c>
      <c r="O825">
        <f t="shared" si="22"/>
        <v>-5.7870619946098767E-4</v>
      </c>
      <c r="P825">
        <f t="shared" si="23"/>
        <v>2.9813211590296596E-2</v>
      </c>
    </row>
    <row r="826" spans="1:16" x14ac:dyDescent="0.35">
      <c r="A826" s="1">
        <v>34577</v>
      </c>
      <c r="B826">
        <v>4.1341000000000003E-2</v>
      </c>
      <c r="C826">
        <v>3.7990000000000003E-2</v>
      </c>
      <c r="D826">
        <v>5.2232000000000001E-2</v>
      </c>
      <c r="E826">
        <v>4.8938000000000002E-2</v>
      </c>
      <c r="F826">
        <v>3393734830</v>
      </c>
      <c r="G826">
        <v>500</v>
      </c>
      <c r="H826">
        <v>3268304340</v>
      </c>
      <c r="I826">
        <v>500</v>
      </c>
      <c r="J826">
        <v>475.5</v>
      </c>
      <c r="K826">
        <v>3.7643000000000003E-2</v>
      </c>
      <c r="L826">
        <v>0.37</v>
      </c>
      <c r="M826">
        <v>149</v>
      </c>
      <c r="N826">
        <f t="shared" si="21"/>
        <v>3.7147680536912864E-2</v>
      </c>
      <c r="O826">
        <f t="shared" si="22"/>
        <v>-3.4174496644290286E-4</v>
      </c>
      <c r="P826">
        <f t="shared" si="23"/>
        <v>3.7489425503355767E-2</v>
      </c>
    </row>
    <row r="827" spans="1:16" x14ac:dyDescent="0.35">
      <c r="A827" s="1">
        <v>34607</v>
      </c>
      <c r="B827">
        <v>-2.3939999999999999E-2</v>
      </c>
      <c r="C827">
        <v>-2.6238000000000001E-2</v>
      </c>
      <c r="D827">
        <v>-2.5999999999999999E-2</v>
      </c>
      <c r="E827">
        <v>-2.7803000000000001E-2</v>
      </c>
      <c r="F827">
        <v>3319353130</v>
      </c>
      <c r="G827">
        <v>500</v>
      </c>
      <c r="H827">
        <v>3387731790</v>
      </c>
      <c r="I827">
        <v>500</v>
      </c>
      <c r="J827">
        <v>462.71</v>
      </c>
      <c r="K827">
        <v>-2.6897999999999998E-2</v>
      </c>
      <c r="L827">
        <v>0.37</v>
      </c>
      <c r="M827">
        <v>149.30000000000001</v>
      </c>
      <c r="N827">
        <f t="shared" si="21"/>
        <v>-2.5901272605492354E-2</v>
      </c>
      <c r="O827">
        <f t="shared" si="22"/>
        <v>1.6831882116543628E-3</v>
      </c>
      <c r="P827">
        <f t="shared" si="23"/>
        <v>-2.7584460817146716E-2</v>
      </c>
    </row>
    <row r="828" spans="1:16" x14ac:dyDescent="0.35">
      <c r="A828" s="1">
        <v>34638</v>
      </c>
      <c r="B828">
        <v>2.2622E-2</v>
      </c>
      <c r="C828">
        <v>2.1042999999999999E-2</v>
      </c>
      <c r="D828">
        <v>1.2005999999999999E-2</v>
      </c>
      <c r="E828">
        <v>1.0581E-2</v>
      </c>
      <c r="F828">
        <v>3392220690</v>
      </c>
      <c r="G828">
        <v>500</v>
      </c>
      <c r="H828">
        <v>3322289880</v>
      </c>
      <c r="I828">
        <v>500</v>
      </c>
      <c r="J828">
        <v>472.35</v>
      </c>
      <c r="K828">
        <v>2.0833999999999998E-2</v>
      </c>
      <c r="L828">
        <v>0.38</v>
      </c>
      <c r="M828">
        <v>149.4</v>
      </c>
      <c r="N828">
        <f t="shared" si="21"/>
        <v>2.1937514056225016E-2</v>
      </c>
      <c r="O828">
        <f t="shared" si="22"/>
        <v>3.1281124497992696E-3</v>
      </c>
      <c r="P828">
        <f t="shared" si="23"/>
        <v>1.8809401606425746E-2</v>
      </c>
    </row>
    <row r="829" spans="1:16" x14ac:dyDescent="0.35">
      <c r="A829" s="1">
        <v>34668</v>
      </c>
      <c r="B829">
        <v>-3.6248000000000002E-2</v>
      </c>
      <c r="C829">
        <v>-3.9423E-2</v>
      </c>
      <c r="D829">
        <v>-4.3415000000000002E-2</v>
      </c>
      <c r="E829">
        <v>-4.6398000000000002E-2</v>
      </c>
      <c r="F829">
        <v>3257204680</v>
      </c>
      <c r="G829">
        <v>500</v>
      </c>
      <c r="H829">
        <v>3392220690</v>
      </c>
      <c r="I829">
        <v>500</v>
      </c>
      <c r="J829">
        <v>453.69</v>
      </c>
      <c r="K829">
        <v>-3.9504999999999998E-2</v>
      </c>
      <c r="L829">
        <v>0.37</v>
      </c>
      <c r="M829">
        <v>149.80000000000001</v>
      </c>
      <c r="N829">
        <f t="shared" si="21"/>
        <v>-3.882143658210957E-2</v>
      </c>
      <c r="O829">
        <f t="shared" si="22"/>
        <v>1.0198931909213282E-3</v>
      </c>
      <c r="P829">
        <f t="shared" si="23"/>
        <v>-3.9841329773030898E-2</v>
      </c>
    </row>
    <row r="830" spans="1:16" x14ac:dyDescent="0.35">
      <c r="A830" s="1">
        <v>34698</v>
      </c>
      <c r="B830">
        <v>1.4955E-2</v>
      </c>
      <c r="C830">
        <v>1.2418999999999999E-2</v>
      </c>
      <c r="D830">
        <v>1.6548E-2</v>
      </c>
      <c r="E830">
        <v>1.4253999999999999E-2</v>
      </c>
      <c r="F830">
        <v>3301191860</v>
      </c>
      <c r="G830">
        <v>500</v>
      </c>
      <c r="H830">
        <v>3260500970</v>
      </c>
      <c r="I830">
        <v>500</v>
      </c>
      <c r="J830">
        <v>459.27</v>
      </c>
      <c r="K830">
        <v>1.2298999999999999E-2</v>
      </c>
      <c r="L830">
        <v>0.44</v>
      </c>
      <c r="M830">
        <v>150.1</v>
      </c>
      <c r="N830">
        <f t="shared" si="21"/>
        <v>1.2926442371752334E-2</v>
      </c>
      <c r="O830">
        <f t="shared" si="22"/>
        <v>2.3925383077949558E-3</v>
      </c>
      <c r="P830">
        <f t="shared" si="23"/>
        <v>1.0533904063957378E-2</v>
      </c>
    </row>
    <row r="831" spans="1:16" x14ac:dyDescent="0.35">
      <c r="A831" s="1">
        <v>34730</v>
      </c>
      <c r="B831">
        <v>2.5999999999999999E-2</v>
      </c>
      <c r="C831">
        <v>2.4348000000000002E-2</v>
      </c>
      <c r="D831">
        <v>2.1153999999999999E-2</v>
      </c>
      <c r="E831">
        <v>1.9698E-2</v>
      </c>
      <c r="F831">
        <v>3382004240</v>
      </c>
      <c r="G831">
        <v>500</v>
      </c>
      <c r="H831">
        <v>3301191860</v>
      </c>
      <c r="I831">
        <v>500</v>
      </c>
      <c r="J831">
        <v>470.42</v>
      </c>
      <c r="K831">
        <v>2.4278000000000001E-2</v>
      </c>
      <c r="L831">
        <v>0.42</v>
      </c>
      <c r="M831">
        <v>150.5</v>
      </c>
      <c r="N831">
        <f t="shared" si="21"/>
        <v>2.327308970099673E-2</v>
      </c>
      <c r="O831">
        <f t="shared" si="22"/>
        <v>1.5310299003321592E-3</v>
      </c>
      <c r="P831">
        <f t="shared" si="23"/>
        <v>2.174205980066457E-2</v>
      </c>
    </row>
    <row r="832" spans="1:16" x14ac:dyDescent="0.35">
      <c r="A832" s="1">
        <v>34758</v>
      </c>
      <c r="B832">
        <v>3.9227999999999999E-2</v>
      </c>
      <c r="C832">
        <v>3.6327999999999999E-2</v>
      </c>
      <c r="D832">
        <v>4.4548999999999998E-2</v>
      </c>
      <c r="E832">
        <v>4.1676999999999999E-2</v>
      </c>
      <c r="F832">
        <v>3506468620</v>
      </c>
      <c r="G832">
        <v>500</v>
      </c>
      <c r="H832">
        <v>3383155920</v>
      </c>
      <c r="I832">
        <v>500</v>
      </c>
      <c r="J832">
        <v>487.39</v>
      </c>
      <c r="K832">
        <v>3.6074000000000002E-2</v>
      </c>
      <c r="L832">
        <v>0.4</v>
      </c>
      <c r="M832">
        <v>150.9</v>
      </c>
      <c r="N832">
        <f t="shared" si="21"/>
        <v>3.6473253810470618E-2</v>
      </c>
      <c r="O832">
        <f t="shared" si="22"/>
        <v>1.3386348575215035E-3</v>
      </c>
      <c r="P832">
        <f t="shared" si="23"/>
        <v>3.5134618952949115E-2</v>
      </c>
    </row>
    <row r="833" spans="1:16" x14ac:dyDescent="0.35">
      <c r="A833" s="1">
        <v>34789</v>
      </c>
      <c r="B833">
        <v>2.9333999999999999E-2</v>
      </c>
      <c r="C833">
        <v>2.7178999999999998E-2</v>
      </c>
      <c r="D833">
        <v>2.9457000000000001E-2</v>
      </c>
      <c r="E833">
        <v>2.759E-2</v>
      </c>
      <c r="F833">
        <v>3612503300</v>
      </c>
      <c r="G833">
        <v>500</v>
      </c>
      <c r="H833">
        <v>3511373450</v>
      </c>
      <c r="I833">
        <v>500</v>
      </c>
      <c r="J833">
        <v>500.71</v>
      </c>
      <c r="K833">
        <v>2.7328999999999999E-2</v>
      </c>
      <c r="L833">
        <v>0.46</v>
      </c>
      <c r="M833">
        <v>151.19999999999999</v>
      </c>
      <c r="N833">
        <f t="shared" si="21"/>
        <v>2.7291670634920662E-2</v>
      </c>
      <c r="O833">
        <f t="shared" si="22"/>
        <v>2.6067460317462654E-3</v>
      </c>
      <c r="P833">
        <f t="shared" si="23"/>
        <v>2.4684924603174396E-2</v>
      </c>
    </row>
    <row r="834" spans="1:16" x14ac:dyDescent="0.35">
      <c r="A834" s="1">
        <v>34817</v>
      </c>
      <c r="B834">
        <v>2.9395000000000001E-2</v>
      </c>
      <c r="C834">
        <v>2.7914000000000001E-2</v>
      </c>
      <c r="D834">
        <v>2.3800000000000002E-2</v>
      </c>
      <c r="E834">
        <v>2.2491000000000001E-2</v>
      </c>
      <c r="F834">
        <v>3709079450</v>
      </c>
      <c r="G834">
        <v>500</v>
      </c>
      <c r="H834">
        <v>3614262870</v>
      </c>
      <c r="I834">
        <v>500</v>
      </c>
      <c r="J834">
        <v>514.71</v>
      </c>
      <c r="K834">
        <v>2.7959999999999999E-2</v>
      </c>
      <c r="L834">
        <v>0.44</v>
      </c>
      <c r="M834">
        <v>151.80000000000001</v>
      </c>
      <c r="N834">
        <f t="shared" si="21"/>
        <v>2.5326245059288377E-2</v>
      </c>
      <c r="O834">
        <f t="shared" si="22"/>
        <v>4.3003952569153903E-4</v>
      </c>
      <c r="P834">
        <f t="shared" si="23"/>
        <v>2.4896205533596838E-2</v>
      </c>
    </row>
    <row r="835" spans="1:16" x14ac:dyDescent="0.35">
      <c r="A835" s="1">
        <v>34850</v>
      </c>
      <c r="B835">
        <v>3.9808999999999997E-2</v>
      </c>
      <c r="C835">
        <v>3.6454E-2</v>
      </c>
      <c r="D835">
        <v>3.5708999999999998E-2</v>
      </c>
      <c r="E835">
        <v>3.2539999999999999E-2</v>
      </c>
      <c r="F835">
        <v>3856765310</v>
      </c>
      <c r="G835">
        <v>500</v>
      </c>
      <c r="H835">
        <v>3719656050</v>
      </c>
      <c r="I835">
        <v>499</v>
      </c>
      <c r="J835">
        <v>533.4</v>
      </c>
      <c r="K835">
        <v>3.6311999999999997E-2</v>
      </c>
      <c r="L835">
        <v>0.54</v>
      </c>
      <c r="M835">
        <v>152.1</v>
      </c>
      <c r="N835">
        <f t="shared" si="21"/>
        <v>3.7758094674556375E-2</v>
      </c>
      <c r="O835">
        <f t="shared" si="22"/>
        <v>3.416962524654954E-3</v>
      </c>
      <c r="P835">
        <f t="shared" si="23"/>
        <v>3.4341132149901421E-2</v>
      </c>
    </row>
    <row r="836" spans="1:16" x14ac:dyDescent="0.35">
      <c r="A836" s="1">
        <v>34880</v>
      </c>
      <c r="B836">
        <v>2.4154999999999999E-2</v>
      </c>
      <c r="C836">
        <v>2.2197999999999999E-2</v>
      </c>
      <c r="D836">
        <v>2.5803E-2</v>
      </c>
      <c r="E836">
        <v>2.4140000000000002E-2</v>
      </c>
      <c r="F836">
        <v>3943476460</v>
      </c>
      <c r="G836">
        <v>500</v>
      </c>
      <c r="H836">
        <v>3856765310</v>
      </c>
      <c r="I836">
        <v>500</v>
      </c>
      <c r="J836">
        <v>544.75</v>
      </c>
      <c r="K836">
        <v>2.1278999999999999E-2</v>
      </c>
      <c r="L836">
        <v>0.47</v>
      </c>
      <c r="M836">
        <v>152.4</v>
      </c>
      <c r="N836">
        <f t="shared" si="21"/>
        <v>2.2138946850393415E-2</v>
      </c>
      <c r="O836">
        <f t="shared" si="22"/>
        <v>2.7222440944880688E-3</v>
      </c>
      <c r="P836">
        <f t="shared" si="23"/>
        <v>1.9416702755905346E-2</v>
      </c>
    </row>
    <row r="837" spans="1:16" x14ac:dyDescent="0.35">
      <c r="A837" s="1">
        <v>34911</v>
      </c>
      <c r="B837">
        <v>3.3404999999999997E-2</v>
      </c>
      <c r="C837">
        <v>3.2023000000000003E-2</v>
      </c>
      <c r="D837">
        <v>3.3271000000000002E-2</v>
      </c>
      <c r="E837">
        <v>3.2046999999999999E-2</v>
      </c>
      <c r="F837">
        <v>4079536800</v>
      </c>
      <c r="G837">
        <v>500</v>
      </c>
      <c r="H837">
        <v>3960225500</v>
      </c>
      <c r="I837">
        <v>499</v>
      </c>
      <c r="J837">
        <v>562.05999999999995</v>
      </c>
      <c r="K837">
        <v>3.1775999999999999E-2</v>
      </c>
      <c r="L837">
        <v>0.45</v>
      </c>
      <c r="M837">
        <v>152.6</v>
      </c>
      <c r="N837">
        <f t="shared" si="21"/>
        <v>3.205060288335515E-2</v>
      </c>
      <c r="O837">
        <f t="shared" si="22"/>
        <v>3.1834862385322626E-3</v>
      </c>
      <c r="P837">
        <f t="shared" si="23"/>
        <v>2.8867116644822888E-2</v>
      </c>
    </row>
    <row r="838" spans="1:16" x14ac:dyDescent="0.35">
      <c r="A838" s="1">
        <v>34942</v>
      </c>
      <c r="B838">
        <v>3.5019999999999999E-3</v>
      </c>
      <c r="C838">
        <v>6.4199999999999999E-4</v>
      </c>
      <c r="D838">
        <v>7.7200000000000003E-3</v>
      </c>
      <c r="E838">
        <v>4.7879999999999997E-3</v>
      </c>
      <c r="F838">
        <v>4083074050</v>
      </c>
      <c r="G838">
        <v>500</v>
      </c>
      <c r="H838">
        <v>4081983800</v>
      </c>
      <c r="I838">
        <v>500</v>
      </c>
      <c r="J838">
        <v>561.88</v>
      </c>
      <c r="K838">
        <v>-3.2000000000000003E-4</v>
      </c>
      <c r="L838">
        <v>0.47</v>
      </c>
      <c r="M838">
        <v>152.9</v>
      </c>
      <c r="N838">
        <f t="shared" si="21"/>
        <v>1.5330621321123505E-3</v>
      </c>
      <c r="O838">
        <f t="shared" si="22"/>
        <v>2.7287115761935876E-3</v>
      </c>
      <c r="P838">
        <f t="shared" si="23"/>
        <v>-1.1956494440812371E-3</v>
      </c>
    </row>
    <row r="839" spans="1:16" x14ac:dyDescent="0.35">
      <c r="A839" s="1">
        <v>34971</v>
      </c>
      <c r="B839">
        <v>4.2102000000000001E-2</v>
      </c>
      <c r="C839">
        <v>4.0182000000000002E-2</v>
      </c>
      <c r="D839">
        <v>2.4752E-2</v>
      </c>
      <c r="E839">
        <v>2.3133000000000001E-2</v>
      </c>
      <c r="F839">
        <v>4253839440</v>
      </c>
      <c r="G839">
        <v>500</v>
      </c>
      <c r="H839">
        <v>4085427870</v>
      </c>
      <c r="I839">
        <v>500</v>
      </c>
      <c r="J839">
        <v>584.41</v>
      </c>
      <c r="K839">
        <v>4.0098000000000002E-2</v>
      </c>
      <c r="L839">
        <v>0.43</v>
      </c>
      <c r="M839">
        <v>153.1</v>
      </c>
      <c r="N839">
        <f t="shared" si="21"/>
        <v>4.0740664924885817E-2</v>
      </c>
      <c r="O839">
        <f t="shared" si="22"/>
        <v>2.9880470280863047E-3</v>
      </c>
      <c r="P839">
        <f t="shared" si="23"/>
        <v>3.7752617896799512E-2</v>
      </c>
    </row>
    <row r="840" spans="1:16" x14ac:dyDescent="0.35">
      <c r="A840" s="1">
        <v>35003</v>
      </c>
      <c r="B840">
        <v>-3.4420000000000002E-3</v>
      </c>
      <c r="C840">
        <v>-4.8640000000000003E-3</v>
      </c>
      <c r="D840">
        <v>-2.4119000000000002E-2</v>
      </c>
      <c r="E840">
        <v>-2.5353000000000001E-2</v>
      </c>
      <c r="F840">
        <v>4245197640</v>
      </c>
      <c r="G840">
        <v>500</v>
      </c>
      <c r="H840">
        <v>4259417540</v>
      </c>
      <c r="I840">
        <v>500</v>
      </c>
      <c r="J840">
        <v>581.5</v>
      </c>
      <c r="K840">
        <v>-4.9789999999999999E-3</v>
      </c>
      <c r="L840">
        <v>0.47</v>
      </c>
      <c r="M840">
        <v>153.5</v>
      </c>
      <c r="N840">
        <f t="shared" si="21"/>
        <v>-6.0388938110749191E-3</v>
      </c>
      <c r="O840">
        <f t="shared" si="22"/>
        <v>2.0818892508140951E-3</v>
      </c>
      <c r="P840">
        <f t="shared" si="23"/>
        <v>-8.1207830618890142E-3</v>
      </c>
    </row>
    <row r="841" spans="1:16" x14ac:dyDescent="0.35">
      <c r="A841" s="1">
        <v>35033</v>
      </c>
      <c r="B841">
        <v>4.4179000000000003E-2</v>
      </c>
      <c r="C841">
        <v>4.1338E-2</v>
      </c>
      <c r="D841">
        <v>5.0987999999999999E-2</v>
      </c>
      <c r="E841">
        <v>4.8079999999999998E-2</v>
      </c>
      <c r="F841">
        <v>4434004940</v>
      </c>
      <c r="G841">
        <v>500</v>
      </c>
      <c r="H841">
        <v>4243752150</v>
      </c>
      <c r="I841">
        <v>499</v>
      </c>
      <c r="J841">
        <v>605.37</v>
      </c>
      <c r="K841">
        <v>4.1049000000000002E-2</v>
      </c>
      <c r="L841">
        <v>0.42</v>
      </c>
      <c r="M841">
        <v>153.69999999999999</v>
      </c>
      <c r="N841">
        <f t="shared" si="21"/>
        <v>4.282027651268705E-2</v>
      </c>
      <c r="O841">
        <f t="shared" si="22"/>
        <v>2.8932986337020239E-3</v>
      </c>
      <c r="P841">
        <f t="shared" si="23"/>
        <v>3.9926977878985026E-2</v>
      </c>
    </row>
    <row r="842" spans="1:16" x14ac:dyDescent="0.35">
      <c r="A842" s="1">
        <v>35062</v>
      </c>
      <c r="B842">
        <v>1.7642999999999999E-2</v>
      </c>
      <c r="C842">
        <v>1.5809E-2</v>
      </c>
      <c r="D842">
        <v>1.4641E-2</v>
      </c>
      <c r="E842">
        <v>1.2755000000000001E-2</v>
      </c>
      <c r="F842">
        <v>4520478250</v>
      </c>
      <c r="G842">
        <v>500</v>
      </c>
      <c r="H842">
        <v>4433470940</v>
      </c>
      <c r="I842">
        <v>498</v>
      </c>
      <c r="J842">
        <v>615.92999999999995</v>
      </c>
      <c r="K842">
        <v>1.7444000000000001E-2</v>
      </c>
      <c r="L842">
        <v>0.49</v>
      </c>
      <c r="M842">
        <v>153.9</v>
      </c>
      <c r="N842">
        <f t="shared" si="21"/>
        <v>1.6320526965561966E-2</v>
      </c>
      <c r="O842">
        <f t="shared" si="22"/>
        <v>3.5940870695254645E-3</v>
      </c>
      <c r="P842">
        <f t="shared" si="23"/>
        <v>1.2726439896036501E-2</v>
      </c>
    </row>
    <row r="843" spans="1:16" x14ac:dyDescent="0.35">
      <c r="A843" s="1">
        <v>35095</v>
      </c>
      <c r="B843">
        <v>3.4861000000000003E-2</v>
      </c>
      <c r="C843">
        <v>3.3415E-2</v>
      </c>
      <c r="D843">
        <v>3.0676999999999999E-2</v>
      </c>
      <c r="E843">
        <v>2.9271999999999999E-2</v>
      </c>
      <c r="F843">
        <v>4690897410</v>
      </c>
      <c r="G843">
        <v>500</v>
      </c>
      <c r="H843">
        <v>4523928300</v>
      </c>
      <c r="I843">
        <v>500</v>
      </c>
      <c r="J843">
        <v>636.02</v>
      </c>
      <c r="K843">
        <v>3.2617E-2</v>
      </c>
      <c r="L843">
        <v>0.43</v>
      </c>
      <c r="M843">
        <v>154.69999999999999</v>
      </c>
      <c r="N843">
        <f t="shared" si="21"/>
        <v>2.9509424046541888E-2</v>
      </c>
      <c r="O843">
        <f t="shared" si="22"/>
        <v>-8.9353587588880679E-4</v>
      </c>
      <c r="P843">
        <f t="shared" si="23"/>
        <v>3.0402959922430695E-2</v>
      </c>
    </row>
    <row r="844" spans="1:16" x14ac:dyDescent="0.35">
      <c r="A844" s="1">
        <v>35124</v>
      </c>
      <c r="B844">
        <v>1.0088E-2</v>
      </c>
      <c r="C844">
        <v>7.6889999999999997E-3</v>
      </c>
      <c r="D844">
        <v>1.2873000000000001E-2</v>
      </c>
      <c r="E844">
        <v>1.0448000000000001E-2</v>
      </c>
      <c r="F844">
        <v>4734938920</v>
      </c>
      <c r="G844">
        <v>500</v>
      </c>
      <c r="H844">
        <v>4678941240</v>
      </c>
      <c r="I844">
        <v>500</v>
      </c>
      <c r="J844">
        <v>640.42999999999995</v>
      </c>
      <c r="K844">
        <v>6.9340000000000001E-3</v>
      </c>
      <c r="L844">
        <v>0.39</v>
      </c>
      <c r="M844">
        <v>155</v>
      </c>
      <c r="N844">
        <f t="shared" si="21"/>
        <v>8.1329909677418932E-3</v>
      </c>
      <c r="O844">
        <f t="shared" si="22"/>
        <v>1.9569677419353226E-3</v>
      </c>
      <c r="P844">
        <f t="shared" si="23"/>
        <v>6.1760232258065706E-3</v>
      </c>
    </row>
    <row r="845" spans="1:16" x14ac:dyDescent="0.35">
      <c r="A845" s="1">
        <v>35153</v>
      </c>
      <c r="B845">
        <v>9.5849999999999998E-3</v>
      </c>
      <c r="C845">
        <v>7.8600000000000007E-3</v>
      </c>
      <c r="D845">
        <v>1.9612000000000001E-2</v>
      </c>
      <c r="E845">
        <v>1.7958999999999999E-2</v>
      </c>
      <c r="F845">
        <v>4780433960</v>
      </c>
      <c r="G845">
        <v>500</v>
      </c>
      <c r="H845">
        <v>4746085500</v>
      </c>
      <c r="I845">
        <v>500</v>
      </c>
      <c r="J845">
        <v>645.5</v>
      </c>
      <c r="K845">
        <v>7.9170000000000004E-3</v>
      </c>
      <c r="L845">
        <v>0.39</v>
      </c>
      <c r="M845">
        <v>155.5</v>
      </c>
      <c r="N845">
        <f t="shared" si="21"/>
        <v>6.3387459807073832E-3</v>
      </c>
      <c r="O845">
        <f t="shared" si="22"/>
        <v>6.7202572347269118E-4</v>
      </c>
      <c r="P845">
        <f t="shared" si="23"/>
        <v>5.666720257234692E-3</v>
      </c>
    </row>
    <row r="846" spans="1:16" x14ac:dyDescent="0.35">
      <c r="A846" s="1">
        <v>35185</v>
      </c>
      <c r="B846">
        <v>1.5133000000000001E-2</v>
      </c>
      <c r="C846">
        <v>1.3857E-2</v>
      </c>
      <c r="D846">
        <v>2.8410000000000001E-2</v>
      </c>
      <c r="E846">
        <v>2.7321999999999999E-2</v>
      </c>
      <c r="F846">
        <v>4856102560</v>
      </c>
      <c r="G846">
        <v>500</v>
      </c>
      <c r="H846">
        <v>4763330140</v>
      </c>
      <c r="I846">
        <v>500</v>
      </c>
      <c r="J846">
        <v>654.16999999999996</v>
      </c>
      <c r="K846">
        <v>1.3431E-2</v>
      </c>
      <c r="L846">
        <v>0.46</v>
      </c>
      <c r="M846">
        <v>156.1</v>
      </c>
      <c r="N846">
        <f t="shared" si="21"/>
        <v>1.1231143497757889E-2</v>
      </c>
      <c r="O846">
        <f t="shared" si="22"/>
        <v>7.3862908392041682E-4</v>
      </c>
      <c r="P846">
        <f t="shared" si="23"/>
        <v>1.0492514413837473E-2</v>
      </c>
    </row>
    <row r="847" spans="1:16" x14ac:dyDescent="0.35">
      <c r="A847" s="1">
        <v>35216</v>
      </c>
      <c r="B847">
        <v>2.5257000000000002E-2</v>
      </c>
      <c r="C847">
        <v>2.2530000000000001E-2</v>
      </c>
      <c r="D847">
        <v>1.3102000000000001E-2</v>
      </c>
      <c r="E847">
        <v>1.0467000000000001E-2</v>
      </c>
      <c r="F847">
        <v>4969866370</v>
      </c>
      <c r="G847">
        <v>500</v>
      </c>
      <c r="H847">
        <v>4852936730</v>
      </c>
      <c r="I847">
        <v>499</v>
      </c>
      <c r="J847">
        <v>669.12</v>
      </c>
      <c r="K847">
        <v>2.2852999999999998E-2</v>
      </c>
      <c r="L847">
        <v>0.42</v>
      </c>
      <c r="M847">
        <v>156.4</v>
      </c>
      <c r="N847">
        <f t="shared" si="21"/>
        <v>2.3290394501278788E-2</v>
      </c>
      <c r="O847">
        <f t="shared" si="22"/>
        <v>2.2737851662404385E-3</v>
      </c>
      <c r="P847">
        <f t="shared" si="23"/>
        <v>2.101660933503835E-2</v>
      </c>
    </row>
    <row r="848" spans="1:16" x14ac:dyDescent="0.35">
      <c r="A848" s="1">
        <v>35244</v>
      </c>
      <c r="B848">
        <v>4.1279999999999997E-3</v>
      </c>
      <c r="C848">
        <v>2.562E-3</v>
      </c>
      <c r="D848">
        <v>-9.3310000000000008E-3</v>
      </c>
      <c r="E848">
        <v>-1.0898E-2</v>
      </c>
      <c r="F848">
        <v>4987787350</v>
      </c>
      <c r="G848">
        <v>500</v>
      </c>
      <c r="H848">
        <v>4969866370</v>
      </c>
      <c r="I848">
        <v>500</v>
      </c>
      <c r="J848">
        <v>670.63</v>
      </c>
      <c r="K848">
        <v>2.2569999999999999E-3</v>
      </c>
      <c r="L848">
        <v>0.4</v>
      </c>
      <c r="M848">
        <v>156.69999999999999</v>
      </c>
      <c r="N848">
        <f t="shared" si="21"/>
        <v>2.2056107211232412E-3</v>
      </c>
      <c r="O848">
        <f t="shared" si="22"/>
        <v>2.0778557753668991E-3</v>
      </c>
      <c r="P848">
        <f t="shared" si="23"/>
        <v>1.2775494575634205E-4</v>
      </c>
    </row>
    <row r="849" spans="1:16" x14ac:dyDescent="0.35">
      <c r="A849" s="1">
        <v>35277</v>
      </c>
      <c r="B849">
        <v>-4.4443999999999997E-2</v>
      </c>
      <c r="C849">
        <v>-4.6047999999999999E-2</v>
      </c>
      <c r="D849">
        <v>-5.5912000000000003E-2</v>
      </c>
      <c r="E849">
        <v>-5.7147000000000003E-2</v>
      </c>
      <c r="F849">
        <v>4761953990</v>
      </c>
      <c r="G849">
        <v>500</v>
      </c>
      <c r="H849">
        <v>4983682170</v>
      </c>
      <c r="I849">
        <v>500</v>
      </c>
      <c r="J849">
        <v>639.95000000000005</v>
      </c>
      <c r="K849">
        <v>-4.5747999999999997E-2</v>
      </c>
      <c r="L849">
        <v>0.45</v>
      </c>
      <c r="M849">
        <v>157</v>
      </c>
      <c r="N849">
        <f t="shared" si="21"/>
        <v>-4.6269903184713468E-2</v>
      </c>
      <c r="O849">
        <f t="shared" si="22"/>
        <v>2.5805732484076582E-3</v>
      </c>
      <c r="P849">
        <f t="shared" si="23"/>
        <v>-4.8850476433121126E-2</v>
      </c>
    </row>
    <row r="850" spans="1:16" x14ac:dyDescent="0.35">
      <c r="A850" s="1">
        <v>35307</v>
      </c>
      <c r="B850">
        <v>2.1928E-2</v>
      </c>
      <c r="C850">
        <v>1.9588999999999999E-2</v>
      </c>
      <c r="D850">
        <v>3.2974999999999997E-2</v>
      </c>
      <c r="E850">
        <v>3.0535E-2</v>
      </c>
      <c r="F850">
        <v>4865735200</v>
      </c>
      <c r="G850">
        <v>500</v>
      </c>
      <c r="H850">
        <v>4769499290</v>
      </c>
      <c r="I850">
        <v>500</v>
      </c>
      <c r="J850">
        <v>651.99</v>
      </c>
      <c r="K850">
        <v>1.8814000000000001E-2</v>
      </c>
      <c r="L850">
        <v>0.41</v>
      </c>
      <c r="M850">
        <v>157.19999999999999</v>
      </c>
      <c r="N850">
        <f t="shared" si="21"/>
        <v>2.0627837150127171E-2</v>
      </c>
      <c r="O850">
        <f t="shared" si="22"/>
        <v>2.8225190839694658E-3</v>
      </c>
      <c r="P850">
        <f t="shared" si="23"/>
        <v>1.7805318066157705E-2</v>
      </c>
    </row>
    <row r="851" spans="1:16" x14ac:dyDescent="0.35">
      <c r="A851" s="1">
        <v>35338</v>
      </c>
      <c r="B851">
        <v>5.6035000000000001E-2</v>
      </c>
      <c r="C851">
        <v>5.4112E-2</v>
      </c>
      <c r="D851">
        <v>4.9854000000000002E-2</v>
      </c>
      <c r="E851">
        <v>4.8155999999999997E-2</v>
      </c>
      <c r="F851">
        <v>5129829190</v>
      </c>
      <c r="G851">
        <v>500</v>
      </c>
      <c r="H851">
        <v>4863293990</v>
      </c>
      <c r="I851">
        <v>499</v>
      </c>
      <c r="J851">
        <v>687.31</v>
      </c>
      <c r="K851">
        <v>5.4172999999999999E-2</v>
      </c>
      <c r="L851">
        <v>0.44</v>
      </c>
      <c r="M851">
        <v>157.69999999999999</v>
      </c>
      <c r="N851">
        <f t="shared" si="21"/>
        <v>5.2686759670260042E-2</v>
      </c>
      <c r="O851">
        <f t="shared" si="22"/>
        <v>1.2154724159796348E-3</v>
      </c>
      <c r="P851">
        <f t="shared" si="23"/>
        <v>5.1471287254280407E-2</v>
      </c>
    </row>
    <row r="852" spans="1:16" x14ac:dyDescent="0.35">
      <c r="A852" s="1">
        <v>35369</v>
      </c>
      <c r="B852">
        <v>2.6797999999999999E-2</v>
      </c>
      <c r="C852">
        <v>2.5347999999999999E-2</v>
      </c>
      <c r="D852">
        <v>1.3655E-2</v>
      </c>
      <c r="E852">
        <v>1.2347E-2</v>
      </c>
      <c r="F852">
        <v>5274840940</v>
      </c>
      <c r="G852">
        <v>500</v>
      </c>
      <c r="H852">
        <v>5165299950</v>
      </c>
      <c r="I852">
        <v>500</v>
      </c>
      <c r="J852">
        <v>705.27</v>
      </c>
      <c r="K852">
        <v>2.6131000000000001E-2</v>
      </c>
      <c r="L852">
        <v>0.42</v>
      </c>
      <c r="M852">
        <v>158.19999999999999</v>
      </c>
      <c r="N852">
        <f t="shared" si="21"/>
        <v>2.3552747155499487E-2</v>
      </c>
      <c r="O852">
        <f t="shared" si="22"/>
        <v>1.026169405815347E-3</v>
      </c>
      <c r="P852">
        <f t="shared" si="23"/>
        <v>2.252657774968414E-2</v>
      </c>
    </row>
    <row r="853" spans="1:16" x14ac:dyDescent="0.35">
      <c r="A853" s="1">
        <v>35398</v>
      </c>
      <c r="B853">
        <v>7.6440999999999995E-2</v>
      </c>
      <c r="C853">
        <v>7.4218000000000006E-2</v>
      </c>
      <c r="D853">
        <v>7.0014000000000007E-2</v>
      </c>
      <c r="E853">
        <v>6.7803000000000002E-2</v>
      </c>
      <c r="F853">
        <v>5664657020</v>
      </c>
      <c r="G853">
        <v>500</v>
      </c>
      <c r="H853">
        <v>5279818740</v>
      </c>
      <c r="I853">
        <v>500</v>
      </c>
      <c r="J853">
        <v>757.02</v>
      </c>
      <c r="K853">
        <v>7.3375999999999997E-2</v>
      </c>
      <c r="L853">
        <v>0.41</v>
      </c>
      <c r="M853">
        <v>158.69999999999999</v>
      </c>
      <c r="N853">
        <f t="shared" si="21"/>
        <v>7.3049566477630723E-2</v>
      </c>
      <c r="O853">
        <f t="shared" si="22"/>
        <v>9.3648393194700752E-4</v>
      </c>
      <c r="P853">
        <f t="shared" si="23"/>
        <v>7.2113082545683715E-2</v>
      </c>
    </row>
    <row r="854" spans="1:16" x14ac:dyDescent="0.35">
      <c r="A854" s="1">
        <v>35430</v>
      </c>
      <c r="B854">
        <v>-1.9798E-2</v>
      </c>
      <c r="C854">
        <v>-2.1517999999999999E-2</v>
      </c>
      <c r="D854">
        <v>-1.6802000000000001E-2</v>
      </c>
      <c r="E854">
        <v>-1.8512000000000001E-2</v>
      </c>
      <c r="F854">
        <v>5545322430</v>
      </c>
      <c r="G854">
        <v>500</v>
      </c>
      <c r="H854">
        <v>5647614170</v>
      </c>
      <c r="I854">
        <v>498</v>
      </c>
      <c r="J854">
        <v>740.74</v>
      </c>
      <c r="K854">
        <v>-2.1505E-2</v>
      </c>
      <c r="L854">
        <v>0.46</v>
      </c>
      <c r="M854">
        <v>159.1</v>
      </c>
      <c r="N854">
        <f t="shared" si="21"/>
        <v>-2.2262367064739164E-2</v>
      </c>
      <c r="O854">
        <f t="shared" si="22"/>
        <v>2.0742928975485686E-3</v>
      </c>
      <c r="P854">
        <f t="shared" si="23"/>
        <v>-2.4336659962287732E-2</v>
      </c>
    </row>
    <row r="855" spans="1:16" x14ac:dyDescent="0.35">
      <c r="A855" s="1">
        <v>35461</v>
      </c>
      <c r="B855">
        <v>6.2826999999999994E-2</v>
      </c>
      <c r="C855">
        <v>6.1689000000000001E-2</v>
      </c>
      <c r="D855">
        <v>3.9148000000000002E-2</v>
      </c>
      <c r="E855">
        <v>3.8108000000000003E-2</v>
      </c>
      <c r="F855">
        <v>5921447970</v>
      </c>
      <c r="G855">
        <v>500</v>
      </c>
      <c r="H855">
        <v>5558283460</v>
      </c>
      <c r="I855">
        <v>500</v>
      </c>
      <c r="J855">
        <v>786.16</v>
      </c>
      <c r="K855">
        <v>6.1317000000000003E-2</v>
      </c>
      <c r="L855">
        <v>0.45</v>
      </c>
      <c r="M855">
        <v>159.4</v>
      </c>
      <c r="N855">
        <f t="shared" si="21"/>
        <v>6.0826698243412691E-2</v>
      </c>
      <c r="O855">
        <f t="shared" si="22"/>
        <v>2.6094730238392927E-3</v>
      </c>
      <c r="P855">
        <f t="shared" si="23"/>
        <v>5.8217225219573399E-2</v>
      </c>
    </row>
    <row r="856" spans="1:16" x14ac:dyDescent="0.35">
      <c r="A856" s="1">
        <v>35489</v>
      </c>
      <c r="B856">
        <v>7.7520000000000002E-3</v>
      </c>
      <c r="C856">
        <v>5.7999999999999996E-3</v>
      </c>
      <c r="D856">
        <v>1.3457E-2</v>
      </c>
      <c r="E856">
        <v>1.1391E-2</v>
      </c>
      <c r="F856">
        <v>5957281530</v>
      </c>
      <c r="G856">
        <v>500</v>
      </c>
      <c r="H856">
        <v>5921447970</v>
      </c>
      <c r="I856">
        <v>500</v>
      </c>
      <c r="J856">
        <v>790.82</v>
      </c>
      <c r="K856">
        <v>5.9280000000000001E-3</v>
      </c>
      <c r="L856">
        <v>0.39</v>
      </c>
      <c r="M856">
        <v>159.69999999999999</v>
      </c>
      <c r="N856">
        <f t="shared" si="21"/>
        <v>5.8589154664996368E-3</v>
      </c>
      <c r="O856">
        <f t="shared" si="22"/>
        <v>2.0141515341265404E-3</v>
      </c>
      <c r="P856">
        <f t="shared" si="23"/>
        <v>3.8447639323730964E-3</v>
      </c>
    </row>
    <row r="857" spans="1:16" x14ac:dyDescent="0.35">
      <c r="A857" s="1">
        <v>35520</v>
      </c>
      <c r="B857">
        <v>-4.1688000000000003E-2</v>
      </c>
      <c r="C857">
        <v>-4.3310000000000001E-2</v>
      </c>
      <c r="D857">
        <v>-3.5143000000000001E-2</v>
      </c>
      <c r="E857">
        <v>-3.6683E-2</v>
      </c>
      <c r="F857">
        <v>5703113550</v>
      </c>
      <c r="G857">
        <v>500</v>
      </c>
      <c r="H857">
        <v>5957281530</v>
      </c>
      <c r="I857">
        <v>500</v>
      </c>
      <c r="J857">
        <v>757.12</v>
      </c>
      <c r="K857">
        <v>-4.2613999999999999E-2</v>
      </c>
      <c r="L857">
        <v>0.43</v>
      </c>
      <c r="M857">
        <v>159.80000000000001</v>
      </c>
      <c r="N857">
        <f t="shared" si="21"/>
        <v>-4.2287694618272864E-2</v>
      </c>
      <c r="O857">
        <f t="shared" si="22"/>
        <v>3.6715269086355917E-3</v>
      </c>
      <c r="P857">
        <f t="shared" si="23"/>
        <v>-4.5959221526908456E-2</v>
      </c>
    </row>
    <row r="858" spans="1:16" x14ac:dyDescent="0.35">
      <c r="A858" s="1">
        <v>35550</v>
      </c>
      <c r="B858">
        <v>6.0274000000000001E-2</v>
      </c>
      <c r="C858">
        <v>5.9015999999999999E-2</v>
      </c>
      <c r="D858">
        <v>3.2138E-2</v>
      </c>
      <c r="E858">
        <v>3.0870000000000002E-2</v>
      </c>
      <c r="F858">
        <v>6032151470</v>
      </c>
      <c r="G858">
        <v>500</v>
      </c>
      <c r="H858">
        <v>5692700710</v>
      </c>
      <c r="I858">
        <v>500</v>
      </c>
      <c r="J858">
        <v>801.34</v>
      </c>
      <c r="K858">
        <v>5.8406E-2</v>
      </c>
      <c r="L858">
        <v>0.43</v>
      </c>
      <c r="M858">
        <v>159.9</v>
      </c>
      <c r="N858">
        <f t="shared" si="21"/>
        <v>5.9610914321450936E-2</v>
      </c>
      <c r="O858">
        <f t="shared" si="22"/>
        <v>3.6719199499688493E-3</v>
      </c>
      <c r="P858">
        <f t="shared" si="23"/>
        <v>5.5938994371482087E-2</v>
      </c>
    </row>
    <row r="859" spans="1:16" x14ac:dyDescent="0.35">
      <c r="A859" s="1">
        <v>35580</v>
      </c>
      <c r="B859">
        <v>6.1400999999999997E-2</v>
      </c>
      <c r="C859">
        <v>5.9271999999999998E-2</v>
      </c>
      <c r="D859">
        <v>7.3897000000000004E-2</v>
      </c>
      <c r="E859">
        <v>7.1722999999999995E-2</v>
      </c>
      <c r="F859">
        <v>6386661630</v>
      </c>
      <c r="G859">
        <v>500</v>
      </c>
      <c r="H859">
        <v>6029307780</v>
      </c>
      <c r="I859">
        <v>500</v>
      </c>
      <c r="J859">
        <v>848.28</v>
      </c>
      <c r="K859">
        <v>5.8576999999999997E-2</v>
      </c>
      <c r="L859">
        <v>0.49</v>
      </c>
      <c r="M859">
        <v>159.9</v>
      </c>
      <c r="N859">
        <f t="shared" ref="N859:N922" si="24">(1+B859)*M858/M859-1</f>
        <v>6.1401000000000039E-2</v>
      </c>
      <c r="O859">
        <f t="shared" ref="O859:O922" si="25">(1+L859/100)*M858/M859-1</f>
        <v>4.8999999999999044E-3</v>
      </c>
      <c r="P859">
        <f t="shared" ref="P859:P922" si="26">N859-O859</f>
        <v>5.6501000000000134E-2</v>
      </c>
    </row>
    <row r="860" spans="1:16" x14ac:dyDescent="0.35">
      <c r="A860" s="1">
        <v>35611</v>
      </c>
      <c r="B860">
        <v>4.4103000000000003E-2</v>
      </c>
      <c r="C860">
        <v>4.2762000000000001E-2</v>
      </c>
      <c r="D860">
        <v>3.882E-2</v>
      </c>
      <c r="E860">
        <v>3.7303000000000003E-2</v>
      </c>
      <c r="F860">
        <v>6668015310</v>
      </c>
      <c r="G860">
        <v>500</v>
      </c>
      <c r="H860">
        <v>6373557670</v>
      </c>
      <c r="I860">
        <v>499</v>
      </c>
      <c r="J860">
        <v>885.14</v>
      </c>
      <c r="K860">
        <v>4.3452999999999999E-2</v>
      </c>
      <c r="L860">
        <v>0.37</v>
      </c>
      <c r="M860">
        <v>160.19999999999999</v>
      </c>
      <c r="N860">
        <f t="shared" si="24"/>
        <v>4.214775093632972E-2</v>
      </c>
      <c r="O860">
        <f t="shared" si="25"/>
        <v>1.8204119850189215E-3</v>
      </c>
      <c r="P860">
        <f t="shared" si="26"/>
        <v>4.0327338951310798E-2</v>
      </c>
    </row>
    <row r="861" spans="1:16" x14ac:dyDescent="0.35">
      <c r="A861" s="1">
        <v>35642</v>
      </c>
      <c r="B861">
        <v>8.0388000000000001E-2</v>
      </c>
      <c r="C861">
        <v>7.8977000000000006E-2</v>
      </c>
      <c r="D861">
        <v>7.9766000000000004E-2</v>
      </c>
      <c r="E861">
        <v>7.8635999999999998E-2</v>
      </c>
      <c r="F861">
        <v>7220558480</v>
      </c>
      <c r="G861">
        <v>500</v>
      </c>
      <c r="H861">
        <v>6677441980</v>
      </c>
      <c r="I861">
        <v>500</v>
      </c>
      <c r="J861">
        <v>954.29</v>
      </c>
      <c r="K861">
        <v>7.8122999999999998E-2</v>
      </c>
      <c r="L861">
        <v>0.43</v>
      </c>
      <c r="M861">
        <v>160.4</v>
      </c>
      <c r="N861">
        <f t="shared" si="24"/>
        <v>7.9040882793017131E-2</v>
      </c>
      <c r="O861">
        <f t="shared" si="25"/>
        <v>3.0477556109724802E-3</v>
      </c>
      <c r="P861">
        <f t="shared" si="26"/>
        <v>7.5993127182044651E-2</v>
      </c>
    </row>
    <row r="862" spans="1:16" x14ac:dyDescent="0.35">
      <c r="A862" s="1">
        <v>35671</v>
      </c>
      <c r="B862">
        <v>-5.4975000000000003E-2</v>
      </c>
      <c r="C862">
        <v>-5.6458000000000001E-2</v>
      </c>
      <c r="D862">
        <v>-2.8008000000000002E-2</v>
      </c>
      <c r="E862">
        <v>-2.9745000000000001E-2</v>
      </c>
      <c r="F862">
        <v>6853123510</v>
      </c>
      <c r="G862">
        <v>500</v>
      </c>
      <c r="H862">
        <v>7197429650</v>
      </c>
      <c r="I862">
        <v>500</v>
      </c>
      <c r="J862">
        <v>899.47</v>
      </c>
      <c r="K862">
        <v>-5.7445999999999997E-2</v>
      </c>
      <c r="L862">
        <v>0.41</v>
      </c>
      <c r="M862">
        <v>160.80000000000001</v>
      </c>
      <c r="N862">
        <f t="shared" si="24"/>
        <v>-5.7325808457711513E-2</v>
      </c>
      <c r="O862">
        <f t="shared" si="25"/>
        <v>1.602238805969991E-3</v>
      </c>
      <c r="P862">
        <f t="shared" si="26"/>
        <v>-5.8928047263681504E-2</v>
      </c>
    </row>
    <row r="863" spans="1:16" x14ac:dyDescent="0.35">
      <c r="A863" s="1">
        <v>35703</v>
      </c>
      <c r="B863">
        <v>5.3886000000000003E-2</v>
      </c>
      <c r="C863">
        <v>5.2408000000000003E-2</v>
      </c>
      <c r="D863">
        <v>5.1665000000000003E-2</v>
      </c>
      <c r="E863">
        <v>5.0188999999999998E-2</v>
      </c>
      <c r="F863">
        <v>7233836860</v>
      </c>
      <c r="G863">
        <v>500</v>
      </c>
      <c r="H863">
        <v>6857347930</v>
      </c>
      <c r="I863">
        <v>500</v>
      </c>
      <c r="J863">
        <v>947.28</v>
      </c>
      <c r="K863">
        <v>5.3154E-2</v>
      </c>
      <c r="L863">
        <v>0.44</v>
      </c>
      <c r="M863">
        <v>161.19999999999999</v>
      </c>
      <c r="N863">
        <f t="shared" si="24"/>
        <v>5.1270898263027664E-2</v>
      </c>
      <c r="O863">
        <f t="shared" si="25"/>
        <v>1.907692307692388E-3</v>
      </c>
      <c r="P863">
        <f t="shared" si="26"/>
        <v>4.9363205955335276E-2</v>
      </c>
    </row>
    <row r="864" spans="1:16" x14ac:dyDescent="0.35">
      <c r="A864" s="1">
        <v>35734</v>
      </c>
      <c r="B864">
        <v>-3.2605000000000002E-2</v>
      </c>
      <c r="C864">
        <v>-3.3730000000000003E-2</v>
      </c>
      <c r="D864">
        <v>-4.3194000000000003E-2</v>
      </c>
      <c r="E864">
        <v>-4.4241000000000003E-2</v>
      </c>
      <c r="F864">
        <v>6991514030</v>
      </c>
      <c r="G864">
        <v>500</v>
      </c>
      <c r="H864">
        <v>7243597230</v>
      </c>
      <c r="I864">
        <v>500</v>
      </c>
      <c r="J864">
        <v>914.62</v>
      </c>
      <c r="K864">
        <v>-3.4478000000000002E-2</v>
      </c>
      <c r="L864">
        <v>0.42</v>
      </c>
      <c r="M864">
        <v>161.5</v>
      </c>
      <c r="N864">
        <f t="shared" si="24"/>
        <v>-3.4402018575851345E-2</v>
      </c>
      <c r="O864">
        <f t="shared" si="25"/>
        <v>2.3346130030958978E-3</v>
      </c>
      <c r="P864">
        <f t="shared" si="26"/>
        <v>-3.6736631578947243E-2</v>
      </c>
    </row>
    <row r="865" spans="1:16" x14ac:dyDescent="0.35">
      <c r="A865" s="1">
        <v>35762</v>
      </c>
      <c r="B865">
        <v>4.6321000000000001E-2</v>
      </c>
      <c r="C865">
        <v>4.4624999999999998E-2</v>
      </c>
      <c r="D865">
        <v>3.1342000000000002E-2</v>
      </c>
      <c r="E865">
        <v>2.9479000000000002E-2</v>
      </c>
      <c r="F865">
        <v>7308394530</v>
      </c>
      <c r="G865">
        <v>500</v>
      </c>
      <c r="H865">
        <v>6986980100</v>
      </c>
      <c r="I865">
        <v>500</v>
      </c>
      <c r="J865">
        <v>955.4</v>
      </c>
      <c r="K865">
        <v>4.4587000000000002E-2</v>
      </c>
      <c r="L865">
        <v>0.39</v>
      </c>
      <c r="M865">
        <v>161.69999999999999</v>
      </c>
      <c r="N865">
        <f t="shared" si="24"/>
        <v>4.50268491032777E-2</v>
      </c>
      <c r="O865">
        <f t="shared" si="25"/>
        <v>2.6583178726036216E-3</v>
      </c>
      <c r="P865">
        <f t="shared" si="26"/>
        <v>4.2368531230674078E-2</v>
      </c>
    </row>
    <row r="866" spans="1:16" x14ac:dyDescent="0.35">
      <c r="A866" s="1">
        <v>35795</v>
      </c>
      <c r="B866">
        <v>1.7146999999999999E-2</v>
      </c>
      <c r="C866">
        <v>1.5699999999999999E-2</v>
      </c>
      <c r="D866">
        <v>1.5318999999999999E-2</v>
      </c>
      <c r="E866">
        <v>1.3788E-2</v>
      </c>
      <c r="F866">
        <v>7440534250</v>
      </c>
      <c r="G866">
        <v>500</v>
      </c>
      <c r="H866">
        <v>7313955340</v>
      </c>
      <c r="I866">
        <v>500</v>
      </c>
      <c r="J866">
        <v>970.43</v>
      </c>
      <c r="K866">
        <v>1.5731999999999999E-2</v>
      </c>
      <c r="L866">
        <v>0.48</v>
      </c>
      <c r="M866">
        <v>161.80000000000001</v>
      </c>
      <c r="N866">
        <f t="shared" si="24"/>
        <v>1.651835537700852E-2</v>
      </c>
      <c r="O866">
        <f t="shared" si="25"/>
        <v>4.1789864029664336E-3</v>
      </c>
      <c r="P866">
        <f t="shared" si="26"/>
        <v>1.2339368974042086E-2</v>
      </c>
    </row>
    <row r="867" spans="1:16" x14ac:dyDescent="0.35">
      <c r="A867" s="1">
        <v>35825</v>
      </c>
      <c r="B867">
        <v>1.1993999999999999E-2</v>
      </c>
      <c r="C867">
        <v>1.108E-2</v>
      </c>
      <c r="D867">
        <v>-2.3259999999999999E-3</v>
      </c>
      <c r="E867">
        <v>-3.1519999999999999E-3</v>
      </c>
      <c r="F867">
        <v>7545938650</v>
      </c>
      <c r="G867">
        <v>500</v>
      </c>
      <c r="H867">
        <v>7448593110</v>
      </c>
      <c r="I867">
        <v>500</v>
      </c>
      <c r="J867">
        <v>980.28</v>
      </c>
      <c r="K867">
        <v>1.0149999999999999E-2</v>
      </c>
      <c r="L867">
        <v>0.43</v>
      </c>
      <c r="M867">
        <v>162</v>
      </c>
      <c r="N867">
        <f t="shared" si="24"/>
        <v>1.0744624691358284E-2</v>
      </c>
      <c r="O867">
        <f t="shared" si="25"/>
        <v>3.0601234567901869E-3</v>
      </c>
      <c r="P867">
        <f t="shared" si="26"/>
        <v>7.6845012345680974E-3</v>
      </c>
    </row>
    <row r="868" spans="1:16" x14ac:dyDescent="0.35">
      <c r="A868" s="1">
        <v>35853</v>
      </c>
      <c r="B868">
        <v>7.1956000000000006E-2</v>
      </c>
      <c r="C868">
        <v>7.0303000000000004E-2</v>
      </c>
      <c r="D868">
        <v>7.8865000000000005E-2</v>
      </c>
      <c r="E868">
        <v>7.7035999999999993E-2</v>
      </c>
      <c r="F868">
        <v>8078896740</v>
      </c>
      <c r="G868">
        <v>500</v>
      </c>
      <c r="H868">
        <v>7543147370</v>
      </c>
      <c r="I868">
        <v>500</v>
      </c>
      <c r="J868">
        <v>1049.3399999999999</v>
      </c>
      <c r="K868">
        <v>7.0448999999999998E-2</v>
      </c>
      <c r="L868">
        <v>0.39</v>
      </c>
      <c r="M868">
        <v>162</v>
      </c>
      <c r="N868">
        <f t="shared" si="24"/>
        <v>7.1955999999999909E-2</v>
      </c>
      <c r="O868">
        <f t="shared" si="25"/>
        <v>3.9000000000000146E-3</v>
      </c>
      <c r="P868">
        <f t="shared" si="26"/>
        <v>6.8055999999999894E-2</v>
      </c>
    </row>
    <row r="869" spans="1:16" x14ac:dyDescent="0.35">
      <c r="A869" s="1">
        <v>35885</v>
      </c>
      <c r="B869">
        <v>5.1336E-2</v>
      </c>
      <c r="C869">
        <v>5.0104000000000003E-2</v>
      </c>
      <c r="D869">
        <v>5.0179000000000001E-2</v>
      </c>
      <c r="E869">
        <v>4.8835000000000003E-2</v>
      </c>
      <c r="F869">
        <v>8498184000</v>
      </c>
      <c r="G869">
        <v>500</v>
      </c>
      <c r="H869">
        <v>8078896740</v>
      </c>
      <c r="I869">
        <v>500</v>
      </c>
      <c r="J869">
        <v>1101.75</v>
      </c>
      <c r="K869">
        <v>4.9945999999999997E-2</v>
      </c>
      <c r="L869">
        <v>0.39</v>
      </c>
      <c r="M869">
        <v>162</v>
      </c>
      <c r="N869">
        <f t="shared" si="24"/>
        <v>5.1336000000000048E-2</v>
      </c>
      <c r="O869">
        <f t="shared" si="25"/>
        <v>3.9000000000000146E-3</v>
      </c>
      <c r="P869">
        <f t="shared" si="26"/>
        <v>4.7436000000000034E-2</v>
      </c>
    </row>
    <row r="870" spans="1:16" x14ac:dyDescent="0.35">
      <c r="A870" s="1">
        <v>35915</v>
      </c>
      <c r="B870">
        <v>1.1275E-2</v>
      </c>
      <c r="C870">
        <v>1.0232E-2</v>
      </c>
      <c r="D870">
        <v>4.2090000000000001E-3</v>
      </c>
      <c r="E870">
        <v>3.2269999999999998E-3</v>
      </c>
      <c r="F870">
        <v>8580996930</v>
      </c>
      <c r="G870">
        <v>500</v>
      </c>
      <c r="H870">
        <v>8512492460</v>
      </c>
      <c r="I870">
        <v>500</v>
      </c>
      <c r="J870">
        <v>1111.75</v>
      </c>
      <c r="K870">
        <v>9.0760000000000007E-3</v>
      </c>
      <c r="L870">
        <v>0.43</v>
      </c>
      <c r="M870">
        <v>162.19999999999999</v>
      </c>
      <c r="N870">
        <f t="shared" si="24"/>
        <v>1.0028051787916104E-2</v>
      </c>
      <c r="O870">
        <f t="shared" si="25"/>
        <v>3.0616522811344193E-3</v>
      </c>
      <c r="P870">
        <f t="shared" si="26"/>
        <v>6.9663995067816842E-3</v>
      </c>
    </row>
    <row r="871" spans="1:16" x14ac:dyDescent="0.35">
      <c r="A871" s="1">
        <v>35944</v>
      </c>
      <c r="B871">
        <v>-1.7673999999999999E-2</v>
      </c>
      <c r="C871">
        <v>-1.9206000000000001E-2</v>
      </c>
      <c r="D871">
        <v>-2.4931999999999999E-2</v>
      </c>
      <c r="E871">
        <v>-2.6546E-2</v>
      </c>
      <c r="F871">
        <v>8433892020</v>
      </c>
      <c r="G871">
        <v>500</v>
      </c>
      <c r="H871">
        <v>8580869300</v>
      </c>
      <c r="I871">
        <v>500</v>
      </c>
      <c r="J871">
        <v>1090.82</v>
      </c>
      <c r="K871">
        <v>-1.8825999999999999E-2</v>
      </c>
      <c r="L871">
        <v>0.4</v>
      </c>
      <c r="M871">
        <v>162.6</v>
      </c>
      <c r="N871">
        <f t="shared" si="24"/>
        <v>-2.0090546125461239E-2</v>
      </c>
      <c r="O871">
        <f t="shared" si="25"/>
        <v>1.5301353013530417E-3</v>
      </c>
      <c r="P871">
        <f t="shared" si="26"/>
        <v>-2.1620681426814281E-2</v>
      </c>
    </row>
    <row r="872" spans="1:16" x14ac:dyDescent="0.35">
      <c r="A872" s="1">
        <v>35976</v>
      </c>
      <c r="B872">
        <v>4.0969999999999999E-2</v>
      </c>
      <c r="C872">
        <v>3.9800000000000002E-2</v>
      </c>
      <c r="D872">
        <v>1.0836E-2</v>
      </c>
      <c r="E872">
        <v>9.4560000000000009E-3</v>
      </c>
      <c r="F872">
        <v>8831046660</v>
      </c>
      <c r="G872">
        <v>500</v>
      </c>
      <c r="H872">
        <v>8408346170</v>
      </c>
      <c r="I872">
        <v>498</v>
      </c>
      <c r="J872">
        <v>1133.8399999999999</v>
      </c>
      <c r="K872">
        <v>3.9438000000000001E-2</v>
      </c>
      <c r="L872">
        <v>0.41</v>
      </c>
      <c r="M872">
        <v>162.80000000000001</v>
      </c>
      <c r="N872">
        <f t="shared" si="24"/>
        <v>3.9691167076167044E-2</v>
      </c>
      <c r="O872">
        <f t="shared" si="25"/>
        <v>2.8664619164617822E-3</v>
      </c>
      <c r="P872">
        <f t="shared" si="26"/>
        <v>3.6824705159705262E-2</v>
      </c>
    </row>
    <row r="873" spans="1:16" x14ac:dyDescent="0.35">
      <c r="A873" s="1">
        <v>36007</v>
      </c>
      <c r="B873">
        <v>-1.0109E-2</v>
      </c>
      <c r="C873">
        <v>-1.1112E-2</v>
      </c>
      <c r="D873">
        <v>-4.4450000000000003E-2</v>
      </c>
      <c r="E873">
        <v>-4.5310999999999997E-2</v>
      </c>
      <c r="F873">
        <v>8797989770</v>
      </c>
      <c r="G873">
        <v>500</v>
      </c>
      <c r="H873">
        <v>8840223600</v>
      </c>
      <c r="I873">
        <v>500</v>
      </c>
      <c r="J873">
        <v>1120.67</v>
      </c>
      <c r="K873">
        <v>-1.1615E-2</v>
      </c>
      <c r="L873">
        <v>0.4</v>
      </c>
      <c r="M873">
        <v>163.19999999999999</v>
      </c>
      <c r="N873">
        <f t="shared" si="24"/>
        <v>-1.2535203431372377E-2</v>
      </c>
      <c r="O873">
        <f t="shared" si="25"/>
        <v>1.5392156862745754E-3</v>
      </c>
      <c r="P873">
        <f t="shared" si="26"/>
        <v>-1.4074419117646952E-2</v>
      </c>
    </row>
    <row r="874" spans="1:16" x14ac:dyDescent="0.35">
      <c r="A874" s="1">
        <v>36038</v>
      </c>
      <c r="B874">
        <v>-0.143124</v>
      </c>
      <c r="C874">
        <v>-0.14450399999999999</v>
      </c>
      <c r="D874">
        <v>-0.148456</v>
      </c>
      <c r="E874">
        <v>-0.15028</v>
      </c>
      <c r="F874">
        <v>7558790250</v>
      </c>
      <c r="G874">
        <v>500</v>
      </c>
      <c r="H874">
        <v>8818868100</v>
      </c>
      <c r="I874">
        <v>500</v>
      </c>
      <c r="J874">
        <v>957.28</v>
      </c>
      <c r="K874">
        <v>-0.14579700000000001</v>
      </c>
      <c r="L874">
        <v>0.43</v>
      </c>
      <c r="M874">
        <v>163.4</v>
      </c>
      <c r="N874">
        <f t="shared" si="24"/>
        <v>-0.14417280783353748</v>
      </c>
      <c r="O874">
        <f t="shared" si="25"/>
        <v>3.0707466340269551E-3</v>
      </c>
      <c r="P874">
        <f t="shared" si="26"/>
        <v>-0.14724355446756443</v>
      </c>
    </row>
    <row r="875" spans="1:16" x14ac:dyDescent="0.35">
      <c r="A875" s="1">
        <v>36068</v>
      </c>
      <c r="B875">
        <v>6.3175999999999996E-2</v>
      </c>
      <c r="C875">
        <v>6.1612E-2</v>
      </c>
      <c r="D875">
        <v>6.0340999999999999E-2</v>
      </c>
      <c r="E875">
        <v>5.8597000000000003E-2</v>
      </c>
      <c r="F875">
        <v>8041223980</v>
      </c>
      <c r="G875">
        <v>500</v>
      </c>
      <c r="H875">
        <v>7530956760</v>
      </c>
      <c r="I875">
        <v>499</v>
      </c>
      <c r="J875">
        <v>1017.01</v>
      </c>
      <c r="K875">
        <v>6.2396E-2</v>
      </c>
      <c r="L875">
        <v>0.46</v>
      </c>
      <c r="M875">
        <v>163.5</v>
      </c>
      <c r="N875">
        <f t="shared" si="24"/>
        <v>6.2525739449541096E-2</v>
      </c>
      <c r="O875">
        <f t="shared" si="25"/>
        <v>3.9855657492353647E-3</v>
      </c>
      <c r="P875">
        <f t="shared" si="26"/>
        <v>5.8540173700305731E-2</v>
      </c>
    </row>
    <row r="876" spans="1:16" x14ac:dyDescent="0.35">
      <c r="A876" s="1">
        <v>36098</v>
      </c>
      <c r="B876">
        <v>8.0111000000000002E-2</v>
      </c>
      <c r="C876">
        <v>7.9144000000000006E-2</v>
      </c>
      <c r="D876">
        <v>8.8840000000000002E-2</v>
      </c>
      <c r="E876">
        <v>8.7859999999999994E-2</v>
      </c>
      <c r="F876">
        <v>8749887020</v>
      </c>
      <c r="G876">
        <v>500</v>
      </c>
      <c r="H876">
        <v>7987891620</v>
      </c>
      <c r="I876">
        <v>500</v>
      </c>
      <c r="J876">
        <v>1098.67</v>
      </c>
      <c r="K876">
        <v>8.0294000000000004E-2</v>
      </c>
      <c r="L876">
        <v>0.32</v>
      </c>
      <c r="M876">
        <v>163.9</v>
      </c>
      <c r="N876">
        <f t="shared" si="24"/>
        <v>7.7474975594874929E-2</v>
      </c>
      <c r="O876">
        <f t="shared" si="25"/>
        <v>7.5167785234908635E-4</v>
      </c>
      <c r="P876">
        <f t="shared" si="26"/>
        <v>7.6723297742525842E-2</v>
      </c>
    </row>
    <row r="877" spans="1:16" x14ac:dyDescent="0.35">
      <c r="A877" s="1">
        <v>36129</v>
      </c>
      <c r="B877">
        <v>6.2163999999999997E-2</v>
      </c>
      <c r="C877">
        <v>6.0685000000000003E-2</v>
      </c>
      <c r="D877">
        <v>5.0709999999999998E-2</v>
      </c>
      <c r="E877">
        <v>4.8847000000000002E-2</v>
      </c>
      <c r="F877">
        <v>9258095600</v>
      </c>
      <c r="G877">
        <v>500</v>
      </c>
      <c r="H877">
        <v>8719797590</v>
      </c>
      <c r="I877">
        <v>499</v>
      </c>
      <c r="J877">
        <v>1163.6300000000001</v>
      </c>
      <c r="K877">
        <v>5.9125999999999998E-2</v>
      </c>
      <c r="L877">
        <v>0.31</v>
      </c>
      <c r="M877">
        <v>164.1</v>
      </c>
      <c r="N877">
        <f t="shared" si="24"/>
        <v>6.0869467397928423E-2</v>
      </c>
      <c r="O877">
        <f t="shared" si="25"/>
        <v>1.8774527726996837E-3</v>
      </c>
      <c r="P877">
        <f t="shared" si="26"/>
        <v>5.8992014625228739E-2</v>
      </c>
    </row>
    <row r="878" spans="1:16" x14ac:dyDescent="0.35">
      <c r="A878" s="1">
        <v>36160</v>
      </c>
      <c r="B878">
        <v>5.9672999999999997E-2</v>
      </c>
      <c r="C878">
        <v>5.8453999999999999E-2</v>
      </c>
      <c r="D878">
        <v>2.9082E-2</v>
      </c>
      <c r="E878">
        <v>2.7529000000000001E-2</v>
      </c>
      <c r="F878">
        <v>9806834360</v>
      </c>
      <c r="G878">
        <v>500</v>
      </c>
      <c r="H878">
        <v>9267061590</v>
      </c>
      <c r="I878">
        <v>500</v>
      </c>
      <c r="J878">
        <v>1229.23</v>
      </c>
      <c r="K878">
        <v>5.6375000000000001E-2</v>
      </c>
      <c r="L878">
        <v>0.38</v>
      </c>
      <c r="M878">
        <v>164.4</v>
      </c>
      <c r="N878">
        <f t="shared" si="24"/>
        <v>5.7739290145985445E-2</v>
      </c>
      <c r="O878">
        <f t="shared" si="25"/>
        <v>1.9682481751823744E-3</v>
      </c>
      <c r="P878">
        <f t="shared" si="26"/>
        <v>5.577104197080307E-2</v>
      </c>
    </row>
    <row r="879" spans="1:16" x14ac:dyDescent="0.35">
      <c r="A879" s="1">
        <v>36189</v>
      </c>
      <c r="B879">
        <v>4.2799999999999998E-2</v>
      </c>
      <c r="C879">
        <v>4.2000000000000003E-2</v>
      </c>
      <c r="D879">
        <v>1.0847000000000001E-2</v>
      </c>
      <c r="E879">
        <v>1.0044000000000001E-2</v>
      </c>
      <c r="F879">
        <v>10304050000</v>
      </c>
      <c r="G879">
        <v>500</v>
      </c>
      <c r="H879">
        <v>9834164300</v>
      </c>
      <c r="I879">
        <v>500</v>
      </c>
      <c r="J879">
        <v>1279.6400000000001</v>
      </c>
      <c r="K879">
        <v>4.1008999999999997E-2</v>
      </c>
      <c r="L879">
        <v>0.35</v>
      </c>
      <c r="M879">
        <v>164.7</v>
      </c>
      <c r="N879">
        <f t="shared" si="24"/>
        <v>4.0900546448087383E-2</v>
      </c>
      <c r="O879">
        <f t="shared" si="25"/>
        <v>1.6721311475411671E-3</v>
      </c>
      <c r="P879">
        <f t="shared" si="26"/>
        <v>3.9228415300546216E-2</v>
      </c>
    </row>
    <row r="880" spans="1:16" x14ac:dyDescent="0.35">
      <c r="A880" s="1">
        <v>36217</v>
      </c>
      <c r="B880">
        <v>-3.1934999999999998E-2</v>
      </c>
      <c r="C880">
        <v>-3.3155999999999998E-2</v>
      </c>
      <c r="D880">
        <v>-1.9370999999999999E-2</v>
      </c>
      <c r="E880">
        <v>-2.1184000000000001E-2</v>
      </c>
      <c r="F880">
        <v>9970562320</v>
      </c>
      <c r="G880">
        <v>500</v>
      </c>
      <c r="H880">
        <v>10304050000</v>
      </c>
      <c r="I880">
        <v>500</v>
      </c>
      <c r="J880">
        <v>1238.33</v>
      </c>
      <c r="K880">
        <v>-3.2282999999999999E-2</v>
      </c>
      <c r="L880">
        <v>0.35</v>
      </c>
      <c r="M880">
        <v>164.7</v>
      </c>
      <c r="N880">
        <f t="shared" si="24"/>
        <v>-3.1934999999999936E-2</v>
      </c>
      <c r="O880">
        <f t="shared" si="25"/>
        <v>3.5000000000000586E-3</v>
      </c>
      <c r="P880">
        <f t="shared" si="26"/>
        <v>-3.5434999999999994E-2</v>
      </c>
    </row>
    <row r="881" spans="1:16" x14ac:dyDescent="0.35">
      <c r="A881" s="1">
        <v>36250</v>
      </c>
      <c r="B881">
        <v>3.8979E-2</v>
      </c>
      <c r="C881">
        <v>3.7774000000000002E-2</v>
      </c>
      <c r="D881">
        <v>2.1854999999999999E-2</v>
      </c>
      <c r="E881">
        <v>2.0209000000000001E-2</v>
      </c>
      <c r="F881">
        <v>10346675700</v>
      </c>
      <c r="G881">
        <v>500</v>
      </c>
      <c r="H881">
        <v>9952725170</v>
      </c>
      <c r="I881">
        <v>500</v>
      </c>
      <c r="J881">
        <v>1286.3699999999999</v>
      </c>
      <c r="K881">
        <v>3.8794000000000002E-2</v>
      </c>
      <c r="L881">
        <v>0.43</v>
      </c>
      <c r="M881">
        <v>164.8</v>
      </c>
      <c r="N881">
        <f t="shared" si="24"/>
        <v>3.8348551577669809E-2</v>
      </c>
      <c r="O881">
        <f t="shared" si="25"/>
        <v>3.6905946601941686E-3</v>
      </c>
      <c r="P881">
        <f t="shared" si="26"/>
        <v>3.4657956917475641E-2</v>
      </c>
    </row>
    <row r="882" spans="1:16" x14ac:dyDescent="0.35">
      <c r="A882" s="1">
        <v>36280</v>
      </c>
      <c r="B882">
        <v>3.7559000000000002E-2</v>
      </c>
      <c r="C882">
        <v>3.6770999999999998E-2</v>
      </c>
      <c r="D882">
        <v>9.6934000000000006E-2</v>
      </c>
      <c r="E882">
        <v>9.5960000000000004E-2</v>
      </c>
      <c r="F882">
        <v>10775531900</v>
      </c>
      <c r="G882">
        <v>500</v>
      </c>
      <c r="H882">
        <v>10343821800</v>
      </c>
      <c r="I882">
        <v>500</v>
      </c>
      <c r="J882">
        <v>1335.18</v>
      </c>
      <c r="K882">
        <v>3.7943999999999999E-2</v>
      </c>
      <c r="L882">
        <v>0.37</v>
      </c>
      <c r="M882">
        <v>165.9</v>
      </c>
      <c r="N882">
        <f t="shared" si="24"/>
        <v>3.0679464737793705E-2</v>
      </c>
      <c r="O882">
        <f t="shared" si="25"/>
        <v>-2.9550331525014517E-3</v>
      </c>
      <c r="P882">
        <f t="shared" si="26"/>
        <v>3.3634497890295156E-2</v>
      </c>
    </row>
    <row r="883" spans="1:16" x14ac:dyDescent="0.35">
      <c r="A883" s="1">
        <v>36308</v>
      </c>
      <c r="B883">
        <v>-2.3158999999999999E-2</v>
      </c>
      <c r="C883">
        <v>-2.4833000000000001E-2</v>
      </c>
      <c r="D883">
        <v>-1.1119999999999999E-3</v>
      </c>
      <c r="E883">
        <v>-3.032E-3</v>
      </c>
      <c r="F883">
        <v>10532289500</v>
      </c>
      <c r="G883">
        <v>500</v>
      </c>
      <c r="H883">
        <v>10790858200</v>
      </c>
      <c r="I883">
        <v>500</v>
      </c>
      <c r="J883">
        <v>1301.8399999999999</v>
      </c>
      <c r="K883">
        <v>-2.4969999999999999E-2</v>
      </c>
      <c r="L883">
        <v>0.34</v>
      </c>
      <c r="M883">
        <v>166</v>
      </c>
      <c r="N883">
        <f t="shared" si="24"/>
        <v>-2.3747458433734936E-2</v>
      </c>
      <c r="O883">
        <f t="shared" si="25"/>
        <v>2.795542168674725E-3</v>
      </c>
      <c r="P883">
        <f t="shared" si="26"/>
        <v>-2.6543000602409661E-2</v>
      </c>
    </row>
    <row r="884" spans="1:16" x14ac:dyDescent="0.35">
      <c r="A884" s="1">
        <v>36341</v>
      </c>
      <c r="B884">
        <v>5.4431E-2</v>
      </c>
      <c r="C884">
        <v>5.3398000000000001E-2</v>
      </c>
      <c r="D884">
        <v>4.1249000000000001E-2</v>
      </c>
      <c r="E884">
        <v>3.9867E-2</v>
      </c>
      <c r="F884">
        <v>11072717000</v>
      </c>
      <c r="G884">
        <v>500</v>
      </c>
      <c r="H884">
        <v>10467814800</v>
      </c>
      <c r="I884">
        <v>500</v>
      </c>
      <c r="J884">
        <v>1372.71</v>
      </c>
      <c r="K884">
        <v>5.4438E-2</v>
      </c>
      <c r="L884">
        <v>0.4</v>
      </c>
      <c r="M884">
        <v>166</v>
      </c>
      <c r="N884">
        <f t="shared" si="24"/>
        <v>5.4430999999999896E-2</v>
      </c>
      <c r="O884">
        <f t="shared" si="25"/>
        <v>4.0000000000000036E-3</v>
      </c>
      <c r="P884">
        <f t="shared" si="26"/>
        <v>5.0430999999999893E-2</v>
      </c>
    </row>
    <row r="885" spans="1:16" x14ac:dyDescent="0.35">
      <c r="A885" s="1">
        <v>36371</v>
      </c>
      <c r="B885">
        <v>-3.022E-2</v>
      </c>
      <c r="C885">
        <v>-3.1084000000000001E-2</v>
      </c>
      <c r="D885">
        <v>-3.4555000000000002E-2</v>
      </c>
      <c r="E885">
        <v>-3.5453999999999999E-2</v>
      </c>
      <c r="F885">
        <v>10754251100</v>
      </c>
      <c r="G885">
        <v>500</v>
      </c>
      <c r="H885">
        <v>11083313300</v>
      </c>
      <c r="I885">
        <v>500</v>
      </c>
      <c r="J885">
        <v>1328.72</v>
      </c>
      <c r="K885">
        <v>-3.2045999999999998E-2</v>
      </c>
      <c r="L885">
        <v>0.38</v>
      </c>
      <c r="M885">
        <v>166.7</v>
      </c>
      <c r="N885">
        <f t="shared" si="24"/>
        <v>-3.4292261547690495E-2</v>
      </c>
      <c r="O885">
        <f t="shared" si="25"/>
        <v>-4.1511697660467917E-4</v>
      </c>
      <c r="P885">
        <f t="shared" si="26"/>
        <v>-3.3877144571085815E-2</v>
      </c>
    </row>
    <row r="886" spans="1:16" x14ac:dyDescent="0.35">
      <c r="A886" s="1">
        <v>36403</v>
      </c>
      <c r="B886">
        <v>-5.0039999999999998E-3</v>
      </c>
      <c r="C886">
        <v>-6.2509999999999996E-3</v>
      </c>
      <c r="D886">
        <v>-2.2232999999999999E-2</v>
      </c>
      <c r="E886">
        <v>-2.3947E-2</v>
      </c>
      <c r="F886">
        <v>10701731700</v>
      </c>
      <c r="G886">
        <v>500</v>
      </c>
      <c r="H886">
        <v>10769612900</v>
      </c>
      <c r="I886">
        <v>500</v>
      </c>
      <c r="J886">
        <v>1320.41</v>
      </c>
      <c r="K886">
        <v>-6.254E-3</v>
      </c>
      <c r="L886">
        <v>0.39</v>
      </c>
      <c r="M886">
        <v>167.1</v>
      </c>
      <c r="N886">
        <f t="shared" si="24"/>
        <v>-7.3857977259126351E-3</v>
      </c>
      <c r="O886">
        <f t="shared" si="25"/>
        <v>1.4968880909633775E-3</v>
      </c>
      <c r="P886">
        <f t="shared" si="26"/>
        <v>-8.8826858168760126E-3</v>
      </c>
    </row>
    <row r="887" spans="1:16" x14ac:dyDescent="0.35">
      <c r="A887" s="1">
        <v>36433</v>
      </c>
      <c r="B887">
        <v>-2.8079E-2</v>
      </c>
      <c r="C887">
        <v>-2.9256999999999998E-2</v>
      </c>
      <c r="D887">
        <v>-3.9403000000000001E-2</v>
      </c>
      <c r="E887">
        <v>-4.0890999999999997E-2</v>
      </c>
      <c r="F887">
        <v>10405598100</v>
      </c>
      <c r="G887">
        <v>500</v>
      </c>
      <c r="H887">
        <v>10700821900</v>
      </c>
      <c r="I887">
        <v>500</v>
      </c>
      <c r="J887">
        <v>1282.71</v>
      </c>
      <c r="K887">
        <v>-2.8552000000000001E-2</v>
      </c>
      <c r="L887">
        <v>0.39</v>
      </c>
      <c r="M887">
        <v>167.8</v>
      </c>
      <c r="N887">
        <f t="shared" si="24"/>
        <v>-3.2133497616209761E-2</v>
      </c>
      <c r="O887">
        <f t="shared" si="25"/>
        <v>-2.8790226460084778E-4</v>
      </c>
      <c r="P887">
        <f t="shared" si="26"/>
        <v>-3.1845595351608913E-2</v>
      </c>
    </row>
    <row r="888" spans="1:16" x14ac:dyDescent="0.35">
      <c r="A888" s="1">
        <v>36462</v>
      </c>
      <c r="B888">
        <v>6.4238000000000003E-2</v>
      </c>
      <c r="C888">
        <v>6.3511999999999999E-2</v>
      </c>
      <c r="D888">
        <v>3.0970000000000001E-2</v>
      </c>
      <c r="E888">
        <v>2.9995000000000001E-2</v>
      </c>
      <c r="F888">
        <v>11122321200</v>
      </c>
      <c r="G888">
        <v>500</v>
      </c>
      <c r="H888">
        <v>10342437500</v>
      </c>
      <c r="I888">
        <v>500</v>
      </c>
      <c r="J888">
        <v>1362.93</v>
      </c>
      <c r="K888">
        <v>6.2538999999999997E-2</v>
      </c>
      <c r="L888">
        <v>0.39</v>
      </c>
      <c r="M888">
        <v>168.1</v>
      </c>
      <c r="N888">
        <f t="shared" si="24"/>
        <v>6.2338705532421379E-2</v>
      </c>
      <c r="O888">
        <f t="shared" si="25"/>
        <v>2.1083878643666232E-3</v>
      </c>
      <c r="P888">
        <f t="shared" si="26"/>
        <v>6.0230317668054756E-2</v>
      </c>
    </row>
    <row r="889" spans="1:16" x14ac:dyDescent="0.35">
      <c r="A889" s="1">
        <v>36494</v>
      </c>
      <c r="B889">
        <v>2.0822E-2</v>
      </c>
      <c r="C889">
        <v>1.9546999999999998E-2</v>
      </c>
      <c r="D889">
        <v>-1.732E-3</v>
      </c>
      <c r="E889">
        <v>-3.6410000000000001E-3</v>
      </c>
      <c r="F889">
        <v>11374474100</v>
      </c>
      <c r="G889">
        <v>499</v>
      </c>
      <c r="H889">
        <v>11128328000</v>
      </c>
      <c r="I889">
        <v>499</v>
      </c>
      <c r="J889">
        <v>1388.91</v>
      </c>
      <c r="K889">
        <v>1.9061999999999999E-2</v>
      </c>
      <c r="L889">
        <v>0.36</v>
      </c>
      <c r="M889">
        <v>168.4</v>
      </c>
      <c r="N889">
        <f t="shared" si="24"/>
        <v>1.9003433491686428E-2</v>
      </c>
      <c r="O889">
        <f t="shared" si="25"/>
        <v>1.8121140142517422E-3</v>
      </c>
      <c r="P889">
        <f t="shared" si="26"/>
        <v>1.7191319477434686E-2</v>
      </c>
    </row>
    <row r="890" spans="1:16" x14ac:dyDescent="0.35">
      <c r="A890" s="1">
        <v>36525</v>
      </c>
      <c r="B890">
        <v>6.2578999999999996E-2</v>
      </c>
      <c r="C890">
        <v>6.1549E-2</v>
      </c>
      <c r="D890">
        <v>4.4205000000000001E-2</v>
      </c>
      <c r="E890">
        <v>4.2537999999999999E-2</v>
      </c>
      <c r="F890">
        <v>12162564200</v>
      </c>
      <c r="G890">
        <v>500</v>
      </c>
      <c r="H890">
        <v>11351964300</v>
      </c>
      <c r="I890">
        <v>500</v>
      </c>
      <c r="J890">
        <v>1469.25</v>
      </c>
      <c r="K890">
        <v>5.7844E-2</v>
      </c>
      <c r="L890">
        <v>0.44</v>
      </c>
      <c r="M890">
        <v>168.8</v>
      </c>
      <c r="N890">
        <f t="shared" si="24"/>
        <v>6.006104028435999E-2</v>
      </c>
      <c r="O890">
        <f t="shared" si="25"/>
        <v>2.0199052132701123E-3</v>
      </c>
      <c r="P890">
        <f t="shared" si="26"/>
        <v>5.8041135071089878E-2</v>
      </c>
    </row>
    <row r="891" spans="1:16" x14ac:dyDescent="0.35">
      <c r="A891" s="1">
        <v>36556</v>
      </c>
      <c r="B891">
        <v>-4.9630000000000001E-2</v>
      </c>
      <c r="C891">
        <v>-5.0296E-2</v>
      </c>
      <c r="D891">
        <v>-5.7249000000000001E-2</v>
      </c>
      <c r="E891">
        <v>-5.8164E-2</v>
      </c>
      <c r="F891">
        <v>11585858300</v>
      </c>
      <c r="G891">
        <v>500</v>
      </c>
      <c r="H891">
        <v>12176897300</v>
      </c>
      <c r="I891">
        <v>500</v>
      </c>
      <c r="J891">
        <v>1394.46</v>
      </c>
      <c r="K891">
        <v>-5.0903999999999998E-2</v>
      </c>
      <c r="L891">
        <v>0.41</v>
      </c>
      <c r="M891">
        <v>169.3</v>
      </c>
      <c r="N891">
        <f t="shared" si="24"/>
        <v>-5.2436763142350906E-2</v>
      </c>
      <c r="O891">
        <f t="shared" si="25"/>
        <v>1.1345540460721004E-3</v>
      </c>
      <c r="P891">
        <f t="shared" si="26"/>
        <v>-5.3571317188423007E-2</v>
      </c>
    </row>
    <row r="892" spans="1:16" x14ac:dyDescent="0.35">
      <c r="A892" s="1">
        <v>36585</v>
      </c>
      <c r="B892">
        <v>-1.7458000000000001E-2</v>
      </c>
      <c r="C892">
        <v>-1.8665999999999999E-2</v>
      </c>
      <c r="D892">
        <v>-4.5099E-2</v>
      </c>
      <c r="E892">
        <v>-4.7119000000000001E-2</v>
      </c>
      <c r="F892">
        <v>11378141900</v>
      </c>
      <c r="G892">
        <v>500</v>
      </c>
      <c r="H892">
        <v>11585858300</v>
      </c>
      <c r="I892">
        <v>500</v>
      </c>
      <c r="J892">
        <v>1366.42</v>
      </c>
      <c r="K892">
        <v>-2.0108000000000001E-2</v>
      </c>
      <c r="L892">
        <v>0.43</v>
      </c>
      <c r="M892">
        <v>170</v>
      </c>
      <c r="N892">
        <f t="shared" si="24"/>
        <v>-2.1503761176470459E-2</v>
      </c>
      <c r="O892">
        <f t="shared" si="25"/>
        <v>1.6464705882368591E-4</v>
      </c>
      <c r="P892">
        <f t="shared" si="26"/>
        <v>-2.1668408235294145E-2</v>
      </c>
    </row>
    <row r="893" spans="1:16" x14ac:dyDescent="0.35">
      <c r="A893" s="1">
        <v>36616</v>
      </c>
      <c r="B893">
        <v>9.8488000000000006E-2</v>
      </c>
      <c r="C893">
        <v>9.7431000000000004E-2</v>
      </c>
      <c r="D893">
        <v>0.109941</v>
      </c>
      <c r="E893">
        <v>0.10799599999999999</v>
      </c>
      <c r="F893">
        <v>12528639600</v>
      </c>
      <c r="G893">
        <v>500</v>
      </c>
      <c r="H893">
        <v>11378025700</v>
      </c>
      <c r="I893">
        <v>500</v>
      </c>
      <c r="J893">
        <v>1498.58</v>
      </c>
      <c r="K893">
        <v>9.672E-2</v>
      </c>
      <c r="L893">
        <v>0.47</v>
      </c>
      <c r="M893">
        <v>171</v>
      </c>
      <c r="N893">
        <f t="shared" si="24"/>
        <v>9.2064093567251426E-2</v>
      </c>
      <c r="O893">
        <f t="shared" si="25"/>
        <v>-1.1754385964913849E-3</v>
      </c>
      <c r="P893">
        <f t="shared" si="26"/>
        <v>9.3239532163742811E-2</v>
      </c>
    </row>
    <row r="894" spans="1:16" x14ac:dyDescent="0.35">
      <c r="A894" s="1">
        <v>36644</v>
      </c>
      <c r="B894">
        <v>-3.1583E-2</v>
      </c>
      <c r="C894">
        <v>-3.2308000000000003E-2</v>
      </c>
      <c r="D894">
        <v>8.0739999999999996E-3</v>
      </c>
      <c r="E894">
        <v>7.0289999999999997E-3</v>
      </c>
      <c r="F894">
        <v>12220357700</v>
      </c>
      <c r="G894">
        <v>500</v>
      </c>
      <c r="H894">
        <v>12557131400</v>
      </c>
      <c r="I894">
        <v>500</v>
      </c>
      <c r="J894">
        <v>1452.43</v>
      </c>
      <c r="K894">
        <v>-3.0796E-2</v>
      </c>
      <c r="L894">
        <v>0.46</v>
      </c>
      <c r="M894">
        <v>170.9</v>
      </c>
      <c r="N894">
        <f t="shared" si="24"/>
        <v>-3.1016342890579418E-2</v>
      </c>
      <c r="O894">
        <f t="shared" si="25"/>
        <v>5.1878291398477216E-3</v>
      </c>
      <c r="P894">
        <f t="shared" si="26"/>
        <v>-3.620417203042714E-2</v>
      </c>
    </row>
    <row r="895" spans="1:16" x14ac:dyDescent="0.35">
      <c r="A895" s="1">
        <v>36677</v>
      </c>
      <c r="B895">
        <v>-2.2304000000000001E-2</v>
      </c>
      <c r="C895">
        <v>-2.3616999999999999E-2</v>
      </c>
      <c r="D895">
        <v>1.6657000000000002E-2</v>
      </c>
      <c r="E895">
        <v>1.4376E-2</v>
      </c>
      <c r="F895">
        <v>11981203300</v>
      </c>
      <c r="G895">
        <v>500</v>
      </c>
      <c r="H895">
        <v>12217573100</v>
      </c>
      <c r="I895">
        <v>500</v>
      </c>
      <c r="J895">
        <v>1420.6</v>
      </c>
      <c r="K895">
        <v>-2.1915E-2</v>
      </c>
      <c r="L895">
        <v>0.5</v>
      </c>
      <c r="M895">
        <v>171.2</v>
      </c>
      <c r="N895">
        <f t="shared" si="24"/>
        <v>-2.4017252336448469E-2</v>
      </c>
      <c r="O895">
        <f t="shared" si="25"/>
        <v>3.2389018691587612E-3</v>
      </c>
      <c r="P895">
        <f t="shared" si="26"/>
        <v>-2.725615420560723E-2</v>
      </c>
    </row>
    <row r="896" spans="1:16" x14ac:dyDescent="0.35">
      <c r="A896" s="1">
        <v>36707</v>
      </c>
      <c r="B896">
        <v>2.6218999999999999E-2</v>
      </c>
      <c r="C896">
        <v>2.5496999999999999E-2</v>
      </c>
      <c r="D896">
        <v>-1.9605000000000001E-2</v>
      </c>
      <c r="E896">
        <v>-2.1009E-2</v>
      </c>
      <c r="F896">
        <v>12344652100</v>
      </c>
      <c r="G896">
        <v>500</v>
      </c>
      <c r="H896">
        <v>11900471600</v>
      </c>
      <c r="I896">
        <v>499</v>
      </c>
      <c r="J896">
        <v>1454.6</v>
      </c>
      <c r="K896">
        <v>2.3934E-2</v>
      </c>
      <c r="L896">
        <v>0.4</v>
      </c>
      <c r="M896">
        <v>172.2</v>
      </c>
      <c r="N896">
        <f t="shared" si="24"/>
        <v>2.0259540069686333E-2</v>
      </c>
      <c r="O896">
        <f t="shared" si="25"/>
        <v>-1.8304297328687325E-3</v>
      </c>
      <c r="P896">
        <f t="shared" si="26"/>
        <v>2.2089969802555065E-2</v>
      </c>
    </row>
    <row r="897" spans="1:16" x14ac:dyDescent="0.35">
      <c r="A897" s="1">
        <v>36738</v>
      </c>
      <c r="B897">
        <v>-1.2795000000000001E-2</v>
      </c>
      <c r="C897">
        <v>-1.3559E-2</v>
      </c>
      <c r="D897">
        <v>3.8660000000000001E-3</v>
      </c>
      <c r="E897">
        <v>2.8180000000000002E-3</v>
      </c>
      <c r="F897">
        <v>12315569400</v>
      </c>
      <c r="G897">
        <v>500</v>
      </c>
      <c r="H897">
        <v>12373685300</v>
      </c>
      <c r="I897">
        <v>500</v>
      </c>
      <c r="J897">
        <v>1430.83</v>
      </c>
      <c r="K897">
        <v>-1.6341000000000001E-2</v>
      </c>
      <c r="L897">
        <v>0.48</v>
      </c>
      <c r="M897">
        <v>172.7</v>
      </c>
      <c r="N897">
        <f t="shared" si="24"/>
        <v>-1.5653149971047942E-2</v>
      </c>
      <c r="O897">
        <f t="shared" si="25"/>
        <v>1.8909090909089432E-3</v>
      </c>
      <c r="P897">
        <f t="shared" si="26"/>
        <v>-1.7544059061956885E-2</v>
      </c>
    </row>
    <row r="898" spans="1:16" x14ac:dyDescent="0.35">
      <c r="A898" s="1">
        <v>36769</v>
      </c>
      <c r="B898">
        <v>6.2593999999999997E-2</v>
      </c>
      <c r="C898">
        <v>6.1275000000000003E-2</v>
      </c>
      <c r="D898">
        <v>7.4144000000000002E-2</v>
      </c>
      <c r="E898">
        <v>7.1748000000000006E-2</v>
      </c>
      <c r="F898">
        <v>13106687900</v>
      </c>
      <c r="G898">
        <v>500</v>
      </c>
      <c r="H898">
        <v>12319267000</v>
      </c>
      <c r="I898">
        <v>500</v>
      </c>
      <c r="J898">
        <v>1517.68</v>
      </c>
      <c r="K898">
        <v>6.0699000000000003E-2</v>
      </c>
      <c r="L898">
        <v>0.5</v>
      </c>
      <c r="M898">
        <v>172.7</v>
      </c>
      <c r="N898">
        <f t="shared" si="24"/>
        <v>6.2594000000000038E-2</v>
      </c>
      <c r="O898">
        <f t="shared" si="25"/>
        <v>4.9999999999998934E-3</v>
      </c>
      <c r="P898">
        <f t="shared" si="26"/>
        <v>5.7594000000000145E-2</v>
      </c>
    </row>
    <row r="899" spans="1:16" x14ac:dyDescent="0.35">
      <c r="A899" s="1">
        <v>36798</v>
      </c>
      <c r="B899">
        <v>-5.2088000000000002E-2</v>
      </c>
      <c r="C899">
        <v>-5.2795000000000002E-2</v>
      </c>
      <c r="D899">
        <v>-1.3813000000000001E-2</v>
      </c>
      <c r="E899">
        <v>-1.5103E-2</v>
      </c>
      <c r="F899">
        <v>12457313900</v>
      </c>
      <c r="G899">
        <v>500</v>
      </c>
      <c r="H899">
        <v>13106687900</v>
      </c>
      <c r="I899">
        <v>500</v>
      </c>
      <c r="J899">
        <v>1436.51</v>
      </c>
      <c r="K899">
        <v>-5.3483000000000003E-2</v>
      </c>
      <c r="L899">
        <v>0.51</v>
      </c>
      <c r="M899">
        <v>173.6</v>
      </c>
      <c r="N899">
        <f t="shared" si="24"/>
        <v>-5.700229032258064E-2</v>
      </c>
      <c r="O899">
        <f t="shared" si="25"/>
        <v>-1.1077188940089577E-4</v>
      </c>
      <c r="P899">
        <f t="shared" si="26"/>
        <v>-5.6891518433179744E-2</v>
      </c>
    </row>
    <row r="900" spans="1:16" x14ac:dyDescent="0.35">
      <c r="A900" s="1">
        <v>36830</v>
      </c>
      <c r="B900">
        <v>-4.1200000000000004E-3</v>
      </c>
      <c r="C900">
        <v>-4.829E-3</v>
      </c>
      <c r="D900">
        <v>2.1097000000000001E-2</v>
      </c>
      <c r="E900">
        <v>2.0159E-2</v>
      </c>
      <c r="F900">
        <v>12421438000</v>
      </c>
      <c r="G900">
        <v>500</v>
      </c>
      <c r="H900">
        <v>12457081100</v>
      </c>
      <c r="I900">
        <v>500</v>
      </c>
      <c r="J900">
        <v>1429.4</v>
      </c>
      <c r="K900">
        <v>-4.9490000000000003E-3</v>
      </c>
      <c r="L900">
        <v>0.56000000000000005</v>
      </c>
      <c r="M900">
        <v>173.9</v>
      </c>
      <c r="N900">
        <f t="shared" si="24"/>
        <v>-5.8380218516390636E-3</v>
      </c>
      <c r="O900">
        <f t="shared" si="25"/>
        <v>3.8652098907416832E-3</v>
      </c>
      <c r="P900">
        <f t="shared" si="26"/>
        <v>-9.7032317423807468E-3</v>
      </c>
    </row>
    <row r="901" spans="1:16" x14ac:dyDescent="0.35">
      <c r="A901" s="1">
        <v>36860</v>
      </c>
      <c r="B901">
        <v>-7.8268000000000004E-2</v>
      </c>
      <c r="C901">
        <v>-7.9557000000000003E-2</v>
      </c>
      <c r="D901">
        <v>-4.5453E-2</v>
      </c>
      <c r="E901">
        <v>-4.7622999999999999E-2</v>
      </c>
      <c r="F901">
        <v>11451279300</v>
      </c>
      <c r="G901">
        <v>500</v>
      </c>
      <c r="H901">
        <v>12421762700</v>
      </c>
      <c r="I901">
        <v>500</v>
      </c>
      <c r="J901">
        <v>1314.95</v>
      </c>
      <c r="K901">
        <v>-8.0069000000000001E-2</v>
      </c>
      <c r="L901">
        <v>0.51</v>
      </c>
      <c r="M901">
        <v>174.2</v>
      </c>
      <c r="N901">
        <f t="shared" si="24"/>
        <v>-7.9855368541905669E-2</v>
      </c>
      <c r="O901">
        <f t="shared" si="25"/>
        <v>3.3690585533872053E-3</v>
      </c>
      <c r="P901">
        <f t="shared" si="26"/>
        <v>-8.3224427095292874E-2</v>
      </c>
    </row>
    <row r="902" spans="1:16" x14ac:dyDescent="0.35">
      <c r="A902" s="1">
        <v>36889</v>
      </c>
      <c r="B902">
        <v>5.7200000000000003E-3</v>
      </c>
      <c r="C902">
        <v>4.8609999999999999E-3</v>
      </c>
      <c r="D902">
        <v>6.6751000000000005E-2</v>
      </c>
      <c r="E902">
        <v>6.5495999999999999E-2</v>
      </c>
      <c r="F902">
        <v>11565398900</v>
      </c>
      <c r="G902">
        <v>500</v>
      </c>
      <c r="H902">
        <v>11467658300</v>
      </c>
      <c r="I902">
        <v>498</v>
      </c>
      <c r="J902">
        <v>1320.28</v>
      </c>
      <c r="K902">
        <v>4.0530000000000002E-3</v>
      </c>
      <c r="L902">
        <v>0.5</v>
      </c>
      <c r="M902">
        <v>174.6</v>
      </c>
      <c r="N902">
        <f t="shared" si="24"/>
        <v>3.4159450171820094E-3</v>
      </c>
      <c r="O902">
        <f t="shared" si="25"/>
        <v>2.6975945017180258E-3</v>
      </c>
      <c r="P902">
        <f t="shared" si="26"/>
        <v>7.1835051546398354E-4</v>
      </c>
    </row>
    <row r="903" spans="1:16" x14ac:dyDescent="0.35">
      <c r="A903" s="1">
        <v>36922</v>
      </c>
      <c r="B903">
        <v>3.2371999999999998E-2</v>
      </c>
      <c r="C903">
        <v>3.1555E-2</v>
      </c>
      <c r="D903">
        <v>5.3413000000000002E-2</v>
      </c>
      <c r="E903">
        <v>5.2623000000000003E-2</v>
      </c>
      <c r="F903">
        <v>12014544500</v>
      </c>
      <c r="G903">
        <v>500</v>
      </c>
      <c r="H903">
        <v>11489392100</v>
      </c>
      <c r="I903">
        <v>500</v>
      </c>
      <c r="J903">
        <v>1366.01</v>
      </c>
      <c r="K903">
        <v>3.4637000000000001E-2</v>
      </c>
      <c r="L903">
        <v>0.54</v>
      </c>
      <c r="M903">
        <v>175.6</v>
      </c>
      <c r="N903">
        <f t="shared" si="24"/>
        <v>2.649288838268804E-2</v>
      </c>
      <c r="O903">
        <f t="shared" si="25"/>
        <v>-3.2551252847368151E-4</v>
      </c>
      <c r="P903">
        <f t="shared" si="26"/>
        <v>2.6818400911161722E-2</v>
      </c>
    </row>
    <row r="904" spans="1:16" x14ac:dyDescent="0.35">
      <c r="A904" s="1">
        <v>36950</v>
      </c>
      <c r="B904">
        <v>-9.0952000000000005E-2</v>
      </c>
      <c r="C904">
        <v>-9.2131000000000005E-2</v>
      </c>
      <c r="D904">
        <v>-4.4748999999999997E-2</v>
      </c>
      <c r="E904">
        <v>-4.6467000000000001E-2</v>
      </c>
      <c r="F904">
        <v>10939528400</v>
      </c>
      <c r="G904">
        <v>500</v>
      </c>
      <c r="H904">
        <v>11994547400</v>
      </c>
      <c r="I904">
        <v>500</v>
      </c>
      <c r="J904">
        <v>1239.94</v>
      </c>
      <c r="K904">
        <v>-9.2290999999999998E-2</v>
      </c>
      <c r="L904">
        <v>0.38</v>
      </c>
      <c r="M904">
        <v>176</v>
      </c>
      <c r="N904">
        <f t="shared" si="24"/>
        <v>-9.3018018181818318E-2</v>
      </c>
      <c r="O904">
        <f t="shared" si="25"/>
        <v>1.5186363636363609E-3</v>
      </c>
      <c r="P904">
        <f t="shared" si="26"/>
        <v>-9.4536654545454679E-2</v>
      </c>
    </row>
    <row r="905" spans="1:16" x14ac:dyDescent="0.35">
      <c r="A905" s="1">
        <v>36980</v>
      </c>
      <c r="B905">
        <v>-6.3705999999999999E-2</v>
      </c>
      <c r="C905">
        <v>-6.4587000000000006E-2</v>
      </c>
      <c r="D905">
        <v>-4.9835999999999998E-2</v>
      </c>
      <c r="E905">
        <v>-5.1024E-2</v>
      </c>
      <c r="F905">
        <v>10251553800</v>
      </c>
      <c r="G905">
        <v>500</v>
      </c>
      <c r="H905">
        <v>10938234300</v>
      </c>
      <c r="I905">
        <v>500</v>
      </c>
      <c r="J905">
        <v>1160.33</v>
      </c>
      <c r="K905">
        <v>-6.4204999999999998E-2</v>
      </c>
      <c r="L905">
        <v>0.42</v>
      </c>
      <c r="M905">
        <v>176.1</v>
      </c>
      <c r="N905">
        <f t="shared" si="24"/>
        <v>-6.4237683134582557E-2</v>
      </c>
      <c r="O905">
        <f t="shared" si="25"/>
        <v>3.6297558205564684E-3</v>
      </c>
      <c r="P905">
        <f t="shared" si="26"/>
        <v>-6.7867438955139026E-2</v>
      </c>
    </row>
    <row r="906" spans="1:16" x14ac:dyDescent="0.35">
      <c r="A906" s="1">
        <v>37011</v>
      </c>
      <c r="B906">
        <v>7.7824000000000004E-2</v>
      </c>
      <c r="C906">
        <v>7.6980999999999994E-2</v>
      </c>
      <c r="D906">
        <v>8.4713999999999998E-2</v>
      </c>
      <c r="E906">
        <v>8.4000000000000005E-2</v>
      </c>
      <c r="F906">
        <v>11089346400</v>
      </c>
      <c r="G906">
        <v>500</v>
      </c>
      <c r="H906">
        <v>10270154200</v>
      </c>
      <c r="I906">
        <v>500</v>
      </c>
      <c r="J906">
        <v>1249.46</v>
      </c>
      <c r="K906">
        <v>7.6813999999999993E-2</v>
      </c>
      <c r="L906">
        <v>0.39</v>
      </c>
      <c r="M906">
        <v>176.4</v>
      </c>
      <c r="N906">
        <f t="shared" si="24"/>
        <v>7.5990965986394654E-2</v>
      </c>
      <c r="O906">
        <f t="shared" si="25"/>
        <v>2.192687074829891E-3</v>
      </c>
      <c r="P906">
        <f t="shared" si="26"/>
        <v>7.3798278911564763E-2</v>
      </c>
    </row>
    <row r="907" spans="1:16" x14ac:dyDescent="0.35">
      <c r="A907" s="1">
        <v>37042</v>
      </c>
      <c r="B907">
        <v>6.8589999999999996E-3</v>
      </c>
      <c r="C907">
        <v>5.3299999999999997E-3</v>
      </c>
      <c r="D907">
        <v>1.7676000000000001E-2</v>
      </c>
      <c r="E907">
        <v>1.5861E-2</v>
      </c>
      <c r="F907">
        <v>11160443700</v>
      </c>
      <c r="G907">
        <v>500</v>
      </c>
      <c r="H907">
        <v>11093996200</v>
      </c>
      <c r="I907">
        <v>500</v>
      </c>
      <c r="J907">
        <v>1255.82</v>
      </c>
      <c r="K907">
        <v>5.0899999999999999E-3</v>
      </c>
      <c r="L907">
        <v>0.32</v>
      </c>
      <c r="M907">
        <v>177.3</v>
      </c>
      <c r="N907">
        <f t="shared" si="24"/>
        <v>1.7480406091370249E-3</v>
      </c>
      <c r="O907">
        <f t="shared" si="25"/>
        <v>-1.8923857868020644E-3</v>
      </c>
      <c r="P907">
        <f t="shared" si="26"/>
        <v>3.6404263959390892E-3</v>
      </c>
    </row>
    <row r="908" spans="1:16" x14ac:dyDescent="0.35">
      <c r="A908" s="1">
        <v>37071</v>
      </c>
      <c r="B908">
        <v>-2.4504999999999999E-2</v>
      </c>
      <c r="C908">
        <v>-2.5183000000000001E-2</v>
      </c>
      <c r="D908">
        <v>-1.5803000000000001E-2</v>
      </c>
      <c r="E908">
        <v>-1.6825E-2</v>
      </c>
      <c r="F908">
        <v>10894556800</v>
      </c>
      <c r="G908">
        <v>500</v>
      </c>
      <c r="H908">
        <v>11158663100</v>
      </c>
      <c r="I908">
        <v>500</v>
      </c>
      <c r="J908">
        <v>1224.42</v>
      </c>
      <c r="K908">
        <v>-2.5003999999999998E-2</v>
      </c>
      <c r="L908">
        <v>0.28000000000000003</v>
      </c>
      <c r="M908">
        <v>177.7</v>
      </c>
      <c r="N908">
        <f t="shared" si="24"/>
        <v>-2.670082442318511E-2</v>
      </c>
      <c r="O908">
        <f t="shared" si="25"/>
        <v>5.4271243669101743E-4</v>
      </c>
      <c r="P908">
        <f t="shared" si="26"/>
        <v>-2.7243536859876127E-2</v>
      </c>
    </row>
    <row r="909" spans="1:16" x14ac:dyDescent="0.35">
      <c r="A909" s="1">
        <v>37103</v>
      </c>
      <c r="B909">
        <v>-9.3170000000000006E-3</v>
      </c>
      <c r="C909">
        <v>-1.0248E-2</v>
      </c>
      <c r="D909">
        <v>-9.1800000000000007E-3</v>
      </c>
      <c r="E909">
        <v>-9.9150000000000002E-3</v>
      </c>
      <c r="F909">
        <v>10796170700</v>
      </c>
      <c r="G909">
        <v>500</v>
      </c>
      <c r="H909">
        <v>10938990500</v>
      </c>
      <c r="I909">
        <v>500</v>
      </c>
      <c r="J909">
        <v>1211.23</v>
      </c>
      <c r="K909">
        <v>-1.0772E-2</v>
      </c>
      <c r="L909">
        <v>0.3</v>
      </c>
      <c r="M909">
        <v>177.4</v>
      </c>
      <c r="N909">
        <f t="shared" si="24"/>
        <v>-7.6416623449832022E-3</v>
      </c>
      <c r="O909">
        <f t="shared" si="25"/>
        <v>4.6961668545657531E-3</v>
      </c>
      <c r="P909">
        <f t="shared" si="26"/>
        <v>-1.2337829199548955E-2</v>
      </c>
    </row>
    <row r="910" spans="1:16" x14ac:dyDescent="0.35">
      <c r="A910" s="1">
        <v>37134</v>
      </c>
      <c r="B910">
        <v>-6.3435000000000005E-2</v>
      </c>
      <c r="C910">
        <v>-6.4933000000000005E-2</v>
      </c>
      <c r="D910">
        <v>-4.3659000000000003E-2</v>
      </c>
      <c r="E910">
        <v>-4.5377000000000001E-2</v>
      </c>
      <c r="F910">
        <v>10134138100</v>
      </c>
      <c r="G910">
        <v>500</v>
      </c>
      <c r="H910">
        <v>10785394600</v>
      </c>
      <c r="I910">
        <v>500</v>
      </c>
      <c r="J910">
        <v>1133.58</v>
      </c>
      <c r="K910">
        <v>-6.4107999999999998E-2</v>
      </c>
      <c r="L910">
        <v>0.31</v>
      </c>
      <c r="M910">
        <v>177.4</v>
      </c>
      <c r="N910">
        <f t="shared" si="24"/>
        <v>-6.3434999999999908E-2</v>
      </c>
      <c r="O910">
        <f t="shared" si="25"/>
        <v>3.1000000000001027E-3</v>
      </c>
      <c r="P910">
        <f t="shared" si="26"/>
        <v>-6.6535000000000011E-2</v>
      </c>
    </row>
    <row r="911" spans="1:16" x14ac:dyDescent="0.35">
      <c r="A911" s="1">
        <v>37162</v>
      </c>
      <c r="B911">
        <v>-8.0361000000000002E-2</v>
      </c>
      <c r="C911">
        <v>-8.1351999999999994E-2</v>
      </c>
      <c r="D911">
        <v>-0.124472</v>
      </c>
      <c r="E911">
        <v>-0.125526</v>
      </c>
      <c r="F911">
        <v>9316520260</v>
      </c>
      <c r="G911">
        <v>500</v>
      </c>
      <c r="H911">
        <v>10136156000</v>
      </c>
      <c r="I911">
        <v>500</v>
      </c>
      <c r="J911">
        <v>1040.94</v>
      </c>
      <c r="K911">
        <v>-8.1723000000000004E-2</v>
      </c>
      <c r="L911">
        <v>0.28000000000000003</v>
      </c>
      <c r="M911">
        <v>178.1</v>
      </c>
      <c r="N911">
        <f t="shared" si="24"/>
        <v>-8.3975527231892166E-2</v>
      </c>
      <c r="O911">
        <f t="shared" si="25"/>
        <v>-1.1413812464907691E-3</v>
      </c>
      <c r="P911">
        <f t="shared" si="26"/>
        <v>-8.2834145985401397E-2</v>
      </c>
    </row>
    <row r="912" spans="1:16" x14ac:dyDescent="0.35">
      <c r="A912" s="1">
        <v>37195</v>
      </c>
      <c r="B912">
        <v>1.9539999999999998E-2</v>
      </c>
      <c r="C912">
        <v>1.8546E-2</v>
      </c>
      <c r="D912">
        <v>4.2117000000000002E-2</v>
      </c>
      <c r="E912">
        <v>4.1314999999999998E-2</v>
      </c>
      <c r="F912">
        <v>9520542380</v>
      </c>
      <c r="G912">
        <v>500</v>
      </c>
      <c r="H912">
        <v>9295930430</v>
      </c>
      <c r="I912">
        <v>500</v>
      </c>
      <c r="J912">
        <v>1059.78</v>
      </c>
      <c r="K912">
        <v>1.8099000000000001E-2</v>
      </c>
      <c r="L912">
        <v>0.22</v>
      </c>
      <c r="M912">
        <v>177.6</v>
      </c>
      <c r="N912">
        <f t="shared" si="24"/>
        <v>2.2410326576576489E-2</v>
      </c>
      <c r="O912">
        <f t="shared" si="25"/>
        <v>5.0215090090088843E-3</v>
      </c>
      <c r="P912">
        <f t="shared" si="26"/>
        <v>1.7388817567567605E-2</v>
      </c>
    </row>
    <row r="913" spans="1:16" x14ac:dyDescent="0.35">
      <c r="A913" s="1">
        <v>37225</v>
      </c>
      <c r="B913">
        <v>7.8786999999999996E-2</v>
      </c>
      <c r="C913">
        <v>7.7258999999999994E-2</v>
      </c>
      <c r="D913">
        <v>0.102273</v>
      </c>
      <c r="E913">
        <v>0.10057099999999999</v>
      </c>
      <c r="F913">
        <v>10243197700</v>
      </c>
      <c r="G913">
        <v>500</v>
      </c>
      <c r="H913">
        <v>9516354630</v>
      </c>
      <c r="I913">
        <v>500</v>
      </c>
      <c r="J913">
        <v>1139.45</v>
      </c>
      <c r="K913">
        <v>7.5176000000000007E-2</v>
      </c>
      <c r="L913">
        <v>0.17</v>
      </c>
      <c r="M913">
        <v>177.5</v>
      </c>
      <c r="N913">
        <f t="shared" si="24"/>
        <v>7.939476732394346E-2</v>
      </c>
      <c r="O913">
        <f t="shared" si="25"/>
        <v>2.2643380281690551E-3</v>
      </c>
      <c r="P913">
        <f t="shared" si="26"/>
        <v>7.7130429295774405E-2</v>
      </c>
    </row>
    <row r="914" spans="1:16" x14ac:dyDescent="0.35">
      <c r="A914" s="1">
        <v>37256</v>
      </c>
      <c r="B914">
        <v>9.051E-3</v>
      </c>
      <c r="C914">
        <v>7.8490000000000001E-3</v>
      </c>
      <c r="D914">
        <v>3.0571999999999998E-2</v>
      </c>
      <c r="E914">
        <v>2.9262E-2</v>
      </c>
      <c r="F914">
        <v>10348785900</v>
      </c>
      <c r="G914">
        <v>500</v>
      </c>
      <c r="H914">
        <v>10253509400</v>
      </c>
      <c r="I914">
        <v>500</v>
      </c>
      <c r="J914">
        <v>1148.08</v>
      </c>
      <c r="K914">
        <v>7.574E-3</v>
      </c>
      <c r="L914">
        <v>0.15</v>
      </c>
      <c r="M914">
        <v>177.4</v>
      </c>
      <c r="N914">
        <f t="shared" si="24"/>
        <v>9.6197998872602497E-3</v>
      </c>
      <c r="O914">
        <f t="shared" si="25"/>
        <v>2.064543404735053E-3</v>
      </c>
      <c r="P914">
        <f t="shared" si="26"/>
        <v>7.5552564825251967E-3</v>
      </c>
    </row>
    <row r="915" spans="1:16" x14ac:dyDescent="0.35">
      <c r="A915" s="1">
        <v>37287</v>
      </c>
      <c r="B915">
        <v>-1.4324E-2</v>
      </c>
      <c r="C915">
        <v>-1.532E-2</v>
      </c>
      <c r="D915">
        <v>-2.5270000000000002E-3</v>
      </c>
      <c r="E915">
        <v>-3.2889999999999998E-3</v>
      </c>
      <c r="F915">
        <v>10210368200</v>
      </c>
      <c r="G915">
        <v>500</v>
      </c>
      <c r="H915">
        <v>10361815900</v>
      </c>
      <c r="I915">
        <v>500</v>
      </c>
      <c r="J915">
        <v>1130.2</v>
      </c>
      <c r="K915">
        <v>-1.5573999999999999E-2</v>
      </c>
      <c r="L915">
        <v>0.14000000000000001</v>
      </c>
      <c r="M915">
        <v>177.7</v>
      </c>
      <c r="N915">
        <f t="shared" si="24"/>
        <v>-1.5988056274619966E-2</v>
      </c>
      <c r="O915">
        <f t="shared" si="25"/>
        <v>-2.9060213843534743E-4</v>
      </c>
      <c r="P915">
        <f t="shared" si="26"/>
        <v>-1.5697454136184619E-2</v>
      </c>
    </row>
    <row r="916" spans="1:16" x14ac:dyDescent="0.35">
      <c r="A916" s="1">
        <v>37315</v>
      </c>
      <c r="B916">
        <v>-1.9480999999999998E-2</v>
      </c>
      <c r="C916">
        <v>-2.0972999999999999E-2</v>
      </c>
      <c r="D916">
        <v>-1.1292999999999999E-2</v>
      </c>
      <c r="E916">
        <v>-1.2721E-2</v>
      </c>
      <c r="F916">
        <v>10004219400</v>
      </c>
      <c r="G916">
        <v>500</v>
      </c>
      <c r="H916">
        <v>10212163900</v>
      </c>
      <c r="I916">
        <v>500</v>
      </c>
      <c r="J916">
        <v>1106.73</v>
      </c>
      <c r="K916">
        <v>-2.0766E-2</v>
      </c>
      <c r="L916">
        <v>0.13</v>
      </c>
      <c r="M916">
        <v>178</v>
      </c>
      <c r="N916">
        <f t="shared" si="24"/>
        <v>-2.1133560112359451E-2</v>
      </c>
      <c r="O916">
        <f t="shared" si="25"/>
        <v>-3.8758426966278847E-4</v>
      </c>
      <c r="P916">
        <f t="shared" si="26"/>
        <v>-2.0745975842696662E-2</v>
      </c>
    </row>
    <row r="917" spans="1:16" x14ac:dyDescent="0.35">
      <c r="A917" s="1">
        <v>37343</v>
      </c>
      <c r="B917">
        <v>3.7572000000000001E-2</v>
      </c>
      <c r="C917">
        <v>3.669E-2</v>
      </c>
      <c r="D917">
        <v>6.7364999999999994E-2</v>
      </c>
      <c r="E917">
        <v>6.6227999999999995E-2</v>
      </c>
      <c r="F917">
        <v>10377892700</v>
      </c>
      <c r="G917">
        <v>500</v>
      </c>
      <c r="H917">
        <v>10004219400</v>
      </c>
      <c r="I917">
        <v>500</v>
      </c>
      <c r="J917">
        <v>1147.3900000000001</v>
      </c>
      <c r="K917">
        <v>3.6739000000000001E-2</v>
      </c>
      <c r="L917">
        <v>0.13</v>
      </c>
      <c r="M917">
        <v>178.5</v>
      </c>
      <c r="N917">
        <f t="shared" si="24"/>
        <v>3.4665635854341792E-2</v>
      </c>
      <c r="O917">
        <f t="shared" si="25"/>
        <v>-1.5047619047618976E-3</v>
      </c>
      <c r="P917">
        <f t="shared" si="26"/>
        <v>3.617039775910369E-2</v>
      </c>
    </row>
    <row r="918" spans="1:16" x14ac:dyDescent="0.35">
      <c r="A918" s="1">
        <v>37376</v>
      </c>
      <c r="B918">
        <v>-6.1001E-2</v>
      </c>
      <c r="C918">
        <v>-6.1825999999999999E-2</v>
      </c>
      <c r="D918">
        <v>-3.6341999999999999E-2</v>
      </c>
      <c r="E918">
        <v>-3.6988E-2</v>
      </c>
      <c r="F918">
        <v>9741287380</v>
      </c>
      <c r="G918">
        <v>500</v>
      </c>
      <c r="H918">
        <v>10377892700</v>
      </c>
      <c r="I918">
        <v>500</v>
      </c>
      <c r="J918">
        <v>1076.92</v>
      </c>
      <c r="K918">
        <v>-6.1418E-2</v>
      </c>
      <c r="L918">
        <v>0.15</v>
      </c>
      <c r="M918">
        <v>179.3</v>
      </c>
      <c r="N918">
        <f t="shared" si="24"/>
        <v>-6.519062186279978E-2</v>
      </c>
      <c r="O918">
        <f t="shared" si="25"/>
        <v>-2.9684885666481087E-3</v>
      </c>
      <c r="P918">
        <f t="shared" si="26"/>
        <v>-6.2222133296151672E-2</v>
      </c>
    </row>
    <row r="919" spans="1:16" x14ac:dyDescent="0.35">
      <c r="A919" s="1">
        <v>37407</v>
      </c>
      <c r="B919">
        <v>-7.7999999999999996E-3</v>
      </c>
      <c r="C919">
        <v>-9.4380000000000002E-3</v>
      </c>
      <c r="D919">
        <v>-1.2256E-2</v>
      </c>
      <c r="E919">
        <v>-1.3828E-2</v>
      </c>
      <c r="F919">
        <v>9668888310</v>
      </c>
      <c r="G919">
        <v>500</v>
      </c>
      <c r="H919">
        <v>9738328740</v>
      </c>
      <c r="I919">
        <v>500</v>
      </c>
      <c r="J919">
        <v>1067.1400000000001</v>
      </c>
      <c r="K919">
        <v>-9.0810000000000005E-3</v>
      </c>
      <c r="L919">
        <v>0.14000000000000001</v>
      </c>
      <c r="M919">
        <v>179.5</v>
      </c>
      <c r="N919">
        <f t="shared" si="24"/>
        <v>-8.9055153203342341E-3</v>
      </c>
      <c r="O919">
        <f t="shared" si="25"/>
        <v>2.84233983287141E-4</v>
      </c>
      <c r="P919">
        <f t="shared" si="26"/>
        <v>-9.1897493036213751E-3</v>
      </c>
    </row>
    <row r="920" spans="1:16" x14ac:dyDescent="0.35">
      <c r="A920" s="1">
        <v>37435</v>
      </c>
      <c r="B920">
        <v>-7.1348999999999996E-2</v>
      </c>
      <c r="C920">
        <v>-7.2610999999999995E-2</v>
      </c>
      <c r="D920">
        <v>-8.0674999999999997E-2</v>
      </c>
      <c r="E920">
        <v>-8.1861000000000003E-2</v>
      </c>
      <c r="F920">
        <v>8971928120</v>
      </c>
      <c r="G920">
        <v>500</v>
      </c>
      <c r="H920">
        <v>9672869220</v>
      </c>
      <c r="I920">
        <v>500</v>
      </c>
      <c r="J920">
        <v>989.81</v>
      </c>
      <c r="K920">
        <v>-7.2465000000000002E-2</v>
      </c>
      <c r="L920">
        <v>0.13</v>
      </c>
      <c r="M920">
        <v>179.6</v>
      </c>
      <c r="N920">
        <f t="shared" si="24"/>
        <v>-7.1866066258351791E-2</v>
      </c>
      <c r="O920">
        <f t="shared" si="25"/>
        <v>7.4248329621395825E-4</v>
      </c>
      <c r="P920">
        <f t="shared" si="26"/>
        <v>-7.2608549554565749E-2</v>
      </c>
    </row>
    <row r="921" spans="1:16" x14ac:dyDescent="0.35">
      <c r="A921" s="1">
        <v>37468</v>
      </c>
      <c r="B921">
        <v>-7.3986999999999997E-2</v>
      </c>
      <c r="C921">
        <v>-7.5074000000000002E-2</v>
      </c>
      <c r="D921">
        <v>-0.105229</v>
      </c>
      <c r="E921">
        <v>-0.10610600000000001</v>
      </c>
      <c r="F921">
        <v>8318980140</v>
      </c>
      <c r="G921">
        <v>500</v>
      </c>
      <c r="H921">
        <v>8980694430</v>
      </c>
      <c r="I921">
        <v>500</v>
      </c>
      <c r="J921">
        <v>911.62</v>
      </c>
      <c r="K921">
        <v>-7.8994999999999996E-2</v>
      </c>
      <c r="L921">
        <v>0.15</v>
      </c>
      <c r="M921">
        <v>180</v>
      </c>
      <c r="N921">
        <f t="shared" si="24"/>
        <v>-7.6044806666666687E-2</v>
      </c>
      <c r="O921">
        <f t="shared" si="25"/>
        <v>-7.2555555555553486E-4</v>
      </c>
      <c r="P921">
        <f t="shared" si="26"/>
        <v>-7.5319251111111152E-2</v>
      </c>
    </row>
    <row r="922" spans="1:16" x14ac:dyDescent="0.35">
      <c r="A922" s="1">
        <v>37498</v>
      </c>
      <c r="B922">
        <v>7.0609999999999996E-3</v>
      </c>
      <c r="C922">
        <v>5.4010000000000004E-3</v>
      </c>
      <c r="D922">
        <v>1.2241E-2</v>
      </c>
      <c r="E922">
        <v>1.0652E-2</v>
      </c>
      <c r="F922">
        <v>8351792090</v>
      </c>
      <c r="G922">
        <v>500</v>
      </c>
      <c r="H922">
        <v>8321829090</v>
      </c>
      <c r="I922">
        <v>499</v>
      </c>
      <c r="J922">
        <v>916.07</v>
      </c>
      <c r="K922">
        <v>4.8809999999999999E-3</v>
      </c>
      <c r="L922">
        <v>0.14000000000000001</v>
      </c>
      <c r="M922">
        <v>180.5</v>
      </c>
      <c r="N922">
        <f t="shared" si="24"/>
        <v>4.271357340720261E-3</v>
      </c>
      <c r="O922">
        <f t="shared" si="25"/>
        <v>-1.3739612188364836E-3</v>
      </c>
      <c r="P922">
        <f t="shared" si="26"/>
        <v>5.6453185595567446E-3</v>
      </c>
    </row>
    <row r="923" spans="1:16" x14ac:dyDescent="0.35">
      <c r="A923" s="1">
        <v>37529</v>
      </c>
      <c r="B923">
        <v>-0.10896500000000001</v>
      </c>
      <c r="C923">
        <v>-0.11042100000000001</v>
      </c>
      <c r="D923">
        <v>-0.11530899999999999</v>
      </c>
      <c r="E923">
        <v>-0.116645</v>
      </c>
      <c r="F923">
        <v>7430543820</v>
      </c>
      <c r="G923">
        <v>500</v>
      </c>
      <c r="H923">
        <v>8341666370</v>
      </c>
      <c r="I923">
        <v>500</v>
      </c>
      <c r="J923">
        <v>815.29</v>
      </c>
      <c r="K923">
        <v>-0.110013</v>
      </c>
      <c r="L923">
        <v>0.14000000000000001</v>
      </c>
      <c r="M923">
        <v>180.8</v>
      </c>
      <c r="N923">
        <f t="shared" ref="N923:N986" si="27">(1+B923)*M922/M923-1</f>
        <v>-0.11044348727876108</v>
      </c>
      <c r="O923">
        <f t="shared" ref="O923:O986" si="28">(1+L923/100)*M922/M923-1</f>
        <v>-2.6161504424782045E-4</v>
      </c>
      <c r="P923">
        <f t="shared" ref="P923:P986" si="29">N923-O923</f>
        <v>-0.11018187223451326</v>
      </c>
    </row>
    <row r="924" spans="1:16" x14ac:dyDescent="0.35">
      <c r="A924" s="1">
        <v>37560</v>
      </c>
      <c r="B924">
        <v>8.8598999999999997E-2</v>
      </c>
      <c r="C924">
        <v>8.7103E-2</v>
      </c>
      <c r="D924">
        <v>7.3063000000000003E-2</v>
      </c>
      <c r="E924">
        <v>7.1850999999999998E-2</v>
      </c>
      <c r="F924">
        <v>8075998860</v>
      </c>
      <c r="G924">
        <v>500</v>
      </c>
      <c r="H924">
        <v>7430543820</v>
      </c>
      <c r="I924">
        <v>500</v>
      </c>
      <c r="J924">
        <v>885.76</v>
      </c>
      <c r="K924">
        <v>8.6435999999999999E-2</v>
      </c>
      <c r="L924">
        <v>0.14000000000000001</v>
      </c>
      <c r="M924">
        <v>181.2</v>
      </c>
      <c r="N924">
        <f t="shared" si="27"/>
        <v>8.6195911699779471E-2</v>
      </c>
      <c r="O924">
        <f t="shared" si="28"/>
        <v>-8.1059602648980711E-4</v>
      </c>
      <c r="P924">
        <f t="shared" si="29"/>
        <v>8.7006507726269278E-2</v>
      </c>
    </row>
    <row r="925" spans="1:16" x14ac:dyDescent="0.35">
      <c r="A925" s="1">
        <v>37589</v>
      </c>
      <c r="B925">
        <v>5.9019000000000002E-2</v>
      </c>
      <c r="C925">
        <v>5.7287999999999999E-2</v>
      </c>
      <c r="D925">
        <v>0.110251</v>
      </c>
      <c r="E925">
        <v>0.108353</v>
      </c>
      <c r="F925">
        <v>8512867790</v>
      </c>
      <c r="G925">
        <v>500</v>
      </c>
      <c r="H925">
        <v>8086805950</v>
      </c>
      <c r="I925">
        <v>500</v>
      </c>
      <c r="J925">
        <v>936.31</v>
      </c>
      <c r="K925">
        <v>5.7070000000000003E-2</v>
      </c>
      <c r="L925">
        <v>0.12</v>
      </c>
      <c r="M925">
        <v>181.5</v>
      </c>
      <c r="N925">
        <f t="shared" si="27"/>
        <v>5.7268555371900565E-2</v>
      </c>
      <c r="O925">
        <f t="shared" si="28"/>
        <v>-4.548760330578272E-4</v>
      </c>
      <c r="P925">
        <f t="shared" si="29"/>
        <v>5.7723431404958392E-2</v>
      </c>
    </row>
    <row r="926" spans="1:16" x14ac:dyDescent="0.35">
      <c r="A926" s="1">
        <v>37621</v>
      </c>
      <c r="B926">
        <v>-5.8833999999999997E-2</v>
      </c>
      <c r="C926">
        <v>-6.0463999999999997E-2</v>
      </c>
      <c r="D926">
        <v>-5.1344000000000001E-2</v>
      </c>
      <c r="E926">
        <v>-5.2995E-2</v>
      </c>
      <c r="F926">
        <v>8002801760</v>
      </c>
      <c r="G926">
        <v>500</v>
      </c>
      <c r="H926">
        <v>8511627860</v>
      </c>
      <c r="I926">
        <v>500</v>
      </c>
      <c r="J926">
        <v>879.82</v>
      </c>
      <c r="K926">
        <v>-6.0332999999999998E-2</v>
      </c>
      <c r="L926">
        <v>0.11</v>
      </c>
      <c r="M926">
        <v>181.8</v>
      </c>
      <c r="N926">
        <f t="shared" si="27"/>
        <v>-6.0387079207920857E-2</v>
      </c>
      <c r="O926">
        <f t="shared" si="28"/>
        <v>-5.519801980197192E-4</v>
      </c>
      <c r="P926">
        <f t="shared" si="29"/>
        <v>-5.9835099009901138E-2</v>
      </c>
    </row>
    <row r="927" spans="1:16" x14ac:dyDescent="0.35">
      <c r="A927" s="1">
        <v>37652</v>
      </c>
      <c r="B927">
        <v>-2.6578999999999998E-2</v>
      </c>
      <c r="C927">
        <v>-2.7859999999999999E-2</v>
      </c>
      <c r="D927">
        <v>-2.5524999999999999E-2</v>
      </c>
      <c r="E927">
        <v>-2.6377000000000001E-2</v>
      </c>
      <c r="F927">
        <v>7782234040</v>
      </c>
      <c r="G927">
        <v>500</v>
      </c>
      <c r="H927">
        <v>8002801760</v>
      </c>
      <c r="I927">
        <v>500</v>
      </c>
      <c r="J927">
        <v>855.7</v>
      </c>
      <c r="K927">
        <v>-2.7414999999999998E-2</v>
      </c>
      <c r="L927">
        <v>0.1</v>
      </c>
      <c r="M927">
        <v>182.6</v>
      </c>
      <c r="N927">
        <f t="shared" si="27"/>
        <v>-3.0843714129244137E-2</v>
      </c>
      <c r="O927">
        <f t="shared" si="28"/>
        <v>-3.3855421686747045E-3</v>
      </c>
      <c r="P927">
        <f t="shared" si="29"/>
        <v>-2.7458171960569433E-2</v>
      </c>
    </row>
    <row r="928" spans="1:16" x14ac:dyDescent="0.35">
      <c r="A928" s="1">
        <v>37680</v>
      </c>
      <c r="B928">
        <v>-1.5245999999999999E-2</v>
      </c>
      <c r="C928">
        <v>-1.7225000000000001E-2</v>
      </c>
      <c r="D928">
        <v>-2.2303E-2</v>
      </c>
      <c r="E928">
        <v>-2.4039000000000001E-2</v>
      </c>
      <c r="F928">
        <v>7648226810</v>
      </c>
      <c r="G928">
        <v>500</v>
      </c>
      <c r="H928">
        <v>7783920260</v>
      </c>
      <c r="I928">
        <v>500</v>
      </c>
      <c r="J928">
        <v>841.15</v>
      </c>
      <c r="K928">
        <v>-1.7003999999999998E-2</v>
      </c>
      <c r="L928">
        <v>0.09</v>
      </c>
      <c r="M928">
        <v>183.6</v>
      </c>
      <c r="N928">
        <f t="shared" si="27"/>
        <v>-2.0609583877995608E-2</v>
      </c>
      <c r="O928">
        <f t="shared" si="28"/>
        <v>-4.5515250544663211E-3</v>
      </c>
      <c r="P928">
        <f t="shared" si="29"/>
        <v>-1.6058058823529286E-2</v>
      </c>
    </row>
    <row r="929" spans="1:16" x14ac:dyDescent="0.35">
      <c r="A929" s="1">
        <v>37711</v>
      </c>
      <c r="B929">
        <v>1.0307999999999999E-2</v>
      </c>
      <c r="C929">
        <v>8.9669999999999993E-3</v>
      </c>
      <c r="D929">
        <v>5.0850000000000001E-3</v>
      </c>
      <c r="E929">
        <v>3.5850000000000001E-3</v>
      </c>
      <c r="F929">
        <v>7724580080</v>
      </c>
      <c r="G929">
        <v>500</v>
      </c>
      <c r="H929">
        <v>7645512550</v>
      </c>
      <c r="I929">
        <v>500</v>
      </c>
      <c r="J929">
        <v>848.18</v>
      </c>
      <c r="K929">
        <v>8.3580000000000008E-3</v>
      </c>
      <c r="L929">
        <v>0.1</v>
      </c>
      <c r="M929">
        <v>183.9</v>
      </c>
      <c r="N929">
        <f t="shared" si="27"/>
        <v>8.6598629690046725E-3</v>
      </c>
      <c r="O929">
        <f t="shared" si="28"/>
        <v>-6.3295269168039958E-4</v>
      </c>
      <c r="P929">
        <f t="shared" si="29"/>
        <v>9.292815660685072E-3</v>
      </c>
    </row>
    <row r="930" spans="1:16" x14ac:dyDescent="0.35">
      <c r="A930" s="1">
        <v>37741</v>
      </c>
      <c r="B930">
        <v>8.2774E-2</v>
      </c>
      <c r="C930">
        <v>8.1462000000000007E-2</v>
      </c>
      <c r="D930">
        <v>0.103509</v>
      </c>
      <c r="E930">
        <v>0.102385</v>
      </c>
      <c r="F930">
        <v>8357157480</v>
      </c>
      <c r="G930">
        <v>500</v>
      </c>
      <c r="H930">
        <v>7671277410</v>
      </c>
      <c r="I930">
        <v>500</v>
      </c>
      <c r="J930">
        <v>916.92</v>
      </c>
      <c r="K930">
        <v>8.1044000000000005E-2</v>
      </c>
      <c r="L930">
        <v>0.1</v>
      </c>
      <c r="M930">
        <v>183.2</v>
      </c>
      <c r="N930">
        <f t="shared" si="27"/>
        <v>8.6911236899563482E-2</v>
      </c>
      <c r="O930">
        <f t="shared" si="28"/>
        <v>4.8247816593884885E-3</v>
      </c>
      <c r="P930">
        <f t="shared" si="29"/>
        <v>8.2086455240174994E-2</v>
      </c>
    </row>
    <row r="931" spans="1:16" x14ac:dyDescent="0.35">
      <c r="A931" s="1">
        <v>37771</v>
      </c>
      <c r="B931">
        <v>5.3251E-2</v>
      </c>
      <c r="C931">
        <v>5.1507999999999998E-2</v>
      </c>
      <c r="D931">
        <v>9.6073000000000006E-2</v>
      </c>
      <c r="E931">
        <v>9.4440999999999997E-2</v>
      </c>
      <c r="F931">
        <v>8774327730</v>
      </c>
      <c r="G931">
        <v>500</v>
      </c>
      <c r="H931">
        <v>8357157480</v>
      </c>
      <c r="I931">
        <v>500</v>
      </c>
      <c r="J931">
        <v>963.59</v>
      </c>
      <c r="K931">
        <v>5.0899E-2</v>
      </c>
      <c r="L931">
        <v>0.09</v>
      </c>
      <c r="M931">
        <v>182.9</v>
      </c>
      <c r="N931">
        <f t="shared" si="27"/>
        <v>5.4978585019135995E-2</v>
      </c>
      <c r="O931">
        <f t="shared" si="28"/>
        <v>2.5417167851282674E-3</v>
      </c>
      <c r="P931">
        <f t="shared" si="29"/>
        <v>5.2436868234007727E-2</v>
      </c>
    </row>
    <row r="932" spans="1:16" x14ac:dyDescent="0.35">
      <c r="A932" s="1">
        <v>37802</v>
      </c>
      <c r="B932">
        <v>1.2815999999999999E-2</v>
      </c>
      <c r="C932">
        <v>1.1351E-2</v>
      </c>
      <c r="D932">
        <v>7.6490000000000004E-3</v>
      </c>
      <c r="E932">
        <v>6.2129999999999998E-3</v>
      </c>
      <c r="F932">
        <v>8877396860</v>
      </c>
      <c r="G932">
        <v>500</v>
      </c>
      <c r="H932">
        <v>8774327730</v>
      </c>
      <c r="I932">
        <v>500</v>
      </c>
      <c r="J932">
        <v>974.5</v>
      </c>
      <c r="K932">
        <v>1.1322E-2</v>
      </c>
      <c r="L932">
        <v>0.1</v>
      </c>
      <c r="M932">
        <v>183.1</v>
      </c>
      <c r="N932">
        <f t="shared" si="27"/>
        <v>1.1709701802293804E-2</v>
      </c>
      <c r="O932">
        <f t="shared" si="28"/>
        <v>-9.3391589295444E-5</v>
      </c>
      <c r="P932">
        <f t="shared" si="29"/>
        <v>1.1803093391589248E-2</v>
      </c>
    </row>
    <row r="933" spans="1:16" x14ac:dyDescent="0.35">
      <c r="A933" s="1">
        <v>37833</v>
      </c>
      <c r="B933">
        <v>1.7932E-2</v>
      </c>
      <c r="C933">
        <v>1.6504999999999999E-2</v>
      </c>
      <c r="D933">
        <v>2.8369999999999999E-2</v>
      </c>
      <c r="E933">
        <v>2.7302E-2</v>
      </c>
      <c r="F933">
        <v>9032998370</v>
      </c>
      <c r="G933">
        <v>500</v>
      </c>
      <c r="H933">
        <v>8881111720</v>
      </c>
      <c r="I933">
        <v>500</v>
      </c>
      <c r="J933">
        <v>990.31</v>
      </c>
      <c r="K933">
        <v>1.6223999999999999E-2</v>
      </c>
      <c r="L933">
        <v>7.0000000000000007E-2</v>
      </c>
      <c r="M933">
        <v>183.7</v>
      </c>
      <c r="N933">
        <f t="shared" si="27"/>
        <v>1.4607235710397459E-2</v>
      </c>
      <c r="O933">
        <f t="shared" si="28"/>
        <v>-2.5684812193794704E-3</v>
      </c>
      <c r="P933">
        <f t="shared" si="29"/>
        <v>1.717571692977693E-2</v>
      </c>
    </row>
    <row r="934" spans="1:16" x14ac:dyDescent="0.35">
      <c r="A934" s="1">
        <v>37862</v>
      </c>
      <c r="B934">
        <v>1.9597E-2</v>
      </c>
      <c r="C934">
        <v>1.8013999999999999E-2</v>
      </c>
      <c r="D934">
        <v>4.4603999999999998E-2</v>
      </c>
      <c r="E934">
        <v>4.3043999999999999E-2</v>
      </c>
      <c r="F934">
        <v>9202045440</v>
      </c>
      <c r="G934">
        <v>500</v>
      </c>
      <c r="H934">
        <v>9032611750</v>
      </c>
      <c r="I934">
        <v>499</v>
      </c>
      <c r="J934">
        <v>1008.01</v>
      </c>
      <c r="K934">
        <v>1.7873E-2</v>
      </c>
      <c r="L934">
        <v>7.0000000000000007E-2</v>
      </c>
      <c r="M934">
        <v>184.5</v>
      </c>
      <c r="N934">
        <f t="shared" si="27"/>
        <v>1.5175983197831977E-2</v>
      </c>
      <c r="O934">
        <f t="shared" si="28"/>
        <v>-3.63907859078616E-3</v>
      </c>
      <c r="P934">
        <f t="shared" si="29"/>
        <v>1.8815061788618137E-2</v>
      </c>
    </row>
    <row r="935" spans="1:16" x14ac:dyDescent="0.35">
      <c r="A935" s="1">
        <v>37894</v>
      </c>
      <c r="B935">
        <v>-1.0737E-2</v>
      </c>
      <c r="C935">
        <v>-1.2107E-2</v>
      </c>
      <c r="D935">
        <v>-1.6560999999999999E-2</v>
      </c>
      <c r="E935">
        <v>-1.7897E-2</v>
      </c>
      <c r="F935">
        <v>9132049160</v>
      </c>
      <c r="G935">
        <v>500</v>
      </c>
      <c r="H935">
        <v>9205450680</v>
      </c>
      <c r="I935">
        <v>500</v>
      </c>
      <c r="J935">
        <v>995.97</v>
      </c>
      <c r="K935">
        <v>-1.1944E-2</v>
      </c>
      <c r="L935">
        <v>0.08</v>
      </c>
      <c r="M935">
        <v>185.1</v>
      </c>
      <c r="N935">
        <f t="shared" si="27"/>
        <v>-1.3943687196110166E-2</v>
      </c>
      <c r="O935">
        <f t="shared" si="28"/>
        <v>-2.4440842787682993E-3</v>
      </c>
      <c r="P935">
        <f t="shared" si="29"/>
        <v>-1.1499602917341867E-2</v>
      </c>
    </row>
    <row r="936" spans="1:16" x14ac:dyDescent="0.35">
      <c r="A936" s="1">
        <v>37925</v>
      </c>
      <c r="B936">
        <v>5.5559999999999998E-2</v>
      </c>
      <c r="C936">
        <v>5.3969999999999997E-2</v>
      </c>
      <c r="D936">
        <v>7.0987999999999996E-2</v>
      </c>
      <c r="E936">
        <v>6.9986000000000007E-2</v>
      </c>
      <c r="F936">
        <v>9627940830</v>
      </c>
      <c r="G936">
        <v>500</v>
      </c>
      <c r="H936">
        <v>9132049160</v>
      </c>
      <c r="I936">
        <v>500</v>
      </c>
      <c r="J936">
        <v>1050.71</v>
      </c>
      <c r="K936">
        <v>5.4961999999999997E-2</v>
      </c>
      <c r="L936">
        <v>7.0000000000000007E-2</v>
      </c>
      <c r="M936">
        <v>184.9</v>
      </c>
      <c r="N936">
        <f t="shared" si="27"/>
        <v>5.6701763115197368E-2</v>
      </c>
      <c r="O936">
        <f t="shared" si="28"/>
        <v>1.7824229313139206E-3</v>
      </c>
      <c r="P936">
        <f t="shared" si="29"/>
        <v>5.4919340183883447E-2</v>
      </c>
    </row>
    <row r="937" spans="1:16" x14ac:dyDescent="0.35">
      <c r="A937" s="1">
        <v>37953</v>
      </c>
      <c r="B937">
        <v>9.2589999999999999E-3</v>
      </c>
      <c r="C937">
        <v>7.6059999999999999E-3</v>
      </c>
      <c r="D937">
        <v>2.1267000000000001E-2</v>
      </c>
      <c r="E937">
        <v>1.9609999999999999E-2</v>
      </c>
      <c r="F937">
        <v>9705385380</v>
      </c>
      <c r="G937">
        <v>500</v>
      </c>
      <c r="H937">
        <v>9627368510</v>
      </c>
      <c r="I937">
        <v>500</v>
      </c>
      <c r="J937">
        <v>1058.2</v>
      </c>
      <c r="K937">
        <v>7.1289999999999999E-3</v>
      </c>
      <c r="L937">
        <v>7.0000000000000007E-2</v>
      </c>
      <c r="M937">
        <v>185</v>
      </c>
      <c r="N937">
        <f t="shared" si="27"/>
        <v>8.7134545945946051E-3</v>
      </c>
      <c r="O937">
        <f t="shared" si="28"/>
        <v>1.5908108108098062E-4</v>
      </c>
      <c r="P937">
        <f t="shared" si="29"/>
        <v>8.5543735135136245E-3</v>
      </c>
    </row>
    <row r="938" spans="1:16" x14ac:dyDescent="0.35">
      <c r="A938" s="1">
        <v>37986</v>
      </c>
      <c r="B938">
        <v>5.178E-2</v>
      </c>
      <c r="C938">
        <v>5.0106999999999999E-2</v>
      </c>
      <c r="D938">
        <v>5.3165999999999998E-2</v>
      </c>
      <c r="E938">
        <v>5.1498000000000002E-2</v>
      </c>
      <c r="F938">
        <v>10156561300</v>
      </c>
      <c r="G938">
        <v>500</v>
      </c>
      <c r="H938">
        <v>9705385380</v>
      </c>
      <c r="I938">
        <v>500</v>
      </c>
      <c r="J938">
        <v>1111.92</v>
      </c>
      <c r="K938">
        <v>5.0764999999999998E-2</v>
      </c>
      <c r="L938">
        <v>0.08</v>
      </c>
      <c r="M938">
        <v>185.5</v>
      </c>
      <c r="N938">
        <f t="shared" si="27"/>
        <v>4.8945013477088795E-2</v>
      </c>
      <c r="O938">
        <f t="shared" si="28"/>
        <v>-1.8975741239892763E-3</v>
      </c>
      <c r="P938">
        <f t="shared" si="29"/>
        <v>5.0842587601078071E-2</v>
      </c>
    </row>
    <row r="939" spans="1:16" x14ac:dyDescent="0.35">
      <c r="A939" s="1">
        <v>38016</v>
      </c>
      <c r="B939">
        <v>1.9078000000000001E-2</v>
      </c>
      <c r="C939">
        <v>1.7991E-2</v>
      </c>
      <c r="D939">
        <v>2.4211E-2</v>
      </c>
      <c r="E939">
        <v>2.3439000000000002E-2</v>
      </c>
      <c r="F939">
        <v>10338496000</v>
      </c>
      <c r="G939">
        <v>500</v>
      </c>
      <c r="H939">
        <v>10156561300</v>
      </c>
      <c r="I939">
        <v>500</v>
      </c>
      <c r="J939">
        <v>1131.1300000000001</v>
      </c>
      <c r="K939">
        <v>1.7276E-2</v>
      </c>
      <c r="L939">
        <v>7.0000000000000007E-2</v>
      </c>
      <c r="M939">
        <v>186.3</v>
      </c>
      <c r="N939">
        <f t="shared" si="27"/>
        <v>1.4701926999463044E-2</v>
      </c>
      <c r="O939">
        <f t="shared" si="28"/>
        <v>-3.597155126140783E-3</v>
      </c>
      <c r="P939">
        <f t="shared" si="29"/>
        <v>1.8299082125603827E-2</v>
      </c>
    </row>
    <row r="940" spans="1:16" x14ac:dyDescent="0.35">
      <c r="A940" s="1">
        <v>38044</v>
      </c>
      <c r="B940">
        <v>1.4402999999999999E-2</v>
      </c>
      <c r="C940">
        <v>1.2716E-2</v>
      </c>
      <c r="D940">
        <v>2.0902E-2</v>
      </c>
      <c r="E940">
        <v>1.9432999999999999E-2</v>
      </c>
      <c r="F940">
        <v>10494719800</v>
      </c>
      <c r="G940">
        <v>500</v>
      </c>
      <c r="H940">
        <v>10342745500</v>
      </c>
      <c r="I940">
        <v>500</v>
      </c>
      <c r="J940">
        <v>1144.94</v>
      </c>
      <c r="K940">
        <v>1.2208999999999999E-2</v>
      </c>
      <c r="L940">
        <v>0.06</v>
      </c>
      <c r="M940">
        <v>186.7</v>
      </c>
      <c r="N940">
        <f t="shared" si="27"/>
        <v>1.2229667380824871E-2</v>
      </c>
      <c r="O940">
        <f t="shared" si="28"/>
        <v>-1.5437600428495069E-3</v>
      </c>
      <c r="P940">
        <f t="shared" si="29"/>
        <v>1.3773427423674378E-2</v>
      </c>
    </row>
    <row r="941" spans="1:16" x14ac:dyDescent="0.35">
      <c r="A941" s="1">
        <v>38077</v>
      </c>
      <c r="B941">
        <v>-1.4982000000000001E-2</v>
      </c>
      <c r="C941">
        <v>-1.6267E-2</v>
      </c>
      <c r="D941">
        <v>-5.8100000000000001E-3</v>
      </c>
      <c r="E941">
        <v>-7.1739999999999998E-3</v>
      </c>
      <c r="F941">
        <v>10352709700</v>
      </c>
      <c r="G941">
        <v>500</v>
      </c>
      <c r="H941">
        <v>10502212900</v>
      </c>
      <c r="I941">
        <v>500</v>
      </c>
      <c r="J941">
        <v>1126.21</v>
      </c>
      <c r="K941">
        <v>-1.6358999999999999E-2</v>
      </c>
      <c r="L941">
        <v>0.09</v>
      </c>
      <c r="M941">
        <v>187.1</v>
      </c>
      <c r="N941">
        <f t="shared" si="27"/>
        <v>-1.7087864243720108E-2</v>
      </c>
      <c r="O941">
        <f t="shared" si="28"/>
        <v>-1.2398182789953305E-3</v>
      </c>
      <c r="P941">
        <f t="shared" si="29"/>
        <v>-1.5848045964724777E-2</v>
      </c>
    </row>
    <row r="942" spans="1:16" x14ac:dyDescent="0.35">
      <c r="A942" s="1">
        <v>38107</v>
      </c>
      <c r="B942">
        <v>-1.5584000000000001E-2</v>
      </c>
      <c r="C942">
        <v>-1.6719000000000001E-2</v>
      </c>
      <c r="D942">
        <v>-2.4545999999999998E-2</v>
      </c>
      <c r="E942">
        <v>-2.5387E-2</v>
      </c>
      <c r="F942">
        <v>10225312000</v>
      </c>
      <c r="G942">
        <v>500</v>
      </c>
      <c r="H942">
        <v>10300637700</v>
      </c>
      <c r="I942">
        <v>500</v>
      </c>
      <c r="J942">
        <v>1107.3</v>
      </c>
      <c r="K942">
        <v>-1.6791E-2</v>
      </c>
      <c r="L942">
        <v>0.08</v>
      </c>
      <c r="M942">
        <v>187.4</v>
      </c>
      <c r="N942">
        <f t="shared" si="27"/>
        <v>-1.7159906083244469E-2</v>
      </c>
      <c r="O942">
        <f t="shared" si="28"/>
        <v>-8.0213447171839647E-4</v>
      </c>
      <c r="P942">
        <f t="shared" si="29"/>
        <v>-1.6357771611526073E-2</v>
      </c>
    </row>
    <row r="943" spans="1:16" x14ac:dyDescent="0.35">
      <c r="A943" s="1">
        <v>38135</v>
      </c>
      <c r="B943">
        <v>1.3629E-2</v>
      </c>
      <c r="C943">
        <v>1.2024E-2</v>
      </c>
      <c r="D943">
        <v>1.9373999999999999E-2</v>
      </c>
      <c r="E943">
        <v>1.7895000000000001E-2</v>
      </c>
      <c r="F943">
        <v>10345264300</v>
      </c>
      <c r="G943">
        <v>500</v>
      </c>
      <c r="H943">
        <v>10228484600</v>
      </c>
      <c r="I943">
        <v>500</v>
      </c>
      <c r="J943">
        <v>1120.68</v>
      </c>
      <c r="K943">
        <v>1.2083E-2</v>
      </c>
      <c r="L943">
        <v>0.06</v>
      </c>
      <c r="M943">
        <v>188.2</v>
      </c>
      <c r="N943">
        <f t="shared" si="27"/>
        <v>9.320268862911707E-3</v>
      </c>
      <c r="O943">
        <f t="shared" si="28"/>
        <v>-3.6533475026566675E-3</v>
      </c>
      <c r="P943">
        <f t="shared" si="29"/>
        <v>1.2973616365568374E-2</v>
      </c>
    </row>
    <row r="944" spans="1:16" x14ac:dyDescent="0.35">
      <c r="A944" s="1">
        <v>38168</v>
      </c>
      <c r="B944">
        <v>1.9487999999999998E-2</v>
      </c>
      <c r="C944">
        <v>1.8019E-2</v>
      </c>
      <c r="D944">
        <v>3.032E-2</v>
      </c>
      <c r="E944">
        <v>2.8934000000000001E-2</v>
      </c>
      <c r="F944">
        <v>10514279400</v>
      </c>
      <c r="G944">
        <v>500</v>
      </c>
      <c r="H944">
        <v>10345264300</v>
      </c>
      <c r="I944">
        <v>500</v>
      </c>
      <c r="J944">
        <v>1140.8399999999999</v>
      </c>
      <c r="K944">
        <v>1.7989000000000002E-2</v>
      </c>
      <c r="L944">
        <v>0.08</v>
      </c>
      <c r="M944">
        <v>188.9</v>
      </c>
      <c r="N944">
        <f t="shared" si="27"/>
        <v>1.5710119640021114E-2</v>
      </c>
      <c r="O944">
        <f t="shared" si="28"/>
        <v>-2.9086289041823088E-3</v>
      </c>
      <c r="P944">
        <f t="shared" si="29"/>
        <v>1.8618748544203423E-2</v>
      </c>
    </row>
    <row r="945" spans="1:16" x14ac:dyDescent="0.35">
      <c r="A945" s="1">
        <v>38198</v>
      </c>
      <c r="B945">
        <v>-3.2953999999999997E-2</v>
      </c>
      <c r="C945">
        <v>-3.4111000000000002E-2</v>
      </c>
      <c r="D945">
        <v>-4.3144000000000002E-2</v>
      </c>
      <c r="E945">
        <v>-4.4004000000000001E-2</v>
      </c>
      <c r="F945">
        <v>10175588400</v>
      </c>
      <c r="G945">
        <v>500</v>
      </c>
      <c r="H945">
        <v>10472590300</v>
      </c>
      <c r="I945">
        <v>500</v>
      </c>
      <c r="J945">
        <v>1101.72</v>
      </c>
      <c r="K945">
        <v>-3.4291000000000002E-2</v>
      </c>
      <c r="L945">
        <v>0.1</v>
      </c>
      <c r="M945">
        <v>189.1</v>
      </c>
      <c r="N945">
        <f t="shared" si="27"/>
        <v>-3.3976787942887388E-2</v>
      </c>
      <c r="O945">
        <f t="shared" si="28"/>
        <v>-5.8699101004755505E-5</v>
      </c>
      <c r="P945">
        <f t="shared" si="29"/>
        <v>-3.3918088841882632E-2</v>
      </c>
    </row>
    <row r="946" spans="1:16" x14ac:dyDescent="0.35">
      <c r="A946" s="1">
        <v>38230</v>
      </c>
      <c r="B946">
        <v>3.8070000000000001E-3</v>
      </c>
      <c r="C946">
        <v>2.019E-3</v>
      </c>
      <c r="D946">
        <v>-2.9480000000000001E-3</v>
      </c>
      <c r="E946">
        <v>-4.7710000000000001E-3</v>
      </c>
      <c r="F946">
        <v>10202644100</v>
      </c>
      <c r="G946">
        <v>500</v>
      </c>
      <c r="H946">
        <v>10177769000</v>
      </c>
      <c r="I946">
        <v>500</v>
      </c>
      <c r="J946">
        <v>1104.24</v>
      </c>
      <c r="K946">
        <v>2.287E-3</v>
      </c>
      <c r="L946">
        <v>0.11</v>
      </c>
      <c r="M946">
        <v>189.2</v>
      </c>
      <c r="N946">
        <f t="shared" si="27"/>
        <v>3.2764466173360596E-3</v>
      </c>
      <c r="O946">
        <f t="shared" si="28"/>
        <v>5.7087737843564135E-4</v>
      </c>
      <c r="P946">
        <f t="shared" si="29"/>
        <v>2.7055692389004182E-3</v>
      </c>
    </row>
    <row r="947" spans="1:16" x14ac:dyDescent="0.35">
      <c r="A947" s="1">
        <v>38260</v>
      </c>
      <c r="B947">
        <v>1.0817E-2</v>
      </c>
      <c r="C947">
        <v>9.3469999999999994E-3</v>
      </c>
      <c r="D947">
        <v>2.7570000000000001E-2</v>
      </c>
      <c r="E947">
        <v>2.6265E-2</v>
      </c>
      <c r="F947">
        <v>10285563700</v>
      </c>
      <c r="G947">
        <v>500</v>
      </c>
      <c r="H947">
        <v>10200534100</v>
      </c>
      <c r="I947">
        <v>500</v>
      </c>
      <c r="J947">
        <v>1114.58</v>
      </c>
      <c r="K947">
        <v>9.3640000000000008E-3</v>
      </c>
      <c r="L947">
        <v>0.11</v>
      </c>
      <c r="M947">
        <v>189.8</v>
      </c>
      <c r="N947">
        <f t="shared" si="27"/>
        <v>7.6215827186512097E-3</v>
      </c>
      <c r="O947">
        <f t="shared" si="28"/>
        <v>-2.0646996838777909E-3</v>
      </c>
      <c r="P947">
        <f t="shared" si="29"/>
        <v>9.6862824025290006E-3</v>
      </c>
    </row>
    <row r="948" spans="1:16" x14ac:dyDescent="0.35">
      <c r="A948" s="1">
        <v>38289</v>
      </c>
      <c r="B948">
        <v>1.4973E-2</v>
      </c>
      <c r="C948">
        <v>1.3698999999999999E-2</v>
      </c>
      <c r="D948">
        <v>2.4507000000000001E-2</v>
      </c>
      <c r="E948">
        <v>2.3588999999999999E-2</v>
      </c>
      <c r="F948">
        <v>10400365400</v>
      </c>
      <c r="G948">
        <v>500</v>
      </c>
      <c r="H948">
        <v>10253103200</v>
      </c>
      <c r="I948">
        <v>500</v>
      </c>
      <c r="J948">
        <v>1130.2</v>
      </c>
      <c r="K948">
        <v>1.4014E-2</v>
      </c>
      <c r="L948">
        <v>0.11</v>
      </c>
      <c r="M948">
        <v>190.8</v>
      </c>
      <c r="N948">
        <f t="shared" si="27"/>
        <v>9.6534350104822142E-3</v>
      </c>
      <c r="O948">
        <f t="shared" si="28"/>
        <v>-4.1468553459118596E-3</v>
      </c>
      <c r="P948">
        <f t="shared" si="29"/>
        <v>1.3800290356394074E-2</v>
      </c>
    </row>
    <row r="949" spans="1:16" x14ac:dyDescent="0.35">
      <c r="A949" s="1">
        <v>38321</v>
      </c>
      <c r="B949">
        <v>4.0558999999999998E-2</v>
      </c>
      <c r="C949">
        <v>3.5571999999999999E-2</v>
      </c>
      <c r="D949">
        <v>5.8716999999999998E-2</v>
      </c>
      <c r="E949">
        <v>5.6860000000000001E-2</v>
      </c>
      <c r="F949">
        <v>10775860400</v>
      </c>
      <c r="G949">
        <v>500</v>
      </c>
      <c r="H949">
        <v>10392258900</v>
      </c>
      <c r="I949">
        <v>500</v>
      </c>
      <c r="J949">
        <v>1173.82</v>
      </c>
      <c r="K949">
        <v>3.8594999999999997E-2</v>
      </c>
      <c r="L949">
        <v>0.15</v>
      </c>
      <c r="M949">
        <v>191.7</v>
      </c>
      <c r="N949">
        <f t="shared" si="27"/>
        <v>3.5673746478873447E-2</v>
      </c>
      <c r="O949">
        <f t="shared" si="28"/>
        <v>-3.2018779342721793E-3</v>
      </c>
      <c r="P949">
        <f t="shared" si="29"/>
        <v>3.8875624413145626E-2</v>
      </c>
    </row>
    <row r="950" spans="1:16" x14ac:dyDescent="0.35">
      <c r="A950" s="1">
        <v>38352</v>
      </c>
      <c r="B950">
        <v>3.3734E-2</v>
      </c>
      <c r="C950">
        <v>3.2086000000000003E-2</v>
      </c>
      <c r="D950">
        <v>3.7578E-2</v>
      </c>
      <c r="E950">
        <v>3.5933E-2</v>
      </c>
      <c r="F950">
        <v>11174847000</v>
      </c>
      <c r="G950">
        <v>500</v>
      </c>
      <c r="H950">
        <v>10810662000</v>
      </c>
      <c r="I950">
        <v>500</v>
      </c>
      <c r="J950">
        <v>1211.92</v>
      </c>
      <c r="K950">
        <v>3.2458000000000001E-2</v>
      </c>
      <c r="L950">
        <v>0.16</v>
      </c>
      <c r="M950">
        <v>191.7</v>
      </c>
      <c r="N950">
        <f t="shared" si="27"/>
        <v>3.3733999999999931E-2</v>
      </c>
      <c r="O950">
        <f t="shared" si="28"/>
        <v>1.6000000000000458E-3</v>
      </c>
      <c r="P950">
        <f t="shared" si="29"/>
        <v>3.2133999999999885E-2</v>
      </c>
    </row>
    <row r="951" spans="1:16" x14ac:dyDescent="0.35">
      <c r="A951" s="1">
        <v>38383</v>
      </c>
      <c r="B951">
        <v>-2.3824000000000001E-2</v>
      </c>
      <c r="C951">
        <v>-2.4749E-2</v>
      </c>
      <c r="D951">
        <v>-2.9472999999999999E-2</v>
      </c>
      <c r="E951">
        <v>-3.0169000000000001E-2</v>
      </c>
      <c r="F951">
        <v>10893939400</v>
      </c>
      <c r="G951">
        <v>500</v>
      </c>
      <c r="H951">
        <v>11174847000</v>
      </c>
      <c r="I951">
        <v>500</v>
      </c>
      <c r="J951">
        <v>1181.27</v>
      </c>
      <c r="K951">
        <v>-2.529E-2</v>
      </c>
      <c r="L951">
        <v>0.16</v>
      </c>
      <c r="M951">
        <v>191.6</v>
      </c>
      <c r="N951">
        <f t="shared" si="27"/>
        <v>-2.3314513569937301E-2</v>
      </c>
      <c r="O951">
        <f t="shared" si="28"/>
        <v>2.1227557411274134E-3</v>
      </c>
      <c r="P951">
        <f t="shared" si="29"/>
        <v>-2.5437269311064714E-2</v>
      </c>
    </row>
    <row r="952" spans="1:16" x14ac:dyDescent="0.35">
      <c r="A952" s="1">
        <v>38411</v>
      </c>
      <c r="B952">
        <v>2.1152000000000001E-2</v>
      </c>
      <c r="C952">
        <v>1.9015000000000001E-2</v>
      </c>
      <c r="D952">
        <v>2.0327000000000001E-2</v>
      </c>
      <c r="E952">
        <v>1.8755999999999998E-2</v>
      </c>
      <c r="F952">
        <v>11090951900</v>
      </c>
      <c r="G952">
        <v>500</v>
      </c>
      <c r="H952">
        <v>10893939400</v>
      </c>
      <c r="I952">
        <v>500</v>
      </c>
      <c r="J952">
        <v>1203.5999999999999</v>
      </c>
      <c r="K952">
        <v>1.8903E-2</v>
      </c>
      <c r="L952">
        <v>0.16</v>
      </c>
      <c r="M952">
        <v>192.4</v>
      </c>
      <c r="N952">
        <f t="shared" si="27"/>
        <v>1.6906045738045661E-2</v>
      </c>
      <c r="O952">
        <f t="shared" si="28"/>
        <v>-2.5646569646569084E-3</v>
      </c>
      <c r="P952">
        <f t="shared" si="29"/>
        <v>1.9470702702702569E-2</v>
      </c>
    </row>
    <row r="953" spans="1:16" x14ac:dyDescent="0.35">
      <c r="A953" s="1">
        <v>38442</v>
      </c>
      <c r="B953">
        <v>-1.7239999999999998E-2</v>
      </c>
      <c r="C953">
        <v>-1.8728999999999999E-2</v>
      </c>
      <c r="D953">
        <v>-1.2796999999999999E-2</v>
      </c>
      <c r="E953">
        <v>-1.4308E-2</v>
      </c>
      <c r="F953">
        <v>10900580800</v>
      </c>
      <c r="G953">
        <v>500</v>
      </c>
      <c r="H953">
        <v>11092798500</v>
      </c>
      <c r="I953">
        <v>500</v>
      </c>
      <c r="J953">
        <v>1180.5899999999999</v>
      </c>
      <c r="K953">
        <v>-1.9118E-2</v>
      </c>
      <c r="L953">
        <v>0.21</v>
      </c>
      <c r="M953">
        <v>193.1</v>
      </c>
      <c r="N953">
        <f t="shared" si="27"/>
        <v>-2.0802568617296791E-2</v>
      </c>
      <c r="O953">
        <f t="shared" si="28"/>
        <v>-1.5326773692386775E-3</v>
      </c>
      <c r="P953">
        <f t="shared" si="29"/>
        <v>-1.9269891248058113E-2</v>
      </c>
    </row>
    <row r="954" spans="1:16" x14ac:dyDescent="0.35">
      <c r="A954" s="1">
        <v>38471</v>
      </c>
      <c r="B954">
        <v>-1.8925999999999998E-2</v>
      </c>
      <c r="C954">
        <v>-2.0076E-2</v>
      </c>
      <c r="D954">
        <v>-3.0960999999999999E-2</v>
      </c>
      <c r="E954">
        <v>-3.1763E-2</v>
      </c>
      <c r="F954">
        <v>10683198400</v>
      </c>
      <c r="G954">
        <v>500</v>
      </c>
      <c r="H954">
        <v>10900580800</v>
      </c>
      <c r="I954">
        <v>500</v>
      </c>
      <c r="J954">
        <v>1156.8499999999999</v>
      </c>
      <c r="K954">
        <v>-2.0108999999999998E-2</v>
      </c>
      <c r="L954">
        <v>0.21</v>
      </c>
      <c r="M954">
        <v>193.7</v>
      </c>
      <c r="N954">
        <f t="shared" si="27"/>
        <v>-2.1964948890036196E-2</v>
      </c>
      <c r="O954">
        <f t="shared" si="28"/>
        <v>-1.0040784718636786E-3</v>
      </c>
      <c r="P954">
        <f t="shared" si="29"/>
        <v>-2.0960870418172517E-2</v>
      </c>
    </row>
    <row r="955" spans="1:16" x14ac:dyDescent="0.35">
      <c r="A955" s="1">
        <v>38503</v>
      </c>
      <c r="B955">
        <v>3.1994000000000002E-2</v>
      </c>
      <c r="C955">
        <v>3.0155999999999999E-2</v>
      </c>
      <c r="D955">
        <v>4.8563000000000002E-2</v>
      </c>
      <c r="E955">
        <v>4.7029000000000001E-2</v>
      </c>
      <c r="F955">
        <v>10972857600</v>
      </c>
      <c r="G955">
        <v>500</v>
      </c>
      <c r="H955">
        <v>10683198400</v>
      </c>
      <c r="I955">
        <v>500</v>
      </c>
      <c r="J955">
        <v>1191.5</v>
      </c>
      <c r="K955">
        <v>2.9951999999999999E-2</v>
      </c>
      <c r="L955">
        <v>0.24</v>
      </c>
      <c r="M955">
        <v>193.6</v>
      </c>
      <c r="N955">
        <f t="shared" si="27"/>
        <v>3.2527054752066187E-2</v>
      </c>
      <c r="O955">
        <f t="shared" si="28"/>
        <v>2.9177685950412258E-3</v>
      </c>
      <c r="P955">
        <f t="shared" si="29"/>
        <v>2.9609286157024961E-2</v>
      </c>
    </row>
    <row r="956" spans="1:16" x14ac:dyDescent="0.35">
      <c r="A956" s="1">
        <v>38533</v>
      </c>
      <c r="B956">
        <v>1.717E-3</v>
      </c>
      <c r="C956">
        <v>1.3899999999999999E-4</v>
      </c>
      <c r="D956">
        <v>1.4499E-2</v>
      </c>
      <c r="E956">
        <v>1.3112E-2</v>
      </c>
      <c r="F956">
        <v>10968272300</v>
      </c>
      <c r="G956">
        <v>500</v>
      </c>
      <c r="H956">
        <v>10972857600</v>
      </c>
      <c r="I956">
        <v>500</v>
      </c>
      <c r="J956">
        <v>1191.33</v>
      </c>
      <c r="K956">
        <v>-1.4300000000000001E-4</v>
      </c>
      <c r="L956">
        <v>0.23</v>
      </c>
      <c r="M956">
        <v>193.7</v>
      </c>
      <c r="N956">
        <f t="shared" si="27"/>
        <v>1.1998513164688251E-3</v>
      </c>
      <c r="O956">
        <f t="shared" si="28"/>
        <v>1.7825503355703987E-3</v>
      </c>
      <c r="P956">
        <f t="shared" si="29"/>
        <v>-5.8269901910157351E-4</v>
      </c>
    </row>
    <row r="957" spans="1:16" x14ac:dyDescent="0.35">
      <c r="A957" s="1">
        <v>38562</v>
      </c>
      <c r="B957">
        <v>3.7364000000000001E-2</v>
      </c>
      <c r="C957">
        <v>3.6163000000000001E-2</v>
      </c>
      <c r="D957">
        <v>5.1382999999999998E-2</v>
      </c>
      <c r="E957">
        <v>5.0538E-2</v>
      </c>
      <c r="F957">
        <v>11375061100</v>
      </c>
      <c r="G957">
        <v>500</v>
      </c>
      <c r="H957">
        <v>10975888600</v>
      </c>
      <c r="I957">
        <v>500</v>
      </c>
      <c r="J957">
        <v>1234.18</v>
      </c>
      <c r="K957">
        <v>3.5968E-2</v>
      </c>
      <c r="L957">
        <v>0.24</v>
      </c>
      <c r="M957">
        <v>194.9</v>
      </c>
      <c r="N957">
        <f t="shared" si="27"/>
        <v>3.0976946126218596E-2</v>
      </c>
      <c r="O957">
        <f t="shared" si="28"/>
        <v>-3.7717804002053157E-3</v>
      </c>
      <c r="P957">
        <f t="shared" si="29"/>
        <v>3.4748726526423912E-2</v>
      </c>
    </row>
    <row r="958" spans="1:16" x14ac:dyDescent="0.35">
      <c r="A958" s="1">
        <v>38595</v>
      </c>
      <c r="B958">
        <v>-9.1590000000000005E-3</v>
      </c>
      <c r="C958">
        <v>-1.1265000000000001E-2</v>
      </c>
      <c r="D958">
        <v>-9.7890000000000008E-3</v>
      </c>
      <c r="E958">
        <v>-1.1389E-2</v>
      </c>
      <c r="F958">
        <v>11254185300</v>
      </c>
      <c r="G958">
        <v>500</v>
      </c>
      <c r="H958">
        <v>11338390800</v>
      </c>
      <c r="I958">
        <v>500</v>
      </c>
      <c r="J958">
        <v>1220.33</v>
      </c>
      <c r="K958">
        <v>-1.1221999999999999E-2</v>
      </c>
      <c r="L958">
        <v>0.3</v>
      </c>
      <c r="M958">
        <v>196.1</v>
      </c>
      <c r="N958">
        <f t="shared" si="27"/>
        <v>-1.5222279959204443E-2</v>
      </c>
      <c r="O958">
        <f t="shared" si="28"/>
        <v>-3.1376848546660341E-3</v>
      </c>
      <c r="P958">
        <f t="shared" si="29"/>
        <v>-1.2084595104538409E-2</v>
      </c>
    </row>
    <row r="959" spans="1:16" x14ac:dyDescent="0.35">
      <c r="A959" s="1">
        <v>38625</v>
      </c>
      <c r="B959">
        <v>8.0669999999999995E-3</v>
      </c>
      <c r="C959">
        <v>6.9160000000000003E-3</v>
      </c>
      <c r="D959">
        <v>8.2810000000000002E-3</v>
      </c>
      <c r="E959">
        <v>7.0619999999999997E-3</v>
      </c>
      <c r="F959">
        <v>11328229800</v>
      </c>
      <c r="G959">
        <v>500</v>
      </c>
      <c r="H959">
        <v>11254185300</v>
      </c>
      <c r="I959">
        <v>500</v>
      </c>
      <c r="J959">
        <v>1228.81</v>
      </c>
      <c r="K959">
        <v>6.9490000000000003E-3</v>
      </c>
      <c r="L959">
        <v>0.28999999999999998</v>
      </c>
      <c r="M959">
        <v>198.8</v>
      </c>
      <c r="N959">
        <f t="shared" si="27"/>
        <v>-5.6240508048290838E-3</v>
      </c>
      <c r="O959">
        <f t="shared" si="28"/>
        <v>-1.0720875251509221E-2</v>
      </c>
      <c r="P959">
        <f t="shared" si="29"/>
        <v>5.0968244466801371E-3</v>
      </c>
    </row>
    <row r="960" spans="1:16" x14ac:dyDescent="0.35">
      <c r="A960" s="1">
        <v>38656</v>
      </c>
      <c r="B960">
        <v>-1.5671999999999998E-2</v>
      </c>
      <c r="C960">
        <v>-1.6697E-2</v>
      </c>
      <c r="D960">
        <v>-2.3466999999999998E-2</v>
      </c>
      <c r="E960">
        <v>-2.4333E-2</v>
      </c>
      <c r="F960">
        <v>11126639300</v>
      </c>
      <c r="G960">
        <v>500</v>
      </c>
      <c r="H960">
        <v>11284963000</v>
      </c>
      <c r="I960">
        <v>500</v>
      </c>
      <c r="J960">
        <v>1207.01</v>
      </c>
      <c r="K960">
        <v>-1.7741E-2</v>
      </c>
      <c r="L960">
        <v>0.27</v>
      </c>
      <c r="M960">
        <v>199.1</v>
      </c>
      <c r="N960">
        <f t="shared" si="27"/>
        <v>-1.7155166248116527E-2</v>
      </c>
      <c r="O960">
        <f t="shared" si="28"/>
        <v>1.1891511803114874E-3</v>
      </c>
      <c r="P960">
        <f t="shared" si="29"/>
        <v>-1.8344317428428014E-2</v>
      </c>
    </row>
    <row r="961" spans="1:16" x14ac:dyDescent="0.35">
      <c r="A961" s="1">
        <v>38686</v>
      </c>
      <c r="B961">
        <v>3.8288999999999997E-2</v>
      </c>
      <c r="C961">
        <v>3.5674999999999998E-2</v>
      </c>
      <c r="D961">
        <v>4.3743999999999998E-2</v>
      </c>
      <c r="E961">
        <v>4.1690999999999999E-2</v>
      </c>
      <c r="F961">
        <v>11545923500</v>
      </c>
      <c r="G961">
        <v>500</v>
      </c>
      <c r="H961">
        <v>11127276600</v>
      </c>
      <c r="I961">
        <v>500</v>
      </c>
      <c r="J961">
        <v>1249.48</v>
      </c>
      <c r="K961">
        <v>3.5186000000000002E-2</v>
      </c>
      <c r="L961">
        <v>0.31</v>
      </c>
      <c r="M961">
        <v>198.1</v>
      </c>
      <c r="N961">
        <f t="shared" si="27"/>
        <v>4.3530236749116602E-2</v>
      </c>
      <c r="O961">
        <f t="shared" si="28"/>
        <v>8.1636042402828402E-3</v>
      </c>
      <c r="P961">
        <f t="shared" si="29"/>
        <v>3.5366632508833762E-2</v>
      </c>
    </row>
    <row r="962" spans="1:16" x14ac:dyDescent="0.35">
      <c r="A962" s="1">
        <v>38716</v>
      </c>
      <c r="B962">
        <v>-6.0000000000000002E-5</v>
      </c>
      <c r="C962">
        <v>-1.3960000000000001E-3</v>
      </c>
      <c r="D962">
        <v>8.0219999999999996E-3</v>
      </c>
      <c r="E962">
        <v>6.5700000000000003E-3</v>
      </c>
      <c r="F962">
        <v>11534265500</v>
      </c>
      <c r="G962">
        <v>500</v>
      </c>
      <c r="H962">
        <v>11551045800</v>
      </c>
      <c r="I962">
        <v>500</v>
      </c>
      <c r="J962">
        <v>1248.29</v>
      </c>
      <c r="K962">
        <v>-9.5200000000000005E-4</v>
      </c>
      <c r="L962">
        <v>0.32</v>
      </c>
      <c r="M962">
        <v>198.1</v>
      </c>
      <c r="N962">
        <f t="shared" si="27"/>
        <v>-6.0000000000060005E-5</v>
      </c>
      <c r="O962">
        <f t="shared" si="28"/>
        <v>3.2000000000000917E-3</v>
      </c>
      <c r="P962">
        <f t="shared" si="29"/>
        <v>-3.2600000000001517E-3</v>
      </c>
    </row>
    <row r="963" spans="1:16" x14ac:dyDescent="0.35">
      <c r="A963" s="1">
        <v>38748</v>
      </c>
      <c r="B963">
        <v>2.6442E-2</v>
      </c>
      <c r="C963">
        <v>2.5423999999999999E-2</v>
      </c>
      <c r="D963">
        <v>4.1377999999999998E-2</v>
      </c>
      <c r="E963">
        <v>4.0514000000000001E-2</v>
      </c>
      <c r="F963">
        <v>11786499400</v>
      </c>
      <c r="G963">
        <v>500</v>
      </c>
      <c r="H963">
        <v>11542456400</v>
      </c>
      <c r="I963">
        <v>500</v>
      </c>
      <c r="J963">
        <v>1280.08</v>
      </c>
      <c r="K963">
        <v>2.5467E-2</v>
      </c>
      <c r="L963">
        <v>0.35</v>
      </c>
      <c r="M963">
        <v>199.3</v>
      </c>
      <c r="N963">
        <f t="shared" si="27"/>
        <v>2.0261717009533387E-2</v>
      </c>
      <c r="O963">
        <f t="shared" si="28"/>
        <v>-2.5421475163071028E-3</v>
      </c>
      <c r="P963">
        <f t="shared" si="29"/>
        <v>2.2803864525840489E-2</v>
      </c>
    </row>
    <row r="964" spans="1:16" x14ac:dyDescent="0.35">
      <c r="A964" s="1">
        <v>38776</v>
      </c>
      <c r="B964">
        <v>2.4250000000000001E-3</v>
      </c>
      <c r="C964">
        <v>1.6699999999999999E-4</v>
      </c>
      <c r="D964">
        <v>2.9510000000000001E-3</v>
      </c>
      <c r="E964">
        <v>1.3730000000000001E-3</v>
      </c>
      <c r="F964">
        <v>11816345400</v>
      </c>
      <c r="G964">
        <v>500</v>
      </c>
      <c r="H964">
        <v>11790889900</v>
      </c>
      <c r="I964">
        <v>500</v>
      </c>
      <c r="J964">
        <v>1280.6600000000001</v>
      </c>
      <c r="K964">
        <v>4.5300000000000001E-4</v>
      </c>
      <c r="L964">
        <v>0.34</v>
      </c>
      <c r="M964">
        <v>199.4</v>
      </c>
      <c r="N964">
        <f t="shared" si="27"/>
        <v>1.9222793380140324E-3</v>
      </c>
      <c r="O964">
        <f t="shared" si="28"/>
        <v>2.8967903711134557E-3</v>
      </c>
      <c r="P964">
        <f t="shared" si="29"/>
        <v>-9.7451103309942333E-4</v>
      </c>
    </row>
    <row r="965" spans="1:16" x14ac:dyDescent="0.35">
      <c r="A965" s="1">
        <v>38807</v>
      </c>
      <c r="B965">
        <v>1.2909E-2</v>
      </c>
      <c r="C965">
        <v>1.1511E-2</v>
      </c>
      <c r="D965">
        <v>1.7915E-2</v>
      </c>
      <c r="E965">
        <v>1.6503E-2</v>
      </c>
      <c r="F965">
        <v>11949724700</v>
      </c>
      <c r="G965">
        <v>500</v>
      </c>
      <c r="H965">
        <v>11827169200</v>
      </c>
      <c r="I965">
        <v>500</v>
      </c>
      <c r="J965">
        <v>1294.83</v>
      </c>
      <c r="K965">
        <v>1.1065E-2</v>
      </c>
      <c r="L965">
        <v>0.37</v>
      </c>
      <c r="M965">
        <v>199.7</v>
      </c>
      <c r="N965">
        <f t="shared" si="27"/>
        <v>1.1387354031046737E-2</v>
      </c>
      <c r="O965">
        <f t="shared" si="28"/>
        <v>2.1921882824238459E-3</v>
      </c>
      <c r="P965">
        <f t="shared" si="29"/>
        <v>9.195165748622891E-3</v>
      </c>
    </row>
    <row r="966" spans="1:16" x14ac:dyDescent="0.35">
      <c r="A966" s="1">
        <v>38835</v>
      </c>
      <c r="B966">
        <v>1.2064E-2</v>
      </c>
      <c r="C966">
        <v>1.085E-2</v>
      </c>
      <c r="D966">
        <v>1.0538E-2</v>
      </c>
      <c r="E966">
        <v>9.691E-3</v>
      </c>
      <c r="F966">
        <v>12120838900</v>
      </c>
      <c r="G966">
        <v>500</v>
      </c>
      <c r="H966">
        <v>11982279900</v>
      </c>
      <c r="I966">
        <v>499</v>
      </c>
      <c r="J966">
        <v>1310.6099999999999</v>
      </c>
      <c r="K966">
        <v>1.2187E-2</v>
      </c>
      <c r="L966">
        <v>0.36</v>
      </c>
      <c r="M966">
        <v>200.7</v>
      </c>
      <c r="N966">
        <f t="shared" si="27"/>
        <v>7.0213293472844995E-3</v>
      </c>
      <c r="O966">
        <f t="shared" si="28"/>
        <v>-1.4004982561036661E-3</v>
      </c>
      <c r="P966">
        <f t="shared" si="29"/>
        <v>8.4218276033881656E-3</v>
      </c>
    </row>
    <row r="967" spans="1:16" x14ac:dyDescent="0.35">
      <c r="A967" s="1">
        <v>38868</v>
      </c>
      <c r="B967">
        <v>-2.8319E-2</v>
      </c>
      <c r="C967">
        <v>-3.0519000000000001E-2</v>
      </c>
      <c r="D967">
        <v>-2.8303999999999999E-2</v>
      </c>
      <c r="E967">
        <v>-2.9964000000000001E-2</v>
      </c>
      <c r="F967">
        <v>11766925100</v>
      </c>
      <c r="G967">
        <v>500</v>
      </c>
      <c r="H967">
        <v>12119754700</v>
      </c>
      <c r="I967">
        <v>499</v>
      </c>
      <c r="J967">
        <v>1270.0899999999999</v>
      </c>
      <c r="K967">
        <v>-3.0917E-2</v>
      </c>
      <c r="L967">
        <v>0.43</v>
      </c>
      <c r="M967">
        <v>201.3</v>
      </c>
      <c r="N967">
        <f t="shared" si="27"/>
        <v>-3.1215217585693122E-2</v>
      </c>
      <c r="O967">
        <f t="shared" si="28"/>
        <v>1.3065573770489891E-3</v>
      </c>
      <c r="P967">
        <f t="shared" si="29"/>
        <v>-3.2521774962742112E-2</v>
      </c>
    </row>
    <row r="968" spans="1:16" x14ac:dyDescent="0.35">
      <c r="A968" s="1">
        <v>38898</v>
      </c>
      <c r="B968">
        <v>1.5870000000000001E-3</v>
      </c>
      <c r="C968">
        <v>3.48E-4</v>
      </c>
      <c r="D968">
        <v>-1.9599999999999999E-3</v>
      </c>
      <c r="E968">
        <v>-3.2699999999999999E-3</v>
      </c>
      <c r="F968">
        <v>11764522000</v>
      </c>
      <c r="G968">
        <v>500</v>
      </c>
      <c r="H968">
        <v>11772698800</v>
      </c>
      <c r="I968">
        <v>500</v>
      </c>
      <c r="J968">
        <v>1270.2</v>
      </c>
      <c r="K968">
        <v>8.7000000000000001E-5</v>
      </c>
      <c r="L968">
        <v>0.4</v>
      </c>
      <c r="M968">
        <v>201.8</v>
      </c>
      <c r="N968">
        <f t="shared" si="27"/>
        <v>-8.9463280475710061E-4</v>
      </c>
      <c r="O968">
        <f t="shared" si="28"/>
        <v>1.5123885034689089E-3</v>
      </c>
      <c r="P968">
        <f t="shared" si="29"/>
        <v>-2.4070213082260095E-3</v>
      </c>
    </row>
    <row r="969" spans="1:16" x14ac:dyDescent="0.35">
      <c r="A969" s="1">
        <v>38929</v>
      </c>
      <c r="B969">
        <v>5.5710000000000004E-3</v>
      </c>
      <c r="C969">
        <v>4.5100000000000001E-3</v>
      </c>
      <c r="D969">
        <v>-1.4293999999999999E-2</v>
      </c>
      <c r="E969">
        <v>-1.5115E-2</v>
      </c>
      <c r="F969">
        <v>11792742300</v>
      </c>
      <c r="G969">
        <v>500</v>
      </c>
      <c r="H969">
        <v>11763838700</v>
      </c>
      <c r="I969">
        <v>499</v>
      </c>
      <c r="J969">
        <v>1276.6600000000001</v>
      </c>
      <c r="K969">
        <v>5.0860000000000002E-3</v>
      </c>
      <c r="L969">
        <v>0.4</v>
      </c>
      <c r="M969">
        <v>202.9</v>
      </c>
      <c r="N969">
        <f t="shared" si="27"/>
        <v>1.1940758994577472E-4</v>
      </c>
      <c r="O969">
        <f t="shared" si="28"/>
        <v>-1.4430754066042661E-3</v>
      </c>
      <c r="P969">
        <f t="shared" si="29"/>
        <v>1.5624829965500409E-3</v>
      </c>
    </row>
    <row r="970" spans="1:16" x14ac:dyDescent="0.35">
      <c r="A970" s="1">
        <v>38960</v>
      </c>
      <c r="B970">
        <v>2.4150000000000001E-2</v>
      </c>
      <c r="C970">
        <v>2.1679E-2</v>
      </c>
      <c r="D970">
        <v>3.0419999999999999E-2</v>
      </c>
      <c r="E970">
        <v>2.8694999999999998E-2</v>
      </c>
      <c r="F970">
        <v>12005081900</v>
      </c>
      <c r="G970">
        <v>500</v>
      </c>
      <c r="H970">
        <v>11790165100</v>
      </c>
      <c r="I970">
        <v>500</v>
      </c>
      <c r="J970">
        <v>1303.82</v>
      </c>
      <c r="K970">
        <v>2.1274000000000001E-2</v>
      </c>
      <c r="L970">
        <v>0.42</v>
      </c>
      <c r="M970">
        <v>203.8</v>
      </c>
      <c r="N970">
        <f t="shared" si="27"/>
        <v>1.9627257114818386E-2</v>
      </c>
      <c r="O970">
        <f t="shared" si="28"/>
        <v>-2.3464180569188198E-4</v>
      </c>
      <c r="P970">
        <f t="shared" si="29"/>
        <v>1.9861898920510268E-2</v>
      </c>
    </row>
    <row r="971" spans="1:16" x14ac:dyDescent="0.35">
      <c r="A971" s="1">
        <v>38989</v>
      </c>
      <c r="B971">
        <v>2.6487E-2</v>
      </c>
      <c r="C971">
        <v>2.5295999999999999E-2</v>
      </c>
      <c r="D971">
        <v>2.6353999999999999E-2</v>
      </c>
      <c r="E971">
        <v>2.5107000000000001E-2</v>
      </c>
      <c r="F971">
        <v>12287172200</v>
      </c>
      <c r="G971">
        <v>500</v>
      </c>
      <c r="H971">
        <v>12005081900</v>
      </c>
      <c r="I971">
        <v>500</v>
      </c>
      <c r="J971">
        <v>1335.85</v>
      </c>
      <c r="K971">
        <v>2.4566000000000001E-2</v>
      </c>
      <c r="L971">
        <v>0.41</v>
      </c>
      <c r="M971">
        <v>202.8</v>
      </c>
      <c r="N971">
        <f t="shared" si="27"/>
        <v>3.1548572978303602E-2</v>
      </c>
      <c r="O971">
        <f t="shared" si="28"/>
        <v>9.0511834319526585E-3</v>
      </c>
      <c r="P971">
        <f t="shared" si="29"/>
        <v>2.2497389546350943E-2</v>
      </c>
    </row>
    <row r="972" spans="1:16" x14ac:dyDescent="0.35">
      <c r="A972" s="1">
        <v>39021</v>
      </c>
      <c r="B972">
        <v>3.2527E-2</v>
      </c>
      <c r="C972">
        <v>3.1419999999999997E-2</v>
      </c>
      <c r="D972">
        <v>3.6768000000000002E-2</v>
      </c>
      <c r="E972">
        <v>3.5604999999999998E-2</v>
      </c>
      <c r="F972">
        <v>12650036400</v>
      </c>
      <c r="G972">
        <v>500</v>
      </c>
      <c r="H972">
        <v>12284784200</v>
      </c>
      <c r="I972">
        <v>500</v>
      </c>
      <c r="J972">
        <v>1377.94</v>
      </c>
      <c r="K972">
        <v>3.1508000000000001E-2</v>
      </c>
      <c r="L972">
        <v>0.41</v>
      </c>
      <c r="M972">
        <v>201.9</v>
      </c>
      <c r="N972">
        <f t="shared" si="27"/>
        <v>3.7129646359584045E-2</v>
      </c>
      <c r="O972">
        <f t="shared" si="28"/>
        <v>8.5759286775630716E-3</v>
      </c>
      <c r="P972">
        <f t="shared" si="29"/>
        <v>2.8553717682020974E-2</v>
      </c>
    </row>
    <row r="973" spans="1:16" x14ac:dyDescent="0.35">
      <c r="A973" s="1">
        <v>39051</v>
      </c>
      <c r="B973">
        <v>1.8384999999999999E-2</v>
      </c>
      <c r="C973">
        <v>1.5886999999999998E-2</v>
      </c>
      <c r="D973">
        <v>2.5339E-2</v>
      </c>
      <c r="E973">
        <v>2.3503E-2</v>
      </c>
      <c r="F973">
        <v>12854566800</v>
      </c>
      <c r="G973">
        <v>500</v>
      </c>
      <c r="H973">
        <v>12657754400</v>
      </c>
      <c r="I973">
        <v>500</v>
      </c>
      <c r="J973">
        <v>1400.63</v>
      </c>
      <c r="K973">
        <v>1.6466999999999999E-2</v>
      </c>
      <c r="L973">
        <v>0.42</v>
      </c>
      <c r="M973">
        <v>202</v>
      </c>
      <c r="N973">
        <f t="shared" si="27"/>
        <v>1.7880849009901167E-2</v>
      </c>
      <c r="O973">
        <f t="shared" si="28"/>
        <v>3.7028712871287617E-3</v>
      </c>
      <c r="P973">
        <f t="shared" si="29"/>
        <v>1.4177977722772406E-2</v>
      </c>
    </row>
    <row r="974" spans="1:16" x14ac:dyDescent="0.35">
      <c r="A974" s="1">
        <v>39080</v>
      </c>
      <c r="B974">
        <v>1.3768000000000001E-2</v>
      </c>
      <c r="C974">
        <v>1.2293999999999999E-2</v>
      </c>
      <c r="D974">
        <v>8.267E-3</v>
      </c>
      <c r="E974">
        <v>6.7089999999999997E-3</v>
      </c>
      <c r="F974">
        <v>13029473900</v>
      </c>
      <c r="G974">
        <v>500</v>
      </c>
      <c r="H974">
        <v>12867573700</v>
      </c>
      <c r="I974">
        <v>500</v>
      </c>
      <c r="J974">
        <v>1418.3</v>
      </c>
      <c r="K974">
        <v>1.2616E-2</v>
      </c>
      <c r="L974">
        <v>0.4</v>
      </c>
      <c r="M974">
        <v>203.1</v>
      </c>
      <c r="N974">
        <f t="shared" si="27"/>
        <v>8.2773806006892769E-3</v>
      </c>
      <c r="O974">
        <f t="shared" si="28"/>
        <v>-1.4377154111275825E-3</v>
      </c>
      <c r="P974">
        <f t="shared" si="29"/>
        <v>9.7150960118168594E-3</v>
      </c>
    </row>
    <row r="975" spans="1:16" x14ac:dyDescent="0.35">
      <c r="A975" s="1">
        <v>39113</v>
      </c>
      <c r="B975">
        <v>1.5313E-2</v>
      </c>
      <c r="C975">
        <v>1.4345E-2</v>
      </c>
      <c r="D975">
        <v>2.3824999999999999E-2</v>
      </c>
      <c r="E975">
        <v>2.3078000000000001E-2</v>
      </c>
      <c r="F975">
        <v>13216988300</v>
      </c>
      <c r="G975">
        <v>500</v>
      </c>
      <c r="H975">
        <v>12972393100</v>
      </c>
      <c r="I975">
        <v>500</v>
      </c>
      <c r="J975">
        <v>1438.24</v>
      </c>
      <c r="K975">
        <v>1.4059E-2</v>
      </c>
      <c r="L975">
        <v>0.44</v>
      </c>
      <c r="M975">
        <v>203.43700000000001</v>
      </c>
      <c r="N975">
        <f t="shared" si="27"/>
        <v>1.3631101028819703E-2</v>
      </c>
      <c r="O975">
        <f t="shared" si="28"/>
        <v>2.7361787678741312E-3</v>
      </c>
      <c r="P975">
        <f t="shared" si="29"/>
        <v>1.0894922260945572E-2</v>
      </c>
    </row>
    <row r="976" spans="1:16" x14ac:dyDescent="0.35">
      <c r="A976" s="1">
        <v>39141</v>
      </c>
      <c r="B976">
        <v>-1.9288E-2</v>
      </c>
      <c r="C976">
        <v>-2.1597999999999999E-2</v>
      </c>
      <c r="D976">
        <v>-3.0430000000000001E-3</v>
      </c>
      <c r="E976">
        <v>-4.5040000000000002E-3</v>
      </c>
      <c r="F976">
        <v>12895749800</v>
      </c>
      <c r="G976">
        <v>500</v>
      </c>
      <c r="H976">
        <v>13206465300</v>
      </c>
      <c r="I976">
        <v>500</v>
      </c>
      <c r="J976">
        <v>1406.82</v>
      </c>
      <c r="K976">
        <v>-2.1846000000000001E-2</v>
      </c>
      <c r="L976">
        <v>0.38</v>
      </c>
      <c r="M976">
        <v>204.226</v>
      </c>
      <c r="N976">
        <f t="shared" si="27"/>
        <v>-2.3076850430405416E-2</v>
      </c>
      <c r="O976">
        <f t="shared" si="28"/>
        <v>-7.8047848951601217E-5</v>
      </c>
      <c r="P976">
        <f t="shared" si="29"/>
        <v>-2.2998802581453814E-2</v>
      </c>
    </row>
    <row r="977" spans="1:16" x14ac:dyDescent="0.35">
      <c r="A977" s="1">
        <v>39171</v>
      </c>
      <c r="B977">
        <v>1.0893999999999999E-2</v>
      </c>
      <c r="C977">
        <v>9.6790000000000001E-3</v>
      </c>
      <c r="D977">
        <v>7.339E-3</v>
      </c>
      <c r="E977">
        <v>5.9829999999999996E-3</v>
      </c>
      <c r="F977">
        <v>13005460000</v>
      </c>
      <c r="G977">
        <v>500</v>
      </c>
      <c r="H977">
        <v>12867485600</v>
      </c>
      <c r="I977">
        <v>500</v>
      </c>
      <c r="J977">
        <v>1420.86</v>
      </c>
      <c r="K977">
        <v>9.9799999999999993E-3</v>
      </c>
      <c r="L977">
        <v>0.43</v>
      </c>
      <c r="M977">
        <v>205.28800000000001</v>
      </c>
      <c r="N977">
        <f t="shared" si="27"/>
        <v>5.6644228790772022E-3</v>
      </c>
      <c r="O977">
        <f t="shared" si="28"/>
        <v>-8.9546490783687371E-4</v>
      </c>
      <c r="P977">
        <f t="shared" si="29"/>
        <v>6.5598877869140759E-3</v>
      </c>
    </row>
    <row r="978" spans="1:16" x14ac:dyDescent="0.35">
      <c r="A978" s="1">
        <v>39202</v>
      </c>
      <c r="B978">
        <v>4.3991000000000002E-2</v>
      </c>
      <c r="C978">
        <v>4.2856999999999999E-2</v>
      </c>
      <c r="D978">
        <v>4.3293999999999999E-2</v>
      </c>
      <c r="E978">
        <v>4.1862000000000003E-2</v>
      </c>
      <c r="F978">
        <v>13537491500</v>
      </c>
      <c r="G978">
        <v>500</v>
      </c>
      <c r="H978">
        <v>13015747100</v>
      </c>
      <c r="I978">
        <v>500</v>
      </c>
      <c r="J978">
        <v>1482.37</v>
      </c>
      <c r="K978">
        <v>4.3291000000000003E-2</v>
      </c>
      <c r="L978">
        <v>0.44</v>
      </c>
      <c r="M978">
        <v>205.904</v>
      </c>
      <c r="N978">
        <f t="shared" si="27"/>
        <v>4.0867707319916402E-2</v>
      </c>
      <c r="O978">
        <f t="shared" si="28"/>
        <v>1.3951511383945014E-3</v>
      </c>
      <c r="P978">
        <f t="shared" si="29"/>
        <v>3.9472556181521901E-2</v>
      </c>
    </row>
    <row r="979" spans="1:16" x14ac:dyDescent="0.35">
      <c r="A979" s="1">
        <v>39233</v>
      </c>
      <c r="B979">
        <v>3.4458999999999997E-2</v>
      </c>
      <c r="C979">
        <v>3.2154000000000002E-2</v>
      </c>
      <c r="D979">
        <v>3.2550000000000003E-2</v>
      </c>
      <c r="E979">
        <v>3.0964999999999999E-2</v>
      </c>
      <c r="F979">
        <v>13933484500</v>
      </c>
      <c r="G979">
        <v>500</v>
      </c>
      <c r="H979">
        <v>13535501400</v>
      </c>
      <c r="I979">
        <v>500</v>
      </c>
      <c r="J979">
        <v>1530.62</v>
      </c>
      <c r="K979">
        <v>3.2549000000000002E-2</v>
      </c>
      <c r="L979">
        <v>0.41</v>
      </c>
      <c r="M979">
        <v>206.755</v>
      </c>
      <c r="N979">
        <f t="shared" si="27"/>
        <v>3.0201184667843606E-2</v>
      </c>
      <c r="O979">
        <f t="shared" si="28"/>
        <v>-3.2858213828035332E-5</v>
      </c>
      <c r="P979">
        <f t="shared" si="29"/>
        <v>3.0234042881671641E-2</v>
      </c>
    </row>
    <row r="980" spans="1:16" x14ac:dyDescent="0.35">
      <c r="A980" s="1">
        <v>39262</v>
      </c>
      <c r="B980">
        <v>-1.6619999999999999E-2</v>
      </c>
      <c r="C980">
        <v>-1.7829000000000001E-2</v>
      </c>
      <c r="D980">
        <v>-1.8467999999999998E-2</v>
      </c>
      <c r="E980">
        <v>-1.9701E-2</v>
      </c>
      <c r="F980">
        <v>13663735800</v>
      </c>
      <c r="G980">
        <v>500</v>
      </c>
      <c r="H980">
        <v>13936166800</v>
      </c>
      <c r="I980">
        <v>500</v>
      </c>
      <c r="J980">
        <v>1503.35</v>
      </c>
      <c r="K980">
        <v>-1.7815999999999999E-2</v>
      </c>
      <c r="L980">
        <v>0.4</v>
      </c>
      <c r="M980">
        <v>207.23400000000001</v>
      </c>
      <c r="N980">
        <f t="shared" si="27"/>
        <v>-1.8892981364061923E-2</v>
      </c>
      <c r="O980">
        <f t="shared" si="28"/>
        <v>1.6793576343649974E-3</v>
      </c>
      <c r="P980">
        <f t="shared" si="29"/>
        <v>-2.057233899842692E-2</v>
      </c>
    </row>
    <row r="981" spans="1:16" x14ac:dyDescent="0.35">
      <c r="A981" s="1">
        <v>39294</v>
      </c>
      <c r="B981">
        <v>-3.1196999999999999E-2</v>
      </c>
      <c r="C981">
        <v>-3.2282999999999999E-2</v>
      </c>
      <c r="D981">
        <v>-4.5079000000000001E-2</v>
      </c>
      <c r="E981">
        <v>-4.5902999999999999E-2</v>
      </c>
      <c r="F981">
        <v>13193201500</v>
      </c>
      <c r="G981">
        <v>500</v>
      </c>
      <c r="H981">
        <v>13704900700</v>
      </c>
      <c r="I981">
        <v>500</v>
      </c>
      <c r="J981">
        <v>1455.27</v>
      </c>
      <c r="K981">
        <v>-3.1981999999999997E-2</v>
      </c>
      <c r="L981">
        <v>0.4</v>
      </c>
      <c r="M981">
        <v>207.60300000000001</v>
      </c>
      <c r="N981">
        <f t="shared" si="27"/>
        <v>-3.2918980448259472E-2</v>
      </c>
      <c r="O981">
        <f t="shared" si="28"/>
        <v>2.2154593141716639E-3</v>
      </c>
      <c r="P981">
        <f t="shared" si="29"/>
        <v>-3.5134439762431136E-2</v>
      </c>
    </row>
    <row r="982" spans="1:16" x14ac:dyDescent="0.35">
      <c r="A982" s="1">
        <v>39325</v>
      </c>
      <c r="B982">
        <v>1.5094E-2</v>
      </c>
      <c r="C982">
        <v>1.2859000000000001E-2</v>
      </c>
      <c r="D982">
        <v>8.9499999999999996E-4</v>
      </c>
      <c r="E982">
        <v>-9.8499999999999998E-4</v>
      </c>
      <c r="F982">
        <v>13330873000</v>
      </c>
      <c r="G982">
        <v>500</v>
      </c>
      <c r="H982">
        <v>13194042000</v>
      </c>
      <c r="I982">
        <v>500</v>
      </c>
      <c r="J982">
        <v>1473.99</v>
      </c>
      <c r="K982">
        <v>1.2864E-2</v>
      </c>
      <c r="L982">
        <v>0.42</v>
      </c>
      <c r="M982">
        <v>207.667</v>
      </c>
      <c r="N982">
        <f t="shared" si="27"/>
        <v>1.4781162543880288E-2</v>
      </c>
      <c r="O982">
        <f t="shared" si="28"/>
        <v>3.8905199189087636E-3</v>
      </c>
      <c r="P982">
        <f t="shared" si="29"/>
        <v>1.0890642624971525E-2</v>
      </c>
    </row>
    <row r="983" spans="1:16" x14ac:dyDescent="0.35">
      <c r="A983" s="1">
        <v>39353</v>
      </c>
      <c r="B983">
        <v>3.7468000000000001E-2</v>
      </c>
      <c r="C983">
        <v>3.5922999999999997E-2</v>
      </c>
      <c r="D983">
        <v>2.4308E-2</v>
      </c>
      <c r="E983">
        <v>2.2877000000000002E-2</v>
      </c>
      <c r="F983">
        <v>13769329400</v>
      </c>
      <c r="G983">
        <v>500</v>
      </c>
      <c r="H983">
        <v>13312796200</v>
      </c>
      <c r="I983">
        <v>500</v>
      </c>
      <c r="J983">
        <v>1526.75</v>
      </c>
      <c r="K983">
        <v>3.5793999999999999E-2</v>
      </c>
      <c r="L983">
        <v>0.32</v>
      </c>
      <c r="M983">
        <v>208.547</v>
      </c>
      <c r="N983">
        <f t="shared" si="27"/>
        <v>3.3090225014025698E-2</v>
      </c>
      <c r="O983">
        <f t="shared" si="28"/>
        <v>-1.0331752554579854E-3</v>
      </c>
      <c r="P983">
        <f t="shared" si="29"/>
        <v>3.4123400269483684E-2</v>
      </c>
    </row>
    <row r="984" spans="1:16" x14ac:dyDescent="0.35">
      <c r="A984" s="1">
        <v>39386</v>
      </c>
      <c r="B984">
        <v>1.736E-2</v>
      </c>
      <c r="C984">
        <v>1.6292000000000001E-2</v>
      </c>
      <c r="D984">
        <v>1.3447000000000001E-2</v>
      </c>
      <c r="E984">
        <v>1.2614999999999999E-2</v>
      </c>
      <c r="F984">
        <v>13950967000</v>
      </c>
      <c r="G984">
        <v>500</v>
      </c>
      <c r="H984">
        <v>13752503800</v>
      </c>
      <c r="I984">
        <v>500</v>
      </c>
      <c r="J984">
        <v>1549.38</v>
      </c>
      <c r="K984">
        <v>1.4822E-2</v>
      </c>
      <c r="L984">
        <v>0.32</v>
      </c>
      <c r="M984">
        <v>209.19</v>
      </c>
      <c r="N984">
        <f t="shared" si="27"/>
        <v>1.4232878818299266E-2</v>
      </c>
      <c r="O984">
        <f t="shared" si="28"/>
        <v>1.1640326975492776E-4</v>
      </c>
      <c r="P984">
        <f t="shared" si="29"/>
        <v>1.4116475548544338E-2</v>
      </c>
    </row>
    <row r="985" spans="1:16" x14ac:dyDescent="0.35">
      <c r="A985" s="1">
        <v>39416</v>
      </c>
      <c r="B985">
        <v>-4.1382000000000002E-2</v>
      </c>
      <c r="C985">
        <v>-4.3581000000000002E-2</v>
      </c>
      <c r="D985">
        <v>-4.9792999999999997E-2</v>
      </c>
      <c r="E985">
        <v>-5.1698000000000001E-2</v>
      </c>
      <c r="F985">
        <v>13292003200</v>
      </c>
      <c r="G985">
        <v>500</v>
      </c>
      <c r="H985">
        <v>13948578900</v>
      </c>
      <c r="I985">
        <v>500</v>
      </c>
      <c r="J985">
        <v>1481.14</v>
      </c>
      <c r="K985">
        <v>-4.4042999999999999E-2</v>
      </c>
      <c r="L985">
        <v>0.34</v>
      </c>
      <c r="M985">
        <v>210.834</v>
      </c>
      <c r="N985">
        <f t="shared" si="27"/>
        <v>-4.8856923361507265E-2</v>
      </c>
      <c r="O985">
        <f t="shared" si="28"/>
        <v>-4.4241156549702509E-3</v>
      </c>
      <c r="P985">
        <f t="shared" si="29"/>
        <v>-4.4432807706537014E-2</v>
      </c>
    </row>
    <row r="986" spans="1:16" x14ac:dyDescent="0.35">
      <c r="A986" s="1">
        <v>39447</v>
      </c>
      <c r="B986">
        <v>-6.1159999999999999E-3</v>
      </c>
      <c r="C986">
        <v>-7.9030000000000003E-3</v>
      </c>
      <c r="D986">
        <v>-1.6719000000000001E-2</v>
      </c>
      <c r="E986">
        <v>-1.8747E-2</v>
      </c>
      <c r="F986">
        <v>13192721100</v>
      </c>
      <c r="G986">
        <v>500</v>
      </c>
      <c r="H986">
        <v>13301362400</v>
      </c>
      <c r="I986">
        <v>500</v>
      </c>
      <c r="J986">
        <v>1468.36</v>
      </c>
      <c r="K986">
        <v>-8.6280000000000003E-3</v>
      </c>
      <c r="L986">
        <v>0.27</v>
      </c>
      <c r="M986">
        <v>211.44499999999999</v>
      </c>
      <c r="N986">
        <f t="shared" si="27"/>
        <v>-8.9879672917306808E-3</v>
      </c>
      <c r="O986">
        <f t="shared" si="28"/>
        <v>-1.9744236089758171E-4</v>
      </c>
      <c r="P986">
        <f t="shared" si="29"/>
        <v>-8.790524930833099E-3</v>
      </c>
    </row>
    <row r="987" spans="1:16" x14ac:dyDescent="0.35">
      <c r="A987" s="1">
        <v>39478</v>
      </c>
      <c r="B987">
        <v>-6.1165999999999998E-2</v>
      </c>
      <c r="C987">
        <v>-6.2331999999999999E-2</v>
      </c>
      <c r="D987">
        <v>-4.5038000000000002E-2</v>
      </c>
      <c r="E987">
        <v>-4.5904E-2</v>
      </c>
      <c r="F987">
        <v>12349759000</v>
      </c>
      <c r="G987">
        <v>500</v>
      </c>
      <c r="H987">
        <v>13184199300</v>
      </c>
      <c r="I987">
        <v>500</v>
      </c>
      <c r="J987">
        <v>1378.55</v>
      </c>
      <c r="K987">
        <v>-6.1163000000000002E-2</v>
      </c>
      <c r="L987">
        <v>0.21</v>
      </c>
      <c r="M987">
        <v>212.17400000000001</v>
      </c>
      <c r="N987">
        <f t="shared" ref="N987:N1050" si="30">(1+B987)*M986/M987-1</f>
        <v>-6.4391701480860153E-2</v>
      </c>
      <c r="O987">
        <f t="shared" ref="O987:O1050" si="31">(1+L987/100)*M986/M987-1</f>
        <v>-1.3430745520187637E-3</v>
      </c>
      <c r="P987">
        <f t="shared" ref="P987:P1050" si="32">N987-O987</f>
        <v>-6.3048626928841389E-2</v>
      </c>
    </row>
    <row r="988" spans="1:16" x14ac:dyDescent="0.35">
      <c r="A988" s="1">
        <v>39507</v>
      </c>
      <c r="B988">
        <v>-3.1419000000000002E-2</v>
      </c>
      <c r="C988">
        <v>-3.3693000000000001E-2</v>
      </c>
      <c r="D988">
        <v>-2.9500999999999999E-2</v>
      </c>
      <c r="E988">
        <v>-3.1274000000000003E-2</v>
      </c>
      <c r="F988">
        <v>11878113100</v>
      </c>
      <c r="G988">
        <v>500</v>
      </c>
      <c r="H988">
        <v>12349759000</v>
      </c>
      <c r="I988">
        <v>500</v>
      </c>
      <c r="J988">
        <v>1330.63</v>
      </c>
      <c r="K988">
        <v>-3.4761E-2</v>
      </c>
      <c r="L988">
        <v>0.13</v>
      </c>
      <c r="M988">
        <v>212.68700000000001</v>
      </c>
      <c r="N988">
        <f t="shared" si="30"/>
        <v>-3.3755212617602393E-2</v>
      </c>
      <c r="O988">
        <f t="shared" si="31"/>
        <v>-1.1151306849971343E-3</v>
      </c>
      <c r="P988">
        <f t="shared" si="32"/>
        <v>-3.2640081932605258E-2</v>
      </c>
    </row>
    <row r="989" spans="1:16" x14ac:dyDescent="0.35">
      <c r="A989" s="1">
        <v>39538</v>
      </c>
      <c r="B989">
        <v>-3.3999999999999998E-3</v>
      </c>
      <c r="C989">
        <v>-5.0540000000000003E-3</v>
      </c>
      <c r="D989">
        <v>-1.2729000000000001E-2</v>
      </c>
      <c r="E989">
        <v>-1.4527999999999999E-2</v>
      </c>
      <c r="F989">
        <v>11811627200</v>
      </c>
      <c r="G989">
        <v>500</v>
      </c>
      <c r="H989">
        <v>11876323400</v>
      </c>
      <c r="I989">
        <v>499</v>
      </c>
      <c r="J989">
        <v>1322.7</v>
      </c>
      <c r="K989">
        <v>-5.96E-3</v>
      </c>
      <c r="L989">
        <v>0.17</v>
      </c>
      <c r="M989">
        <v>213.44800000000001</v>
      </c>
      <c r="N989">
        <f t="shared" si="30"/>
        <v>-6.9531492447808541E-3</v>
      </c>
      <c r="O989">
        <f t="shared" si="31"/>
        <v>-1.8713321277312733E-3</v>
      </c>
      <c r="P989">
        <f t="shared" si="32"/>
        <v>-5.0818171170495807E-3</v>
      </c>
    </row>
    <row r="990" spans="1:16" x14ac:dyDescent="0.35">
      <c r="A990" s="1">
        <v>39568</v>
      </c>
      <c r="B990">
        <v>4.8628999999999999E-2</v>
      </c>
      <c r="C990">
        <v>4.7489999999999997E-2</v>
      </c>
      <c r="D990">
        <v>5.2408999999999997E-2</v>
      </c>
      <c r="E990">
        <v>5.1515999999999999E-2</v>
      </c>
      <c r="F990">
        <v>12355628500</v>
      </c>
      <c r="G990">
        <v>500</v>
      </c>
      <c r="H990">
        <v>11811627200</v>
      </c>
      <c r="I990">
        <v>500</v>
      </c>
      <c r="J990">
        <v>1385.59</v>
      </c>
      <c r="K990">
        <v>4.7546999999999999E-2</v>
      </c>
      <c r="L990">
        <v>0.18</v>
      </c>
      <c r="M990">
        <v>213.94200000000001</v>
      </c>
      <c r="N990">
        <f t="shared" si="30"/>
        <v>4.6207676809602694E-2</v>
      </c>
      <c r="O990">
        <f t="shared" si="31"/>
        <v>-5.1319329537902192E-4</v>
      </c>
      <c r="P990">
        <f t="shared" si="32"/>
        <v>4.6720870104981715E-2</v>
      </c>
    </row>
    <row r="991" spans="1:16" x14ac:dyDescent="0.35">
      <c r="A991" s="1">
        <v>39598</v>
      </c>
      <c r="B991">
        <v>1.2985999999999999E-2</v>
      </c>
      <c r="C991">
        <v>1.0708000000000001E-2</v>
      </c>
      <c r="D991">
        <v>2.5676999999999998E-2</v>
      </c>
      <c r="E991">
        <v>2.3675000000000002E-2</v>
      </c>
      <c r="F991">
        <v>12480087000</v>
      </c>
      <c r="G991">
        <v>500</v>
      </c>
      <c r="H991">
        <v>12355628500</v>
      </c>
      <c r="I991">
        <v>500</v>
      </c>
      <c r="J991">
        <v>1400.38</v>
      </c>
      <c r="K991">
        <v>1.0673999999999999E-2</v>
      </c>
      <c r="L991">
        <v>0.18</v>
      </c>
      <c r="M991">
        <v>215.208</v>
      </c>
      <c r="N991">
        <f t="shared" si="30"/>
        <v>7.0269265640681144E-3</v>
      </c>
      <c r="O991">
        <f t="shared" si="31"/>
        <v>-4.0932697669231466E-3</v>
      </c>
      <c r="P991">
        <f t="shared" si="32"/>
        <v>1.1120196330991261E-2</v>
      </c>
    </row>
    <row r="992" spans="1:16" x14ac:dyDescent="0.35">
      <c r="A992" s="1">
        <v>39629</v>
      </c>
      <c r="B992">
        <v>-8.2841999999999999E-2</v>
      </c>
      <c r="C992">
        <v>-8.4569000000000005E-2</v>
      </c>
      <c r="D992">
        <v>-9.8363000000000006E-2</v>
      </c>
      <c r="E992">
        <v>-0.100078</v>
      </c>
      <c r="F992">
        <v>11454626800</v>
      </c>
      <c r="G992">
        <v>500</v>
      </c>
      <c r="H992">
        <v>12502599700</v>
      </c>
      <c r="I992">
        <v>499</v>
      </c>
      <c r="J992">
        <v>1280</v>
      </c>
      <c r="K992">
        <v>-8.5961999999999997E-2</v>
      </c>
      <c r="L992">
        <v>0.17</v>
      </c>
      <c r="M992">
        <v>217.46299999999999</v>
      </c>
      <c r="N992">
        <f t="shared" si="30"/>
        <v>-9.2352543356800765E-2</v>
      </c>
      <c r="O992">
        <f t="shared" si="31"/>
        <v>-8.6872083986700988E-3</v>
      </c>
      <c r="P992">
        <f t="shared" si="32"/>
        <v>-8.3665334958130666E-2</v>
      </c>
    </row>
    <row r="993" spans="1:16" x14ac:dyDescent="0.35">
      <c r="A993" s="1">
        <v>39660</v>
      </c>
      <c r="B993">
        <v>-7.306E-3</v>
      </c>
      <c r="C993">
        <v>-8.7379999999999992E-3</v>
      </c>
      <c r="D993">
        <v>-3.6410000000000001E-3</v>
      </c>
      <c r="E993">
        <v>-4.8939999999999999E-3</v>
      </c>
      <c r="F993">
        <v>11345697700</v>
      </c>
      <c r="G993">
        <v>500</v>
      </c>
      <c r="H993">
        <v>11452024700</v>
      </c>
      <c r="I993">
        <v>500</v>
      </c>
      <c r="J993">
        <v>1267.3800000000001</v>
      </c>
      <c r="K993">
        <v>-9.8589999999999997E-3</v>
      </c>
      <c r="L993">
        <v>0.15</v>
      </c>
      <c r="M993">
        <v>219.01599999999999</v>
      </c>
      <c r="N993">
        <f t="shared" si="30"/>
        <v>-1.434500072140843E-2</v>
      </c>
      <c r="O993">
        <f t="shared" si="31"/>
        <v>-5.6014423603754082E-3</v>
      </c>
      <c r="P993">
        <f t="shared" si="32"/>
        <v>-8.7435583610330214E-3</v>
      </c>
    </row>
    <row r="994" spans="1:16" x14ac:dyDescent="0.35">
      <c r="A994" s="1">
        <v>39689</v>
      </c>
      <c r="B994">
        <v>1.4955E-2</v>
      </c>
      <c r="C994">
        <v>1.2682000000000001E-2</v>
      </c>
      <c r="D994">
        <v>2.8358999999999999E-2</v>
      </c>
      <c r="E994">
        <v>2.6311999999999999E-2</v>
      </c>
      <c r="F994">
        <v>11492578600</v>
      </c>
      <c r="G994">
        <v>500</v>
      </c>
      <c r="H994">
        <v>11346985200</v>
      </c>
      <c r="I994">
        <v>500</v>
      </c>
      <c r="J994">
        <v>1282.83</v>
      </c>
      <c r="K994">
        <v>1.2191E-2</v>
      </c>
      <c r="L994">
        <v>0.13</v>
      </c>
      <c r="M994">
        <v>218.69</v>
      </c>
      <c r="N994">
        <f t="shared" si="30"/>
        <v>1.6467987928117322E-2</v>
      </c>
      <c r="O994">
        <f t="shared" si="31"/>
        <v>2.7926324934839375E-3</v>
      </c>
      <c r="P994">
        <f t="shared" si="32"/>
        <v>1.3675355434633385E-2</v>
      </c>
    </row>
    <row r="995" spans="1:16" x14ac:dyDescent="0.35">
      <c r="A995" s="1">
        <v>39721</v>
      </c>
      <c r="B995">
        <v>-8.5467000000000001E-2</v>
      </c>
      <c r="C995">
        <v>-8.7287000000000003E-2</v>
      </c>
      <c r="D995">
        <v>-0.10338799999999999</v>
      </c>
      <c r="E995">
        <v>-0.105272</v>
      </c>
      <c r="F995">
        <v>10506424200</v>
      </c>
      <c r="G995">
        <v>499</v>
      </c>
      <c r="H995">
        <v>11493547800</v>
      </c>
      <c r="I995">
        <v>499</v>
      </c>
      <c r="J995">
        <v>1166.3599999999999</v>
      </c>
      <c r="K995">
        <v>-9.0790999999999997E-2</v>
      </c>
      <c r="L995">
        <v>0.15</v>
      </c>
      <c r="M995">
        <v>218.87700000000001</v>
      </c>
      <c r="N995">
        <f t="shared" si="30"/>
        <v>-8.6248341442910825E-2</v>
      </c>
      <c r="O995">
        <f t="shared" si="31"/>
        <v>6.4435733311407617E-4</v>
      </c>
      <c r="P995">
        <f t="shared" si="32"/>
        <v>-8.6892698776024901E-2</v>
      </c>
    </row>
    <row r="996" spans="1:16" x14ac:dyDescent="0.35">
      <c r="A996" s="1">
        <v>39752</v>
      </c>
      <c r="B996">
        <v>-0.16697999999999999</v>
      </c>
      <c r="C996">
        <v>-0.16845499999999999</v>
      </c>
      <c r="D996">
        <v>-0.207562</v>
      </c>
      <c r="E996">
        <v>-0.208677</v>
      </c>
      <c r="F996">
        <v>8721274810</v>
      </c>
      <c r="G996">
        <v>500</v>
      </c>
      <c r="H996">
        <v>10510542900</v>
      </c>
      <c r="I996">
        <v>500</v>
      </c>
      <c r="J996">
        <v>968.75</v>
      </c>
      <c r="K996">
        <v>-0.16942499999999999</v>
      </c>
      <c r="L996">
        <v>0.08</v>
      </c>
      <c r="M996">
        <v>216.995</v>
      </c>
      <c r="N996">
        <f t="shared" si="30"/>
        <v>-0.15975520846102442</v>
      </c>
      <c r="O996">
        <f t="shared" si="31"/>
        <v>9.4799493075876651E-3</v>
      </c>
      <c r="P996">
        <f t="shared" si="32"/>
        <v>-0.16923515776861209</v>
      </c>
    </row>
    <row r="997" spans="1:16" x14ac:dyDescent="0.35">
      <c r="A997" s="1">
        <v>39780</v>
      </c>
      <c r="B997">
        <v>-7.3511999999999994E-2</v>
      </c>
      <c r="C997">
        <v>-7.6513999999999999E-2</v>
      </c>
      <c r="D997">
        <v>-0.103635</v>
      </c>
      <c r="E997">
        <v>-0.10657899999999999</v>
      </c>
      <c r="F997">
        <v>8037282260</v>
      </c>
      <c r="G997">
        <v>500</v>
      </c>
      <c r="H997">
        <v>8696505310</v>
      </c>
      <c r="I997">
        <v>500</v>
      </c>
      <c r="J997">
        <v>896.24</v>
      </c>
      <c r="K997">
        <v>-7.4848999999999999E-2</v>
      </c>
      <c r="L997">
        <v>0.03</v>
      </c>
      <c r="M997">
        <v>213.15299999999999</v>
      </c>
      <c r="N997">
        <f t="shared" si="30"/>
        <v>-5.6812413806045403E-2</v>
      </c>
      <c r="O997">
        <f t="shared" si="31"/>
        <v>1.8330018812777737E-2</v>
      </c>
      <c r="P997">
        <f t="shared" si="32"/>
        <v>-7.5142432618823141E-2</v>
      </c>
    </row>
    <row r="998" spans="1:16" x14ac:dyDescent="0.35">
      <c r="A998" s="1">
        <v>39813</v>
      </c>
      <c r="B998">
        <v>1.1995E-2</v>
      </c>
      <c r="C998">
        <v>9.2289999999999994E-3</v>
      </c>
      <c r="D998">
        <v>4.4006999999999998E-2</v>
      </c>
      <c r="E998">
        <v>4.0641999999999998E-2</v>
      </c>
      <c r="F998">
        <v>8109042730</v>
      </c>
      <c r="G998">
        <v>500</v>
      </c>
      <c r="H998">
        <v>8021519600</v>
      </c>
      <c r="I998">
        <v>500</v>
      </c>
      <c r="J998">
        <v>903.25</v>
      </c>
      <c r="K998">
        <v>7.8220000000000008E-3</v>
      </c>
      <c r="L998">
        <v>0</v>
      </c>
      <c r="M998">
        <v>211.398</v>
      </c>
      <c r="N998">
        <f t="shared" si="30"/>
        <v>2.0396457085686714E-2</v>
      </c>
      <c r="O998">
        <f t="shared" si="31"/>
        <v>8.3018760820821047E-3</v>
      </c>
      <c r="P998">
        <f t="shared" si="32"/>
        <v>1.209458100360461E-2</v>
      </c>
    </row>
    <row r="999" spans="1:16" x14ac:dyDescent="0.35">
      <c r="A999" s="1">
        <v>39843</v>
      </c>
      <c r="B999">
        <v>-8.2614999999999994E-2</v>
      </c>
      <c r="C999">
        <v>-8.4039000000000003E-2</v>
      </c>
      <c r="D999">
        <v>-7.8401999999999999E-2</v>
      </c>
      <c r="E999">
        <v>-7.9269999999999993E-2</v>
      </c>
      <c r="F999">
        <v>7435705930</v>
      </c>
      <c r="G999">
        <v>500</v>
      </c>
      <c r="H999">
        <v>8084926970</v>
      </c>
      <c r="I999">
        <v>500</v>
      </c>
      <c r="J999">
        <v>825.88</v>
      </c>
      <c r="K999">
        <v>-8.5656999999999997E-2</v>
      </c>
      <c r="L999">
        <v>0</v>
      </c>
      <c r="M999">
        <v>211.93299999999999</v>
      </c>
      <c r="N999">
        <f t="shared" si="30"/>
        <v>-8.493083082861097E-2</v>
      </c>
      <c r="O999">
        <f t="shared" si="31"/>
        <v>-2.5243827058550883E-3</v>
      </c>
      <c r="P999">
        <f t="shared" si="32"/>
        <v>-8.2406448122755882E-2</v>
      </c>
    </row>
    <row r="1000" spans="1:16" x14ac:dyDescent="0.35">
      <c r="A1000" s="1">
        <v>39871</v>
      </c>
      <c r="B1000">
        <v>-0.103588</v>
      </c>
      <c r="C1000">
        <v>-0.107402</v>
      </c>
      <c r="D1000">
        <v>-0.116939</v>
      </c>
      <c r="E1000">
        <v>-0.119918</v>
      </c>
      <c r="F1000">
        <v>6617839300</v>
      </c>
      <c r="G1000">
        <v>500</v>
      </c>
      <c r="H1000">
        <v>7436841000</v>
      </c>
      <c r="I1000">
        <v>500</v>
      </c>
      <c r="J1000">
        <v>735.09</v>
      </c>
      <c r="K1000">
        <v>-0.109931</v>
      </c>
      <c r="L1000">
        <v>0.01</v>
      </c>
      <c r="M1000">
        <v>212.70500000000001</v>
      </c>
      <c r="N1000">
        <f t="shared" si="30"/>
        <v>-0.1068414734209352</v>
      </c>
      <c r="O1000">
        <f t="shared" si="31"/>
        <v>-3.5298027784961272E-3</v>
      </c>
      <c r="P1000">
        <f t="shared" si="32"/>
        <v>-0.10331167064243907</v>
      </c>
    </row>
    <row r="1001" spans="1:16" x14ac:dyDescent="0.35">
      <c r="A1001" s="1">
        <v>39903</v>
      </c>
      <c r="B1001">
        <v>8.7634000000000004E-2</v>
      </c>
      <c r="C1001">
        <v>8.4154000000000007E-2</v>
      </c>
      <c r="D1001">
        <v>0.10943799999999999</v>
      </c>
      <c r="E1001">
        <v>0.105672</v>
      </c>
      <c r="F1001">
        <v>7189263380</v>
      </c>
      <c r="G1001">
        <v>500</v>
      </c>
      <c r="H1001">
        <v>6632775060</v>
      </c>
      <c r="I1001">
        <v>500</v>
      </c>
      <c r="J1001">
        <v>797.87</v>
      </c>
      <c r="K1001">
        <v>8.5404999999999995E-2</v>
      </c>
      <c r="L1001">
        <v>0.02</v>
      </c>
      <c r="M1001">
        <v>212.495</v>
      </c>
      <c r="N1001">
        <f t="shared" si="30"/>
        <v>8.8708863596790533E-2</v>
      </c>
      <c r="O1001">
        <f t="shared" si="31"/>
        <v>1.1884561989694564E-3</v>
      </c>
      <c r="P1001">
        <f t="shared" si="32"/>
        <v>8.7520407397821076E-2</v>
      </c>
    </row>
    <row r="1002" spans="1:16" x14ac:dyDescent="0.35">
      <c r="A1002" s="1">
        <v>39933</v>
      </c>
      <c r="B1002">
        <v>9.4229999999999994E-2</v>
      </c>
      <c r="C1002">
        <v>9.2549999999999993E-2</v>
      </c>
      <c r="D1002">
        <v>0.18485699999999999</v>
      </c>
      <c r="E1002">
        <v>0.18356800000000001</v>
      </c>
      <c r="F1002">
        <v>7852224940</v>
      </c>
      <c r="G1002">
        <v>500</v>
      </c>
      <c r="H1002">
        <v>7177559840</v>
      </c>
      <c r="I1002">
        <v>500</v>
      </c>
      <c r="J1002">
        <v>872.81</v>
      </c>
      <c r="K1002">
        <v>9.3924999999999995E-2</v>
      </c>
      <c r="L1002">
        <v>0.01</v>
      </c>
      <c r="M1002">
        <v>212.709</v>
      </c>
      <c r="N1002">
        <f t="shared" si="30"/>
        <v>9.3129128762769797E-2</v>
      </c>
      <c r="O1002">
        <f t="shared" si="31"/>
        <v>-9.0616993169068127E-4</v>
      </c>
      <c r="P1002">
        <f t="shared" si="32"/>
        <v>9.4035298694460479E-2</v>
      </c>
    </row>
    <row r="1003" spans="1:16" x14ac:dyDescent="0.35">
      <c r="A1003" s="1">
        <v>39962</v>
      </c>
      <c r="B1003">
        <v>5.4640000000000001E-2</v>
      </c>
      <c r="C1003">
        <v>5.1847999999999998E-2</v>
      </c>
      <c r="D1003">
        <v>6.2487000000000001E-2</v>
      </c>
      <c r="E1003">
        <v>6.0109000000000003E-2</v>
      </c>
      <c r="F1003">
        <v>8290729500</v>
      </c>
      <c r="G1003">
        <v>500</v>
      </c>
      <c r="H1003">
        <v>7852224940</v>
      </c>
      <c r="I1003">
        <v>500</v>
      </c>
      <c r="J1003">
        <v>919.14</v>
      </c>
      <c r="K1003">
        <v>5.3081000000000003E-2</v>
      </c>
      <c r="L1003">
        <v>0</v>
      </c>
      <c r="M1003">
        <v>213.02199999999999</v>
      </c>
      <c r="N1003">
        <f t="shared" si="30"/>
        <v>5.3090383904009997E-2</v>
      </c>
      <c r="O1003">
        <f t="shared" si="31"/>
        <v>-1.4693318061044236E-3</v>
      </c>
      <c r="P1003">
        <f t="shared" si="32"/>
        <v>5.455971571011442E-2</v>
      </c>
    </row>
    <row r="1004" spans="1:16" x14ac:dyDescent="0.35">
      <c r="A1004" s="1">
        <v>39994</v>
      </c>
      <c r="B1004">
        <v>2.4759999999999999E-3</v>
      </c>
      <c r="C1004">
        <v>6.8000000000000005E-4</v>
      </c>
      <c r="D1004">
        <v>-4.6509999999999998E-3</v>
      </c>
      <c r="E1004">
        <v>-6.6309999999999997E-3</v>
      </c>
      <c r="F1004">
        <v>8329679160</v>
      </c>
      <c r="G1004">
        <v>500</v>
      </c>
      <c r="H1004">
        <v>8278594410</v>
      </c>
      <c r="I1004">
        <v>500</v>
      </c>
      <c r="J1004">
        <v>919.32</v>
      </c>
      <c r="K1004">
        <v>1.9599999999999999E-4</v>
      </c>
      <c r="L1004">
        <v>0.01</v>
      </c>
      <c r="M1004">
        <v>214.79</v>
      </c>
      <c r="N1004">
        <f t="shared" si="30"/>
        <v>-5.7756763722706106E-3</v>
      </c>
      <c r="O1004">
        <f t="shared" si="31"/>
        <v>-8.1321188137249978E-3</v>
      </c>
      <c r="P1004">
        <f t="shared" si="32"/>
        <v>2.3564424414543872E-3</v>
      </c>
    </row>
    <row r="1005" spans="1:16" x14ac:dyDescent="0.35">
      <c r="A1005" s="1">
        <v>40025</v>
      </c>
      <c r="B1005">
        <v>7.4482000000000007E-2</v>
      </c>
      <c r="C1005">
        <v>7.3100999999999999E-2</v>
      </c>
      <c r="D1005">
        <v>9.3927999999999998E-2</v>
      </c>
      <c r="E1005">
        <v>9.3046000000000004E-2</v>
      </c>
      <c r="F1005">
        <v>8959336070</v>
      </c>
      <c r="G1005">
        <v>500</v>
      </c>
      <c r="H1005">
        <v>8330426710</v>
      </c>
      <c r="I1005">
        <v>500</v>
      </c>
      <c r="J1005">
        <v>987.48</v>
      </c>
      <c r="K1005">
        <v>7.4142E-2</v>
      </c>
      <c r="L1005">
        <v>0.01</v>
      </c>
      <c r="M1005">
        <v>214.726</v>
      </c>
      <c r="N1005">
        <f t="shared" si="30"/>
        <v>7.4802253942233277E-2</v>
      </c>
      <c r="O1005">
        <f t="shared" si="31"/>
        <v>3.9808406993091516E-4</v>
      </c>
      <c r="P1005">
        <f t="shared" si="32"/>
        <v>7.4404169872302361E-2</v>
      </c>
    </row>
    <row r="1006" spans="1:16" x14ac:dyDescent="0.35">
      <c r="A1006" s="1">
        <v>40056</v>
      </c>
      <c r="B1006">
        <v>3.4750999999999997E-2</v>
      </c>
      <c r="C1006">
        <v>3.2254999999999999E-2</v>
      </c>
      <c r="D1006">
        <v>5.7828999999999998E-2</v>
      </c>
      <c r="E1006">
        <v>5.5676999999999997E-2</v>
      </c>
      <c r="F1006">
        <v>9286963800</v>
      </c>
      <c r="G1006">
        <v>500</v>
      </c>
      <c r="H1006">
        <v>8961503740</v>
      </c>
      <c r="I1006">
        <v>500</v>
      </c>
      <c r="J1006">
        <v>1020.62</v>
      </c>
      <c r="K1006">
        <v>3.356E-2</v>
      </c>
      <c r="L1006">
        <v>0.01</v>
      </c>
      <c r="M1006">
        <v>215.44499999999999</v>
      </c>
      <c r="N1006">
        <f t="shared" si="30"/>
        <v>3.1297747573626689E-2</v>
      </c>
      <c r="O1006">
        <f t="shared" si="31"/>
        <v>-3.2376123836709292E-3</v>
      </c>
      <c r="P1006">
        <f t="shared" si="32"/>
        <v>3.4535359957297618E-2</v>
      </c>
    </row>
    <row r="1007" spans="1:16" x14ac:dyDescent="0.35">
      <c r="A1007" s="1">
        <v>40086</v>
      </c>
      <c r="B1007">
        <v>3.6533999999999997E-2</v>
      </c>
      <c r="C1007">
        <v>3.4978000000000002E-2</v>
      </c>
      <c r="D1007">
        <v>5.2526999999999997E-2</v>
      </c>
      <c r="E1007">
        <v>5.0786999999999999E-2</v>
      </c>
      <c r="F1007">
        <v>9666276590</v>
      </c>
      <c r="G1007">
        <v>500</v>
      </c>
      <c r="H1007">
        <v>9288931500</v>
      </c>
      <c r="I1007">
        <v>500</v>
      </c>
      <c r="J1007">
        <v>1057.08</v>
      </c>
      <c r="K1007">
        <v>3.5722999999999998E-2</v>
      </c>
      <c r="L1007">
        <v>0.01</v>
      </c>
      <c r="M1007">
        <v>215.86099999999999</v>
      </c>
      <c r="N1007">
        <f t="shared" si="30"/>
        <v>3.4536426820963584E-2</v>
      </c>
      <c r="O1007">
        <f t="shared" si="31"/>
        <v>-1.8273588096042737E-3</v>
      </c>
      <c r="P1007">
        <f t="shared" si="32"/>
        <v>3.6363785630567858E-2</v>
      </c>
    </row>
    <row r="1008" spans="1:16" x14ac:dyDescent="0.35">
      <c r="A1008" s="1">
        <v>40116</v>
      </c>
      <c r="B1008">
        <v>-1.8259000000000001E-2</v>
      </c>
      <c r="C1008">
        <v>-1.9458E-2</v>
      </c>
      <c r="D1008">
        <v>-3.4447999999999999E-2</v>
      </c>
      <c r="E1008">
        <v>-3.5198E-2</v>
      </c>
      <c r="F1008">
        <v>9451783530</v>
      </c>
      <c r="G1008">
        <v>500</v>
      </c>
      <c r="H1008">
        <v>9614423480</v>
      </c>
      <c r="I1008">
        <v>500</v>
      </c>
      <c r="J1008">
        <v>1036.19</v>
      </c>
      <c r="K1008">
        <v>-1.9761999999999998E-2</v>
      </c>
      <c r="L1008">
        <v>0</v>
      </c>
      <c r="M1008">
        <v>216.50899999999999</v>
      </c>
      <c r="N1008">
        <f t="shared" si="30"/>
        <v>-2.1197298952930432E-2</v>
      </c>
      <c r="O1008">
        <f t="shared" si="31"/>
        <v>-2.9929471754061021E-3</v>
      </c>
      <c r="P1008">
        <f t="shared" si="32"/>
        <v>-1.820435177752433E-2</v>
      </c>
    </row>
    <row r="1009" spans="1:16" x14ac:dyDescent="0.35">
      <c r="A1009" s="1">
        <v>40147</v>
      </c>
      <c r="B1009">
        <v>6.0256999999999998E-2</v>
      </c>
      <c r="C1009">
        <v>5.7606999999999998E-2</v>
      </c>
      <c r="D1009">
        <v>5.4502000000000002E-2</v>
      </c>
      <c r="E1009">
        <v>5.1917999999999999E-2</v>
      </c>
      <c r="F1009">
        <v>9992814410</v>
      </c>
      <c r="G1009">
        <v>500</v>
      </c>
      <c r="H1009">
        <v>9412471930</v>
      </c>
      <c r="I1009">
        <v>500</v>
      </c>
      <c r="J1009">
        <v>1095.6300000000001</v>
      </c>
      <c r="K1009">
        <v>5.7363999999999998E-2</v>
      </c>
      <c r="L1009">
        <v>0</v>
      </c>
      <c r="M1009">
        <v>217.23400000000001</v>
      </c>
      <c r="N1009">
        <f t="shared" si="30"/>
        <v>5.6718482433688822E-2</v>
      </c>
      <c r="O1009">
        <f t="shared" si="31"/>
        <v>-3.3374149534604047E-3</v>
      </c>
      <c r="P1009">
        <f t="shared" si="32"/>
        <v>6.0055897387149226E-2</v>
      </c>
    </row>
    <row r="1010" spans="1:16" x14ac:dyDescent="0.35">
      <c r="A1010" s="1">
        <v>40178</v>
      </c>
      <c r="B1010">
        <v>1.8983E-2</v>
      </c>
      <c r="C1010">
        <v>1.7346E-2</v>
      </c>
      <c r="D1010">
        <v>4.8224000000000003E-2</v>
      </c>
      <c r="E1010">
        <v>4.6469000000000003E-2</v>
      </c>
      <c r="F1010">
        <v>10238880300</v>
      </c>
      <c r="G1010">
        <v>500</v>
      </c>
      <c r="H1010">
        <v>10042395500</v>
      </c>
      <c r="I1010">
        <v>500</v>
      </c>
      <c r="J1010">
        <v>1115.0999999999999</v>
      </c>
      <c r="K1010">
        <v>1.7770999999999999E-2</v>
      </c>
      <c r="L1010">
        <v>0.01</v>
      </c>
      <c r="M1010">
        <v>217.34700000000001</v>
      </c>
      <c r="N1010">
        <f t="shared" si="30"/>
        <v>1.845322466838728E-2</v>
      </c>
      <c r="O1010">
        <f t="shared" si="31"/>
        <v>-4.199579474297721E-4</v>
      </c>
      <c r="P1010">
        <f t="shared" si="32"/>
        <v>1.8873182615817052E-2</v>
      </c>
    </row>
    <row r="1011" spans="1:16" x14ac:dyDescent="0.35">
      <c r="A1011" s="1">
        <v>40207</v>
      </c>
      <c r="B1011">
        <v>-3.5750999999999998E-2</v>
      </c>
      <c r="C1011">
        <v>-3.6781000000000001E-2</v>
      </c>
      <c r="D1011">
        <v>-3.0955E-2</v>
      </c>
      <c r="E1011">
        <v>-3.1612000000000001E-2</v>
      </c>
      <c r="F1011">
        <v>9867600590</v>
      </c>
      <c r="G1011">
        <v>500</v>
      </c>
      <c r="H1011">
        <v>10237869700</v>
      </c>
      <c r="I1011">
        <v>500</v>
      </c>
      <c r="J1011">
        <v>1073.8699999999999</v>
      </c>
      <c r="K1011">
        <v>-3.6974E-2</v>
      </c>
      <c r="L1011">
        <v>0</v>
      </c>
      <c r="M1011">
        <v>217.488</v>
      </c>
      <c r="N1011">
        <f t="shared" si="30"/>
        <v>-3.6376133841867109E-2</v>
      </c>
      <c r="O1011">
        <f t="shared" si="31"/>
        <v>-6.4831163098644229E-4</v>
      </c>
      <c r="P1011">
        <f t="shared" si="32"/>
        <v>-3.5727822210880666E-2</v>
      </c>
    </row>
    <row r="1012" spans="1:16" x14ac:dyDescent="0.35">
      <c r="A1012" s="1">
        <v>40235</v>
      </c>
      <c r="B1012">
        <v>3.0424E-2</v>
      </c>
      <c r="C1012">
        <v>2.8014000000000001E-2</v>
      </c>
      <c r="D1012">
        <v>4.3365000000000001E-2</v>
      </c>
      <c r="E1012">
        <v>4.1277000000000001E-2</v>
      </c>
      <c r="F1012">
        <v>10189933300</v>
      </c>
      <c r="G1012">
        <v>500</v>
      </c>
      <c r="H1012">
        <v>9886204970</v>
      </c>
      <c r="I1012">
        <v>499</v>
      </c>
      <c r="J1012">
        <v>1104.49</v>
      </c>
      <c r="K1012">
        <v>2.8514000000000001E-2</v>
      </c>
      <c r="L1012">
        <v>0</v>
      </c>
      <c r="M1012">
        <v>217.28100000000001</v>
      </c>
      <c r="N1012">
        <f t="shared" si="30"/>
        <v>3.1405667831057471E-2</v>
      </c>
      <c r="O1012">
        <f t="shared" si="31"/>
        <v>9.526833915527444E-4</v>
      </c>
      <c r="P1012">
        <f t="shared" si="32"/>
        <v>3.0452984439504727E-2</v>
      </c>
    </row>
    <row r="1013" spans="1:16" x14ac:dyDescent="0.35">
      <c r="A1013" s="1">
        <v>40268</v>
      </c>
      <c r="B1013">
        <v>6.1013999999999999E-2</v>
      </c>
      <c r="C1013">
        <v>5.9429999999999997E-2</v>
      </c>
      <c r="D1013">
        <v>7.1013999999999994E-2</v>
      </c>
      <c r="E1013">
        <v>6.9189000000000001E-2</v>
      </c>
      <c r="F1013">
        <v>10842824200</v>
      </c>
      <c r="G1013">
        <v>500</v>
      </c>
      <c r="H1013">
        <v>10190187000</v>
      </c>
      <c r="I1013">
        <v>500</v>
      </c>
      <c r="J1013">
        <v>1169.43</v>
      </c>
      <c r="K1013">
        <v>5.8796000000000001E-2</v>
      </c>
      <c r="L1013">
        <v>0.01</v>
      </c>
      <c r="M1013">
        <v>217.35300000000001</v>
      </c>
      <c r="N1013">
        <f t="shared" si="30"/>
        <v>6.0662530234227185E-2</v>
      </c>
      <c r="O1013">
        <f t="shared" si="31"/>
        <v>-2.3129149356126977E-4</v>
      </c>
      <c r="P1013">
        <f t="shared" si="32"/>
        <v>6.0893821727788455E-2</v>
      </c>
    </row>
    <row r="1014" spans="1:16" x14ac:dyDescent="0.35">
      <c r="A1014" s="1">
        <v>40298</v>
      </c>
      <c r="B1014">
        <v>1.5977000000000002E-2</v>
      </c>
      <c r="C1014">
        <v>1.4957E-2</v>
      </c>
      <c r="D1014">
        <v>2.8049000000000001E-2</v>
      </c>
      <c r="E1014">
        <v>2.7344E-2</v>
      </c>
      <c r="F1014">
        <v>11007604400</v>
      </c>
      <c r="G1014">
        <v>500</v>
      </c>
      <c r="H1014">
        <v>10843493500</v>
      </c>
      <c r="I1014">
        <v>500</v>
      </c>
      <c r="J1014">
        <v>1186.69</v>
      </c>
      <c r="K1014">
        <v>1.4759E-2</v>
      </c>
      <c r="L1014">
        <v>0.01</v>
      </c>
      <c r="M1014">
        <v>217.40299999999999</v>
      </c>
      <c r="N1014">
        <f t="shared" si="30"/>
        <v>1.5743337861022999E-2</v>
      </c>
      <c r="O1014">
        <f t="shared" si="31"/>
        <v>-1.3001062542827846E-4</v>
      </c>
      <c r="P1014">
        <f t="shared" si="32"/>
        <v>1.5873348486451277E-2</v>
      </c>
    </row>
    <row r="1015" spans="1:16" x14ac:dyDescent="0.35">
      <c r="A1015" s="1">
        <v>40326</v>
      </c>
      <c r="B1015">
        <v>-8.0111000000000002E-2</v>
      </c>
      <c r="C1015">
        <v>-8.2336999999999994E-2</v>
      </c>
      <c r="D1015">
        <v>-7.3485999999999996E-2</v>
      </c>
      <c r="E1015">
        <v>-7.5298000000000004E-2</v>
      </c>
      <c r="F1015">
        <v>10104365700</v>
      </c>
      <c r="G1015">
        <v>500</v>
      </c>
      <c r="H1015">
        <v>11007604400</v>
      </c>
      <c r="I1015">
        <v>500</v>
      </c>
      <c r="J1015">
        <v>1089.4100000000001</v>
      </c>
      <c r="K1015">
        <v>-8.1975999999999993E-2</v>
      </c>
      <c r="L1015">
        <v>0.01</v>
      </c>
      <c r="M1015">
        <v>217.29</v>
      </c>
      <c r="N1015">
        <f t="shared" si="30"/>
        <v>-7.963261877214789E-2</v>
      </c>
      <c r="O1015">
        <f t="shared" si="31"/>
        <v>6.2009434396426144E-4</v>
      </c>
      <c r="P1015">
        <f t="shared" si="32"/>
        <v>-8.0252713116112151E-2</v>
      </c>
    </row>
    <row r="1016" spans="1:16" x14ac:dyDescent="0.35">
      <c r="A1016" s="1">
        <v>40359</v>
      </c>
      <c r="B1016">
        <v>-5.3525000000000003E-2</v>
      </c>
      <c r="C1016">
        <v>-5.5114999999999997E-2</v>
      </c>
      <c r="D1016">
        <v>-6.1838999999999998E-2</v>
      </c>
      <c r="E1016">
        <v>-6.3509999999999997E-2</v>
      </c>
      <c r="F1016">
        <v>9545850680</v>
      </c>
      <c r="G1016">
        <v>500</v>
      </c>
      <c r="H1016">
        <v>10084249800</v>
      </c>
      <c r="I1016">
        <v>500</v>
      </c>
      <c r="J1016">
        <v>1030.71</v>
      </c>
      <c r="K1016">
        <v>-5.3881999999999999E-2</v>
      </c>
      <c r="L1016">
        <v>0.01</v>
      </c>
      <c r="M1016">
        <v>217.19900000000001</v>
      </c>
      <c r="N1016">
        <f t="shared" si="30"/>
        <v>-5.312845478109951E-2</v>
      </c>
      <c r="O1016">
        <f t="shared" si="31"/>
        <v>5.190125184737493E-4</v>
      </c>
      <c r="P1016">
        <f t="shared" si="32"/>
        <v>-5.3647467299573259E-2</v>
      </c>
    </row>
    <row r="1017" spans="1:16" x14ac:dyDescent="0.35">
      <c r="A1017" s="1">
        <v>40389</v>
      </c>
      <c r="B1017">
        <v>7.0451E-2</v>
      </c>
      <c r="C1017">
        <v>6.862E-2</v>
      </c>
      <c r="D1017">
        <v>7.3613999999999999E-2</v>
      </c>
      <c r="E1017">
        <v>7.1306999999999995E-2</v>
      </c>
      <c r="F1017">
        <v>10192118400</v>
      </c>
      <c r="G1017">
        <v>500</v>
      </c>
      <c r="H1017">
        <v>9554720790</v>
      </c>
      <c r="I1017">
        <v>500</v>
      </c>
      <c r="J1017">
        <v>1101.5999999999999</v>
      </c>
      <c r="K1017">
        <v>6.8778000000000006E-2</v>
      </c>
      <c r="L1017">
        <v>0.01</v>
      </c>
      <c r="M1017">
        <v>217.60499999999999</v>
      </c>
      <c r="N1017">
        <f t="shared" si="30"/>
        <v>6.8453788970841867E-2</v>
      </c>
      <c r="O1017">
        <f t="shared" si="31"/>
        <v>-1.7659525286642941E-3</v>
      </c>
      <c r="P1017">
        <f t="shared" si="32"/>
        <v>7.0219741499506161E-2</v>
      </c>
    </row>
    <row r="1018" spans="1:16" x14ac:dyDescent="0.35">
      <c r="A1018" s="1">
        <v>40421</v>
      </c>
      <c r="B1018">
        <v>-4.5434000000000002E-2</v>
      </c>
      <c r="C1018">
        <v>-4.7840000000000001E-2</v>
      </c>
      <c r="D1018">
        <v>-4.8286999999999997E-2</v>
      </c>
      <c r="E1018">
        <v>-5.024E-2</v>
      </c>
      <c r="F1018">
        <v>9714331820</v>
      </c>
      <c r="G1018">
        <v>500</v>
      </c>
      <c r="H1018">
        <v>10200859100</v>
      </c>
      <c r="I1018">
        <v>500</v>
      </c>
      <c r="J1018">
        <v>1049.33</v>
      </c>
      <c r="K1018">
        <v>-4.7448999999999998E-2</v>
      </c>
      <c r="L1018">
        <v>0.01</v>
      </c>
      <c r="M1018">
        <v>217.923</v>
      </c>
      <c r="N1018">
        <f t="shared" si="30"/>
        <v>-4.6826932310953917E-2</v>
      </c>
      <c r="O1018">
        <f t="shared" si="31"/>
        <v>-1.3593769358902774E-3</v>
      </c>
      <c r="P1018">
        <f t="shared" si="32"/>
        <v>-4.546755537506364E-2</v>
      </c>
    </row>
    <row r="1019" spans="1:16" x14ac:dyDescent="0.35">
      <c r="A1019" s="1">
        <v>40451</v>
      </c>
      <c r="B1019">
        <v>9.0383000000000005E-2</v>
      </c>
      <c r="C1019">
        <v>8.8750999999999997E-2</v>
      </c>
      <c r="D1019">
        <v>0.104307</v>
      </c>
      <c r="E1019">
        <v>0.10265100000000001</v>
      </c>
      <c r="F1019">
        <v>10565213300</v>
      </c>
      <c r="G1019">
        <v>500</v>
      </c>
      <c r="H1019">
        <v>9714331820</v>
      </c>
      <c r="I1019">
        <v>500</v>
      </c>
      <c r="J1019">
        <v>1141.2</v>
      </c>
      <c r="K1019">
        <v>8.7551000000000004E-2</v>
      </c>
      <c r="L1019">
        <v>0.01</v>
      </c>
      <c r="M1019">
        <v>218.27500000000001</v>
      </c>
      <c r="N1019">
        <f t="shared" si="30"/>
        <v>8.8624599743442944E-2</v>
      </c>
      <c r="O1019">
        <f t="shared" si="31"/>
        <v>-1.5128058641622477E-3</v>
      </c>
      <c r="P1019">
        <f t="shared" si="32"/>
        <v>9.0137405607605192E-2</v>
      </c>
    </row>
    <row r="1020" spans="1:16" x14ac:dyDescent="0.35">
      <c r="A1020" s="1">
        <v>40480</v>
      </c>
      <c r="B1020">
        <v>3.8725999999999997E-2</v>
      </c>
      <c r="C1020">
        <v>3.7081000000000003E-2</v>
      </c>
      <c r="D1020">
        <v>3.5945999999999999E-2</v>
      </c>
      <c r="E1020">
        <v>3.4515999999999998E-2</v>
      </c>
      <c r="F1020">
        <v>10950115500</v>
      </c>
      <c r="G1020">
        <v>500</v>
      </c>
      <c r="H1020">
        <v>10565213300</v>
      </c>
      <c r="I1020">
        <v>500</v>
      </c>
      <c r="J1020">
        <v>1183.26</v>
      </c>
      <c r="K1020">
        <v>3.6856E-2</v>
      </c>
      <c r="L1020">
        <v>0.01</v>
      </c>
      <c r="M1020">
        <v>219.035</v>
      </c>
      <c r="N1020">
        <f t="shared" si="30"/>
        <v>3.5121864770470523E-2</v>
      </c>
      <c r="O1020">
        <f t="shared" si="31"/>
        <v>-3.3701120825438968E-3</v>
      </c>
      <c r="P1020">
        <f t="shared" si="32"/>
        <v>3.849197685301442E-2</v>
      </c>
    </row>
    <row r="1021" spans="1:16" x14ac:dyDescent="0.35">
      <c r="A1021" s="1">
        <v>40512</v>
      </c>
      <c r="B1021">
        <v>-5.1E-5</v>
      </c>
      <c r="C1021">
        <v>-2.5709999999999999E-3</v>
      </c>
      <c r="D1021">
        <v>8.2050000000000005E-3</v>
      </c>
      <c r="E1021">
        <v>5.9519999999999998E-3</v>
      </c>
      <c r="F1021">
        <v>10948613300</v>
      </c>
      <c r="G1021">
        <v>500</v>
      </c>
      <c r="H1021">
        <v>10958282500</v>
      </c>
      <c r="I1021">
        <v>500</v>
      </c>
      <c r="J1021">
        <v>1180.55</v>
      </c>
      <c r="K1021">
        <v>-2.2899999999999999E-3</v>
      </c>
      <c r="L1021">
        <v>0.01</v>
      </c>
      <c r="M1021">
        <v>219.59</v>
      </c>
      <c r="N1021">
        <f t="shared" si="30"/>
        <v>-2.5783085978415832E-3</v>
      </c>
      <c r="O1021">
        <f t="shared" si="31"/>
        <v>-2.4276902409035017E-3</v>
      </c>
      <c r="P1021">
        <f t="shared" si="32"/>
        <v>-1.5061835693808145E-4</v>
      </c>
    </row>
    <row r="1022" spans="1:16" x14ac:dyDescent="0.35">
      <c r="A1022" s="1">
        <v>40543</v>
      </c>
      <c r="B1022">
        <v>6.7054000000000002E-2</v>
      </c>
      <c r="C1022">
        <v>6.5249000000000001E-2</v>
      </c>
      <c r="D1022">
        <v>7.2134000000000004E-2</v>
      </c>
      <c r="E1022">
        <v>6.9927000000000003E-2</v>
      </c>
      <c r="F1022">
        <v>11683073300</v>
      </c>
      <c r="G1022">
        <v>500</v>
      </c>
      <c r="H1022">
        <v>10979450600</v>
      </c>
      <c r="I1022">
        <v>500</v>
      </c>
      <c r="J1022">
        <v>1257.6400000000001</v>
      </c>
      <c r="K1022">
        <v>6.5299999999999997E-2</v>
      </c>
      <c r="L1022">
        <v>0.01</v>
      </c>
      <c r="M1022">
        <v>220.47200000000001</v>
      </c>
      <c r="N1022">
        <f t="shared" si="30"/>
        <v>6.2785241935483738E-2</v>
      </c>
      <c r="O1022">
        <f t="shared" si="31"/>
        <v>-3.9009080518160877E-3</v>
      </c>
      <c r="P1022">
        <f t="shared" si="32"/>
        <v>6.6686149987299825E-2</v>
      </c>
    </row>
    <row r="1023" spans="1:16" x14ac:dyDescent="0.35">
      <c r="A1023" s="1">
        <v>40574</v>
      </c>
      <c r="B1023">
        <v>2.3349000000000002E-2</v>
      </c>
      <c r="C1023">
        <v>2.2318999999999999E-2</v>
      </c>
      <c r="D1023">
        <v>2.1935E-2</v>
      </c>
      <c r="E1023">
        <v>2.1193E-2</v>
      </c>
      <c r="F1023">
        <v>11992702700</v>
      </c>
      <c r="G1023">
        <v>500</v>
      </c>
      <c r="H1023">
        <v>11697591800</v>
      </c>
      <c r="I1023">
        <v>500</v>
      </c>
      <c r="J1023">
        <v>1286.1199999999999</v>
      </c>
      <c r="K1023">
        <v>2.2645999999999999E-2</v>
      </c>
      <c r="L1023">
        <v>0.01</v>
      </c>
      <c r="M1023">
        <v>221.18700000000001</v>
      </c>
      <c r="N1023">
        <f t="shared" si="30"/>
        <v>2.0040964107293835E-2</v>
      </c>
      <c r="O1023">
        <f t="shared" si="31"/>
        <v>-3.1328821314091648E-3</v>
      </c>
      <c r="P1023">
        <f t="shared" si="32"/>
        <v>2.3173846238703E-2</v>
      </c>
    </row>
    <row r="1024" spans="1:16" x14ac:dyDescent="0.35">
      <c r="A1024" s="1">
        <v>40602</v>
      </c>
      <c r="B1024">
        <v>3.2508000000000002E-2</v>
      </c>
      <c r="C1024">
        <v>3.0251E-2</v>
      </c>
      <c r="D1024">
        <v>4.1109E-2</v>
      </c>
      <c r="E1024">
        <v>3.9253000000000003E-2</v>
      </c>
      <c r="F1024">
        <v>12350222100</v>
      </c>
      <c r="G1024">
        <v>500</v>
      </c>
      <c r="H1024">
        <v>11997457000</v>
      </c>
      <c r="I1024">
        <v>500</v>
      </c>
      <c r="J1024">
        <v>1327.22</v>
      </c>
      <c r="K1024">
        <v>3.1956999999999999E-2</v>
      </c>
      <c r="L1024">
        <v>0.01</v>
      </c>
      <c r="M1024">
        <v>221.898</v>
      </c>
      <c r="N1024">
        <f t="shared" si="30"/>
        <v>2.9199663791471764E-2</v>
      </c>
      <c r="O1024">
        <f t="shared" si="31"/>
        <v>-3.1044953086553084E-3</v>
      </c>
      <c r="P1024">
        <f t="shared" si="32"/>
        <v>3.2304159100127072E-2</v>
      </c>
    </row>
    <row r="1025" spans="1:16" x14ac:dyDescent="0.35">
      <c r="A1025" s="1">
        <v>40633</v>
      </c>
      <c r="B1025">
        <v>6.2500000000000001E-4</v>
      </c>
      <c r="C1025">
        <v>-8.6700000000000004E-4</v>
      </c>
      <c r="D1025">
        <v>9.0069999999999994E-3</v>
      </c>
      <c r="E1025">
        <v>7.43E-3</v>
      </c>
      <c r="F1025">
        <v>12360935200</v>
      </c>
      <c r="G1025">
        <v>500</v>
      </c>
      <c r="H1025">
        <v>12368073600</v>
      </c>
      <c r="I1025">
        <v>500</v>
      </c>
      <c r="J1025">
        <v>1325.83</v>
      </c>
      <c r="K1025">
        <v>-1.047E-3</v>
      </c>
      <c r="L1025">
        <v>0.01</v>
      </c>
      <c r="M1025">
        <v>223.04599999999999</v>
      </c>
      <c r="N1025">
        <f t="shared" si="30"/>
        <v>-4.5251371914312166E-3</v>
      </c>
      <c r="O1025">
        <f t="shared" si="31"/>
        <v>-5.0474350582390137E-3</v>
      </c>
      <c r="P1025">
        <f t="shared" si="32"/>
        <v>5.2229786680779711E-4</v>
      </c>
    </row>
    <row r="1026" spans="1:16" x14ac:dyDescent="0.35">
      <c r="A1026" s="1">
        <v>40662</v>
      </c>
      <c r="B1026">
        <v>2.9440999999999998E-2</v>
      </c>
      <c r="C1026">
        <v>2.8358000000000001E-2</v>
      </c>
      <c r="D1026">
        <v>3.1626000000000001E-2</v>
      </c>
      <c r="E1026">
        <v>3.0817000000000001E-2</v>
      </c>
      <c r="F1026">
        <v>12721312000</v>
      </c>
      <c r="G1026">
        <v>500</v>
      </c>
      <c r="H1026">
        <v>12371634400</v>
      </c>
      <c r="I1026">
        <v>500</v>
      </c>
      <c r="J1026">
        <v>1363.61</v>
      </c>
      <c r="K1026">
        <v>2.8494999999999999E-2</v>
      </c>
      <c r="L1026">
        <v>0</v>
      </c>
      <c r="M1026">
        <v>224.09299999999999</v>
      </c>
      <c r="N1026">
        <f t="shared" si="30"/>
        <v>2.4631279361693625E-2</v>
      </c>
      <c r="O1026">
        <f t="shared" si="31"/>
        <v>-4.6721673590874868E-3</v>
      </c>
      <c r="P1026">
        <f t="shared" si="32"/>
        <v>2.9303446720781112E-2</v>
      </c>
    </row>
    <row r="1027" spans="1:16" x14ac:dyDescent="0.35">
      <c r="A1027" s="1">
        <v>40694</v>
      </c>
      <c r="B1027">
        <v>-1.1313E-2</v>
      </c>
      <c r="C1027">
        <v>-1.3572000000000001E-2</v>
      </c>
      <c r="D1027">
        <v>-5.5789999999999998E-3</v>
      </c>
      <c r="E1027">
        <v>-7.5040000000000003E-3</v>
      </c>
      <c r="F1027">
        <v>12546074800</v>
      </c>
      <c r="G1027">
        <v>500</v>
      </c>
      <c r="H1027">
        <v>12721312000</v>
      </c>
      <c r="I1027">
        <v>500</v>
      </c>
      <c r="J1027">
        <v>1345.2</v>
      </c>
      <c r="K1027">
        <v>-1.3501000000000001E-2</v>
      </c>
      <c r="L1027">
        <v>0</v>
      </c>
      <c r="M1027">
        <v>224.80600000000001</v>
      </c>
      <c r="N1027">
        <f t="shared" si="30"/>
        <v>-1.4448742956148952E-2</v>
      </c>
      <c r="O1027">
        <f t="shared" si="31"/>
        <v>-3.1716235331797904E-3</v>
      </c>
      <c r="P1027">
        <f t="shared" si="32"/>
        <v>-1.1277119422969162E-2</v>
      </c>
    </row>
    <row r="1028" spans="1:16" x14ac:dyDescent="0.35">
      <c r="A1028" s="1">
        <v>40724</v>
      </c>
      <c r="B1028">
        <v>-1.6545000000000001E-2</v>
      </c>
      <c r="C1028">
        <v>-1.8106000000000001E-2</v>
      </c>
      <c r="D1028">
        <v>-1.9098E-2</v>
      </c>
      <c r="E1028">
        <v>-2.0726000000000001E-2</v>
      </c>
      <c r="F1028">
        <v>12311707600</v>
      </c>
      <c r="G1028">
        <v>500</v>
      </c>
      <c r="H1028">
        <v>12542716700</v>
      </c>
      <c r="I1028">
        <v>500</v>
      </c>
      <c r="J1028">
        <v>1320.64</v>
      </c>
      <c r="K1028">
        <v>-1.8258E-2</v>
      </c>
      <c r="L1028">
        <v>0</v>
      </c>
      <c r="M1028">
        <v>224.80600000000001</v>
      </c>
      <c r="N1028">
        <f t="shared" si="30"/>
        <v>-1.6545000000000032E-2</v>
      </c>
      <c r="O1028">
        <f t="shared" si="31"/>
        <v>0</v>
      </c>
      <c r="P1028">
        <f t="shared" si="32"/>
        <v>-1.6545000000000032E-2</v>
      </c>
    </row>
    <row r="1029" spans="1:16" x14ac:dyDescent="0.35">
      <c r="A1029" s="1">
        <v>40753</v>
      </c>
      <c r="B1029">
        <v>-1.9827999999999998E-2</v>
      </c>
      <c r="C1029">
        <v>-2.0982000000000001E-2</v>
      </c>
      <c r="D1029">
        <v>-3.5333000000000003E-2</v>
      </c>
      <c r="E1029">
        <v>-3.6115000000000001E-2</v>
      </c>
      <c r="F1029">
        <v>12076888400</v>
      </c>
      <c r="G1029">
        <v>500</v>
      </c>
      <c r="H1029">
        <v>12359746700</v>
      </c>
      <c r="I1029">
        <v>500</v>
      </c>
      <c r="J1029">
        <v>1292.28</v>
      </c>
      <c r="K1029">
        <v>-2.1474E-2</v>
      </c>
      <c r="L1029">
        <v>0</v>
      </c>
      <c r="M1029">
        <v>225.39500000000001</v>
      </c>
      <c r="N1029">
        <f t="shared" si="30"/>
        <v>-2.2389375842409964E-2</v>
      </c>
      <c r="O1029">
        <f t="shared" si="31"/>
        <v>-2.6131901772443733E-3</v>
      </c>
      <c r="P1029">
        <f t="shared" si="32"/>
        <v>-1.9776185665165591E-2</v>
      </c>
    </row>
    <row r="1030" spans="1:16" x14ac:dyDescent="0.35">
      <c r="A1030" s="1">
        <v>40786</v>
      </c>
      <c r="B1030">
        <v>-5.4323000000000003E-2</v>
      </c>
      <c r="C1030">
        <v>-5.6735000000000001E-2</v>
      </c>
      <c r="D1030">
        <v>-6.3472000000000001E-2</v>
      </c>
      <c r="E1030">
        <v>-6.5472000000000002E-2</v>
      </c>
      <c r="F1030">
        <v>11372211800</v>
      </c>
      <c r="G1030">
        <v>500</v>
      </c>
      <c r="H1030">
        <v>12076888400</v>
      </c>
      <c r="I1030">
        <v>500</v>
      </c>
      <c r="J1030">
        <v>1218.8900000000001</v>
      </c>
      <c r="K1030">
        <v>-5.6791000000000001E-2</v>
      </c>
      <c r="L1030">
        <v>0.01</v>
      </c>
      <c r="M1030">
        <v>226.10599999999999</v>
      </c>
      <c r="N1030">
        <f t="shared" si="30"/>
        <v>-5.7296721825161656E-2</v>
      </c>
      <c r="O1030">
        <f t="shared" si="31"/>
        <v>-3.0448572793291273E-3</v>
      </c>
      <c r="P1030">
        <f t="shared" si="32"/>
        <v>-5.4251864545832529E-2</v>
      </c>
    </row>
    <row r="1031" spans="1:16" x14ac:dyDescent="0.35">
      <c r="A1031" s="1">
        <v>40816</v>
      </c>
      <c r="B1031">
        <v>-7.0237999999999995E-2</v>
      </c>
      <c r="C1031">
        <v>-7.1738999999999997E-2</v>
      </c>
      <c r="D1031">
        <v>-9.0693999999999997E-2</v>
      </c>
      <c r="E1031">
        <v>-9.2356999999999995E-2</v>
      </c>
      <c r="F1031">
        <v>10547216800</v>
      </c>
      <c r="G1031">
        <v>500</v>
      </c>
      <c r="H1031">
        <v>11385528500</v>
      </c>
      <c r="I1031">
        <v>500</v>
      </c>
      <c r="J1031">
        <v>1131.42</v>
      </c>
      <c r="K1031">
        <v>-7.1762000000000006E-2</v>
      </c>
      <c r="L1031">
        <v>0</v>
      </c>
      <c r="M1031">
        <v>226.59700000000001</v>
      </c>
      <c r="N1031">
        <f t="shared" si="30"/>
        <v>-7.2252647775566392E-2</v>
      </c>
      <c r="O1031">
        <f t="shared" si="31"/>
        <v>-2.1668424559901922E-3</v>
      </c>
      <c r="P1031">
        <f t="shared" si="32"/>
        <v>-7.00858053195762E-2</v>
      </c>
    </row>
    <row r="1032" spans="1:16" x14ac:dyDescent="0.35">
      <c r="A1032" s="1">
        <v>40847</v>
      </c>
      <c r="B1032">
        <v>0.109014</v>
      </c>
      <c r="C1032">
        <v>0.107554</v>
      </c>
      <c r="D1032">
        <v>0.13444999999999999</v>
      </c>
      <c r="E1032">
        <v>0.133462</v>
      </c>
      <c r="F1032">
        <v>11666326100</v>
      </c>
      <c r="G1032">
        <v>500</v>
      </c>
      <c r="H1032">
        <v>10553122800</v>
      </c>
      <c r="I1032">
        <v>500</v>
      </c>
      <c r="J1032">
        <v>1253.3</v>
      </c>
      <c r="K1032">
        <v>0.107723</v>
      </c>
      <c r="L1032">
        <v>0</v>
      </c>
      <c r="M1032">
        <v>226.75</v>
      </c>
      <c r="N1032">
        <f t="shared" si="30"/>
        <v>0.10826569066372671</v>
      </c>
      <c r="O1032">
        <f t="shared" si="31"/>
        <v>-6.7475192943766693E-4</v>
      </c>
      <c r="P1032">
        <f t="shared" si="32"/>
        <v>0.10894044259316438</v>
      </c>
    </row>
    <row r="1033" spans="1:16" x14ac:dyDescent="0.35">
      <c r="A1033" s="1">
        <v>40877</v>
      </c>
      <c r="B1033">
        <v>-2.7269999999999998E-3</v>
      </c>
      <c r="C1033">
        <v>-5.5519999999999996E-3</v>
      </c>
      <c r="D1033">
        <v>-6.5820000000000002E-3</v>
      </c>
      <c r="E1033">
        <v>-9.0900000000000009E-3</v>
      </c>
      <c r="F1033">
        <v>11550649100</v>
      </c>
      <c r="G1033">
        <v>500</v>
      </c>
      <c r="H1033">
        <v>11670262200</v>
      </c>
      <c r="I1033">
        <v>500</v>
      </c>
      <c r="J1033">
        <v>1246.96</v>
      </c>
      <c r="K1033">
        <v>-5.0590000000000001E-3</v>
      </c>
      <c r="L1033">
        <v>0</v>
      </c>
      <c r="M1033">
        <v>227.16900000000001</v>
      </c>
      <c r="N1033">
        <f t="shared" si="30"/>
        <v>-4.5664120104416117E-3</v>
      </c>
      <c r="O1033">
        <f t="shared" si="31"/>
        <v>-1.8444418032390608E-3</v>
      </c>
      <c r="P1033">
        <f t="shared" si="32"/>
        <v>-2.7219702072025509E-3</v>
      </c>
    </row>
    <row r="1034" spans="1:16" x14ac:dyDescent="0.35">
      <c r="A1034" s="1">
        <v>40907</v>
      </c>
      <c r="B1034">
        <v>9.4269999999999996E-3</v>
      </c>
      <c r="C1034">
        <v>7.613E-3</v>
      </c>
      <c r="D1034">
        <v>1.1529999999999999E-3</v>
      </c>
      <c r="E1034">
        <v>-8.6899999999999998E-4</v>
      </c>
      <c r="F1034">
        <v>11651626700</v>
      </c>
      <c r="G1034">
        <v>500</v>
      </c>
      <c r="H1034">
        <v>11573102900</v>
      </c>
      <c r="I1034">
        <v>499</v>
      </c>
      <c r="J1034">
        <v>1257.5999999999999</v>
      </c>
      <c r="K1034">
        <v>8.5330000000000007E-3</v>
      </c>
      <c r="L1034">
        <v>0</v>
      </c>
      <c r="M1034">
        <v>227.22300000000001</v>
      </c>
      <c r="N1034">
        <f t="shared" si="30"/>
        <v>9.1871076563552201E-3</v>
      </c>
      <c r="O1034">
        <f t="shared" si="31"/>
        <v>-2.3765199825720451E-4</v>
      </c>
      <c r="P1034">
        <f t="shared" si="32"/>
        <v>9.4247596546124246E-3</v>
      </c>
    </row>
    <row r="1035" spans="1:16" x14ac:dyDescent="0.35">
      <c r="A1035" s="1">
        <v>40939</v>
      </c>
      <c r="B1035">
        <v>4.5205000000000002E-2</v>
      </c>
      <c r="C1035">
        <v>4.4003E-2</v>
      </c>
      <c r="D1035">
        <v>5.6397999999999997E-2</v>
      </c>
      <c r="E1035">
        <v>5.5586999999999998E-2</v>
      </c>
      <c r="F1035">
        <v>12155929200</v>
      </c>
      <c r="G1035">
        <v>500</v>
      </c>
      <c r="H1035">
        <v>11653387700</v>
      </c>
      <c r="I1035">
        <v>500</v>
      </c>
      <c r="J1035">
        <v>1312.41</v>
      </c>
      <c r="K1035">
        <v>4.3582999999999997E-2</v>
      </c>
      <c r="L1035">
        <v>0</v>
      </c>
      <c r="M1035">
        <v>227.84200000000001</v>
      </c>
      <c r="N1035">
        <f t="shared" si="30"/>
        <v>4.2365392311338512E-2</v>
      </c>
      <c r="O1035">
        <f t="shared" si="31"/>
        <v>-2.7167949719542062E-3</v>
      </c>
      <c r="P1035">
        <f t="shared" si="32"/>
        <v>4.5082187283292718E-2</v>
      </c>
    </row>
    <row r="1036" spans="1:16" x14ac:dyDescent="0.35">
      <c r="A1036" s="1">
        <v>40968</v>
      </c>
      <c r="B1036">
        <v>4.3340999999999998E-2</v>
      </c>
      <c r="C1036">
        <v>4.0744000000000002E-2</v>
      </c>
      <c r="D1036">
        <v>4.1965000000000002E-2</v>
      </c>
      <c r="E1036">
        <v>3.9870999999999997E-2</v>
      </c>
      <c r="F1036">
        <v>12624202000</v>
      </c>
      <c r="G1036">
        <v>500</v>
      </c>
      <c r="H1036">
        <v>12155929200</v>
      </c>
      <c r="I1036">
        <v>500</v>
      </c>
      <c r="J1036">
        <v>1365.68</v>
      </c>
      <c r="K1036">
        <v>4.0589E-2</v>
      </c>
      <c r="L1036">
        <v>0</v>
      </c>
      <c r="M1036">
        <v>228.32900000000001</v>
      </c>
      <c r="N1036">
        <f t="shared" si="30"/>
        <v>4.1115671342667914E-2</v>
      </c>
      <c r="O1036">
        <f t="shared" si="31"/>
        <v>-2.1328871934795934E-3</v>
      </c>
      <c r="P1036">
        <f t="shared" si="32"/>
        <v>4.3248558536147508E-2</v>
      </c>
    </row>
    <row r="1037" spans="1:16" x14ac:dyDescent="0.35">
      <c r="A1037" s="1">
        <v>40998</v>
      </c>
      <c r="B1037">
        <v>3.2865999999999999E-2</v>
      </c>
      <c r="C1037">
        <v>3.1281999999999997E-2</v>
      </c>
      <c r="D1037">
        <v>2.3130999999999999E-2</v>
      </c>
      <c r="E1037">
        <v>2.1270000000000001E-2</v>
      </c>
      <c r="F1037">
        <v>13039494000</v>
      </c>
      <c r="G1037">
        <v>500</v>
      </c>
      <c r="H1037">
        <v>12631620300</v>
      </c>
      <c r="I1037">
        <v>500</v>
      </c>
      <c r="J1037">
        <v>1408.47</v>
      </c>
      <c r="K1037">
        <v>3.1331999999999999E-2</v>
      </c>
      <c r="L1037">
        <v>0</v>
      </c>
      <c r="M1037">
        <v>228.80699999999999</v>
      </c>
      <c r="N1037">
        <f t="shared" si="30"/>
        <v>3.0708242815997933E-2</v>
      </c>
      <c r="O1037">
        <f t="shared" si="31"/>
        <v>-2.0890969244821145E-3</v>
      </c>
      <c r="P1037">
        <f t="shared" si="32"/>
        <v>3.2797339740480047E-2</v>
      </c>
    </row>
    <row r="1038" spans="1:16" x14ac:dyDescent="0.35">
      <c r="A1038" s="1">
        <v>41029</v>
      </c>
      <c r="B1038">
        <v>-6.0340000000000003E-3</v>
      </c>
      <c r="C1038">
        <v>-7.2370000000000004E-3</v>
      </c>
      <c r="D1038">
        <v>-7.8040000000000002E-3</v>
      </c>
      <c r="E1038">
        <v>-8.6859999999999993E-3</v>
      </c>
      <c r="F1038">
        <v>12936189900</v>
      </c>
      <c r="G1038">
        <v>500</v>
      </c>
      <c r="H1038">
        <v>13020364700</v>
      </c>
      <c r="I1038">
        <v>500</v>
      </c>
      <c r="J1038">
        <v>1397.91</v>
      </c>
      <c r="K1038">
        <v>-7.4970000000000002E-3</v>
      </c>
      <c r="L1038">
        <v>0</v>
      </c>
      <c r="M1038">
        <v>229.18700000000001</v>
      </c>
      <c r="N1038">
        <f t="shared" si="30"/>
        <v>-7.6820301238726962E-3</v>
      </c>
      <c r="O1038">
        <f t="shared" si="31"/>
        <v>-1.6580347052844724E-3</v>
      </c>
      <c r="P1038">
        <f t="shared" si="32"/>
        <v>-6.0239954185882238E-3</v>
      </c>
    </row>
    <row r="1039" spans="1:16" x14ac:dyDescent="0.35">
      <c r="A1039" s="1">
        <v>41060</v>
      </c>
      <c r="B1039">
        <v>-5.9790000000000003E-2</v>
      </c>
      <c r="C1039">
        <v>-6.2433000000000002E-2</v>
      </c>
      <c r="D1039">
        <v>-7.0751999999999995E-2</v>
      </c>
      <c r="E1039">
        <v>-7.2967000000000004E-2</v>
      </c>
      <c r="F1039">
        <v>12122975400</v>
      </c>
      <c r="G1039">
        <v>500</v>
      </c>
      <c r="H1039">
        <v>12960956700</v>
      </c>
      <c r="I1039">
        <v>500</v>
      </c>
      <c r="J1039">
        <v>1310.33</v>
      </c>
      <c r="K1039">
        <v>-6.2650999999999998E-2</v>
      </c>
      <c r="L1039">
        <v>0.01</v>
      </c>
      <c r="M1039">
        <v>228.71299999999999</v>
      </c>
      <c r="N1039">
        <f t="shared" si="30"/>
        <v>-5.7841446397887242E-2</v>
      </c>
      <c r="O1039">
        <f t="shared" si="31"/>
        <v>2.172673612781173E-3</v>
      </c>
      <c r="P1039">
        <f t="shared" si="32"/>
        <v>-6.0014120010668415E-2</v>
      </c>
    </row>
    <row r="1040" spans="1:16" x14ac:dyDescent="0.35">
      <c r="A1040" s="1">
        <v>41089</v>
      </c>
      <c r="B1040">
        <v>4.1465000000000002E-2</v>
      </c>
      <c r="C1040">
        <v>3.9888E-2</v>
      </c>
      <c r="D1040">
        <v>3.8296999999999998E-2</v>
      </c>
      <c r="E1040">
        <v>3.6476000000000001E-2</v>
      </c>
      <c r="F1040">
        <v>12600286300</v>
      </c>
      <c r="G1040">
        <v>500</v>
      </c>
      <c r="H1040">
        <v>12124832300</v>
      </c>
      <c r="I1040">
        <v>500</v>
      </c>
      <c r="J1040">
        <v>1362.16</v>
      </c>
      <c r="K1040">
        <v>3.9555E-2</v>
      </c>
      <c r="L1040">
        <v>0</v>
      </c>
      <c r="M1040">
        <v>228.524</v>
      </c>
      <c r="N1040">
        <f t="shared" si="30"/>
        <v>4.2326340099945847E-2</v>
      </c>
      <c r="O1040">
        <f t="shared" si="31"/>
        <v>8.2704661217203324E-4</v>
      </c>
      <c r="P1040">
        <f t="shared" si="32"/>
        <v>4.1499293487773814E-2</v>
      </c>
    </row>
    <row r="1041" spans="1:16" x14ac:dyDescent="0.35">
      <c r="A1041" s="1">
        <v>41121</v>
      </c>
      <c r="B1041">
        <v>1.4363000000000001E-2</v>
      </c>
      <c r="C1041">
        <v>1.3096E-2</v>
      </c>
      <c r="D1041">
        <v>2.8660000000000001E-3</v>
      </c>
      <c r="E1041">
        <v>1.957E-3</v>
      </c>
      <c r="F1041">
        <v>12762979000</v>
      </c>
      <c r="G1041">
        <v>500</v>
      </c>
      <c r="H1041">
        <v>12587155100</v>
      </c>
      <c r="I1041">
        <v>500</v>
      </c>
      <c r="J1041">
        <v>1379.32</v>
      </c>
      <c r="K1041">
        <v>1.2598E-2</v>
      </c>
      <c r="L1041">
        <v>0</v>
      </c>
      <c r="M1041">
        <v>228.59</v>
      </c>
      <c r="N1041">
        <f t="shared" si="30"/>
        <v>1.4070126479723388E-2</v>
      </c>
      <c r="O1041">
        <f t="shared" si="31"/>
        <v>-2.8872654096856465E-4</v>
      </c>
      <c r="P1041">
        <f t="shared" si="32"/>
        <v>1.4358853020691953E-2</v>
      </c>
    </row>
    <row r="1042" spans="1:16" x14ac:dyDescent="0.35">
      <c r="A1042" s="1">
        <v>41152</v>
      </c>
      <c r="B1042">
        <v>2.2744E-2</v>
      </c>
      <c r="C1042">
        <v>1.9938000000000001E-2</v>
      </c>
      <c r="D1042">
        <v>3.0790000000000001E-2</v>
      </c>
      <c r="E1042">
        <v>2.8391E-2</v>
      </c>
      <c r="F1042">
        <v>12981524900</v>
      </c>
      <c r="G1042">
        <v>500</v>
      </c>
      <c r="H1042">
        <v>12762979000</v>
      </c>
      <c r="I1042">
        <v>500</v>
      </c>
      <c r="J1042">
        <v>1406.58</v>
      </c>
      <c r="K1042">
        <v>1.9762999999999999E-2</v>
      </c>
      <c r="L1042">
        <v>0.01</v>
      </c>
      <c r="M1042">
        <v>229.91800000000001</v>
      </c>
      <c r="N1042">
        <f t="shared" si="30"/>
        <v>1.683665898276776E-2</v>
      </c>
      <c r="O1042">
        <f t="shared" si="31"/>
        <v>-5.6765499003992304E-3</v>
      </c>
      <c r="P1042">
        <f t="shared" si="32"/>
        <v>2.2513208883166991E-2</v>
      </c>
    </row>
    <row r="1043" spans="1:16" x14ac:dyDescent="0.35">
      <c r="A1043" s="1">
        <v>41180</v>
      </c>
      <c r="B1043">
        <v>2.512E-2</v>
      </c>
      <c r="C1043">
        <v>2.3546999999999998E-2</v>
      </c>
      <c r="D1043">
        <v>2.4008999999999999E-2</v>
      </c>
      <c r="E1043">
        <v>2.2221999999999999E-2</v>
      </c>
      <c r="F1043">
        <v>13307014100</v>
      </c>
      <c r="G1043">
        <v>500</v>
      </c>
      <c r="H1043">
        <v>13003990200</v>
      </c>
      <c r="I1043">
        <v>500</v>
      </c>
      <c r="J1043">
        <v>1440.67</v>
      </c>
      <c r="K1043">
        <v>2.4236000000000001E-2</v>
      </c>
      <c r="L1043">
        <v>0.01</v>
      </c>
      <c r="M1043">
        <v>231.01499999999999</v>
      </c>
      <c r="N1043">
        <f t="shared" si="30"/>
        <v>2.0252105534272813E-2</v>
      </c>
      <c r="O1043">
        <f t="shared" si="31"/>
        <v>-4.6490842585978909E-3</v>
      </c>
      <c r="P1043">
        <f t="shared" si="32"/>
        <v>2.4901189792870704E-2</v>
      </c>
    </row>
    <row r="1044" spans="1:16" x14ac:dyDescent="0.35">
      <c r="A1044" s="1">
        <v>41213</v>
      </c>
      <c r="B1044">
        <v>-1.7836999999999999E-2</v>
      </c>
      <c r="C1044">
        <v>-1.9227000000000001E-2</v>
      </c>
      <c r="D1044">
        <v>-7.5770000000000004E-3</v>
      </c>
      <c r="E1044">
        <v>-8.8210000000000007E-3</v>
      </c>
      <c r="F1044">
        <v>13042326200</v>
      </c>
      <c r="G1044">
        <v>500</v>
      </c>
      <c r="H1044">
        <v>13349129300</v>
      </c>
      <c r="I1044">
        <v>500</v>
      </c>
      <c r="J1044">
        <v>1412.16</v>
      </c>
      <c r="K1044">
        <v>-1.9789000000000001E-2</v>
      </c>
      <c r="L1044">
        <v>0.01</v>
      </c>
      <c r="M1044">
        <v>231.63800000000001</v>
      </c>
      <c r="N1044">
        <f t="shared" si="30"/>
        <v>-2.0478568089001059E-2</v>
      </c>
      <c r="O1044">
        <f t="shared" si="31"/>
        <v>-2.5898103938042372E-3</v>
      </c>
      <c r="P1044">
        <f t="shared" si="32"/>
        <v>-1.7888757695196822E-2</v>
      </c>
    </row>
    <row r="1045" spans="1:16" x14ac:dyDescent="0.35">
      <c r="A1045" s="1">
        <v>41243</v>
      </c>
      <c r="B1045">
        <v>5.326E-3</v>
      </c>
      <c r="C1045">
        <v>2.1540000000000001E-3</v>
      </c>
      <c r="D1045">
        <v>1.3639999999999999E-2</v>
      </c>
      <c r="E1045">
        <v>1.0684000000000001E-2</v>
      </c>
      <c r="F1045">
        <v>13053457900</v>
      </c>
      <c r="G1045">
        <v>500</v>
      </c>
      <c r="H1045">
        <v>13042326200</v>
      </c>
      <c r="I1045">
        <v>500</v>
      </c>
      <c r="J1045">
        <v>1416.18</v>
      </c>
      <c r="K1045">
        <v>2.8470000000000001E-3</v>
      </c>
      <c r="L1045">
        <v>0.01</v>
      </c>
      <c r="M1045">
        <v>231.249</v>
      </c>
      <c r="N1045">
        <f t="shared" si="30"/>
        <v>7.0171286708267111E-3</v>
      </c>
      <c r="O1045">
        <f t="shared" si="31"/>
        <v>1.7823376533521174E-3</v>
      </c>
      <c r="P1045">
        <f t="shared" si="32"/>
        <v>5.2347910174745937E-3</v>
      </c>
    </row>
    <row r="1046" spans="1:16" x14ac:dyDescent="0.35">
      <c r="A1046" s="1">
        <v>41274</v>
      </c>
      <c r="B1046">
        <v>8.5079999999999999E-3</v>
      </c>
      <c r="C1046">
        <v>5.9020000000000001E-3</v>
      </c>
      <c r="D1046">
        <v>2.4486000000000001E-2</v>
      </c>
      <c r="E1046">
        <v>2.1415E-2</v>
      </c>
      <c r="F1046">
        <v>13142271500</v>
      </c>
      <c r="G1046">
        <v>500</v>
      </c>
      <c r="H1046">
        <v>13072103700</v>
      </c>
      <c r="I1046">
        <v>500</v>
      </c>
      <c r="J1046">
        <v>1426.19</v>
      </c>
      <c r="K1046">
        <v>7.0679999999999996E-3</v>
      </c>
      <c r="L1046">
        <v>0.01</v>
      </c>
      <c r="M1046">
        <v>231.221</v>
      </c>
      <c r="N1046">
        <f t="shared" si="30"/>
        <v>8.6301265542489958E-3</v>
      </c>
      <c r="O1046">
        <f t="shared" si="31"/>
        <v>2.2110837683420037E-4</v>
      </c>
      <c r="P1046">
        <f t="shared" si="32"/>
        <v>8.4090181774147954E-3</v>
      </c>
    </row>
    <row r="1047" spans="1:16" x14ac:dyDescent="0.35">
      <c r="A1047" s="1">
        <v>41305</v>
      </c>
      <c r="B1047">
        <v>5.2360999999999998E-2</v>
      </c>
      <c r="C1047">
        <v>5.1024E-2</v>
      </c>
      <c r="D1047">
        <v>6.5471000000000001E-2</v>
      </c>
      <c r="E1047">
        <v>6.4659999999999995E-2</v>
      </c>
      <c r="F1047">
        <v>13808364900</v>
      </c>
      <c r="G1047">
        <v>500</v>
      </c>
      <c r="H1047">
        <v>13194165100</v>
      </c>
      <c r="I1047">
        <v>500</v>
      </c>
      <c r="J1047">
        <v>1498.11</v>
      </c>
      <c r="K1047">
        <v>5.0428000000000001E-2</v>
      </c>
      <c r="L1047">
        <v>0</v>
      </c>
      <c r="M1047">
        <v>231.679</v>
      </c>
      <c r="N1047">
        <f t="shared" si="30"/>
        <v>5.0280615770095682E-2</v>
      </c>
      <c r="O1047">
        <f t="shared" si="31"/>
        <v>-1.9768731736583556E-3</v>
      </c>
      <c r="P1047">
        <f t="shared" si="32"/>
        <v>5.2257488943754038E-2</v>
      </c>
    </row>
    <row r="1048" spans="1:16" x14ac:dyDescent="0.35">
      <c r="A1048" s="1">
        <v>41333</v>
      </c>
      <c r="B1048">
        <v>1.3013E-2</v>
      </c>
      <c r="C1048">
        <v>1.0511E-2</v>
      </c>
      <c r="D1048">
        <v>1.1986E-2</v>
      </c>
      <c r="E1048">
        <v>1.0007E-2</v>
      </c>
      <c r="F1048">
        <v>13922280600</v>
      </c>
      <c r="G1048">
        <v>500</v>
      </c>
      <c r="H1048">
        <v>13815166500</v>
      </c>
      <c r="I1048">
        <v>500</v>
      </c>
      <c r="J1048">
        <v>1514.68</v>
      </c>
      <c r="K1048">
        <v>1.1061E-2</v>
      </c>
      <c r="L1048">
        <v>0</v>
      </c>
      <c r="M1048">
        <v>232.93700000000001</v>
      </c>
      <c r="N1048">
        <f t="shared" si="30"/>
        <v>7.5421200882641593E-3</v>
      </c>
      <c r="O1048">
        <f t="shared" si="31"/>
        <v>-5.4006018794782173E-3</v>
      </c>
      <c r="P1048">
        <f t="shared" si="32"/>
        <v>1.2942721967742377E-2</v>
      </c>
    </row>
    <row r="1049" spans="1:16" x14ac:dyDescent="0.35">
      <c r="A1049" s="1">
        <v>41361</v>
      </c>
      <c r="B1049">
        <v>3.7583999999999999E-2</v>
      </c>
      <c r="C1049">
        <v>3.6025000000000001E-2</v>
      </c>
      <c r="D1049">
        <v>4.2924999999999998E-2</v>
      </c>
      <c r="E1049">
        <v>4.0986000000000002E-2</v>
      </c>
      <c r="F1049">
        <v>14436687900</v>
      </c>
      <c r="G1049">
        <v>500</v>
      </c>
      <c r="H1049">
        <v>13922280600</v>
      </c>
      <c r="I1049">
        <v>500</v>
      </c>
      <c r="J1049">
        <v>1569.19</v>
      </c>
      <c r="K1049">
        <v>3.5987999999999999E-2</v>
      </c>
      <c r="L1049">
        <v>0</v>
      </c>
      <c r="M1049">
        <v>232.28200000000001</v>
      </c>
      <c r="N1049">
        <f t="shared" si="30"/>
        <v>4.0509829465907865E-2</v>
      </c>
      <c r="O1049">
        <f t="shared" si="31"/>
        <v>2.8198482878569742E-3</v>
      </c>
      <c r="P1049">
        <f t="shared" si="32"/>
        <v>3.7689981178050891E-2</v>
      </c>
    </row>
    <row r="1050" spans="1:16" x14ac:dyDescent="0.35">
      <c r="A1050" s="1">
        <v>41394</v>
      </c>
      <c r="B1050">
        <v>1.9621E-2</v>
      </c>
      <c r="C1050">
        <v>1.8481999999999998E-2</v>
      </c>
      <c r="D1050">
        <v>1.5737000000000001E-2</v>
      </c>
      <c r="E1050">
        <v>1.4959999999999999E-2</v>
      </c>
      <c r="F1050">
        <v>14691831600</v>
      </c>
      <c r="G1050">
        <v>500</v>
      </c>
      <c r="H1050">
        <v>14436687900</v>
      </c>
      <c r="I1050">
        <v>500</v>
      </c>
      <c r="J1050">
        <v>1597.57</v>
      </c>
      <c r="K1050">
        <v>1.8086000000000001E-2</v>
      </c>
      <c r="L1050">
        <v>0</v>
      </c>
      <c r="M1050">
        <v>231.797</v>
      </c>
      <c r="N1050">
        <f t="shared" si="30"/>
        <v>2.1754402006928464E-2</v>
      </c>
      <c r="O1050">
        <f t="shared" si="31"/>
        <v>2.0923480459196231E-3</v>
      </c>
      <c r="P1050">
        <f t="shared" si="32"/>
        <v>1.9662053961008841E-2</v>
      </c>
    </row>
    <row r="1051" spans="1:16" x14ac:dyDescent="0.35">
      <c r="A1051" s="1">
        <v>41425</v>
      </c>
      <c r="B1051">
        <v>2.3120000000000002E-2</v>
      </c>
      <c r="C1051">
        <v>2.0441000000000001E-2</v>
      </c>
      <c r="D1051">
        <v>2.8393999999999999E-2</v>
      </c>
      <c r="E1051">
        <v>2.6277999999999999E-2</v>
      </c>
      <c r="F1051">
        <v>15008107900</v>
      </c>
      <c r="G1051">
        <v>500</v>
      </c>
      <c r="H1051">
        <v>14719481600</v>
      </c>
      <c r="I1051">
        <v>500</v>
      </c>
      <c r="J1051">
        <v>1630.74</v>
      </c>
      <c r="K1051">
        <v>2.0763E-2</v>
      </c>
      <c r="L1051">
        <v>0</v>
      </c>
      <c r="M1051">
        <v>231.893</v>
      </c>
      <c r="N1051">
        <f t="shared" ref="N1051:N1114" si="33">(1+B1051)*M1050/M1051-1</f>
        <v>2.2696444653353076E-2</v>
      </c>
      <c r="O1051">
        <f t="shared" ref="O1051:O1114" si="34">(1+L1051/100)*M1050/M1051-1</f>
        <v>-4.1398403574066656E-4</v>
      </c>
      <c r="P1051">
        <f t="shared" ref="P1051:P1114" si="35">N1051-O1051</f>
        <v>2.3110428689093743E-2</v>
      </c>
    </row>
    <row r="1052" spans="1:16" x14ac:dyDescent="0.35">
      <c r="A1052" s="1">
        <v>41453</v>
      </c>
      <c r="B1052">
        <v>-1.3601E-2</v>
      </c>
      <c r="C1052">
        <v>-1.5262E-2</v>
      </c>
      <c r="D1052">
        <v>-1.0495000000000001E-2</v>
      </c>
      <c r="E1052">
        <v>-1.2486000000000001E-2</v>
      </c>
      <c r="F1052">
        <v>14791521300</v>
      </c>
      <c r="G1052">
        <v>500</v>
      </c>
      <c r="H1052">
        <v>15031852600</v>
      </c>
      <c r="I1052">
        <v>500</v>
      </c>
      <c r="J1052">
        <v>1606.28</v>
      </c>
      <c r="K1052">
        <v>-1.4999E-2</v>
      </c>
      <c r="L1052">
        <v>0</v>
      </c>
      <c r="M1052">
        <v>232.44499999999999</v>
      </c>
      <c r="N1052">
        <f t="shared" si="33"/>
        <v>-1.5943456271376055E-2</v>
      </c>
      <c r="O1052">
        <f t="shared" si="34"/>
        <v>-2.3747553184624293E-3</v>
      </c>
      <c r="P1052">
        <f t="shared" si="35"/>
        <v>-1.3568700952913626E-2</v>
      </c>
    </row>
    <row r="1053" spans="1:16" x14ac:dyDescent="0.35">
      <c r="A1053" s="1">
        <v>41486</v>
      </c>
      <c r="B1053">
        <v>5.0672000000000002E-2</v>
      </c>
      <c r="C1053">
        <v>4.9286999999999997E-2</v>
      </c>
      <c r="D1053">
        <v>5.5143999999999999E-2</v>
      </c>
      <c r="E1053">
        <v>5.4233999999999997E-2</v>
      </c>
      <c r="F1053">
        <v>15481333300</v>
      </c>
      <c r="G1053">
        <v>500</v>
      </c>
      <c r="H1053">
        <v>14786715400</v>
      </c>
      <c r="I1053">
        <v>500</v>
      </c>
      <c r="J1053">
        <v>1685.73</v>
      </c>
      <c r="K1053">
        <v>4.9461999999999999E-2</v>
      </c>
      <c r="L1053">
        <v>0</v>
      </c>
      <c r="M1053">
        <v>232.9</v>
      </c>
      <c r="N1053">
        <f t="shared" si="33"/>
        <v>4.8619377586947232E-2</v>
      </c>
      <c r="O1053">
        <f t="shared" si="34"/>
        <v>-1.9536281665951671E-3</v>
      </c>
      <c r="P1053">
        <f t="shared" si="35"/>
        <v>5.0573005753542399E-2</v>
      </c>
    </row>
    <row r="1054" spans="1:16" x14ac:dyDescent="0.35">
      <c r="A1054" s="1">
        <v>41516</v>
      </c>
      <c r="B1054">
        <v>-2.9207E-2</v>
      </c>
      <c r="C1054">
        <v>-3.1637999999999999E-2</v>
      </c>
      <c r="D1054">
        <v>-2.7829E-2</v>
      </c>
      <c r="E1054">
        <v>-2.9855E-2</v>
      </c>
      <c r="F1054">
        <v>14967939700</v>
      </c>
      <c r="G1054">
        <v>500</v>
      </c>
      <c r="H1054">
        <v>15481333300</v>
      </c>
      <c r="I1054">
        <v>500</v>
      </c>
      <c r="J1054">
        <v>1632.97</v>
      </c>
      <c r="K1054">
        <v>-3.1297999999999999E-2</v>
      </c>
      <c r="L1054">
        <v>0</v>
      </c>
      <c r="M1054">
        <v>233.45599999999999</v>
      </c>
      <c r="N1054">
        <f t="shared" si="33"/>
        <v>-3.1519045558906056E-2</v>
      </c>
      <c r="O1054">
        <f t="shared" si="34"/>
        <v>-2.3816050990336235E-3</v>
      </c>
      <c r="P1054">
        <f t="shared" si="35"/>
        <v>-2.9137440459872432E-2</v>
      </c>
    </row>
    <row r="1055" spans="1:16" x14ac:dyDescent="0.35">
      <c r="A1055" s="1">
        <v>41547</v>
      </c>
      <c r="B1055">
        <v>3.1660000000000001E-2</v>
      </c>
      <c r="C1055">
        <v>3.0064E-2</v>
      </c>
      <c r="D1055">
        <v>4.0402E-2</v>
      </c>
      <c r="E1055">
        <v>3.8552000000000003E-2</v>
      </c>
      <c r="F1055">
        <v>15425476800</v>
      </c>
      <c r="G1055">
        <v>500</v>
      </c>
      <c r="H1055">
        <v>14998800000</v>
      </c>
      <c r="I1055">
        <v>500</v>
      </c>
      <c r="J1055">
        <v>1681.55</v>
      </c>
      <c r="K1055">
        <v>2.9749000000000001E-2</v>
      </c>
      <c r="L1055">
        <v>0</v>
      </c>
      <c r="M1055">
        <v>233.54400000000001</v>
      </c>
      <c r="N1055">
        <f t="shared" si="33"/>
        <v>3.1271267769670708E-2</v>
      </c>
      <c r="O1055">
        <f t="shared" si="34"/>
        <v>-3.7680265817152669E-4</v>
      </c>
      <c r="P1055">
        <f t="shared" si="35"/>
        <v>3.1648070427842234E-2</v>
      </c>
    </row>
    <row r="1056" spans="1:16" x14ac:dyDescent="0.35">
      <c r="A1056" s="1">
        <v>41578</v>
      </c>
      <c r="B1056">
        <v>4.6267999999999997E-2</v>
      </c>
      <c r="C1056">
        <v>4.4953E-2</v>
      </c>
      <c r="D1056">
        <v>4.2827999999999998E-2</v>
      </c>
      <c r="E1056">
        <v>4.1839000000000001E-2</v>
      </c>
      <c r="F1056">
        <v>16084261800</v>
      </c>
      <c r="G1056">
        <v>500</v>
      </c>
      <c r="H1056">
        <v>15417335700</v>
      </c>
      <c r="I1056">
        <v>500</v>
      </c>
      <c r="J1056">
        <v>1756.54</v>
      </c>
      <c r="K1056">
        <v>4.4595999999999997E-2</v>
      </c>
      <c r="L1056">
        <v>0</v>
      </c>
      <c r="M1056">
        <v>233.66900000000001</v>
      </c>
      <c r="N1056">
        <f t="shared" si="33"/>
        <v>4.570830444774443E-2</v>
      </c>
      <c r="O1056">
        <f t="shared" si="34"/>
        <v>-5.3494472951054473E-4</v>
      </c>
      <c r="P1056">
        <f t="shared" si="35"/>
        <v>4.6243249177254975E-2</v>
      </c>
    </row>
    <row r="1057" spans="1:16" x14ac:dyDescent="0.35">
      <c r="A1057" s="1">
        <v>41607</v>
      </c>
      <c r="B1057">
        <v>3.0817000000000001E-2</v>
      </c>
      <c r="C1057">
        <v>2.8398E-2</v>
      </c>
      <c r="D1057">
        <v>2.3739E-2</v>
      </c>
      <c r="E1057">
        <v>2.1742999999999998E-2</v>
      </c>
      <c r="F1057">
        <v>16530422500</v>
      </c>
      <c r="G1057">
        <v>500</v>
      </c>
      <c r="H1057">
        <v>16089180200</v>
      </c>
      <c r="I1057">
        <v>500</v>
      </c>
      <c r="J1057">
        <v>1805.81</v>
      </c>
      <c r="K1057">
        <v>2.8049000000000001E-2</v>
      </c>
      <c r="L1057">
        <v>0</v>
      </c>
      <c r="M1057">
        <v>234.1</v>
      </c>
      <c r="N1057">
        <f t="shared" si="33"/>
        <v>2.8919169470311923E-2</v>
      </c>
      <c r="O1057">
        <f t="shared" si="34"/>
        <v>-1.8410935497650271E-3</v>
      </c>
      <c r="P1057">
        <f t="shared" si="35"/>
        <v>3.076026302007695E-2</v>
      </c>
    </row>
    <row r="1058" spans="1:16" x14ac:dyDescent="0.35">
      <c r="A1058" s="1">
        <v>41639</v>
      </c>
      <c r="B1058">
        <v>2.5950000000000001E-2</v>
      </c>
      <c r="C1058">
        <v>2.4195999999999999E-2</v>
      </c>
      <c r="D1058">
        <v>2.9739000000000002E-2</v>
      </c>
      <c r="E1058">
        <v>2.7709999999999999E-2</v>
      </c>
      <c r="F1058">
        <v>17040676100</v>
      </c>
      <c r="G1058">
        <v>500</v>
      </c>
      <c r="H1058">
        <v>16648053400</v>
      </c>
      <c r="I1058">
        <v>500</v>
      </c>
      <c r="J1058">
        <v>1848.36</v>
      </c>
      <c r="K1058">
        <v>2.3563000000000001E-2</v>
      </c>
      <c r="L1058">
        <v>0</v>
      </c>
      <c r="M1058">
        <v>234.71899999999999</v>
      </c>
      <c r="N1058">
        <f t="shared" si="33"/>
        <v>2.3244368798435389E-2</v>
      </c>
      <c r="O1058">
        <f t="shared" si="34"/>
        <v>-2.6371959662404576E-3</v>
      </c>
      <c r="P1058">
        <f t="shared" si="35"/>
        <v>2.5881564764675846E-2</v>
      </c>
    </row>
    <row r="1059" spans="1:16" x14ac:dyDescent="0.35">
      <c r="A1059" s="1">
        <v>41670</v>
      </c>
      <c r="B1059">
        <v>-3.4666000000000002E-2</v>
      </c>
      <c r="C1059">
        <v>-3.5730999999999999E-2</v>
      </c>
      <c r="D1059">
        <v>-2.9735000000000001E-2</v>
      </c>
      <c r="E1059">
        <v>-3.057E-2</v>
      </c>
      <c r="F1059">
        <v>16410535500</v>
      </c>
      <c r="G1059">
        <v>500</v>
      </c>
      <c r="H1059">
        <v>17038410100</v>
      </c>
      <c r="I1059">
        <v>500</v>
      </c>
      <c r="J1059">
        <v>1782.59</v>
      </c>
      <c r="K1059">
        <v>-3.5582999999999997E-2</v>
      </c>
      <c r="L1059">
        <v>0</v>
      </c>
      <c r="M1059">
        <v>235.28800000000001</v>
      </c>
      <c r="N1059">
        <f t="shared" si="33"/>
        <v>-3.7000479641970729E-2</v>
      </c>
      <c r="O1059">
        <f t="shared" si="34"/>
        <v>-2.4183128761348094E-3</v>
      </c>
      <c r="P1059">
        <f t="shared" si="35"/>
        <v>-3.458216676583592E-2</v>
      </c>
    </row>
    <row r="1060" spans="1:16" x14ac:dyDescent="0.35">
      <c r="A1060" s="1">
        <v>41698</v>
      </c>
      <c r="B1060">
        <v>4.5756999999999999E-2</v>
      </c>
      <c r="C1060">
        <v>4.3194000000000003E-2</v>
      </c>
      <c r="D1060">
        <v>5.3918000000000001E-2</v>
      </c>
      <c r="E1060">
        <v>5.1783000000000003E-2</v>
      </c>
      <c r="F1060">
        <v>17141525900</v>
      </c>
      <c r="G1060">
        <v>500</v>
      </c>
      <c r="H1060">
        <v>16410535500</v>
      </c>
      <c r="I1060">
        <v>500</v>
      </c>
      <c r="J1060">
        <v>1859.45</v>
      </c>
      <c r="K1060">
        <v>4.3117000000000003E-2</v>
      </c>
      <c r="L1060">
        <v>0</v>
      </c>
      <c r="M1060">
        <v>235.547</v>
      </c>
      <c r="N1060">
        <f t="shared" si="33"/>
        <v>4.4607118817051372E-2</v>
      </c>
      <c r="O1060">
        <f t="shared" si="34"/>
        <v>-1.0995682390350092E-3</v>
      </c>
      <c r="P1060">
        <f t="shared" si="35"/>
        <v>4.5706687056086381E-2</v>
      </c>
    </row>
    <row r="1061" spans="1:16" x14ac:dyDescent="0.35">
      <c r="A1061" s="1">
        <v>41729</v>
      </c>
      <c r="B1061">
        <v>8.0560000000000007E-3</v>
      </c>
      <c r="C1061">
        <v>6.5370000000000003E-3</v>
      </c>
      <c r="D1061">
        <v>7.2459999999999998E-3</v>
      </c>
      <c r="E1061">
        <v>5.3680000000000004E-3</v>
      </c>
      <c r="F1061">
        <v>17232591700</v>
      </c>
      <c r="G1061">
        <v>500</v>
      </c>
      <c r="H1061">
        <v>17156265600</v>
      </c>
      <c r="I1061">
        <v>500</v>
      </c>
      <c r="J1061">
        <v>1872.34</v>
      </c>
      <c r="K1061">
        <v>6.9319999999999998E-3</v>
      </c>
      <c r="L1061">
        <v>0</v>
      </c>
      <c r="M1061">
        <v>236.02799999999999</v>
      </c>
      <c r="N1061">
        <f t="shared" si="33"/>
        <v>6.0016889182639144E-3</v>
      </c>
      <c r="O1061">
        <f t="shared" si="34"/>
        <v>-2.0378938092090459E-3</v>
      </c>
      <c r="P1061">
        <f t="shared" si="35"/>
        <v>8.0395827274729603E-3</v>
      </c>
    </row>
    <row r="1062" spans="1:16" x14ac:dyDescent="0.35">
      <c r="A1062" s="1">
        <v>41759</v>
      </c>
      <c r="B1062">
        <v>6.5550000000000001E-3</v>
      </c>
      <c r="C1062">
        <v>5.3880000000000004E-3</v>
      </c>
      <c r="D1062">
        <v>3.3579999999999999E-3</v>
      </c>
      <c r="E1062">
        <v>2.4940000000000001E-3</v>
      </c>
      <c r="F1062">
        <v>17338111900</v>
      </c>
      <c r="G1062">
        <v>501</v>
      </c>
      <c r="H1062">
        <v>17423852200</v>
      </c>
      <c r="I1062">
        <v>501</v>
      </c>
      <c r="J1062">
        <v>1883.95</v>
      </c>
      <c r="K1062">
        <v>6.2009999999999999E-3</v>
      </c>
      <c r="L1062">
        <v>0</v>
      </c>
      <c r="M1062">
        <v>236.46799999999999</v>
      </c>
      <c r="N1062">
        <f t="shared" si="33"/>
        <v>4.6820861173606509E-3</v>
      </c>
      <c r="O1062">
        <f t="shared" si="34"/>
        <v>-1.8607168834683385E-3</v>
      </c>
      <c r="P1062">
        <f t="shared" si="35"/>
        <v>6.5428030008289895E-3</v>
      </c>
    </row>
    <row r="1063" spans="1:16" x14ac:dyDescent="0.35">
      <c r="A1063" s="1">
        <v>41789</v>
      </c>
      <c r="B1063">
        <v>2.3309E-2</v>
      </c>
      <c r="C1063">
        <v>2.0895E-2</v>
      </c>
      <c r="D1063">
        <v>2.3074999999999998E-2</v>
      </c>
      <c r="E1063">
        <v>2.1072E-2</v>
      </c>
      <c r="F1063">
        <v>17675521400</v>
      </c>
      <c r="G1063">
        <v>501</v>
      </c>
      <c r="H1063">
        <v>17338451200</v>
      </c>
      <c r="I1063">
        <v>501</v>
      </c>
      <c r="J1063">
        <v>1923.57</v>
      </c>
      <c r="K1063">
        <v>2.103E-2</v>
      </c>
      <c r="L1063">
        <v>0</v>
      </c>
      <c r="M1063">
        <v>236.91800000000001</v>
      </c>
      <c r="N1063">
        <f t="shared" si="33"/>
        <v>2.1365335736415192E-2</v>
      </c>
      <c r="O1063">
        <f t="shared" si="34"/>
        <v>-1.8993913505939153E-3</v>
      </c>
      <c r="P1063">
        <f t="shared" si="35"/>
        <v>2.3264727087009107E-2</v>
      </c>
    </row>
    <row r="1064" spans="1:16" x14ac:dyDescent="0.35">
      <c r="A1064" s="1">
        <v>41820</v>
      </c>
      <c r="B1064">
        <v>2.0635000000000001E-2</v>
      </c>
      <c r="C1064">
        <v>1.9047999999999999E-2</v>
      </c>
      <c r="D1064">
        <v>2.8313000000000001E-2</v>
      </c>
      <c r="E1064">
        <v>2.6464999999999999E-2</v>
      </c>
      <c r="F1064">
        <v>17997792100</v>
      </c>
      <c r="G1064">
        <v>501</v>
      </c>
      <c r="H1064">
        <v>17683660200</v>
      </c>
      <c r="I1064">
        <v>501</v>
      </c>
      <c r="J1064">
        <v>1960.23</v>
      </c>
      <c r="K1064">
        <v>1.9057999999999999E-2</v>
      </c>
      <c r="L1064">
        <v>0</v>
      </c>
      <c r="M1064">
        <v>237.23099999999999</v>
      </c>
      <c r="N1064">
        <f t="shared" si="33"/>
        <v>1.9288385286914567E-2</v>
      </c>
      <c r="O1064">
        <f t="shared" si="34"/>
        <v>-1.3193891186227269E-3</v>
      </c>
      <c r="P1064">
        <f t="shared" si="35"/>
        <v>2.0607774405537294E-2</v>
      </c>
    </row>
    <row r="1065" spans="1:16" x14ac:dyDescent="0.35">
      <c r="A1065" s="1">
        <v>41851</v>
      </c>
      <c r="B1065">
        <v>-1.3974E-2</v>
      </c>
      <c r="C1065">
        <v>-1.5278E-2</v>
      </c>
      <c r="D1065">
        <v>-2.2523999999999999E-2</v>
      </c>
      <c r="E1065">
        <v>-2.3460999999999999E-2</v>
      </c>
      <c r="F1065">
        <v>17705580400</v>
      </c>
      <c r="G1065">
        <v>501</v>
      </c>
      <c r="H1065">
        <v>17984429900</v>
      </c>
      <c r="I1065">
        <v>501</v>
      </c>
      <c r="J1065">
        <v>1930.67</v>
      </c>
      <c r="K1065">
        <v>-1.508E-2</v>
      </c>
      <c r="L1065">
        <v>0</v>
      </c>
      <c r="M1065">
        <v>237.49799999999999</v>
      </c>
      <c r="N1065">
        <f t="shared" si="33"/>
        <v>-1.5082510143243355E-2</v>
      </c>
      <c r="O1065">
        <f t="shared" si="34"/>
        <v>-1.1242199934314856E-3</v>
      </c>
      <c r="P1065">
        <f t="shared" si="35"/>
        <v>-1.3958290149811869E-2</v>
      </c>
    </row>
    <row r="1066" spans="1:16" x14ac:dyDescent="0.35">
      <c r="A1066" s="1">
        <v>41880</v>
      </c>
      <c r="B1066">
        <v>3.9777E-2</v>
      </c>
      <c r="C1066">
        <v>3.7446E-2</v>
      </c>
      <c r="D1066">
        <v>4.2779999999999999E-2</v>
      </c>
      <c r="E1066">
        <v>4.0767999999999999E-2</v>
      </c>
      <c r="F1066">
        <v>18342510800</v>
      </c>
      <c r="G1066">
        <v>502</v>
      </c>
      <c r="H1066">
        <v>17711716900</v>
      </c>
      <c r="I1066">
        <v>502</v>
      </c>
      <c r="J1066">
        <v>2003.37</v>
      </c>
      <c r="K1066">
        <v>3.7655000000000001E-2</v>
      </c>
      <c r="L1066">
        <v>0</v>
      </c>
      <c r="M1066">
        <v>237.46</v>
      </c>
      <c r="N1066">
        <f t="shared" si="33"/>
        <v>3.9943392343973594E-2</v>
      </c>
      <c r="O1066">
        <f t="shared" si="34"/>
        <v>1.6002695190753258E-4</v>
      </c>
      <c r="P1066">
        <f t="shared" si="35"/>
        <v>3.9783365392066061E-2</v>
      </c>
    </row>
    <row r="1067" spans="1:16" x14ac:dyDescent="0.35">
      <c r="A1067" s="1">
        <v>41912</v>
      </c>
      <c r="B1067">
        <v>-1.3927999999999999E-2</v>
      </c>
      <c r="C1067">
        <v>-1.5467E-2</v>
      </c>
      <c r="D1067">
        <v>-2.5297E-2</v>
      </c>
      <c r="E1067">
        <v>-2.7212E-2</v>
      </c>
      <c r="F1067">
        <v>18057660200</v>
      </c>
      <c r="G1067">
        <v>502</v>
      </c>
      <c r="H1067">
        <v>18356673600</v>
      </c>
      <c r="I1067">
        <v>502</v>
      </c>
      <c r="J1067">
        <v>1972.29</v>
      </c>
      <c r="K1067">
        <v>-1.5514E-2</v>
      </c>
      <c r="L1067">
        <v>0</v>
      </c>
      <c r="M1067">
        <v>237.477</v>
      </c>
      <c r="N1067">
        <f t="shared" si="33"/>
        <v>-1.3998588831760639E-2</v>
      </c>
      <c r="O1067">
        <f t="shared" si="34"/>
        <v>-7.1585879895752491E-5</v>
      </c>
      <c r="P1067">
        <f t="shared" si="35"/>
        <v>-1.3927002951864886E-2</v>
      </c>
    </row>
    <row r="1068" spans="1:16" x14ac:dyDescent="0.35">
      <c r="A1068" s="1">
        <v>41943</v>
      </c>
      <c r="B1068">
        <v>2.3972E-2</v>
      </c>
      <c r="C1068">
        <v>2.2800000000000001E-2</v>
      </c>
      <c r="D1068">
        <v>2.9874000000000001E-2</v>
      </c>
      <c r="E1068">
        <v>2.8922E-2</v>
      </c>
      <c r="F1068">
        <v>18434167500</v>
      </c>
      <c r="G1068">
        <v>502</v>
      </c>
      <c r="H1068">
        <v>18057660200</v>
      </c>
      <c r="I1068">
        <v>502</v>
      </c>
      <c r="J1068">
        <v>2018.05</v>
      </c>
      <c r="K1068">
        <v>2.3200999999999999E-2</v>
      </c>
      <c r="L1068">
        <v>0</v>
      </c>
      <c r="M1068">
        <v>237.43</v>
      </c>
      <c r="N1068">
        <f t="shared" si="33"/>
        <v>2.4174698412163576E-2</v>
      </c>
      <c r="O1068">
        <f t="shared" si="34"/>
        <v>1.9795308090797548E-4</v>
      </c>
      <c r="P1068">
        <f t="shared" si="35"/>
        <v>2.39767453312556E-2</v>
      </c>
    </row>
    <row r="1069" spans="1:16" x14ac:dyDescent="0.35">
      <c r="A1069" s="1">
        <v>41971</v>
      </c>
      <c r="B1069">
        <v>2.7630999999999999E-2</v>
      </c>
      <c r="C1069">
        <v>2.5159000000000001E-2</v>
      </c>
      <c r="D1069">
        <v>2.4246E-2</v>
      </c>
      <c r="E1069">
        <v>2.1776E-2</v>
      </c>
      <c r="F1069">
        <v>18871755500</v>
      </c>
      <c r="G1069">
        <v>502</v>
      </c>
      <c r="H1069">
        <v>18441296500</v>
      </c>
      <c r="I1069">
        <v>502</v>
      </c>
      <c r="J1069">
        <v>2067.56</v>
      </c>
      <c r="K1069">
        <v>2.4534E-2</v>
      </c>
      <c r="L1069">
        <v>0</v>
      </c>
      <c r="M1069">
        <v>236.983</v>
      </c>
      <c r="N1069">
        <f t="shared" si="33"/>
        <v>2.956932915019217E-2</v>
      </c>
      <c r="O1069">
        <f t="shared" si="34"/>
        <v>1.8862112472202153E-3</v>
      </c>
      <c r="P1069">
        <f t="shared" si="35"/>
        <v>2.7683117902971954E-2</v>
      </c>
    </row>
    <row r="1070" spans="1:16" x14ac:dyDescent="0.35">
      <c r="A1070" s="1">
        <v>42004</v>
      </c>
      <c r="B1070">
        <v>-2.4729999999999999E-3</v>
      </c>
      <c r="C1070">
        <v>-4.2490000000000002E-3</v>
      </c>
      <c r="D1070">
        <v>3.4689999999999999E-3</v>
      </c>
      <c r="E1070">
        <v>1.4530000000000001E-3</v>
      </c>
      <c r="F1070">
        <v>18847408800</v>
      </c>
      <c r="G1070">
        <v>502</v>
      </c>
      <c r="H1070">
        <v>18884186200</v>
      </c>
      <c r="I1070">
        <v>502</v>
      </c>
      <c r="J1070">
        <v>2058.9</v>
      </c>
      <c r="K1070">
        <v>-4.189E-3</v>
      </c>
      <c r="L1070">
        <v>0</v>
      </c>
      <c r="M1070">
        <v>236.25200000000001</v>
      </c>
      <c r="N1070">
        <f t="shared" si="33"/>
        <v>6.1350185818542791E-4</v>
      </c>
      <c r="O1070">
        <f t="shared" si="34"/>
        <v>3.0941537002862063E-3</v>
      </c>
      <c r="P1070">
        <f t="shared" si="35"/>
        <v>-2.4806518421007784E-3</v>
      </c>
    </row>
    <row r="1071" spans="1:16" x14ac:dyDescent="0.35">
      <c r="A1071" s="1">
        <v>42034</v>
      </c>
      <c r="B1071">
        <v>-2.9430000000000001E-2</v>
      </c>
      <c r="C1071">
        <v>-3.0467999999999999E-2</v>
      </c>
      <c r="D1071">
        <v>-2.8079E-2</v>
      </c>
      <c r="E1071">
        <v>-2.8806999999999999E-2</v>
      </c>
      <c r="F1071">
        <v>18291336700</v>
      </c>
      <c r="G1071">
        <v>502</v>
      </c>
      <c r="H1071">
        <v>18835922300</v>
      </c>
      <c r="I1071">
        <v>502</v>
      </c>
      <c r="J1071">
        <v>1994.99</v>
      </c>
      <c r="K1071">
        <v>-3.1040999999999999E-2</v>
      </c>
      <c r="L1071">
        <v>0</v>
      </c>
      <c r="M1071">
        <v>234.74700000000001</v>
      </c>
      <c r="N1071">
        <f t="shared" si="33"/>
        <v>-2.3207522822442872E-2</v>
      </c>
      <c r="O1071">
        <f t="shared" si="34"/>
        <v>6.4111575440792823E-3</v>
      </c>
      <c r="P1071">
        <f t="shared" si="35"/>
        <v>-2.9618680366522154E-2</v>
      </c>
    </row>
    <row r="1072" spans="1:16" x14ac:dyDescent="0.35">
      <c r="A1072" s="1">
        <v>42062</v>
      </c>
      <c r="B1072">
        <v>5.6975999999999999E-2</v>
      </c>
      <c r="C1072">
        <v>5.4304999999999999E-2</v>
      </c>
      <c r="D1072">
        <v>5.8576999999999997E-2</v>
      </c>
      <c r="E1072">
        <v>5.6319000000000001E-2</v>
      </c>
      <c r="F1072">
        <v>19233834700</v>
      </c>
      <c r="G1072">
        <v>502</v>
      </c>
      <c r="H1072">
        <v>18291336700</v>
      </c>
      <c r="I1072">
        <v>502</v>
      </c>
      <c r="J1072">
        <v>2104.5</v>
      </c>
      <c r="K1072">
        <v>5.4892999999999997E-2</v>
      </c>
      <c r="L1072">
        <v>0</v>
      </c>
      <c r="M1072">
        <v>235.34200000000001</v>
      </c>
      <c r="N1072">
        <f t="shared" si="33"/>
        <v>5.4303715749844716E-2</v>
      </c>
      <c r="O1072">
        <f t="shared" si="34"/>
        <v>-2.5282355040748827E-3</v>
      </c>
      <c r="P1072">
        <f t="shared" si="35"/>
        <v>5.6831951253919599E-2</v>
      </c>
    </row>
    <row r="1073" spans="1:16" x14ac:dyDescent="0.35">
      <c r="A1073" s="1">
        <v>42094</v>
      </c>
      <c r="B1073">
        <v>-1.4992999999999999E-2</v>
      </c>
      <c r="C1073">
        <v>-1.6628E-2</v>
      </c>
      <c r="D1073">
        <v>-8.4589999999999995E-3</v>
      </c>
      <c r="E1073">
        <v>-1.039E-2</v>
      </c>
      <c r="F1073">
        <v>18945863400</v>
      </c>
      <c r="G1073">
        <v>502</v>
      </c>
      <c r="H1073">
        <v>19232847500</v>
      </c>
      <c r="I1073">
        <v>502</v>
      </c>
      <c r="J1073">
        <v>2067.89</v>
      </c>
      <c r="K1073">
        <v>-1.7395999999999998E-2</v>
      </c>
      <c r="L1073">
        <v>0</v>
      </c>
      <c r="M1073">
        <v>235.976</v>
      </c>
      <c r="N1073">
        <f t="shared" si="33"/>
        <v>-1.7639432001559485E-2</v>
      </c>
      <c r="O1073">
        <f t="shared" si="34"/>
        <v>-2.6867139031087062E-3</v>
      </c>
      <c r="P1073">
        <f t="shared" si="35"/>
        <v>-1.4952718098450779E-2</v>
      </c>
    </row>
    <row r="1074" spans="1:16" x14ac:dyDescent="0.35">
      <c r="A1074" s="1">
        <v>42124</v>
      </c>
      <c r="B1074">
        <v>9.1009999999999997E-3</v>
      </c>
      <c r="C1074">
        <v>8.0040000000000007E-3</v>
      </c>
      <c r="D1074">
        <v>3.9480000000000001E-3</v>
      </c>
      <c r="E1074">
        <v>3.039E-3</v>
      </c>
      <c r="F1074">
        <v>19090457900</v>
      </c>
      <c r="G1074">
        <v>502</v>
      </c>
      <c r="H1074">
        <v>18953100800</v>
      </c>
      <c r="I1074">
        <v>502</v>
      </c>
      <c r="J1074">
        <v>2085.5100000000002</v>
      </c>
      <c r="K1074">
        <v>8.5210000000000008E-3</v>
      </c>
      <c r="L1074">
        <v>0</v>
      </c>
      <c r="M1074">
        <v>236.22200000000001</v>
      </c>
      <c r="N1074">
        <f t="shared" si="33"/>
        <v>8.050129014232299E-3</v>
      </c>
      <c r="O1074">
        <f t="shared" si="34"/>
        <v>-1.0413932656568869E-3</v>
      </c>
      <c r="P1074">
        <f t="shared" si="35"/>
        <v>9.0915222798891859E-3</v>
      </c>
    </row>
    <row r="1075" spans="1:16" x14ac:dyDescent="0.35">
      <c r="A1075" s="1">
        <v>42153</v>
      </c>
      <c r="B1075">
        <v>1.2522E-2</v>
      </c>
      <c r="C1075">
        <v>1.0141000000000001E-2</v>
      </c>
      <c r="D1075">
        <v>8.7559999999999999E-3</v>
      </c>
      <c r="E1075">
        <v>6.7190000000000001E-3</v>
      </c>
      <c r="F1075">
        <v>19246562600</v>
      </c>
      <c r="G1075">
        <v>502</v>
      </c>
      <c r="H1075">
        <v>19090457900</v>
      </c>
      <c r="I1075">
        <v>502</v>
      </c>
      <c r="J1075">
        <v>2107.39</v>
      </c>
      <c r="K1075">
        <v>1.0491E-2</v>
      </c>
      <c r="L1075">
        <v>0</v>
      </c>
      <c r="M1075">
        <v>237.001</v>
      </c>
      <c r="N1075">
        <f t="shared" si="33"/>
        <v>9.1939354011163488E-3</v>
      </c>
      <c r="O1075">
        <f t="shared" si="34"/>
        <v>-3.2869059624220931E-3</v>
      </c>
      <c r="P1075">
        <f t="shared" si="35"/>
        <v>1.2480841363538442E-2</v>
      </c>
    </row>
    <row r="1076" spans="1:16" x14ac:dyDescent="0.35">
      <c r="A1076" s="1">
        <v>42185</v>
      </c>
      <c r="B1076">
        <v>-1.9342999999999999E-2</v>
      </c>
      <c r="C1076">
        <v>-2.102E-2</v>
      </c>
      <c r="D1076">
        <v>-2.1923999999999999E-2</v>
      </c>
      <c r="E1076">
        <v>-2.3765999999999999E-2</v>
      </c>
      <c r="F1076">
        <v>18822415700</v>
      </c>
      <c r="G1076">
        <v>502</v>
      </c>
      <c r="H1076">
        <v>19226971900</v>
      </c>
      <c r="I1076">
        <v>501</v>
      </c>
      <c r="J1076">
        <v>2063.11</v>
      </c>
      <c r="K1076">
        <v>-2.1011999999999999E-2</v>
      </c>
      <c r="L1076">
        <v>0</v>
      </c>
      <c r="M1076">
        <v>237.65700000000001</v>
      </c>
      <c r="N1076">
        <f t="shared" si="33"/>
        <v>-2.2049888465309309E-2</v>
      </c>
      <c r="O1076">
        <f t="shared" si="34"/>
        <v>-2.760280572421614E-3</v>
      </c>
      <c r="P1076">
        <f t="shared" si="35"/>
        <v>-1.9289607892887695E-2</v>
      </c>
    </row>
    <row r="1077" spans="1:16" x14ac:dyDescent="0.35">
      <c r="A1077" s="1">
        <v>42216</v>
      </c>
      <c r="B1077">
        <v>2.1297E-2</v>
      </c>
      <c r="C1077">
        <v>2.0101000000000001E-2</v>
      </c>
      <c r="D1077">
        <v>9.476E-3</v>
      </c>
      <c r="E1077">
        <v>8.6060000000000008E-3</v>
      </c>
      <c r="F1077">
        <v>19226805200</v>
      </c>
      <c r="G1077">
        <v>502</v>
      </c>
      <c r="H1077">
        <v>18763935400</v>
      </c>
      <c r="I1077">
        <v>500</v>
      </c>
      <c r="J1077">
        <v>2103.84</v>
      </c>
      <c r="K1077">
        <v>1.9741999999999999E-2</v>
      </c>
      <c r="L1077">
        <v>0</v>
      </c>
      <c r="M1077">
        <v>238.03399999999999</v>
      </c>
      <c r="N1077">
        <f t="shared" si="33"/>
        <v>1.9679462299503347E-2</v>
      </c>
      <c r="O1077">
        <f t="shared" si="34"/>
        <v>-1.5838073552516541E-3</v>
      </c>
      <c r="P1077">
        <f t="shared" si="35"/>
        <v>2.1263269654755002E-2</v>
      </c>
    </row>
    <row r="1078" spans="1:16" x14ac:dyDescent="0.35">
      <c r="A1078" s="1">
        <v>42247</v>
      </c>
      <c r="B1078">
        <v>-6.0073000000000001E-2</v>
      </c>
      <c r="C1078">
        <v>-6.2419000000000002E-2</v>
      </c>
      <c r="D1078">
        <v>-5.3686999999999999E-2</v>
      </c>
      <c r="E1078">
        <v>-5.5649999999999998E-2</v>
      </c>
      <c r="F1078">
        <v>18012263100</v>
      </c>
      <c r="G1078">
        <v>502</v>
      </c>
      <c r="H1078">
        <v>19232095700</v>
      </c>
      <c r="I1078">
        <v>502</v>
      </c>
      <c r="J1078">
        <v>1972.18</v>
      </c>
      <c r="K1078">
        <v>-6.2580999999999998E-2</v>
      </c>
      <c r="L1078">
        <v>0</v>
      </c>
      <c r="M1078">
        <v>238.03299999999999</v>
      </c>
      <c r="N1078">
        <f t="shared" si="33"/>
        <v>-6.0069051274403096E-2</v>
      </c>
      <c r="O1078">
        <f t="shared" si="34"/>
        <v>4.2010981671225522E-6</v>
      </c>
      <c r="P1078">
        <f t="shared" si="35"/>
        <v>-6.0073252372570218E-2</v>
      </c>
    </row>
    <row r="1079" spans="1:16" x14ac:dyDescent="0.35">
      <c r="A1079" s="1">
        <v>42277</v>
      </c>
      <c r="B1079">
        <v>-2.4546999999999999E-2</v>
      </c>
      <c r="C1079">
        <v>-2.6258E-2</v>
      </c>
      <c r="D1079">
        <v>-3.3592999999999998E-2</v>
      </c>
      <c r="E1079">
        <v>-3.5654999999999999E-2</v>
      </c>
      <c r="F1079">
        <v>17566116800</v>
      </c>
      <c r="G1079">
        <v>505</v>
      </c>
      <c r="H1079">
        <v>18064149000</v>
      </c>
      <c r="I1079">
        <v>505</v>
      </c>
      <c r="J1079">
        <v>1920.03</v>
      </c>
      <c r="K1079">
        <v>-2.6443000000000001E-2</v>
      </c>
      <c r="L1079">
        <v>0</v>
      </c>
      <c r="M1079">
        <v>237.49799999999999</v>
      </c>
      <c r="N1079">
        <f t="shared" si="33"/>
        <v>-2.2349645264381213E-2</v>
      </c>
      <c r="O1079">
        <f t="shared" si="34"/>
        <v>2.2526505486362147E-3</v>
      </c>
      <c r="P1079">
        <f t="shared" si="35"/>
        <v>-2.4602295813017427E-2</v>
      </c>
    </row>
    <row r="1080" spans="1:16" x14ac:dyDescent="0.35">
      <c r="A1080" s="1">
        <v>42307</v>
      </c>
      <c r="B1080">
        <v>8.3448999999999995E-2</v>
      </c>
      <c r="C1080">
        <v>8.2048999999999997E-2</v>
      </c>
      <c r="D1080">
        <v>7.3634000000000005E-2</v>
      </c>
      <c r="E1080">
        <v>7.2416999999999995E-2</v>
      </c>
      <c r="F1080">
        <v>18961900200</v>
      </c>
      <c r="G1080">
        <v>505</v>
      </c>
      <c r="H1080">
        <v>17577160000</v>
      </c>
      <c r="I1080">
        <v>505</v>
      </c>
      <c r="J1080">
        <v>2079.36</v>
      </c>
      <c r="K1080">
        <v>8.2983000000000001E-2</v>
      </c>
      <c r="L1080">
        <v>0</v>
      </c>
      <c r="M1080">
        <v>237.733</v>
      </c>
      <c r="N1080">
        <f t="shared" si="33"/>
        <v>8.237800642737847E-2</v>
      </c>
      <c r="O1080">
        <f t="shared" si="34"/>
        <v>-9.8850390984850378E-4</v>
      </c>
      <c r="P1080">
        <f t="shared" si="35"/>
        <v>8.3366510337226973E-2</v>
      </c>
    </row>
    <row r="1081" spans="1:16" x14ac:dyDescent="0.35">
      <c r="A1081" s="1">
        <v>42338</v>
      </c>
      <c r="B1081">
        <v>3.3730000000000001E-3</v>
      </c>
      <c r="C1081">
        <v>8.1700000000000002E-4</v>
      </c>
      <c r="D1081">
        <v>2.8990000000000001E-3</v>
      </c>
      <c r="E1081">
        <v>3.7599999999999998E-4</v>
      </c>
      <c r="F1081">
        <v>18963723800</v>
      </c>
      <c r="G1081">
        <v>506</v>
      </c>
      <c r="H1081">
        <v>19011716700</v>
      </c>
      <c r="I1081">
        <v>505</v>
      </c>
      <c r="J1081">
        <v>2080.41</v>
      </c>
      <c r="K1081">
        <v>5.0500000000000002E-4</v>
      </c>
      <c r="L1081">
        <v>0</v>
      </c>
      <c r="M1081">
        <v>238.017</v>
      </c>
      <c r="N1081">
        <f t="shared" si="33"/>
        <v>2.1757832801860832E-3</v>
      </c>
      <c r="O1081">
        <f t="shared" si="34"/>
        <v>-1.1931920829184595E-3</v>
      </c>
      <c r="P1081">
        <f t="shared" si="35"/>
        <v>3.3689753631045427E-3</v>
      </c>
    </row>
    <row r="1082" spans="1:16" x14ac:dyDescent="0.35">
      <c r="A1082" s="1">
        <v>42369</v>
      </c>
      <c r="B1082">
        <v>-1.5247E-2</v>
      </c>
      <c r="C1082">
        <v>-1.7076000000000001E-2</v>
      </c>
      <c r="D1082">
        <v>-2.5283E-2</v>
      </c>
      <c r="E1082">
        <v>-2.7383000000000001E-2</v>
      </c>
      <c r="F1082">
        <v>18617395400</v>
      </c>
      <c r="G1082">
        <v>504</v>
      </c>
      <c r="H1082">
        <v>18933430400</v>
      </c>
      <c r="I1082">
        <v>504</v>
      </c>
      <c r="J1082">
        <v>2043.94</v>
      </c>
      <c r="K1082">
        <v>-1.753E-2</v>
      </c>
      <c r="L1082">
        <v>0.01</v>
      </c>
      <c r="M1082">
        <v>237.761</v>
      </c>
      <c r="N1082">
        <f t="shared" si="33"/>
        <v>-1.4186705132464894E-2</v>
      </c>
      <c r="O1082">
        <f t="shared" si="34"/>
        <v>1.1768191587351318E-3</v>
      </c>
      <c r="P1082">
        <f t="shared" si="35"/>
        <v>-1.5363524291200026E-2</v>
      </c>
    </row>
    <row r="1083" spans="1:16" x14ac:dyDescent="0.35">
      <c r="A1083" s="1">
        <v>42398</v>
      </c>
      <c r="B1083">
        <v>-4.9099999999999998E-2</v>
      </c>
      <c r="C1083">
        <v>-5.0250000000000003E-2</v>
      </c>
      <c r="D1083">
        <v>-5.5962999999999999E-2</v>
      </c>
      <c r="E1083">
        <v>-5.6826000000000002E-2</v>
      </c>
      <c r="F1083">
        <v>17677853600</v>
      </c>
      <c r="G1083">
        <v>504</v>
      </c>
      <c r="H1083">
        <v>18605162400</v>
      </c>
      <c r="I1083">
        <v>504</v>
      </c>
      <c r="J1083">
        <v>1940.24</v>
      </c>
      <c r="K1083">
        <v>-5.0735000000000002E-2</v>
      </c>
      <c r="L1083">
        <v>0.01</v>
      </c>
      <c r="M1083">
        <v>237.65199999999999</v>
      </c>
      <c r="N1083">
        <f t="shared" si="33"/>
        <v>-4.8663866073081596E-2</v>
      </c>
      <c r="O1083">
        <f t="shared" si="34"/>
        <v>5.5869969535282671E-4</v>
      </c>
      <c r="P1083">
        <f t="shared" si="35"/>
        <v>-4.9222565768434423E-2</v>
      </c>
    </row>
    <row r="1084" spans="1:16" x14ac:dyDescent="0.35">
      <c r="A1084" s="1">
        <v>42429</v>
      </c>
      <c r="B1084">
        <v>-1.7420000000000001E-3</v>
      </c>
      <c r="C1084">
        <v>-4.457E-3</v>
      </c>
      <c r="D1084">
        <v>1.1832000000000001E-2</v>
      </c>
      <c r="E1084">
        <v>9.5259999999999997E-3</v>
      </c>
      <c r="F1084">
        <v>17507959900</v>
      </c>
      <c r="G1084">
        <v>504</v>
      </c>
      <c r="H1084">
        <v>17641776800</v>
      </c>
      <c r="I1084">
        <v>504</v>
      </c>
      <c r="J1084">
        <v>1932.23</v>
      </c>
      <c r="K1084">
        <v>-4.1279999999999997E-3</v>
      </c>
      <c r="L1084">
        <v>0.02</v>
      </c>
      <c r="M1084">
        <v>237.33600000000001</v>
      </c>
      <c r="N1084">
        <f t="shared" si="33"/>
        <v>-4.1287366434095141E-4</v>
      </c>
      <c r="O1084">
        <f t="shared" si="34"/>
        <v>1.5317120032358744E-3</v>
      </c>
      <c r="P1084">
        <f t="shared" si="35"/>
        <v>-1.9445856675768258E-3</v>
      </c>
    </row>
    <row r="1085" spans="1:16" x14ac:dyDescent="0.35">
      <c r="A1085" s="1">
        <v>42460</v>
      </c>
      <c r="B1085">
        <v>6.7339999999999997E-2</v>
      </c>
      <c r="C1085">
        <v>6.5145999999999996E-2</v>
      </c>
      <c r="D1085">
        <v>8.1025E-2</v>
      </c>
      <c r="E1085">
        <v>7.8067999999999999E-2</v>
      </c>
      <c r="F1085">
        <v>18634390600</v>
      </c>
      <c r="G1085">
        <v>504</v>
      </c>
      <c r="H1085">
        <v>17520835900</v>
      </c>
      <c r="I1085">
        <v>504</v>
      </c>
      <c r="J1085">
        <v>2059.7399999999998</v>
      </c>
      <c r="K1085">
        <v>6.5990999999999994E-2</v>
      </c>
      <c r="L1085">
        <v>0.02</v>
      </c>
      <c r="M1085">
        <v>238.08</v>
      </c>
      <c r="N1085">
        <f t="shared" si="33"/>
        <v>6.4004562499999862E-2</v>
      </c>
      <c r="O1085">
        <f t="shared" si="34"/>
        <v>-2.9256250000000428E-3</v>
      </c>
      <c r="P1085">
        <f t="shared" si="35"/>
        <v>6.6930187499999905E-2</v>
      </c>
    </row>
    <row r="1086" spans="1:16" x14ac:dyDescent="0.35">
      <c r="A1086" s="1">
        <v>42489</v>
      </c>
      <c r="B1086">
        <v>3.7469999999999999E-3</v>
      </c>
      <c r="C1086">
        <v>2.5760000000000002E-3</v>
      </c>
      <c r="D1086">
        <v>1.2821000000000001E-2</v>
      </c>
      <c r="E1086">
        <v>1.1978000000000001E-2</v>
      </c>
      <c r="F1086">
        <v>18690033000</v>
      </c>
      <c r="G1086">
        <v>505</v>
      </c>
      <c r="H1086">
        <v>18653831500</v>
      </c>
      <c r="I1086">
        <v>505</v>
      </c>
      <c r="J1086">
        <v>2065.3000000000002</v>
      </c>
      <c r="K1086">
        <v>2.699E-3</v>
      </c>
      <c r="L1086">
        <v>0.01</v>
      </c>
      <c r="M1086">
        <v>238.99199999999999</v>
      </c>
      <c r="N1086">
        <f t="shared" si="33"/>
        <v>-8.3325969070013883E-5</v>
      </c>
      <c r="O1086">
        <f t="shared" si="34"/>
        <v>-3.7164089174531734E-3</v>
      </c>
      <c r="P1086">
        <f t="shared" si="35"/>
        <v>3.6330829483831595E-3</v>
      </c>
    </row>
    <row r="1087" spans="1:16" x14ac:dyDescent="0.35">
      <c r="A1087" s="1">
        <v>42521</v>
      </c>
      <c r="B1087">
        <v>1.8487E-2</v>
      </c>
      <c r="C1087">
        <v>1.5886000000000001E-2</v>
      </c>
      <c r="D1087">
        <v>1.448E-2</v>
      </c>
      <c r="E1087">
        <v>1.2276E-2</v>
      </c>
      <c r="F1087">
        <v>18914293500</v>
      </c>
      <c r="G1087">
        <v>505</v>
      </c>
      <c r="H1087">
        <v>18635629600</v>
      </c>
      <c r="I1087">
        <v>505</v>
      </c>
      <c r="J1087">
        <v>2096.96</v>
      </c>
      <c r="K1087">
        <v>1.5329000000000001E-2</v>
      </c>
      <c r="L1087">
        <v>0.01</v>
      </c>
      <c r="M1087">
        <v>239.55699999999999</v>
      </c>
      <c r="N1087">
        <f t="shared" si="33"/>
        <v>1.6084877937192488E-2</v>
      </c>
      <c r="O1087">
        <f t="shared" si="34"/>
        <v>-2.2587559536979551E-3</v>
      </c>
      <c r="P1087">
        <f t="shared" si="35"/>
        <v>1.8343633890890443E-2</v>
      </c>
    </row>
    <row r="1088" spans="1:16" x14ac:dyDescent="0.35">
      <c r="A1088" s="1">
        <v>42551</v>
      </c>
      <c r="B1088">
        <v>2.6749999999999999E-3</v>
      </c>
      <c r="C1088">
        <v>1.0020000000000001E-3</v>
      </c>
      <c r="D1088">
        <v>-1.08E-4</v>
      </c>
      <c r="E1088">
        <v>-2.0479999999999999E-3</v>
      </c>
      <c r="F1088">
        <v>18902419700</v>
      </c>
      <c r="G1088">
        <v>505</v>
      </c>
      <c r="H1088">
        <v>18898632100</v>
      </c>
      <c r="I1088">
        <v>505</v>
      </c>
      <c r="J1088">
        <v>2098.86</v>
      </c>
      <c r="K1088">
        <v>9.0600000000000001E-4</v>
      </c>
      <c r="L1088">
        <v>0.02</v>
      </c>
      <c r="M1088">
        <v>240.22200000000001</v>
      </c>
      <c r="N1088">
        <f t="shared" si="33"/>
        <v>-1.0067781052536251E-4</v>
      </c>
      <c r="O1088">
        <f t="shared" si="34"/>
        <v>-2.5688263356395957E-3</v>
      </c>
      <c r="P1088">
        <f t="shared" si="35"/>
        <v>2.4681485251142332E-3</v>
      </c>
    </row>
    <row r="1089" spans="1:16" x14ac:dyDescent="0.35">
      <c r="A1089" s="1">
        <v>42580</v>
      </c>
      <c r="B1089">
        <v>3.6570999999999999E-2</v>
      </c>
      <c r="C1089">
        <v>3.5324000000000001E-2</v>
      </c>
      <c r="D1089">
        <v>4.3328999999999999E-2</v>
      </c>
      <c r="E1089">
        <v>4.2515999999999998E-2</v>
      </c>
      <c r="F1089">
        <v>19539744000</v>
      </c>
      <c r="G1089">
        <v>505</v>
      </c>
      <c r="H1089">
        <v>18912671000</v>
      </c>
      <c r="I1089">
        <v>505</v>
      </c>
      <c r="J1089">
        <v>2173.6</v>
      </c>
      <c r="K1089">
        <v>3.5610000000000003E-2</v>
      </c>
      <c r="L1089">
        <v>0.02</v>
      </c>
      <c r="M1089">
        <v>240.101</v>
      </c>
      <c r="N1089">
        <f t="shared" si="33"/>
        <v>3.7093384708934973E-2</v>
      </c>
      <c r="O1089">
        <f t="shared" si="34"/>
        <v>7.0405537669548934E-4</v>
      </c>
      <c r="P1089">
        <f t="shared" si="35"/>
        <v>3.6389329332239484E-2</v>
      </c>
    </row>
    <row r="1090" spans="1:16" x14ac:dyDescent="0.35">
      <c r="A1090" s="1">
        <v>42613</v>
      </c>
      <c r="B1090">
        <v>1.2470000000000001E-3</v>
      </c>
      <c r="C1090">
        <v>-1.3960000000000001E-3</v>
      </c>
      <c r="D1090">
        <v>2.2490000000000001E-3</v>
      </c>
      <c r="E1090">
        <v>6.6000000000000005E-5</v>
      </c>
      <c r="F1090">
        <v>19491364100</v>
      </c>
      <c r="G1090">
        <v>505</v>
      </c>
      <c r="H1090">
        <v>19539744000</v>
      </c>
      <c r="I1090">
        <v>505</v>
      </c>
      <c r="J1090">
        <v>2170.9499999999998</v>
      </c>
      <c r="K1090">
        <v>-1.219E-3</v>
      </c>
      <c r="L1090">
        <v>0.02</v>
      </c>
      <c r="M1090">
        <v>240.54499999999999</v>
      </c>
      <c r="N1090">
        <f t="shared" si="33"/>
        <v>-6.0111019975472857E-4</v>
      </c>
      <c r="O1090">
        <f t="shared" si="34"/>
        <v>-1.6461776382796778E-3</v>
      </c>
      <c r="P1090">
        <f t="shared" si="35"/>
        <v>1.0450674385249492E-3</v>
      </c>
    </row>
    <row r="1091" spans="1:16" x14ac:dyDescent="0.35">
      <c r="A1091" s="1">
        <v>42643</v>
      </c>
      <c r="B1091">
        <v>4.46E-4</v>
      </c>
      <c r="C1091">
        <v>-1.0330000000000001E-3</v>
      </c>
      <c r="D1091">
        <v>6.2500000000000001E-4</v>
      </c>
      <c r="E1091">
        <v>-1.2340000000000001E-3</v>
      </c>
      <c r="F1091">
        <v>19496704500</v>
      </c>
      <c r="G1091">
        <v>505</v>
      </c>
      <c r="H1091">
        <v>19482887800</v>
      </c>
      <c r="I1091">
        <v>505</v>
      </c>
      <c r="J1091">
        <v>2168.27</v>
      </c>
      <c r="K1091">
        <v>-1.2340000000000001E-3</v>
      </c>
      <c r="L1091">
        <v>0.02</v>
      </c>
      <c r="M1091">
        <v>241.17599999999999</v>
      </c>
      <c r="N1091">
        <f t="shared" si="33"/>
        <v>-2.1715134590506446E-3</v>
      </c>
      <c r="O1091">
        <f t="shared" si="34"/>
        <v>-2.4168698377948772E-3</v>
      </c>
      <c r="P1091">
        <f t="shared" si="35"/>
        <v>2.4535637874423255E-4</v>
      </c>
    </row>
    <row r="1092" spans="1:16" x14ac:dyDescent="0.35">
      <c r="A1092" s="1">
        <v>42674</v>
      </c>
      <c r="B1092">
        <v>-1.7944000000000002E-2</v>
      </c>
      <c r="C1092">
        <v>-1.9193000000000002E-2</v>
      </c>
      <c r="D1092">
        <v>-2.4156E-2</v>
      </c>
      <c r="E1092">
        <v>-2.5196E-2</v>
      </c>
      <c r="F1092">
        <v>19101882500</v>
      </c>
      <c r="G1092">
        <v>506</v>
      </c>
      <c r="H1092">
        <v>19496035100</v>
      </c>
      <c r="I1092">
        <v>505</v>
      </c>
      <c r="J1092">
        <v>2126.15</v>
      </c>
      <c r="K1092">
        <v>-1.9425999999999999E-2</v>
      </c>
      <c r="L1092">
        <v>0.02</v>
      </c>
      <c r="M1092">
        <v>241.74100000000001</v>
      </c>
      <c r="N1092">
        <f t="shared" si="33"/>
        <v>-2.0239273205620911E-2</v>
      </c>
      <c r="O1092">
        <f t="shared" si="34"/>
        <v>-2.1376795826940631E-3</v>
      </c>
      <c r="P1092">
        <f t="shared" si="35"/>
        <v>-1.8101593622926848E-2</v>
      </c>
    </row>
    <row r="1093" spans="1:16" x14ac:dyDescent="0.35">
      <c r="A1093" s="1">
        <v>42704</v>
      </c>
      <c r="B1093">
        <v>3.5811999999999997E-2</v>
      </c>
      <c r="C1093">
        <v>3.3029000000000003E-2</v>
      </c>
      <c r="D1093">
        <v>5.1612999999999999E-2</v>
      </c>
      <c r="E1093">
        <v>4.9336999999999999E-2</v>
      </c>
      <c r="F1093">
        <v>19678899800</v>
      </c>
      <c r="G1093">
        <v>505</v>
      </c>
      <c r="H1093">
        <v>19097623700</v>
      </c>
      <c r="I1093">
        <v>505</v>
      </c>
      <c r="J1093">
        <v>2198.81</v>
      </c>
      <c r="K1093">
        <v>3.4174000000000003E-2</v>
      </c>
      <c r="L1093">
        <v>0.01</v>
      </c>
      <c r="M1093">
        <v>242.02600000000001</v>
      </c>
      <c r="N1093">
        <f t="shared" si="33"/>
        <v>3.4592269805723275E-2</v>
      </c>
      <c r="O1093">
        <f t="shared" si="34"/>
        <v>-1.0776771917065942E-3</v>
      </c>
      <c r="P1093">
        <f t="shared" si="35"/>
        <v>3.5669946997429869E-2</v>
      </c>
    </row>
    <row r="1094" spans="1:16" x14ac:dyDescent="0.35">
      <c r="A1094" s="1">
        <v>42734</v>
      </c>
      <c r="B1094">
        <v>1.9203999999999999E-2</v>
      </c>
      <c r="C1094">
        <v>1.7576999999999999E-2</v>
      </c>
      <c r="D1094">
        <v>1.078E-2</v>
      </c>
      <c r="E1094">
        <v>8.8470000000000007E-3</v>
      </c>
      <c r="F1094">
        <v>20013228000</v>
      </c>
      <c r="G1094">
        <v>505</v>
      </c>
      <c r="H1094">
        <v>19683353300</v>
      </c>
      <c r="I1094">
        <v>505</v>
      </c>
      <c r="J1094">
        <v>2238.83</v>
      </c>
      <c r="K1094">
        <v>1.8200999999999998E-2</v>
      </c>
      <c r="L1094">
        <v>0.03</v>
      </c>
      <c r="M1094">
        <v>242.637</v>
      </c>
      <c r="N1094">
        <f t="shared" si="33"/>
        <v>1.663747616398159E-2</v>
      </c>
      <c r="O1094">
        <f t="shared" si="34"/>
        <v>-2.2189204449445388E-3</v>
      </c>
      <c r="P1094">
        <f t="shared" si="35"/>
        <v>1.8856396608926129E-2</v>
      </c>
    </row>
    <row r="1095" spans="1:16" x14ac:dyDescent="0.35">
      <c r="A1095" s="1">
        <v>42766</v>
      </c>
      <c r="B1095">
        <v>1.9383999999999998E-2</v>
      </c>
      <c r="C1095">
        <v>1.8311000000000001E-2</v>
      </c>
      <c r="D1095">
        <v>2.1092E-2</v>
      </c>
      <c r="E1095">
        <v>2.0317999999999999E-2</v>
      </c>
      <c r="F1095">
        <v>20371809800</v>
      </c>
      <c r="G1095">
        <v>505</v>
      </c>
      <c r="H1095">
        <v>19992614000</v>
      </c>
      <c r="I1095">
        <v>504</v>
      </c>
      <c r="J1095">
        <v>2278.87</v>
      </c>
      <c r="K1095">
        <v>1.7884000000000001E-2</v>
      </c>
      <c r="L1095">
        <v>0.04</v>
      </c>
      <c r="M1095">
        <v>243.61799999999999</v>
      </c>
      <c r="N1095">
        <f t="shared" si="33"/>
        <v>1.5279148535822573E-2</v>
      </c>
      <c r="O1095">
        <f t="shared" si="34"/>
        <v>-3.6284067679728249E-3</v>
      </c>
      <c r="P1095">
        <f t="shared" si="35"/>
        <v>1.8907555303795398E-2</v>
      </c>
    </row>
    <row r="1096" spans="1:16" x14ac:dyDescent="0.35">
      <c r="A1096" s="1">
        <v>42794</v>
      </c>
      <c r="B1096">
        <v>3.9459000000000001E-2</v>
      </c>
      <c r="C1096">
        <v>3.7052000000000002E-2</v>
      </c>
      <c r="D1096">
        <v>3.1620000000000002E-2</v>
      </c>
      <c r="E1096">
        <v>2.9694000000000002E-2</v>
      </c>
      <c r="F1096">
        <v>21074513100</v>
      </c>
      <c r="G1096">
        <v>505</v>
      </c>
      <c r="H1096">
        <v>20365481900</v>
      </c>
      <c r="I1096">
        <v>505</v>
      </c>
      <c r="J1096">
        <v>2363.64</v>
      </c>
      <c r="K1096">
        <v>3.7198000000000002E-2</v>
      </c>
      <c r="L1096">
        <v>0.04</v>
      </c>
      <c r="M1096">
        <v>244.006</v>
      </c>
      <c r="N1096">
        <f t="shared" si="33"/>
        <v>3.7806130431218943E-2</v>
      </c>
      <c r="O1096">
        <f t="shared" si="34"/>
        <v>-1.1907608829292426E-3</v>
      </c>
      <c r="P1096">
        <f t="shared" si="35"/>
        <v>3.8996891314148185E-2</v>
      </c>
    </row>
    <row r="1097" spans="1:16" x14ac:dyDescent="0.35">
      <c r="A1097" s="1">
        <v>42825</v>
      </c>
      <c r="B1097">
        <v>1.6639999999999999E-3</v>
      </c>
      <c r="C1097">
        <v>5.5000000000000002E-5</v>
      </c>
      <c r="D1097">
        <v>1.83E-4</v>
      </c>
      <c r="E1097">
        <v>-1.7750000000000001E-3</v>
      </c>
      <c r="F1097">
        <v>21090060200</v>
      </c>
      <c r="G1097">
        <v>505</v>
      </c>
      <c r="H1097">
        <v>21109406900</v>
      </c>
      <c r="I1097">
        <v>505</v>
      </c>
      <c r="J1097">
        <v>2362.7199999999998</v>
      </c>
      <c r="K1097">
        <v>-3.8900000000000002E-4</v>
      </c>
      <c r="L1097">
        <v>0.03</v>
      </c>
      <c r="M1097">
        <v>243.892</v>
      </c>
      <c r="N1097">
        <f t="shared" si="33"/>
        <v>2.13219779246554E-3</v>
      </c>
      <c r="O1097">
        <f t="shared" si="34"/>
        <v>7.6756023157797948E-4</v>
      </c>
      <c r="P1097">
        <f t="shared" si="35"/>
        <v>1.3646375608875605E-3</v>
      </c>
    </row>
    <row r="1098" spans="1:16" x14ac:dyDescent="0.35">
      <c r="A1098" s="1">
        <v>42853</v>
      </c>
      <c r="B1098">
        <v>1.0591E-2</v>
      </c>
      <c r="C1098">
        <v>9.4389999999999995E-3</v>
      </c>
      <c r="D1098">
        <v>6.8580000000000004E-3</v>
      </c>
      <c r="E1098">
        <v>5.999E-3</v>
      </c>
      <c r="F1098">
        <v>21303086200</v>
      </c>
      <c r="G1098">
        <v>505</v>
      </c>
      <c r="H1098">
        <v>21100715400</v>
      </c>
      <c r="I1098">
        <v>505</v>
      </c>
      <c r="J1098">
        <v>2384.1999999999998</v>
      </c>
      <c r="K1098">
        <v>9.0910000000000001E-3</v>
      </c>
      <c r="L1098">
        <v>0.05</v>
      </c>
      <c r="M1098">
        <v>244.19300000000001</v>
      </c>
      <c r="N1098">
        <f t="shared" si="33"/>
        <v>9.3453136330690079E-3</v>
      </c>
      <c r="O1098">
        <f t="shared" si="34"/>
        <v>-7.3324788179851552E-4</v>
      </c>
      <c r="P1098">
        <f t="shared" si="35"/>
        <v>1.0078561514867523E-2</v>
      </c>
    </row>
    <row r="1099" spans="1:16" x14ac:dyDescent="0.35">
      <c r="A1099" s="1">
        <v>42886</v>
      </c>
      <c r="B1099">
        <v>1.4552000000000001E-2</v>
      </c>
      <c r="C1099">
        <v>1.192E-2</v>
      </c>
      <c r="D1099">
        <v>4.4710000000000001E-3</v>
      </c>
      <c r="E1099">
        <v>2.333E-3</v>
      </c>
      <c r="F1099">
        <v>21539204300</v>
      </c>
      <c r="G1099">
        <v>505</v>
      </c>
      <c r="H1099">
        <v>21303086200</v>
      </c>
      <c r="I1099">
        <v>505</v>
      </c>
      <c r="J1099">
        <v>2411.8000000000002</v>
      </c>
      <c r="K1099">
        <v>1.1575999999999999E-2</v>
      </c>
      <c r="L1099">
        <v>0.06</v>
      </c>
      <c r="M1099">
        <v>244.00399999999999</v>
      </c>
      <c r="N1099">
        <f t="shared" si="33"/>
        <v>1.5337849117227575E-2</v>
      </c>
      <c r="O1099">
        <f t="shared" si="34"/>
        <v>1.3750422124227946E-3</v>
      </c>
      <c r="P1099">
        <f t="shared" si="35"/>
        <v>1.3962806904804781E-2</v>
      </c>
    </row>
    <row r="1100" spans="1:16" x14ac:dyDescent="0.35">
      <c r="A1100" s="1">
        <v>42916</v>
      </c>
      <c r="B1100">
        <v>5.7980000000000002E-3</v>
      </c>
      <c r="C1100">
        <v>4.3639999999999998E-3</v>
      </c>
      <c r="D1100">
        <v>1.3051E-2</v>
      </c>
      <c r="E1100">
        <v>1.1269E-2</v>
      </c>
      <c r="F1100">
        <v>21614640700</v>
      </c>
      <c r="G1100">
        <v>505</v>
      </c>
      <c r="H1100">
        <v>21535422500</v>
      </c>
      <c r="I1100">
        <v>505</v>
      </c>
      <c r="J1100">
        <v>2423.41</v>
      </c>
      <c r="K1100">
        <v>4.8139999999999997E-3</v>
      </c>
      <c r="L1100">
        <v>0.06</v>
      </c>
      <c r="M1100">
        <v>244.16300000000001</v>
      </c>
      <c r="N1100">
        <f t="shared" si="33"/>
        <v>5.1430199989350722E-3</v>
      </c>
      <c r="O1100">
        <f t="shared" si="34"/>
        <v>-5.1595041017926668E-5</v>
      </c>
      <c r="P1100">
        <f t="shared" si="35"/>
        <v>5.1946150399529989E-3</v>
      </c>
    </row>
    <row r="1101" spans="1:16" x14ac:dyDescent="0.35">
      <c r="A1101" s="1">
        <v>42947</v>
      </c>
      <c r="B1101">
        <v>2.0695999999999999E-2</v>
      </c>
      <c r="C1101">
        <v>1.9161999999999998E-2</v>
      </c>
      <c r="D1101">
        <v>1.5782000000000001E-2</v>
      </c>
      <c r="E1101">
        <v>1.4288E-2</v>
      </c>
      <c r="F1101">
        <v>21944725800</v>
      </c>
      <c r="G1101">
        <v>505</v>
      </c>
      <c r="H1101">
        <v>21563104800</v>
      </c>
      <c r="I1101">
        <v>505</v>
      </c>
      <c r="J1101">
        <v>2470.3000000000002</v>
      </c>
      <c r="K1101">
        <v>1.9349000000000002E-2</v>
      </c>
      <c r="L1101">
        <v>7.0000000000000007E-2</v>
      </c>
      <c r="M1101">
        <v>244.24299999999999</v>
      </c>
      <c r="N1101">
        <f t="shared" si="33"/>
        <v>2.0361678525075533E-2</v>
      </c>
      <c r="O1101">
        <f t="shared" si="34"/>
        <v>3.7222806794878771E-4</v>
      </c>
      <c r="P1101">
        <f t="shared" si="35"/>
        <v>1.9989450457126745E-2</v>
      </c>
    </row>
    <row r="1102" spans="1:16" x14ac:dyDescent="0.35">
      <c r="A1102" s="1">
        <v>42978</v>
      </c>
      <c r="B1102">
        <v>2.238E-3</v>
      </c>
      <c r="C1102">
        <v>-3.2400000000000001E-4</v>
      </c>
      <c r="D1102">
        <v>-1.0591E-2</v>
      </c>
      <c r="E1102">
        <v>-1.2855999999999999E-2</v>
      </c>
      <c r="F1102">
        <v>21947284000</v>
      </c>
      <c r="G1102">
        <v>505</v>
      </c>
      <c r="H1102">
        <v>21953451100</v>
      </c>
      <c r="I1102">
        <v>505</v>
      </c>
      <c r="J1102">
        <v>2471.65</v>
      </c>
      <c r="K1102">
        <v>5.4600000000000004E-4</v>
      </c>
      <c r="L1102">
        <v>0.09</v>
      </c>
      <c r="M1102">
        <v>245.18299999999999</v>
      </c>
      <c r="N1102">
        <f t="shared" si="33"/>
        <v>-1.6044512303055036E-3</v>
      </c>
      <c r="O1102">
        <f t="shared" si="34"/>
        <v>-2.937321510871671E-3</v>
      </c>
      <c r="P1102">
        <f t="shared" si="35"/>
        <v>1.3328702805661674E-3</v>
      </c>
    </row>
    <row r="1103" spans="1:16" x14ac:dyDescent="0.35">
      <c r="A1103" s="1">
        <v>43007</v>
      </c>
      <c r="B1103">
        <v>2.0049999999999998E-2</v>
      </c>
      <c r="C1103">
        <v>1.8742000000000002E-2</v>
      </c>
      <c r="D1103">
        <v>2.9364999999999999E-2</v>
      </c>
      <c r="E1103">
        <v>2.7647999999999999E-2</v>
      </c>
      <c r="F1103">
        <v>22371374100</v>
      </c>
      <c r="G1103">
        <v>505</v>
      </c>
      <c r="H1103">
        <v>21815688200</v>
      </c>
      <c r="I1103">
        <v>504</v>
      </c>
      <c r="J1103">
        <v>2519.36</v>
      </c>
      <c r="K1103">
        <v>1.9303000000000001E-2</v>
      </c>
      <c r="L1103">
        <v>0.09</v>
      </c>
      <c r="M1103">
        <v>246.435</v>
      </c>
      <c r="N1103">
        <f t="shared" si="33"/>
        <v>1.4867689857365862E-2</v>
      </c>
      <c r="O1103">
        <f t="shared" si="34"/>
        <v>-4.1850195791994782E-3</v>
      </c>
      <c r="P1103">
        <f t="shared" si="35"/>
        <v>1.905270943656534E-2</v>
      </c>
    </row>
    <row r="1104" spans="1:16" x14ac:dyDescent="0.35">
      <c r="A1104" s="1">
        <v>43039</v>
      </c>
      <c r="B1104">
        <v>2.4132000000000001E-2</v>
      </c>
      <c r="C1104">
        <v>2.3005999999999999E-2</v>
      </c>
      <c r="D1104">
        <v>1.0352E-2</v>
      </c>
      <c r="E1104">
        <v>9.4730000000000005E-3</v>
      </c>
      <c r="F1104">
        <v>22841910200</v>
      </c>
      <c r="G1104">
        <v>505</v>
      </c>
      <c r="H1104">
        <v>22364394500</v>
      </c>
      <c r="I1104">
        <v>505</v>
      </c>
      <c r="J1104">
        <v>2575.2600000000002</v>
      </c>
      <c r="K1104">
        <v>2.2187999999999999E-2</v>
      </c>
      <c r="L1104">
        <v>0.09</v>
      </c>
      <c r="M1104">
        <v>246.626</v>
      </c>
      <c r="N1104">
        <f t="shared" si="33"/>
        <v>2.3338858919984107E-2</v>
      </c>
      <c r="O1104">
        <f t="shared" si="34"/>
        <v>1.2485098894665647E-4</v>
      </c>
      <c r="P1104">
        <f t="shared" si="35"/>
        <v>2.321400793103745E-2</v>
      </c>
    </row>
    <row r="1105" spans="1:16" x14ac:dyDescent="0.35">
      <c r="A1105" s="1">
        <v>43069</v>
      </c>
      <c r="B1105">
        <v>3.1389E-2</v>
      </c>
      <c r="C1105">
        <v>2.886E-2</v>
      </c>
      <c r="D1105">
        <v>3.8786000000000001E-2</v>
      </c>
      <c r="E1105">
        <v>3.6576999999999998E-2</v>
      </c>
      <c r="F1105">
        <v>23487731800</v>
      </c>
      <c r="G1105">
        <v>505</v>
      </c>
      <c r="H1105">
        <v>22841910200</v>
      </c>
      <c r="I1105">
        <v>505</v>
      </c>
      <c r="J1105">
        <v>2647.58</v>
      </c>
      <c r="K1105">
        <v>2.8083E-2</v>
      </c>
      <c r="L1105">
        <v>0.08</v>
      </c>
      <c r="M1105">
        <v>247.28399999999999</v>
      </c>
      <c r="N1105">
        <f t="shared" si="33"/>
        <v>2.8644568649811575E-2</v>
      </c>
      <c r="O1105">
        <f t="shared" si="34"/>
        <v>-1.8630368321445046E-3</v>
      </c>
      <c r="P1105">
        <f t="shared" si="35"/>
        <v>3.0507605481956079E-2</v>
      </c>
    </row>
    <row r="1106" spans="1:16" x14ac:dyDescent="0.35">
      <c r="A1106" s="1">
        <v>43098</v>
      </c>
      <c r="B1106">
        <v>1.1148999999999999E-2</v>
      </c>
      <c r="C1106">
        <v>9.8510000000000004E-3</v>
      </c>
      <c r="D1106">
        <v>1.3102000000000001E-2</v>
      </c>
      <c r="E1106">
        <v>1.1375E-2</v>
      </c>
      <c r="F1106">
        <v>23675105600</v>
      </c>
      <c r="G1106">
        <v>505</v>
      </c>
      <c r="H1106">
        <v>23463244500</v>
      </c>
      <c r="I1106">
        <v>504</v>
      </c>
      <c r="J1106">
        <v>2673.61</v>
      </c>
      <c r="K1106">
        <v>9.8320000000000005E-3</v>
      </c>
      <c r="L1106">
        <v>0.09</v>
      </c>
      <c r="M1106">
        <v>247.80500000000001</v>
      </c>
      <c r="N1106">
        <f t="shared" si="33"/>
        <v>9.0231000827263319E-3</v>
      </c>
      <c r="O1106">
        <f t="shared" si="34"/>
        <v>-1.2043518088822314E-3</v>
      </c>
      <c r="P1106">
        <f t="shared" si="35"/>
        <v>1.0227451891608563E-2</v>
      </c>
    </row>
    <row r="1107" spans="1:16" x14ac:dyDescent="0.35">
      <c r="A1107" s="1">
        <v>43131</v>
      </c>
      <c r="B1107">
        <v>5.806E-2</v>
      </c>
      <c r="C1107">
        <v>5.7017999999999999E-2</v>
      </c>
      <c r="D1107">
        <v>4.4706999999999997E-2</v>
      </c>
      <c r="E1107">
        <v>4.3892E-2</v>
      </c>
      <c r="F1107">
        <v>25029304500</v>
      </c>
      <c r="G1107">
        <v>505</v>
      </c>
      <c r="H1107">
        <v>23685773600</v>
      </c>
      <c r="I1107">
        <v>505</v>
      </c>
      <c r="J1107">
        <v>2823.81</v>
      </c>
      <c r="K1107">
        <v>5.6179E-2</v>
      </c>
      <c r="L1107">
        <v>0.12</v>
      </c>
      <c r="M1107">
        <v>248.85900000000001</v>
      </c>
      <c r="N1107">
        <f t="shared" si="33"/>
        <v>5.357876669117867E-2</v>
      </c>
      <c r="O1107">
        <f t="shared" si="34"/>
        <v>-3.0404124423870638E-3</v>
      </c>
      <c r="P1107">
        <f t="shared" si="35"/>
        <v>5.6619179133565734E-2</v>
      </c>
    </row>
    <row r="1108" spans="1:16" x14ac:dyDescent="0.35">
      <c r="A1108" s="1">
        <v>43159</v>
      </c>
      <c r="B1108">
        <v>-3.7661E-2</v>
      </c>
      <c r="C1108">
        <v>-3.9702000000000001E-2</v>
      </c>
      <c r="D1108">
        <v>-4.3354999999999998E-2</v>
      </c>
      <c r="E1108">
        <v>-4.5060999999999997E-2</v>
      </c>
      <c r="F1108">
        <v>23987621000</v>
      </c>
      <c r="G1108">
        <v>505</v>
      </c>
      <c r="H1108">
        <v>25029304500</v>
      </c>
      <c r="I1108">
        <v>505</v>
      </c>
      <c r="J1108">
        <v>2713.83</v>
      </c>
      <c r="K1108">
        <v>-3.8947000000000002E-2</v>
      </c>
      <c r="L1108">
        <v>0.11</v>
      </c>
      <c r="M1108">
        <v>249.529</v>
      </c>
      <c r="N1108">
        <f t="shared" si="33"/>
        <v>-4.0244936656661068E-2</v>
      </c>
      <c r="O1108">
        <f t="shared" si="34"/>
        <v>-1.5880122150129239E-3</v>
      </c>
      <c r="P1108">
        <f t="shared" si="35"/>
        <v>-3.8656924441648144E-2</v>
      </c>
    </row>
    <row r="1109" spans="1:16" x14ac:dyDescent="0.35">
      <c r="A1109" s="1">
        <v>43188</v>
      </c>
      <c r="B1109">
        <v>-2.5458999999999999E-2</v>
      </c>
      <c r="C1109">
        <v>-2.7092000000000001E-2</v>
      </c>
      <c r="D1109">
        <v>-8.5749999999999993E-3</v>
      </c>
      <c r="E1109">
        <v>-1.0879E-2</v>
      </c>
      <c r="F1109">
        <v>23343477100</v>
      </c>
      <c r="G1109">
        <v>505</v>
      </c>
      <c r="H1109">
        <v>24023546700</v>
      </c>
      <c r="I1109">
        <v>505</v>
      </c>
      <c r="J1109">
        <v>2640.87</v>
      </c>
      <c r="K1109">
        <v>-2.6884999999999999E-2</v>
      </c>
      <c r="L1109">
        <v>0.11</v>
      </c>
      <c r="M1109">
        <v>249.577</v>
      </c>
      <c r="N1109">
        <f t="shared" si="33"/>
        <v>-2.5646429001871196E-2</v>
      </c>
      <c r="O1109">
        <f t="shared" si="34"/>
        <v>9.0746302744237894E-4</v>
      </c>
      <c r="P1109">
        <f t="shared" si="35"/>
        <v>-2.6553892029313575E-2</v>
      </c>
    </row>
    <row r="1110" spans="1:16" x14ac:dyDescent="0.35">
      <c r="A1110" s="1">
        <v>43220</v>
      </c>
      <c r="B1110">
        <v>3.7699999999999999E-3</v>
      </c>
      <c r="C1110">
        <v>2.6559999999999999E-3</v>
      </c>
      <c r="D1110">
        <v>3.8839999999999999E-3</v>
      </c>
      <c r="E1110">
        <v>2.9940000000000001E-3</v>
      </c>
      <c r="F1110">
        <v>23358084000</v>
      </c>
      <c r="G1110">
        <v>505</v>
      </c>
      <c r="H1110">
        <v>23350152300</v>
      </c>
      <c r="I1110">
        <v>505</v>
      </c>
      <c r="J1110">
        <v>2648.05</v>
      </c>
      <c r="K1110">
        <v>2.7190000000000001E-3</v>
      </c>
      <c r="L1110">
        <v>0.14000000000000001</v>
      </c>
      <c r="M1110">
        <v>250.227</v>
      </c>
      <c r="N1110">
        <f t="shared" si="33"/>
        <v>1.1625655504801102E-3</v>
      </c>
      <c r="O1110">
        <f t="shared" si="34"/>
        <v>-1.2012780395400657E-3</v>
      </c>
      <c r="P1110">
        <f t="shared" si="35"/>
        <v>2.363843590020176E-3</v>
      </c>
    </row>
    <row r="1111" spans="1:16" x14ac:dyDescent="0.35">
      <c r="A1111" s="1">
        <v>43251</v>
      </c>
      <c r="B1111">
        <v>2.3800000000000002E-2</v>
      </c>
      <c r="C1111">
        <v>2.1316999999999999E-2</v>
      </c>
      <c r="D1111">
        <v>1.5564E-2</v>
      </c>
      <c r="E1111">
        <v>1.3450999999999999E-2</v>
      </c>
      <c r="F1111">
        <v>23844718600</v>
      </c>
      <c r="G1111">
        <v>505</v>
      </c>
      <c r="H1111">
        <v>23360032700</v>
      </c>
      <c r="I1111">
        <v>505</v>
      </c>
      <c r="J1111">
        <v>2705.27</v>
      </c>
      <c r="K1111">
        <v>2.1607999999999999E-2</v>
      </c>
      <c r="L1111">
        <v>0.14000000000000001</v>
      </c>
      <c r="M1111">
        <v>250.792</v>
      </c>
      <c r="N1111">
        <f t="shared" si="33"/>
        <v>2.1493518932023337E-2</v>
      </c>
      <c r="O1111">
        <f t="shared" si="34"/>
        <v>-8.5601693833925463E-4</v>
      </c>
      <c r="P1111">
        <f t="shared" si="35"/>
        <v>2.2349535870362591E-2</v>
      </c>
    </row>
    <row r="1112" spans="1:16" x14ac:dyDescent="0.35">
      <c r="A1112" s="1">
        <v>43280</v>
      </c>
      <c r="B1112">
        <v>6.8399999999999997E-3</v>
      </c>
      <c r="C1112">
        <v>5.5069999999999997E-3</v>
      </c>
      <c r="D1112">
        <v>1.1219E-2</v>
      </c>
      <c r="E1112">
        <v>9.4070000000000004E-3</v>
      </c>
      <c r="F1112">
        <v>23915147100</v>
      </c>
      <c r="G1112">
        <v>505</v>
      </c>
      <c r="H1112">
        <v>23781650300</v>
      </c>
      <c r="I1112">
        <v>505</v>
      </c>
      <c r="J1112">
        <v>2718.37</v>
      </c>
      <c r="K1112">
        <v>4.8419999999999999E-3</v>
      </c>
      <c r="L1112">
        <v>0.14000000000000001</v>
      </c>
      <c r="M1112">
        <v>251.018</v>
      </c>
      <c r="N1112">
        <f t="shared" si="33"/>
        <v>5.9335078759292781E-3</v>
      </c>
      <c r="O1112">
        <f t="shared" si="34"/>
        <v>4.9840569202208584E-4</v>
      </c>
      <c r="P1112">
        <f t="shared" si="35"/>
        <v>5.4351021839071922E-3</v>
      </c>
    </row>
    <row r="1113" spans="1:16" x14ac:dyDescent="0.35">
      <c r="A1113" s="1">
        <v>43312</v>
      </c>
      <c r="B1113">
        <v>3.7144000000000003E-2</v>
      </c>
      <c r="C1113">
        <v>3.5970000000000002E-2</v>
      </c>
      <c r="D1113">
        <v>3.2294999999999997E-2</v>
      </c>
      <c r="E1113">
        <v>3.1396E-2</v>
      </c>
      <c r="F1113">
        <v>24729614800</v>
      </c>
      <c r="G1113">
        <v>505</v>
      </c>
      <c r="H1113">
        <v>23906296300</v>
      </c>
      <c r="I1113">
        <v>505</v>
      </c>
      <c r="J1113">
        <v>2816.29</v>
      </c>
      <c r="K1113">
        <v>3.6021999999999998E-2</v>
      </c>
      <c r="L1113">
        <v>0.16</v>
      </c>
      <c r="M1113">
        <v>251.214</v>
      </c>
      <c r="N1113">
        <f t="shared" si="33"/>
        <v>3.6334808537740626E-2</v>
      </c>
      <c r="O1113">
        <f t="shared" si="34"/>
        <v>8.1854036797301966E-4</v>
      </c>
      <c r="P1113">
        <f t="shared" si="35"/>
        <v>3.5516268169767606E-2</v>
      </c>
    </row>
    <row r="1114" spans="1:16" x14ac:dyDescent="0.35">
      <c r="A1114" s="1">
        <v>43343</v>
      </c>
      <c r="B1114">
        <v>3.2938000000000002E-2</v>
      </c>
      <c r="C1114">
        <v>3.0647000000000001E-2</v>
      </c>
      <c r="D1114">
        <v>2.0003E-2</v>
      </c>
      <c r="E1114">
        <v>1.7912999999999998E-2</v>
      </c>
      <c r="F1114">
        <v>25450302800</v>
      </c>
      <c r="G1114">
        <v>505</v>
      </c>
      <c r="H1114">
        <v>24728119200</v>
      </c>
      <c r="I1114">
        <v>505</v>
      </c>
      <c r="J1114">
        <v>2901.52</v>
      </c>
      <c r="K1114">
        <v>3.0263000000000002E-2</v>
      </c>
      <c r="L1114">
        <v>0.16</v>
      </c>
      <c r="M1114">
        <v>251.66300000000001</v>
      </c>
      <c r="N1114">
        <f t="shared" si="33"/>
        <v>3.1095102307450606E-2</v>
      </c>
      <c r="O1114">
        <f t="shared" si="34"/>
        <v>-1.8698656536708658E-4</v>
      </c>
      <c r="P1114">
        <f t="shared" si="35"/>
        <v>3.1282088872817693E-2</v>
      </c>
    </row>
    <row r="1115" spans="1:16" x14ac:dyDescent="0.35">
      <c r="A1115" s="1">
        <v>43371</v>
      </c>
      <c r="B1115">
        <v>5.1380000000000002E-3</v>
      </c>
      <c r="C1115">
        <v>3.7580000000000001E-3</v>
      </c>
      <c r="D1115">
        <v>1.5969999999999999E-3</v>
      </c>
      <c r="E1115">
        <v>-2.3000000000000001E-4</v>
      </c>
      <c r="F1115">
        <v>25478910100</v>
      </c>
      <c r="G1115">
        <v>505</v>
      </c>
      <c r="H1115">
        <v>25450571600</v>
      </c>
      <c r="I1115">
        <v>505</v>
      </c>
      <c r="J1115">
        <v>2913.98</v>
      </c>
      <c r="K1115">
        <v>4.2940000000000001E-3</v>
      </c>
      <c r="L1115">
        <v>0.15</v>
      </c>
      <c r="M1115">
        <v>252.18199999999999</v>
      </c>
      <c r="N1115">
        <f t="shared" ref="N1115:N1178" si="36">(1+B1115)*M1114/M1115-1</f>
        <v>3.0693883544425926E-3</v>
      </c>
      <c r="O1115">
        <f t="shared" ref="O1115:O1178" si="37">(1+L1115/100)*M1114/M1115-1</f>
        <v>-5.6112450531742297E-4</v>
      </c>
      <c r="P1115">
        <f t="shared" ref="P1115:P1178" si="38">N1115-O1115</f>
        <v>3.6305128597600156E-3</v>
      </c>
    </row>
    <row r="1116" spans="1:16" x14ac:dyDescent="0.35">
      <c r="A1116" s="1">
        <v>43404</v>
      </c>
      <c r="B1116">
        <v>-6.8408999999999998E-2</v>
      </c>
      <c r="C1116">
        <v>-6.9491999999999998E-2</v>
      </c>
      <c r="D1116">
        <v>-7.1379999999999999E-2</v>
      </c>
      <c r="E1116">
        <v>-7.2247000000000006E-2</v>
      </c>
      <c r="F1116">
        <v>23738730600</v>
      </c>
      <c r="G1116">
        <v>505</v>
      </c>
      <c r="H1116">
        <v>25432893500</v>
      </c>
      <c r="I1116">
        <v>504</v>
      </c>
      <c r="J1116">
        <v>2711.74</v>
      </c>
      <c r="K1116">
        <v>-6.9403000000000006E-2</v>
      </c>
      <c r="L1116">
        <v>0.19</v>
      </c>
      <c r="M1116">
        <v>252.77199999999999</v>
      </c>
      <c r="N1116">
        <f t="shared" si="36"/>
        <v>-7.0583444519171312E-2</v>
      </c>
      <c r="O1116">
        <f t="shared" si="37"/>
        <v>-4.385541120061065E-4</v>
      </c>
      <c r="P1116">
        <f t="shared" si="38"/>
        <v>-7.0144890407165206E-2</v>
      </c>
    </row>
    <row r="1117" spans="1:16" x14ac:dyDescent="0.35">
      <c r="A1117" s="1">
        <v>43434</v>
      </c>
      <c r="B1117">
        <v>1.9751999999999999E-2</v>
      </c>
      <c r="C1117">
        <v>1.7259E-2</v>
      </c>
      <c r="D1117">
        <v>2.7401999999999999E-2</v>
      </c>
      <c r="E1117">
        <v>2.5045000000000001E-2</v>
      </c>
      <c r="F1117">
        <v>24036175900</v>
      </c>
      <c r="G1117">
        <v>505</v>
      </c>
      <c r="H1117">
        <v>23647802200</v>
      </c>
      <c r="I1117">
        <v>503</v>
      </c>
      <c r="J1117">
        <v>2760.17</v>
      </c>
      <c r="K1117">
        <v>1.7859E-2</v>
      </c>
      <c r="L1117">
        <v>0.18</v>
      </c>
      <c r="M1117">
        <v>252.59399999999999</v>
      </c>
      <c r="N1117">
        <f t="shared" si="36"/>
        <v>2.0470607156147791E-2</v>
      </c>
      <c r="O1117">
        <f t="shared" si="37"/>
        <v>2.5059565943768014E-3</v>
      </c>
      <c r="P1117">
        <f t="shared" si="38"/>
        <v>1.796465056177099E-2</v>
      </c>
    </row>
    <row r="1118" spans="1:16" x14ac:dyDescent="0.35">
      <c r="A1118" s="1">
        <v>43465</v>
      </c>
      <c r="B1118">
        <v>-9.0646000000000004E-2</v>
      </c>
      <c r="C1118">
        <v>-9.2188000000000006E-2</v>
      </c>
      <c r="D1118">
        <v>-0.100313</v>
      </c>
      <c r="E1118">
        <v>-0.102271</v>
      </c>
      <c r="F1118">
        <v>21808021400</v>
      </c>
      <c r="G1118">
        <v>505</v>
      </c>
      <c r="H1118">
        <v>24026009600</v>
      </c>
      <c r="I1118">
        <v>505</v>
      </c>
      <c r="J1118">
        <v>2506.85</v>
      </c>
      <c r="K1118">
        <v>-9.1776999999999997E-2</v>
      </c>
      <c r="L1118">
        <v>0.2</v>
      </c>
      <c r="M1118">
        <v>252.767</v>
      </c>
      <c r="N1118">
        <f t="shared" si="36"/>
        <v>-9.1268384417269588E-2</v>
      </c>
      <c r="O1118">
        <f t="shared" si="37"/>
        <v>1.3142063639637325E-3</v>
      </c>
      <c r="P1118">
        <f t="shared" si="38"/>
        <v>-9.258259078123332E-2</v>
      </c>
    </row>
    <row r="1119" spans="1:16" x14ac:dyDescent="0.35">
      <c r="A1119" s="1">
        <v>43496</v>
      </c>
      <c r="B1119">
        <v>8.1408999999999995E-2</v>
      </c>
      <c r="C1119">
        <v>8.0023999999999998E-2</v>
      </c>
      <c r="D1119">
        <v>0.101019</v>
      </c>
      <c r="E1119">
        <v>0.10000199999999999</v>
      </c>
      <c r="F1119">
        <v>23530103500</v>
      </c>
      <c r="G1119">
        <v>505</v>
      </c>
      <c r="H1119">
        <v>21815093500</v>
      </c>
      <c r="I1119">
        <v>505</v>
      </c>
      <c r="J1119">
        <v>2704.1</v>
      </c>
      <c r="K1119">
        <v>7.8684000000000004E-2</v>
      </c>
      <c r="L1119">
        <v>0.21</v>
      </c>
      <c r="M1119">
        <v>252.56100000000001</v>
      </c>
      <c r="N1119">
        <f t="shared" si="36"/>
        <v>8.229104534350129E-2</v>
      </c>
      <c r="O1119">
        <f t="shared" si="37"/>
        <v>2.9173573908876094E-3</v>
      </c>
      <c r="P1119">
        <f t="shared" si="38"/>
        <v>7.9373687952613681E-2</v>
      </c>
    </row>
    <row r="1120" spans="1:16" x14ac:dyDescent="0.35">
      <c r="A1120" s="1">
        <v>43524</v>
      </c>
      <c r="B1120">
        <v>3.1708E-2</v>
      </c>
      <c r="C1120">
        <v>2.9398000000000001E-2</v>
      </c>
      <c r="D1120">
        <v>3.6691000000000001E-2</v>
      </c>
      <c r="E1120">
        <v>3.4541000000000002E-2</v>
      </c>
      <c r="F1120">
        <v>24149495400</v>
      </c>
      <c r="G1120">
        <v>505</v>
      </c>
      <c r="H1120">
        <v>23539603900</v>
      </c>
      <c r="I1120">
        <v>505</v>
      </c>
      <c r="J1120">
        <v>2784.49</v>
      </c>
      <c r="K1120">
        <v>2.9728999999999998E-2</v>
      </c>
      <c r="L1120">
        <v>0.18</v>
      </c>
      <c r="M1120">
        <v>253.31899999999999</v>
      </c>
      <c r="N1120">
        <f t="shared" si="36"/>
        <v>2.8620846395256638E-2</v>
      </c>
      <c r="O1120">
        <f t="shared" si="37"/>
        <v>-1.1976606571160175E-3</v>
      </c>
      <c r="P1120">
        <f t="shared" si="38"/>
        <v>2.9818507052372656E-2</v>
      </c>
    </row>
    <row r="1121" spans="1:16" x14ac:dyDescent="0.35">
      <c r="A1121" s="1">
        <v>43553</v>
      </c>
      <c r="B1121">
        <v>1.9531E-2</v>
      </c>
      <c r="C1121">
        <v>1.8006999999999999E-2</v>
      </c>
      <c r="D1121">
        <v>9.1310000000000002E-3</v>
      </c>
      <c r="E1121">
        <v>6.9969999999999997E-3</v>
      </c>
      <c r="F1121">
        <v>24522773600</v>
      </c>
      <c r="G1121">
        <v>505</v>
      </c>
      <c r="H1121">
        <v>24056066100</v>
      </c>
      <c r="I1121">
        <v>503</v>
      </c>
      <c r="J1121">
        <v>2834.4</v>
      </c>
      <c r="K1121">
        <v>1.7923999999999999E-2</v>
      </c>
      <c r="L1121">
        <v>0.19</v>
      </c>
      <c r="M1121">
        <v>254.27699999999999</v>
      </c>
      <c r="N1121">
        <f t="shared" si="36"/>
        <v>1.5689871238845798E-2</v>
      </c>
      <c r="O1121">
        <f t="shared" si="37"/>
        <v>-1.8747031780301793E-3</v>
      </c>
      <c r="P1121">
        <f t="shared" si="38"/>
        <v>1.7564574416875978E-2</v>
      </c>
    </row>
    <row r="1122" spans="1:16" x14ac:dyDescent="0.35">
      <c r="A1122" s="1">
        <v>43585</v>
      </c>
      <c r="B1122">
        <v>4.0628999999999998E-2</v>
      </c>
      <c r="C1122">
        <v>3.9468999999999997E-2</v>
      </c>
      <c r="D1122">
        <v>3.6678000000000002E-2</v>
      </c>
      <c r="E1122">
        <v>3.5735999999999997E-2</v>
      </c>
      <c r="F1122">
        <v>25431133500</v>
      </c>
      <c r="G1122">
        <v>505</v>
      </c>
      <c r="H1122">
        <v>24557205300</v>
      </c>
      <c r="I1122">
        <v>505</v>
      </c>
      <c r="J1122">
        <v>2945.83</v>
      </c>
      <c r="K1122">
        <v>3.9313000000000001E-2</v>
      </c>
      <c r="L1122">
        <v>0.21</v>
      </c>
      <c r="M1122">
        <v>255.233</v>
      </c>
      <c r="N1122">
        <f t="shared" si="36"/>
        <v>3.6731222972734567E-2</v>
      </c>
      <c r="O1122">
        <f t="shared" si="37"/>
        <v>-1.6534629142783697E-3</v>
      </c>
      <c r="P1122">
        <f t="shared" si="38"/>
        <v>3.8384685887012937E-2</v>
      </c>
    </row>
    <row r="1123" spans="1:16" x14ac:dyDescent="0.35">
      <c r="A1123" s="1">
        <v>43616</v>
      </c>
      <c r="B1123">
        <v>-6.3186999999999993E-2</v>
      </c>
      <c r="C1123">
        <v>-6.5503000000000006E-2</v>
      </c>
      <c r="D1123">
        <v>-6.8450999999999998E-2</v>
      </c>
      <c r="E1123">
        <v>-7.0743E-2</v>
      </c>
      <c r="F1123">
        <v>23738809700</v>
      </c>
      <c r="G1123">
        <v>505</v>
      </c>
      <c r="H1123">
        <v>25431133500</v>
      </c>
      <c r="I1123">
        <v>505</v>
      </c>
      <c r="J1123">
        <v>2752.06</v>
      </c>
      <c r="K1123">
        <v>-6.5778000000000003E-2</v>
      </c>
      <c r="L1123">
        <v>0.21</v>
      </c>
      <c r="M1123">
        <v>255.29599999999999</v>
      </c>
      <c r="N1123">
        <f t="shared" si="36"/>
        <v>-6.3418179568030753E-2</v>
      </c>
      <c r="O1123">
        <f t="shared" si="37"/>
        <v>1.8527094039859637E-3</v>
      </c>
      <c r="P1123">
        <f t="shared" si="38"/>
        <v>-6.5270888972016716E-2</v>
      </c>
    </row>
    <row r="1124" spans="1:16" x14ac:dyDescent="0.35">
      <c r="A1124" s="1">
        <v>43644</v>
      </c>
      <c r="B1124">
        <v>6.9560999999999998E-2</v>
      </c>
      <c r="C1124">
        <v>6.8056000000000005E-2</v>
      </c>
      <c r="D1124">
        <v>7.5816999999999996E-2</v>
      </c>
      <c r="E1124">
        <v>7.3828000000000005E-2</v>
      </c>
      <c r="F1124">
        <v>25352208700</v>
      </c>
      <c r="G1124">
        <v>505</v>
      </c>
      <c r="H1124">
        <v>23751724000</v>
      </c>
      <c r="I1124">
        <v>504</v>
      </c>
      <c r="J1124">
        <v>2941.76</v>
      </c>
      <c r="K1124">
        <v>6.8930000000000005E-2</v>
      </c>
      <c r="L1124">
        <v>0.18</v>
      </c>
      <c r="M1124">
        <v>255.21299999999999</v>
      </c>
      <c r="N1124">
        <f t="shared" si="36"/>
        <v>6.9908841070008165E-2</v>
      </c>
      <c r="O1124">
        <f t="shared" si="37"/>
        <v>2.1258039363198922E-3</v>
      </c>
      <c r="P1124">
        <f t="shared" si="38"/>
        <v>6.7783037133688273E-2</v>
      </c>
    </row>
    <row r="1125" spans="1:16" x14ac:dyDescent="0.35">
      <c r="A1125" s="1">
        <v>43677</v>
      </c>
      <c r="B1125">
        <v>1.4603E-2</v>
      </c>
      <c r="C1125">
        <v>1.3367E-2</v>
      </c>
      <c r="D1125">
        <v>8.8389999999999996E-3</v>
      </c>
      <c r="E1125">
        <v>7.8449999999999995E-3</v>
      </c>
      <c r="F1125">
        <v>25756085000</v>
      </c>
      <c r="G1125">
        <v>505</v>
      </c>
      <c r="H1125">
        <v>25374774700</v>
      </c>
      <c r="I1125">
        <v>505</v>
      </c>
      <c r="J1125">
        <v>2980.38</v>
      </c>
      <c r="K1125">
        <v>1.3128000000000001E-2</v>
      </c>
      <c r="L1125">
        <v>0.19</v>
      </c>
      <c r="M1125">
        <v>255.80199999999999</v>
      </c>
      <c r="N1125">
        <f t="shared" si="36"/>
        <v>1.2266813547196609E-2</v>
      </c>
      <c r="O1125">
        <f t="shared" si="37"/>
        <v>-4.0693700596550197E-4</v>
      </c>
      <c r="P1125">
        <f t="shared" si="38"/>
        <v>1.2673750553162111E-2</v>
      </c>
    </row>
    <row r="1126" spans="1:16" x14ac:dyDescent="0.35">
      <c r="A1126" s="1">
        <v>43707</v>
      </c>
      <c r="B1126">
        <v>-1.6084999999999999E-2</v>
      </c>
      <c r="C1126">
        <v>-1.8377000000000001E-2</v>
      </c>
      <c r="D1126">
        <v>-3.1248000000000001E-2</v>
      </c>
      <c r="E1126">
        <v>-3.3591000000000003E-2</v>
      </c>
      <c r="F1126">
        <v>25265737400</v>
      </c>
      <c r="G1126">
        <v>505</v>
      </c>
      <c r="H1126">
        <v>25739135600</v>
      </c>
      <c r="I1126">
        <v>505</v>
      </c>
      <c r="J1126">
        <v>2926.46</v>
      </c>
      <c r="K1126">
        <v>-1.8092E-2</v>
      </c>
      <c r="L1126">
        <v>0.16</v>
      </c>
      <c r="M1126">
        <v>256.036</v>
      </c>
      <c r="N1126">
        <f t="shared" si="36"/>
        <v>-1.6984233349997657E-2</v>
      </c>
      <c r="O1126">
        <f t="shared" si="37"/>
        <v>6.846037276009298E-4</v>
      </c>
      <c r="P1126">
        <f t="shared" si="38"/>
        <v>-1.7668837077598587E-2</v>
      </c>
    </row>
    <row r="1127" spans="1:16" x14ac:dyDescent="0.35">
      <c r="A1127" s="1">
        <v>43738</v>
      </c>
      <c r="B1127">
        <v>1.8790999999999999E-2</v>
      </c>
      <c r="C1127">
        <v>1.7271999999999999E-2</v>
      </c>
      <c r="D1127">
        <v>3.3528000000000002E-2</v>
      </c>
      <c r="E1127">
        <v>3.1375E-2</v>
      </c>
      <c r="F1127">
        <v>25684765300</v>
      </c>
      <c r="G1127">
        <v>505</v>
      </c>
      <c r="H1127">
        <v>25266259000</v>
      </c>
      <c r="I1127">
        <v>505</v>
      </c>
      <c r="J1127">
        <v>2976.74</v>
      </c>
      <c r="K1127">
        <v>1.7180999999999998E-2</v>
      </c>
      <c r="L1127">
        <v>0.18</v>
      </c>
      <c r="M1127">
        <v>256.43</v>
      </c>
      <c r="N1127">
        <f t="shared" si="36"/>
        <v>1.7225646281636475E-2</v>
      </c>
      <c r="O1127">
        <f t="shared" si="37"/>
        <v>2.607526420466133E-4</v>
      </c>
      <c r="P1127">
        <f t="shared" si="38"/>
        <v>1.6964893639589862E-2</v>
      </c>
    </row>
    <row r="1128" spans="1:16" x14ac:dyDescent="0.35">
      <c r="A1128" s="1">
        <v>43769</v>
      </c>
      <c r="B1128">
        <v>2.1621000000000001E-2</v>
      </c>
      <c r="C1128">
        <v>2.0441000000000001E-2</v>
      </c>
      <c r="D1128">
        <v>1.3161000000000001E-2</v>
      </c>
      <c r="E1128">
        <v>1.2198000000000001E-2</v>
      </c>
      <c r="F1128">
        <v>26196065100</v>
      </c>
      <c r="G1128">
        <v>505</v>
      </c>
      <c r="H1128">
        <v>25726026400</v>
      </c>
      <c r="I1128">
        <v>505</v>
      </c>
      <c r="J1128">
        <v>3037.56</v>
      </c>
      <c r="K1128">
        <v>2.0431999999999999E-2</v>
      </c>
      <c r="L1128">
        <v>0.16</v>
      </c>
      <c r="M1128">
        <v>257.15499999999997</v>
      </c>
      <c r="N1128">
        <f t="shared" si="36"/>
        <v>1.8740732359861179E-2</v>
      </c>
      <c r="O1128">
        <f t="shared" si="37"/>
        <v>-1.2238222083954531E-3</v>
      </c>
      <c r="P1128">
        <f t="shared" si="38"/>
        <v>1.9964554568256632E-2</v>
      </c>
    </row>
    <row r="1129" spans="1:16" x14ac:dyDescent="0.35">
      <c r="A1129" s="1">
        <v>43798</v>
      </c>
      <c r="B1129">
        <v>3.6206000000000002E-2</v>
      </c>
      <c r="C1129">
        <v>3.3979000000000002E-2</v>
      </c>
      <c r="D1129">
        <v>3.4518E-2</v>
      </c>
      <c r="E1129">
        <v>3.2058999999999997E-2</v>
      </c>
      <c r="F1129">
        <v>27063281400</v>
      </c>
      <c r="G1129">
        <v>505</v>
      </c>
      <c r="H1129">
        <v>26165845800</v>
      </c>
      <c r="I1129">
        <v>505</v>
      </c>
      <c r="J1129">
        <v>3140.98</v>
      </c>
      <c r="K1129">
        <v>3.4047000000000001E-2</v>
      </c>
      <c r="L1129">
        <v>0.12</v>
      </c>
      <c r="M1129">
        <v>257.87900000000002</v>
      </c>
      <c r="N1129">
        <f t="shared" si="36"/>
        <v>3.3296832739385218E-2</v>
      </c>
      <c r="O1129">
        <f t="shared" si="37"/>
        <v>-1.6108872765909776E-3</v>
      </c>
      <c r="P1129">
        <f t="shared" si="38"/>
        <v>3.4907720015976196E-2</v>
      </c>
    </row>
    <row r="1130" spans="1:16" x14ac:dyDescent="0.35">
      <c r="A1130" s="1">
        <v>43830</v>
      </c>
      <c r="B1130">
        <v>2.9787000000000001E-2</v>
      </c>
      <c r="C1130">
        <v>2.8136000000000001E-2</v>
      </c>
      <c r="D1130">
        <v>2.8763E-2</v>
      </c>
      <c r="E1130">
        <v>2.6519000000000001E-2</v>
      </c>
      <c r="F1130">
        <v>27851725900</v>
      </c>
      <c r="G1130">
        <v>505</v>
      </c>
      <c r="H1130">
        <v>27080733100</v>
      </c>
      <c r="I1130">
        <v>505</v>
      </c>
      <c r="J1130">
        <v>3230.78</v>
      </c>
      <c r="K1130">
        <v>2.8590000000000001E-2</v>
      </c>
      <c r="L1130">
        <v>0.14000000000000001</v>
      </c>
      <c r="M1130">
        <v>258.63</v>
      </c>
      <c r="N1130">
        <f t="shared" si="36"/>
        <v>2.6796743506167342E-2</v>
      </c>
      <c r="O1130">
        <f t="shared" si="37"/>
        <v>-1.5078273982136459E-3</v>
      </c>
      <c r="P1130">
        <f t="shared" si="38"/>
        <v>2.8304570904380988E-2</v>
      </c>
    </row>
    <row r="1131" spans="1:16" x14ac:dyDescent="0.35">
      <c r="A1131" s="1">
        <v>43861</v>
      </c>
      <c r="B1131">
        <v>1.08E-4</v>
      </c>
      <c r="C1131">
        <v>-1.129E-3</v>
      </c>
      <c r="D1131">
        <v>-1.7589E-2</v>
      </c>
      <c r="E1131">
        <v>-1.8584E-2</v>
      </c>
      <c r="F1131">
        <v>27795610600</v>
      </c>
      <c r="G1131">
        <v>505</v>
      </c>
      <c r="H1131">
        <v>27850578100</v>
      </c>
      <c r="I1131">
        <v>505</v>
      </c>
      <c r="J1131">
        <v>3225.52</v>
      </c>
      <c r="K1131">
        <v>-1.6280000000000001E-3</v>
      </c>
      <c r="L1131">
        <v>0.13</v>
      </c>
      <c r="M1131">
        <v>258.90600000000001</v>
      </c>
      <c r="N1131">
        <f t="shared" si="36"/>
        <v>-9.5813909295272559E-4</v>
      </c>
      <c r="O1131">
        <f t="shared" si="37"/>
        <v>2.3259020648436213E-4</v>
      </c>
      <c r="P1131">
        <f t="shared" si="38"/>
        <v>-1.1907292994370877E-3</v>
      </c>
    </row>
    <row r="1132" spans="1:16" x14ac:dyDescent="0.35">
      <c r="A1132" s="1">
        <v>43889</v>
      </c>
      <c r="B1132">
        <v>-8.1872E-2</v>
      </c>
      <c r="C1132">
        <v>-8.4080000000000002E-2</v>
      </c>
      <c r="D1132">
        <v>-9.0756000000000003E-2</v>
      </c>
      <c r="E1132">
        <v>-9.3622999999999998E-2</v>
      </c>
      <c r="F1132">
        <v>25423196300</v>
      </c>
      <c r="G1132">
        <v>505</v>
      </c>
      <c r="H1132">
        <v>27795610600</v>
      </c>
      <c r="I1132">
        <v>505</v>
      </c>
      <c r="J1132">
        <v>2954.22</v>
      </c>
      <c r="K1132">
        <v>-8.4110000000000004E-2</v>
      </c>
      <c r="L1132">
        <v>0.12</v>
      </c>
      <c r="M1132">
        <v>259.24599999999998</v>
      </c>
      <c r="N1132">
        <f t="shared" si="36"/>
        <v>-8.3076120873610271E-2</v>
      </c>
      <c r="O1132">
        <f t="shared" si="37"/>
        <v>-1.1306943983691031E-4</v>
      </c>
      <c r="P1132">
        <f t="shared" si="38"/>
        <v>-8.296305143377336E-2</v>
      </c>
    </row>
    <row r="1133" spans="1:16" x14ac:dyDescent="0.35">
      <c r="A1133" s="1">
        <v>43921</v>
      </c>
      <c r="B1133">
        <v>-0.12199699999999999</v>
      </c>
      <c r="C1133">
        <v>-0.123686</v>
      </c>
      <c r="D1133">
        <v>-0.18800800000000001</v>
      </c>
      <c r="E1133">
        <v>-0.19047500000000001</v>
      </c>
      <c r="F1133">
        <v>22241555400</v>
      </c>
      <c r="G1133">
        <v>505</v>
      </c>
      <c r="H1133">
        <v>25426549600</v>
      </c>
      <c r="I1133">
        <v>505</v>
      </c>
      <c r="J1133">
        <v>2584.59</v>
      </c>
      <c r="K1133">
        <v>-0.12511900000000001</v>
      </c>
      <c r="L1133">
        <v>0.13</v>
      </c>
      <c r="M1133">
        <v>258.14999999999998</v>
      </c>
      <c r="N1133">
        <f t="shared" si="36"/>
        <v>-0.11826935604106137</v>
      </c>
      <c r="O1133">
        <f t="shared" si="37"/>
        <v>5.5511129188456909E-3</v>
      </c>
      <c r="P1133">
        <f t="shared" si="38"/>
        <v>-0.12382046895990706</v>
      </c>
    </row>
    <row r="1134" spans="1:16" x14ac:dyDescent="0.35">
      <c r="A1134" s="1">
        <v>43951</v>
      </c>
      <c r="B1134">
        <v>0.12889</v>
      </c>
      <c r="C1134">
        <v>0.12765399999999999</v>
      </c>
      <c r="D1134">
        <v>0.14669199999999999</v>
      </c>
      <c r="E1134">
        <v>0.14555599999999999</v>
      </c>
      <c r="F1134">
        <v>25092774000</v>
      </c>
      <c r="G1134">
        <v>505</v>
      </c>
      <c r="H1134">
        <v>22240115400</v>
      </c>
      <c r="I1134">
        <v>505</v>
      </c>
      <c r="J1134">
        <v>2912.43</v>
      </c>
      <c r="K1134">
        <v>0.12684400000000001</v>
      </c>
      <c r="L1134">
        <v>0</v>
      </c>
      <c r="M1134">
        <v>256.12599999999998</v>
      </c>
      <c r="N1134">
        <f t="shared" si="36"/>
        <v>0.13781089580909378</v>
      </c>
      <c r="O1134">
        <f t="shared" si="37"/>
        <v>7.9023605569132904E-3</v>
      </c>
      <c r="P1134">
        <f t="shared" si="38"/>
        <v>0.12990853525218049</v>
      </c>
    </row>
    <row r="1135" spans="1:16" x14ac:dyDescent="0.35">
      <c r="A1135" s="1">
        <v>43980</v>
      </c>
      <c r="B1135">
        <v>4.7817999999999999E-2</v>
      </c>
      <c r="C1135">
        <v>4.5587000000000003E-2</v>
      </c>
      <c r="D1135">
        <v>4.8583000000000001E-2</v>
      </c>
      <c r="E1135">
        <v>4.6155000000000002E-2</v>
      </c>
      <c r="F1135">
        <v>26245685700</v>
      </c>
      <c r="G1135">
        <v>505</v>
      </c>
      <c r="H1135">
        <v>25085722900</v>
      </c>
      <c r="I1135">
        <v>505</v>
      </c>
      <c r="J1135">
        <v>3044.31</v>
      </c>
      <c r="K1135">
        <v>4.5282000000000003E-2</v>
      </c>
      <c r="L1135">
        <v>0.01</v>
      </c>
      <c r="M1135">
        <v>255.84800000000001</v>
      </c>
      <c r="N1135">
        <f t="shared" si="36"/>
        <v>4.8956540868015042E-2</v>
      </c>
      <c r="O1135">
        <f t="shared" si="37"/>
        <v>1.1866913167191129E-3</v>
      </c>
      <c r="P1135">
        <f t="shared" si="38"/>
        <v>4.7769849551295929E-2</v>
      </c>
    </row>
    <row r="1136" spans="1:16" x14ac:dyDescent="0.35">
      <c r="A1136" s="1">
        <v>44012</v>
      </c>
      <c r="B1136">
        <v>2.0348000000000002E-2</v>
      </c>
      <c r="C1136">
        <v>1.8884999999999999E-2</v>
      </c>
      <c r="D1136">
        <v>1.3520000000000001E-2</v>
      </c>
      <c r="E1136">
        <v>1.1534000000000001E-2</v>
      </c>
      <c r="F1136">
        <v>26759418300</v>
      </c>
      <c r="G1136">
        <v>505</v>
      </c>
      <c r="H1136">
        <v>26278398600</v>
      </c>
      <c r="I1136">
        <v>505</v>
      </c>
      <c r="J1136">
        <v>3100.29</v>
      </c>
      <c r="K1136">
        <v>1.8388000000000002E-2</v>
      </c>
      <c r="L1136">
        <v>0.01</v>
      </c>
      <c r="M1136">
        <v>257.00400000000002</v>
      </c>
      <c r="N1136">
        <f t="shared" si="36"/>
        <v>1.5758490544894199E-2</v>
      </c>
      <c r="O1136">
        <f t="shared" si="37"/>
        <v>-4.3984342656145925E-3</v>
      </c>
      <c r="P1136">
        <f t="shared" si="38"/>
        <v>2.0156924810508792E-2</v>
      </c>
    </row>
    <row r="1137" spans="1:16" x14ac:dyDescent="0.35">
      <c r="A1137" s="1">
        <v>44043</v>
      </c>
      <c r="B1137">
        <v>5.6910000000000002E-2</v>
      </c>
      <c r="C1137">
        <v>5.5682000000000002E-2</v>
      </c>
      <c r="D1137">
        <v>4.6927999999999997E-2</v>
      </c>
      <c r="E1137">
        <v>4.5810999999999998E-2</v>
      </c>
      <c r="F1137">
        <v>28251838400</v>
      </c>
      <c r="G1137">
        <v>505</v>
      </c>
      <c r="H1137">
        <v>26759418300</v>
      </c>
      <c r="I1137">
        <v>505</v>
      </c>
      <c r="J1137">
        <v>3271.12</v>
      </c>
      <c r="K1137">
        <v>5.5100999999999997E-2</v>
      </c>
      <c r="L1137">
        <v>0.01</v>
      </c>
      <c r="M1137">
        <v>258.40800000000002</v>
      </c>
      <c r="N1137">
        <f t="shared" si="36"/>
        <v>5.1167524380050233E-2</v>
      </c>
      <c r="O1137">
        <f t="shared" si="37"/>
        <v>-5.3338116466982166E-3</v>
      </c>
      <c r="P1137">
        <f t="shared" si="38"/>
        <v>5.650133602674845E-2</v>
      </c>
    </row>
    <row r="1138" spans="1:16" x14ac:dyDescent="0.35">
      <c r="A1138" s="1">
        <v>44074</v>
      </c>
      <c r="B1138">
        <v>7.2067999999999993E-2</v>
      </c>
      <c r="C1138">
        <v>7.0307999999999995E-2</v>
      </c>
      <c r="D1138">
        <v>4.5357000000000001E-2</v>
      </c>
      <c r="E1138">
        <v>4.3173999999999997E-2</v>
      </c>
      <c r="F1138">
        <v>30251978100</v>
      </c>
      <c r="G1138">
        <v>505</v>
      </c>
      <c r="H1138">
        <v>28251838400</v>
      </c>
      <c r="I1138">
        <v>505</v>
      </c>
      <c r="J1138">
        <v>3500.31</v>
      </c>
      <c r="K1138">
        <v>7.0065000000000002E-2</v>
      </c>
      <c r="L1138">
        <v>0.01</v>
      </c>
      <c r="M1138">
        <v>259.36599999999999</v>
      </c>
      <c r="N1138">
        <f t="shared" si="36"/>
        <v>6.8108185899462548E-2</v>
      </c>
      <c r="O1138">
        <f t="shared" si="37"/>
        <v>-3.5939915023557312E-3</v>
      </c>
      <c r="P1138">
        <f t="shared" si="38"/>
        <v>7.1702177401818279E-2</v>
      </c>
    </row>
    <row r="1139" spans="1:16" x14ac:dyDescent="0.35">
      <c r="A1139" s="1">
        <v>44104</v>
      </c>
      <c r="B1139">
        <v>-3.8150999999999997E-2</v>
      </c>
      <c r="C1139">
        <v>-3.9365999999999998E-2</v>
      </c>
      <c r="D1139">
        <v>-2.5198000000000002E-2</v>
      </c>
      <c r="E1139">
        <v>-2.7038E-2</v>
      </c>
      <c r="F1139">
        <v>29069852400</v>
      </c>
      <c r="G1139">
        <v>505</v>
      </c>
      <c r="H1139">
        <v>30286653100</v>
      </c>
      <c r="I1139">
        <v>505</v>
      </c>
      <c r="J1139">
        <v>3363</v>
      </c>
      <c r="K1139">
        <v>-3.9227999999999999E-2</v>
      </c>
      <c r="L1139">
        <v>0.01</v>
      </c>
      <c r="M1139">
        <v>259.95100000000002</v>
      </c>
      <c r="N1139">
        <f t="shared" si="36"/>
        <v>-4.031556818785087E-2</v>
      </c>
      <c r="O1139">
        <f t="shared" si="37"/>
        <v>-2.1506491608034306E-3</v>
      </c>
      <c r="P1139">
        <f t="shared" si="38"/>
        <v>-3.8164919027047439E-2</v>
      </c>
    </row>
    <row r="1140" spans="1:16" x14ac:dyDescent="0.35">
      <c r="A1140" s="1">
        <v>44134</v>
      </c>
      <c r="B1140">
        <v>-2.6408999999999998E-2</v>
      </c>
      <c r="C1140">
        <v>-2.7507E-2</v>
      </c>
      <c r="D1140">
        <v>-6.1640000000000002E-3</v>
      </c>
      <c r="E1140">
        <v>-7.2880000000000002E-3</v>
      </c>
      <c r="F1140">
        <v>28309783100</v>
      </c>
      <c r="G1140">
        <v>505</v>
      </c>
      <c r="H1140">
        <v>29073295300</v>
      </c>
      <c r="I1140">
        <v>505</v>
      </c>
      <c r="J1140">
        <v>3269.96</v>
      </c>
      <c r="K1140">
        <v>-2.7666E-2</v>
      </c>
      <c r="L1140">
        <v>0.01</v>
      </c>
      <c r="M1140">
        <v>260.24900000000002</v>
      </c>
      <c r="N1140">
        <f t="shared" si="36"/>
        <v>-2.7523817417165919E-2</v>
      </c>
      <c r="O1140">
        <f t="shared" si="37"/>
        <v>-1.0451717393726856E-3</v>
      </c>
      <c r="P1140">
        <f t="shared" si="38"/>
        <v>-2.6478645677793233E-2</v>
      </c>
    </row>
    <row r="1141" spans="1:16" x14ac:dyDescent="0.35">
      <c r="A1141" s="1">
        <v>44165</v>
      </c>
      <c r="B1141">
        <v>0.109404</v>
      </c>
      <c r="C1141">
        <v>0.107624</v>
      </c>
      <c r="D1141">
        <v>0.14669399999999999</v>
      </c>
      <c r="E1141">
        <v>0.14444799999999999</v>
      </c>
      <c r="F1141">
        <v>31348856900</v>
      </c>
      <c r="G1141">
        <v>505</v>
      </c>
      <c r="H1141">
        <v>28302266600</v>
      </c>
      <c r="I1141">
        <v>504</v>
      </c>
      <c r="J1141">
        <v>3621.63</v>
      </c>
      <c r="K1141">
        <v>0.107546</v>
      </c>
      <c r="L1141">
        <v>0.01</v>
      </c>
      <c r="M1141">
        <v>260.89499999999998</v>
      </c>
      <c r="N1141">
        <f t="shared" si="36"/>
        <v>0.1066570137258287</v>
      </c>
      <c r="O1141">
        <f t="shared" si="37"/>
        <v>-2.3763395235629758E-3</v>
      </c>
      <c r="P1141">
        <f t="shared" si="38"/>
        <v>0.10903335324939167</v>
      </c>
    </row>
    <row r="1142" spans="1:16" x14ac:dyDescent="0.35">
      <c r="A1142" s="1">
        <v>44196</v>
      </c>
      <c r="B1142">
        <v>4.1571999999999998E-2</v>
      </c>
      <c r="C1142">
        <v>4.0136999999999999E-2</v>
      </c>
      <c r="D1142">
        <v>4.1982999999999999E-2</v>
      </c>
      <c r="E1142">
        <v>4.0013E-2</v>
      </c>
      <c r="F1142">
        <v>33142102700</v>
      </c>
      <c r="G1142">
        <v>505</v>
      </c>
      <c r="H1142">
        <v>31881130600</v>
      </c>
      <c r="I1142">
        <v>505</v>
      </c>
      <c r="J1142">
        <v>3756.07</v>
      </c>
      <c r="K1142">
        <v>3.7121000000000001E-2</v>
      </c>
      <c r="L1142">
        <v>0.01</v>
      </c>
      <c r="M1142">
        <v>262.005</v>
      </c>
      <c r="N1142">
        <f t="shared" si="36"/>
        <v>3.7159317341271869E-2</v>
      </c>
      <c r="O1142">
        <f t="shared" si="37"/>
        <v>-4.136984027022339E-3</v>
      </c>
      <c r="P1142">
        <f t="shared" si="38"/>
        <v>4.1296301368294208E-2</v>
      </c>
    </row>
    <row r="1143" spans="1:16" x14ac:dyDescent="0.35">
      <c r="A1143" s="1">
        <v>44225</v>
      </c>
      <c r="B1143">
        <v>-1.0052E-2</v>
      </c>
      <c r="C1143">
        <v>-1.1089999999999999E-2</v>
      </c>
      <c r="D1143">
        <v>-6.3850000000000001E-3</v>
      </c>
      <c r="E1143">
        <v>-7.3239999999999998E-3</v>
      </c>
      <c r="F1143">
        <v>32812790600</v>
      </c>
      <c r="G1143">
        <v>505</v>
      </c>
      <c r="H1143">
        <v>33154064100</v>
      </c>
      <c r="I1143">
        <v>505</v>
      </c>
      <c r="J1143">
        <v>3714.24</v>
      </c>
      <c r="K1143">
        <v>-1.1136999999999999E-2</v>
      </c>
      <c r="L1143">
        <v>0.01</v>
      </c>
      <c r="M1143">
        <v>262.51799999999997</v>
      </c>
      <c r="N1143">
        <f t="shared" si="36"/>
        <v>-1.1986508582268462E-2</v>
      </c>
      <c r="O1143">
        <f t="shared" si="37"/>
        <v>-1.8543471304823811E-3</v>
      </c>
      <c r="P1143">
        <f t="shared" si="38"/>
        <v>-1.0132161451786081E-2</v>
      </c>
    </row>
    <row r="1144" spans="1:16" x14ac:dyDescent="0.35">
      <c r="A1144" s="1">
        <v>44253</v>
      </c>
      <c r="B1144">
        <v>2.6103999999999999E-2</v>
      </c>
      <c r="C1144">
        <v>2.4631E-2</v>
      </c>
      <c r="D1144">
        <v>6.3437999999999994E-2</v>
      </c>
      <c r="E1144">
        <v>6.1739000000000002E-2</v>
      </c>
      <c r="F1144">
        <v>33646155700</v>
      </c>
      <c r="G1144">
        <v>505</v>
      </c>
      <c r="H1144">
        <v>32824069300</v>
      </c>
      <c r="I1144">
        <v>505</v>
      </c>
      <c r="J1144">
        <v>3811.15</v>
      </c>
      <c r="K1144">
        <v>2.6091E-2</v>
      </c>
      <c r="L1144">
        <v>0</v>
      </c>
      <c r="M1144">
        <v>263.58300000000003</v>
      </c>
      <c r="N1144">
        <f t="shared" si="36"/>
        <v>2.1958054472404953E-2</v>
      </c>
      <c r="O1144">
        <f t="shared" si="37"/>
        <v>-4.0404730198838612E-3</v>
      </c>
      <c r="P1144">
        <f t="shared" si="38"/>
        <v>2.5998527492288814E-2</v>
      </c>
    </row>
    <row r="1145" spans="1:16" x14ac:dyDescent="0.35">
      <c r="A1145" s="1">
        <v>44286</v>
      </c>
      <c r="B1145">
        <v>4.3313999999999998E-2</v>
      </c>
      <c r="C1145">
        <v>4.197E-2</v>
      </c>
      <c r="D1145">
        <v>5.7146000000000002E-2</v>
      </c>
      <c r="E1145">
        <v>5.5185999999999999E-2</v>
      </c>
      <c r="F1145">
        <v>35119621100</v>
      </c>
      <c r="G1145">
        <v>505</v>
      </c>
      <c r="H1145">
        <v>33734975200</v>
      </c>
      <c r="I1145">
        <v>505</v>
      </c>
      <c r="J1145">
        <v>3972.89</v>
      </c>
      <c r="K1145">
        <v>4.2438999999999998E-2</v>
      </c>
      <c r="L1145">
        <v>0</v>
      </c>
      <c r="M1145">
        <v>264.91000000000003</v>
      </c>
      <c r="N1145">
        <f t="shared" si="36"/>
        <v>3.808778098977017E-2</v>
      </c>
      <c r="O1145">
        <f t="shared" si="37"/>
        <v>-5.0092484239930846E-3</v>
      </c>
      <c r="P1145">
        <f t="shared" si="38"/>
        <v>4.3097029413763255E-2</v>
      </c>
    </row>
    <row r="1146" spans="1:16" x14ac:dyDescent="0.35">
      <c r="A1146" s="1">
        <v>44316</v>
      </c>
      <c r="B1146">
        <v>5.3904000000000001E-2</v>
      </c>
      <c r="C1146">
        <v>5.2991000000000003E-2</v>
      </c>
      <c r="D1146">
        <v>4.7100000000000003E-2</v>
      </c>
      <c r="E1146">
        <v>4.6281999999999997E-2</v>
      </c>
      <c r="F1146">
        <v>36964662900</v>
      </c>
      <c r="G1146">
        <v>505</v>
      </c>
      <c r="H1146">
        <v>35119493800</v>
      </c>
      <c r="I1146">
        <v>505</v>
      </c>
      <c r="J1146">
        <v>4181.17</v>
      </c>
      <c r="K1146">
        <v>5.2424999999999999E-2</v>
      </c>
      <c r="L1146">
        <v>0</v>
      </c>
      <c r="M1146">
        <v>266.75200000000001</v>
      </c>
      <c r="N1146">
        <f t="shared" si="36"/>
        <v>4.6626486924184141E-2</v>
      </c>
      <c r="O1146">
        <f t="shared" si="37"/>
        <v>-6.9052903071016303E-3</v>
      </c>
      <c r="P1146">
        <f t="shared" si="38"/>
        <v>5.3531777231285771E-2</v>
      </c>
    </row>
    <row r="1147" spans="1:16" x14ac:dyDescent="0.35">
      <c r="A1147" s="1">
        <v>44344</v>
      </c>
      <c r="B1147">
        <v>6.208E-3</v>
      </c>
      <c r="C1147">
        <v>4.7369999999999999E-3</v>
      </c>
      <c r="D1147">
        <v>1.9380999999999999E-2</v>
      </c>
      <c r="E1147">
        <v>1.7756999999999998E-2</v>
      </c>
      <c r="F1147">
        <v>37145970100</v>
      </c>
      <c r="G1147">
        <v>505</v>
      </c>
      <c r="H1147">
        <v>36973443300</v>
      </c>
      <c r="I1147">
        <v>505</v>
      </c>
      <c r="J1147">
        <v>4204.1099999999997</v>
      </c>
      <c r="K1147">
        <v>5.4869999999999997E-3</v>
      </c>
      <c r="L1147">
        <v>0</v>
      </c>
      <c r="M1147">
        <v>268.452</v>
      </c>
      <c r="N1147">
        <f t="shared" si="36"/>
        <v>-1.6391602223109203E-4</v>
      </c>
      <c r="O1147">
        <f t="shared" si="37"/>
        <v>-6.3326032214324757E-3</v>
      </c>
      <c r="P1147">
        <f t="shared" si="38"/>
        <v>6.1686871992013836E-3</v>
      </c>
    </row>
    <row r="1148" spans="1:16" x14ac:dyDescent="0.35">
      <c r="A1148" s="1">
        <v>44377</v>
      </c>
      <c r="B1148">
        <v>2.3682000000000002E-2</v>
      </c>
      <c r="C1148">
        <v>2.2564000000000001E-2</v>
      </c>
      <c r="D1148">
        <v>1.193E-3</v>
      </c>
      <c r="E1148">
        <v>-3.4400000000000001E-4</v>
      </c>
      <c r="F1148">
        <v>37948104600</v>
      </c>
      <c r="G1148">
        <v>505</v>
      </c>
      <c r="H1148">
        <v>37149745000</v>
      </c>
      <c r="I1148">
        <v>505</v>
      </c>
      <c r="J1148">
        <v>4297.5</v>
      </c>
      <c r="K1148">
        <v>2.2214000000000001E-2</v>
      </c>
      <c r="L1148">
        <v>0</v>
      </c>
      <c r="M1148">
        <v>270.66399999999999</v>
      </c>
      <c r="N1148">
        <f t="shared" si="36"/>
        <v>1.5315964679454952E-2</v>
      </c>
      <c r="O1148">
        <f t="shared" si="37"/>
        <v>-8.1724943102887693E-3</v>
      </c>
      <c r="P1148">
        <f t="shared" si="38"/>
        <v>2.3488458989743721E-2</v>
      </c>
    </row>
    <row r="1149" spans="1:16" x14ac:dyDescent="0.35">
      <c r="A1149" s="1">
        <v>44407</v>
      </c>
      <c r="B1149">
        <v>2.4305E-2</v>
      </c>
      <c r="C1149">
        <v>2.3309E-2</v>
      </c>
      <c r="D1149">
        <v>1.2336E-2</v>
      </c>
      <c r="E1149">
        <v>1.1412E-2</v>
      </c>
      <c r="F1149">
        <v>38866109800</v>
      </c>
      <c r="G1149">
        <v>505</v>
      </c>
      <c r="H1149">
        <v>38002198200</v>
      </c>
      <c r="I1149">
        <v>505</v>
      </c>
      <c r="J1149">
        <v>4395.26</v>
      </c>
      <c r="K1149">
        <v>2.2748000000000001E-2</v>
      </c>
      <c r="L1149">
        <v>0</v>
      </c>
      <c r="M1149">
        <v>271.99400000000003</v>
      </c>
      <c r="N1149">
        <f t="shared" si="36"/>
        <v>1.92963393310146E-2</v>
      </c>
      <c r="O1149">
        <f t="shared" si="37"/>
        <v>-4.8898137458915913E-3</v>
      </c>
      <c r="P1149">
        <f t="shared" si="38"/>
        <v>2.4186153076906192E-2</v>
      </c>
    </row>
    <row r="1150" spans="1:16" x14ac:dyDescent="0.35">
      <c r="A1150" s="1">
        <v>44439</v>
      </c>
      <c r="B1150">
        <v>3.0599999999999999E-2</v>
      </c>
      <c r="C1150">
        <v>2.9204999999999998E-2</v>
      </c>
      <c r="D1150">
        <v>2.3356999999999999E-2</v>
      </c>
      <c r="E1150">
        <v>2.1632999999999999E-2</v>
      </c>
      <c r="F1150">
        <v>39987011600</v>
      </c>
      <c r="G1150">
        <v>505</v>
      </c>
      <c r="H1150">
        <v>38858063300</v>
      </c>
      <c r="I1150">
        <v>505</v>
      </c>
      <c r="J1150">
        <v>4522.68</v>
      </c>
      <c r="K1150">
        <v>2.8989999999999998E-2</v>
      </c>
      <c r="L1150">
        <v>0</v>
      </c>
      <c r="M1150">
        <v>272.78899999999999</v>
      </c>
      <c r="N1150">
        <f t="shared" si="36"/>
        <v>2.7596480796513001E-2</v>
      </c>
      <c r="O1150">
        <f t="shared" si="37"/>
        <v>-2.9143403876255025E-3</v>
      </c>
      <c r="P1150">
        <f t="shared" si="38"/>
        <v>3.0510821184138504E-2</v>
      </c>
    </row>
    <row r="1151" spans="1:16" x14ac:dyDescent="0.35">
      <c r="A1151" s="1">
        <v>44469</v>
      </c>
      <c r="B1151">
        <v>-4.6075999999999999E-2</v>
      </c>
      <c r="C1151">
        <v>-4.7151999999999999E-2</v>
      </c>
      <c r="D1151">
        <v>-3.7590999999999999E-2</v>
      </c>
      <c r="E1151">
        <v>-3.9176000000000002E-2</v>
      </c>
      <c r="F1151">
        <v>38118777800</v>
      </c>
      <c r="G1151">
        <v>505</v>
      </c>
      <c r="H1151">
        <v>40042178600</v>
      </c>
      <c r="I1151">
        <v>505</v>
      </c>
      <c r="J1151">
        <v>4307.54</v>
      </c>
      <c r="K1151">
        <v>-4.7569E-2</v>
      </c>
      <c r="L1151">
        <v>0</v>
      </c>
      <c r="M1151">
        <v>273.887</v>
      </c>
      <c r="N1151">
        <f t="shared" si="36"/>
        <v>-4.99002360973686E-2</v>
      </c>
      <c r="O1151">
        <f t="shared" si="37"/>
        <v>-4.0089525972391016E-3</v>
      </c>
      <c r="P1151">
        <f t="shared" si="38"/>
        <v>-4.5891283500129498E-2</v>
      </c>
    </row>
    <row r="1152" spans="1:16" x14ac:dyDescent="0.35">
      <c r="A1152" s="1">
        <v>44498</v>
      </c>
      <c r="B1152">
        <v>7.0510000000000003E-2</v>
      </c>
      <c r="C1152">
        <v>6.9626999999999994E-2</v>
      </c>
      <c r="D1152">
        <v>5.2817000000000003E-2</v>
      </c>
      <c r="E1152">
        <v>5.1969000000000001E-2</v>
      </c>
      <c r="F1152">
        <v>40742141900</v>
      </c>
      <c r="G1152">
        <v>505</v>
      </c>
      <c r="H1152">
        <v>38118777800</v>
      </c>
      <c r="I1152">
        <v>505</v>
      </c>
      <c r="J1152">
        <v>4605.38</v>
      </c>
      <c r="K1152">
        <v>6.9143999999999997E-2</v>
      </c>
      <c r="L1152">
        <v>0</v>
      </c>
      <c r="M1152">
        <v>276.43400000000003</v>
      </c>
      <c r="N1152">
        <f t="shared" si="36"/>
        <v>6.0646564351707788E-2</v>
      </c>
      <c r="O1152">
        <f t="shared" si="37"/>
        <v>-9.2137725460689213E-3</v>
      </c>
      <c r="P1152">
        <f t="shared" si="38"/>
        <v>6.9860336897776709E-2</v>
      </c>
    </row>
    <row r="1153" spans="1:16" x14ac:dyDescent="0.35">
      <c r="A1153" s="1">
        <v>44530</v>
      </c>
      <c r="B1153">
        <v>-7.2560000000000003E-3</v>
      </c>
      <c r="C1153">
        <v>-8.6660000000000001E-3</v>
      </c>
      <c r="D1153">
        <v>-2.5722999999999999E-2</v>
      </c>
      <c r="E1153">
        <v>-2.7548E-2</v>
      </c>
      <c r="F1153">
        <v>40314551700</v>
      </c>
      <c r="G1153">
        <v>505</v>
      </c>
      <c r="H1153">
        <v>40742141900</v>
      </c>
      <c r="I1153">
        <v>505</v>
      </c>
      <c r="J1153">
        <v>4567</v>
      </c>
      <c r="K1153">
        <v>-8.3339999999999994E-3</v>
      </c>
      <c r="L1153">
        <v>0</v>
      </c>
      <c r="M1153">
        <v>278.79899999999998</v>
      </c>
      <c r="N1153">
        <f t="shared" si="36"/>
        <v>-1.5677262486594068E-2</v>
      </c>
      <c r="O1153">
        <f t="shared" si="37"/>
        <v>-8.4828137834065398E-3</v>
      </c>
      <c r="P1153">
        <f t="shared" si="38"/>
        <v>-7.1944487031875282E-3</v>
      </c>
    </row>
    <row r="1154" spans="1:16" x14ac:dyDescent="0.35">
      <c r="A1154" s="1">
        <v>44561</v>
      </c>
      <c r="B1154">
        <v>4.3485000000000003E-2</v>
      </c>
      <c r="C1154">
        <v>4.2285000000000003E-2</v>
      </c>
      <c r="D1154">
        <v>6.3630999999999993E-2</v>
      </c>
      <c r="E1154">
        <v>6.1863000000000001E-2</v>
      </c>
      <c r="F1154">
        <v>42059623000</v>
      </c>
      <c r="G1154">
        <v>505</v>
      </c>
      <c r="H1154">
        <v>40358339000</v>
      </c>
      <c r="I1154">
        <v>505</v>
      </c>
      <c r="J1154">
        <v>4766.18</v>
      </c>
      <c r="K1154">
        <v>4.3612999999999999E-2</v>
      </c>
      <c r="L1154">
        <v>0.01</v>
      </c>
      <c r="M1154">
        <v>280.80799999999999</v>
      </c>
      <c r="N1154">
        <f t="shared" si="36"/>
        <v>3.6019538314435273E-2</v>
      </c>
      <c r="O1154">
        <f t="shared" si="37"/>
        <v>-7.055070012250364E-3</v>
      </c>
      <c r="P1154">
        <f t="shared" si="38"/>
        <v>4.3074608326685637E-2</v>
      </c>
    </row>
    <row r="1155" spans="1:16" x14ac:dyDescent="0.35">
      <c r="A1155" s="1">
        <v>44592</v>
      </c>
      <c r="B1155">
        <v>-5.2242999999999998E-2</v>
      </c>
      <c r="C1155">
        <v>-5.3087000000000002E-2</v>
      </c>
      <c r="D1155">
        <v>-4.2680000000000003E-2</v>
      </c>
      <c r="E1155">
        <v>-4.3469000000000001E-2</v>
      </c>
      <c r="F1155">
        <v>39783705000</v>
      </c>
      <c r="G1155">
        <v>505</v>
      </c>
      <c r="H1155">
        <v>42059623000</v>
      </c>
      <c r="I1155">
        <v>505</v>
      </c>
      <c r="J1155">
        <v>4515.55</v>
      </c>
      <c r="K1155">
        <v>-5.2585E-2</v>
      </c>
      <c r="L1155">
        <v>0</v>
      </c>
      <c r="M1155">
        <v>282.39</v>
      </c>
      <c r="N1155">
        <f t="shared" si="36"/>
        <v>-5.7552506618506305E-2</v>
      </c>
      <c r="O1155">
        <f t="shared" si="37"/>
        <v>-5.6021813803605047E-3</v>
      </c>
      <c r="P1155">
        <f t="shared" si="38"/>
        <v>-5.19503252381458E-2</v>
      </c>
    </row>
    <row r="1156" spans="1:16" x14ac:dyDescent="0.35">
      <c r="A1156" s="1">
        <v>44620</v>
      </c>
      <c r="B1156">
        <v>-2.9293E-2</v>
      </c>
      <c r="C1156">
        <v>-3.0700000000000002E-2</v>
      </c>
      <c r="D1156">
        <v>-1.0156E-2</v>
      </c>
      <c r="E1156">
        <v>-1.1785E-2</v>
      </c>
      <c r="F1156">
        <v>38529981700</v>
      </c>
      <c r="G1156">
        <v>505</v>
      </c>
      <c r="H1156">
        <v>39711420300</v>
      </c>
      <c r="I1156">
        <v>504</v>
      </c>
      <c r="J1156">
        <v>4373.9399999999996</v>
      </c>
      <c r="K1156">
        <v>-3.1361E-2</v>
      </c>
      <c r="L1156">
        <v>0</v>
      </c>
      <c r="M1156">
        <v>284.53500000000003</v>
      </c>
      <c r="N1156">
        <f t="shared" si="36"/>
        <v>-3.6610786968211517E-2</v>
      </c>
      <c r="O1156">
        <f t="shared" si="37"/>
        <v>-7.5386156360378598E-3</v>
      </c>
      <c r="P1156">
        <f t="shared" si="38"/>
        <v>-2.9072171332173657E-2</v>
      </c>
    </row>
    <row r="1157" spans="1:16" x14ac:dyDescent="0.35">
      <c r="A1157" s="1">
        <v>44651</v>
      </c>
      <c r="B1157">
        <v>3.7925E-2</v>
      </c>
      <c r="C1157">
        <v>3.6604999999999999E-2</v>
      </c>
      <c r="D1157">
        <v>2.7143E-2</v>
      </c>
      <c r="E1157">
        <v>2.5243999999999999E-2</v>
      </c>
      <c r="F1157">
        <v>39857937700</v>
      </c>
      <c r="G1157">
        <v>505</v>
      </c>
      <c r="H1157">
        <v>38547902900</v>
      </c>
      <c r="I1157">
        <v>505</v>
      </c>
      <c r="J1157">
        <v>4530.41</v>
      </c>
      <c r="K1157">
        <v>3.5772999999999999E-2</v>
      </c>
      <c r="L1157">
        <v>0.01</v>
      </c>
      <c r="M1157">
        <v>287.553</v>
      </c>
      <c r="N1157">
        <f t="shared" si="36"/>
        <v>2.7031503322865635E-2</v>
      </c>
      <c r="O1157">
        <f t="shared" si="37"/>
        <v>-1.0396506035408981E-2</v>
      </c>
      <c r="P1157">
        <f t="shared" si="38"/>
        <v>3.7428009358274617E-2</v>
      </c>
    </row>
    <row r="1158" spans="1:16" x14ac:dyDescent="0.35">
      <c r="A1158" s="1">
        <v>44680</v>
      </c>
      <c r="B1158">
        <v>-8.7576000000000001E-2</v>
      </c>
      <c r="C1158">
        <v>-8.8392999999999999E-2</v>
      </c>
      <c r="D1158">
        <v>-6.3196000000000002E-2</v>
      </c>
      <c r="E1158">
        <v>-6.3963000000000006E-2</v>
      </c>
      <c r="F1158">
        <v>36323099500</v>
      </c>
      <c r="G1158">
        <v>504</v>
      </c>
      <c r="H1158">
        <v>39854388900</v>
      </c>
      <c r="I1158">
        <v>503</v>
      </c>
      <c r="J1158">
        <v>4131.93</v>
      </c>
      <c r="K1158">
        <v>-8.7956999999999994E-2</v>
      </c>
      <c r="L1158">
        <v>0.01</v>
      </c>
      <c r="M1158">
        <v>288.76400000000001</v>
      </c>
      <c r="N1158">
        <f t="shared" si="36"/>
        <v>-9.1402465431979163E-2</v>
      </c>
      <c r="O1158">
        <f t="shared" si="37"/>
        <v>-4.0941554348880027E-3</v>
      </c>
      <c r="P1158">
        <f t="shared" si="38"/>
        <v>-8.730830999709116E-2</v>
      </c>
    </row>
    <row r="1159" spans="1:16" x14ac:dyDescent="0.35">
      <c r="A1159" s="1">
        <v>44712</v>
      </c>
      <c r="B1159">
        <v>3.7399999999999998E-4</v>
      </c>
      <c r="C1159">
        <v>-1.3550000000000001E-3</v>
      </c>
      <c r="D1159">
        <v>9.9819999999999996E-3</v>
      </c>
      <c r="E1159">
        <v>8.0499999999999999E-3</v>
      </c>
      <c r="F1159">
        <v>36229493800</v>
      </c>
      <c r="G1159">
        <v>504</v>
      </c>
      <c r="H1159">
        <v>36323099500</v>
      </c>
      <c r="I1159">
        <v>504</v>
      </c>
      <c r="J1159">
        <v>4132.1499999999996</v>
      </c>
      <c r="K1159">
        <v>5.3000000000000001E-5</v>
      </c>
      <c r="L1159">
        <v>0.03</v>
      </c>
      <c r="M1159">
        <v>291.35899999999998</v>
      </c>
      <c r="N1159">
        <f t="shared" si="36"/>
        <v>-8.5358690275568749E-3</v>
      </c>
      <c r="O1159">
        <f t="shared" si="37"/>
        <v>-8.6092099437462544E-3</v>
      </c>
      <c r="P1159">
        <f t="shared" si="38"/>
        <v>7.3340916189379435E-5</v>
      </c>
    </row>
    <row r="1160" spans="1:16" x14ac:dyDescent="0.35">
      <c r="A1160" s="1">
        <v>44742</v>
      </c>
      <c r="B1160">
        <v>-8.1683000000000006E-2</v>
      </c>
      <c r="C1160">
        <v>-8.3126000000000005E-2</v>
      </c>
      <c r="D1160">
        <v>-9.2874999999999999E-2</v>
      </c>
      <c r="E1160">
        <v>-9.4766000000000003E-2</v>
      </c>
      <c r="F1160">
        <v>33233264900</v>
      </c>
      <c r="G1160">
        <v>503</v>
      </c>
      <c r="H1160">
        <v>36297171800</v>
      </c>
      <c r="I1160">
        <v>503</v>
      </c>
      <c r="J1160">
        <v>3785.38</v>
      </c>
      <c r="K1160">
        <v>-8.3919999999999995E-2</v>
      </c>
      <c r="L1160">
        <v>0.06</v>
      </c>
      <c r="M1160">
        <v>294.99599999999998</v>
      </c>
      <c r="N1160">
        <f t="shared" si="36"/>
        <v>-9.3004912598814826E-2</v>
      </c>
      <c r="O1160">
        <f t="shared" si="37"/>
        <v>-1.1736378120381308E-2</v>
      </c>
      <c r="P1160">
        <f t="shared" si="38"/>
        <v>-8.1268534478433518E-2</v>
      </c>
    </row>
    <row r="1161" spans="1:16" x14ac:dyDescent="0.35">
      <c r="A1161" s="1">
        <v>44771</v>
      </c>
      <c r="B1161">
        <v>9.3766000000000002E-2</v>
      </c>
      <c r="C1161">
        <v>9.2674999999999993E-2</v>
      </c>
      <c r="D1161">
        <v>8.7937000000000001E-2</v>
      </c>
      <c r="E1161">
        <v>8.6981000000000003E-2</v>
      </c>
      <c r="F1161">
        <v>36277971500</v>
      </c>
      <c r="G1161">
        <v>503</v>
      </c>
      <c r="H1161">
        <v>33233264900</v>
      </c>
      <c r="I1161">
        <v>503</v>
      </c>
      <c r="J1161">
        <v>4130.29</v>
      </c>
      <c r="K1161">
        <v>9.1116000000000003E-2</v>
      </c>
      <c r="L1161">
        <v>0.08</v>
      </c>
      <c r="M1161">
        <v>294.97699999999998</v>
      </c>
      <c r="N1161">
        <f t="shared" si="36"/>
        <v>9.3836451438586765E-2</v>
      </c>
      <c r="O1161">
        <f t="shared" si="37"/>
        <v>8.6446333103928907E-4</v>
      </c>
      <c r="P1161">
        <f t="shared" si="38"/>
        <v>9.2971988107547476E-2</v>
      </c>
    </row>
    <row r="1162" spans="1:16" x14ac:dyDescent="0.35">
      <c r="A1162" s="1">
        <v>44804</v>
      </c>
      <c r="B1162">
        <v>-4.0294999999999997E-2</v>
      </c>
      <c r="C1162">
        <v>-4.2051999999999999E-2</v>
      </c>
      <c r="D1162">
        <v>-3.3776E-2</v>
      </c>
      <c r="E1162">
        <v>-3.5819999999999998E-2</v>
      </c>
      <c r="F1162">
        <v>34680392600</v>
      </c>
      <c r="G1162">
        <v>503</v>
      </c>
      <c r="H1162">
        <v>36277971500</v>
      </c>
      <c r="I1162">
        <v>503</v>
      </c>
      <c r="J1162">
        <v>3955</v>
      </c>
      <c r="K1162">
        <v>-4.2439999999999999E-2</v>
      </c>
      <c r="L1162">
        <v>0.19</v>
      </c>
      <c r="M1162">
        <v>295.209</v>
      </c>
      <c r="N1162">
        <f t="shared" si="36"/>
        <v>-4.1049216707485292E-2</v>
      </c>
      <c r="O1162">
        <f t="shared" si="37"/>
        <v>1.1126229213878069E-3</v>
      </c>
      <c r="P1162">
        <f t="shared" si="38"/>
        <v>-4.2161839628873099E-2</v>
      </c>
    </row>
    <row r="1163" spans="1:16" x14ac:dyDescent="0.35">
      <c r="A1163" s="1">
        <v>44834</v>
      </c>
      <c r="B1163">
        <v>-9.1495000000000007E-2</v>
      </c>
      <c r="C1163">
        <v>-9.2876E-2</v>
      </c>
      <c r="D1163">
        <v>-9.2952999999999994E-2</v>
      </c>
      <c r="E1163">
        <v>-9.4955999999999999E-2</v>
      </c>
      <c r="F1163">
        <v>31445691600</v>
      </c>
      <c r="G1163">
        <v>503</v>
      </c>
      <c r="H1163">
        <v>34708351900</v>
      </c>
      <c r="I1163">
        <v>502</v>
      </c>
      <c r="J1163">
        <v>3585.62</v>
      </c>
      <c r="K1163">
        <v>-9.3396000000000007E-2</v>
      </c>
      <c r="L1163">
        <v>0.19</v>
      </c>
      <c r="M1163">
        <v>296.34100000000001</v>
      </c>
      <c r="N1163">
        <f t="shared" si="36"/>
        <v>-9.4965419752919722E-2</v>
      </c>
      <c r="O1163">
        <f t="shared" si="37"/>
        <v>-1.9271815239876311E-3</v>
      </c>
      <c r="P1163">
        <f t="shared" si="38"/>
        <v>-9.3038238228932091E-2</v>
      </c>
    </row>
    <row r="1164" spans="1:16" x14ac:dyDescent="0.35">
      <c r="A1164" s="1">
        <v>44865</v>
      </c>
      <c r="B1164">
        <v>8.0248E-2</v>
      </c>
      <c r="C1164">
        <v>7.9197000000000004E-2</v>
      </c>
      <c r="D1164">
        <v>9.6627000000000005E-2</v>
      </c>
      <c r="E1164">
        <v>9.5682000000000003E-2</v>
      </c>
      <c r="F1164">
        <v>33892979800</v>
      </c>
      <c r="G1164">
        <v>503</v>
      </c>
      <c r="H1164">
        <v>31437182900</v>
      </c>
      <c r="I1164">
        <v>502</v>
      </c>
      <c r="J1164">
        <v>3871.98</v>
      </c>
      <c r="K1164">
        <v>7.9863000000000003E-2</v>
      </c>
      <c r="L1164">
        <v>0.23</v>
      </c>
      <c r="M1164">
        <v>297.863</v>
      </c>
      <c r="N1164">
        <f t="shared" si="36"/>
        <v>7.4728222598980265E-2</v>
      </c>
      <c r="O1164">
        <f t="shared" si="37"/>
        <v>-2.821484037963784E-3</v>
      </c>
      <c r="P1164">
        <f t="shared" si="38"/>
        <v>7.7549706636944049E-2</v>
      </c>
    </row>
    <row r="1165" spans="1:16" x14ac:dyDescent="0.35">
      <c r="A1165" s="1">
        <v>44895</v>
      </c>
      <c r="B1165">
        <v>5.4164999999999998E-2</v>
      </c>
      <c r="C1165">
        <v>5.2157000000000002E-2</v>
      </c>
      <c r="D1165">
        <v>6.9010000000000002E-2</v>
      </c>
      <c r="E1165">
        <v>6.6817000000000001E-2</v>
      </c>
      <c r="F1165">
        <v>35640696600</v>
      </c>
      <c r="G1165">
        <v>503</v>
      </c>
      <c r="H1165">
        <v>33914247500</v>
      </c>
      <c r="I1165">
        <v>503</v>
      </c>
      <c r="J1165">
        <v>4080.11</v>
      </c>
      <c r="K1165">
        <v>5.3753000000000002E-2</v>
      </c>
      <c r="L1165">
        <v>0.28999999999999998</v>
      </c>
      <c r="M1165">
        <v>298.64800000000002</v>
      </c>
      <c r="N1165">
        <f t="shared" si="36"/>
        <v>5.1394114124320156E-2</v>
      </c>
      <c r="O1165">
        <f t="shared" si="37"/>
        <v>2.6386481744378187E-4</v>
      </c>
      <c r="P1165">
        <f t="shared" si="38"/>
        <v>5.1130249306876374E-2</v>
      </c>
    </row>
    <row r="1166" spans="1:16" x14ac:dyDescent="0.35">
      <c r="A1166" s="1">
        <v>44925</v>
      </c>
      <c r="B1166">
        <v>-5.8784000000000003E-2</v>
      </c>
      <c r="C1166">
        <v>-6.0170000000000001E-2</v>
      </c>
      <c r="D1166">
        <v>-4.8774999999999999E-2</v>
      </c>
      <c r="E1166">
        <v>-5.0741000000000001E-2</v>
      </c>
      <c r="F1166">
        <v>33473565100</v>
      </c>
      <c r="G1166">
        <v>503</v>
      </c>
      <c r="H1166">
        <v>35651922100</v>
      </c>
      <c r="I1166">
        <v>503</v>
      </c>
      <c r="J1166">
        <v>3839.5</v>
      </c>
      <c r="K1166">
        <v>-5.8971000000000003E-2</v>
      </c>
      <c r="L1166">
        <v>0.33</v>
      </c>
      <c r="M1166">
        <v>298.81200000000001</v>
      </c>
      <c r="N1166">
        <f t="shared" si="36"/>
        <v>-5.9300577058484905E-2</v>
      </c>
      <c r="O1166">
        <f t="shared" si="37"/>
        <v>2.7493487544008044E-3</v>
      </c>
      <c r="P1166">
        <f t="shared" si="38"/>
        <v>-6.2049925812885709E-2</v>
      </c>
    </row>
    <row r="1167" spans="1:16" x14ac:dyDescent="0.35">
      <c r="A1167" s="1">
        <v>44957</v>
      </c>
      <c r="B1167">
        <v>6.3810000000000006E-2</v>
      </c>
      <c r="C1167">
        <v>6.2776999999999999E-2</v>
      </c>
      <c r="D1167">
        <v>7.5629000000000002E-2</v>
      </c>
      <c r="E1167">
        <v>7.4763999999999997E-2</v>
      </c>
      <c r="F1167">
        <v>35557003500</v>
      </c>
      <c r="G1167">
        <v>503</v>
      </c>
      <c r="H1167">
        <v>33496119400</v>
      </c>
      <c r="I1167">
        <v>503</v>
      </c>
      <c r="J1167">
        <v>4076.6</v>
      </c>
      <c r="K1167">
        <v>6.1753000000000002E-2</v>
      </c>
      <c r="L1167">
        <v>0.35</v>
      </c>
      <c r="M1167">
        <v>300.35599999999999</v>
      </c>
      <c r="N1167">
        <f t="shared" si="36"/>
        <v>5.8341413922145646E-2</v>
      </c>
      <c r="O1167">
        <f t="shared" si="37"/>
        <v>-1.6585585105673983E-3</v>
      </c>
      <c r="P1167">
        <f t="shared" si="38"/>
        <v>5.9999972432713045E-2</v>
      </c>
    </row>
    <row r="1168" spans="1:16" x14ac:dyDescent="0.35">
      <c r="A1168" s="1">
        <v>44985</v>
      </c>
      <c r="B1168">
        <v>-2.4264999999999998E-2</v>
      </c>
      <c r="C1168">
        <v>-2.5992999999999999E-2</v>
      </c>
      <c r="D1168">
        <v>-3.3449E-2</v>
      </c>
      <c r="E1168">
        <v>-3.5321999999999999E-2</v>
      </c>
      <c r="F1168">
        <v>34569840400</v>
      </c>
      <c r="G1168">
        <v>503</v>
      </c>
      <c r="H1168">
        <v>35557003500</v>
      </c>
      <c r="I1168">
        <v>503</v>
      </c>
      <c r="J1168">
        <v>3970.15</v>
      </c>
      <c r="K1168">
        <v>-2.6112E-2</v>
      </c>
      <c r="L1168">
        <v>0.34</v>
      </c>
      <c r="M1168">
        <v>301.50900000000001</v>
      </c>
      <c r="N1168">
        <f t="shared" si="36"/>
        <v>-2.7996306378914038E-2</v>
      </c>
      <c r="O1168">
        <f t="shared" si="37"/>
        <v>-4.3710005339803182E-4</v>
      </c>
      <c r="P1168">
        <f t="shared" si="38"/>
        <v>-2.7559206325516006E-2</v>
      </c>
    </row>
    <row r="1169" spans="1:16" x14ac:dyDescent="0.35">
      <c r="A1169" s="1">
        <v>45016</v>
      </c>
      <c r="B1169">
        <v>3.7478999999999998E-2</v>
      </c>
      <c r="C1169">
        <v>3.5871E-2</v>
      </c>
      <c r="D1169">
        <v>-2.7390000000000001E-3</v>
      </c>
      <c r="E1169">
        <v>-5.0379999999999999E-3</v>
      </c>
      <c r="F1169">
        <v>35776753600</v>
      </c>
      <c r="G1169">
        <v>503</v>
      </c>
      <c r="H1169">
        <v>34592585600</v>
      </c>
      <c r="I1169">
        <v>503</v>
      </c>
      <c r="J1169">
        <v>4109.3100000000004</v>
      </c>
      <c r="K1169">
        <v>3.5052E-2</v>
      </c>
      <c r="L1169">
        <v>0.36</v>
      </c>
      <c r="M1169">
        <v>301.74400000000003</v>
      </c>
      <c r="N1169">
        <f t="shared" si="36"/>
        <v>3.6671005259425238E-2</v>
      </c>
      <c r="O1169">
        <f t="shared" si="37"/>
        <v>2.8183904236702695E-3</v>
      </c>
      <c r="P1169">
        <f t="shared" si="38"/>
        <v>3.3852614835754968E-2</v>
      </c>
    </row>
    <row r="1170" spans="1:16" x14ac:dyDescent="0.35">
      <c r="A1170" s="1">
        <v>45044</v>
      </c>
      <c r="B1170">
        <v>1.5015000000000001E-2</v>
      </c>
      <c r="C1170">
        <v>1.4064999999999999E-2</v>
      </c>
      <c r="D1170">
        <v>2.1159999999999998E-3</v>
      </c>
      <c r="E1170">
        <v>1.183E-3</v>
      </c>
      <c r="F1170">
        <v>36258726200</v>
      </c>
      <c r="G1170">
        <v>503</v>
      </c>
      <c r="H1170">
        <v>35776753600</v>
      </c>
      <c r="I1170">
        <v>503</v>
      </c>
      <c r="J1170">
        <v>4169.4799999999996</v>
      </c>
      <c r="K1170">
        <v>1.4642000000000001E-2</v>
      </c>
      <c r="L1170">
        <v>0.35</v>
      </c>
      <c r="M1170">
        <v>303.03199999999998</v>
      </c>
      <c r="N1170">
        <f t="shared" si="36"/>
        <v>1.0700804403495523E-2</v>
      </c>
      <c r="O1170">
        <f t="shared" si="37"/>
        <v>-7.6525251458570143E-4</v>
      </c>
      <c r="P1170">
        <f t="shared" si="38"/>
        <v>1.1466056918081224E-2</v>
      </c>
    </row>
    <row r="1171" spans="1:16" x14ac:dyDescent="0.35">
      <c r="A1171" s="1">
        <v>45077</v>
      </c>
      <c r="B1171">
        <v>5.306E-3</v>
      </c>
      <c r="C1171">
        <v>3.4740000000000001E-3</v>
      </c>
      <c r="D1171">
        <v>-3.7838999999999998E-2</v>
      </c>
      <c r="E1171">
        <v>-3.9924000000000001E-2</v>
      </c>
      <c r="F1171">
        <v>36372849700</v>
      </c>
      <c r="G1171">
        <v>503</v>
      </c>
      <c r="H1171">
        <v>36273671800</v>
      </c>
      <c r="I1171">
        <v>503</v>
      </c>
      <c r="J1171">
        <v>4179.83</v>
      </c>
      <c r="K1171">
        <v>2.4819999999999998E-3</v>
      </c>
      <c r="L1171">
        <v>0.36</v>
      </c>
      <c r="M1171">
        <v>303.36500000000001</v>
      </c>
      <c r="N1171">
        <f t="shared" si="36"/>
        <v>4.2024880655315844E-3</v>
      </c>
      <c r="O1171">
        <f t="shared" si="37"/>
        <v>2.4983607205841807E-3</v>
      </c>
      <c r="P1171">
        <f t="shared" si="38"/>
        <v>1.7041273449474037E-3</v>
      </c>
    </row>
    <row r="1172" spans="1:16" x14ac:dyDescent="0.35">
      <c r="A1172" s="1">
        <v>45107</v>
      </c>
      <c r="B1172">
        <v>6.6951999999999998E-2</v>
      </c>
      <c r="C1172">
        <v>6.5652000000000002E-2</v>
      </c>
      <c r="D1172">
        <v>7.8668000000000002E-2</v>
      </c>
      <c r="E1172">
        <v>7.6573000000000002E-2</v>
      </c>
      <c r="F1172">
        <v>38792898700</v>
      </c>
      <c r="G1172">
        <v>503</v>
      </c>
      <c r="H1172">
        <v>36436224600</v>
      </c>
      <c r="I1172">
        <v>503</v>
      </c>
      <c r="J1172">
        <v>4450.38</v>
      </c>
      <c r="K1172">
        <v>6.4727999999999994E-2</v>
      </c>
      <c r="L1172">
        <v>0.4</v>
      </c>
      <c r="M1172">
        <v>304.00299999999999</v>
      </c>
      <c r="N1172">
        <f t="shared" si="36"/>
        <v>6.4712826781314625E-2</v>
      </c>
      <c r="O1172">
        <f t="shared" si="37"/>
        <v>1.8929418459687763E-3</v>
      </c>
      <c r="P1172">
        <f t="shared" si="38"/>
        <v>6.2819884935345849E-2</v>
      </c>
    </row>
    <row r="1173" spans="1:16" x14ac:dyDescent="0.35">
      <c r="A1173" s="1">
        <v>45138</v>
      </c>
      <c r="B1173">
        <v>3.1699999999999999E-2</v>
      </c>
      <c r="C1173">
        <v>3.0745000000000001E-2</v>
      </c>
      <c r="D1173">
        <v>3.5298000000000003E-2</v>
      </c>
      <c r="E1173">
        <v>3.4301999999999999E-2</v>
      </c>
      <c r="F1173">
        <v>39966462400</v>
      </c>
      <c r="G1173">
        <v>503</v>
      </c>
      <c r="H1173">
        <v>38792898700</v>
      </c>
      <c r="I1173">
        <v>503</v>
      </c>
      <c r="J1173">
        <v>4588.96</v>
      </c>
      <c r="K1173">
        <v>3.1139E-2</v>
      </c>
      <c r="L1173">
        <v>0.45</v>
      </c>
      <c r="M1173">
        <v>304.62799999999999</v>
      </c>
      <c r="N1173">
        <f t="shared" si="36"/>
        <v>2.958327895006363E-2</v>
      </c>
      <c r="O1173">
        <f t="shared" si="37"/>
        <v>2.4390847197235388E-3</v>
      </c>
      <c r="P1173">
        <f t="shared" si="38"/>
        <v>2.7144194230340091E-2</v>
      </c>
    </row>
    <row r="1174" spans="1:16" x14ac:dyDescent="0.35">
      <c r="A1174" s="1">
        <v>45169</v>
      </c>
      <c r="B1174">
        <v>-1.5424E-2</v>
      </c>
      <c r="C1174">
        <v>-1.7191999999999999E-2</v>
      </c>
      <c r="D1174">
        <v>-3.0844E-2</v>
      </c>
      <c r="E1174">
        <v>-3.2976999999999999E-2</v>
      </c>
      <c r="F1174">
        <v>39259348500</v>
      </c>
      <c r="G1174">
        <v>503</v>
      </c>
      <c r="H1174">
        <v>40007385000</v>
      </c>
      <c r="I1174">
        <v>503</v>
      </c>
      <c r="J1174">
        <v>4507.66</v>
      </c>
      <c r="K1174">
        <v>-1.7715999999999999E-2</v>
      </c>
      <c r="L1174">
        <v>0.45</v>
      </c>
      <c r="M1174">
        <v>306.18700000000001</v>
      </c>
      <c r="N1174">
        <f t="shared" si="36"/>
        <v>-2.0437125913249199E-2</v>
      </c>
      <c r="O1174">
        <f t="shared" si="37"/>
        <v>-6.1457214055482545E-4</v>
      </c>
      <c r="P1174">
        <f t="shared" si="38"/>
        <v>-1.9822553772694373E-2</v>
      </c>
    </row>
    <row r="1175" spans="1:16" x14ac:dyDescent="0.35">
      <c r="A1175" s="1">
        <v>45198</v>
      </c>
      <c r="B1175">
        <v>-4.7565999999999997E-2</v>
      </c>
      <c r="C1175">
        <v>-4.8620999999999998E-2</v>
      </c>
      <c r="D1175">
        <v>-5.0317000000000001E-2</v>
      </c>
      <c r="E1175">
        <v>-5.2213000000000002E-2</v>
      </c>
      <c r="F1175">
        <v>37441848500</v>
      </c>
      <c r="G1175">
        <v>503</v>
      </c>
      <c r="H1175">
        <v>39382197000</v>
      </c>
      <c r="I1175">
        <v>503</v>
      </c>
      <c r="J1175">
        <v>4288.05</v>
      </c>
      <c r="K1175">
        <v>-4.8718999999999998E-2</v>
      </c>
      <c r="L1175">
        <v>0.43</v>
      </c>
      <c r="M1175">
        <v>307.28800000000001</v>
      </c>
      <c r="N1175">
        <f t="shared" si="36"/>
        <v>-5.0978531026268481E-2</v>
      </c>
      <c r="O1175">
        <f t="shared" si="37"/>
        <v>7.0163527374966783E-4</v>
      </c>
      <c r="P1175">
        <f t="shared" si="38"/>
        <v>-5.1680166300018149E-2</v>
      </c>
    </row>
    <row r="1176" spans="1:16" x14ac:dyDescent="0.35">
      <c r="A1176" s="1">
        <v>45230</v>
      </c>
      <c r="B1176">
        <v>-2.104E-2</v>
      </c>
      <c r="C1176">
        <v>-2.2005E-2</v>
      </c>
      <c r="D1176">
        <v>-4.0839E-2</v>
      </c>
      <c r="E1176">
        <v>-4.1856999999999998E-2</v>
      </c>
      <c r="F1176">
        <v>36550104700</v>
      </c>
      <c r="G1176">
        <v>503</v>
      </c>
      <c r="H1176">
        <v>37443911600</v>
      </c>
      <c r="I1176">
        <v>503</v>
      </c>
      <c r="J1176">
        <v>4193.8</v>
      </c>
      <c r="K1176">
        <v>-2.198E-2</v>
      </c>
      <c r="L1176">
        <v>0.47</v>
      </c>
      <c r="M1176">
        <v>307.53100000000001</v>
      </c>
      <c r="N1176">
        <f t="shared" si="36"/>
        <v>-2.1813539187919173E-2</v>
      </c>
      <c r="O1176">
        <f t="shared" si="37"/>
        <v>3.9061219844502837E-3</v>
      </c>
      <c r="P1176">
        <f t="shared" si="38"/>
        <v>-2.5719661172369457E-2</v>
      </c>
    </row>
    <row r="1177" spans="1:16" x14ac:dyDescent="0.35">
      <c r="A1177" s="1">
        <v>45260</v>
      </c>
      <c r="B1177">
        <v>9.0803999999999996E-2</v>
      </c>
      <c r="C1177">
        <v>8.8666999999999996E-2</v>
      </c>
      <c r="D1177">
        <v>9.2771999999999993E-2</v>
      </c>
      <c r="E1177">
        <v>9.0095999999999996E-2</v>
      </c>
      <c r="F1177">
        <v>39781275900</v>
      </c>
      <c r="G1177">
        <v>503</v>
      </c>
      <c r="H1177">
        <v>36550104700</v>
      </c>
      <c r="I1177">
        <v>503</v>
      </c>
      <c r="J1177">
        <v>4567.8</v>
      </c>
      <c r="K1177">
        <v>8.9178999999999994E-2</v>
      </c>
      <c r="L1177">
        <v>0.44</v>
      </c>
      <c r="M1177">
        <v>308.024</v>
      </c>
      <c r="N1177">
        <f t="shared" si="36"/>
        <v>8.9058141326649798E-2</v>
      </c>
      <c r="O1177">
        <f t="shared" si="37"/>
        <v>2.7924330571642564E-3</v>
      </c>
      <c r="P1177">
        <f t="shared" si="38"/>
        <v>8.6265708269485541E-2</v>
      </c>
    </row>
    <row r="1178" spans="1:16" x14ac:dyDescent="0.35">
      <c r="A1178" s="1">
        <v>45289</v>
      </c>
      <c r="B1178">
        <v>4.5297999999999998E-2</v>
      </c>
      <c r="C1178">
        <v>4.3955000000000001E-2</v>
      </c>
      <c r="D1178">
        <v>7.0662000000000003E-2</v>
      </c>
      <c r="E1178">
        <v>6.8595000000000003E-2</v>
      </c>
      <c r="F1178">
        <v>41663647100</v>
      </c>
      <c r="G1178">
        <v>503</v>
      </c>
      <c r="H1178">
        <v>39914422000</v>
      </c>
      <c r="I1178">
        <v>503</v>
      </c>
      <c r="J1178">
        <v>4769.83</v>
      </c>
      <c r="K1178">
        <v>4.4228999999999997E-2</v>
      </c>
      <c r="L1178">
        <v>0.43</v>
      </c>
      <c r="M1178">
        <v>308.74200000000002</v>
      </c>
      <c r="N1178">
        <f t="shared" si="36"/>
        <v>4.2867090165898958E-2</v>
      </c>
      <c r="O1178">
        <f t="shared" si="37"/>
        <v>1.9644337343152074E-3</v>
      </c>
      <c r="P1178">
        <f t="shared" si="38"/>
        <v>4.090265643158375E-2</v>
      </c>
    </row>
    <row r="1179" spans="1:16" x14ac:dyDescent="0.35">
      <c r="M1179">
        <v>309.685</v>
      </c>
      <c r="N1179">
        <f t="shared" ref="N1179" si="39">(1+B1179)*M1178/M1179-1</f>
        <v>-3.0450296268789145E-3</v>
      </c>
      <c r="O1179">
        <f t="shared" ref="O1179" si="40">(1+L1179/100)*M1178/M1179-1</f>
        <v>-3.0450296268789145E-3</v>
      </c>
      <c r="P1179">
        <f t="shared" ref="P1179" si="41">N1179-O1179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57"/>
  <sheetViews>
    <sheetView workbookViewId="0">
      <selection activeCell="B3" sqref="B3"/>
    </sheetView>
  </sheetViews>
  <sheetFormatPr defaultRowHeight="14.5" x14ac:dyDescent="0.35"/>
  <cols>
    <col min="1" max="1" width="10.08984375" bestFit="1" customWidth="1"/>
  </cols>
  <sheetData>
    <row r="1" spans="1:9" x14ac:dyDescent="0.3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17</v>
      </c>
      <c r="H1" t="s">
        <v>19</v>
      </c>
    </row>
    <row r="2" spans="1:9" x14ac:dyDescent="0.35">
      <c r="A2" s="1">
        <v>13180</v>
      </c>
      <c r="B2" cm="1">
        <f t="array" ref="B2">(PRODUCT(1+sp500_monthly!B3:B122)^(1/120)-1)*100</f>
        <v>0.35840694297402109</v>
      </c>
      <c r="C2" cm="1">
        <f t="array" ref="C2">(PRODUCT(1+sp500_monthly!C3:C122)^(1/120)-1)*100</f>
        <v>-3.6418724817410819E-2</v>
      </c>
      <c r="D2" cm="1">
        <f t="array" ref="D2">(PRODUCT(1+sp500_monthly!D3:D122)^(1/120)-1)*100</f>
        <v>0.46917131986929927</v>
      </c>
      <c r="E2" cm="1">
        <f t="array" ref="E2">(PRODUCT(1+sp500_monthly!E3:E122)^(1/120)-1)*100</f>
        <v>0.12666983858009573</v>
      </c>
      <c r="F2" cm="1">
        <f t="array" ref="F2">(PRODUCT(1+sp500_monthly!K3:K122)^(1/120)-1)*100</f>
        <v>6.2497390281990306E-2</v>
      </c>
      <c r="G2" cm="1">
        <f t="array" ref="G2">(PRODUCT(1+sp500_monthly!L3:L122)^(1/120)-1)</f>
        <v>0.14061091979691764</v>
      </c>
      <c r="H2" cm="1">
        <f t="array" ref="H2">(PRODUCT(1+sp500_monthly!N3:N122)^(1/120)-1)*100</f>
        <v>0</v>
      </c>
      <c r="I2" cm="1">
        <f t="array" ref="I2">(PRODUCT(1+sp500_monthly!O3:O122)^(1/120)-1)*100</f>
        <v>0</v>
      </c>
    </row>
    <row r="3" spans="1:9" x14ac:dyDescent="0.35">
      <c r="A3" s="1">
        <v>13209</v>
      </c>
      <c r="B3" cm="1">
        <f t="array" ref="B3">(PRODUCT(1+sp500_monthly!B4:B123)^(1/120)-1)*100</f>
        <v>0.41793204391131766</v>
      </c>
      <c r="C3" cm="1">
        <f t="array" ref="C3">(PRODUCT(1+sp500_monthly!C4:C123)^(1/120)-1)*100</f>
        <v>2.3428503363853714E-2</v>
      </c>
      <c r="D3" cm="1">
        <f t="array" ref="D3">(PRODUCT(1+sp500_monthly!D4:D123)^(1/120)-1)*100</f>
        <v>0.55370233604870034</v>
      </c>
      <c r="E3" cm="1">
        <f t="array" ref="E3">(PRODUCT(1+sp500_monthly!E4:E123)^(1/120)-1)*100</f>
        <v>0.21225821178956217</v>
      </c>
      <c r="F3" cm="1">
        <f t="array" ref="F3">(PRODUCT(1+sp500_monthly!K4:K123)^(1/120)-1)*100</f>
        <v>9.6895124109175335E-2</v>
      </c>
      <c r="G3" cm="1">
        <f t="array" ref="G3">(PRODUCT(1+sp500_monthly!L4:L123)^(1/120)-1)</f>
        <v>0.14070550251845848</v>
      </c>
      <c r="H3" cm="1">
        <f t="array" ref="H3">(PRODUCT(1+sp500_monthly!N4:N123)^(1/120)-1)*100</f>
        <v>0</v>
      </c>
      <c r="I3" cm="1">
        <f t="array" ref="I3">(PRODUCT(1+sp500_monthly!O4:O123)^(1/120)-1)*100</f>
        <v>0</v>
      </c>
    </row>
    <row r="4" spans="1:9" x14ac:dyDescent="0.35">
      <c r="A4" s="1">
        <v>13240</v>
      </c>
      <c r="B4" cm="1">
        <f t="array" ref="B4">(PRODUCT(1+sp500_monthly!B5:B124)^(1/120)-1)*100</f>
        <v>0.46486780546972639</v>
      </c>
      <c r="C4" cm="1">
        <f t="array" ref="C4">(PRODUCT(1+sp500_monthly!C5:C124)^(1/120)-1)*100</f>
        <v>7.1195549015645732E-2</v>
      </c>
      <c r="D4" cm="1">
        <f t="array" ref="D4">(PRODUCT(1+sp500_monthly!D5:D124)^(1/120)-1)*100</f>
        <v>0.62557204609341444</v>
      </c>
      <c r="E4" cm="1">
        <f t="array" ref="E4">(PRODUCT(1+sp500_monthly!E5:E124)^(1/120)-1)*100</f>
        <v>0.28444305436601258</v>
      </c>
      <c r="F4" cm="1">
        <f t="array" ref="F4">(PRODUCT(1+sp500_monthly!K5:K124)^(1/120)-1)*100</f>
        <v>0.14827741810301553</v>
      </c>
      <c r="G4" cm="1">
        <f t="array" ref="G4">(PRODUCT(1+sp500_monthly!L5:L124)^(1/120)-1)</f>
        <v>0.14080009308306929</v>
      </c>
      <c r="H4" cm="1">
        <f t="array" ref="H4">(PRODUCT(1+sp500_monthly!N5:N124)^(1/120)-1)*100</f>
        <v>0</v>
      </c>
      <c r="I4" cm="1">
        <f t="array" ref="I4">(PRODUCT(1+sp500_monthly!O5:O124)^(1/120)-1)*100</f>
        <v>0</v>
      </c>
    </row>
    <row r="5" spans="1:9" x14ac:dyDescent="0.35">
      <c r="A5" s="1">
        <v>13270</v>
      </c>
      <c r="B5" cm="1">
        <f t="array" ref="B5">(PRODUCT(1+sp500_monthly!B6:B125)^(1/120)-1)*100</f>
        <v>0.53453496634543463</v>
      </c>
      <c r="C5" cm="1">
        <f t="array" ref="C5">(PRODUCT(1+sp500_monthly!C6:C125)^(1/120)-1)*100</f>
        <v>0.14230707099323059</v>
      </c>
      <c r="D5" cm="1">
        <f t="array" ref="D5">(PRODUCT(1+sp500_monthly!D6:D125)^(1/120)-1)*100</f>
        <v>0.68520698587963835</v>
      </c>
      <c r="E5" cm="1">
        <f t="array" ref="E5">(PRODUCT(1+sp500_monthly!E6:E125)^(1/120)-1)*100</f>
        <v>0.34680785111513845</v>
      </c>
      <c r="F5" cm="1">
        <f t="array" ref="F5">(PRODUCT(1+sp500_monthly!K6:K125)^(1/120)-1)*100</f>
        <v>0.22011304659064201</v>
      </c>
      <c r="G5" cm="1">
        <f t="array" ref="G5">(PRODUCT(1+sp500_monthly!L6:L125)^(1/120)-1)</f>
        <v>0.14098836560937622</v>
      </c>
      <c r="H5" cm="1">
        <f t="array" ref="H5">(PRODUCT(1+sp500_monthly!N6:N125)^(1/120)-1)*100</f>
        <v>0</v>
      </c>
      <c r="I5" cm="1">
        <f t="array" ref="I5">(PRODUCT(1+sp500_monthly!O6:O125)^(1/120)-1)*100</f>
        <v>0</v>
      </c>
    </row>
    <row r="6" spans="1:9" x14ac:dyDescent="0.35">
      <c r="A6" s="1">
        <v>13299</v>
      </c>
      <c r="B6" cm="1">
        <f t="array" ref="B6">(PRODUCT(1+sp500_monthly!B7:B126)^(1/120)-1)*100</f>
        <v>0.43525435012610192</v>
      </c>
      <c r="C6" cm="1">
        <f t="array" ref="C6">(PRODUCT(1+sp500_monthly!C7:C126)^(1/120)-1)*100</f>
        <v>4.5667556790740527E-2</v>
      </c>
      <c r="D6" cm="1">
        <f t="array" ref="D6">(PRODUCT(1+sp500_monthly!D7:D126)^(1/120)-1)*100</f>
        <v>0.57325399819179168</v>
      </c>
      <c r="E6" cm="1">
        <f t="array" ref="E6">(PRODUCT(1+sp500_monthly!E7:E126)^(1/120)-1)*100</f>
        <v>0.23772943675959279</v>
      </c>
      <c r="F6" cm="1">
        <f t="array" ref="F6">(PRODUCT(1+sp500_monthly!K7:K126)^(1/120)-1)*100</f>
        <v>0.13442391226861083</v>
      </c>
      <c r="G6" cm="1">
        <f t="array" ref="G6">(PRODUCT(1+sp500_monthly!L7:L126)^(1/120)-1)</f>
        <v>0.14117666920733574</v>
      </c>
      <c r="H6" cm="1">
        <f t="array" ref="H6">(PRODUCT(1+sp500_monthly!N7:N126)^(1/120)-1)*100</f>
        <v>0</v>
      </c>
      <c r="I6" cm="1">
        <f t="array" ref="I6">(PRODUCT(1+sp500_monthly!O7:O126)^(1/120)-1)*100</f>
        <v>0</v>
      </c>
    </row>
    <row r="7" spans="1:9" x14ac:dyDescent="0.35">
      <c r="A7" s="1">
        <v>13331</v>
      </c>
      <c r="B7" cm="1">
        <f t="array" ref="B7">(PRODUCT(1+sp500_monthly!B8:B127)^(1/120)-1)*100</f>
        <v>0.46724208860686733</v>
      </c>
      <c r="C7" cm="1">
        <f t="array" ref="C7">(PRODUCT(1+sp500_monthly!C8:C127)^(1/120)-1)*100</f>
        <v>7.6413077876558155E-2</v>
      </c>
      <c r="D7" cm="1">
        <f t="array" ref="D7">(PRODUCT(1+sp500_monthly!D8:D127)^(1/120)-1)*100</f>
        <v>0.61440272719526234</v>
      </c>
      <c r="E7" cm="1">
        <f t="array" ref="E7">(PRODUCT(1+sp500_monthly!E8:E127)^(1/120)-1)*100</f>
        <v>0.27916446232278957</v>
      </c>
      <c r="F7" cm="1">
        <f t="array" ref="F7">(PRODUCT(1+sp500_monthly!K8:K127)^(1/120)-1)*100</f>
        <v>0.16537572035646431</v>
      </c>
      <c r="G7" cm="1">
        <f t="array" ref="G7">(PRODUCT(1+sp500_monthly!L8:L127)^(1/120)-1)</f>
        <v>0.14136500388207573</v>
      </c>
      <c r="H7" cm="1">
        <f t="array" ref="H7">(PRODUCT(1+sp500_monthly!N8:N127)^(1/120)-1)*100</f>
        <v>0</v>
      </c>
      <c r="I7" cm="1">
        <f t="array" ref="I7">(PRODUCT(1+sp500_monthly!O8:O127)^(1/120)-1)*100</f>
        <v>0</v>
      </c>
    </row>
    <row r="8" spans="1:9" x14ac:dyDescent="0.35">
      <c r="A8" s="1">
        <v>13362</v>
      </c>
      <c r="B8" cm="1">
        <f t="array" ref="B8">(PRODUCT(1+sp500_monthly!B9:B128)^(1/120)-1)*100</f>
        <v>0.44809758872066396</v>
      </c>
      <c r="C8" cm="1">
        <f t="array" ref="C8">(PRODUCT(1+sp500_monthly!C9:C128)^(1/120)-1)*100</f>
        <v>5.9822764746897406E-2</v>
      </c>
      <c r="D8" cm="1">
        <f t="array" ref="D8">(PRODUCT(1+sp500_monthly!D9:D128)^(1/120)-1)*100</f>
        <v>0.58780572021681632</v>
      </c>
      <c r="E8" cm="1">
        <f t="array" ref="E8">(PRODUCT(1+sp500_monthly!E9:E128)^(1/120)-1)*100</f>
        <v>0.25573494191601931</v>
      </c>
      <c r="F8" cm="1">
        <f t="array" ref="F8">(PRODUCT(1+sp500_monthly!K9:K128)^(1/120)-1)*100</f>
        <v>0.15521019162827443</v>
      </c>
      <c r="G8" cm="1">
        <f t="array" ref="G8">(PRODUCT(1+sp500_monthly!L9:L128)^(1/120)-1)</f>
        <v>0.14164618336481682</v>
      </c>
      <c r="H8" cm="1">
        <f t="array" ref="H8">(PRODUCT(1+sp500_monthly!N9:N128)^(1/120)-1)*100</f>
        <v>0</v>
      </c>
      <c r="I8" cm="1">
        <f t="array" ref="I8">(PRODUCT(1+sp500_monthly!O9:O128)^(1/120)-1)*100</f>
        <v>0</v>
      </c>
    </row>
    <row r="9" spans="1:9" x14ac:dyDescent="0.35">
      <c r="A9" s="1">
        <v>13393</v>
      </c>
      <c r="B9" cm="1">
        <f t="array" ref="B9">(PRODUCT(1+sp500_monthly!B10:B129)^(1/120)-1)*100</f>
        <v>0.47426954348517292</v>
      </c>
      <c r="C9" cm="1">
        <f t="array" ref="C9">(PRODUCT(1+sp500_monthly!C10:C129)^(1/120)-1)*100</f>
        <v>8.6842961173871913E-2</v>
      </c>
      <c r="D9" cm="1">
        <f t="array" ref="D9">(PRODUCT(1+sp500_monthly!D10:D129)^(1/120)-1)*100</f>
        <v>0.6266782145339711</v>
      </c>
      <c r="E9" cm="1">
        <f t="array" ref="E9">(PRODUCT(1+sp500_monthly!E10:E129)^(1/120)-1)*100</f>
        <v>0.29610177795926784</v>
      </c>
      <c r="F9" cm="1">
        <f t="array" ref="F9">(PRODUCT(1+sp500_monthly!K10:K129)^(1/120)-1)*100</f>
        <v>0.17306510444436984</v>
      </c>
      <c r="G9" cm="1">
        <f t="array" ref="G9">(PRODUCT(1+sp500_monthly!L10:L129)^(1/120)-1)</f>
        <v>0.13985045074161051</v>
      </c>
      <c r="H9" cm="1">
        <f t="array" ref="H9">(PRODUCT(1+sp500_monthly!N10:N129)^(1/120)-1)*100</f>
        <v>0</v>
      </c>
      <c r="I9" cm="1">
        <f t="array" ref="I9">(PRODUCT(1+sp500_monthly!O10:O129)^(1/120)-1)*100</f>
        <v>0</v>
      </c>
    </row>
    <row r="10" spans="1:9" x14ac:dyDescent="0.35">
      <c r="A10" s="1">
        <v>13423</v>
      </c>
      <c r="B10" cm="1">
        <f t="array" ref="B10">(PRODUCT(1+sp500_monthly!B11:B130)^(1/120)-1)*100</f>
        <v>0.46140900191740108</v>
      </c>
      <c r="C10" cm="1">
        <f t="array" ref="C10">(PRODUCT(1+sp500_monthly!C11:C130)^(1/120)-1)*100</f>
        <v>7.3056310706465233E-2</v>
      </c>
      <c r="D10" cm="1">
        <f t="array" ref="D10">(PRODUCT(1+sp500_monthly!D11:D130)^(1/120)-1)*100</f>
        <v>0.63092645489277732</v>
      </c>
      <c r="E10" cm="1">
        <f t="array" ref="E10">(PRODUCT(1+sp500_monthly!E11:E130)^(1/120)-1)*100</f>
        <v>0.30061005307762123</v>
      </c>
      <c r="F10" cm="1">
        <f t="array" ref="F10">(PRODUCT(1+sp500_monthly!K11:K130)^(1/120)-1)*100</f>
        <v>0.1662681395946386</v>
      </c>
      <c r="G10" cm="1">
        <f t="array" ref="G10">(PRODUCT(1+sp500_monthly!L11:L130)^(1/120)-1)</f>
        <v>0.13792060091028269</v>
      </c>
      <c r="H10" cm="1">
        <f t="array" ref="H10">(PRODUCT(1+sp500_monthly!N11:N130)^(1/120)-1)*100</f>
        <v>0</v>
      </c>
      <c r="I10" cm="1">
        <f t="array" ref="I10">(PRODUCT(1+sp500_monthly!O11:O130)^(1/120)-1)*100</f>
        <v>0</v>
      </c>
    </row>
    <row r="11" spans="1:9" x14ac:dyDescent="0.35">
      <c r="A11" s="1">
        <v>13454</v>
      </c>
      <c r="B11" cm="1">
        <f t="array" ref="B11">(PRODUCT(1+sp500_monthly!B12:B131)^(1/120)-1)*100</f>
        <v>0.45427204660990483</v>
      </c>
      <c r="C11" cm="1">
        <f t="array" ref="C11">(PRODUCT(1+sp500_monthly!C12:C131)^(1/120)-1)*100</f>
        <v>6.6831166492353766E-2</v>
      </c>
      <c r="D11" cm="1">
        <f t="array" ref="D11">(PRODUCT(1+sp500_monthly!D12:D131)^(1/120)-1)*100</f>
        <v>0.6328024501831564</v>
      </c>
      <c r="E11" cm="1">
        <f t="array" ref="E11">(PRODUCT(1+sp500_monthly!E12:E131)^(1/120)-1)*100</f>
        <v>0.30447877123127576</v>
      </c>
      <c r="F11" cm="1">
        <f t="array" ref="F11">(PRODUCT(1+sp500_monthly!K12:K131)^(1/120)-1)*100</f>
        <v>0.14841301546795194</v>
      </c>
      <c r="G11" cm="1">
        <f t="array" ref="G11">(PRODUCT(1+sp500_monthly!L12:L131)^(1/120)-1)</f>
        <v>0.13605344277252973</v>
      </c>
      <c r="H11" cm="1">
        <f t="array" ref="H11">(PRODUCT(1+sp500_monthly!N12:N131)^(1/120)-1)*100</f>
        <v>0</v>
      </c>
      <c r="I11" cm="1">
        <f t="array" ref="I11">(PRODUCT(1+sp500_monthly!O12:O131)^(1/120)-1)*100</f>
        <v>0</v>
      </c>
    </row>
    <row r="12" spans="1:9" x14ac:dyDescent="0.35">
      <c r="A12" s="1">
        <v>13484</v>
      </c>
      <c r="B12" cm="1">
        <f t="array" ref="B12">(PRODUCT(1+sp500_monthly!B13:B132)^(1/120)-1)*100</f>
        <v>0.54149425681273566</v>
      </c>
      <c r="C12" cm="1">
        <f t="array" ref="C12">(PRODUCT(1+sp500_monthly!C13:C132)^(1/120)-1)*100</f>
        <v>0.15488307469335716</v>
      </c>
      <c r="D12" cm="1">
        <f t="array" ref="D12">(PRODUCT(1+sp500_monthly!D13:D132)^(1/120)-1)*100</f>
        <v>0.70254651154915138</v>
      </c>
      <c r="E12" cm="1">
        <f t="array" ref="E12">(PRODUCT(1+sp500_monthly!E13:E132)^(1/120)-1)*100</f>
        <v>0.37499964498577398</v>
      </c>
      <c r="F12" cm="1">
        <f t="array" ref="F12">(PRODUCT(1+sp500_monthly!K13:K132)^(1/120)-1)*100</f>
        <v>0.23534753627341143</v>
      </c>
      <c r="G12" cm="1">
        <f t="array" ref="G12">(PRODUCT(1+sp500_monthly!L13:L132)^(1/120)-1)</f>
        <v>0.13361516606125301</v>
      </c>
      <c r="H12" cm="1">
        <f t="array" ref="H12">(PRODUCT(1+sp500_monthly!N13:N132)^(1/120)-1)*100</f>
        <v>0</v>
      </c>
      <c r="I12" cm="1">
        <f t="array" ref="I12">(PRODUCT(1+sp500_monthly!O13:O132)^(1/120)-1)*100</f>
        <v>0</v>
      </c>
    </row>
    <row r="13" spans="1:9" x14ac:dyDescent="0.35">
      <c r="A13" s="1">
        <v>13515</v>
      </c>
      <c r="B13" cm="1">
        <f t="array" ref="B13">(PRODUCT(1+sp500_monthly!B14:B133)^(1/120)-1)*100</f>
        <v>0.5281138570222943</v>
      </c>
      <c r="C13" cm="1">
        <f t="array" ref="C13">(PRODUCT(1+sp500_monthly!C14:C133)^(1/120)-1)*100</f>
        <v>0.13860681017570098</v>
      </c>
      <c r="D13" cm="1">
        <f t="array" ref="D13">(PRODUCT(1+sp500_monthly!D14:D133)^(1/120)-1)*100</f>
        <v>0.7004989091436542</v>
      </c>
      <c r="E13" cm="1">
        <f t="array" ref="E13">(PRODUCT(1+sp500_monthly!E14:E133)^(1/120)-1)*100</f>
        <v>0.37052188803621267</v>
      </c>
      <c r="F13" cm="1">
        <f t="array" ref="F13">(PRODUCT(1+sp500_monthly!K14:K133)^(1/120)-1)*100</f>
        <v>0.22028219183796161</v>
      </c>
      <c r="G13" cm="1">
        <f t="array" ref="G13">(PRODUCT(1+sp500_monthly!L14:L133)^(1/120)-1)</f>
        <v>0.13116093479096702</v>
      </c>
      <c r="H13" cm="1">
        <f t="array" ref="H13">(PRODUCT(1+sp500_monthly!N14:N133)^(1/120)-1)*100</f>
        <v>0</v>
      </c>
      <c r="I13" cm="1">
        <f t="array" ref="I13">(PRODUCT(1+sp500_monthly!O14:O133)^(1/120)-1)*100</f>
        <v>0</v>
      </c>
    </row>
    <row r="14" spans="1:9" x14ac:dyDescent="0.35">
      <c r="A14" s="1">
        <v>13545</v>
      </c>
      <c r="B14" cm="1">
        <f t="array" ref="B14">(PRODUCT(1+sp500_monthly!B15:B134)^(1/120)-1)*100</f>
        <v>0.50336109631052839</v>
      </c>
      <c r="C14" cm="1">
        <f t="array" ref="C14">(PRODUCT(1+sp500_monthly!C15:C134)^(1/120)-1)*100</f>
        <v>0.11571692484722007</v>
      </c>
      <c r="D14" cm="1">
        <f t="array" ref="D14">(PRODUCT(1+sp500_monthly!D15:D134)^(1/120)-1)*100</f>
        <v>0.69343618160735421</v>
      </c>
      <c r="E14" cm="1">
        <f t="array" ref="E14">(PRODUCT(1+sp500_monthly!E15:E134)^(1/120)-1)*100</f>
        <v>0.36631908329527452</v>
      </c>
      <c r="F14" cm="1">
        <f t="array" ref="F14">(PRODUCT(1+sp500_monthly!K15:K134)^(1/120)-1)*100</f>
        <v>0.20170401049897091</v>
      </c>
      <c r="G14" cm="1">
        <f t="array" ref="G14">(PRODUCT(1+sp500_monthly!L15:L134)^(1/120)-1)</f>
        <v>0.12883633934735039</v>
      </c>
      <c r="H14" cm="1">
        <f t="array" ref="H14">(PRODUCT(1+sp500_monthly!N15:N134)^(1/120)-1)*100</f>
        <v>0</v>
      </c>
      <c r="I14" cm="1">
        <f t="array" ref="I14">(PRODUCT(1+sp500_monthly!O15:O134)^(1/120)-1)*100</f>
        <v>0</v>
      </c>
    </row>
    <row r="15" spans="1:9" x14ac:dyDescent="0.35">
      <c r="A15" s="1">
        <v>13573</v>
      </c>
      <c r="B15" cm="1">
        <f t="array" ref="B15">(PRODUCT(1+sp500_monthly!B16:B135)^(1/120)-1)*100</f>
        <v>0.53595180789980379</v>
      </c>
      <c r="C15" cm="1">
        <f t="array" ref="C15">(PRODUCT(1+sp500_monthly!C16:C135)^(1/120)-1)*100</f>
        <v>0.14982939017167407</v>
      </c>
      <c r="D15" cm="1">
        <f t="array" ref="D15">(PRODUCT(1+sp500_monthly!D16:D135)^(1/120)-1)*100</f>
        <v>0.738131227832306</v>
      </c>
      <c r="E15" cm="1">
        <f t="array" ref="E15">(PRODUCT(1+sp500_monthly!E16:E135)^(1/120)-1)*100</f>
        <v>0.41288506461485408</v>
      </c>
      <c r="F15" cm="1">
        <f t="array" ref="F15">(PRODUCT(1+sp500_monthly!K16:K135)^(1/120)-1)*100</f>
        <v>0.25023947718390005</v>
      </c>
      <c r="G15" cm="1">
        <f t="array" ref="G15">(PRODUCT(1+sp500_monthly!L16:L135)^(1/120)-1)</f>
        <v>0.12683261766921827</v>
      </c>
      <c r="H15" cm="1">
        <f t="array" ref="H15">(PRODUCT(1+sp500_monthly!N16:N135)^(1/120)-1)*100</f>
        <v>0</v>
      </c>
      <c r="I15" cm="1">
        <f t="array" ref="I15">(PRODUCT(1+sp500_monthly!O16:O135)^(1/120)-1)*100</f>
        <v>0</v>
      </c>
    </row>
    <row r="16" spans="1:9" x14ac:dyDescent="0.35">
      <c r="A16" s="1">
        <v>13605</v>
      </c>
      <c r="B16" cm="1">
        <f t="array" ref="B16">(PRODUCT(1+sp500_monthly!B17:B136)^(1/120)-1)*100</f>
        <v>0.51400216510837371</v>
      </c>
      <c r="C16" cm="1">
        <f t="array" ref="C16">(PRODUCT(1+sp500_monthly!C17:C136)^(1/120)-1)*100</f>
        <v>0.12935800728299807</v>
      </c>
      <c r="D16" cm="1">
        <f t="array" ref="D16">(PRODUCT(1+sp500_monthly!D17:D136)^(1/120)-1)*100</f>
        <v>0.72772999337982203</v>
      </c>
      <c r="E16" cm="1">
        <f t="array" ref="E16">(PRODUCT(1+sp500_monthly!E17:E136)^(1/120)-1)*100</f>
        <v>0.40258832533373035</v>
      </c>
      <c r="F16" cm="1">
        <f t="array" ref="F16">(PRODUCT(1+sp500_monthly!K17:K136)^(1/120)-1)*100</f>
        <v>0.22341611050993304</v>
      </c>
      <c r="G16" cm="1">
        <f t="array" ref="G16">(PRODUCT(1+sp500_monthly!L17:L136)^(1/120)-1)</f>
        <v>0.12485011385972467</v>
      </c>
      <c r="H16" cm="1">
        <f t="array" ref="H16">(PRODUCT(1+sp500_monthly!N17:N136)^(1/120)-1)*100</f>
        <v>0</v>
      </c>
      <c r="I16" cm="1">
        <f t="array" ref="I16">(PRODUCT(1+sp500_monthly!O17:O136)^(1/120)-1)*100</f>
        <v>0</v>
      </c>
    </row>
    <row r="17" spans="1:9" x14ac:dyDescent="0.35">
      <c r="A17" s="1">
        <v>13635</v>
      </c>
      <c r="B17" cm="1">
        <f t="array" ref="B17">(PRODUCT(1+sp500_monthly!B18:B137)^(1/120)-1)*100</f>
        <v>0.50494417787145807</v>
      </c>
      <c r="C17" cm="1">
        <f t="array" ref="C17">(PRODUCT(1+sp500_monthly!C18:C137)^(1/120)-1)*100</f>
        <v>0.12195858547092708</v>
      </c>
      <c r="D17" cm="1">
        <f t="array" ref="D17">(PRODUCT(1+sp500_monthly!D18:D137)^(1/120)-1)*100</f>
        <v>0.74860739115121255</v>
      </c>
      <c r="E17" cm="1">
        <f t="array" ref="E17">(PRODUCT(1+sp500_monthly!E18:E137)^(1/120)-1)*100</f>
        <v>0.42570191615527442</v>
      </c>
      <c r="F17" cm="1">
        <f t="array" ref="F17">(PRODUCT(1+sp500_monthly!K18:K137)^(1/120)-1)*100</f>
        <v>0.21011786577185276</v>
      </c>
      <c r="G17" cm="1">
        <f t="array" ref="G17">(PRODUCT(1+sp500_monthly!L18:L137)^(1/120)-1)</f>
        <v>0.12248653521557595</v>
      </c>
      <c r="H17" cm="1">
        <f t="array" ref="H17">(PRODUCT(1+sp500_monthly!N18:N137)^(1/120)-1)*100</f>
        <v>0</v>
      </c>
      <c r="I17" cm="1">
        <f t="array" ref="I17">(PRODUCT(1+sp500_monthly!O18:O137)^(1/120)-1)*100</f>
        <v>0</v>
      </c>
    </row>
    <row r="18" spans="1:9" x14ac:dyDescent="0.35">
      <c r="A18" s="1">
        <v>13663</v>
      </c>
      <c r="B18" cm="1">
        <f t="array" ref="B18">(PRODUCT(1+sp500_monthly!B19:B138)^(1/120)-1)*100</f>
        <v>0.42371794594870948</v>
      </c>
      <c r="C18" cm="1">
        <f t="array" ref="C18">(PRODUCT(1+sp500_monthly!C19:C138)^(1/120)-1)*100</f>
        <v>4.201773909073836E-2</v>
      </c>
      <c r="D18" cm="1">
        <f t="array" ref="D18">(PRODUCT(1+sp500_monthly!D19:D138)^(1/120)-1)*100</f>
        <v>0.66567367992071969</v>
      </c>
      <c r="E18" cm="1">
        <f t="array" ref="E18">(PRODUCT(1+sp500_monthly!E19:E138)^(1/120)-1)*100</f>
        <v>0.34449449449762692</v>
      </c>
      <c r="F18" cm="1">
        <f t="array" ref="F18">(PRODUCT(1+sp500_monthly!K19:K138)^(1/120)-1)*100</f>
        <v>0.12339817596402902</v>
      </c>
      <c r="G18" cm="1">
        <f t="array" ref="G18">(PRODUCT(1+sp500_monthly!L19:L138)^(1/120)-1)</f>
        <v>0.12067719274377575</v>
      </c>
      <c r="H18" cm="1">
        <f t="array" ref="H18">(PRODUCT(1+sp500_monthly!N19:N138)^(1/120)-1)*100</f>
        <v>0</v>
      </c>
      <c r="I18" cm="1">
        <f t="array" ref="I18">(PRODUCT(1+sp500_monthly!O19:O138)^(1/120)-1)*100</f>
        <v>0</v>
      </c>
    </row>
    <row r="19" spans="1:9" x14ac:dyDescent="0.35">
      <c r="A19" s="1">
        <v>13696</v>
      </c>
      <c r="B19" cm="1">
        <f t="array" ref="B19">(PRODUCT(1+sp500_monthly!B20:B139)^(1/120)-1)*100</f>
        <v>0.36833150142441262</v>
      </c>
      <c r="C19" cm="1">
        <f t="array" ref="C19">(PRODUCT(1+sp500_monthly!C20:C139)^(1/120)-1)*100</f>
        <v>-1.4057050967730689E-2</v>
      </c>
      <c r="D19" cm="1">
        <f t="array" ref="D19">(PRODUCT(1+sp500_monthly!D20:D139)^(1/120)-1)*100</f>
        <v>0.58995560187782292</v>
      </c>
      <c r="E19" cm="1">
        <f t="array" ref="E19">(PRODUCT(1+sp500_monthly!E20:E139)^(1/120)-1)*100</f>
        <v>0.26854830645637318</v>
      </c>
      <c r="F19" cm="1">
        <f t="array" ref="F19">(PRODUCT(1+sp500_monthly!K20:K139)^(1/120)-1)*100</f>
        <v>7.2259888391656979E-2</v>
      </c>
      <c r="G19" cm="1">
        <f t="array" ref="G19">(PRODUCT(1+sp500_monthly!L20:L139)^(1/120)-1)</f>
        <v>0.11877277095970484</v>
      </c>
      <c r="H19" cm="1">
        <f t="array" ref="H19">(PRODUCT(1+sp500_monthly!N20:N139)^(1/120)-1)*100</f>
        <v>0</v>
      </c>
      <c r="I19" cm="1">
        <f t="array" ref="I19">(PRODUCT(1+sp500_monthly!O20:O139)^(1/120)-1)*100</f>
        <v>0</v>
      </c>
    </row>
    <row r="20" spans="1:9" x14ac:dyDescent="0.35">
      <c r="A20" s="1">
        <v>13727</v>
      </c>
      <c r="B20" cm="1">
        <f t="array" ref="B20">(PRODUCT(1+sp500_monthly!B21:B140)^(1/120)-1)*100</f>
        <v>0.33929232250888841</v>
      </c>
      <c r="C20" cm="1">
        <f t="array" ref="C20">(PRODUCT(1+sp500_monthly!C21:C140)^(1/120)-1)*100</f>
        <v>-4.2009895078087833E-2</v>
      </c>
      <c r="D20" cm="1">
        <f t="array" ref="D20">(PRODUCT(1+sp500_monthly!D21:D140)^(1/120)-1)*100</f>
        <v>0.54599236483476865</v>
      </c>
      <c r="E20" cm="1">
        <f t="array" ref="E20">(PRODUCT(1+sp500_monthly!E21:E140)^(1/120)-1)*100</f>
        <v>0.2260739584865501</v>
      </c>
      <c r="F20" cm="1">
        <f t="array" ref="F20">(PRODUCT(1+sp500_monthly!K21:K140)^(1/120)-1)*100</f>
        <v>3.4817579987267422E-2</v>
      </c>
      <c r="G20" cm="1">
        <f t="array" ref="G20">(PRODUCT(1+sp500_monthly!L21:L140)^(1/120)-1)</f>
        <v>0.11689524883990976</v>
      </c>
      <c r="H20" cm="1">
        <f t="array" ref="H20">(PRODUCT(1+sp500_monthly!N21:N140)^(1/120)-1)*100</f>
        <v>0</v>
      </c>
      <c r="I20" cm="1">
        <f t="array" ref="I20">(PRODUCT(1+sp500_monthly!O21:O140)^(1/120)-1)*100</f>
        <v>0</v>
      </c>
    </row>
    <row r="21" spans="1:9" x14ac:dyDescent="0.35">
      <c r="A21" s="1">
        <v>13758</v>
      </c>
      <c r="B21" cm="1">
        <f t="array" ref="B21">(PRODUCT(1+sp500_monthly!B22:B141)^(1/120)-1)*100</f>
        <v>0.35043021752549919</v>
      </c>
      <c r="C21" cm="1">
        <f t="array" ref="C21">(PRODUCT(1+sp500_monthly!C22:C141)^(1/120)-1)*100</f>
        <v>-2.9531516523029211E-2</v>
      </c>
      <c r="D21" cm="1">
        <f t="array" ref="D21">(PRODUCT(1+sp500_monthly!D22:D141)^(1/120)-1)*100</f>
        <v>0.58220361005569821</v>
      </c>
      <c r="E21" cm="1">
        <f t="array" ref="E21">(PRODUCT(1+sp500_monthly!E22:E141)^(1/120)-1)*100</f>
        <v>0.26371935647555578</v>
      </c>
      <c r="F21" cm="1">
        <f t="array" ref="F21">(PRODUCT(1+sp500_monthly!K22:K141)^(1/120)-1)*100</f>
        <v>6.3745432238349053E-2</v>
      </c>
      <c r="G21" cm="1">
        <f t="array" ref="G21">(PRODUCT(1+sp500_monthly!L22:L141)^(1/120)-1)</f>
        <v>0.11473052173123399</v>
      </c>
      <c r="H21" cm="1">
        <f t="array" ref="H21">(PRODUCT(1+sp500_monthly!N22:N141)^(1/120)-1)*100</f>
        <v>0</v>
      </c>
      <c r="I21" cm="1">
        <f t="array" ref="I21">(PRODUCT(1+sp500_monthly!O22:O141)^(1/120)-1)*100</f>
        <v>0</v>
      </c>
    </row>
    <row r="22" spans="1:9" x14ac:dyDescent="0.35">
      <c r="A22" s="1">
        <v>13788</v>
      </c>
      <c r="B22" cm="1">
        <f t="array" ref="B22">(PRODUCT(1+sp500_monthly!B23:B142)^(1/120)-1)*100</f>
        <v>0.27910955143393146</v>
      </c>
      <c r="C22" cm="1">
        <f t="array" ref="C22">(PRODUCT(1+sp500_monthly!C23:C142)^(1/120)-1)*100</f>
        <v>-0.10128405917296801</v>
      </c>
      <c r="D22" cm="1">
        <f t="array" ref="D22">(PRODUCT(1+sp500_monthly!D23:D142)^(1/120)-1)*100</f>
        <v>0.51038726884145014</v>
      </c>
      <c r="E22" cm="1">
        <f t="array" ref="E22">(PRODUCT(1+sp500_monthly!E23:E142)^(1/120)-1)*100</f>
        <v>0.19137617353319758</v>
      </c>
      <c r="F22" cm="1">
        <f t="array" ref="F22">(PRODUCT(1+sp500_monthly!K23:K142)^(1/120)-1)*100</f>
        <v>-2.0014187806527417E-2</v>
      </c>
      <c r="G22" cm="1">
        <f t="array" ref="G22">(PRODUCT(1+sp500_monthly!L23:L142)^(1/120)-1)</f>
        <v>0.11262328370690722</v>
      </c>
      <c r="H22" cm="1">
        <f t="array" ref="H22">(PRODUCT(1+sp500_monthly!N23:N142)^(1/120)-1)*100</f>
        <v>0</v>
      </c>
      <c r="I22" cm="1">
        <f t="array" ref="I22">(PRODUCT(1+sp500_monthly!O23:O142)^(1/120)-1)*100</f>
        <v>0</v>
      </c>
    </row>
    <row r="23" spans="1:9" x14ac:dyDescent="0.35">
      <c r="A23" s="1">
        <v>13818</v>
      </c>
      <c r="B23" cm="1">
        <f t="array" ref="B23">(PRODUCT(1+sp500_monthly!B24:B143)^(1/120)-1)*100</f>
        <v>0.11042507773284527</v>
      </c>
      <c r="C23" cm="1">
        <f t="array" ref="C23">(PRODUCT(1+sp500_monthly!C24:C143)^(1/120)-1)*100</f>
        <v>-0.27017187328044479</v>
      </c>
      <c r="D23" cm="1">
        <f t="array" ref="D23">(PRODUCT(1+sp500_monthly!D24:D143)^(1/120)-1)*100</f>
        <v>0.30316998391377581</v>
      </c>
      <c r="E23" cm="1">
        <f t="array" ref="E23">(PRODUCT(1+sp500_monthly!E24:E143)^(1/120)-1)*100</f>
        <v>-1.4859217545204473E-2</v>
      </c>
      <c r="F23" cm="1">
        <f t="array" ref="F23">(PRODUCT(1+sp500_monthly!K24:K143)^(1/120)-1)*100</f>
        <v>-0.18287088114445904</v>
      </c>
      <c r="G23" cm="1">
        <f t="array" ref="G23">(PRODUCT(1+sp500_monthly!L24:L143)^(1/120)-1)</f>
        <v>0.11122041243729641</v>
      </c>
      <c r="H23" cm="1">
        <f t="array" ref="H23">(PRODUCT(1+sp500_monthly!N24:N143)^(1/120)-1)*100</f>
        <v>0</v>
      </c>
      <c r="I23" cm="1">
        <f t="array" ref="I23">(PRODUCT(1+sp500_monthly!O24:O143)^(1/120)-1)*100</f>
        <v>0</v>
      </c>
    </row>
    <row r="24" spans="1:9" x14ac:dyDescent="0.35">
      <c r="A24" s="1">
        <v>13849</v>
      </c>
      <c r="B24" cm="1">
        <f t="array" ref="B24">(PRODUCT(1+sp500_monthly!B25:B144)^(1/120)-1)*100</f>
        <v>6.0003138091691E-2</v>
      </c>
      <c r="C24" cm="1">
        <f t="array" ref="C24">(PRODUCT(1+sp500_monthly!C25:C144)^(1/120)-1)*100</f>
        <v>-0.31942980627550632</v>
      </c>
      <c r="D24" cm="1">
        <f t="array" ref="D24">(PRODUCT(1+sp500_monthly!D25:D144)^(1/120)-1)*100</f>
        <v>0.24304243947506077</v>
      </c>
      <c r="E24" cm="1">
        <f t="array" ref="E24">(PRODUCT(1+sp500_monthly!E25:E144)^(1/120)-1)*100</f>
        <v>-7.4136851209694044E-2</v>
      </c>
      <c r="F24" cm="1">
        <f t="array" ref="F24">(PRODUCT(1+sp500_monthly!K25:K144)^(1/120)-1)*100</f>
        <v>-0.22673655249897395</v>
      </c>
      <c r="G24" cm="1">
        <f t="array" ref="G24">(PRODUCT(1+sp500_monthly!L25:L144)^(1/120)-1)</f>
        <v>0.10933903534601663</v>
      </c>
      <c r="H24" cm="1">
        <f t="array" ref="H24">(PRODUCT(1+sp500_monthly!N25:N144)^(1/120)-1)*100</f>
        <v>0</v>
      </c>
      <c r="I24" cm="1">
        <f t="array" ref="I24">(PRODUCT(1+sp500_monthly!O25:O144)^(1/120)-1)*100</f>
        <v>0</v>
      </c>
    </row>
    <row r="25" spans="1:9" x14ac:dyDescent="0.35">
      <c r="A25" s="1">
        <v>13880</v>
      </c>
      <c r="B25" cm="1">
        <f t="array" ref="B25">(PRODUCT(1+sp500_monthly!B26:B145)^(1/120)-1)*100</f>
        <v>-7.0176275661992804E-2</v>
      </c>
      <c r="C25" cm="1">
        <f t="array" ref="C25">(PRODUCT(1+sp500_monthly!C26:C145)^(1/120)-1)*100</f>
        <v>-0.45882847010858541</v>
      </c>
      <c r="D25" cm="1">
        <f t="array" ref="D25">(PRODUCT(1+sp500_monthly!D26:D145)^(1/120)-1)*100</f>
        <v>9.8074506270462436E-2</v>
      </c>
      <c r="E25" cm="1">
        <f t="array" ref="E25">(PRODUCT(1+sp500_monthly!E26:E145)^(1/120)-1)*100</f>
        <v>-0.22595754039024252</v>
      </c>
      <c r="F25" cm="1">
        <f t="array" ref="F25">(PRODUCT(1+sp500_monthly!K26:K145)^(1/120)-1)*100</f>
        <v>-0.36980699441903075</v>
      </c>
      <c r="G25" cm="1">
        <f t="array" ref="G25">(PRODUCT(1+sp500_monthly!L26:L145)^(1/120)-1)</f>
        <v>0.10776103558569838</v>
      </c>
      <c r="H25" cm="1">
        <f t="array" ref="H25">(PRODUCT(1+sp500_monthly!N26:N145)^(1/120)-1)*100</f>
        <v>0</v>
      </c>
      <c r="I25" cm="1">
        <f t="array" ref="I25">(PRODUCT(1+sp500_monthly!O26:O145)^(1/120)-1)*100</f>
        <v>0</v>
      </c>
    </row>
    <row r="26" spans="1:9" x14ac:dyDescent="0.35">
      <c r="A26" s="1">
        <v>13911</v>
      </c>
      <c r="B26" cm="1">
        <f t="array" ref="B26">(PRODUCT(1+sp500_monthly!B27:B146)^(1/120)-1)*100</f>
        <v>-0.12514132870289352</v>
      </c>
      <c r="C26" cm="1">
        <f t="array" ref="C26">(PRODUCT(1+sp500_monthly!C27:C146)^(1/120)-1)*100</f>
        <v>-0.51586291196393796</v>
      </c>
      <c r="D26" cm="1">
        <f t="array" ref="D26">(PRODUCT(1+sp500_monthly!D27:D146)^(1/120)-1)*100</f>
        <v>1.6354571403809359E-4</v>
      </c>
      <c r="E26" cm="1">
        <f t="array" ref="E26">(PRODUCT(1+sp500_monthly!E27:E146)^(1/120)-1)*100</f>
        <v>-0.32567427902825408</v>
      </c>
      <c r="F26" cm="1">
        <f t="array" ref="F26">(PRODUCT(1+sp500_monthly!K27:K146)^(1/120)-1)*100</f>
        <v>-0.42839113986586908</v>
      </c>
      <c r="G26" cm="1">
        <f t="array" ref="G26">(PRODUCT(1+sp500_monthly!L27:L146)^(1/120)-1)</f>
        <v>0.10592689539677935</v>
      </c>
      <c r="H26" cm="1">
        <f t="array" ref="H26">(PRODUCT(1+sp500_monthly!N27:N146)^(1/120)-1)*100</f>
        <v>0</v>
      </c>
      <c r="I26" cm="1">
        <f t="array" ref="I26">(PRODUCT(1+sp500_monthly!O27:O146)^(1/120)-1)*100</f>
        <v>0</v>
      </c>
    </row>
    <row r="27" spans="1:9" x14ac:dyDescent="0.35">
      <c r="A27" s="1">
        <v>13939</v>
      </c>
      <c r="B27" cm="1">
        <f t="array" ref="B27">(PRODUCT(1+sp500_monthly!B28:B147)^(1/120)-1)*100</f>
        <v>-0.10907887837385832</v>
      </c>
      <c r="C27" cm="1">
        <f t="array" ref="C27">(PRODUCT(1+sp500_monthly!C28:C147)^(1/120)-1)*100</f>
        <v>-0.49905076786536107</v>
      </c>
      <c r="D27" cm="1">
        <f t="array" ref="D27">(PRODUCT(1+sp500_monthly!D28:D147)^(1/120)-1)*100</f>
        <v>-5.5024809583303913E-3</v>
      </c>
      <c r="E27" cm="1">
        <f t="array" ref="E27">(PRODUCT(1+sp500_monthly!E28:E147)^(1/120)-1)*100</f>
        <v>-0.33062186092687185</v>
      </c>
      <c r="F27" cm="1">
        <f t="array" ref="F27">(PRODUCT(1+sp500_monthly!K28:K147)^(1/120)-1)*100</f>
        <v>-0.41321215515670584</v>
      </c>
      <c r="G27" cm="1">
        <f t="array" ref="G27">(PRODUCT(1+sp500_monthly!L28:L147)^(1/120)-1)</f>
        <v>0.10387230248587365</v>
      </c>
      <c r="H27" cm="1">
        <f t="array" ref="H27">(PRODUCT(1+sp500_monthly!N28:N147)^(1/120)-1)*100</f>
        <v>0</v>
      </c>
      <c r="I27" cm="1">
        <f t="array" ref="I27">(PRODUCT(1+sp500_monthly!O28:O147)^(1/120)-1)*100</f>
        <v>0</v>
      </c>
    </row>
    <row r="28" spans="1:9" x14ac:dyDescent="0.35">
      <c r="A28" s="1">
        <v>13970</v>
      </c>
      <c r="B28" cm="1">
        <f t="array" ref="B28">(PRODUCT(1+sp500_monthly!B29:B148)^(1/120)-1)*100</f>
        <v>-4.5533252748142239E-2</v>
      </c>
      <c r="C28" cm="1">
        <f t="array" ref="C28">(PRODUCT(1+sp500_monthly!C29:C148)^(1/120)-1)*100</f>
        <v>-0.43588495236603908</v>
      </c>
      <c r="D28" cm="1">
        <f t="array" ref="D28">(PRODUCT(1+sp500_monthly!D29:D148)^(1/120)-1)*100</f>
        <v>8.0700479008544157E-2</v>
      </c>
      <c r="E28" cm="1">
        <f t="array" ref="E28">(PRODUCT(1+sp500_monthly!E29:E148)^(1/120)-1)*100</f>
        <v>-0.24510909762923694</v>
      </c>
      <c r="F28" cm="1">
        <f t="array" ref="F28">(PRODUCT(1+sp500_monthly!K29:K148)^(1/120)-1)*100</f>
        <v>-0.34943244285248198</v>
      </c>
      <c r="G28" cm="1">
        <f t="array" ref="G28">(PRODUCT(1+sp500_monthly!L29:L148)^(1/120)-1)</f>
        <v>0.10125207439700978</v>
      </c>
      <c r="H28" cm="1">
        <f t="array" ref="H28">(PRODUCT(1+sp500_monthly!N29:N148)^(1/120)-1)*100</f>
        <v>0</v>
      </c>
      <c r="I28" cm="1">
        <f t="array" ref="I28">(PRODUCT(1+sp500_monthly!O29:O148)^(1/120)-1)*100</f>
        <v>0</v>
      </c>
    </row>
    <row r="29" spans="1:9" x14ac:dyDescent="0.35">
      <c r="A29" s="1">
        <v>14000</v>
      </c>
      <c r="B29" cm="1">
        <f t="array" ref="B29">(PRODUCT(1+sp500_monthly!B30:B149)^(1/120)-1)*100</f>
        <v>-0.37292770201110548</v>
      </c>
      <c r="C29" cm="1">
        <f t="array" ref="C29">(PRODUCT(1+sp500_monthly!C30:C149)^(1/120)-1)*100</f>
        <v>-0.76320279726193041</v>
      </c>
      <c r="D29" cm="1">
        <f t="array" ref="D29">(PRODUCT(1+sp500_monthly!D30:D149)^(1/120)-1)*100</f>
        <v>-0.28492701743485505</v>
      </c>
      <c r="E29" cm="1">
        <f t="array" ref="E29">(PRODUCT(1+sp500_monthly!E30:E149)^(1/120)-1)*100</f>
        <v>-0.6102294309481282</v>
      </c>
      <c r="F29" cm="1">
        <f t="array" ref="F29">(PRODUCT(1+sp500_monthly!K30:K149)^(1/120)-1)*100</f>
        <v>-0.67371166269485361</v>
      </c>
      <c r="G29" cm="1">
        <f t="array" ref="G29">(PRODUCT(1+sp500_monthly!L30:L149)^(1/120)-1)</f>
        <v>9.8825641255586572E-2</v>
      </c>
      <c r="H29" cm="1">
        <f t="array" ref="H29">(PRODUCT(1+sp500_monthly!N30:N149)^(1/120)-1)*100</f>
        <v>0</v>
      </c>
      <c r="I29" cm="1">
        <f t="array" ref="I29">(PRODUCT(1+sp500_monthly!O30:O149)^(1/120)-1)*100</f>
        <v>0</v>
      </c>
    </row>
    <row r="30" spans="1:9" x14ac:dyDescent="0.35">
      <c r="A30" s="1">
        <v>14031</v>
      </c>
      <c r="B30" cm="1">
        <f t="array" ref="B30">(PRODUCT(1+sp500_monthly!B31:B150)^(1/120)-1)*100</f>
        <v>-0.29051091498850656</v>
      </c>
      <c r="C30" cm="1">
        <f t="array" ref="C30">(PRODUCT(1+sp500_monthly!C31:C150)^(1/120)-1)*100</f>
        <v>-0.68073252780733728</v>
      </c>
      <c r="D30" cm="1">
        <f t="array" ref="D30">(PRODUCT(1+sp500_monthly!D31:D150)^(1/120)-1)*100</f>
        <v>-0.1734098779573312</v>
      </c>
      <c r="E30" cm="1">
        <f t="array" ref="E30">(PRODUCT(1+sp500_monthly!E31:E150)^(1/120)-1)*100</f>
        <v>-0.49832152119503315</v>
      </c>
      <c r="F30" cm="1">
        <f t="array" ref="F30">(PRODUCT(1+sp500_monthly!K31:K150)^(1/120)-1)*100</f>
        <v>-0.5907698670163497</v>
      </c>
      <c r="G30" cm="1">
        <f t="array" ref="G30">(PRODUCT(1+sp500_monthly!L31:L150)^(1/120)-1)</f>
        <v>9.7097262463654355E-2</v>
      </c>
      <c r="H30" cm="1">
        <f t="array" ref="H30">(PRODUCT(1+sp500_monthly!N31:N150)^(1/120)-1)*100</f>
        <v>0</v>
      </c>
      <c r="I30" cm="1">
        <f t="array" ref="I30">(PRODUCT(1+sp500_monthly!O31:O150)^(1/120)-1)*100</f>
        <v>0</v>
      </c>
    </row>
    <row r="31" spans="1:9" x14ac:dyDescent="0.35">
      <c r="A31" s="1">
        <v>14061</v>
      </c>
      <c r="B31" cm="1">
        <f t="array" ref="B31">(PRODUCT(1+sp500_monthly!B32:B151)^(1/120)-1)*100</f>
        <v>-0.33457570714402474</v>
      </c>
      <c r="C31" cm="1">
        <f t="array" ref="C31">(PRODUCT(1+sp500_monthly!C32:C151)^(1/120)-1)*100</f>
        <v>-0.72584958920700604</v>
      </c>
      <c r="D31" cm="1">
        <f t="array" ref="D31">(PRODUCT(1+sp500_monthly!D32:D151)^(1/120)-1)*100</f>
        <v>-0.22339603479646364</v>
      </c>
      <c r="E31" cm="1">
        <f t="array" ref="E31">(PRODUCT(1+sp500_monthly!E32:E151)^(1/120)-1)*100</f>
        <v>-0.54861718911261015</v>
      </c>
      <c r="F31" cm="1">
        <f t="array" ref="F31">(PRODUCT(1+sp500_monthly!K32:K151)^(1/120)-1)*100</f>
        <v>-0.63874078069403595</v>
      </c>
      <c r="G31" cm="1">
        <f t="array" ref="G31">(PRODUCT(1+sp500_monthly!L32:L151)^(1/120)-1)</f>
        <v>9.4561954617598865E-2</v>
      </c>
      <c r="H31" cm="1">
        <f t="array" ref="H31">(PRODUCT(1+sp500_monthly!N32:N151)^(1/120)-1)*100</f>
        <v>0</v>
      </c>
      <c r="I31" cm="1">
        <f t="array" ref="I31">(PRODUCT(1+sp500_monthly!O32:O151)^(1/120)-1)*100</f>
        <v>0</v>
      </c>
    </row>
    <row r="32" spans="1:9" x14ac:dyDescent="0.35">
      <c r="A32" s="1">
        <v>14091</v>
      </c>
      <c r="B32" cm="1">
        <f t="array" ref="B32">(PRODUCT(1+sp500_monthly!B33:B152)^(1/120)-1)*100</f>
        <v>-0.11766079348781711</v>
      </c>
      <c r="C32" cm="1">
        <f t="array" ref="C32">(PRODUCT(1+sp500_monthly!C33:C152)^(1/120)-1)*100</f>
        <v>-0.50879679381178322</v>
      </c>
      <c r="D32" cm="1">
        <f t="array" ref="D32">(PRODUCT(1+sp500_monthly!D33:D152)^(1/120)-1)*100</f>
        <v>3.9785943572301363E-2</v>
      </c>
      <c r="E32" cm="1">
        <f t="array" ref="E32">(PRODUCT(1+sp500_monthly!E33:E152)^(1/120)-1)*100</f>
        <v>-0.28419548180033116</v>
      </c>
      <c r="F32" cm="1">
        <f t="array" ref="F32">(PRODUCT(1+sp500_monthly!K33:K152)^(1/120)-1)*100</f>
        <v>-0.42147367637263011</v>
      </c>
      <c r="G32" cm="1">
        <f t="array" ref="G32">(PRODUCT(1+sp500_monthly!L33:L152)^(1/120)-1)</f>
        <v>9.2101711781199747E-2</v>
      </c>
      <c r="H32" cm="1">
        <f t="array" ref="H32">(PRODUCT(1+sp500_monthly!N33:N152)^(1/120)-1)*100</f>
        <v>0</v>
      </c>
      <c r="I32" cm="1">
        <f t="array" ref="I32">(PRODUCT(1+sp500_monthly!O33:O152)^(1/120)-1)*100</f>
        <v>0</v>
      </c>
    </row>
    <row r="33" spans="1:9" x14ac:dyDescent="0.35">
      <c r="A33" s="1">
        <v>14123</v>
      </c>
      <c r="B33" cm="1">
        <f t="array" ref="B33">(PRODUCT(1+sp500_monthly!B34:B153)^(1/120)-1)*100</f>
        <v>-6.60326359832486E-2</v>
      </c>
      <c r="C33" cm="1">
        <f t="array" ref="C33">(PRODUCT(1+sp500_monthly!C34:C153)^(1/120)-1)*100</f>
        <v>-0.45652789831123197</v>
      </c>
      <c r="D33" cm="1">
        <f t="array" ref="D33">(PRODUCT(1+sp500_monthly!D34:D153)^(1/120)-1)*100</f>
        <v>0.10592832665712315</v>
      </c>
      <c r="E33" cm="1">
        <f t="array" ref="E33">(PRODUCT(1+sp500_monthly!E34:E153)^(1/120)-1)*100</f>
        <v>-0.21705241247981233</v>
      </c>
      <c r="F33" cm="1">
        <f t="array" ref="F33">(PRODUCT(1+sp500_monthly!K34:K153)^(1/120)-1)*100</f>
        <v>-0.37356833751420737</v>
      </c>
      <c r="G33" cm="1">
        <f t="array" ref="G33">(PRODUCT(1+sp500_monthly!L34:L153)^(1/120)-1)</f>
        <v>8.9486696889290673E-2</v>
      </c>
      <c r="H33" cm="1">
        <f t="array" ref="H33">(PRODUCT(1+sp500_monthly!N34:N153)^(1/120)-1)*100</f>
        <v>0</v>
      </c>
      <c r="I33" cm="1">
        <f t="array" ref="I33">(PRODUCT(1+sp500_monthly!O34:O153)^(1/120)-1)*100</f>
        <v>0</v>
      </c>
    </row>
    <row r="34" spans="1:9" x14ac:dyDescent="0.35">
      <c r="A34" s="1">
        <v>14153</v>
      </c>
      <c r="B34" cm="1">
        <f t="array" ref="B34">(PRODUCT(1+sp500_monthly!B35:B154)^(1/120)-1)*100</f>
        <v>-0.14438004907268986</v>
      </c>
      <c r="C34" cm="1">
        <f t="array" ref="C34">(PRODUCT(1+sp500_monthly!C35:C154)^(1/120)-1)*100</f>
        <v>-0.53394684939502834</v>
      </c>
      <c r="D34" cm="1">
        <f t="array" ref="D34">(PRODUCT(1+sp500_monthly!D35:D154)^(1/120)-1)*100</f>
        <v>8.0215292808105687E-5</v>
      </c>
      <c r="E34" cm="1">
        <f t="array" ref="E34">(PRODUCT(1+sp500_monthly!E35:E154)^(1/120)-1)*100</f>
        <v>-0.32223694125469438</v>
      </c>
      <c r="F34" cm="1">
        <f t="array" ref="F34">(PRODUCT(1+sp500_monthly!K35:K154)^(1/120)-1)*100</f>
        <v>-0.45597194883153502</v>
      </c>
      <c r="G34" cm="1">
        <f t="array" ref="G34">(PRODUCT(1+sp500_monthly!L35:L154)^(1/120)-1)</f>
        <v>8.6968976478072335E-2</v>
      </c>
      <c r="H34" cm="1">
        <f t="array" ref="H34">(PRODUCT(1+sp500_monthly!N35:N154)^(1/120)-1)*100</f>
        <v>0</v>
      </c>
      <c r="I34" cm="1">
        <f t="array" ref="I34">(PRODUCT(1+sp500_monthly!O35:O154)^(1/120)-1)*100</f>
        <v>0</v>
      </c>
    </row>
    <row r="35" spans="1:9" x14ac:dyDescent="0.35">
      <c r="A35" s="1">
        <v>14184</v>
      </c>
      <c r="B35" cm="1">
        <f t="array" ref="B35">(PRODUCT(1+sp500_monthly!B36:B155)^(1/120)-1)*100</f>
        <v>-0.1488496163280506</v>
      </c>
      <c r="C35" cm="1">
        <f t="array" ref="C35">(PRODUCT(1+sp500_monthly!C36:C155)^(1/120)-1)*100</f>
        <v>-0.53889443955287275</v>
      </c>
      <c r="D35" cm="1">
        <f t="array" ref="D35">(PRODUCT(1+sp500_monthly!D36:D155)^(1/120)-1)*100</f>
        <v>-2.3287402011129554E-2</v>
      </c>
      <c r="E35" cm="1">
        <f t="array" ref="E35">(PRODUCT(1+sp500_monthly!E36:E155)^(1/120)-1)*100</f>
        <v>-0.34543813235017318</v>
      </c>
      <c r="F35" cm="1">
        <f t="array" ref="F35">(PRODUCT(1+sp500_monthly!K36:K155)^(1/120)-1)*100</f>
        <v>-0.46332200187040318</v>
      </c>
      <c r="G35" cm="1">
        <f t="array" ref="G35">(PRODUCT(1+sp500_monthly!L36:L155)^(1/120)-1)</f>
        <v>8.4985129776560253E-2</v>
      </c>
      <c r="H35" cm="1">
        <f t="array" ref="H35">(PRODUCT(1+sp500_monthly!N36:N155)^(1/120)-1)*100</f>
        <v>0</v>
      </c>
      <c r="I35" cm="1">
        <f t="array" ref="I35">(PRODUCT(1+sp500_monthly!O36:O155)^(1/120)-1)*100</f>
        <v>0</v>
      </c>
    </row>
    <row r="36" spans="1:9" x14ac:dyDescent="0.35">
      <c r="A36" s="1">
        <v>14214</v>
      </c>
      <c r="B36" cm="1">
        <f t="array" ref="B36">(PRODUCT(1+sp500_monthly!B37:B156)^(1/120)-1)*100</f>
        <v>-9.7035481868534834E-2</v>
      </c>
      <c r="C36" cm="1">
        <f t="array" ref="C36">(PRODUCT(1+sp500_monthly!C37:C156)^(1/120)-1)*100</f>
        <v>-0.4864065178868282</v>
      </c>
      <c r="D36" cm="1">
        <f t="array" ref="D36">(PRODUCT(1+sp500_monthly!D37:D156)^(1/120)-1)*100</f>
        <v>8.8300731017176837E-2</v>
      </c>
      <c r="E36" cm="1">
        <f t="array" ref="E36">(PRODUCT(1+sp500_monthly!E37:E156)^(1/120)-1)*100</f>
        <v>-0.23281852360216293</v>
      </c>
      <c r="F36" cm="1">
        <f t="array" ref="F36">(PRODUCT(1+sp500_monthly!K37:K156)^(1/120)-1)*100</f>
        <v>-0.41451211581382541</v>
      </c>
      <c r="G36" cm="1">
        <f t="array" ref="G36">(PRODUCT(1+sp500_monthly!L37:L156)^(1/120)-1)</f>
        <v>8.1972704823716214E-2</v>
      </c>
      <c r="H36" cm="1">
        <f t="array" ref="H36">(PRODUCT(1+sp500_monthly!N37:N156)^(1/120)-1)*100</f>
        <v>0</v>
      </c>
      <c r="I36" cm="1">
        <f t="array" ref="I36">(PRODUCT(1+sp500_monthly!O37:O156)^(1/120)-1)*100</f>
        <v>0</v>
      </c>
    </row>
    <row r="37" spans="1:9" x14ac:dyDescent="0.35">
      <c r="A37" s="1">
        <v>14245</v>
      </c>
      <c r="B37" cm="1">
        <f t="array" ref="B37">(PRODUCT(1+sp500_monthly!B38:B157)^(1/120)-1)*100</f>
        <v>-0.21563138696685247</v>
      </c>
      <c r="C37" cm="1">
        <f t="array" ref="C37">(PRODUCT(1+sp500_monthly!C38:C157)^(1/120)-1)*100</f>
        <v>-0.60551508656738751</v>
      </c>
      <c r="D37" cm="1">
        <f t="array" ref="D37">(PRODUCT(1+sp500_monthly!D38:D157)^(1/120)-1)*100</f>
        <v>-5.1299663947523833E-2</v>
      </c>
      <c r="E37" cm="1">
        <f t="array" ref="E37">(PRODUCT(1+sp500_monthly!E38:E157)^(1/120)-1)*100</f>
        <v>-0.37306195928592523</v>
      </c>
      <c r="F37" cm="1">
        <f t="array" ref="F37">(PRODUCT(1+sp500_monthly!K38:K157)^(1/120)-1)*100</f>
        <v>-0.53663060000460616</v>
      </c>
      <c r="G37" cm="1">
        <f t="array" ref="G37">(PRODUCT(1+sp500_monthly!L38:L157)^(1/120)-1)</f>
        <v>7.8516295330058439E-2</v>
      </c>
      <c r="H37" cm="1">
        <f t="array" ref="H37">(PRODUCT(1+sp500_monthly!N38:N157)^(1/120)-1)*100</f>
        <v>0</v>
      </c>
      <c r="I37" cm="1">
        <f t="array" ref="I37">(PRODUCT(1+sp500_monthly!O38:O157)^(1/120)-1)*100</f>
        <v>0</v>
      </c>
    </row>
    <row r="38" spans="1:9" x14ac:dyDescent="0.35">
      <c r="A38" s="1">
        <v>14276</v>
      </c>
      <c r="B38" cm="1">
        <f t="array" ref="B38">(PRODUCT(1+sp500_monthly!B39:B158)^(1/120)-1)*100</f>
        <v>-0.18434209595505902</v>
      </c>
      <c r="C38" cm="1">
        <f t="array" ref="C38">(PRODUCT(1+sp500_monthly!C39:C158)^(1/120)-1)*100</f>
        <v>-0.57418877113346589</v>
      </c>
      <c r="D38" cm="1">
        <f t="array" ref="D38">(PRODUCT(1+sp500_monthly!D39:D158)^(1/120)-1)*100</f>
        <v>-2.1078561478971025E-2</v>
      </c>
      <c r="E38" cm="1">
        <f t="array" ref="E38">(PRODUCT(1+sp500_monthly!E39:E158)^(1/120)-1)*100</f>
        <v>-0.34144875839003941</v>
      </c>
      <c r="F38" cm="1">
        <f t="array" ref="F38">(PRODUCT(1+sp500_monthly!K39:K158)^(1/120)-1)*100</f>
        <v>-0.50833450593722462</v>
      </c>
      <c r="G38" cm="1">
        <f t="array" ref="G38">(PRODUCT(1+sp500_monthly!L39:L158)^(1/120)-1)</f>
        <v>7.7992722732670883E-2</v>
      </c>
      <c r="H38" cm="1">
        <f t="array" ref="H38">(PRODUCT(1+sp500_monthly!N39:N158)^(1/120)-1)*100</f>
        <v>0</v>
      </c>
      <c r="I38" cm="1">
        <f t="array" ref="I38">(PRODUCT(1+sp500_monthly!O39:O158)^(1/120)-1)*100</f>
        <v>0</v>
      </c>
    </row>
    <row r="39" spans="1:9" x14ac:dyDescent="0.35">
      <c r="A39" s="1">
        <v>14304</v>
      </c>
      <c r="B39" cm="1">
        <f t="array" ref="B39">(PRODUCT(1+sp500_monthly!B40:B159)^(1/120)-1)*100</f>
        <v>-0.29001081441230037</v>
      </c>
      <c r="C39" cm="1">
        <f t="array" ref="C39">(PRODUCT(1+sp500_monthly!C40:C159)^(1/120)-1)*100</f>
        <v>-0.67892387709544977</v>
      </c>
      <c r="D39" cm="1">
        <f t="array" ref="D39">(PRODUCT(1+sp500_monthly!D40:D159)^(1/120)-1)*100</f>
        <v>-0.15274377019468544</v>
      </c>
      <c r="E39" cm="1">
        <f t="array" ref="E39">(PRODUCT(1+sp500_monthly!E40:E159)^(1/120)-1)*100</f>
        <v>-0.47211840551437678</v>
      </c>
      <c r="F39" cm="1">
        <f t="array" ref="F39">(PRODUCT(1+sp500_monthly!K40:K159)^(1/120)-1)*100</f>
        <v>-0.61348206138834849</v>
      </c>
      <c r="G39" cm="1">
        <f t="array" ref="G39">(PRODUCT(1+sp500_monthly!L40:L159)^(1/120)-1)</f>
        <v>7.5276734081731966E-2</v>
      </c>
      <c r="H39" cm="1">
        <f t="array" ref="H39">(PRODUCT(1+sp500_monthly!N40:N159)^(1/120)-1)*100</f>
        <v>0</v>
      </c>
      <c r="I39" cm="1">
        <f t="array" ref="I39">(PRODUCT(1+sp500_monthly!O40:O159)^(1/120)-1)*100</f>
        <v>0</v>
      </c>
    </row>
    <row r="40" spans="1:9" x14ac:dyDescent="0.35">
      <c r="A40" s="1">
        <v>14335</v>
      </c>
      <c r="B40" cm="1">
        <f t="array" ref="B40">(PRODUCT(1+sp500_monthly!B41:B160)^(1/120)-1)*100</f>
        <v>-0.25392120995773038</v>
      </c>
      <c r="C40" cm="1">
        <f t="array" ref="C40">(PRODUCT(1+sp500_monthly!C41:C160)^(1/120)-1)*100</f>
        <v>-0.64424834958940469</v>
      </c>
      <c r="D40" cm="1">
        <f t="array" ref="D40">(PRODUCT(1+sp500_monthly!D41:D160)^(1/120)-1)*100</f>
        <v>-0.10014883965672183</v>
      </c>
      <c r="E40" cm="1">
        <f t="array" ref="E40">(PRODUCT(1+sp500_monthly!E41:E160)^(1/120)-1)*100</f>
        <v>-0.41991406155222899</v>
      </c>
      <c r="F40" cm="1">
        <f t="array" ref="F40">(PRODUCT(1+sp500_monthly!K41:K160)^(1/120)-1)*100</f>
        <v>-0.58213105284619093</v>
      </c>
      <c r="G40" cm="1">
        <f t="array" ref="G40">(PRODUCT(1+sp500_monthly!L41:L160)^(1/120)-1)</f>
        <v>7.2613938380542864E-2</v>
      </c>
      <c r="H40" cm="1">
        <f t="array" ref="H40">(PRODUCT(1+sp500_monthly!N41:N160)^(1/120)-1)*100</f>
        <v>0</v>
      </c>
      <c r="I40" cm="1">
        <f t="array" ref="I40">(PRODUCT(1+sp500_monthly!O41:O160)^(1/120)-1)*100</f>
        <v>0</v>
      </c>
    </row>
    <row r="41" spans="1:9" x14ac:dyDescent="0.35">
      <c r="A41" s="1">
        <v>14364</v>
      </c>
      <c r="B41" cm="1">
        <f t="array" ref="B41">(PRODUCT(1+sp500_monthly!B42:B161)^(1/120)-1)*100</f>
        <v>-0.3743523887516309</v>
      </c>
      <c r="C41" cm="1">
        <f t="array" ref="C41">(PRODUCT(1+sp500_monthly!C42:C161)^(1/120)-1)*100</f>
        <v>-0.76462784561845965</v>
      </c>
      <c r="D41" cm="1">
        <f t="array" ref="D41">(PRODUCT(1+sp500_monthly!D42:D161)^(1/120)-1)*100</f>
        <v>-0.27091644523458136</v>
      </c>
      <c r="E41" cm="1">
        <f t="array" ref="E41">(PRODUCT(1+sp500_monthly!E42:E161)^(1/120)-1)*100</f>
        <v>-0.59023646900142612</v>
      </c>
      <c r="F41" cm="1">
        <f t="array" ref="F41">(PRODUCT(1+sp500_monthly!K42:K161)^(1/120)-1)*100</f>
        <v>-0.70068134245149238</v>
      </c>
      <c r="G41" cm="1">
        <f t="array" ref="G41">(PRODUCT(1+sp500_monthly!L42:L161)^(1/120)-1)</f>
        <v>6.9911501506854767E-2</v>
      </c>
      <c r="H41" cm="1">
        <f t="array" ref="H41">(PRODUCT(1+sp500_monthly!N42:N161)^(1/120)-1)*100</f>
        <v>0</v>
      </c>
      <c r="I41" cm="1">
        <f t="array" ref="I41">(PRODUCT(1+sp500_monthly!O42:O161)^(1/120)-1)*100</f>
        <v>0</v>
      </c>
    </row>
    <row r="42" spans="1:9" x14ac:dyDescent="0.35">
      <c r="A42" s="1">
        <v>14396</v>
      </c>
      <c r="B42" cm="1">
        <f t="array" ref="B42">(PRODUCT(1+sp500_monthly!B43:B162)^(1/120)-1)*100</f>
        <v>-0.39593820573592398</v>
      </c>
      <c r="C42" cm="1">
        <f t="array" ref="C42">(PRODUCT(1+sp500_monthly!C43:C162)^(1/120)-1)*100</f>
        <v>-0.78607910972283701</v>
      </c>
      <c r="D42" cm="1">
        <f t="array" ref="D42">(PRODUCT(1+sp500_monthly!D43:D162)^(1/120)-1)*100</f>
        <v>-0.27431348888258267</v>
      </c>
      <c r="E42" cm="1">
        <f t="array" ref="E42">(PRODUCT(1+sp500_monthly!E43:E162)^(1/120)-1)*100</f>
        <v>-0.5930061177999213</v>
      </c>
      <c r="F42" cm="1">
        <f t="array" ref="F42">(PRODUCT(1+sp500_monthly!K43:K162)^(1/120)-1)*100</f>
        <v>-0.7183975612018112</v>
      </c>
      <c r="G42" cm="1">
        <f t="array" ref="G42">(PRODUCT(1+sp500_monthly!L43:L162)^(1/120)-1)</f>
        <v>6.7173499089341115E-2</v>
      </c>
      <c r="H42" cm="1">
        <f t="array" ref="H42">(PRODUCT(1+sp500_monthly!N43:N162)^(1/120)-1)*100</f>
        <v>0</v>
      </c>
      <c r="I42" cm="1">
        <f t="array" ref="I42">(PRODUCT(1+sp500_monthly!O43:O162)^(1/120)-1)*100</f>
        <v>0</v>
      </c>
    </row>
    <row r="43" spans="1:9" x14ac:dyDescent="0.35">
      <c r="A43" s="1">
        <v>14426</v>
      </c>
      <c r="B43" cm="1">
        <f t="array" ref="B43">(PRODUCT(1+sp500_monthly!B44:B163)^(1/120)-1)*100</f>
        <v>-0.30508959860370277</v>
      </c>
      <c r="C43" cm="1">
        <f t="array" ref="C43">(PRODUCT(1+sp500_monthly!C44:C163)^(1/120)-1)*100</f>
        <v>-0.69614624086161703</v>
      </c>
      <c r="D43" cm="1">
        <f t="array" ref="D43">(PRODUCT(1+sp500_monthly!D44:D163)^(1/120)-1)*100</f>
        <v>-0.17780421466895291</v>
      </c>
      <c r="E43" cm="1">
        <f t="array" ref="E43">(PRODUCT(1+sp500_monthly!E44:E163)^(1/120)-1)*100</f>
        <v>-0.49621626461032742</v>
      </c>
      <c r="F43" cm="1">
        <f t="array" ref="F43">(PRODUCT(1+sp500_monthly!K44:K163)^(1/120)-1)*100</f>
        <v>-0.63219813571590011</v>
      </c>
      <c r="G43" cm="1">
        <f t="array" ref="G43">(PRODUCT(1+sp500_monthly!L44:L163)^(1/120)-1)</f>
        <v>6.4023833414026621E-2</v>
      </c>
      <c r="H43" cm="1">
        <f t="array" ref="H43">(PRODUCT(1+sp500_monthly!N44:N163)^(1/120)-1)*100</f>
        <v>0</v>
      </c>
      <c r="I43" cm="1">
        <f t="array" ref="I43">(PRODUCT(1+sp500_monthly!O44:O163)^(1/120)-1)*100</f>
        <v>0</v>
      </c>
    </row>
    <row r="44" spans="1:9" x14ac:dyDescent="0.35">
      <c r="A44" s="1">
        <v>14457</v>
      </c>
      <c r="B44" cm="1">
        <f t="array" ref="B44">(PRODUCT(1+sp500_monthly!B45:B164)^(1/120)-1)*100</f>
        <v>-0.44641266662415191</v>
      </c>
      <c r="C44" cm="1">
        <f t="array" ref="C44">(PRODUCT(1+sp500_monthly!C45:C164)^(1/120)-1)*100</f>
        <v>-0.83837504655799311</v>
      </c>
      <c r="D44" cm="1">
        <f t="array" ref="D44">(PRODUCT(1+sp500_monthly!D45:D164)^(1/120)-1)*100</f>
        <v>-0.34577978867770254</v>
      </c>
      <c r="E44" cm="1">
        <f t="array" ref="E44">(PRODUCT(1+sp500_monthly!E45:E164)^(1/120)-1)*100</f>
        <v>-0.66423036988828565</v>
      </c>
      <c r="F44" cm="1">
        <f t="array" ref="F44">(PRODUCT(1+sp500_monthly!K45:K164)^(1/120)-1)*100</f>
        <v>-0.7748591335479782</v>
      </c>
      <c r="G44" cm="1">
        <f t="array" ref="G44">(PRODUCT(1+sp500_monthly!L45:L164)^(1/120)-1)</f>
        <v>6.0405579515369068E-2</v>
      </c>
      <c r="H44" cm="1">
        <f t="array" ref="H44">(PRODUCT(1+sp500_monthly!N45:N164)^(1/120)-1)*100</f>
        <v>0</v>
      </c>
      <c r="I44" cm="1">
        <f t="array" ref="I44">(PRODUCT(1+sp500_monthly!O45:O164)^(1/120)-1)*100</f>
        <v>0</v>
      </c>
    </row>
    <row r="45" spans="1:9" x14ac:dyDescent="0.35">
      <c r="A45" s="1">
        <v>14488</v>
      </c>
      <c r="B45" cm="1">
        <f t="array" ref="B45">(PRODUCT(1+sp500_monthly!B46:B165)^(1/120)-1)*100</f>
        <v>-0.39933259983553349</v>
      </c>
      <c r="C45" cm="1">
        <f t="array" ref="C45">(PRODUCT(1+sp500_monthly!C46:C165)^(1/120)-1)*100</f>
        <v>-0.7907505539887838</v>
      </c>
      <c r="D45" cm="1">
        <f t="array" ref="D45">(PRODUCT(1+sp500_monthly!D46:D165)^(1/120)-1)*100</f>
        <v>-0.27004240279197012</v>
      </c>
      <c r="E45" cm="1">
        <f t="array" ref="E45">(PRODUCT(1+sp500_monthly!E46:E165)^(1/120)-1)*100</f>
        <v>-0.58779465683204135</v>
      </c>
      <c r="F45" cm="1">
        <f t="array" ref="F45">(PRODUCT(1+sp500_monthly!K46:K165)^(1/120)-1)*100</f>
        <v>-0.72644247638968817</v>
      </c>
      <c r="G45" cm="1">
        <f t="array" ref="G45">(PRODUCT(1+sp500_monthly!L46:L165)^(1/120)-1)</f>
        <v>5.7888527063942208E-2</v>
      </c>
      <c r="H45" cm="1">
        <f t="array" ref="H45">(PRODUCT(1+sp500_monthly!N46:N165)^(1/120)-1)*100</f>
        <v>0</v>
      </c>
      <c r="I45" cm="1">
        <f t="array" ref="I45">(PRODUCT(1+sp500_monthly!O46:O165)^(1/120)-1)*100</f>
        <v>0</v>
      </c>
    </row>
    <row r="46" spans="1:9" x14ac:dyDescent="0.35">
      <c r="A46" s="1">
        <v>14518</v>
      </c>
      <c r="B46" cm="1">
        <f t="array" ref="B46">(PRODUCT(1+sp500_monthly!B47:B166)^(1/120)-1)*100</f>
        <v>-0.53252357470697786</v>
      </c>
      <c r="C46" cm="1">
        <f t="array" ref="C46">(PRODUCT(1+sp500_monthly!C47:C166)^(1/120)-1)*100</f>
        <v>-0.92515297142028441</v>
      </c>
      <c r="D46" cm="1">
        <f t="array" ref="D46">(PRODUCT(1+sp500_monthly!D47:D166)^(1/120)-1)*100</f>
        <v>-0.42380836320878856</v>
      </c>
      <c r="E46" cm="1">
        <f t="array" ref="E46">(PRODUCT(1+sp500_monthly!E47:E166)^(1/120)-1)*100</f>
        <v>-0.74158687330282413</v>
      </c>
      <c r="F46" cm="1">
        <f t="array" ref="F46">(PRODUCT(1+sp500_monthly!K47:K166)^(1/120)-1)*100</f>
        <v>-0.86499073508393698</v>
      </c>
      <c r="G46" cm="1">
        <f t="array" ref="G46">(PRODUCT(1+sp500_monthly!L47:L166)^(1/120)-1)</f>
        <v>5.4838081436542785E-2</v>
      </c>
      <c r="H46" cm="1">
        <f t="array" ref="H46">(PRODUCT(1+sp500_monthly!N47:N166)^(1/120)-1)*100</f>
        <v>0</v>
      </c>
      <c r="I46" cm="1">
        <f t="array" ref="I46">(PRODUCT(1+sp500_monthly!O47:O166)^(1/120)-1)*100</f>
        <v>0</v>
      </c>
    </row>
    <row r="47" spans="1:9" x14ac:dyDescent="0.35">
      <c r="A47" s="1">
        <v>14549</v>
      </c>
      <c r="B47" cm="1">
        <f t="array" ref="B47">(PRODUCT(1+sp500_monthly!B48:B167)^(1/120)-1)*100</f>
        <v>-0.35100635914986356</v>
      </c>
      <c r="C47" cm="1">
        <f t="array" ref="C47">(PRODUCT(1+sp500_monthly!C48:C167)^(1/120)-1)*100</f>
        <v>-0.74503695048062646</v>
      </c>
      <c r="D47" cm="1">
        <f t="array" ref="D47">(PRODUCT(1+sp500_monthly!D48:D167)^(1/120)-1)*100</f>
        <v>-0.13335172745709833</v>
      </c>
      <c r="E47" cm="1">
        <f t="array" ref="E47">(PRODUCT(1+sp500_monthly!E48:E167)^(1/120)-1)*100</f>
        <v>-0.45128656247218624</v>
      </c>
      <c r="F47" cm="1">
        <f t="array" ref="F47">(PRODUCT(1+sp500_monthly!K48:K167)^(1/120)-1)*100</f>
        <v>-0.69757941047600136</v>
      </c>
      <c r="G47" cm="1">
        <f t="array" ref="G47">(PRODUCT(1+sp500_monthly!L48:L167)^(1/120)-1)</f>
        <v>5.22906144658144E-2</v>
      </c>
      <c r="H47" cm="1">
        <f t="array" ref="H47">(PRODUCT(1+sp500_monthly!N48:N167)^(1/120)-1)*100</f>
        <v>0</v>
      </c>
      <c r="I47" cm="1">
        <f t="array" ref="I47">(PRODUCT(1+sp500_monthly!O48:O167)^(1/120)-1)*100</f>
        <v>0</v>
      </c>
    </row>
    <row r="48" spans="1:9" x14ac:dyDescent="0.35">
      <c r="A48" s="1">
        <v>14579</v>
      </c>
      <c r="B48" cm="1">
        <f t="array" ref="B48">(PRODUCT(1+sp500_monthly!B49:B168)^(1/120)-1)*100</f>
        <v>-0.19397878769785715</v>
      </c>
      <c r="C48" cm="1">
        <f t="array" ref="C48">(PRODUCT(1+sp500_monthly!C49:C168)^(1/120)-1)*100</f>
        <v>-0.58726243374846998</v>
      </c>
      <c r="D48" cm="1">
        <f t="array" ref="D48">(PRODUCT(1+sp500_monthly!D49:D168)^(1/120)-1)*100</f>
        <v>-1.8300529014081413E-3</v>
      </c>
      <c r="E48" cm="1">
        <f t="array" ref="E48">(PRODUCT(1+sp500_monthly!E49:E168)^(1/120)-1)*100</f>
        <v>-0.31866747928995798</v>
      </c>
      <c r="F48" cm="1">
        <f t="array" ref="F48">(PRODUCT(1+sp500_monthly!K49:K168)^(1/120)-1)*100</f>
        <v>-0.52569374642227329</v>
      </c>
      <c r="G48" cm="1">
        <f t="array" ref="G48">(PRODUCT(1+sp500_monthly!L49:L168)^(1/120)-1)</f>
        <v>4.8977299129698393E-2</v>
      </c>
      <c r="H48" cm="1">
        <f t="array" ref="H48">(PRODUCT(1+sp500_monthly!N49:N168)^(1/120)-1)*100</f>
        <v>0</v>
      </c>
      <c r="I48" cm="1">
        <f t="array" ref="I48">(PRODUCT(1+sp500_monthly!O49:O168)^(1/120)-1)*100</f>
        <v>0</v>
      </c>
    </row>
    <row r="49" spans="1:9" x14ac:dyDescent="0.35">
      <c r="A49" s="1">
        <v>14609</v>
      </c>
      <c r="B49" cm="1">
        <f t="array" ref="B49">(PRODUCT(1+sp500_monthly!B50:B169)^(1/120)-1)*100</f>
        <v>-0.11696084451380262</v>
      </c>
      <c r="C49" cm="1">
        <f t="array" ref="C49">(PRODUCT(1+sp500_monthly!C50:C169)^(1/120)-1)*100</f>
        <v>-0.51499963836917351</v>
      </c>
      <c r="D49" cm="1">
        <f t="array" ref="D49">(PRODUCT(1+sp500_monthly!D50:D169)^(1/120)-1)*100</f>
        <v>2.7348484785338911E-2</v>
      </c>
      <c r="E49" cm="1">
        <f t="array" ref="E49">(PRODUCT(1+sp500_monthly!E50:E169)^(1/120)-1)*100</f>
        <v>-0.29167657052679985</v>
      </c>
      <c r="F49" cm="1">
        <f t="array" ref="F49">(PRODUCT(1+sp500_monthly!K50:K169)^(1/120)-1)*100</f>
        <v>-0.44838239199396224</v>
      </c>
      <c r="G49" cm="1">
        <f t="array" ref="G49">(PRODUCT(1+sp500_monthly!L50:L169)^(1/120)-1)</f>
        <v>4.622899469144981E-2</v>
      </c>
      <c r="H49" cm="1">
        <f t="array" ref="H49">(PRODUCT(1+sp500_monthly!N50:N169)^(1/120)-1)*100</f>
        <v>0</v>
      </c>
      <c r="I49" cm="1">
        <f t="array" ref="I49">(PRODUCT(1+sp500_monthly!O50:O169)^(1/120)-1)*100</f>
        <v>0</v>
      </c>
    </row>
    <row r="50" spans="1:9" x14ac:dyDescent="0.35">
      <c r="A50" s="1">
        <v>14641</v>
      </c>
      <c r="B50" cm="1">
        <f t="array" ref="B50">(PRODUCT(1+sp500_monthly!B51:B170)^(1/120)-1)*100</f>
        <v>-0.11661752476729292</v>
      </c>
      <c r="C50" cm="1">
        <f t="array" ref="C50">(PRODUCT(1+sp500_monthly!C51:C170)^(1/120)-1)*100</f>
        <v>-0.51534636900321118</v>
      </c>
      <c r="D50" cm="1">
        <f t="array" ref="D50">(PRODUCT(1+sp500_monthly!D51:D170)^(1/120)-1)*100</f>
        <v>3.5888868466926738E-2</v>
      </c>
      <c r="E50" cm="1">
        <f t="array" ref="E50">(PRODUCT(1+sp500_monthly!E51:E170)^(1/120)-1)*100</f>
        <v>-0.28210314146097648</v>
      </c>
      <c r="F50" cm="1">
        <f t="array" ref="F50">(PRODUCT(1+sp500_monthly!K51:K170)^(1/120)-1)*100</f>
        <v>-0.44964959011432049</v>
      </c>
      <c r="G50" cm="1">
        <f t="array" ref="G50">(PRODUCT(1+sp500_monthly!L51:L170)^(1/120)-1)</f>
        <v>4.3487890768685755E-2</v>
      </c>
      <c r="H50" cm="1">
        <f t="array" ref="H50">(PRODUCT(1+sp500_monthly!N51:N170)^(1/120)-1)*100</f>
        <v>0</v>
      </c>
      <c r="I50" cm="1">
        <f t="array" ref="I50">(PRODUCT(1+sp500_monthly!O51:O170)^(1/120)-1)*100</f>
        <v>0</v>
      </c>
    </row>
    <row r="51" spans="1:9" x14ac:dyDescent="0.35">
      <c r="A51" s="1">
        <v>14670</v>
      </c>
      <c r="B51" cm="1">
        <f t="array" ref="B51">(PRODUCT(1+sp500_monthly!B52:B171)^(1/120)-1)*100</f>
        <v>-0.19525299138205554</v>
      </c>
      <c r="C51" cm="1">
        <f t="array" ref="C51">(PRODUCT(1+sp500_monthly!C52:C171)^(1/120)-1)*100</f>
        <v>-0.59238329597017803</v>
      </c>
      <c r="D51" cm="1">
        <f t="array" ref="D51">(PRODUCT(1+sp500_monthly!D52:D171)^(1/120)-1)*100</f>
        <v>-5.4542636808596612E-2</v>
      </c>
      <c r="E51" cm="1">
        <f t="array" ref="E51">(PRODUCT(1+sp500_monthly!E52:E171)^(1/120)-1)*100</f>
        <v>-0.37085820009460368</v>
      </c>
      <c r="F51" cm="1">
        <f t="array" ref="F51">(PRODUCT(1+sp500_monthly!K52:K171)^(1/120)-1)*100</f>
        <v>-0.52963999165855924</v>
      </c>
      <c r="G51" cm="1">
        <f t="array" ref="G51">(PRODUCT(1+sp500_monthly!L52:L171)^(1/120)-1)</f>
        <v>4.2349125882015448E-2</v>
      </c>
      <c r="H51" cm="1">
        <f t="array" ref="H51">(PRODUCT(1+sp500_monthly!N52:N171)^(1/120)-1)*100</f>
        <v>0</v>
      </c>
      <c r="I51" cm="1">
        <f t="array" ref="I51">(PRODUCT(1+sp500_monthly!O52:O171)^(1/120)-1)*100</f>
        <v>0</v>
      </c>
    </row>
    <row r="52" spans="1:9" x14ac:dyDescent="0.35">
      <c r="A52" s="1">
        <v>14700</v>
      </c>
      <c r="B52" cm="1">
        <f t="array" ref="B52">(PRODUCT(1+sp500_monthly!B53:B172)^(1/120)-1)*100</f>
        <v>-0.2057770757034616</v>
      </c>
      <c r="C52" cm="1">
        <f t="array" ref="C52">(PRODUCT(1+sp500_monthly!C53:C172)^(1/120)-1)*100</f>
        <v>-0.60430703065023073</v>
      </c>
      <c r="D52" cm="1">
        <f t="array" ref="D52">(PRODUCT(1+sp500_monthly!D53:D172)^(1/120)-1)*100</f>
        <v>-7.1755936497408523E-2</v>
      </c>
      <c r="E52" cm="1">
        <f t="array" ref="E52">(PRODUCT(1+sp500_monthly!E53:E172)^(1/120)-1)*100</f>
        <v>-0.38875928728044906</v>
      </c>
      <c r="F52" cm="1">
        <f t="array" ref="F52">(PRODUCT(1+sp500_monthly!K53:K172)^(1/120)-1)*100</f>
        <v>-0.54178794230586025</v>
      </c>
      <c r="G52" cm="1">
        <f t="array" ref="G52">(PRODUCT(1+sp500_monthly!L53:L172)^(1/120)-1)</f>
        <v>4.0072655709522564E-2</v>
      </c>
      <c r="H52" cm="1">
        <f t="array" ref="H52">(PRODUCT(1+sp500_monthly!N53:N172)^(1/120)-1)*100</f>
        <v>0</v>
      </c>
      <c r="I52" cm="1">
        <f t="array" ref="I52">(PRODUCT(1+sp500_monthly!O53:O172)^(1/120)-1)*100</f>
        <v>0</v>
      </c>
    </row>
    <row r="53" spans="1:9" x14ac:dyDescent="0.35">
      <c r="A53" s="1">
        <v>14731</v>
      </c>
      <c r="B53" cm="1">
        <f t="array" ref="B53">(PRODUCT(1+sp500_monthly!B54:B173)^(1/120)-1)*100</f>
        <v>-0.25265335065570715</v>
      </c>
      <c r="C53" cm="1">
        <f t="array" ref="C53">(PRODUCT(1+sp500_monthly!C54:C173)^(1/120)-1)*100</f>
        <v>-0.65116838159027246</v>
      </c>
      <c r="D53" cm="1">
        <f t="array" ref="D53">(PRODUCT(1+sp500_monthly!D54:D173)^(1/120)-1)*100</f>
        <v>-0.10707619106502531</v>
      </c>
      <c r="E53" cm="1">
        <f t="array" ref="E53">(PRODUCT(1+sp500_monthly!E54:E173)^(1/120)-1)*100</f>
        <v>-0.42330791982290172</v>
      </c>
      <c r="F53" cm="1">
        <f t="array" ref="F53">(PRODUCT(1+sp500_monthly!K54:K173)^(1/120)-1)*100</f>
        <v>-0.5973209066091334</v>
      </c>
      <c r="G53" cm="1">
        <f t="array" ref="G53">(PRODUCT(1+sp500_monthly!L54:L173)^(1/120)-1)</f>
        <v>3.7474817323128962E-2</v>
      </c>
      <c r="H53" cm="1">
        <f t="array" ref="H53">(PRODUCT(1+sp500_monthly!N54:N173)^(1/120)-1)*100</f>
        <v>0</v>
      </c>
      <c r="I53" cm="1">
        <f t="array" ref="I53">(PRODUCT(1+sp500_monthly!O54:O173)^(1/120)-1)*100</f>
        <v>0</v>
      </c>
    </row>
    <row r="54" spans="1:9" x14ac:dyDescent="0.35">
      <c r="A54" s="1">
        <v>14762</v>
      </c>
      <c r="B54" cm="1">
        <f t="array" ref="B54">(PRODUCT(1+sp500_monthly!B55:B174)^(1/120)-1)*100</f>
        <v>-0.24471647953734355</v>
      </c>
      <c r="C54" cm="1">
        <f t="array" ref="C54">(PRODUCT(1+sp500_monthly!C55:C174)^(1/120)-1)*100</f>
        <v>-0.64310114853859401</v>
      </c>
      <c r="D54" cm="1">
        <f t="array" ref="D54">(PRODUCT(1+sp500_monthly!D55:D174)^(1/120)-1)*100</f>
        <v>-7.6713300506281445E-2</v>
      </c>
      <c r="E54" cm="1">
        <f t="array" ref="E54">(PRODUCT(1+sp500_monthly!E55:E174)^(1/120)-1)*100</f>
        <v>-0.39226857146926752</v>
      </c>
      <c r="F54" cm="1">
        <f t="array" ref="F54">(PRODUCT(1+sp500_monthly!K55:K174)^(1/120)-1)*100</f>
        <v>-0.59344178199346453</v>
      </c>
      <c r="G54" cm="1">
        <f t="array" ref="G54">(PRODUCT(1+sp500_monthly!L55:L174)^(1/120)-1)</f>
        <v>3.5828093725725374E-2</v>
      </c>
      <c r="H54" cm="1">
        <f t="array" ref="H54">(PRODUCT(1+sp500_monthly!N55:N174)^(1/120)-1)*100</f>
        <v>0</v>
      </c>
      <c r="I54" cm="1">
        <f t="array" ref="I54">(PRODUCT(1+sp500_monthly!O55:O174)^(1/120)-1)*100</f>
        <v>0</v>
      </c>
    </row>
    <row r="55" spans="1:9" x14ac:dyDescent="0.35">
      <c r="A55" s="1">
        <v>14791</v>
      </c>
      <c r="B55" cm="1">
        <f t="array" ref="B55">(PRODUCT(1+sp500_monthly!B56:B175)^(1/120)-1)*100</f>
        <v>-0.45404754544441372</v>
      </c>
      <c r="C55" cm="1">
        <f t="array" ref="C55">(PRODUCT(1+sp500_monthly!C56:C175)^(1/120)-1)*100</f>
        <v>-0.85707177744619445</v>
      </c>
      <c r="D55" cm="1">
        <f t="array" ref="D55">(PRODUCT(1+sp500_monthly!D56:D175)^(1/120)-1)*100</f>
        <v>-0.34026707137283507</v>
      </c>
      <c r="E55" cm="1">
        <f t="array" ref="E55">(PRODUCT(1+sp500_monthly!E56:E175)^(1/120)-1)*100</f>
        <v>-0.65711242888579768</v>
      </c>
      <c r="F55" cm="1">
        <f t="array" ref="F55">(PRODUCT(1+sp500_monthly!K56:K175)^(1/120)-1)*100</f>
        <v>-0.80629981014046503</v>
      </c>
      <c r="G55" cm="1">
        <f t="array" ref="G55">(PRODUCT(1+sp500_monthly!L56:L175)^(1/120)-1)</f>
        <v>3.3661042521499596E-2</v>
      </c>
      <c r="H55" cm="1">
        <f t="array" ref="H55">(PRODUCT(1+sp500_monthly!N56:N175)^(1/120)-1)*100</f>
        <v>0</v>
      </c>
      <c r="I55" cm="1">
        <f t="array" ref="I55">(PRODUCT(1+sp500_monthly!O56:O175)^(1/120)-1)*100</f>
        <v>0</v>
      </c>
    </row>
    <row r="56" spans="1:9" x14ac:dyDescent="0.35">
      <c r="A56" s="1">
        <v>14823</v>
      </c>
      <c r="B56" cm="1">
        <f t="array" ref="B56">(PRODUCT(1+sp500_monthly!B57:B176)^(1/120)-1)*100</f>
        <v>-0.24724826822611901</v>
      </c>
      <c r="C56" cm="1">
        <f t="array" ref="C56">(PRODUCT(1+sp500_monthly!C57:C176)^(1/120)-1)*100</f>
        <v>-0.65140117059342417</v>
      </c>
      <c r="D56" cm="1">
        <f t="array" ref="D56">(PRODUCT(1+sp500_monthly!D57:D176)^(1/120)-1)*100</f>
        <v>-0.1012029298348871</v>
      </c>
      <c r="E56" cm="1">
        <f t="array" ref="E56">(PRODUCT(1+sp500_monthly!E57:E176)^(1/120)-1)*100</f>
        <v>-0.41716628673127421</v>
      </c>
      <c r="F56" cm="1">
        <f t="array" ref="F56">(PRODUCT(1+sp500_monthly!K57:K176)^(1/120)-1)*100</f>
        <v>-0.59645482030348251</v>
      </c>
      <c r="G56" cm="1">
        <f t="array" ref="G56">(PRODUCT(1+sp500_monthly!L57:L176)^(1/120)-1)</f>
        <v>3.160423776006982E-2</v>
      </c>
      <c r="H56" cm="1">
        <f t="array" ref="H56">(PRODUCT(1+sp500_monthly!N57:N176)^(1/120)-1)*100</f>
        <v>0</v>
      </c>
      <c r="I56" cm="1">
        <f t="array" ref="I56">(PRODUCT(1+sp500_monthly!O57:O176)^(1/120)-1)*100</f>
        <v>0</v>
      </c>
    </row>
    <row r="57" spans="1:9" x14ac:dyDescent="0.35">
      <c r="A57" s="1">
        <v>14854</v>
      </c>
      <c r="B57" cm="1">
        <f t="array" ref="B57">(PRODUCT(1+sp500_monthly!B58:B177)^(1/120)-1)*100</f>
        <v>-0.2517604283605035</v>
      </c>
      <c r="C57" cm="1">
        <f t="array" ref="C57">(PRODUCT(1+sp500_monthly!C58:C177)^(1/120)-1)*100</f>
        <v>-0.65498843060922685</v>
      </c>
      <c r="D57" cm="1">
        <f t="array" ref="D57">(PRODUCT(1+sp500_monthly!D58:D177)^(1/120)-1)*100</f>
        <v>-0.10686427614605698</v>
      </c>
      <c r="E57" cm="1">
        <f t="array" ref="E57">(PRODUCT(1+sp500_monthly!E58:E177)^(1/120)-1)*100</f>
        <v>-0.42101022584042358</v>
      </c>
      <c r="F57" cm="1">
        <f t="array" ref="F57">(PRODUCT(1+sp500_monthly!K58:K177)^(1/120)-1)*100</f>
        <v>-0.60093763165152136</v>
      </c>
      <c r="G57" cm="1">
        <f t="array" ref="G57">(PRODUCT(1+sp500_monthly!L58:L177)^(1/120)-1)</f>
        <v>3.0123477457060011E-2</v>
      </c>
      <c r="H57" cm="1">
        <f t="array" ref="H57">(PRODUCT(1+sp500_monthly!N58:N177)^(1/120)-1)*100</f>
        <v>0</v>
      </c>
      <c r="I57" cm="1">
        <f t="array" ref="I57">(PRODUCT(1+sp500_monthly!O58:O177)^(1/120)-1)*100</f>
        <v>0</v>
      </c>
    </row>
    <row r="58" spans="1:9" x14ac:dyDescent="0.35">
      <c r="A58" s="1">
        <v>14884</v>
      </c>
      <c r="B58" cm="1">
        <f t="array" ref="B58">(PRODUCT(1+sp500_monthly!B59:B178)^(1/120)-1)*100</f>
        <v>-0.23213710859911751</v>
      </c>
      <c r="C58" cm="1">
        <f t="array" ref="C58">(PRODUCT(1+sp500_monthly!C59:C178)^(1/120)-1)*100</f>
        <v>-0.63874928319825885</v>
      </c>
      <c r="D58" cm="1">
        <f t="array" ref="D58">(PRODUCT(1+sp500_monthly!D59:D178)^(1/120)-1)*100</f>
        <v>-8.6203371185555877E-2</v>
      </c>
      <c r="E58" cm="1">
        <f t="array" ref="E58">(PRODUCT(1+sp500_monthly!E59:E178)^(1/120)-1)*100</f>
        <v>-0.40156751527723467</v>
      </c>
      <c r="F58" cm="1">
        <f t="array" ref="F58">(PRODUCT(1+sp500_monthly!K59:K178)^(1/120)-1)*100</f>
        <v>-0.5857077195866256</v>
      </c>
      <c r="G58" cm="1">
        <f t="array" ref="G58">(PRODUCT(1+sp500_monthly!L59:L178)^(1/120)-1)</f>
        <v>2.9297752283842682E-2</v>
      </c>
      <c r="H58" cm="1">
        <f t="array" ref="H58">(PRODUCT(1+sp500_monthly!N59:N178)^(1/120)-1)*100</f>
        <v>0</v>
      </c>
      <c r="I58" cm="1">
        <f t="array" ref="I58">(PRODUCT(1+sp500_monthly!O59:O178)^(1/120)-1)*100</f>
        <v>0</v>
      </c>
    </row>
    <row r="59" spans="1:9" x14ac:dyDescent="0.35">
      <c r="A59" s="1">
        <v>14915</v>
      </c>
      <c r="B59" cm="1">
        <f t="array" ref="B59">(PRODUCT(1+sp500_monthly!B60:B179)^(1/120)-1)*100</f>
        <v>-0.11068290698504901</v>
      </c>
      <c r="C59" cm="1">
        <f t="array" ref="C59">(PRODUCT(1+sp500_monthly!C60:C179)^(1/120)-1)*100</f>
        <v>-0.51729479649981203</v>
      </c>
      <c r="D59" cm="1">
        <f t="array" ref="D59">(PRODUCT(1+sp500_monthly!D60:D179)^(1/120)-1)*100</f>
        <v>3.8877632918943306E-2</v>
      </c>
      <c r="E59" cm="1">
        <f t="array" ref="E59">(PRODUCT(1+sp500_monthly!E60:E179)^(1/120)-1)*100</f>
        <v>-0.27530798711659088</v>
      </c>
      <c r="F59" cm="1">
        <f t="array" ref="F59">(PRODUCT(1+sp500_monthly!K60:K179)^(1/120)-1)*100</f>
        <v>-0.46236598654256778</v>
      </c>
      <c r="G59" cm="1">
        <f t="array" ref="G59">(PRODUCT(1+sp500_monthly!L60:L179)^(1/120)-1)</f>
        <v>2.7593525186859091E-2</v>
      </c>
      <c r="H59" cm="1">
        <f t="array" ref="H59">(PRODUCT(1+sp500_monthly!N60:N179)^(1/120)-1)*100</f>
        <v>0</v>
      </c>
      <c r="I59" cm="1">
        <f t="array" ref="I59">(PRODUCT(1+sp500_monthly!O60:O179)^(1/120)-1)*100</f>
        <v>0</v>
      </c>
    </row>
    <row r="60" spans="1:9" x14ac:dyDescent="0.35">
      <c r="A60" s="1">
        <v>14945</v>
      </c>
      <c r="B60" cm="1">
        <f t="array" ref="B60">(PRODUCT(1+sp500_monthly!B61:B180)^(1/120)-1)*100</f>
        <v>-4.0600511050259414E-3</v>
      </c>
      <c r="C60" cm="1">
        <f t="array" ref="C60">(PRODUCT(1+sp500_monthly!C61:C180)^(1/120)-1)*100</f>
        <v>-0.40967124015759415</v>
      </c>
      <c r="D60" cm="1">
        <f t="array" ref="D60">(PRODUCT(1+sp500_monthly!D61:D180)^(1/120)-1)*100</f>
        <v>0.15968079490731313</v>
      </c>
      <c r="E60" cm="1">
        <f t="array" ref="E60">(PRODUCT(1+sp500_monthly!E61:E180)^(1/120)-1)*100</f>
        <v>-0.15313330132631364</v>
      </c>
      <c r="F60" cm="1">
        <f t="array" ref="F60">(PRODUCT(1+sp500_monthly!K61:K180)^(1/120)-1)*100</f>
        <v>-0.35315538782068057</v>
      </c>
      <c r="G60" cm="1">
        <f t="array" ref="G60">(PRODUCT(1+sp500_monthly!L61:L180)^(1/120)-1)</f>
        <v>2.6855826417875539E-2</v>
      </c>
      <c r="H60" cm="1">
        <f t="array" ref="H60">(PRODUCT(1+sp500_monthly!N61:N180)^(1/120)-1)*100</f>
        <v>0</v>
      </c>
      <c r="I60" cm="1">
        <f t="array" ref="I60">(PRODUCT(1+sp500_monthly!O61:O180)^(1/120)-1)*100</f>
        <v>0</v>
      </c>
    </row>
    <row r="61" spans="1:9" x14ac:dyDescent="0.35">
      <c r="A61" s="1">
        <v>14976</v>
      </c>
      <c r="B61" cm="1">
        <f t="array" ref="B61">(PRODUCT(1+sp500_monthly!B62:B181)^(1/120)-1)*100</f>
        <v>-1.2342226551120827E-2</v>
      </c>
      <c r="C61" cm="1">
        <f t="array" ref="C61">(PRODUCT(1+sp500_monthly!C62:C181)^(1/120)-1)*100</f>
        <v>-0.42588677313138978</v>
      </c>
      <c r="D61" cm="1">
        <f t="array" ref="D61">(PRODUCT(1+sp500_monthly!D62:D181)^(1/120)-1)*100</f>
        <v>0.12921045377256579</v>
      </c>
      <c r="E61" cm="1">
        <f t="array" ref="E61">(PRODUCT(1+sp500_monthly!E62:E181)^(1/120)-1)*100</f>
        <v>-0.18827776766091597</v>
      </c>
      <c r="F61" cm="1">
        <f t="array" ref="F61">(PRODUCT(1+sp500_monthly!K62:K181)^(1/120)-1)*100</f>
        <v>-0.37080866924964484</v>
      </c>
      <c r="G61" cm="1">
        <f t="array" ref="G61">(PRODUCT(1+sp500_monthly!L62:L181)^(1/120)-1)</f>
        <v>2.581052641483339E-2</v>
      </c>
      <c r="H61" cm="1">
        <f t="array" ref="H61">(PRODUCT(1+sp500_monthly!N62:N181)^(1/120)-1)*100</f>
        <v>0</v>
      </c>
      <c r="I61" cm="1">
        <f t="array" ref="I61">(PRODUCT(1+sp500_monthly!O62:O181)^(1/120)-1)*100</f>
        <v>0</v>
      </c>
    </row>
    <row r="62" spans="1:9" x14ac:dyDescent="0.35">
      <c r="A62" s="1">
        <v>15007</v>
      </c>
      <c r="B62" cm="1">
        <f t="array" ref="B62">(PRODUCT(1+sp500_monthly!B63:B182)^(1/120)-1)*100</f>
        <v>5.1907984264620843E-2</v>
      </c>
      <c r="C62" cm="1">
        <f t="array" ref="C62">(PRODUCT(1+sp500_monthly!C63:C182)^(1/120)-1)*100</f>
        <v>-0.36081108309627963</v>
      </c>
      <c r="D62" cm="1">
        <f t="array" ref="D62">(PRODUCT(1+sp500_monthly!D63:D182)^(1/120)-1)*100</f>
        <v>0.19877882363110722</v>
      </c>
      <c r="E62" cm="1">
        <f t="array" ref="E62">(PRODUCT(1+sp500_monthly!E63:E182)^(1/120)-1)*100</f>
        <v>-0.11654791465676162</v>
      </c>
      <c r="F62" cm="1">
        <f t="array" ref="F62">(PRODUCT(1+sp500_monthly!K63:K182)^(1/120)-1)*100</f>
        <v>-0.3091037156361609</v>
      </c>
      <c r="G62" cm="1">
        <f t="array" ref="G62">(PRODUCT(1+sp500_monthly!L63:L182)^(1/120)-1)</f>
        <v>2.4691052946868686E-2</v>
      </c>
      <c r="H62" cm="1">
        <f t="array" ref="H62">(PRODUCT(1+sp500_monthly!N63:N182)^(1/120)-1)*100</f>
        <v>0</v>
      </c>
      <c r="I62" cm="1">
        <f t="array" ref="I62">(PRODUCT(1+sp500_monthly!O63:O182)^(1/120)-1)*100</f>
        <v>0</v>
      </c>
    </row>
    <row r="63" spans="1:9" x14ac:dyDescent="0.35">
      <c r="A63" s="1">
        <v>15035</v>
      </c>
      <c r="B63" cm="1">
        <f t="array" ref="B63">(PRODUCT(1+sp500_monthly!B64:B183)^(1/120)-1)*100</f>
        <v>-3.5139175837772818E-2</v>
      </c>
      <c r="C63" cm="1">
        <f t="array" ref="C63">(PRODUCT(1+sp500_monthly!C64:C183)^(1/120)-1)*100</f>
        <v>-0.44642921414544956</v>
      </c>
      <c r="D63" cm="1">
        <f t="array" ref="D63">(PRODUCT(1+sp500_monthly!D64:D183)^(1/120)-1)*100</f>
        <v>0.10467097384883051</v>
      </c>
      <c r="E63" cm="1">
        <f t="array" ref="E63">(PRODUCT(1+sp500_monthly!E64:E183)^(1/120)-1)*100</f>
        <v>-0.20860098589481346</v>
      </c>
      <c r="F63" cm="1">
        <f t="array" ref="F63">(PRODUCT(1+sp500_monthly!K64:K183)^(1/120)-1)*100</f>
        <v>-0.38976994674448928</v>
      </c>
      <c r="G63" cm="1">
        <f t="array" ref="G63">(PRODUCT(1+sp500_monthly!L64:L183)^(1/120)-1)</f>
        <v>2.3412590309399572E-2</v>
      </c>
      <c r="H63" cm="1">
        <f t="array" ref="H63">(PRODUCT(1+sp500_monthly!N64:N183)^(1/120)-1)*100</f>
        <v>0</v>
      </c>
      <c r="I63" cm="1">
        <f t="array" ref="I63">(PRODUCT(1+sp500_monthly!O64:O183)^(1/120)-1)*100</f>
        <v>0</v>
      </c>
    </row>
    <row r="64" spans="1:9" x14ac:dyDescent="0.35">
      <c r="A64" s="1">
        <v>15066</v>
      </c>
      <c r="B64" cm="1">
        <f t="array" ref="B64">(PRODUCT(1+sp500_monthly!B65:B184)^(1/120)-1)*100</f>
        <v>-0.12668954979584424</v>
      </c>
      <c r="C64" cm="1">
        <f t="array" ref="C64">(PRODUCT(1+sp500_monthly!C65:C184)^(1/120)-1)*100</f>
        <v>-0.53992205690750472</v>
      </c>
      <c r="D64" cm="1">
        <f t="array" ref="D64">(PRODUCT(1+sp500_monthly!D65:D184)^(1/120)-1)*100</f>
        <v>5.8854497853921828E-3</v>
      </c>
      <c r="E64" cm="1">
        <f t="array" ref="E64">(PRODUCT(1+sp500_monthly!E65:E184)^(1/120)-1)*100</f>
        <v>-0.30871790436348689</v>
      </c>
      <c r="F64" cm="1">
        <f t="array" ref="F64">(PRODUCT(1+sp500_monthly!K65:K184)^(1/120)-1)*100</f>
        <v>-0.49205496686364203</v>
      </c>
      <c r="G64" cm="1">
        <f t="array" ref="G64">(PRODUCT(1+sp500_monthly!L65:L184)^(1/120)-1)</f>
        <v>2.2992471464941655E-2</v>
      </c>
      <c r="H64" cm="1">
        <f t="array" ref="H64">(PRODUCT(1+sp500_monthly!N65:N184)^(1/120)-1)*100</f>
        <v>0</v>
      </c>
      <c r="I64" cm="1">
        <f t="array" ref="I64">(PRODUCT(1+sp500_monthly!O65:O184)^(1/120)-1)*100</f>
        <v>0</v>
      </c>
    </row>
    <row r="65" spans="1:9" x14ac:dyDescent="0.35">
      <c r="A65" s="1">
        <v>15096</v>
      </c>
      <c r="B65" cm="1">
        <f t="array" ref="B65">(PRODUCT(1+sp500_monthly!B66:B185)^(1/120)-1)*100</f>
        <v>-5.9865810489867499E-2</v>
      </c>
      <c r="C65" cm="1">
        <f t="array" ref="C65">(PRODUCT(1+sp500_monthly!C66:C185)^(1/120)-1)*100</f>
        <v>-0.47321779638623829</v>
      </c>
      <c r="D65" cm="1">
        <f t="array" ref="D65">(PRODUCT(1+sp500_monthly!D66:D185)^(1/120)-1)*100</f>
        <v>8.677630577218487E-2</v>
      </c>
      <c r="E65" cm="1">
        <f t="array" ref="E65">(PRODUCT(1+sp500_monthly!E66:E185)^(1/120)-1)*100</f>
        <v>-0.22627659156663205</v>
      </c>
      <c r="F65" cm="1">
        <f t="array" ref="F65">(PRODUCT(1+sp500_monthly!K66:K185)^(1/120)-1)*100</f>
        <v>-0.42927084780586267</v>
      </c>
      <c r="G65" cm="1">
        <f t="array" ref="G65">(PRODUCT(1+sp500_monthly!L66:L185)^(1/120)-1)</f>
        <v>2.203584731971775E-2</v>
      </c>
      <c r="H65" cm="1">
        <f t="array" ref="H65">(PRODUCT(1+sp500_monthly!N66:N185)^(1/120)-1)*100</f>
        <v>0</v>
      </c>
      <c r="I65" cm="1">
        <f t="array" ref="I65">(PRODUCT(1+sp500_monthly!O66:O185)^(1/120)-1)*100</f>
        <v>0</v>
      </c>
    </row>
    <row r="66" spans="1:9" x14ac:dyDescent="0.35">
      <c r="A66" s="1">
        <v>15127</v>
      </c>
      <c r="B66" cm="1">
        <f t="array" ref="B66">(PRODUCT(1+sp500_monthly!B67:B186)^(1/120)-1)*100</f>
        <v>-3.2048745538193479E-2</v>
      </c>
      <c r="C66" cm="1">
        <f t="array" ref="C66">(PRODUCT(1+sp500_monthly!C67:C186)^(1/120)-1)*100</f>
        <v>-0.44438195291388594</v>
      </c>
      <c r="D66" cm="1">
        <f t="array" ref="D66">(PRODUCT(1+sp500_monthly!D67:D186)^(1/120)-1)*100</f>
        <v>0.14261441717153822</v>
      </c>
      <c r="E66" cm="1">
        <f t="array" ref="E66">(PRODUCT(1+sp500_monthly!E67:E186)^(1/120)-1)*100</f>
        <v>-0.16800092804994948</v>
      </c>
      <c r="F66" cm="1">
        <f t="array" ref="F66">(PRODUCT(1+sp500_monthly!K67:K186)^(1/120)-1)*100</f>
        <v>-0.40164463004220829</v>
      </c>
      <c r="G66" cm="1">
        <f t="array" ref="G66">(PRODUCT(1+sp500_monthly!L67:L186)^(1/120)-1)</f>
        <v>2.1295043042109052E-2</v>
      </c>
      <c r="H66" cm="1">
        <f t="array" ref="H66">(PRODUCT(1+sp500_monthly!N67:N186)^(1/120)-1)*100</f>
        <v>0</v>
      </c>
      <c r="I66" cm="1">
        <f t="array" ref="I66">(PRODUCT(1+sp500_monthly!O67:O186)^(1/120)-1)*100</f>
        <v>0</v>
      </c>
    </row>
    <row r="67" spans="1:9" x14ac:dyDescent="0.35">
      <c r="A67" s="1">
        <v>15157</v>
      </c>
      <c r="B67" cm="1">
        <f t="array" ref="B67">(PRODUCT(1+sp500_monthly!B68:B187)^(1/120)-1)*100</f>
        <v>0.10234823871084764</v>
      </c>
      <c r="C67" cm="1">
        <f t="array" ref="C67">(PRODUCT(1+sp500_monthly!C68:C187)^(1/120)-1)*100</f>
        <v>-0.31447806691320412</v>
      </c>
      <c r="D67" cm="1">
        <f t="array" ref="D67">(PRODUCT(1+sp500_monthly!D68:D187)^(1/120)-1)*100</f>
        <v>0.27600759298200828</v>
      </c>
      <c r="E67" cm="1">
        <f t="array" ref="E67">(PRODUCT(1+sp500_monthly!E68:E187)^(1/120)-1)*100</f>
        <v>-3.6745961385997727E-2</v>
      </c>
      <c r="F67" cm="1">
        <f t="array" ref="F67">(PRODUCT(1+sp500_monthly!K68:K187)^(1/120)-1)*100</f>
        <v>-0.27554597333838693</v>
      </c>
      <c r="G67" cm="1">
        <f t="array" ref="G67">(PRODUCT(1+sp500_monthly!L68:L187)^(1/120)-1)</f>
        <v>2.0561865888346631E-2</v>
      </c>
      <c r="H67" cm="1">
        <f t="array" ref="H67">(PRODUCT(1+sp500_monthly!N68:N187)^(1/120)-1)*100</f>
        <v>0</v>
      </c>
      <c r="I67" cm="1">
        <f t="array" ref="I67">(PRODUCT(1+sp500_monthly!O68:O187)^(1/120)-1)*100</f>
        <v>0</v>
      </c>
    </row>
    <row r="68" spans="1:9" x14ac:dyDescent="0.35">
      <c r="A68" s="1">
        <v>15188</v>
      </c>
      <c r="B68" cm="1">
        <f t="array" ref="B68">(PRODUCT(1+sp500_monthly!B69:B188)^(1/120)-1)*100</f>
        <v>3.6033649516720168E-2</v>
      </c>
      <c r="C68" cm="1">
        <f t="array" ref="C68">(PRODUCT(1+sp500_monthly!C69:C188)^(1/120)-1)*100</f>
        <v>-0.38063513032794427</v>
      </c>
      <c r="D68" cm="1">
        <f t="array" ref="D68">(PRODUCT(1+sp500_monthly!D69:D188)^(1/120)-1)*100</f>
        <v>0.17912526655221583</v>
      </c>
      <c r="E68" cm="1">
        <f t="array" ref="E68">(PRODUCT(1+sp500_monthly!E69:E188)^(1/120)-1)*100</f>
        <v>-0.13270432890889472</v>
      </c>
      <c r="F68" cm="1">
        <f t="array" ref="F68">(PRODUCT(1+sp500_monthly!K69:K188)^(1/120)-1)*100</f>
        <v>-0.3404043038784943</v>
      </c>
      <c r="G68" cm="1">
        <f t="array" ref="G68">(PRODUCT(1+sp500_monthly!L69:L188)^(1/120)-1)</f>
        <v>1.9907546534164267E-2</v>
      </c>
      <c r="H68" cm="1">
        <f t="array" ref="H68">(PRODUCT(1+sp500_monthly!N69:N188)^(1/120)-1)*100</f>
        <v>0</v>
      </c>
      <c r="I68" cm="1">
        <f t="array" ref="I68">(PRODUCT(1+sp500_monthly!O69:O188)^(1/120)-1)*100</f>
        <v>0</v>
      </c>
    </row>
    <row r="69" spans="1:9" x14ac:dyDescent="0.35">
      <c r="A69" s="1">
        <v>15218</v>
      </c>
      <c r="B69" cm="1">
        <f t="array" ref="B69">(PRODUCT(1+sp500_monthly!B70:B189)^(1/120)-1)*100</f>
        <v>0.14780240941911771</v>
      </c>
      <c r="C69" cm="1">
        <f t="array" ref="C69">(PRODUCT(1+sp500_monthly!C70:C189)^(1/120)-1)*100</f>
        <v>-0.26770592242441049</v>
      </c>
      <c r="D69" cm="1">
        <f t="array" ref="D69">(PRODUCT(1+sp500_monthly!D70:D189)^(1/120)-1)*100</f>
        <v>0.35120098111405262</v>
      </c>
      <c r="E69" cm="1">
        <f t="array" ref="E69">(PRODUCT(1+sp500_monthly!E70:E189)^(1/120)-1)*100</f>
        <v>4.1622676698893635E-2</v>
      </c>
      <c r="F69" cm="1">
        <f t="array" ref="F69">(PRODUCT(1+sp500_monthly!K70:K189)^(1/120)-1)*100</f>
        <v>-0.23201459387716117</v>
      </c>
      <c r="G69" cm="1">
        <f t="array" ref="G69">(PRODUCT(1+sp500_monthly!L70:L189)^(1/120)-1)</f>
        <v>1.9663561941665186E-2</v>
      </c>
      <c r="H69" cm="1">
        <f t="array" ref="H69">(PRODUCT(1+sp500_monthly!N70:N189)^(1/120)-1)*100</f>
        <v>0</v>
      </c>
      <c r="I69" cm="1">
        <f t="array" ref="I69">(PRODUCT(1+sp500_monthly!O70:O189)^(1/120)-1)*100</f>
        <v>0</v>
      </c>
    </row>
    <row r="70" spans="1:9" x14ac:dyDescent="0.35">
      <c r="A70" s="1">
        <v>15249</v>
      </c>
      <c r="B70" cm="1">
        <f t="array" ref="B70">(PRODUCT(1+sp500_monthly!B71:B190)^(1/120)-1)*100</f>
        <v>0.14040633383758383</v>
      </c>
      <c r="C70" cm="1">
        <f t="array" ref="C70">(PRODUCT(1+sp500_monthly!C71:C190)^(1/120)-1)*100</f>
        <v>-0.27774933517846767</v>
      </c>
      <c r="D70" cm="1">
        <f t="array" ref="D70">(PRODUCT(1+sp500_monthly!D71:D190)^(1/120)-1)*100</f>
        <v>0.3519795371414558</v>
      </c>
      <c r="E70" cm="1">
        <f t="array" ref="E70">(PRODUCT(1+sp500_monthly!E71:E190)^(1/120)-1)*100</f>
        <v>4.0622282154578748E-2</v>
      </c>
      <c r="F70" cm="1">
        <f t="array" ref="F70">(PRODUCT(1+sp500_monthly!K71:K190)^(1/120)-1)*100</f>
        <v>-0.24708107623899744</v>
      </c>
      <c r="G70" cm="1">
        <f t="array" ref="G70">(PRODUCT(1+sp500_monthly!L71:L190)^(1/120)-1)</f>
        <v>1.9496958522361663E-2</v>
      </c>
      <c r="H70" cm="1">
        <f t="array" ref="H70">(PRODUCT(1+sp500_monthly!N71:N190)^(1/120)-1)*100</f>
        <v>0</v>
      </c>
      <c r="I70" cm="1">
        <f t="array" ref="I70">(PRODUCT(1+sp500_monthly!O71:O190)^(1/120)-1)*100</f>
        <v>0</v>
      </c>
    </row>
    <row r="71" spans="1:9" x14ac:dyDescent="0.35">
      <c r="A71" s="1">
        <v>15280</v>
      </c>
      <c r="B71" cm="1">
        <f t="array" ref="B71">(PRODUCT(1+sp500_monthly!B72:B191)^(1/120)-1)*100</f>
        <v>0.41746221206249157</v>
      </c>
      <c r="C71" cm="1">
        <f t="array" ref="C71">(PRODUCT(1+sp500_monthly!C72:C191)^(1/120)-1)*100</f>
        <v>-5.7454765671760555E-4</v>
      </c>
      <c r="D71" cm="1">
        <f t="array" ref="D71">(PRODUCT(1+sp500_monthly!D72:D191)^(1/120)-1)*100</f>
        <v>0.64185107817567033</v>
      </c>
      <c r="E71" cm="1">
        <f t="array" ref="E71">(PRODUCT(1+sp500_monthly!E72:E191)^(1/120)-1)*100</f>
        <v>0.33104245858719406</v>
      </c>
      <c r="F71" cm="1">
        <f t="array" ref="F71">(PRODUCT(1+sp500_monthly!K72:K191)^(1/120)-1)*100</f>
        <v>4.1033723022176893E-2</v>
      </c>
      <c r="G71" cm="1">
        <f t="array" ref="G71">(PRODUCT(1+sp500_monthly!L72:L191)^(1/120)-1)</f>
        <v>1.9330382324487028E-2</v>
      </c>
      <c r="H71" cm="1">
        <f t="array" ref="H71">(PRODUCT(1+sp500_monthly!N72:N191)^(1/120)-1)*100</f>
        <v>0</v>
      </c>
      <c r="I71" cm="1">
        <f t="array" ref="I71">(PRODUCT(1+sp500_monthly!O72:O191)^(1/120)-1)*100</f>
        <v>0</v>
      </c>
    </row>
    <row r="72" spans="1:9" x14ac:dyDescent="0.35">
      <c r="A72" s="1">
        <v>15309</v>
      </c>
      <c r="B72" cm="1">
        <f t="array" ref="B72">(PRODUCT(1+sp500_monthly!B73:B192)^(1/120)-1)*100</f>
        <v>0.29977562722349749</v>
      </c>
      <c r="C72" cm="1">
        <f t="array" ref="C72">(PRODUCT(1+sp500_monthly!C73:C192)^(1/120)-1)*100</f>
        <v>-0.11595261166522652</v>
      </c>
      <c r="D72" cm="1">
        <f t="array" ref="D72">(PRODUCT(1+sp500_monthly!D73:D192)^(1/120)-1)*100</f>
        <v>0.52002977895544422</v>
      </c>
      <c r="E72" cm="1">
        <f t="array" ref="E72">(PRODUCT(1+sp500_monthly!E73:E192)^(1/120)-1)*100</f>
        <v>0.21247314162466946</v>
      </c>
      <c r="F72" cm="1">
        <f t="array" ref="F72">(PRODUCT(1+sp500_monthly!K73:K192)^(1/120)-1)*100</f>
        <v>-8.5744130012543884E-2</v>
      </c>
      <c r="G72" cm="1">
        <f t="array" ref="G72">(PRODUCT(1+sp500_monthly!L73:L192)^(1/120)-1)</f>
        <v>1.8521099070754721E-2</v>
      </c>
      <c r="H72" cm="1">
        <f t="array" ref="H72">(PRODUCT(1+sp500_monthly!N73:N192)^(1/120)-1)*100</f>
        <v>0</v>
      </c>
      <c r="I72" cm="1">
        <f t="array" ref="I72">(PRODUCT(1+sp500_monthly!O73:O192)^(1/120)-1)*100</f>
        <v>0</v>
      </c>
    </row>
    <row r="73" spans="1:9" x14ac:dyDescent="0.35">
      <c r="A73" s="1">
        <v>15341</v>
      </c>
      <c r="B73" cm="1">
        <f t="array" ref="B73">(PRODUCT(1+sp500_monthly!B74:B193)^(1/120)-1)*100</f>
        <v>0.36761739750892364</v>
      </c>
      <c r="C73" cm="1">
        <f t="array" ref="C73">(PRODUCT(1+sp500_monthly!C74:C193)^(1/120)-1)*100</f>
        <v>-5.5307757936506885E-2</v>
      </c>
      <c r="D73" cm="1">
        <f t="array" ref="D73">(PRODUCT(1+sp500_monthly!D74:D193)^(1/120)-1)*100</f>
        <v>0.58661547446041684</v>
      </c>
      <c r="E73" cm="1">
        <f t="array" ref="E73">(PRODUCT(1+sp500_monthly!E74:E193)^(1/120)-1)*100</f>
        <v>0.27191365764902553</v>
      </c>
      <c r="F73" cm="1">
        <f t="array" ref="F73">(PRODUCT(1+sp500_monthly!K74:K193)^(1/120)-1)*100</f>
        <v>-3.5841421551097152E-2</v>
      </c>
      <c r="G73" cm="1">
        <f t="array" ref="G73">(PRODUCT(1+sp500_monthly!L74:L193)^(1/120)-1)</f>
        <v>1.7189373528688767E-2</v>
      </c>
      <c r="H73" cm="1">
        <f t="array" ref="H73">(PRODUCT(1+sp500_monthly!N74:N193)^(1/120)-1)*100</f>
        <v>0</v>
      </c>
      <c r="I73" cm="1">
        <f t="array" ref="I73">(PRODUCT(1+sp500_monthly!O74:O193)^(1/120)-1)*100</f>
        <v>0</v>
      </c>
    </row>
    <row r="74" spans="1:9" x14ac:dyDescent="0.35">
      <c r="A74" s="1">
        <v>15372</v>
      </c>
      <c r="B74" cm="1">
        <f t="array" ref="B74">(PRODUCT(1+sp500_monthly!B75:B194)^(1/120)-1)*100</f>
        <v>0.45829757804689564</v>
      </c>
      <c r="C74" cm="1">
        <f t="array" ref="C74">(PRODUCT(1+sp500_monthly!C75:C194)^(1/120)-1)*100</f>
        <v>3.6265452428763112E-2</v>
      </c>
      <c r="D74" cm="1">
        <f t="array" ref="D74">(PRODUCT(1+sp500_monthly!D75:D194)^(1/120)-1)*100</f>
        <v>0.70894206880525168</v>
      </c>
      <c r="E74" cm="1">
        <f t="array" ref="E74">(PRODUCT(1+sp500_monthly!E75:E194)^(1/120)-1)*100</f>
        <v>0.39404455286693452</v>
      </c>
      <c r="F74" cm="1">
        <f t="array" ref="F74">(PRODUCT(1+sp500_monthly!K75:K194)^(1/120)-1)*100</f>
        <v>5.6551411428440446E-2</v>
      </c>
      <c r="G74" cm="1">
        <f t="array" ref="G74">(PRODUCT(1+sp500_monthly!L75:L194)^(1/120)-1)</f>
        <v>1.631345618155855E-2</v>
      </c>
      <c r="H74" cm="1">
        <f t="array" ref="H74">(PRODUCT(1+sp500_monthly!N75:N194)^(1/120)-1)*100</f>
        <v>0</v>
      </c>
      <c r="I74" cm="1">
        <f t="array" ref="I74">(PRODUCT(1+sp500_monthly!O75:O194)^(1/120)-1)*100</f>
        <v>0</v>
      </c>
    </row>
    <row r="75" spans="1:9" x14ac:dyDescent="0.35">
      <c r="A75" s="1">
        <v>15400</v>
      </c>
      <c r="B75" cm="1">
        <f t="array" ref="B75">(PRODUCT(1+sp500_monthly!B76:B195)^(1/120)-1)*100</f>
        <v>0.49263803128181127</v>
      </c>
      <c r="C75" cm="1">
        <f t="array" ref="C75">(PRODUCT(1+sp500_monthly!C76:C195)^(1/120)-1)*100</f>
        <v>7.1051589217940858E-2</v>
      </c>
      <c r="D75" cm="1">
        <f t="array" ref="D75">(PRODUCT(1+sp500_monthly!D76:D195)^(1/120)-1)*100</f>
        <v>0.73231802699573745</v>
      </c>
      <c r="E75" cm="1">
        <f t="array" ref="E75">(PRODUCT(1+sp500_monthly!E76:E195)^(1/120)-1)*100</f>
        <v>0.41938563156531661</v>
      </c>
      <c r="F75" cm="1">
        <f t="array" ref="F75">(PRODUCT(1+sp500_monthly!K76:K195)^(1/120)-1)*100</f>
        <v>9.1951357407471512E-2</v>
      </c>
      <c r="G75" cm="1">
        <f t="array" ref="G75">(PRODUCT(1+sp500_monthly!L76:L195)^(1/120)-1)</f>
        <v>1.4729145596539706E-2</v>
      </c>
      <c r="H75" cm="1">
        <f t="array" ref="H75">(PRODUCT(1+sp500_monthly!N76:N195)^(1/120)-1)*100</f>
        <v>0</v>
      </c>
      <c r="I75" cm="1">
        <f t="array" ref="I75">(PRODUCT(1+sp500_monthly!O76:O195)^(1/120)-1)*100</f>
        <v>0</v>
      </c>
    </row>
    <row r="76" spans="1:9" x14ac:dyDescent="0.35">
      <c r="A76" s="1">
        <v>15431</v>
      </c>
      <c r="B76" cm="1">
        <f t="array" ref="B76">(PRODUCT(1+sp500_monthly!B77:B196)^(1/120)-1)*100</f>
        <v>0.4340349201156668</v>
      </c>
      <c r="C76" cm="1">
        <f t="array" ref="C76">(PRODUCT(1+sp500_monthly!C77:C196)^(1/120)-1)*100</f>
        <v>1.3368483893794192E-2</v>
      </c>
      <c r="D76" cm="1">
        <f t="array" ref="D76">(PRODUCT(1+sp500_monthly!D77:D196)^(1/120)-1)*100</f>
        <v>0.69252856500434667</v>
      </c>
      <c r="E76" cm="1">
        <f t="array" ref="E76">(PRODUCT(1+sp500_monthly!E77:E196)^(1/120)-1)*100</f>
        <v>0.3787385453715153</v>
      </c>
      <c r="F76" cm="1">
        <f t="array" ref="F76">(PRODUCT(1+sp500_monthly!K77:K196)^(1/120)-1)*100</f>
        <v>2.962779294370943E-2</v>
      </c>
      <c r="G76" cm="1">
        <f t="array" ref="G76">(PRODUCT(1+sp500_monthly!L77:L196)^(1/120)-1)</f>
        <v>1.3064126279462629E-2</v>
      </c>
      <c r="H76" cm="1">
        <f t="array" ref="H76">(PRODUCT(1+sp500_monthly!N77:N196)^(1/120)-1)*100</f>
        <v>0</v>
      </c>
      <c r="I76" cm="1">
        <f t="array" ref="I76">(PRODUCT(1+sp500_monthly!O77:O196)^(1/120)-1)*100</f>
        <v>0</v>
      </c>
    </row>
    <row r="77" spans="1:9" x14ac:dyDescent="0.35">
      <c r="A77" s="1">
        <v>15461</v>
      </c>
      <c r="B77" cm="1">
        <f t="array" ref="B77">(PRODUCT(1+sp500_monthly!B78:B197)^(1/120)-1)*100</f>
        <v>0.4845823948514294</v>
      </c>
      <c r="C77" cm="1">
        <f t="array" ref="C77">(PRODUCT(1+sp500_monthly!C78:C197)^(1/120)-1)*100</f>
        <v>6.4712741241312877E-2</v>
      </c>
      <c r="D77" cm="1">
        <f t="array" ref="D77">(PRODUCT(1+sp500_monthly!D78:D197)^(1/120)-1)*100</f>
        <v>0.77732483410863917</v>
      </c>
      <c r="E77" cm="1">
        <f t="array" ref="E77">(PRODUCT(1+sp500_monthly!E78:E197)^(1/120)-1)*100</f>
        <v>0.46271078926389819</v>
      </c>
      <c r="F77" cm="1">
        <f t="array" ref="F77">(PRODUCT(1+sp500_monthly!K78:K197)^(1/120)-1)*100</f>
        <v>7.6235317010264758E-2</v>
      </c>
      <c r="G77" cm="1">
        <f t="array" ref="G77">(PRODUCT(1+sp500_monthly!L78:L197)^(1/120)-1)</f>
        <v>1.1895811646579713E-2</v>
      </c>
      <c r="H77" cm="1">
        <f t="array" ref="H77">(PRODUCT(1+sp500_monthly!N78:N197)^(1/120)-1)*100</f>
        <v>0</v>
      </c>
      <c r="I77" cm="1">
        <f t="array" ref="I77">(PRODUCT(1+sp500_monthly!O78:O197)^(1/120)-1)*100</f>
        <v>0</v>
      </c>
    </row>
    <row r="78" spans="1:9" x14ac:dyDescent="0.35">
      <c r="A78" s="1">
        <v>15490</v>
      </c>
      <c r="B78" cm="1">
        <f t="array" ref="B78">(PRODUCT(1+sp500_monthly!B79:B198)^(1/120)-1)*100</f>
        <v>0.64469463057490461</v>
      </c>
      <c r="C78" cm="1">
        <f t="array" ref="C78">(PRODUCT(1+sp500_monthly!C79:C198)^(1/120)-1)*100</f>
        <v>0.2245912652447446</v>
      </c>
      <c r="D78" cm="1">
        <f t="array" ref="D78">(PRODUCT(1+sp500_monthly!D79:D198)^(1/120)-1)*100</f>
        <v>0.92543099086523917</v>
      </c>
      <c r="E78" cm="1">
        <f t="array" ref="E78">(PRODUCT(1+sp500_monthly!E79:E198)^(1/120)-1)*100</f>
        <v>0.60947468855712117</v>
      </c>
      <c r="F78" cm="1">
        <f t="array" ref="F78">(PRODUCT(1+sp500_monthly!K79:K198)^(1/120)-1)*100</f>
        <v>0.22775475516192412</v>
      </c>
      <c r="G78" cm="1">
        <f t="array" ref="G78">(PRODUCT(1+sp500_monthly!L79:L198)^(1/120)-1)</f>
        <v>1.1100018362637964E-2</v>
      </c>
      <c r="H78" cm="1">
        <f t="array" ref="H78">(PRODUCT(1+sp500_monthly!N79:N198)^(1/120)-1)*100</f>
        <v>0</v>
      </c>
      <c r="I78" cm="1">
        <f t="array" ref="I78">(PRODUCT(1+sp500_monthly!O79:O198)^(1/120)-1)*100</f>
        <v>0</v>
      </c>
    </row>
    <row r="79" spans="1:9" x14ac:dyDescent="0.35">
      <c r="A79" s="1">
        <v>15522</v>
      </c>
      <c r="B79" cm="1">
        <f t="array" ref="B79">(PRODUCT(1+sp500_monthly!B80:B199)^(1/120)-1)*100</f>
        <v>0.92361555555626751</v>
      </c>
      <c r="C79" cm="1">
        <f t="array" ref="C79">(PRODUCT(1+sp500_monthly!C80:C199)^(1/120)-1)*100</f>
        <v>0.50308389719595503</v>
      </c>
      <c r="D79" cm="1">
        <f t="array" ref="D79">(PRODUCT(1+sp500_monthly!D80:D199)^(1/120)-1)*100</f>
        <v>1.2569012883369757</v>
      </c>
      <c r="E79" cm="1">
        <f t="array" ref="E79">(PRODUCT(1+sp500_monthly!E80:E199)^(1/120)-1)*100</f>
        <v>0.93976835171627471</v>
      </c>
      <c r="F79" cm="1">
        <f t="array" ref="F79">(PRODUCT(1+sp500_monthly!K80:K199)^(1/120)-1)*100</f>
        <v>0.50177937188311539</v>
      </c>
      <c r="G79" cm="1">
        <f t="array" ref="G79">(PRODUCT(1+sp500_monthly!L80:L199)^(1/120)-1)</f>
        <v>1.0858140726969667E-2</v>
      </c>
      <c r="H79" cm="1">
        <f t="array" ref="H79">(PRODUCT(1+sp500_monthly!N80:N199)^(1/120)-1)*100</f>
        <v>0</v>
      </c>
      <c r="I79" cm="1">
        <f t="array" ref="I79">(PRODUCT(1+sp500_monthly!O80:O199)^(1/120)-1)*100</f>
        <v>0</v>
      </c>
    </row>
    <row r="80" spans="1:9" x14ac:dyDescent="0.35">
      <c r="A80" s="1">
        <v>15553</v>
      </c>
      <c r="B80" cm="1">
        <f t="array" ref="B80">(PRODUCT(1+sp500_monthly!B81:B200)^(1/120)-1)*100</f>
        <v>0.94086398270800675</v>
      </c>
      <c r="C80" cm="1">
        <f t="array" ref="C80">(PRODUCT(1+sp500_monthly!C81:C200)^(1/120)-1)*100</f>
        <v>0.52265189367923792</v>
      </c>
      <c r="D80" cm="1">
        <f t="array" ref="D80">(PRODUCT(1+sp500_monthly!D81:D200)^(1/120)-1)*100</f>
        <v>1.2429809419562066</v>
      </c>
      <c r="E80" cm="1">
        <f t="array" ref="E80">(PRODUCT(1+sp500_monthly!E81:E200)^(1/120)-1)*100</f>
        <v>0.92688975167962706</v>
      </c>
      <c r="F80" cm="1">
        <f t="array" ref="F80">(PRODUCT(1+sp500_monthly!K81:K200)^(1/120)-1)*100</f>
        <v>0.52458494230473995</v>
      </c>
      <c r="G80" cm="1">
        <f t="array" ref="G80">(PRODUCT(1+sp500_monthly!L81:L200)^(1/120)-1)</f>
        <v>1.0858140726969667E-2</v>
      </c>
      <c r="H80" cm="1">
        <f t="array" ref="H80">(PRODUCT(1+sp500_monthly!N81:N200)^(1/120)-1)*100</f>
        <v>0</v>
      </c>
      <c r="I80" cm="1">
        <f t="array" ref="I80">(PRODUCT(1+sp500_monthly!O81:O200)^(1/120)-1)*100</f>
        <v>0</v>
      </c>
    </row>
    <row r="81" spans="1:9" x14ac:dyDescent="0.35">
      <c r="A81" s="1">
        <v>15584</v>
      </c>
      <c r="B81" cm="1">
        <f t="array" ref="B81">(PRODUCT(1+sp500_monthly!B82:B201)^(1/120)-1)*100</f>
        <v>0.69283104686777008</v>
      </c>
      <c r="C81" cm="1">
        <f t="array" ref="C81">(PRODUCT(1+sp500_monthly!C82:C201)^(1/120)-1)*100</f>
        <v>0.27536118460786962</v>
      </c>
      <c r="D81" cm="1">
        <f t="array" ref="D81">(PRODUCT(1+sp500_monthly!D82:D201)^(1/120)-1)*100</f>
        <v>0.9162764257073075</v>
      </c>
      <c r="E81" cm="1">
        <f t="array" ref="E81">(PRODUCT(1+sp500_monthly!E82:E201)^(1/120)-1)*100</f>
        <v>0.60077067668311557</v>
      </c>
      <c r="F81" cm="1">
        <f t="array" ref="F81">(PRODUCT(1+sp500_monthly!K82:K201)^(1/120)-1)*100</f>
        <v>0.28274218511965543</v>
      </c>
      <c r="G81" cm="1">
        <f t="array" ref="G81">(PRODUCT(1+sp500_monthly!L82:L201)^(1/120)-1)</f>
        <v>1.0858140726969667E-2</v>
      </c>
      <c r="H81" cm="1">
        <f t="array" ref="H81">(PRODUCT(1+sp500_monthly!N82:N201)^(1/120)-1)*100</f>
        <v>0</v>
      </c>
      <c r="I81" cm="1">
        <f t="array" ref="I81">(PRODUCT(1+sp500_monthly!O82:O201)^(1/120)-1)*100</f>
        <v>0</v>
      </c>
    </row>
    <row r="82" spans="1:9" x14ac:dyDescent="0.35">
      <c r="A82" s="1">
        <v>15614</v>
      </c>
      <c r="B82" cm="1">
        <f t="array" ref="B82">(PRODUCT(1+sp500_monthly!B83:B202)^(1/120)-1)*100</f>
        <v>0.422452351699798</v>
      </c>
      <c r="C82" cm="1">
        <f t="array" ref="C82">(PRODUCT(1+sp500_monthly!C83:C202)^(1/120)-1)*100</f>
        <v>4.3227129202128012E-3</v>
      </c>
      <c r="D82" cm="1">
        <f t="array" ref="D82">(PRODUCT(1+sp500_monthly!D83:D202)^(1/120)-1)*100</f>
        <v>0.49076441312807528</v>
      </c>
      <c r="E82" cm="1">
        <f t="array" ref="E82">(PRODUCT(1+sp500_monthly!E83:E202)^(1/120)-1)*100</f>
        <v>0.17384238264763763</v>
      </c>
      <c r="F82" cm="1">
        <f t="array" ref="F82">(PRODUCT(1+sp500_monthly!K83:K202)^(1/120)-1)*100</f>
        <v>2.253966325729273E-2</v>
      </c>
      <c r="G82" cm="1">
        <f t="array" ref="G82">(PRODUCT(1+sp500_monthly!L83:L202)^(1/120)-1)</f>
        <v>1.0858140726969667E-2</v>
      </c>
      <c r="H82" cm="1">
        <f t="array" ref="H82">(PRODUCT(1+sp500_monthly!N83:N202)^(1/120)-1)*100</f>
        <v>0</v>
      </c>
      <c r="I82" cm="1">
        <f t="array" ref="I82">(PRODUCT(1+sp500_monthly!O83:O202)^(1/120)-1)*100</f>
        <v>0</v>
      </c>
    </row>
    <row r="83" spans="1:9" x14ac:dyDescent="0.35">
      <c r="A83" s="1">
        <v>15645</v>
      </c>
      <c r="B83" cm="1">
        <f t="array" ref="B83">(PRODUCT(1+sp500_monthly!B84:B203)^(1/120)-1)*100</f>
        <v>0.4742705773077116</v>
      </c>
      <c r="C83" cm="1">
        <f t="array" ref="C83">(PRODUCT(1+sp500_monthly!C84:C203)^(1/120)-1)*100</f>
        <v>5.6012202421817925E-2</v>
      </c>
      <c r="D83" cm="1">
        <f t="array" ref="D83">(PRODUCT(1+sp500_monthly!D84:D203)^(1/120)-1)*100</f>
        <v>0.58962764283880809</v>
      </c>
      <c r="E83" cm="1">
        <f t="array" ref="E83">(PRODUCT(1+sp500_monthly!E84:E203)^(1/120)-1)*100</f>
        <v>0.27083500674436323</v>
      </c>
      <c r="F83" cm="1">
        <f t="array" ref="F83">(PRODUCT(1+sp500_monthly!K84:K203)^(1/120)-1)*100</f>
        <v>7.5883527411346741E-2</v>
      </c>
      <c r="G83" cm="1">
        <f t="array" ref="G83">(PRODUCT(1+sp500_monthly!L84:L203)^(1/120)-1)</f>
        <v>1.0858140726969667E-2</v>
      </c>
      <c r="H83" cm="1">
        <f t="array" ref="H83">(PRODUCT(1+sp500_monthly!N84:N203)^(1/120)-1)*100</f>
        <v>0</v>
      </c>
      <c r="I83" cm="1">
        <f t="array" ref="I83">(PRODUCT(1+sp500_monthly!O84:O203)^(1/120)-1)*100</f>
        <v>0</v>
      </c>
    </row>
    <row r="84" spans="1:9" x14ac:dyDescent="0.35">
      <c r="A84" s="1">
        <v>15675</v>
      </c>
      <c r="B84" cm="1">
        <f t="array" ref="B84">(PRODUCT(1+sp500_monthly!B85:B204)^(1/120)-1)*100</f>
        <v>0.65771530343261553</v>
      </c>
      <c r="C84" cm="1">
        <f t="array" ref="C84">(PRODUCT(1+sp500_monthly!C85:C204)^(1/120)-1)*100</f>
        <v>0.23865581185542606</v>
      </c>
      <c r="D84" cm="1">
        <f t="array" ref="D84">(PRODUCT(1+sp500_monthly!D85:D204)^(1/120)-1)*100</f>
        <v>0.85177261312285868</v>
      </c>
      <c r="E84" cm="1">
        <f t="array" ref="E84">(PRODUCT(1+sp500_monthly!E85:E204)^(1/120)-1)*100</f>
        <v>0.53212587142941192</v>
      </c>
      <c r="F84" cm="1">
        <f t="array" ref="F84">(PRODUCT(1+sp500_monthly!K85:K204)^(1/120)-1)*100</f>
        <v>0.25253173908068582</v>
      </c>
      <c r="G84" cm="1">
        <f t="array" ref="G84">(PRODUCT(1+sp500_monthly!L85:L204)^(1/120)-1)</f>
        <v>1.0940328308458591E-2</v>
      </c>
      <c r="H84" cm="1">
        <f t="array" ref="H84">(PRODUCT(1+sp500_monthly!N85:N204)^(1/120)-1)*100</f>
        <v>0</v>
      </c>
      <c r="I84" cm="1">
        <f t="array" ref="I84">(PRODUCT(1+sp500_monthly!O85:O204)^(1/120)-1)*100</f>
        <v>0</v>
      </c>
    </row>
    <row r="85" spans="1:9" x14ac:dyDescent="0.35">
      <c r="A85" s="1">
        <v>15706</v>
      </c>
      <c r="B85" cm="1">
        <f t="array" ref="B85">(PRODUCT(1+sp500_monthly!B86:B205)^(1/120)-1)*100</f>
        <v>0.69902669139136897</v>
      </c>
      <c r="C85" cm="1">
        <f t="array" ref="C85">(PRODUCT(1+sp500_monthly!C86:C205)^(1/120)-1)*100</f>
        <v>0.2749265745100038</v>
      </c>
      <c r="D85" cm="1">
        <f t="array" ref="D85">(PRODUCT(1+sp500_monthly!D86:D205)^(1/120)-1)*100</f>
        <v>0.9077006510401997</v>
      </c>
      <c r="E85" cm="1">
        <f t="array" ref="E85">(PRODUCT(1+sp500_monthly!E86:E205)^(1/120)-1)*100</f>
        <v>0.58039563582978904</v>
      </c>
      <c r="F85" cm="1">
        <f t="array" ref="F85">(PRODUCT(1+sp500_monthly!K86:K205)^(1/120)-1)*100</f>
        <v>0.29165312160321921</v>
      </c>
      <c r="G85" cm="1">
        <f t="array" ref="G85">(PRODUCT(1+sp500_monthly!L86:L205)^(1/120)-1)</f>
        <v>1.1022522572189164E-2</v>
      </c>
      <c r="H85" cm="1">
        <f t="array" ref="H85">(PRODUCT(1+sp500_monthly!N86:N205)^(1/120)-1)*100</f>
        <v>0</v>
      </c>
      <c r="I85" cm="1">
        <f t="array" ref="I85">(PRODUCT(1+sp500_monthly!O86:O205)^(1/120)-1)*100</f>
        <v>0</v>
      </c>
    </row>
    <row r="86" spans="1:9" x14ac:dyDescent="0.35">
      <c r="A86" s="1">
        <v>15736</v>
      </c>
      <c r="B86" cm="1">
        <f t="array" ref="B86">(PRODUCT(1+sp500_monthly!B87:B206)^(1/120)-1)*100</f>
        <v>0.69583342240664425</v>
      </c>
      <c r="C86" cm="1">
        <f t="array" ref="C86">(PRODUCT(1+sp500_monthly!C87:C206)^(1/120)-1)*100</f>
        <v>0.27230559805915266</v>
      </c>
      <c r="D86" cm="1">
        <f t="array" ref="D86">(PRODUCT(1+sp500_monthly!D87:D206)^(1/120)-1)*100</f>
        <v>0.92886185571650071</v>
      </c>
      <c r="E86" cm="1">
        <f t="array" ref="E86">(PRODUCT(1+sp500_monthly!E87:E206)^(1/120)-1)*100</f>
        <v>0.59771697370858412</v>
      </c>
      <c r="F86" cm="1">
        <f t="array" ref="F86">(PRODUCT(1+sp500_monthly!K87:K206)^(1/120)-1)*100</f>
        <v>0.2914624148102174</v>
      </c>
      <c r="G86" cm="1">
        <f t="array" ref="G86">(PRODUCT(1+sp500_monthly!L87:L206)^(1/120)-1)</f>
        <v>1.1187741122225425E-2</v>
      </c>
      <c r="H86" cm="1">
        <f t="array" ref="H86">(PRODUCT(1+sp500_monthly!N87:N206)^(1/120)-1)*100</f>
        <v>0</v>
      </c>
      <c r="I86" cm="1">
        <f t="array" ref="I86">(PRODUCT(1+sp500_monthly!O87:O206)^(1/120)-1)*100</f>
        <v>0</v>
      </c>
    </row>
    <row r="87" spans="1:9" x14ac:dyDescent="0.35">
      <c r="A87" s="1">
        <v>15764</v>
      </c>
      <c r="B87" cm="1">
        <f t="array" ref="B87">(PRODUCT(1+sp500_monthly!B88:B207)^(1/120)-1)*100</f>
        <v>0.74291055590252064</v>
      </c>
      <c r="C87" cm="1">
        <f t="array" ref="C87">(PRODUCT(1+sp500_monthly!C88:C207)^(1/120)-1)*100</f>
        <v>0.31923907765527559</v>
      </c>
      <c r="D87" cm="1">
        <f t="array" ref="D87">(PRODUCT(1+sp500_monthly!D88:D207)^(1/120)-1)*100</f>
        <v>0.98463151919341296</v>
      </c>
      <c r="E87" cm="1">
        <f t="array" ref="E87">(PRODUCT(1+sp500_monthly!E88:E207)^(1/120)-1)*100</f>
        <v>0.65327150108578369</v>
      </c>
      <c r="F87" cm="1">
        <f t="array" ref="F87">(PRODUCT(1+sp500_monthly!K88:K207)^(1/120)-1)*100</f>
        <v>0.34326534387192353</v>
      </c>
      <c r="G87" cm="1">
        <f t="array" ref="G87">(PRODUCT(1+sp500_monthly!L88:L207)^(1/120)-1)</f>
        <v>1.1352986671827603E-2</v>
      </c>
      <c r="H87" cm="1">
        <f t="array" ref="H87">(PRODUCT(1+sp500_monthly!N88:N207)^(1/120)-1)*100</f>
        <v>0</v>
      </c>
      <c r="I87" cm="1">
        <f t="array" ref="I87">(PRODUCT(1+sp500_monthly!O88:O207)^(1/120)-1)*100</f>
        <v>0</v>
      </c>
    </row>
    <row r="88" spans="1:9" x14ac:dyDescent="0.35">
      <c r="A88" s="1">
        <v>15796</v>
      </c>
      <c r="B88" cm="1">
        <f t="array" ref="B88">(PRODUCT(1+sp500_monthly!B89:B208)^(1/120)-1)*100</f>
        <v>0.957021428977467</v>
      </c>
      <c r="C88" cm="1">
        <f t="array" ref="C88">(PRODUCT(1+sp500_monthly!C89:C208)^(1/120)-1)*100</f>
        <v>0.53446495762221602</v>
      </c>
      <c r="D88" cm="1">
        <f t="array" ref="D88">(PRODUCT(1+sp500_monthly!D89:D208)^(1/120)-1)*100</f>
        <v>1.2642769511658658</v>
      </c>
      <c r="E88" cm="1">
        <f t="array" ref="E88">(PRODUCT(1+sp500_monthly!E89:E208)^(1/120)-1)*100</f>
        <v>0.93163406596648013</v>
      </c>
      <c r="F88" cm="1">
        <f t="array" ref="F88">(PRODUCT(1+sp500_monthly!K89:K208)^(1/120)-1)*100</f>
        <v>0.55526280983604348</v>
      </c>
      <c r="G88" cm="1">
        <f t="array" ref="G88">(PRODUCT(1+sp500_monthly!L89:L208)^(1/120)-1)</f>
        <v>1.1858941466202477E-2</v>
      </c>
      <c r="H88" cm="1">
        <f t="array" ref="H88">(PRODUCT(1+sp500_monthly!N89:N208)^(1/120)-1)*100</f>
        <v>0</v>
      </c>
      <c r="I88" cm="1">
        <f t="array" ref="I88">(PRODUCT(1+sp500_monthly!O89:O208)^(1/120)-1)*100</f>
        <v>0</v>
      </c>
    </row>
    <row r="89" spans="1:9" x14ac:dyDescent="0.35">
      <c r="A89" s="1">
        <v>15826</v>
      </c>
      <c r="B89" cm="1">
        <f t="array" ref="B89">(PRODUCT(1+sp500_monthly!B90:B209)^(1/120)-1)*100</f>
        <v>0.97368646502642431</v>
      </c>
      <c r="C89" cm="1">
        <f t="array" ref="C89">(PRODUCT(1+sp500_monthly!C90:C209)^(1/120)-1)*100</f>
        <v>0.55260617076722252</v>
      </c>
      <c r="D89" cm="1">
        <f t="array" ref="D89">(PRODUCT(1+sp500_monthly!D90:D209)^(1/120)-1)*100</f>
        <v>1.2698731567575949</v>
      </c>
      <c r="E89" cm="1">
        <f t="array" ref="E89">(PRODUCT(1+sp500_monthly!E90:E209)^(1/120)-1)*100</f>
        <v>0.9364091626864024</v>
      </c>
      <c r="F89" cm="1">
        <f t="array" ref="F89">(PRODUCT(1+sp500_monthly!K90:K209)^(1/120)-1)*100</f>
        <v>0.57065403674863013</v>
      </c>
      <c r="G89" cm="1">
        <f t="array" ref="G89">(PRODUCT(1+sp500_monthly!L90:L209)^(1/120)-1)</f>
        <v>1.1777473988063614E-2</v>
      </c>
      <c r="H89" cm="1">
        <f t="array" ref="H89">(PRODUCT(1+sp500_monthly!N90:N209)^(1/120)-1)*100</f>
        <v>0</v>
      </c>
      <c r="I89" cm="1">
        <f t="array" ref="I89">(PRODUCT(1+sp500_monthly!O90:O209)^(1/120)-1)*100</f>
        <v>0</v>
      </c>
    </row>
    <row r="90" spans="1:9" x14ac:dyDescent="0.35">
      <c r="A90" s="1">
        <v>15855</v>
      </c>
      <c r="B90" cm="1">
        <f t="array" ref="B90">(PRODUCT(1+sp500_monthly!B91:B210)^(1/120)-1)*100</f>
        <v>0.68543040147934775</v>
      </c>
      <c r="C90" cm="1">
        <f t="array" ref="C90">(PRODUCT(1+sp500_monthly!C91:C210)^(1/120)-1)*100</f>
        <v>0.26570066208166931</v>
      </c>
      <c r="D90" cm="1">
        <f t="array" ref="D90">(PRODUCT(1+sp500_monthly!D91:D210)^(1/120)-1)*100</f>
        <v>0.93983273434714576</v>
      </c>
      <c r="E90" cm="1">
        <f t="array" ref="E90">(PRODUCT(1+sp500_monthly!E91:E210)^(1/120)-1)*100</f>
        <v>0.60722099101291338</v>
      </c>
      <c r="F90" cm="1">
        <f t="array" ref="F90">(PRODUCT(1+sp500_monthly!K91:K210)^(1/120)-1)*100</f>
        <v>0.27661651201447146</v>
      </c>
      <c r="G90" cm="1">
        <f t="array" ref="G90">(PRODUCT(1+sp500_monthly!L91:L210)^(1/120)-1)</f>
        <v>1.1223244485054407E-2</v>
      </c>
      <c r="H90" cm="1">
        <f t="array" ref="H90">(PRODUCT(1+sp500_monthly!N91:N210)^(1/120)-1)*100</f>
        <v>0</v>
      </c>
      <c r="I90" cm="1">
        <f t="array" ref="I90">(PRODUCT(1+sp500_monthly!O91:O210)^(1/120)-1)*100</f>
        <v>0</v>
      </c>
    </row>
    <row r="91" spans="1:9" x14ac:dyDescent="0.35">
      <c r="A91" s="1">
        <v>15887</v>
      </c>
      <c r="B91" cm="1">
        <f t="array" ref="B91">(PRODUCT(1+sp500_monthly!B92:B211)^(1/120)-1)*100</f>
        <v>0.59338296711304306</v>
      </c>
      <c r="C91" cm="1">
        <f t="array" ref="C91">(PRODUCT(1+sp500_monthly!C92:C211)^(1/120)-1)*100</f>
        <v>0.17173992651084991</v>
      </c>
      <c r="D91" cm="1">
        <f t="array" ref="D91">(PRODUCT(1+sp500_monthly!D92:D211)^(1/120)-1)*100</f>
        <v>0.76714238033390725</v>
      </c>
      <c r="E91" cm="1">
        <f t="array" ref="E91">(PRODUCT(1+sp500_monthly!E92:E211)^(1/120)-1)*100</f>
        <v>0.43251952494050006</v>
      </c>
      <c r="F91" cm="1">
        <f t="array" ref="F91">(PRODUCT(1+sp500_monthly!K92:K211)^(1/120)-1)*100</f>
        <v>0.19027347408646644</v>
      </c>
      <c r="G91" cm="1">
        <f t="array" ref="G91">(PRODUCT(1+sp500_monthly!L92:L211)^(1/120)-1)</f>
        <v>1.1141828188585112E-2</v>
      </c>
      <c r="H91" cm="1">
        <f t="array" ref="H91">(PRODUCT(1+sp500_monthly!N92:N211)^(1/120)-1)*100</f>
        <v>0</v>
      </c>
      <c r="I91" cm="1">
        <f t="array" ref="I91">(PRODUCT(1+sp500_monthly!O92:O211)^(1/120)-1)*100</f>
        <v>0</v>
      </c>
    </row>
    <row r="92" spans="1:9" x14ac:dyDescent="0.35">
      <c r="A92" s="1">
        <v>15918</v>
      </c>
      <c r="B92" cm="1">
        <f t="array" ref="B92">(PRODUCT(1+sp500_monthly!B93:B212)^(1/120)-1)*100</f>
        <v>0.50341396425332974</v>
      </c>
      <c r="C92" cm="1">
        <f t="array" ref="C92">(PRODUCT(1+sp500_monthly!C93:C212)^(1/120)-1)*100</f>
        <v>8.1001093130428359E-2</v>
      </c>
      <c r="D92" cm="1">
        <f t="array" ref="D92">(PRODUCT(1+sp500_monthly!D93:D212)^(1/120)-1)*100</f>
        <v>0.62029960459173417</v>
      </c>
      <c r="E92" cm="1">
        <f t="array" ref="E92">(PRODUCT(1+sp500_monthly!E93:E212)^(1/120)-1)*100</f>
        <v>0.28389557936832066</v>
      </c>
      <c r="F92" cm="1">
        <f t="array" ref="F92">(PRODUCT(1+sp500_monthly!K93:K212)^(1/120)-1)*100</f>
        <v>0.10336711859237901</v>
      </c>
      <c r="G92" cm="1">
        <f t="array" ref="G92">(PRODUCT(1+sp500_monthly!L93:L212)^(1/120)-1)</f>
        <v>1.1224038835215833E-2</v>
      </c>
      <c r="H92" cm="1">
        <f t="array" ref="H92">(PRODUCT(1+sp500_monthly!N93:N212)^(1/120)-1)*100</f>
        <v>0</v>
      </c>
      <c r="I92" cm="1">
        <f t="array" ref="I92">(PRODUCT(1+sp500_monthly!O93:O212)^(1/120)-1)*100</f>
        <v>0</v>
      </c>
    </row>
    <row r="93" spans="1:9" x14ac:dyDescent="0.35">
      <c r="A93" s="1">
        <v>15949</v>
      </c>
      <c r="B93" cm="1">
        <f t="array" ref="B93">(PRODUCT(1+sp500_monthly!B94:B213)^(1/120)-1)*100</f>
        <v>0.53188507843515698</v>
      </c>
      <c r="C93" cm="1">
        <f t="array" ref="C93">(PRODUCT(1+sp500_monthly!C94:C213)^(1/120)-1)*100</f>
        <v>0.10901249136001656</v>
      </c>
      <c r="D93" cm="1">
        <f t="array" ref="D93">(PRODUCT(1+sp500_monthly!D94:D213)^(1/120)-1)*100</f>
        <v>0.64611504740588188</v>
      </c>
      <c r="E93" cm="1">
        <f t="array" ref="E93">(PRODUCT(1+sp500_monthly!E94:E213)^(1/120)-1)*100</f>
        <v>0.30901440976041084</v>
      </c>
      <c r="F93" cm="1">
        <f t="array" ref="F93">(PRODUCT(1+sp500_monthly!K94:K213)^(1/120)-1)*100</f>
        <v>0.13367761777682841</v>
      </c>
      <c r="G93" cm="1">
        <f t="array" ref="G93">(PRODUCT(1+sp500_monthly!L94:L213)^(1/120)-1)</f>
        <v>1.1306256165963591E-2</v>
      </c>
      <c r="H93" cm="1">
        <f t="array" ref="H93">(PRODUCT(1+sp500_monthly!N94:N213)^(1/120)-1)*100</f>
        <v>0</v>
      </c>
      <c r="I93" cm="1">
        <f t="array" ref="I93">(PRODUCT(1+sp500_monthly!O94:O213)^(1/120)-1)*100</f>
        <v>0</v>
      </c>
    </row>
    <row r="94" spans="1:9" x14ac:dyDescent="0.35">
      <c r="A94" s="1">
        <v>15979</v>
      </c>
      <c r="B94" cm="1">
        <f t="array" ref="B94">(PRODUCT(1+sp500_monthly!B95:B214)^(1/120)-1)*100</f>
        <v>0.44802271197765808</v>
      </c>
      <c r="C94" cm="1">
        <f t="array" ref="C94">(PRODUCT(1+sp500_monthly!C95:C214)^(1/120)-1)*100</f>
        <v>2.3570284807084008E-2</v>
      </c>
      <c r="D94" cm="1">
        <f t="array" ref="D94">(PRODUCT(1+sp500_monthly!D95:D214)^(1/120)-1)*100</f>
        <v>0.54896638628727512</v>
      </c>
      <c r="E94" cm="1">
        <f t="array" ref="E94">(PRODUCT(1+sp500_monthly!E95:E214)^(1/120)-1)*100</f>
        <v>0.21023933734309885</v>
      </c>
      <c r="F94" cm="1">
        <f t="array" ref="F94">(PRODUCT(1+sp500_monthly!K95:K214)^(1/120)-1)*100</f>
        <v>5.1726896932535738E-2</v>
      </c>
      <c r="G94" cm="1">
        <f t="array" ref="G94">(PRODUCT(1+sp500_monthly!L95:L214)^(1/120)-1)</f>
        <v>1.1306256165963591E-2</v>
      </c>
      <c r="H94" cm="1">
        <f t="array" ref="H94">(PRODUCT(1+sp500_monthly!N95:N214)^(1/120)-1)*100</f>
        <v>0</v>
      </c>
      <c r="I94" cm="1">
        <f t="array" ref="I94">(PRODUCT(1+sp500_monthly!O95:O214)^(1/120)-1)*100</f>
        <v>0</v>
      </c>
    </row>
    <row r="95" spans="1:9" x14ac:dyDescent="0.35">
      <c r="A95" s="1">
        <v>16009</v>
      </c>
      <c r="B95" cm="1">
        <f t="array" ref="B95">(PRODUCT(1+sp500_monthly!B96:B215)^(1/120)-1)*100</f>
        <v>0.57595851554386179</v>
      </c>
      <c r="C95" cm="1">
        <f t="array" ref="C95">(PRODUCT(1+sp500_monthly!C96:C215)^(1/120)-1)*100</f>
        <v>0.15048128352137535</v>
      </c>
      <c r="D95" cm="1">
        <f t="array" ref="D95">(PRODUCT(1+sp500_monthly!D96:D215)^(1/120)-1)*100</f>
        <v>0.71023361283912845</v>
      </c>
      <c r="E95" cm="1">
        <f t="array" ref="E95">(PRODUCT(1+sp500_monthly!E96:E215)^(1/120)-1)*100</f>
        <v>0.37000108776261698</v>
      </c>
      <c r="F95" cm="1">
        <f t="array" ref="F95">(PRODUCT(1+sp500_monthly!K96:K215)^(1/120)-1)*100</f>
        <v>0.17190849742245717</v>
      </c>
      <c r="G95" cm="1">
        <f t="array" ref="G95">(PRODUCT(1+sp500_monthly!L96:L215)^(1/120)-1)</f>
        <v>1.1388480181371952E-2</v>
      </c>
      <c r="H95" cm="1">
        <f t="array" ref="H95">(PRODUCT(1+sp500_monthly!N96:N215)^(1/120)-1)*100</f>
        <v>0</v>
      </c>
      <c r="I95" cm="1">
        <f t="array" ref="I95">(PRODUCT(1+sp500_monthly!O96:O215)^(1/120)-1)*100</f>
        <v>0</v>
      </c>
    </row>
    <row r="96" spans="1:9" x14ac:dyDescent="0.35">
      <c r="A96" s="1">
        <v>16040</v>
      </c>
      <c r="B96" cm="1">
        <f t="array" ref="B96">(PRODUCT(1+sp500_monthly!B97:B216)^(1/120)-1)*100</f>
        <v>0.64578005507958114</v>
      </c>
      <c r="C96" cm="1">
        <f t="array" ref="C96">(PRODUCT(1+sp500_monthly!C97:C216)^(1/120)-1)*100</f>
        <v>0.22017560233771327</v>
      </c>
      <c r="D96" cm="1">
        <f t="array" ref="D96">(PRODUCT(1+sp500_monthly!D97:D216)^(1/120)-1)*100</f>
        <v>0.80905464969638352</v>
      </c>
      <c r="E96" cm="1">
        <f t="array" ref="E96">(PRODUCT(1+sp500_monthly!E97:E216)^(1/120)-1)*100</f>
        <v>0.46792711523595543</v>
      </c>
      <c r="F96" cm="1">
        <f t="array" ref="F96">(PRODUCT(1+sp500_monthly!K97:K216)^(1/120)-1)*100</f>
        <v>0.2381571093294399</v>
      </c>
      <c r="G96" cm="1">
        <f t="array" ref="G96">(PRODUCT(1+sp500_monthly!L97:L216)^(1/120)-1)</f>
        <v>1.1553758535205016E-2</v>
      </c>
      <c r="H96" cm="1">
        <f t="array" ref="H96">(PRODUCT(1+sp500_monthly!N97:N216)^(1/120)-1)*100</f>
        <v>0</v>
      </c>
      <c r="I96" cm="1">
        <f t="array" ref="I96">(PRODUCT(1+sp500_monthly!O97:O216)^(1/120)-1)*100</f>
        <v>0</v>
      </c>
    </row>
    <row r="97" spans="1:9" x14ac:dyDescent="0.35">
      <c r="A97" s="1">
        <v>16071</v>
      </c>
      <c r="B97" cm="1">
        <f t="array" ref="B97">(PRODUCT(1+sp500_monthly!B98:B217)^(1/120)-1)*100</f>
        <v>0.5012380326645971</v>
      </c>
      <c r="C97" cm="1">
        <f t="array" ref="C97">(PRODUCT(1+sp500_monthly!C98:C217)^(1/120)-1)*100</f>
        <v>7.1322819246000257E-2</v>
      </c>
      <c r="D97" cm="1">
        <f t="array" ref="D97">(PRODUCT(1+sp500_monthly!D98:D217)^(1/120)-1)*100</f>
        <v>0.64699183621461653</v>
      </c>
      <c r="E97" cm="1">
        <f t="array" ref="E97">(PRODUCT(1+sp500_monthly!E98:E217)^(1/120)-1)*100</f>
        <v>0.29783727223260392</v>
      </c>
      <c r="F97" cm="1">
        <f t="array" ref="F97">(PRODUCT(1+sp500_monthly!K98:K217)^(1/120)-1)*100</f>
        <v>9.1041927280066659E-2</v>
      </c>
      <c r="G97" cm="1">
        <f t="array" ref="G97">(PRODUCT(1+sp500_monthly!L98:L217)^(1/120)-1)</f>
        <v>1.1636002673734769E-2</v>
      </c>
      <c r="H97" cm="1">
        <f t="array" ref="H97">(PRODUCT(1+sp500_monthly!N98:N217)^(1/120)-1)*100</f>
        <v>0</v>
      </c>
      <c r="I97" cm="1">
        <f t="array" ref="I97">(PRODUCT(1+sp500_monthly!O98:O217)^(1/120)-1)*100</f>
        <v>0</v>
      </c>
    </row>
    <row r="98" spans="1:9" x14ac:dyDescent="0.35">
      <c r="A98" s="1">
        <v>16102</v>
      </c>
      <c r="B98" cm="1">
        <f t="array" ref="B98">(PRODUCT(1+sp500_monthly!B99:B218)^(1/120)-1)*100</f>
        <v>0.53608426968942968</v>
      </c>
      <c r="C98" cm="1">
        <f t="array" ref="C98">(PRODUCT(1+sp500_monthly!C99:C218)^(1/120)-1)*100</f>
        <v>0.10388176742479605</v>
      </c>
      <c r="D98" cm="1">
        <f t="array" ref="D98">(PRODUCT(1+sp500_monthly!D99:D218)^(1/120)-1)*100</f>
        <v>0.7039218091325905</v>
      </c>
      <c r="E98" cm="1">
        <f t="array" ref="E98">(PRODUCT(1+sp500_monthly!E99:E218)^(1/120)-1)*100</f>
        <v>0.35222366203362387</v>
      </c>
      <c r="F98" cm="1">
        <f t="array" ref="F98">(PRODUCT(1+sp500_monthly!K99:K218)^(1/120)-1)*100</f>
        <v>0.12047906687926435</v>
      </c>
      <c r="G98" cm="1">
        <f t="array" ref="G98">(PRODUCT(1+sp500_monthly!L99:L218)^(1/120)-1)</f>
        <v>1.1718253499104714E-2</v>
      </c>
      <c r="H98" cm="1">
        <f t="array" ref="H98">(PRODUCT(1+sp500_monthly!N99:N218)^(1/120)-1)*100</f>
        <v>0</v>
      </c>
      <c r="I98" cm="1">
        <f t="array" ref="I98">(PRODUCT(1+sp500_monthly!O99:O218)^(1/120)-1)*100</f>
        <v>0</v>
      </c>
    </row>
    <row r="99" spans="1:9" x14ac:dyDescent="0.35">
      <c r="A99" s="1">
        <v>16131</v>
      </c>
      <c r="B99" cm="1">
        <f t="array" ref="B99">(PRODUCT(1+sp500_monthly!B100:B219)^(1/120)-1)*100</f>
        <v>0.46034775627503688</v>
      </c>
      <c r="C99" cm="1">
        <f t="array" ref="C99">(PRODUCT(1+sp500_monthly!C100:C219)^(1/120)-1)*100</f>
        <v>2.8435529285419925E-2</v>
      </c>
      <c r="D99" cm="1">
        <f t="array" ref="D99">(PRODUCT(1+sp500_monthly!D100:D219)^(1/120)-1)*100</f>
        <v>0.58021223380564368</v>
      </c>
      <c r="E99" cm="1">
        <f t="array" ref="E99">(PRODUCT(1+sp500_monthly!E100:E219)^(1/120)-1)*100</f>
        <v>0.22858003655872317</v>
      </c>
      <c r="F99" cm="1">
        <f t="array" ref="F99">(PRODUCT(1+sp500_monthly!K100:K219)^(1/120)-1)*100</f>
        <v>4.926009703507539E-2</v>
      </c>
      <c r="G99" cm="1">
        <f t="array" ref="G99">(PRODUCT(1+sp500_monthly!L100:L219)^(1/120)-1)</f>
        <v>1.1556127158227403E-2</v>
      </c>
      <c r="H99" cm="1">
        <f t="array" ref="H99">(PRODUCT(1+sp500_monthly!N100:N219)^(1/120)-1)*100</f>
        <v>0</v>
      </c>
      <c r="I99" cm="1">
        <f t="array" ref="I99">(PRODUCT(1+sp500_monthly!O100:O219)^(1/120)-1)*100</f>
        <v>0</v>
      </c>
    </row>
    <row r="100" spans="1:9" x14ac:dyDescent="0.35">
      <c r="A100" s="1">
        <v>16162</v>
      </c>
      <c r="B100" cm="1">
        <f t="array" ref="B100">(PRODUCT(1+sp500_monthly!B101:B220)^(1/120)-1)*100</f>
        <v>0.4937140331862544</v>
      </c>
      <c r="C100" cm="1">
        <f t="array" ref="C100">(PRODUCT(1+sp500_monthly!C101:C220)^(1/120)-1)*100</f>
        <v>6.0301602464019055E-2</v>
      </c>
      <c r="D100" cm="1">
        <f t="array" ref="D100">(PRODUCT(1+sp500_monthly!D101:D220)^(1/120)-1)*100</f>
        <v>0.62444963016443644</v>
      </c>
      <c r="E100" cm="1">
        <f t="array" ref="E100">(PRODUCT(1+sp500_monthly!E101:E220)^(1/120)-1)*100</f>
        <v>0.27115401592909816</v>
      </c>
      <c r="F100" cm="1">
        <f t="array" ref="F100">(PRODUCT(1+sp500_monthly!K101:K220)^(1/120)-1)*100</f>
        <v>7.8328936658733639E-2</v>
      </c>
      <c r="G100" cm="1">
        <f t="array" ref="G100">(PRODUCT(1+sp500_monthly!L101:L220)^(1/120)-1)</f>
        <v>1.1638371489337551E-2</v>
      </c>
      <c r="H100" cm="1">
        <f t="array" ref="H100">(PRODUCT(1+sp500_monthly!N101:N220)^(1/120)-1)*100</f>
        <v>0</v>
      </c>
      <c r="I100" cm="1">
        <f t="array" ref="I100">(PRODUCT(1+sp500_monthly!O101:O220)^(1/120)-1)*100</f>
        <v>0</v>
      </c>
    </row>
    <row r="101" spans="1:9" x14ac:dyDescent="0.35">
      <c r="A101" s="1">
        <v>16191</v>
      </c>
      <c r="B101" cm="1">
        <f t="array" ref="B101">(PRODUCT(1+sp500_monthly!B102:B221)^(1/120)-1)*100</f>
        <v>0.50690330962075425</v>
      </c>
      <c r="C101" cm="1">
        <f t="array" ref="C101">(PRODUCT(1+sp500_monthly!C102:C221)^(1/120)-1)*100</f>
        <v>7.2559687164863718E-2</v>
      </c>
      <c r="D101" cm="1">
        <f t="array" ref="D101">(PRODUCT(1+sp500_monthly!D102:D221)^(1/120)-1)*100</f>
        <v>0.64999762909252468</v>
      </c>
      <c r="E101" cm="1">
        <f t="array" ref="E101">(PRODUCT(1+sp500_monthly!E102:E221)^(1/120)-1)*100</f>
        <v>0.29431085395847933</v>
      </c>
      <c r="F101" cm="1">
        <f t="array" ref="F101">(PRODUCT(1+sp500_monthly!K102:K221)^(1/120)-1)*100</f>
        <v>9.3098154199533489E-2</v>
      </c>
      <c r="G101" cm="1">
        <f t="array" ref="G101">(PRODUCT(1+sp500_monthly!L102:L221)^(1/120)-1)</f>
        <v>1.1638371489337551E-2</v>
      </c>
      <c r="H101" cm="1">
        <f t="array" ref="H101">(PRODUCT(1+sp500_monthly!N102:N221)^(1/120)-1)*100</f>
        <v>0</v>
      </c>
      <c r="I101" cm="1">
        <f t="array" ref="I101">(PRODUCT(1+sp500_monthly!O102:O221)^(1/120)-1)*100</f>
        <v>0</v>
      </c>
    </row>
    <row r="102" spans="1:9" x14ac:dyDescent="0.35">
      <c r="A102" s="1">
        <v>16223</v>
      </c>
      <c r="B102" cm="1">
        <f t="array" ref="B102">(PRODUCT(1+sp500_monthly!B103:B222)^(1/120)-1)*100</f>
        <v>0.51805654085539388</v>
      </c>
      <c r="C102" cm="1">
        <f t="array" ref="C102">(PRODUCT(1+sp500_monthly!C103:C222)^(1/120)-1)*100</f>
        <v>8.4060023958687502E-2</v>
      </c>
      <c r="D102" cm="1">
        <f t="array" ref="D102">(PRODUCT(1+sp500_monthly!D103:D222)^(1/120)-1)*100</f>
        <v>0.629064677887059</v>
      </c>
      <c r="E102" cm="1">
        <f t="array" ref="E102">(PRODUCT(1+sp500_monthly!E103:E222)^(1/120)-1)*100</f>
        <v>0.27403145549136365</v>
      </c>
      <c r="F102" cm="1">
        <f t="array" ref="F102">(PRODUCT(1+sp500_monthly!K103:K222)^(1/120)-1)*100</f>
        <v>0.10543542404481965</v>
      </c>
      <c r="G102" cm="1">
        <f t="array" ref="G102">(PRODUCT(1+sp500_monthly!L103:L222)^(1/120)-1)</f>
        <v>1.1803690679728307E-2</v>
      </c>
      <c r="H102" cm="1">
        <f t="array" ref="H102">(PRODUCT(1+sp500_monthly!N103:N222)^(1/120)-1)*100</f>
        <v>0</v>
      </c>
      <c r="I102" cm="1">
        <f t="array" ref="I102">(PRODUCT(1+sp500_monthly!O103:O222)^(1/120)-1)*100</f>
        <v>0</v>
      </c>
    </row>
    <row r="103" spans="1:9" x14ac:dyDescent="0.35">
      <c r="A103" s="1">
        <v>16253</v>
      </c>
      <c r="B103" cm="1">
        <f t="array" ref="B103">(PRODUCT(1+sp500_monthly!B104:B223)^(1/120)-1)*100</f>
        <v>0.62653631629450146</v>
      </c>
      <c r="C103" cm="1">
        <f t="array" ref="C103">(PRODUCT(1+sp500_monthly!C104:C223)^(1/120)-1)*100</f>
        <v>0.18910900111039908</v>
      </c>
      <c r="D103" cm="1">
        <f t="array" ref="D103">(PRODUCT(1+sp500_monthly!D104:D223)^(1/120)-1)*100</f>
        <v>0.76104615170724532</v>
      </c>
      <c r="E103" cm="1">
        <f t="array" ref="E103">(PRODUCT(1+sp500_monthly!E104:E223)^(1/120)-1)*100</f>
        <v>0.403132475954604</v>
      </c>
      <c r="F103" cm="1">
        <f t="array" ref="F103">(PRODUCT(1+sp500_monthly!K104:K223)^(1/120)-1)*100</f>
        <v>0.20926191780019643</v>
      </c>
      <c r="G103" cm="1">
        <f t="array" ref="G103">(PRODUCT(1+sp500_monthly!L104:L223)^(1/120)-1)</f>
        <v>1.1969036886131601E-2</v>
      </c>
      <c r="H103" cm="1">
        <f t="array" ref="H103">(PRODUCT(1+sp500_monthly!N104:N223)^(1/120)-1)*100</f>
        <v>0</v>
      </c>
      <c r="I103" cm="1">
        <f t="array" ref="I103">(PRODUCT(1+sp500_monthly!O104:O223)^(1/120)-1)*100</f>
        <v>0</v>
      </c>
    </row>
    <row r="104" spans="1:9" x14ac:dyDescent="0.35">
      <c r="A104" s="1">
        <v>16284</v>
      </c>
      <c r="B104" cm="1">
        <f t="array" ref="B104">(PRODUCT(1+sp500_monthly!B105:B224)^(1/120)-1)*100</f>
        <v>0.65114439571525295</v>
      </c>
      <c r="C104" cm="1">
        <f t="array" ref="C104">(PRODUCT(1+sp500_monthly!C105:C224)^(1/120)-1)*100</f>
        <v>0.21222759238896938</v>
      </c>
      <c r="D104" cm="1">
        <f t="array" ref="D104">(PRODUCT(1+sp500_monthly!D105:D224)^(1/120)-1)*100</f>
        <v>0.80123026707121792</v>
      </c>
      <c r="E104" cm="1">
        <f t="array" ref="E104">(PRODUCT(1+sp500_monthly!E105:E224)^(1/120)-1)*100</f>
        <v>0.44157613261912587</v>
      </c>
      <c r="F104" cm="1">
        <f t="array" ref="F104">(PRODUCT(1+sp500_monthly!K105:K224)^(1/120)-1)*100</f>
        <v>0.23361165156650099</v>
      </c>
      <c r="G104" cm="1">
        <f t="array" ref="G104">(PRODUCT(1+sp500_monthly!L105:L224)^(1/120)-1)</f>
        <v>1.2134410112961902E-2</v>
      </c>
      <c r="H104" cm="1">
        <f t="array" ref="H104">(PRODUCT(1+sp500_monthly!N105:N224)^(1/120)-1)*100</f>
        <v>0</v>
      </c>
      <c r="I104" cm="1">
        <f t="array" ref="I104">(PRODUCT(1+sp500_monthly!O105:O224)^(1/120)-1)*100</f>
        <v>0</v>
      </c>
    </row>
    <row r="105" spans="1:9" x14ac:dyDescent="0.35">
      <c r="A105" s="1">
        <v>16315</v>
      </c>
      <c r="B105" cm="1">
        <f t="array" ref="B105">(PRODUCT(1+sp500_monthly!B106:B225)^(1/120)-1)*100</f>
        <v>0.74176813708666245</v>
      </c>
      <c r="C105" cm="1">
        <f t="array" ref="C105">(PRODUCT(1+sp500_monthly!C106:C225)^(1/120)-1)*100</f>
        <v>0.30325200185894463</v>
      </c>
      <c r="D105" cm="1">
        <f t="array" ref="D105">(PRODUCT(1+sp500_monthly!D106:D225)^(1/120)-1)*100</f>
        <v>0.96577601807548152</v>
      </c>
      <c r="E105" cm="1">
        <f t="array" ref="E105">(PRODUCT(1+sp500_monthly!E106:E225)^(1/120)-1)*100</f>
        <v>0.60636665009474733</v>
      </c>
      <c r="F105" cm="1">
        <f t="array" ref="F105">(PRODUCT(1+sp500_monthly!K106:K225)^(1/120)-1)*100</f>
        <v>0.31831210059587445</v>
      </c>
      <c r="G105" cm="1">
        <f t="array" ref="G105">(PRODUCT(1+sp500_monthly!L106:L225)^(1/120)-1)</f>
        <v>1.2299810364635011E-2</v>
      </c>
      <c r="H105" cm="1">
        <f t="array" ref="H105">(PRODUCT(1+sp500_monthly!N106:N225)^(1/120)-1)*100</f>
        <v>0</v>
      </c>
      <c r="I105" cm="1">
        <f t="array" ref="I105">(PRODUCT(1+sp500_monthly!O106:O225)^(1/120)-1)*100</f>
        <v>0</v>
      </c>
    </row>
    <row r="106" spans="1:9" x14ac:dyDescent="0.35">
      <c r="A106" s="1">
        <v>16345</v>
      </c>
      <c r="B106" cm="1">
        <f t="array" ref="B106">(PRODUCT(1+sp500_monthly!B107:B226)^(1/120)-1)*100</f>
        <v>0.70617773356711488</v>
      </c>
      <c r="C106" cm="1">
        <f t="array" ref="C106">(PRODUCT(1+sp500_monthly!C107:C226)^(1/120)-1)*100</f>
        <v>0.2680133917819072</v>
      </c>
      <c r="D106" cm="1">
        <f t="array" ref="D106">(PRODUCT(1+sp500_monthly!D107:D226)^(1/120)-1)*100</f>
        <v>0.90823317382091595</v>
      </c>
      <c r="E106" cm="1">
        <f t="array" ref="E106">(PRODUCT(1+sp500_monthly!E107:E226)^(1/120)-1)*100</f>
        <v>0.54779464854768367</v>
      </c>
      <c r="F106" cm="1">
        <f t="array" ref="F106">(PRODUCT(1+sp500_monthly!K107:K226)^(1/120)-1)*100</f>
        <v>0.28144007046029262</v>
      </c>
      <c r="G106" cm="1">
        <f t="array" ref="G106">(PRODUCT(1+sp500_monthly!L107:L226)^(1/120)-1)</f>
        <v>1.2465237645567395E-2</v>
      </c>
      <c r="H106" cm="1">
        <f t="array" ref="H106">(PRODUCT(1+sp500_monthly!N107:N226)^(1/120)-1)*100</f>
        <v>0</v>
      </c>
      <c r="I106" cm="1">
        <f t="array" ref="I106">(PRODUCT(1+sp500_monthly!O107:O226)^(1/120)-1)*100</f>
        <v>0</v>
      </c>
    </row>
    <row r="107" spans="1:9" x14ac:dyDescent="0.35">
      <c r="A107" s="1">
        <v>16376</v>
      </c>
      <c r="B107" cm="1">
        <f t="array" ref="B107">(PRODUCT(1+sp500_monthly!B108:B227)^(1/120)-1)*100</f>
        <v>0.70577808507346074</v>
      </c>
      <c r="C107" cm="1">
        <f t="array" ref="C107">(PRODUCT(1+sp500_monthly!C108:C227)^(1/120)-1)*100</f>
        <v>0.26802093543825123</v>
      </c>
      <c r="D107" cm="1">
        <f t="array" ref="D107">(PRODUCT(1+sp500_monthly!D108:D227)^(1/120)-1)*100</f>
        <v>0.89612760400639146</v>
      </c>
      <c r="E107" cm="1">
        <f t="array" ref="E107">(PRODUCT(1+sp500_monthly!E108:E227)^(1/120)-1)*100</f>
        <v>0.53573325867604105</v>
      </c>
      <c r="F107" cm="1">
        <f t="array" ref="F107">(PRODUCT(1+sp500_monthly!K108:K227)^(1/120)-1)*100</f>
        <v>0.28340736500298558</v>
      </c>
      <c r="G107" cm="1">
        <f t="array" ref="G107">(PRODUCT(1+sp500_monthly!L108:L227)^(1/120)-1)</f>
        <v>1.2548366955244195E-2</v>
      </c>
      <c r="H107" cm="1">
        <f t="array" ref="H107">(PRODUCT(1+sp500_monthly!N108:N227)^(1/120)-1)*100</f>
        <v>0</v>
      </c>
      <c r="I107" cm="1">
        <f t="array" ref="I107">(PRODUCT(1+sp500_monthly!O108:O227)^(1/120)-1)*100</f>
        <v>0</v>
      </c>
    </row>
    <row r="108" spans="1:9" x14ac:dyDescent="0.35">
      <c r="A108" s="1">
        <v>16406</v>
      </c>
      <c r="B108" cm="1">
        <f t="array" ref="B108">(PRODUCT(1+sp500_monthly!B109:B228)^(1/120)-1)*100</f>
        <v>0.73569246546554279</v>
      </c>
      <c r="C108" cm="1">
        <f t="array" ref="C108">(PRODUCT(1+sp500_monthly!C109:C228)^(1/120)-1)*100</f>
        <v>0.29756968280409968</v>
      </c>
      <c r="D108" cm="1">
        <f t="array" ref="D108">(PRODUCT(1+sp500_monthly!D109:D228)^(1/120)-1)*100</f>
        <v>0.92726102439366631</v>
      </c>
      <c r="E108" cm="1">
        <f t="array" ref="E108">(PRODUCT(1+sp500_monthly!E109:E228)^(1/120)-1)*100</f>
        <v>0.5664131378966708</v>
      </c>
      <c r="F108" cm="1">
        <f t="array" ref="F108">(PRODUCT(1+sp500_monthly!K109:K228)^(1/120)-1)*100</f>
        <v>0.31047653773261796</v>
      </c>
      <c r="G108" cm="1">
        <f t="array" ref="G108">(PRODUCT(1+sp500_monthly!L109:L228)^(1/120)-1)</f>
        <v>1.27138348546183E-2</v>
      </c>
      <c r="H108" cm="1">
        <f t="array" ref="H108">(PRODUCT(1+sp500_monthly!N109:N228)^(1/120)-1)*100</f>
        <v>0</v>
      </c>
      <c r="I108" cm="1">
        <f t="array" ref="I108">(PRODUCT(1+sp500_monthly!O109:O228)^(1/120)-1)*100</f>
        <v>0</v>
      </c>
    </row>
    <row r="109" spans="1:9" x14ac:dyDescent="0.35">
      <c r="A109" s="1">
        <v>16436</v>
      </c>
      <c r="B109" cm="1">
        <f t="array" ref="B109">(PRODUCT(1+sp500_monthly!B110:B229)^(1/120)-1)*100</f>
        <v>0.68082581119921493</v>
      </c>
      <c r="C109" cm="1">
        <f t="array" ref="C109">(PRODUCT(1+sp500_monthly!C110:C229)^(1/120)-1)*100</f>
        <v>0.2375952454523933</v>
      </c>
      <c r="D109" cm="1">
        <f t="array" ref="D109">(PRODUCT(1+sp500_monthly!D110:D229)^(1/120)-1)*100</f>
        <v>0.8653964684187665</v>
      </c>
      <c r="E109" cm="1">
        <f t="array" ref="E109">(PRODUCT(1+sp500_monthly!E110:E229)^(1/120)-1)*100</f>
        <v>0.49895655461074107</v>
      </c>
      <c r="F109" cm="1">
        <f t="array" ref="F109">(PRODUCT(1+sp500_monthly!K110:K229)^(1/120)-1)*100</f>
        <v>0.24721619693384156</v>
      </c>
      <c r="G109" cm="1">
        <f t="array" ref="G109">(PRODUCT(1+sp500_monthly!L110:L229)^(1/120)-1)</f>
        <v>1.2879329794306393E-2</v>
      </c>
      <c r="H109" cm="1">
        <f t="array" ref="H109">(PRODUCT(1+sp500_monthly!N110:N229)^(1/120)-1)*100</f>
        <v>0</v>
      </c>
      <c r="I109" cm="1">
        <f t="array" ref="I109">(PRODUCT(1+sp500_monthly!O110:O229)^(1/120)-1)*100</f>
        <v>0</v>
      </c>
    </row>
    <row r="110" spans="1:9" x14ac:dyDescent="0.35">
      <c r="A110" s="1">
        <v>16468</v>
      </c>
      <c r="B110" cm="1">
        <f t="array" ref="B110">(PRODUCT(1+sp500_monthly!B111:B230)^(1/120)-1)*100</f>
        <v>0.71815650065709669</v>
      </c>
      <c r="C110" cm="1">
        <f t="array" ref="C110">(PRODUCT(1+sp500_monthly!C111:C230)^(1/120)-1)*100</f>
        <v>0.27488991968820375</v>
      </c>
      <c r="D110" cm="1">
        <f t="array" ref="D110">(PRODUCT(1+sp500_monthly!D111:D230)^(1/120)-1)*100</f>
        <v>0.9432562681115142</v>
      </c>
      <c r="E110" cm="1">
        <f t="array" ref="E110">(PRODUCT(1+sp500_monthly!E111:E230)^(1/120)-1)*100</f>
        <v>0.57634806435036268</v>
      </c>
      <c r="F110" cm="1">
        <f t="array" ref="F110">(PRODUCT(1+sp500_monthly!K111:K230)^(1/120)-1)*100</f>
        <v>0.27953002655343173</v>
      </c>
      <c r="G110" cm="1">
        <f t="array" ref="G110">(PRODUCT(1+sp500_monthly!L111:L230)^(1/120)-1)</f>
        <v>1.296249310336739E-2</v>
      </c>
      <c r="H110" cm="1">
        <f t="array" ref="H110">(PRODUCT(1+sp500_monthly!N111:N230)^(1/120)-1)*100</f>
        <v>0</v>
      </c>
      <c r="I110" cm="1">
        <f t="array" ref="I110">(PRODUCT(1+sp500_monthly!O111:O230)^(1/120)-1)*100</f>
        <v>0</v>
      </c>
    </row>
    <row r="111" spans="1:9" x14ac:dyDescent="0.35">
      <c r="A111" s="1">
        <v>16496</v>
      </c>
      <c r="B111" cm="1">
        <f t="array" ref="B111">(PRODUCT(1+sp500_monthly!B112:B231)^(1/120)-1)*100</f>
        <v>0.76443238989540863</v>
      </c>
      <c r="C111" cm="1">
        <f t="array" ref="C111">(PRODUCT(1+sp500_monthly!C112:C231)^(1/120)-1)*100</f>
        <v>0.32125052031684032</v>
      </c>
      <c r="D111" cm="1">
        <f t="array" ref="D111">(PRODUCT(1+sp500_monthly!D112:D231)^(1/120)-1)*100</f>
        <v>1.0172120800893136</v>
      </c>
      <c r="E111" cm="1">
        <f t="array" ref="E111">(PRODUCT(1+sp500_monthly!E112:E231)^(1/120)-1)*100</f>
        <v>0.65011305511197826</v>
      </c>
      <c r="F111" cm="1">
        <f t="array" ref="F111">(PRODUCT(1+sp500_monthly!K112:K231)^(1/120)-1)*100</f>
        <v>0.32736033453477642</v>
      </c>
      <c r="G111" cm="1">
        <f t="array" ref="G111">(PRODUCT(1+sp500_monthly!L112:L231)^(1/120)-1)</f>
        <v>1.3128028678109915E-2</v>
      </c>
      <c r="H111" cm="1">
        <f t="array" ref="H111">(PRODUCT(1+sp500_monthly!N112:N231)^(1/120)-1)*100</f>
        <v>0</v>
      </c>
      <c r="I111" cm="1">
        <f t="array" ref="I111">(PRODUCT(1+sp500_monthly!O112:O231)^(1/120)-1)*100</f>
        <v>0</v>
      </c>
    </row>
    <row r="112" spans="1:9" x14ac:dyDescent="0.35">
      <c r="A112" s="1">
        <v>16527</v>
      </c>
      <c r="B112" cm="1">
        <f t="array" ref="B112">(PRODUCT(1+sp500_monthly!B113:B232)^(1/120)-1)*100</f>
        <v>0.85238839634538266</v>
      </c>
      <c r="C112" cm="1">
        <f t="array" ref="C112">(PRODUCT(1+sp500_monthly!C113:C232)^(1/120)-1)*100</f>
        <v>0.40926697368832698</v>
      </c>
      <c r="D112" cm="1">
        <f t="array" ref="D112">(PRODUCT(1+sp500_monthly!D113:D232)^(1/120)-1)*100</f>
        <v>1.1543943461985284</v>
      </c>
      <c r="E112" cm="1">
        <f t="array" ref="E112">(PRODUCT(1+sp500_monthly!E113:E232)^(1/120)-1)*100</f>
        <v>0.78575285853628163</v>
      </c>
      <c r="F112" cm="1">
        <f t="array" ref="F112">(PRODUCT(1+sp500_monthly!K113:K232)^(1/120)-1)*100</f>
        <v>0.41113345938221801</v>
      </c>
      <c r="G112" cm="1">
        <f t="array" ref="G112">(PRODUCT(1+sp500_monthly!L113:L232)^(1/120)-1)</f>
        <v>1.3128028678109915E-2</v>
      </c>
      <c r="H112" cm="1">
        <f t="array" ref="H112">(PRODUCT(1+sp500_monthly!N113:N232)^(1/120)-1)*100</f>
        <v>0</v>
      </c>
      <c r="I112" cm="1">
        <f t="array" ref="I112">(PRODUCT(1+sp500_monthly!O113:O232)^(1/120)-1)*100</f>
        <v>0</v>
      </c>
    </row>
    <row r="113" spans="1:9" x14ac:dyDescent="0.35">
      <c r="A113" s="1">
        <v>16557</v>
      </c>
      <c r="B113" cm="1">
        <f t="array" ref="B113">(PRODUCT(1+sp500_monthly!B114:B233)^(1/120)-1)*100</f>
        <v>0.84346382223527971</v>
      </c>
      <c r="C113" cm="1">
        <f t="array" ref="C113">(PRODUCT(1+sp500_monthly!C114:C233)^(1/120)-1)*100</f>
        <v>0.40084091292571511</v>
      </c>
      <c r="D113" cm="1">
        <f t="array" ref="D113">(PRODUCT(1+sp500_monthly!D114:D233)^(1/120)-1)*100</f>
        <v>1.1612834919683124</v>
      </c>
      <c r="E113" cm="1">
        <f t="array" ref="E113">(PRODUCT(1+sp500_monthly!E114:E233)^(1/120)-1)*100</f>
        <v>0.79278511746803115</v>
      </c>
      <c r="F113" cm="1">
        <f t="array" ref="F113">(PRODUCT(1+sp500_monthly!K114:K233)^(1/120)-1)*100</f>
        <v>0.39785176239464093</v>
      </c>
      <c r="G113" cm="1">
        <f t="array" ref="G113">(PRODUCT(1+sp500_monthly!L114:L233)^(1/120)-1)</f>
        <v>1.3211212406801787E-2</v>
      </c>
      <c r="H113" cm="1">
        <f t="array" ref="H113">(PRODUCT(1+sp500_monthly!N114:N233)^(1/120)-1)*100</f>
        <v>0</v>
      </c>
      <c r="I113" cm="1">
        <f t="array" ref="I113">(PRODUCT(1+sp500_monthly!O114:O233)^(1/120)-1)*100</f>
        <v>0</v>
      </c>
    </row>
    <row r="114" spans="1:9" x14ac:dyDescent="0.35">
      <c r="A114" s="1">
        <v>16588</v>
      </c>
      <c r="B114" cm="1">
        <f t="array" ref="B114">(PRODUCT(1+sp500_monthly!B115:B234)^(1/120)-1)*100</f>
        <v>0.83887673367382121</v>
      </c>
      <c r="C114" cm="1">
        <f t="array" ref="C114">(PRODUCT(1+sp500_monthly!C115:C234)^(1/120)-1)*100</f>
        <v>0.39633597974826351</v>
      </c>
      <c r="D114" cm="1">
        <f t="array" ref="D114">(PRODUCT(1+sp500_monthly!D115:D234)^(1/120)-1)*100</f>
        <v>1.1750631395501809</v>
      </c>
      <c r="E114" cm="1">
        <f t="array" ref="E114">(PRODUCT(1+sp500_monthly!E115:E234)^(1/120)-1)*100</f>
        <v>0.80662247052765146</v>
      </c>
      <c r="F114" cm="1">
        <f t="array" ref="F114">(PRODUCT(1+sp500_monthly!K115:K234)^(1/120)-1)*100</f>
        <v>0.39198589040838616</v>
      </c>
      <c r="G114" cm="1">
        <f t="array" ref="G114">(PRODUCT(1+sp500_monthly!L115:L234)^(1/120)-1)</f>
        <v>1.3376788626576319E-2</v>
      </c>
      <c r="H114" cm="1">
        <f t="array" ref="H114">(PRODUCT(1+sp500_monthly!N115:N234)^(1/120)-1)*100</f>
        <v>0</v>
      </c>
      <c r="I114" cm="1">
        <f t="array" ref="I114">(PRODUCT(1+sp500_monthly!O115:O234)^(1/120)-1)*100</f>
        <v>0</v>
      </c>
    </row>
    <row r="115" spans="1:9" x14ac:dyDescent="0.35">
      <c r="A115" s="1">
        <v>16618</v>
      </c>
      <c r="B115" cm="1">
        <f t="array" ref="B115">(PRODUCT(1+sp500_monthly!B116:B235)^(1/120)-1)*100</f>
        <v>0.82410239000934027</v>
      </c>
      <c r="C115" cm="1">
        <f t="array" ref="C115">(PRODUCT(1+sp500_monthly!C116:C235)^(1/120)-1)*100</f>
        <v>0.37879547511190381</v>
      </c>
      <c r="D115" cm="1">
        <f t="array" ref="D115">(PRODUCT(1+sp500_monthly!D116:D235)^(1/120)-1)*100</f>
        <v>1.1582073558191741</v>
      </c>
      <c r="E115" cm="1">
        <f t="array" ref="E115">(PRODUCT(1+sp500_monthly!E116:E235)^(1/120)-1)*100</f>
        <v>0.78720065633157699</v>
      </c>
      <c r="F115" cm="1">
        <f t="array" ref="F115">(PRODUCT(1+sp500_monthly!K116:K235)^(1/120)-1)*100</f>
        <v>0.37489931592729064</v>
      </c>
      <c r="G115" cm="1">
        <f t="array" ref="G115">(PRODUCT(1+sp500_monthly!L116:L235)^(1/120)-1)</f>
        <v>1.3542391904366013E-2</v>
      </c>
      <c r="H115" cm="1">
        <f t="array" ref="H115">(PRODUCT(1+sp500_monthly!N116:N235)^(1/120)-1)*100</f>
        <v>0</v>
      </c>
      <c r="I115" cm="1">
        <f t="array" ref="I115">(PRODUCT(1+sp500_monthly!O116:O235)^(1/120)-1)*100</f>
        <v>0</v>
      </c>
    </row>
    <row r="116" spans="1:9" x14ac:dyDescent="0.35">
      <c r="A116" s="1">
        <v>16649</v>
      </c>
      <c r="B116" cm="1">
        <f t="array" ref="B116">(PRODUCT(1+sp500_monthly!B117:B236)^(1/120)-1)*100</f>
        <v>0.76884955740874616</v>
      </c>
      <c r="C116" cm="1">
        <f t="array" ref="C116">(PRODUCT(1+sp500_monthly!C117:C236)^(1/120)-1)*100</f>
        <v>0.3245778115214204</v>
      </c>
      <c r="D116" cm="1">
        <f t="array" ref="D116">(PRODUCT(1+sp500_monthly!D117:D236)^(1/120)-1)*100</f>
        <v>1.1449749639875106</v>
      </c>
      <c r="E116" cm="1">
        <f t="array" ref="E116">(PRODUCT(1+sp500_monthly!E117:E236)^(1/120)-1)*100</f>
        <v>0.77423802225105032</v>
      </c>
      <c r="F116" cm="1">
        <f t="array" ref="F116">(PRODUCT(1+sp500_monthly!K117:K236)^(1/120)-1)*100</f>
        <v>0.31721384710738931</v>
      </c>
      <c r="G116" cm="1">
        <f t="array" ref="G116">(PRODUCT(1+sp500_monthly!L117:L236)^(1/120)-1)</f>
        <v>1.3625609654699167E-2</v>
      </c>
      <c r="H116" cm="1">
        <f t="array" ref="H116">(PRODUCT(1+sp500_monthly!N117:N236)^(1/120)-1)*100</f>
        <v>0</v>
      </c>
      <c r="I116" cm="1">
        <f t="array" ref="I116">(PRODUCT(1+sp500_monthly!O117:O236)^(1/120)-1)*100</f>
        <v>0</v>
      </c>
    </row>
    <row r="117" spans="1:9" x14ac:dyDescent="0.35">
      <c r="A117" s="1">
        <v>16680</v>
      </c>
      <c r="B117" cm="1">
        <f t="array" ref="B117">(PRODUCT(1+sp500_monthly!B118:B237)^(1/120)-1)*100</f>
        <v>0.68301373437555934</v>
      </c>
      <c r="C117" cm="1">
        <f t="array" ref="C117">(PRODUCT(1+sp500_monthly!C118:C237)^(1/120)-1)*100</f>
        <v>0.23935327625190794</v>
      </c>
      <c r="D117" cm="1">
        <f t="array" ref="D117">(PRODUCT(1+sp500_monthly!D118:D237)^(1/120)-1)*100</f>
        <v>1.0443296994038231</v>
      </c>
      <c r="E117" cm="1">
        <f t="array" ref="E117">(PRODUCT(1+sp500_monthly!E118:E237)^(1/120)-1)*100</f>
        <v>0.67433525739490907</v>
      </c>
      <c r="F117" cm="1">
        <f t="array" ref="F117">(PRODUCT(1+sp500_monthly!K118:K237)^(1/120)-1)*100</f>
        <v>0.23358923583363111</v>
      </c>
      <c r="G117" cm="1">
        <f t="array" ref="G117">(PRODUCT(1+sp500_monthly!L118:L237)^(1/120)-1)</f>
        <v>1.3791253594144459E-2</v>
      </c>
      <c r="H117" cm="1">
        <f t="array" ref="H117">(PRODUCT(1+sp500_monthly!N118:N237)^(1/120)-1)*100</f>
        <v>0</v>
      </c>
      <c r="I117" cm="1">
        <f t="array" ref="I117">(PRODUCT(1+sp500_monthly!O118:O237)^(1/120)-1)*100</f>
        <v>0</v>
      </c>
    </row>
    <row r="118" spans="1:9" x14ac:dyDescent="0.35">
      <c r="A118" s="1">
        <v>16709</v>
      </c>
      <c r="B118" cm="1">
        <f t="array" ref="B118">(PRODUCT(1+sp500_monthly!B119:B238)^(1/120)-1)*100</f>
        <v>0.70978815352649161</v>
      </c>
      <c r="C118" cm="1">
        <f t="array" ref="C118">(PRODUCT(1+sp500_monthly!C119:C238)^(1/120)-1)*100</f>
        <v>0.26504611056963334</v>
      </c>
      <c r="D118" cm="1">
        <f t="array" ref="D118">(PRODUCT(1+sp500_monthly!D119:D238)^(1/120)-1)*100</f>
        <v>1.0292585667456722</v>
      </c>
      <c r="E118" cm="1">
        <f t="array" ref="E118">(PRODUCT(1+sp500_monthly!E119:E238)^(1/120)-1)*100</f>
        <v>0.65711851061467375</v>
      </c>
      <c r="F118" cm="1">
        <f t="array" ref="F118">(PRODUCT(1+sp500_monthly!K119:K238)^(1/120)-1)*100</f>
        <v>0.26277201620836799</v>
      </c>
      <c r="G118" cm="1">
        <f t="array" ref="G118">(PRODUCT(1+sp500_monthly!L119:L238)^(1/120)-1)</f>
        <v>1.3956924602671616E-2</v>
      </c>
      <c r="H118" cm="1">
        <f t="array" ref="H118">(PRODUCT(1+sp500_monthly!N119:N238)^(1/120)-1)*100</f>
        <v>0</v>
      </c>
      <c r="I118" cm="1">
        <f t="array" ref="I118">(PRODUCT(1+sp500_monthly!O119:O238)^(1/120)-1)*100</f>
        <v>0</v>
      </c>
    </row>
    <row r="119" spans="1:9" x14ac:dyDescent="0.35">
      <c r="A119" s="1">
        <v>16741</v>
      </c>
      <c r="B119" cm="1">
        <f t="array" ref="B119">(PRODUCT(1+sp500_monthly!B120:B239)^(1/120)-1)*100</f>
        <v>0.7266691821798732</v>
      </c>
      <c r="C119" cm="1">
        <f t="array" ref="C119">(PRODUCT(1+sp500_monthly!C120:C239)^(1/120)-1)*100</f>
        <v>0.28269917673418021</v>
      </c>
      <c r="D119" cm="1">
        <f t="array" ref="D119">(PRODUCT(1+sp500_monthly!D120:D239)^(1/120)-1)*100</f>
        <v>1.0776709568975029</v>
      </c>
      <c r="E119" cm="1">
        <f t="array" ref="E119">(PRODUCT(1+sp500_monthly!E120:E239)^(1/120)-1)*100</f>
        <v>0.70605992335368573</v>
      </c>
      <c r="F119" cm="1">
        <f t="array" ref="F119">(PRODUCT(1+sp500_monthly!K120:K239)^(1/120)-1)*100</f>
        <v>0.27737941325800541</v>
      </c>
      <c r="G119" cm="1">
        <f t="array" ref="G119">(PRODUCT(1+sp500_monthly!L120:L239)^(1/120)-1)</f>
        <v>1.4122622684704433E-2</v>
      </c>
      <c r="H119" cm="1">
        <f t="array" ref="H119">(PRODUCT(1+sp500_monthly!N120:N239)^(1/120)-1)*100</f>
        <v>0</v>
      </c>
      <c r="I119" cm="1">
        <f t="array" ref="I119">(PRODUCT(1+sp500_monthly!O120:O239)^(1/120)-1)*100</f>
        <v>0</v>
      </c>
    </row>
    <row r="120" spans="1:9" x14ac:dyDescent="0.35">
      <c r="A120" s="1">
        <v>16771</v>
      </c>
      <c r="B120" cm="1">
        <f t="array" ref="B120">(PRODUCT(1+sp500_monthly!B121:B240)^(1/120)-1)*100</f>
        <v>0.69394460562841598</v>
      </c>
      <c r="C120" cm="1">
        <f t="array" ref="C120">(PRODUCT(1+sp500_monthly!C121:C240)^(1/120)-1)*100</f>
        <v>0.25025780442464729</v>
      </c>
      <c r="D120" cm="1">
        <f t="array" ref="D120">(PRODUCT(1+sp500_monthly!D121:D240)^(1/120)-1)*100</f>
        <v>1.0559995284187718</v>
      </c>
      <c r="E120" cm="1">
        <f t="array" ref="E120">(PRODUCT(1+sp500_monthly!E121:E240)^(1/120)-1)*100</f>
        <v>0.68481870491383656</v>
      </c>
      <c r="F120" cm="1">
        <f t="array" ref="F120">(PRODUCT(1+sp500_monthly!K121:K240)^(1/120)-1)*100</f>
        <v>0.24186265165007104</v>
      </c>
      <c r="G120" cm="1">
        <f t="array" ref="G120">(PRODUCT(1+sp500_monthly!L121:L240)^(1/120)-1)</f>
        <v>1.4288347844666927E-2</v>
      </c>
      <c r="H120" cm="1">
        <f t="array" ref="H120">(PRODUCT(1+sp500_monthly!N121:N240)^(1/120)-1)*100</f>
        <v>0</v>
      </c>
      <c r="I120" cm="1">
        <f t="array" ref="I120">(PRODUCT(1+sp500_monthly!O121:O240)^(1/120)-1)*100</f>
        <v>0</v>
      </c>
    </row>
    <row r="121" spans="1:9" x14ac:dyDescent="0.35">
      <c r="A121" s="1">
        <v>16802</v>
      </c>
      <c r="B121" cm="1">
        <f t="array" ref="B121">(PRODUCT(1+sp500_monthly!B122:B241)^(1/120)-1)*100</f>
        <v>0.68834794590260096</v>
      </c>
      <c r="C121" cm="1">
        <f t="array" ref="C121">(PRODUCT(1+sp500_monthly!C122:C241)^(1/120)-1)*100</f>
        <v>0.24222352385483426</v>
      </c>
      <c r="D121" cm="1">
        <f t="array" ref="D121">(PRODUCT(1+sp500_monthly!D122:D241)^(1/120)-1)*100</f>
        <v>1.0239046977638777</v>
      </c>
      <c r="E121" cm="1">
        <f t="array" ref="E121">(PRODUCT(1+sp500_monthly!E122:E241)^(1/120)-1)*100</f>
        <v>0.64859608848302219</v>
      </c>
      <c r="F121" cm="1">
        <f t="array" ref="F121">(PRODUCT(1+sp500_monthly!K122:K241)^(1/120)-1)*100</f>
        <v>0.23630335700974836</v>
      </c>
      <c r="G121" cm="1">
        <f t="array" ref="G121">(PRODUCT(1+sp500_monthly!L122:L241)^(1/120)-1)</f>
        <v>1.4288347844666927E-2</v>
      </c>
      <c r="H121" cm="1">
        <f t="array" ref="H121">(PRODUCT(1+sp500_monthly!N122:N241)^(1/120)-1)*100</f>
        <v>0</v>
      </c>
      <c r="I121" cm="1">
        <f t="array" ref="I121">(PRODUCT(1+sp500_monthly!O122:O241)^(1/120)-1)*100</f>
        <v>0</v>
      </c>
    </row>
    <row r="122" spans="1:9" x14ac:dyDescent="0.35">
      <c r="A122" s="1">
        <v>16833</v>
      </c>
      <c r="B122" cm="1">
        <f t="array" ref="B122">(PRODUCT(1+sp500_monthly!B123:B242)^(1/120)-1)*100</f>
        <v>0.66482270644641073</v>
      </c>
      <c r="C122" cm="1">
        <f t="array" ref="C122">(PRODUCT(1+sp500_monthly!C123:C242)^(1/120)-1)*100</f>
        <v>0.21940550228882749</v>
      </c>
      <c r="D122" cm="1">
        <f t="array" ref="D122">(PRODUCT(1+sp500_monthly!D123:D242)^(1/120)-1)*100</f>
        <v>0.99341503342782467</v>
      </c>
      <c r="E122" cm="1">
        <f t="array" ref="E122">(PRODUCT(1+sp500_monthly!E123:E242)^(1/120)-1)*100</f>
        <v>0.61869658340911737</v>
      </c>
      <c r="F122" cm="1">
        <f t="array" ref="F122">(PRODUCT(1+sp500_monthly!K123:K242)^(1/120)-1)*100</f>
        <v>0.21412422844528933</v>
      </c>
      <c r="G122" cm="1">
        <f t="array" ref="G122">(PRODUCT(1+sp500_monthly!L123:L242)^(1/120)-1)</f>
        <v>1.4454100086984001E-2</v>
      </c>
      <c r="H122" cm="1">
        <f t="array" ref="H122">(PRODUCT(1+sp500_monthly!N123:N242)^(1/120)-1)*100</f>
        <v>0</v>
      </c>
      <c r="I122" cm="1">
        <f t="array" ref="I122">(PRODUCT(1+sp500_monthly!O123:O242)^(1/120)-1)*100</f>
        <v>0</v>
      </c>
    </row>
    <row r="123" spans="1:9" x14ac:dyDescent="0.35">
      <c r="A123" s="1">
        <v>16861</v>
      </c>
      <c r="B123" cm="1">
        <f t="array" ref="B123">(PRODUCT(1+sp500_monthly!B124:B243)^(1/120)-1)*100</f>
        <v>0.66299872306667673</v>
      </c>
      <c r="C123" cm="1">
        <f t="array" ref="C123">(PRODUCT(1+sp500_monthly!C124:C243)^(1/120)-1)*100</f>
        <v>0.21809968074792963</v>
      </c>
      <c r="D123" cm="1">
        <f t="array" ref="D123">(PRODUCT(1+sp500_monthly!D124:D243)^(1/120)-1)*100</f>
        <v>0.97802909576738539</v>
      </c>
      <c r="E123" cm="1">
        <f t="array" ref="E123">(PRODUCT(1+sp500_monthly!E124:E243)^(1/120)-1)*100</f>
        <v>0.60357368129442257</v>
      </c>
      <c r="F123" cm="1">
        <f t="array" ref="F123">(PRODUCT(1+sp500_monthly!K124:K243)^(1/120)-1)*100</f>
        <v>0.2173900928492678</v>
      </c>
      <c r="G123" cm="1">
        <f t="array" ref="G123">(PRODUCT(1+sp500_monthly!L124:L243)^(1/120)-1)</f>
        <v>1.4619879416081893E-2</v>
      </c>
      <c r="H123" cm="1">
        <f t="array" ref="H123">(PRODUCT(1+sp500_monthly!N124:N243)^(1/120)-1)*100</f>
        <v>0</v>
      </c>
      <c r="I123" cm="1">
        <f t="array" ref="I123">(PRODUCT(1+sp500_monthly!O124:O243)^(1/120)-1)*100</f>
        <v>0</v>
      </c>
    </row>
    <row r="124" spans="1:9" x14ac:dyDescent="0.35">
      <c r="A124" s="1">
        <v>16891</v>
      </c>
      <c r="B124" cm="1">
        <f t="array" ref="B124">(PRODUCT(1+sp500_monthly!B125:B244)^(1/120)-1)*100</f>
        <v>0.587861616790053</v>
      </c>
      <c r="C124" cm="1">
        <f t="array" ref="C124">(PRODUCT(1+sp500_monthly!C125:C244)^(1/120)-1)*100</f>
        <v>0.14211228300662349</v>
      </c>
      <c r="D124" cm="1">
        <f t="array" ref="D124">(PRODUCT(1+sp500_monthly!D125:D244)^(1/120)-1)*100</f>
        <v>0.87751468790462361</v>
      </c>
      <c r="E124" cm="1">
        <f t="array" ref="E124">(PRODUCT(1+sp500_monthly!E125:E244)^(1/120)-1)*100</f>
        <v>0.50202612516483391</v>
      </c>
      <c r="F124" cm="1">
        <f t="array" ref="F124">(PRODUCT(1+sp500_monthly!K125:K244)^(1/120)-1)*100</f>
        <v>0.14339881175591263</v>
      </c>
      <c r="G124" cm="1">
        <f t="array" ref="G124">(PRODUCT(1+sp500_monthly!L125:L244)^(1/120)-1)</f>
        <v>1.4785685836386397E-2</v>
      </c>
      <c r="H124" cm="1">
        <f t="array" ref="H124">(PRODUCT(1+sp500_monthly!N125:N244)^(1/120)-1)*100</f>
        <v>0</v>
      </c>
      <c r="I124" cm="1">
        <f t="array" ref="I124">(PRODUCT(1+sp500_monthly!O125:O244)^(1/120)-1)*100</f>
        <v>0</v>
      </c>
    </row>
    <row r="125" spans="1:9" x14ac:dyDescent="0.35">
      <c r="A125" s="1">
        <v>16922</v>
      </c>
      <c r="B125" cm="1">
        <f t="array" ref="B125">(PRODUCT(1+sp500_monthly!B126:B245)^(1/120)-1)*100</f>
        <v>0.60815304347605625</v>
      </c>
      <c r="C125" cm="1">
        <f t="array" ref="C125">(PRODUCT(1+sp500_monthly!C126:C245)^(1/120)-1)*100</f>
        <v>0.16204576130616211</v>
      </c>
      <c r="D125" cm="1">
        <f t="array" ref="D125">(PRODUCT(1+sp500_monthly!D126:D245)^(1/120)-1)*100</f>
        <v>0.92138407138544487</v>
      </c>
      <c r="E125" cm="1">
        <f t="array" ref="E125">(PRODUCT(1+sp500_monthly!E126:E245)^(1/120)-1)*100</f>
        <v>0.54510678567989412</v>
      </c>
      <c r="F125" cm="1">
        <f t="array" ref="F125">(PRODUCT(1+sp500_monthly!K126:K245)^(1/120)-1)*100</f>
        <v>0.16021118804880885</v>
      </c>
      <c r="G125" cm="1">
        <f t="array" ref="G125">(PRODUCT(1+sp500_monthly!L126:L245)^(1/120)-1)</f>
        <v>1.4868192745999265E-2</v>
      </c>
      <c r="H125" cm="1">
        <f t="array" ref="H125">(PRODUCT(1+sp500_monthly!N126:N245)^(1/120)-1)*100</f>
        <v>0</v>
      </c>
      <c r="I125" cm="1">
        <f t="array" ref="I125">(PRODUCT(1+sp500_monthly!O126:O245)^(1/120)-1)*100</f>
        <v>0</v>
      </c>
    </row>
    <row r="126" spans="1:9" x14ac:dyDescent="0.35">
      <c r="A126" s="1">
        <v>16953</v>
      </c>
      <c r="B126" cm="1">
        <f t="array" ref="B126">(PRODUCT(1+sp500_monthly!B127:B246)^(1/120)-1)*100</f>
        <v>0.7053599259974952</v>
      </c>
      <c r="C126" cm="1">
        <f t="array" ref="C126">(PRODUCT(1+sp500_monthly!C127:C246)^(1/120)-1)*100</f>
        <v>0.25867738790925632</v>
      </c>
      <c r="D126" cm="1">
        <f t="array" ref="D126">(PRODUCT(1+sp500_monthly!D127:D246)^(1/120)-1)*100</f>
        <v>1.0305768787187475</v>
      </c>
      <c r="E126" cm="1">
        <f t="array" ref="E126">(PRODUCT(1+sp500_monthly!E127:E246)^(1/120)-1)*100</f>
        <v>0.65392496455212168</v>
      </c>
      <c r="F126" cm="1">
        <f t="array" ref="F126">(PRODUCT(1+sp500_monthly!K127:K246)^(1/120)-1)*100</f>
        <v>0.25802489158506248</v>
      </c>
      <c r="G126" cm="1">
        <f t="array" ref="G126">(PRODUCT(1+sp500_monthly!L127:L246)^(1/120)-1)</f>
        <v>1.495070636381679E-2</v>
      </c>
      <c r="H126" cm="1">
        <f t="array" ref="H126">(PRODUCT(1+sp500_monthly!N127:N246)^(1/120)-1)*100</f>
        <v>0</v>
      </c>
      <c r="I126" cm="1">
        <f t="array" ref="I126">(PRODUCT(1+sp500_monthly!O127:O246)^(1/120)-1)*100</f>
        <v>0</v>
      </c>
    </row>
    <row r="127" spans="1:9" x14ac:dyDescent="0.35">
      <c r="A127" s="1">
        <v>16981</v>
      </c>
      <c r="B127" cm="1">
        <f t="array" ref="B127">(PRODUCT(1+sp500_monthly!B128:B247)^(1/120)-1)*100</f>
        <v>0.68575332761844354</v>
      </c>
      <c r="C127" cm="1">
        <f t="array" ref="C127">(PRODUCT(1+sp500_monthly!C128:C247)^(1/120)-1)*100</f>
        <v>0.23949279792343514</v>
      </c>
      <c r="D127" cm="1">
        <f t="array" ref="D127">(PRODUCT(1+sp500_monthly!D128:D247)^(1/120)-1)*100</f>
        <v>1.0148567994771929</v>
      </c>
      <c r="E127" cm="1">
        <f t="array" ref="E127">(PRODUCT(1+sp500_monthly!E128:E247)^(1/120)-1)*100</f>
        <v>0.63632289968840183</v>
      </c>
      <c r="F127" cm="1">
        <f t="array" ref="F127">(PRODUCT(1+sp500_monthly!K128:K247)^(1/120)-1)*100</f>
        <v>0.23914877081483432</v>
      </c>
      <c r="G127" cm="1">
        <f t="array" ref="G127">(PRODUCT(1+sp500_monthly!L128:L247)^(1/120)-1)</f>
        <v>1.5033226690384538E-2</v>
      </c>
      <c r="H127" cm="1">
        <f t="array" ref="H127">(PRODUCT(1+sp500_monthly!N128:N247)^(1/120)-1)*100</f>
        <v>0</v>
      </c>
      <c r="I127" cm="1">
        <f t="array" ref="I127">(PRODUCT(1+sp500_monthly!O128:O247)^(1/120)-1)*100</f>
        <v>0</v>
      </c>
    </row>
    <row r="128" spans="1:9" x14ac:dyDescent="0.35">
      <c r="A128" s="1">
        <v>17014</v>
      </c>
      <c r="B128" cm="1">
        <f t="array" ref="B128">(PRODUCT(1+sp500_monthly!B129:B248)^(1/120)-1)*100</f>
        <v>0.62875580027565992</v>
      </c>
      <c r="C128" cm="1">
        <f t="array" ref="C128">(PRODUCT(1+sp500_monthly!C129:C248)^(1/120)-1)*100</f>
        <v>0.1832700215870009</v>
      </c>
      <c r="D128" cm="1">
        <f t="array" ref="D128">(PRODUCT(1+sp500_monthly!D129:D248)^(1/120)-1)*100</f>
        <v>0.96445805019127473</v>
      </c>
      <c r="E128" cm="1">
        <f t="array" ref="E128">(PRODUCT(1+sp500_monthly!E129:E248)^(1/120)-1)*100</f>
        <v>0.58642205065650987</v>
      </c>
      <c r="F128" cm="1">
        <f t="array" ref="F128">(PRODUCT(1+sp500_monthly!K129:K248)^(1/120)-1)*100</f>
        <v>0.180704240427354</v>
      </c>
      <c r="G128" cm="1">
        <f t="array" ref="G128">(PRODUCT(1+sp500_monthly!L129:L248)^(1/120)-1)</f>
        <v>1.5033226690384538E-2</v>
      </c>
      <c r="H128" cm="1">
        <f t="array" ref="H128">(PRODUCT(1+sp500_monthly!N129:N248)^(1/120)-1)*100</f>
        <v>0</v>
      </c>
      <c r="I128" cm="1">
        <f t="array" ref="I128">(PRODUCT(1+sp500_monthly!O129:O248)^(1/120)-1)*100</f>
        <v>0</v>
      </c>
    </row>
    <row r="129" spans="1:9" x14ac:dyDescent="0.35">
      <c r="A129" s="1">
        <v>17044</v>
      </c>
      <c r="B129" cm="1">
        <f t="array" ref="B129">(PRODUCT(1+sp500_monthly!B130:B249)^(1/120)-1)*100</f>
        <v>0.54610539173007844</v>
      </c>
      <c r="C129" cm="1">
        <f t="array" ref="C129">(PRODUCT(1+sp500_monthly!C130:C249)^(1/120)-1)*100</f>
        <v>0.10090397162365594</v>
      </c>
      <c r="D129" cm="1">
        <f t="array" ref="D129">(PRODUCT(1+sp500_monthly!D130:D249)^(1/120)-1)*100</f>
        <v>0.85793266455767014</v>
      </c>
      <c r="E129" cm="1">
        <f t="array" ref="E129">(PRODUCT(1+sp500_monthly!E130:E249)^(1/120)-1)*100</f>
        <v>0.48046335552998087</v>
      </c>
      <c r="F129" cm="1">
        <f t="array" ref="F129">(PRODUCT(1+sp500_monthly!K130:K249)^(1/120)-1)*100</f>
        <v>0.10419892044200019</v>
      </c>
      <c r="G129" cm="1">
        <f t="array" ref="G129">(PRODUCT(1+sp500_monthly!L130:L249)^(1/120)-1)</f>
        <v>1.5199100658776166E-2</v>
      </c>
      <c r="H129" cm="1">
        <f t="array" ref="H129">(PRODUCT(1+sp500_monthly!N130:N249)^(1/120)-1)*100</f>
        <v>0</v>
      </c>
      <c r="I129" cm="1">
        <f t="array" ref="I129">(PRODUCT(1+sp500_monthly!O130:O249)^(1/120)-1)*100</f>
        <v>0</v>
      </c>
    </row>
    <row r="130" spans="1:9" x14ac:dyDescent="0.35">
      <c r="A130" s="1">
        <v>17075</v>
      </c>
      <c r="B130" cm="1">
        <f t="array" ref="B130">(PRODUCT(1+sp500_monthly!B131:B250)^(1/120)-1)*100</f>
        <v>0.4746044615962175</v>
      </c>
      <c r="C130" cm="1">
        <f t="array" ref="C130">(PRODUCT(1+sp500_monthly!C131:C250)^(1/120)-1)*100</f>
        <v>2.9952668071242528E-2</v>
      </c>
      <c r="D130" cm="1">
        <f t="array" ref="D130">(PRODUCT(1+sp500_monthly!D131:D250)^(1/120)-1)*100</f>
        <v>0.77222108486219021</v>
      </c>
      <c r="E130" cm="1">
        <f t="array" ref="E130">(PRODUCT(1+sp500_monthly!E131:E250)^(1/120)-1)*100</f>
        <v>0.39327046731774118</v>
      </c>
      <c r="F130" cm="1">
        <f t="array" ref="F130">(PRODUCT(1+sp500_monthly!K131:K250)^(1/120)-1)*100</f>
        <v>3.3707677594385643E-2</v>
      </c>
      <c r="G130" cm="1">
        <f t="array" ref="G130">(PRODUCT(1+sp500_monthly!L131:L250)^(1/120)-1)</f>
        <v>1.5281641180983296E-2</v>
      </c>
      <c r="H130" cm="1">
        <f t="array" ref="H130">(PRODUCT(1+sp500_monthly!N131:N250)^(1/120)-1)*100</f>
        <v>0</v>
      </c>
      <c r="I130" cm="1">
        <f t="array" ref="I130">(PRODUCT(1+sp500_monthly!O131:O250)^(1/120)-1)*100</f>
        <v>0</v>
      </c>
    </row>
    <row r="131" spans="1:9" x14ac:dyDescent="0.35">
      <c r="A131" s="1">
        <v>17106</v>
      </c>
      <c r="B131" cm="1">
        <f t="array" ref="B131">(PRODUCT(1+sp500_monthly!B132:B251)^(1/120)-1)*100</f>
        <v>0.37857453423797427</v>
      </c>
      <c r="C131" cm="1">
        <f t="array" ref="C131">(PRODUCT(1+sp500_monthly!C132:C251)^(1/120)-1)*100</f>
        <v>-6.5328661229169249E-2</v>
      </c>
      <c r="D131" cm="1">
        <f t="array" ref="D131">(PRODUCT(1+sp500_monthly!D132:D251)^(1/120)-1)*100</f>
        <v>0.64434511259090499</v>
      </c>
      <c r="E131" cm="1">
        <f t="array" ref="E131">(PRODUCT(1+sp500_monthly!E132:E251)^(1/120)-1)*100</f>
        <v>0.26541078544519703</v>
      </c>
      <c r="F131" cm="1">
        <f t="array" ref="F131">(PRODUCT(1+sp500_monthly!K132:K251)^(1/120)-1)*100</f>
        <v>-5.651620644304689E-2</v>
      </c>
      <c r="G131" cm="1">
        <f t="array" ref="G131">(PRODUCT(1+sp500_monthly!L132:L251)^(1/120)-1)</f>
        <v>1.5447555744595221E-2</v>
      </c>
      <c r="H131" cm="1">
        <f t="array" ref="H131">(PRODUCT(1+sp500_monthly!N132:N251)^(1/120)-1)*100</f>
        <v>0</v>
      </c>
      <c r="I131" cm="1">
        <f t="array" ref="I131">(PRODUCT(1+sp500_monthly!O132:O251)^(1/120)-1)*100</f>
        <v>0</v>
      </c>
    </row>
    <row r="132" spans="1:9" x14ac:dyDescent="0.35">
      <c r="A132" s="1">
        <v>17136</v>
      </c>
      <c r="B132" cm="1">
        <f t="array" ref="B132">(PRODUCT(1+sp500_monthly!B133:B252)^(1/120)-1)*100</f>
        <v>0.31237702577722182</v>
      </c>
      <c r="C132" cm="1">
        <f t="array" ref="C132">(PRODUCT(1+sp500_monthly!C133:C252)^(1/120)-1)*100</f>
        <v>-0.13144187801935603</v>
      </c>
      <c r="D132" cm="1">
        <f t="array" ref="D132">(PRODUCT(1+sp500_monthly!D133:D252)^(1/120)-1)*100</f>
        <v>0.60177352615029545</v>
      </c>
      <c r="E132" cm="1">
        <f t="array" ref="E132">(PRODUCT(1+sp500_monthly!E133:E252)^(1/120)-1)*100</f>
        <v>0.22326363200260158</v>
      </c>
      <c r="F132" cm="1">
        <f t="array" ref="F132">(PRODUCT(1+sp500_monthly!K133:K252)^(1/120)-1)*100</f>
        <v>-0.12339788579701638</v>
      </c>
      <c r="G132" cm="1">
        <f t="array" ref="G132">(PRODUCT(1+sp500_monthly!L133:L252)^(1/120)-1)</f>
        <v>1.5530116467384003E-2</v>
      </c>
      <c r="H132" cm="1">
        <f t="array" ref="H132">(PRODUCT(1+sp500_monthly!N133:N252)^(1/120)-1)*100</f>
        <v>0</v>
      </c>
      <c r="I132" cm="1">
        <f t="array" ref="I132">(PRODUCT(1+sp500_monthly!O133:O252)^(1/120)-1)*100</f>
        <v>0</v>
      </c>
    </row>
    <row r="133" spans="1:9" x14ac:dyDescent="0.35">
      <c r="A133" s="1">
        <v>17167</v>
      </c>
      <c r="B133" cm="1">
        <f t="array" ref="B133">(PRODUCT(1+sp500_monthly!B134:B253)^(1/120)-1)*100</f>
        <v>0.30032541693503223</v>
      </c>
      <c r="C133" cm="1">
        <f t="array" ref="C133">(PRODUCT(1+sp500_monthly!C134:C253)^(1/120)-1)*100</f>
        <v>-0.14100335061368874</v>
      </c>
      <c r="D133" cm="1">
        <f t="array" ref="D133">(PRODUCT(1+sp500_monthly!D134:D253)^(1/120)-1)*100</f>
        <v>0.57505339886920748</v>
      </c>
      <c r="E133" cm="1">
        <f t="array" ref="E133">(PRODUCT(1+sp500_monthly!E134:E253)^(1/120)-1)*100</f>
        <v>0.19499396452495876</v>
      </c>
      <c r="F133" cm="1">
        <f t="array" ref="F133">(PRODUCT(1+sp500_monthly!K134:K253)^(1/120)-1)*100</f>
        <v>-0.13636508653774859</v>
      </c>
      <c r="G133" cm="1">
        <f t="array" ref="G133">(PRODUCT(1+sp500_monthly!L134:L253)^(1/120)-1)</f>
        <v>1.5696071636151165E-2</v>
      </c>
      <c r="H133" cm="1">
        <f t="array" ref="H133">(PRODUCT(1+sp500_monthly!N134:N253)^(1/120)-1)*100</f>
        <v>0</v>
      </c>
      <c r="I133" cm="1">
        <f t="array" ref="I133">(PRODUCT(1+sp500_monthly!O134:O253)^(1/120)-1)*100</f>
        <v>0</v>
      </c>
    </row>
    <row r="134" spans="1:9" x14ac:dyDescent="0.35">
      <c r="A134" s="1">
        <v>17198</v>
      </c>
      <c r="B134" cm="1">
        <f t="array" ref="B134">(PRODUCT(1+sp500_monthly!B135:B254)^(1/120)-1)*100</f>
        <v>0.34178513231455376</v>
      </c>
      <c r="C134" cm="1">
        <f t="array" ref="C134">(PRODUCT(1+sp500_monthly!C135:C254)^(1/120)-1)*100</f>
        <v>-0.10069235354075445</v>
      </c>
      <c r="D134" cm="1">
        <f t="array" ref="D134">(PRODUCT(1+sp500_monthly!D135:D254)^(1/120)-1)*100</f>
        <v>0.60246638842671452</v>
      </c>
      <c r="E134" cm="1">
        <f t="array" ref="E134">(PRODUCT(1+sp500_monthly!E135:E254)^(1/120)-1)*100</f>
        <v>0.2211367841906009</v>
      </c>
      <c r="F134" cm="1">
        <f t="array" ref="F134">(PRODUCT(1+sp500_monthly!K135:K254)^(1/120)-1)*100</f>
        <v>-9.6534647224211234E-2</v>
      </c>
      <c r="G134" cm="1">
        <f t="array" ref="G134">(PRODUCT(1+sp500_monthly!L135:L254)^(1/120)-1)</f>
        <v>1.5946292113450999E-2</v>
      </c>
      <c r="H134" cm="1">
        <f t="array" ref="H134">(PRODUCT(1+sp500_monthly!N135:N254)^(1/120)-1)*100</f>
        <v>0</v>
      </c>
      <c r="I134" cm="1">
        <f t="array" ref="I134">(PRODUCT(1+sp500_monthly!O135:O254)^(1/120)-1)*100</f>
        <v>0</v>
      </c>
    </row>
    <row r="135" spans="1:9" x14ac:dyDescent="0.35">
      <c r="A135" s="1">
        <v>17226</v>
      </c>
      <c r="B135" cm="1">
        <f t="array" ref="B135">(PRODUCT(1+sp500_monthly!B136:B255)^(1/120)-1)*100</f>
        <v>0.32989682426269873</v>
      </c>
      <c r="C135" cm="1">
        <f t="array" ref="C135">(PRODUCT(1+sp500_monthly!C136:C255)^(1/120)-1)*100</f>
        <v>-0.11280403957548701</v>
      </c>
      <c r="D135" cm="1">
        <f t="array" ref="D135">(PRODUCT(1+sp500_monthly!D136:D255)^(1/120)-1)*100</f>
        <v>0.57646816164722559</v>
      </c>
      <c r="E135" cm="1">
        <f t="array" ref="E135">(PRODUCT(1+sp500_monthly!E136:E255)^(1/120)-1)*100</f>
        <v>0.19532329415601346</v>
      </c>
      <c r="F135" cm="1">
        <f t="array" ref="F135">(PRODUCT(1+sp500_monthly!K136:K255)^(1/120)-1)*100</f>
        <v>-0.10808977338611081</v>
      </c>
      <c r="G135" cm="1">
        <f t="array" ref="G135">(PRODUCT(1+sp500_monthly!L136:L255)^(1/120)-1)</f>
        <v>1.6112315292510004E-2</v>
      </c>
      <c r="H135" cm="1">
        <f t="array" ref="H135">(PRODUCT(1+sp500_monthly!N136:N255)^(1/120)-1)*100</f>
        <v>0</v>
      </c>
      <c r="I135" cm="1">
        <f t="array" ref="I135">(PRODUCT(1+sp500_monthly!O136:O255)^(1/120)-1)*100</f>
        <v>0</v>
      </c>
    </row>
    <row r="136" spans="1:9" x14ac:dyDescent="0.35">
      <c r="A136" s="1">
        <v>17257</v>
      </c>
      <c r="B136" cm="1">
        <f t="array" ref="B136">(PRODUCT(1+sp500_monthly!B137:B256)^(1/120)-1)*100</f>
        <v>0.30761271778707577</v>
      </c>
      <c r="C136" cm="1">
        <f t="array" ref="C136">(PRODUCT(1+sp500_monthly!C137:C256)^(1/120)-1)*100</f>
        <v>-0.13820175832086612</v>
      </c>
      <c r="D136" cm="1">
        <f t="array" ref="D136">(PRODUCT(1+sp500_monthly!D137:D256)^(1/120)-1)*100</f>
        <v>0.54472554249791472</v>
      </c>
      <c r="E136" cm="1">
        <f t="array" ref="E136">(PRODUCT(1+sp500_monthly!E137:E256)^(1/120)-1)*100</f>
        <v>0.16083124994512588</v>
      </c>
      <c r="F136" cm="1">
        <f t="array" ref="F136">(PRODUCT(1+sp500_monthly!K137:K256)^(1/120)-1)*100</f>
        <v>-0.13245428994703712</v>
      </c>
      <c r="G136" cm="1">
        <f t="array" ref="G136">(PRODUCT(1+sp500_monthly!L137:L256)^(1/120)-1)</f>
        <v>1.6194930063416324E-2</v>
      </c>
      <c r="H136" cm="1">
        <f t="array" ref="H136">(PRODUCT(1+sp500_monthly!N137:N256)^(1/120)-1)*100</f>
        <v>0</v>
      </c>
      <c r="I136" cm="1">
        <f t="array" ref="I136">(PRODUCT(1+sp500_monthly!O137:O256)^(1/120)-1)*100</f>
        <v>0</v>
      </c>
    </row>
    <row r="137" spans="1:9" x14ac:dyDescent="0.35">
      <c r="A137" s="1">
        <v>17287</v>
      </c>
      <c r="B137" cm="1">
        <f t="array" ref="B137">(PRODUCT(1+sp500_monthly!B138:B257)^(1/120)-1)*100</f>
        <v>0.29791295445671384</v>
      </c>
      <c r="C137" cm="1">
        <f t="array" ref="C137">(PRODUCT(1+sp500_monthly!C138:C257)^(1/120)-1)*100</f>
        <v>-0.14787832599870709</v>
      </c>
      <c r="D137" cm="1">
        <f t="array" ref="D137">(PRODUCT(1+sp500_monthly!D138:D257)^(1/120)-1)*100</f>
        <v>0.50767045205990513</v>
      </c>
      <c r="E137" cm="1">
        <f t="array" ref="E137">(PRODUCT(1+sp500_monthly!E138:E257)^(1/120)-1)*100</f>
        <v>0.12354114248345205</v>
      </c>
      <c r="F137" cm="1">
        <f t="array" ref="F137">(PRODUCT(1+sp500_monthly!K138:K257)^(1/120)-1)*100</f>
        <v>-0.13873921123411792</v>
      </c>
      <c r="G137" cm="1">
        <f t="array" ref="G137">(PRODUCT(1+sp500_monthly!L138:L257)^(1/120)-1)</f>
        <v>1.6360993874212637E-2</v>
      </c>
      <c r="H137" cm="1">
        <f t="array" ref="H137">(PRODUCT(1+sp500_monthly!N138:N257)^(1/120)-1)*100</f>
        <v>0</v>
      </c>
      <c r="I137" cm="1">
        <f t="array" ref="I137">(PRODUCT(1+sp500_monthly!O138:O257)^(1/120)-1)*100</f>
        <v>0</v>
      </c>
    </row>
    <row r="138" spans="1:9" x14ac:dyDescent="0.35">
      <c r="A138" s="1">
        <v>17316</v>
      </c>
      <c r="B138" cm="1">
        <f t="array" ref="B138">(PRODUCT(1+sp500_monthly!B139:B258)^(1/120)-1)*100</f>
        <v>0.33446170508175666</v>
      </c>
      <c r="C138" cm="1">
        <f t="array" ref="C138">(PRODUCT(1+sp500_monthly!C139:C258)^(1/120)-1)*100</f>
        <v>-0.11177858641400196</v>
      </c>
      <c r="D138" cm="1">
        <f t="array" ref="D138">(PRODUCT(1+sp500_monthly!D139:D258)^(1/120)-1)*100</f>
        <v>0.52806666401850055</v>
      </c>
      <c r="E138" cm="1">
        <f t="array" ref="E138">(PRODUCT(1+sp500_monthly!E139:E258)^(1/120)-1)*100</f>
        <v>0.14332463816606467</v>
      </c>
      <c r="F138" cm="1">
        <f t="array" ref="F138">(PRODUCT(1+sp500_monthly!K139:K258)^(1/120)-1)*100</f>
        <v>-9.9503846029502796E-2</v>
      </c>
      <c r="G138" cm="1">
        <f t="array" ref="G138">(PRODUCT(1+sp500_monthly!L139:L258)^(1/120)-1)</f>
        <v>1.6360993874212637E-2</v>
      </c>
      <c r="H138" cm="1">
        <f t="array" ref="H138">(PRODUCT(1+sp500_monthly!N139:N258)^(1/120)-1)*100</f>
        <v>0</v>
      </c>
      <c r="I138" cm="1">
        <f t="array" ref="I138">(PRODUCT(1+sp500_monthly!O139:O258)^(1/120)-1)*100</f>
        <v>0</v>
      </c>
    </row>
    <row r="139" spans="1:9" x14ac:dyDescent="0.35">
      <c r="A139" s="1">
        <v>17348</v>
      </c>
      <c r="B139" cm="1">
        <f t="array" ref="B139">(PRODUCT(1+sp500_monthly!B140:B259)^(1/120)-1)*100</f>
        <v>0.33841229416646801</v>
      </c>
      <c r="C139" cm="1">
        <f t="array" ref="C139">(PRODUCT(1+sp500_monthly!C140:C259)^(1/120)-1)*100</f>
        <v>-0.11075504162770811</v>
      </c>
      <c r="D139" cm="1">
        <f t="array" ref="D139">(PRODUCT(1+sp500_monthly!D140:D259)^(1/120)-1)*100</f>
        <v>0.53576356363862487</v>
      </c>
      <c r="E139" cm="1">
        <f t="array" ref="E139">(PRODUCT(1+sp500_monthly!E140:E259)^(1/120)-1)*100</f>
        <v>0.14750138984640504</v>
      </c>
      <c r="F139" cm="1">
        <f t="array" ref="F139">(PRODUCT(1+sp500_monthly!K140:K259)^(1/120)-1)*100</f>
        <v>-9.8300939438444868E-2</v>
      </c>
      <c r="G139" cm="1">
        <f t="array" ref="G139">(PRODUCT(1+sp500_monthly!L140:L259)^(1/120)-1)</f>
        <v>1.611785769607077E-2</v>
      </c>
      <c r="H139" cm="1">
        <f t="array" ref="H139">(PRODUCT(1+sp500_monthly!N140:N259)^(1/120)-1)*100</f>
        <v>0</v>
      </c>
      <c r="I139" cm="1">
        <f t="array" ref="I139">(PRODUCT(1+sp500_monthly!O140:O259)^(1/120)-1)*100</f>
        <v>0</v>
      </c>
    </row>
    <row r="140" spans="1:9" x14ac:dyDescent="0.35">
      <c r="A140" s="1">
        <v>17379</v>
      </c>
      <c r="B140" cm="1">
        <f t="array" ref="B140">(PRODUCT(1+sp500_monthly!B141:B260)^(1/120)-1)*100</f>
        <v>0.4286641137309477</v>
      </c>
      <c r="C140" cm="1">
        <f t="array" ref="C140">(PRODUCT(1+sp500_monthly!C141:C260)^(1/120)-1)*100</f>
        <v>-1.9774033355002274E-2</v>
      </c>
      <c r="D140" cm="1">
        <f t="array" ref="D140">(PRODUCT(1+sp500_monthly!D141:D260)^(1/120)-1)*100</f>
        <v>0.64399408033708472</v>
      </c>
      <c r="E140" cm="1">
        <f t="array" ref="E140">(PRODUCT(1+sp500_monthly!E141:E260)^(1/120)-1)*100</f>
        <v>0.25626406544299041</v>
      </c>
      <c r="F140" cm="1">
        <f t="array" ref="F140">(PRODUCT(1+sp500_monthly!K141:K260)^(1/120)-1)*100</f>
        <v>-1.0349054374547695E-2</v>
      </c>
      <c r="G140" cm="1">
        <f t="array" ref="G140">(PRODUCT(1+sp500_monthly!L141:L260)^(1/120)-1)</f>
        <v>1.611785769607077E-2</v>
      </c>
      <c r="H140" cm="1">
        <f t="array" ref="H140">(PRODUCT(1+sp500_monthly!N141:N260)^(1/120)-1)*100</f>
        <v>0</v>
      </c>
      <c r="I140" cm="1">
        <f t="array" ref="I140">(PRODUCT(1+sp500_monthly!O141:O260)^(1/120)-1)*100</f>
        <v>0</v>
      </c>
    </row>
    <row r="141" spans="1:9" x14ac:dyDescent="0.35">
      <c r="A141" s="1">
        <v>17408</v>
      </c>
      <c r="B141" cm="1">
        <f t="array" ref="B141">(PRODUCT(1+sp500_monthly!B142:B261)^(1/120)-1)*100</f>
        <v>0.3821568336890957</v>
      </c>
      <c r="C141" cm="1">
        <f t="array" ref="C141">(PRODUCT(1+sp500_monthly!C142:C261)^(1/120)-1)*100</f>
        <v>-6.6295719252240648E-2</v>
      </c>
      <c r="D141" cm="1">
        <f t="array" ref="D141">(PRODUCT(1+sp500_monthly!D142:D261)^(1/120)-1)*100</f>
        <v>0.59763734670006396</v>
      </c>
      <c r="E141" cm="1">
        <f t="array" ref="E141">(PRODUCT(1+sp500_monthly!E142:E261)^(1/120)-1)*100</f>
        <v>0.20979557653897363</v>
      </c>
      <c r="F141" cm="1">
        <f t="array" ref="F141">(PRODUCT(1+sp500_monthly!K142:K261)^(1/120)-1)*100</f>
        <v>-6.2119233154089848E-2</v>
      </c>
      <c r="G141" cm="1">
        <f t="array" ref="G141">(PRODUCT(1+sp500_monthly!L142:L261)^(1/120)-1)</f>
        <v>1.611785769607077E-2</v>
      </c>
      <c r="H141" cm="1">
        <f t="array" ref="H141">(PRODUCT(1+sp500_monthly!N142:N261)^(1/120)-1)*100</f>
        <v>0</v>
      </c>
      <c r="I141" cm="1">
        <f t="array" ref="I141">(PRODUCT(1+sp500_monthly!O142:O261)^(1/120)-1)*100</f>
        <v>0</v>
      </c>
    </row>
    <row r="142" spans="1:9" x14ac:dyDescent="0.35">
      <c r="A142" s="1">
        <v>17440</v>
      </c>
      <c r="B142" cm="1">
        <f t="array" ref="B142">(PRODUCT(1+sp500_monthly!B143:B262)^(1/120)-1)*100</f>
        <v>0.40658020196717715</v>
      </c>
      <c r="C142" cm="1">
        <f t="array" ref="C142">(PRODUCT(1+sp500_monthly!C143:C262)^(1/120)-1)*100</f>
        <v>-4.2678444259980353E-2</v>
      </c>
      <c r="D142" cm="1">
        <f t="array" ref="D142">(PRODUCT(1+sp500_monthly!D143:D262)^(1/120)-1)*100</f>
        <v>0.6277373870428038</v>
      </c>
      <c r="E142" cm="1">
        <f t="array" ref="E142">(PRODUCT(1+sp500_monthly!E143:E262)^(1/120)-1)*100</f>
        <v>0.23830694208986092</v>
      </c>
      <c r="F142" cm="1">
        <f t="array" ref="F142">(PRODUCT(1+sp500_monthly!K143:K262)^(1/120)-1)*100</f>
        <v>-3.8269399551849048E-2</v>
      </c>
      <c r="G142" cm="1">
        <f t="array" ref="G142">(PRODUCT(1+sp500_monthly!L143:L262)^(1/120)-1)</f>
        <v>1.620047291760085E-2</v>
      </c>
      <c r="H142" cm="1">
        <f t="array" ref="H142">(PRODUCT(1+sp500_monthly!N143:N262)^(1/120)-1)*100</f>
        <v>0</v>
      </c>
      <c r="I142" cm="1">
        <f t="array" ref="I142">(PRODUCT(1+sp500_monthly!O143:O262)^(1/120)-1)*100</f>
        <v>0</v>
      </c>
    </row>
    <row r="143" spans="1:9" x14ac:dyDescent="0.35">
      <c r="A143" s="1">
        <v>17471</v>
      </c>
      <c r="B143" cm="1">
        <f t="array" ref="B143">(PRODUCT(1+sp500_monthly!B144:B263)^(1/120)-1)*100</f>
        <v>0.52411785959816104</v>
      </c>
      <c r="C143" cm="1">
        <f t="array" ref="C143">(PRODUCT(1+sp500_monthly!C144:C263)^(1/120)-1)*100</f>
        <v>7.5115703725892047E-2</v>
      </c>
      <c r="D143" cm="1">
        <f t="array" ref="D143">(PRODUCT(1+sp500_monthly!D144:D263)^(1/120)-1)*100</f>
        <v>0.78709663216629533</v>
      </c>
      <c r="E143" cm="1">
        <f t="array" ref="E143">(PRODUCT(1+sp500_monthly!E144:E263)^(1/120)-1)*100</f>
        <v>0.39659428079517056</v>
      </c>
      <c r="F143" cm="1">
        <f t="array" ref="F143">(PRODUCT(1+sp500_monthly!K144:K263)^(1/120)-1)*100</f>
        <v>7.8018168587146164E-2</v>
      </c>
      <c r="G143" cm="1">
        <f t="array" ref="G143">(PRODUCT(1+sp500_monthly!L144:L263)^(1/120)-1)</f>
        <v>1.6361792260250363E-2</v>
      </c>
      <c r="H143" cm="1">
        <f t="array" ref="H143">(PRODUCT(1+sp500_monthly!N144:N263)^(1/120)-1)*100</f>
        <v>0</v>
      </c>
      <c r="I143" cm="1">
        <f t="array" ref="I143">(PRODUCT(1+sp500_monthly!O144:O263)^(1/120)-1)*100</f>
        <v>0</v>
      </c>
    </row>
    <row r="144" spans="1:9" x14ac:dyDescent="0.35">
      <c r="A144" s="1">
        <v>17500</v>
      </c>
      <c r="B144" cm="1">
        <f t="array" ref="B144">(PRODUCT(1+sp500_monthly!B145:B264)^(1/120)-1)*100</f>
        <v>0.63203701699701131</v>
      </c>
      <c r="C144" cm="1">
        <f t="array" ref="C144">(PRODUCT(1+sp500_monthly!C145:C264)^(1/120)-1)*100</f>
        <v>0.18246340160661401</v>
      </c>
      <c r="D144" cm="1">
        <f t="array" ref="D144">(PRODUCT(1+sp500_monthly!D145:D264)^(1/120)-1)*100</f>
        <v>0.89614805728652769</v>
      </c>
      <c r="E144" cm="1">
        <f t="array" ref="E144">(PRODUCT(1+sp500_monthly!E145:E264)^(1/120)-1)*100</f>
        <v>0.50532273784467119</v>
      </c>
      <c r="F144" cm="1">
        <f t="array" ref="F144">(PRODUCT(1+sp500_monthly!K145:K264)^(1/120)-1)*100</f>
        <v>0.18503960112925544</v>
      </c>
      <c r="G144" cm="1">
        <f t="array" ref="G144">(PRODUCT(1+sp500_monthly!L145:L264)^(1/120)-1)</f>
        <v>1.6687641634381079E-2</v>
      </c>
      <c r="H144" cm="1">
        <f t="array" ref="H144">(PRODUCT(1+sp500_monthly!N145:N264)^(1/120)-1)*100</f>
        <v>0</v>
      </c>
      <c r="I144" cm="1">
        <f t="array" ref="I144">(PRODUCT(1+sp500_monthly!O145:O264)^(1/120)-1)*100</f>
        <v>0</v>
      </c>
    </row>
    <row r="145" spans="1:9" x14ac:dyDescent="0.35">
      <c r="A145" s="1">
        <v>17532</v>
      </c>
      <c r="B145" cm="1">
        <f t="array" ref="B145">(PRODUCT(1+sp500_monthly!B146:B265)^(1/120)-1)*100</f>
        <v>0.6909778115589793</v>
      </c>
      <c r="C145" cm="1">
        <f t="array" ref="C145">(PRODUCT(1+sp500_monthly!C146:C265)^(1/120)-1)*100</f>
        <v>0.24563351529609534</v>
      </c>
      <c r="D145" cm="1">
        <f t="array" ref="D145">(PRODUCT(1+sp500_monthly!D146:D265)^(1/120)-1)*100</f>
        <v>0.94565547321878718</v>
      </c>
      <c r="E145" cm="1">
        <f t="array" ref="E145">(PRODUCT(1+sp500_monthly!E146:E265)^(1/120)-1)*100</f>
        <v>0.55586768899058558</v>
      </c>
      <c r="F145" cm="1">
        <f t="array" ref="F145">(PRODUCT(1+sp500_monthly!K146:K265)^(1/120)-1)*100</f>
        <v>0.24992183060481565</v>
      </c>
      <c r="G145" cm="1">
        <f t="array" ref="G145">(PRODUCT(1+sp500_monthly!L146:L265)^(1/120)-1)</f>
        <v>1.7013595477033849E-2</v>
      </c>
      <c r="H145" cm="1">
        <f t="array" ref="H145">(PRODUCT(1+sp500_monthly!N146:N265)^(1/120)-1)*100</f>
        <v>0</v>
      </c>
      <c r="I145" cm="1">
        <f t="array" ref="I145">(PRODUCT(1+sp500_monthly!O146:O265)^(1/120)-1)*100</f>
        <v>0</v>
      </c>
    </row>
    <row r="146" spans="1:9" x14ac:dyDescent="0.35">
      <c r="A146" s="1">
        <v>17563</v>
      </c>
      <c r="B146" cm="1">
        <f t="array" ref="B146">(PRODUCT(1+sp500_monthly!B147:B266)^(1/120)-1)*100</f>
        <v>0.75580255062430712</v>
      </c>
      <c r="C146" cm="1">
        <f t="array" ref="C146">(PRODUCT(1+sp500_monthly!C147:C266)^(1/120)-1)*100</f>
        <v>0.31201405627965251</v>
      </c>
      <c r="D146" cm="1">
        <f t="array" ref="D146">(PRODUCT(1+sp500_monthly!D147:D266)^(1/120)-1)*100</f>
        <v>1.0616861086225393</v>
      </c>
      <c r="E146" cm="1">
        <f t="array" ref="E146">(PRODUCT(1+sp500_monthly!E147:E266)^(1/120)-1)*100</f>
        <v>0.67270976834985508</v>
      </c>
      <c r="F146" cm="1">
        <f t="array" ref="F146">(PRODUCT(1+sp500_monthly!K147:K266)^(1/120)-1)*100</f>
        <v>0.31024763098976837</v>
      </c>
      <c r="G146" cm="1">
        <f t="array" ref="G146">(PRODUCT(1+sp500_monthly!L147:L266)^(1/120)-1)</f>
        <v>1.766605822353351E-2</v>
      </c>
      <c r="H146" cm="1">
        <f t="array" ref="H146">(PRODUCT(1+sp500_monthly!N147:N266)^(1/120)-1)*100</f>
        <v>0</v>
      </c>
      <c r="I146" cm="1">
        <f t="array" ref="I146">(PRODUCT(1+sp500_monthly!O147:O266)^(1/120)-1)*100</f>
        <v>0</v>
      </c>
    </row>
    <row r="147" spans="1:9" x14ac:dyDescent="0.35">
      <c r="A147" s="1">
        <v>17591</v>
      </c>
      <c r="B147" cm="1">
        <f t="array" ref="B147">(PRODUCT(1+sp500_monthly!B148:B267)^(1/120)-1)*100</f>
        <v>0.71335691346499086</v>
      </c>
      <c r="C147" cm="1">
        <f t="array" ref="C147">(PRODUCT(1+sp500_monthly!C148:C267)^(1/120)-1)*100</f>
        <v>0.2696270521114208</v>
      </c>
      <c r="D147" cm="1">
        <f t="array" ref="D147">(PRODUCT(1+sp500_monthly!D148:D267)^(1/120)-1)*100</f>
        <v>1.0427955816729506</v>
      </c>
      <c r="E147" cm="1">
        <f t="array" ref="E147">(PRODUCT(1+sp500_monthly!E148:E267)^(1/120)-1)*100</f>
        <v>0.65378878173334432</v>
      </c>
      <c r="F147" cm="1">
        <f t="array" ref="F147">(PRODUCT(1+sp500_monthly!K148:K267)^(1/120)-1)*100</f>
        <v>0.26522824029391323</v>
      </c>
      <c r="G147" cm="1">
        <f t="array" ref="G147">(PRODUCT(1+sp500_monthly!L148:L267)^(1/120)-1)</f>
        <v>1.8240002593722826E-2</v>
      </c>
      <c r="H147" cm="1">
        <f t="array" ref="H147">(PRODUCT(1+sp500_monthly!N148:N267)^(1/120)-1)*100</f>
        <v>0</v>
      </c>
      <c r="I147" cm="1">
        <f t="array" ref="I147">(PRODUCT(1+sp500_monthly!O148:O267)^(1/120)-1)*100</f>
        <v>0</v>
      </c>
    </row>
    <row r="148" spans="1:9" x14ac:dyDescent="0.35">
      <c r="A148" s="1">
        <v>17623</v>
      </c>
      <c r="B148" cm="1">
        <f t="array" ref="B148">(PRODUCT(1+sp500_monthly!B149:B268)^(1/120)-1)*100</f>
        <v>0.62548171450165224</v>
      </c>
      <c r="C148" cm="1">
        <f t="array" ref="C148">(PRODUCT(1+sp500_monthly!C149:C268)^(1/120)-1)*100</f>
        <v>0.17917737557435753</v>
      </c>
      <c r="D148" cm="1">
        <f t="array" ref="D148">(PRODUCT(1+sp500_monthly!D149:D268)^(1/120)-1)*100</f>
        <v>0.93320934257861143</v>
      </c>
      <c r="E148" cm="1">
        <f t="array" ref="E148">(PRODUCT(1+sp500_monthly!E149:E268)^(1/120)-1)*100</f>
        <v>0.54135753815112153</v>
      </c>
      <c r="F148" cm="1">
        <f t="array" ref="F148">(PRODUCT(1+sp500_monthly!K149:K268)^(1/120)-1)*100</f>
        <v>0.17575051075471304</v>
      </c>
      <c r="G148" cm="1">
        <f t="array" ref="G148">(PRODUCT(1+sp500_monthly!L149:L268)^(1/120)-1)</f>
        <v>1.8814270657659726E-2</v>
      </c>
      <c r="H148" cm="1">
        <f t="array" ref="H148">(PRODUCT(1+sp500_monthly!N149:N268)^(1/120)-1)*100</f>
        <v>0</v>
      </c>
      <c r="I148" cm="1">
        <f t="array" ref="I148">(PRODUCT(1+sp500_monthly!O149:O268)^(1/120)-1)*100</f>
        <v>0</v>
      </c>
    </row>
    <row r="149" spans="1:9" x14ac:dyDescent="0.35">
      <c r="A149" s="1">
        <v>17653</v>
      </c>
      <c r="B149" cm="1">
        <f t="array" ref="B149">(PRODUCT(1+sp500_monthly!B150:B269)^(1/120)-1)*100</f>
        <v>0.93745492352259596</v>
      </c>
      <c r="C149" cm="1">
        <f t="array" ref="C149">(PRODUCT(1+sp500_monthly!C150:C269)^(1/120)-1)*100</f>
        <v>0.49066674489506301</v>
      </c>
      <c r="D149" cm="1">
        <f t="array" ref="D149">(PRODUCT(1+sp500_monthly!D150:D269)^(1/120)-1)*100</f>
        <v>1.3227746303040577</v>
      </c>
      <c r="E149" cm="1">
        <f t="array" ref="E149">(PRODUCT(1+sp500_monthly!E150:E269)^(1/120)-1)*100</f>
        <v>0.92969760613119679</v>
      </c>
      <c r="F149" cm="1">
        <f t="array" ref="F149">(PRODUCT(1+sp500_monthly!K150:K269)^(1/120)-1)*100</f>
        <v>0.47889129596327962</v>
      </c>
      <c r="G149" cm="1">
        <f t="array" ref="G149">(PRODUCT(1+sp500_monthly!L150:L269)^(1/120)-1)</f>
        <v>1.9631585752585945E-2</v>
      </c>
      <c r="H149" cm="1">
        <f t="array" ref="H149">(PRODUCT(1+sp500_monthly!N150:N269)^(1/120)-1)*100</f>
        <v>0</v>
      </c>
      <c r="I149" cm="1">
        <f t="array" ref="I149">(PRODUCT(1+sp500_monthly!O150:O269)^(1/120)-1)*100</f>
        <v>0</v>
      </c>
    </row>
    <row r="150" spans="1:9" x14ac:dyDescent="0.35">
      <c r="A150" s="1">
        <v>17681</v>
      </c>
      <c r="B150" cm="1">
        <f t="array" ref="B150">(PRODUCT(1+sp500_monthly!B151:B270)^(1/120)-1)*100</f>
        <v>0.85084618628024078</v>
      </c>
      <c r="C150" cm="1">
        <f t="array" ref="C150">(PRODUCT(1+sp500_monthly!C151:C270)^(1/120)-1)*100</f>
        <v>0.40383188802455283</v>
      </c>
      <c r="D150" cm="1">
        <f t="array" ref="D150">(PRODUCT(1+sp500_monthly!D151:D270)^(1/120)-1)*100</f>
        <v>1.2052110714463105</v>
      </c>
      <c r="E150" cm="1">
        <f t="array" ref="E150">(PRODUCT(1+sp500_monthly!E151:E270)^(1/120)-1)*100</f>
        <v>0.81240894562892851</v>
      </c>
      <c r="F150" cm="1">
        <f t="array" ref="F150">(PRODUCT(1+sp500_monthly!K151:K270)^(1/120)-1)*100</f>
        <v>0.39027452318414202</v>
      </c>
      <c r="G150" cm="1">
        <f t="array" ref="G150">(PRODUCT(1+sp500_monthly!L151:L270)^(1/120)-1)</f>
        <v>2.0201130067558415E-2</v>
      </c>
      <c r="H150" cm="1">
        <f t="array" ref="H150">(PRODUCT(1+sp500_monthly!N151:N270)^(1/120)-1)*100</f>
        <v>0</v>
      </c>
      <c r="I150" cm="1">
        <f t="array" ref="I150">(PRODUCT(1+sp500_monthly!O151:O270)^(1/120)-1)*100</f>
        <v>0</v>
      </c>
    </row>
    <row r="151" spans="1:9" x14ac:dyDescent="0.35">
      <c r="A151" s="1">
        <v>17714</v>
      </c>
      <c r="B151" cm="1">
        <f t="array" ref="B151">(PRODUCT(1+sp500_monthly!B152:B271)^(1/120)-1)*100</f>
        <v>0.95297967231371405</v>
      </c>
      <c r="C151" cm="1">
        <f t="array" ref="C151">(PRODUCT(1+sp500_monthly!C152:C271)^(1/120)-1)*100</f>
        <v>0.5057886836620451</v>
      </c>
      <c r="D151" cm="1">
        <f t="array" ref="D151">(PRODUCT(1+sp500_monthly!D152:D271)^(1/120)-1)*100</f>
        <v>1.3058087930631013</v>
      </c>
      <c r="E151" cm="1">
        <f t="array" ref="E151">(PRODUCT(1+sp500_monthly!E152:E271)^(1/120)-1)*100</f>
        <v>0.90984756332348482</v>
      </c>
      <c r="F151" cm="1">
        <f t="array" ref="F151">(PRODUCT(1+sp500_monthly!K152:K271)^(1/120)-1)*100</f>
        <v>0.49122009041893122</v>
      </c>
      <c r="G151" cm="1">
        <f t="array" ref="G151">(PRODUCT(1+sp500_monthly!L152:L271)^(1/120)-1)</f>
        <v>2.0855637769585433E-2</v>
      </c>
      <c r="H151" cm="1">
        <f t="array" ref="H151">(PRODUCT(1+sp500_monthly!N152:N271)^(1/120)-1)*100</f>
        <v>0</v>
      </c>
      <c r="I151" cm="1">
        <f t="array" ref="I151">(PRODUCT(1+sp500_monthly!O152:O271)^(1/120)-1)*100</f>
        <v>0</v>
      </c>
    </row>
    <row r="152" spans="1:9" x14ac:dyDescent="0.35">
      <c r="A152" s="1">
        <v>17744</v>
      </c>
      <c r="B152" cm="1">
        <f t="array" ref="B152">(PRODUCT(1+sp500_monthly!B153:B272)^(1/120)-1)*100</f>
        <v>0.76948034637815965</v>
      </c>
      <c r="C152" cm="1">
        <f t="array" ref="C152">(PRODUCT(1+sp500_monthly!C153:C272)^(1/120)-1)*100</f>
        <v>0.32261116228469167</v>
      </c>
      <c r="D152" cm="1">
        <f t="array" ref="D152">(PRODUCT(1+sp500_monthly!D153:D272)^(1/120)-1)*100</f>
        <v>1.089862696890509</v>
      </c>
      <c r="E152" cm="1">
        <f t="array" ref="E152">(PRODUCT(1+sp500_monthly!E153:E272)^(1/120)-1)*100</f>
        <v>0.69379158834037558</v>
      </c>
      <c r="F152" cm="1">
        <f t="array" ref="F152">(PRODUCT(1+sp500_monthly!K153:K272)^(1/120)-1)*100</f>
        <v>0.30901433490952979</v>
      </c>
      <c r="G152" cm="1">
        <f t="array" ref="G152">(PRODUCT(1+sp500_monthly!L153:L272)^(1/120)-1)</f>
        <v>2.1589025970653264E-2</v>
      </c>
      <c r="H152" cm="1">
        <f t="array" ref="H152">(PRODUCT(1+sp500_monthly!N153:N272)^(1/120)-1)*100</f>
        <v>0</v>
      </c>
      <c r="I152" cm="1">
        <f t="array" ref="I152">(PRODUCT(1+sp500_monthly!O153:O272)^(1/120)-1)*100</f>
        <v>0</v>
      </c>
    </row>
    <row r="153" spans="1:9" x14ac:dyDescent="0.35">
      <c r="A153" s="1">
        <v>17776</v>
      </c>
      <c r="B153" cm="1">
        <f t="array" ref="B153">(PRODUCT(1+sp500_monthly!B154:B273)^(1/120)-1)*100</f>
        <v>0.66390410632022334</v>
      </c>
      <c r="C153" cm="1">
        <f t="array" ref="C153">(PRODUCT(1+sp500_monthly!C154:C273)^(1/120)-1)*100</f>
        <v>0.21742870242227319</v>
      </c>
      <c r="D153" cm="1">
        <f t="array" ref="D153">(PRODUCT(1+sp500_monthly!D154:D273)^(1/120)-1)*100</f>
        <v>0.97433600444372104</v>
      </c>
      <c r="E153" cm="1">
        <f t="array" ref="E153">(PRODUCT(1+sp500_monthly!E154:E273)^(1/120)-1)*100</f>
        <v>0.57819196163029218</v>
      </c>
      <c r="F153" cm="1">
        <f t="array" ref="F153">(PRODUCT(1+sp500_monthly!K154:K273)^(1/120)-1)*100</f>
        <v>0.20476659009842635</v>
      </c>
      <c r="G153" cm="1">
        <f t="array" ref="G153">(PRODUCT(1+sp500_monthly!L154:L273)^(1/120)-1)</f>
        <v>2.2330043491058271E-2</v>
      </c>
      <c r="H153" cm="1">
        <f t="array" ref="H153">(PRODUCT(1+sp500_monthly!N154:N273)^(1/120)-1)*100</f>
        <v>0</v>
      </c>
      <c r="I153" cm="1">
        <f t="array" ref="I153">(PRODUCT(1+sp500_monthly!O154:O273)^(1/120)-1)*100</f>
        <v>0</v>
      </c>
    </row>
    <row r="154" spans="1:9" x14ac:dyDescent="0.35">
      <c r="A154" s="1">
        <v>17806</v>
      </c>
      <c r="B154" cm="1">
        <f t="array" ref="B154">(PRODUCT(1+sp500_monthly!B155:B274)^(1/120)-1)*100</f>
        <v>0.69885887256408985</v>
      </c>
      <c r="C154" cm="1">
        <f t="array" ref="C154">(PRODUCT(1+sp500_monthly!C155:C274)^(1/120)-1)*100</f>
        <v>0.2491675753053979</v>
      </c>
      <c r="D154" cm="1">
        <f t="array" ref="D154">(PRODUCT(1+sp500_monthly!D155:D274)^(1/120)-1)*100</f>
        <v>1.040459838340646</v>
      </c>
      <c r="E154" cm="1">
        <f t="array" ref="E154">(PRODUCT(1+sp500_monthly!E155:E274)^(1/120)-1)*100</f>
        <v>0.64077829803266262</v>
      </c>
      <c r="F154" cm="1">
        <f t="array" ref="F154">(PRODUCT(1+sp500_monthly!K155:K274)^(1/120)-1)*100</f>
        <v>0.23428491517671901</v>
      </c>
      <c r="G154" cm="1">
        <f t="array" ref="G154">(PRODUCT(1+sp500_monthly!L155:L274)^(1/120)-1)</f>
        <v>2.3064490913155877E-2</v>
      </c>
      <c r="H154" cm="1">
        <f t="array" ref="H154">(PRODUCT(1+sp500_monthly!N155:N274)^(1/120)-1)*100</f>
        <v>0</v>
      </c>
      <c r="I154" cm="1">
        <f t="array" ref="I154">(PRODUCT(1+sp500_monthly!O155:O274)^(1/120)-1)*100</f>
        <v>0</v>
      </c>
    </row>
    <row r="155" spans="1:9" x14ac:dyDescent="0.35">
      <c r="A155" s="1">
        <v>17836</v>
      </c>
      <c r="B155" cm="1">
        <f t="array" ref="B155">(PRODUCT(1+sp500_monthly!B156:B275)^(1/120)-1)*100</f>
        <v>0.66179350115151969</v>
      </c>
      <c r="C155" cm="1">
        <f t="array" ref="C155">(PRODUCT(1+sp500_monthly!C156:C275)^(1/120)-1)*100</f>
        <v>0.21122501724073484</v>
      </c>
      <c r="D155" cm="1">
        <f t="array" ref="D155">(PRODUCT(1+sp500_monthly!D156:D275)^(1/120)-1)*100</f>
        <v>1.0109856739051182</v>
      </c>
      <c r="E155" cm="1">
        <f t="array" ref="E155">(PRODUCT(1+sp500_monthly!E156:E275)^(1/120)-1)*100</f>
        <v>0.61015483740114451</v>
      </c>
      <c r="F155" cm="1">
        <f t="array" ref="F155">(PRODUCT(1+sp500_monthly!K156:K275)^(1/120)-1)*100</f>
        <v>0.19642717919565733</v>
      </c>
      <c r="G155" cm="1">
        <f t="array" ref="G155">(PRODUCT(1+sp500_monthly!L156:L275)^(1/120)-1)</f>
        <v>2.3230053925963778E-2</v>
      </c>
      <c r="H155" cm="1">
        <f t="array" ref="H155">(PRODUCT(1+sp500_monthly!N156:N275)^(1/120)-1)*100</f>
        <v>0</v>
      </c>
      <c r="I155" cm="1">
        <f t="array" ref="I155">(PRODUCT(1+sp500_monthly!O156:O275)^(1/120)-1)*100</f>
        <v>0</v>
      </c>
    </row>
    <row r="156" spans="1:9" x14ac:dyDescent="0.35">
      <c r="A156" s="1">
        <v>17867</v>
      </c>
      <c r="B156" cm="1">
        <f t="array" ref="B156">(PRODUCT(1+sp500_monthly!B157:B276)^(1/120)-1)*100</f>
        <v>0.65483075706500582</v>
      </c>
      <c r="C156" cm="1">
        <f t="array" ref="C156">(PRODUCT(1+sp500_monthly!C157:C276)^(1/120)-1)*100</f>
        <v>0.20252333939836387</v>
      </c>
      <c r="D156" cm="1">
        <f t="array" ref="D156">(PRODUCT(1+sp500_monthly!D157:D276)^(1/120)-1)*100</f>
        <v>0.94158893596265614</v>
      </c>
      <c r="E156" cm="1">
        <f t="array" ref="E156">(PRODUCT(1+sp500_monthly!E157:E276)^(1/120)-1)*100</f>
        <v>0.53967543209645363</v>
      </c>
      <c r="F156" cm="1">
        <f t="array" ref="F156">(PRODUCT(1+sp500_monthly!K157:K276)^(1/120)-1)*100</f>
        <v>0.190044428994951</v>
      </c>
      <c r="G156" cm="1">
        <f t="array" ref="G156">(PRODUCT(1+sp500_monthly!L157:L276)^(1/120)-1)</f>
        <v>2.3479670491772131E-2</v>
      </c>
      <c r="H156" cm="1">
        <f t="array" ref="H156">(PRODUCT(1+sp500_monthly!N157:N276)^(1/120)-1)*100</f>
        <v>0</v>
      </c>
      <c r="I156" cm="1">
        <f t="array" ref="I156">(PRODUCT(1+sp500_monthly!O157:O276)^(1/120)-1)*100</f>
        <v>0</v>
      </c>
    </row>
    <row r="157" spans="1:9" x14ac:dyDescent="0.35">
      <c r="A157" s="1">
        <v>17898</v>
      </c>
      <c r="B157" cm="1">
        <f t="array" ref="B157">(PRODUCT(1+sp500_monthly!B158:B277)^(1/120)-1)*100</f>
        <v>0.5903045470911028</v>
      </c>
      <c r="C157" cm="1">
        <f t="array" ref="C157">(PRODUCT(1+sp500_monthly!C158:C277)^(1/120)-1)*100</f>
        <v>0.13313054243606626</v>
      </c>
      <c r="D157" cm="1">
        <f t="array" ref="D157">(PRODUCT(1+sp500_monthly!D158:D277)^(1/120)-1)*100</f>
        <v>0.88240189691863868</v>
      </c>
      <c r="E157" cm="1">
        <f t="array" ref="E157">(PRODUCT(1+sp500_monthly!E158:E277)^(1/120)-1)*100</f>
        <v>0.47466150417669883</v>
      </c>
      <c r="F157" cm="1">
        <f t="array" ref="F157">(PRODUCT(1+sp500_monthly!K158:K277)^(1/120)-1)*100</f>
        <v>0.12280662948613852</v>
      </c>
      <c r="G157" cm="1">
        <f t="array" ref="G157">(PRODUCT(1+sp500_monthly!L158:L277)^(1/120)-1)</f>
        <v>2.4342282305217733E-2</v>
      </c>
      <c r="H157" cm="1">
        <f t="array" ref="H157">(PRODUCT(1+sp500_monthly!N158:N277)^(1/120)-1)*100</f>
        <v>0</v>
      </c>
      <c r="I157" cm="1">
        <f t="array" ref="I157">(PRODUCT(1+sp500_monthly!O158:O277)^(1/120)-1)*100</f>
        <v>0</v>
      </c>
    </row>
    <row r="158" spans="1:9" x14ac:dyDescent="0.35">
      <c r="A158" s="1">
        <v>17929</v>
      </c>
      <c r="B158" cm="1">
        <f t="array" ref="B158">(PRODUCT(1+sp500_monthly!B159:B278)^(1/120)-1)*100</f>
        <v>0.58316771700341885</v>
      </c>
      <c r="C158" cm="1">
        <f t="array" ref="C158">(PRODUCT(1+sp500_monthly!C159:C278)^(1/120)-1)*100</f>
        <v>0.12360790280634415</v>
      </c>
      <c r="D158" cm="1">
        <f t="array" ref="D158">(PRODUCT(1+sp500_monthly!D159:D278)^(1/120)-1)*100</f>
        <v>0.85329619314769012</v>
      </c>
      <c r="E158" cm="1">
        <f t="array" ref="E158">(PRODUCT(1+sp500_monthly!E159:E278)^(1/120)-1)*100</f>
        <v>0.44195091695178323</v>
      </c>
      <c r="F158" cm="1">
        <f t="array" ref="F158">(PRODUCT(1+sp500_monthly!K159:K278)^(1/120)-1)*100</f>
        <v>0.11699915525549276</v>
      </c>
      <c r="G158" cm="1">
        <f t="array" ref="G158">(PRODUCT(1+sp500_monthly!L159:L278)^(1/120)-1)</f>
        <v>2.4677132313512873E-2</v>
      </c>
      <c r="H158" cm="1">
        <f t="array" ref="H158">(PRODUCT(1+sp500_monthly!N159:N278)^(1/120)-1)*100</f>
        <v>0</v>
      </c>
      <c r="I158" cm="1">
        <f t="array" ref="I158">(PRODUCT(1+sp500_monthly!O159:O278)^(1/120)-1)*100</f>
        <v>0</v>
      </c>
    </row>
    <row r="159" spans="1:9" x14ac:dyDescent="0.35">
      <c r="A159" s="1">
        <v>17957</v>
      </c>
      <c r="B159" cm="1">
        <f t="array" ref="B159">(PRODUCT(1+sp500_monthly!B160:B279)^(1/120)-1)*100</f>
        <v>0.64671221450214311</v>
      </c>
      <c r="C159" cm="1">
        <f t="array" ref="C159">(PRODUCT(1+sp500_monthly!C160:C279)^(1/120)-1)*100</f>
        <v>0.1865058172465961</v>
      </c>
      <c r="D159" cm="1">
        <f t="array" ref="D159">(PRODUCT(1+sp500_monthly!D160:D279)^(1/120)-1)*100</f>
        <v>0.93916997488485698</v>
      </c>
      <c r="E159" cm="1">
        <f t="array" ref="E159">(PRODUCT(1+sp500_monthly!E160:E279)^(1/120)-1)*100</f>
        <v>0.52694589551787185</v>
      </c>
      <c r="F159" cm="1">
        <f t="array" ref="F159">(PRODUCT(1+sp500_monthly!K160:K279)^(1/120)-1)*100</f>
        <v>0.17766320650947076</v>
      </c>
      <c r="G159" cm="1">
        <f t="array" ref="G159">(PRODUCT(1+sp500_monthly!L160:L279)^(1/120)-1)</f>
        <v>2.5577198311960148E-2</v>
      </c>
      <c r="H159" cm="1">
        <f t="array" ref="H159">(PRODUCT(1+sp500_monthly!N160:N279)^(1/120)-1)*100</f>
        <v>0</v>
      </c>
      <c r="I159" cm="1">
        <f t="array" ref="I159">(PRODUCT(1+sp500_monthly!O160:O279)^(1/120)-1)*100</f>
        <v>0</v>
      </c>
    </row>
    <row r="160" spans="1:9" x14ac:dyDescent="0.35">
      <c r="A160" s="1">
        <v>17988</v>
      </c>
      <c r="B160" cm="1">
        <f t="array" ref="B160">(PRODUCT(1+sp500_monthly!B161:B280)^(1/120)-1)*100</f>
        <v>0.58744034046480653</v>
      </c>
      <c r="C160" cm="1">
        <f t="array" ref="C160">(PRODUCT(1+sp500_monthly!C161:C280)^(1/120)-1)*100</f>
        <v>0.12296057717446907</v>
      </c>
      <c r="D160" cm="1">
        <f t="array" ref="D160">(PRODUCT(1+sp500_monthly!D161:D280)^(1/120)-1)*100</f>
        <v>0.87129542099990687</v>
      </c>
      <c r="E160" cm="1">
        <f t="array" ref="E160">(PRODUCT(1+sp500_monthly!E161:E280)^(1/120)-1)*100</f>
        <v>0.45444236610159283</v>
      </c>
      <c r="F160" cm="1">
        <f t="array" ref="F160">(PRODUCT(1+sp500_monthly!K161:K280)^(1/120)-1)*100</f>
        <v>0.11738899537669933</v>
      </c>
      <c r="G160" cm="1">
        <f t="array" ref="G160">(PRODUCT(1+sp500_monthly!L161:L280)^(1/120)-1)</f>
        <v>2.6228880672078958E-2</v>
      </c>
      <c r="H160" cm="1">
        <f t="array" ref="H160">(PRODUCT(1+sp500_monthly!N161:N280)^(1/120)-1)*100</f>
        <v>0</v>
      </c>
      <c r="I160" cm="1">
        <f t="array" ref="I160">(PRODUCT(1+sp500_monthly!O161:O280)^(1/120)-1)*100</f>
        <v>0</v>
      </c>
    </row>
    <row r="161" spans="1:9" x14ac:dyDescent="0.35">
      <c r="A161" s="1">
        <v>18018</v>
      </c>
      <c r="B161" cm="1">
        <f t="array" ref="B161">(PRODUCT(1+sp500_monthly!B162:B281)^(1/120)-1)*100</f>
        <v>0.73695325121461153</v>
      </c>
      <c r="C161" cm="1">
        <f t="array" ref="C161">(PRODUCT(1+sp500_monthly!C162:C281)^(1/120)-1)*100</f>
        <v>0.27127313026213962</v>
      </c>
      <c r="D161" cm="1">
        <f t="array" ref="D161">(PRODUCT(1+sp500_monthly!D162:D281)^(1/120)-1)*100</f>
        <v>1.0884838945632858</v>
      </c>
      <c r="E161" cm="1">
        <f t="array" ref="E161">(PRODUCT(1+sp500_monthly!E162:E281)^(1/120)-1)*100</f>
        <v>0.66952612514750154</v>
      </c>
      <c r="F161" cm="1">
        <f t="array" ref="F161">(PRODUCT(1+sp500_monthly!K162:K281)^(1/120)-1)*100</f>
        <v>0.2636491574145472</v>
      </c>
      <c r="G161" cm="1">
        <f t="array" ref="G161">(PRODUCT(1+sp500_monthly!L162:L281)^(1/120)-1)</f>
        <v>2.7130309710543088E-2</v>
      </c>
      <c r="H161" cm="1">
        <f t="array" ref="H161">(PRODUCT(1+sp500_monthly!N162:N281)^(1/120)-1)*100</f>
        <v>0</v>
      </c>
      <c r="I161" cm="1">
        <f t="array" ref="I161">(PRODUCT(1+sp500_monthly!O162:O281)^(1/120)-1)*100</f>
        <v>0</v>
      </c>
    </row>
    <row r="162" spans="1:9" x14ac:dyDescent="0.35">
      <c r="A162" s="1">
        <v>18049</v>
      </c>
      <c r="B162" cm="1">
        <f t="array" ref="B162">(PRODUCT(1+sp500_monthly!B163:B282)^(1/120)-1)*100</f>
        <v>0.72668285762831353</v>
      </c>
      <c r="C162" cm="1">
        <f t="array" ref="C162">(PRODUCT(1+sp500_monthly!C163:C282)^(1/120)-1)*100</f>
        <v>0.25950583830809393</v>
      </c>
      <c r="D162" cm="1">
        <f t="array" ref="D162">(PRODUCT(1+sp500_monthly!D163:D282)^(1/120)-1)*100</f>
        <v>1.0572312920448024</v>
      </c>
      <c r="E162" cm="1">
        <f t="array" ref="E162">(PRODUCT(1+sp500_monthly!E163:E282)^(1/120)-1)*100</f>
        <v>0.6376538040985702</v>
      </c>
      <c r="F162" cm="1">
        <f t="array" ref="F162">(PRODUCT(1+sp500_monthly!K163:K282)^(1/120)-1)*100</f>
        <v>0.25028322787170598</v>
      </c>
      <c r="G162" cm="1">
        <f t="array" ref="G162">(PRODUCT(1+sp500_monthly!L163:L282)^(1/120)-1)</f>
        <v>2.7868205669805857E-2</v>
      </c>
      <c r="H162" cm="1">
        <f t="array" ref="H162">(PRODUCT(1+sp500_monthly!N163:N282)^(1/120)-1)*100</f>
        <v>0</v>
      </c>
      <c r="I162" cm="1">
        <f t="array" ref="I162">(PRODUCT(1+sp500_monthly!O163:O282)^(1/120)-1)*100</f>
        <v>0</v>
      </c>
    </row>
    <row r="163" spans="1:9" x14ac:dyDescent="0.35">
      <c r="A163" s="1">
        <v>18079</v>
      </c>
      <c r="B163" cm="1">
        <f t="array" ref="B163">(PRODUCT(1+sp500_monthly!B164:B283)^(1/120)-1)*100</f>
        <v>0.64520353193018298</v>
      </c>
      <c r="C163" cm="1">
        <f t="array" ref="C163">(PRODUCT(1+sp500_monthly!C164:C283)^(1/120)-1)*100</f>
        <v>0.17594732699213189</v>
      </c>
      <c r="D163" cm="1">
        <f t="array" ref="D163">(PRODUCT(1+sp500_monthly!D164:D283)^(1/120)-1)*100</f>
        <v>0.96600291489534751</v>
      </c>
      <c r="E163" cm="1">
        <f t="array" ref="E163">(PRODUCT(1+sp500_monthly!E164:E283)^(1/120)-1)*100</f>
        <v>0.54156735098167541</v>
      </c>
      <c r="F163" cm="1">
        <f t="array" ref="F163">(PRODUCT(1+sp500_monthly!K164:K283)^(1/120)-1)*100</f>
        <v>0.16808162748276345</v>
      </c>
      <c r="G163" cm="1">
        <f t="array" ref="G163">(PRODUCT(1+sp500_monthly!L164:L283)^(1/120)-1)</f>
        <v>2.8599621401847131E-2</v>
      </c>
      <c r="H163" cm="1">
        <f t="array" ref="H163">(PRODUCT(1+sp500_monthly!N164:N283)^(1/120)-1)*100</f>
        <v>0</v>
      </c>
      <c r="I163" cm="1">
        <f t="array" ref="I163">(PRODUCT(1+sp500_monthly!O164:O283)^(1/120)-1)*100</f>
        <v>0</v>
      </c>
    </row>
    <row r="164" spans="1:9" x14ac:dyDescent="0.35">
      <c r="A164" s="1">
        <v>18108</v>
      </c>
      <c r="B164" cm="1">
        <f t="array" ref="B164">(PRODUCT(1+sp500_monthly!B165:B284)^(1/120)-1)*100</f>
        <v>0.70019202593409879</v>
      </c>
      <c r="C164" cm="1">
        <f t="array" ref="C164">(PRODUCT(1+sp500_monthly!C165:C284)^(1/120)-1)*100</f>
        <v>0.230002417527575</v>
      </c>
      <c r="D164" cm="1">
        <f t="array" ref="D164">(PRODUCT(1+sp500_monthly!D165:D284)^(1/120)-1)*100</f>
        <v>1.0450706351566641</v>
      </c>
      <c r="E164" cm="1">
        <f t="array" ref="E164">(PRODUCT(1+sp500_monthly!E165:E284)^(1/120)-1)*100</f>
        <v>0.61978255925063674</v>
      </c>
      <c r="F164" cm="1">
        <f t="array" ref="F164">(PRODUCT(1+sp500_monthly!K165:K284)^(1/120)-1)*100</f>
        <v>0.22135385132542318</v>
      </c>
      <c r="G164" cm="1">
        <f t="array" ref="G164">(PRODUCT(1+sp500_monthly!L165:L284)^(1/120)-1)</f>
        <v>2.9331557598448299E-2</v>
      </c>
      <c r="H164" cm="1">
        <f t="array" ref="H164">(PRODUCT(1+sp500_monthly!N165:N284)^(1/120)-1)*100</f>
        <v>0</v>
      </c>
      <c r="I164" cm="1">
        <f t="array" ref="I164">(PRODUCT(1+sp500_monthly!O165:O284)^(1/120)-1)*100</f>
        <v>0</v>
      </c>
    </row>
    <row r="165" spans="1:9" x14ac:dyDescent="0.35">
      <c r="A165" s="1">
        <v>18141</v>
      </c>
      <c r="B165" cm="1">
        <f t="array" ref="B165">(PRODUCT(1+sp500_monthly!B166:B285)^(1/120)-1)*100</f>
        <v>0.66269108505598862</v>
      </c>
      <c r="C165" cm="1">
        <f t="array" ref="C165">(PRODUCT(1+sp500_monthly!C166:C285)^(1/120)-1)*100</f>
        <v>0.19254938148689504</v>
      </c>
      <c r="D165" cm="1">
        <f t="array" ref="D165">(PRODUCT(1+sp500_monthly!D166:D285)^(1/120)-1)*100</f>
        <v>0.97269070610856989</v>
      </c>
      <c r="E165" cm="1">
        <f t="array" ref="E165">(PRODUCT(1+sp500_monthly!E166:E285)^(1/120)-1)*100</f>
        <v>0.54727374968777109</v>
      </c>
      <c r="F165" cm="1">
        <f t="array" ref="F165">(PRODUCT(1+sp500_monthly!K166:K285)^(1/120)-1)*100</f>
        <v>0.18556773919560232</v>
      </c>
      <c r="G165" cm="1">
        <f t="array" ref="G165">(PRODUCT(1+sp500_monthly!L166:L285)^(1/120)-1)</f>
        <v>3.0071034946076658E-2</v>
      </c>
      <c r="H165" cm="1">
        <f t="array" ref="H165">(PRODUCT(1+sp500_monthly!N166:N285)^(1/120)-1)*100</f>
        <v>0</v>
      </c>
      <c r="I165" cm="1">
        <f t="array" ref="I165">(PRODUCT(1+sp500_monthly!O166:O285)^(1/120)-1)*100</f>
        <v>0</v>
      </c>
    </row>
    <row r="166" spans="1:9" x14ac:dyDescent="0.35">
      <c r="A166" s="1">
        <v>18171</v>
      </c>
      <c r="B166" cm="1">
        <f t="array" ref="B166">(PRODUCT(1+sp500_monthly!B167:B286)^(1/120)-1)*100</f>
        <v>0.73948119687157199</v>
      </c>
      <c r="C166" cm="1">
        <f t="array" ref="C166">(PRODUCT(1+sp500_monthly!C167:C286)^(1/120)-1)*100</f>
        <v>0.2656316923725921</v>
      </c>
      <c r="D166" cm="1">
        <f t="array" ref="D166">(PRODUCT(1+sp500_monthly!D167:D286)^(1/120)-1)*100</f>
        <v>1.0846979305485727</v>
      </c>
      <c r="E166" cm="1">
        <f t="array" ref="E166">(PRODUCT(1+sp500_monthly!E167:E286)^(1/120)-1)*100</f>
        <v>0.65408508883773031</v>
      </c>
      <c r="F166" cm="1">
        <f t="array" ref="F166">(PRODUCT(1+sp500_monthly!K167:K286)^(1/120)-1)*100</f>
        <v>0.25739762823400181</v>
      </c>
      <c r="G166" cm="1">
        <f t="array" ref="G166">(PRODUCT(1+sp500_monthly!L167:L286)^(1/120)-1)</f>
        <v>3.0897380463561719E-2</v>
      </c>
      <c r="H166" cm="1">
        <f t="array" ref="H166">(PRODUCT(1+sp500_monthly!N167:N286)^(1/120)-1)*100</f>
        <v>0</v>
      </c>
      <c r="I166" cm="1">
        <f t="array" ref="I166">(PRODUCT(1+sp500_monthly!O167:O286)^(1/120)-1)*100</f>
        <v>0</v>
      </c>
    </row>
    <row r="167" spans="1:9" x14ac:dyDescent="0.35">
      <c r="A167" s="1">
        <v>18202</v>
      </c>
      <c r="B167" cm="1">
        <f t="array" ref="B167">(PRODUCT(1+sp500_monthly!B168:B287)^(1/120)-1)*100</f>
        <v>0.62247565508750657</v>
      </c>
      <c r="C167" cm="1">
        <f t="array" ref="C167">(PRODUCT(1+sp500_monthly!C168:C287)^(1/120)-1)*100</f>
        <v>0.14918061779705116</v>
      </c>
      <c r="D167" cm="1">
        <f t="array" ref="D167">(PRODUCT(1+sp500_monthly!D168:D287)^(1/120)-1)*100</f>
        <v>0.84517974339324287</v>
      </c>
      <c r="E167" cm="1">
        <f t="array" ref="E167">(PRODUCT(1+sp500_monthly!E168:E287)^(1/120)-1)*100</f>
        <v>0.41438456541798008</v>
      </c>
      <c r="F167" cm="1">
        <f t="array" ref="F167">(PRODUCT(1+sp500_monthly!K168:K287)^(1/120)-1)*100</f>
        <v>0.14969310217116671</v>
      </c>
      <c r="G167" cm="1">
        <f t="array" ref="G167">(PRODUCT(1+sp500_monthly!L168:L287)^(1/120)-1)</f>
        <v>3.1552443426200227E-2</v>
      </c>
      <c r="H167" cm="1">
        <f t="array" ref="H167">(PRODUCT(1+sp500_monthly!N168:N287)^(1/120)-1)*100</f>
        <v>0</v>
      </c>
      <c r="I167" cm="1">
        <f t="array" ref="I167">(PRODUCT(1+sp500_monthly!O168:O287)^(1/120)-1)*100</f>
        <v>0</v>
      </c>
    </row>
    <row r="168" spans="1:9" x14ac:dyDescent="0.35">
      <c r="A168" s="1">
        <v>18232</v>
      </c>
      <c r="B168" cm="1">
        <f t="array" ref="B168">(PRODUCT(1+sp500_monthly!B169:B288)^(1/120)-1)*100</f>
        <v>0.66137073733121277</v>
      </c>
      <c r="C168" cm="1">
        <f t="array" ref="C168">(PRODUCT(1+sp500_monthly!C169:C288)^(1/120)-1)*100</f>
        <v>0.18744291992249806</v>
      </c>
      <c r="D168" cm="1">
        <f t="array" ref="D168">(PRODUCT(1+sp500_monthly!D169:D288)^(1/120)-1)*100</f>
        <v>0.88978148577008032</v>
      </c>
      <c r="E168" cm="1">
        <f t="array" ref="E168">(PRODUCT(1+sp500_monthly!E169:E288)^(1/120)-1)*100</f>
        <v>0.45771567121770662</v>
      </c>
      <c r="F168" cm="1">
        <f t="array" ref="F168">(PRODUCT(1+sp500_monthly!K169:K288)^(1/120)-1)*100</f>
        <v>0.18625278917514532</v>
      </c>
      <c r="G168" cm="1">
        <f t="array" ref="G168">(PRODUCT(1+sp500_monthly!L169:L288)^(1/120)-1)</f>
        <v>3.2293516270196498E-2</v>
      </c>
      <c r="H168" cm="1">
        <f t="array" ref="H168">(PRODUCT(1+sp500_monthly!N169:N288)^(1/120)-1)*100</f>
        <v>0</v>
      </c>
      <c r="I168" cm="1">
        <f t="array" ref="I168">(PRODUCT(1+sp500_monthly!O169:O288)^(1/120)-1)*100</f>
        <v>0</v>
      </c>
    </row>
    <row r="169" spans="1:9" x14ac:dyDescent="0.35">
      <c r="A169" s="1">
        <v>18263</v>
      </c>
      <c r="B169" cm="1">
        <f t="array" ref="B169">(PRODUCT(1+sp500_monthly!B170:B289)^(1/120)-1)*100</f>
        <v>0.71331047693441452</v>
      </c>
      <c r="C169" cm="1">
        <f t="array" ref="C169">(PRODUCT(1+sp500_monthly!C170:C289)^(1/120)-1)*100</f>
        <v>0.23168377680284902</v>
      </c>
      <c r="D169" cm="1">
        <f t="array" ref="D169">(PRODUCT(1+sp500_monthly!D170:D289)^(1/120)-1)*100</f>
        <v>0.98075525527843155</v>
      </c>
      <c r="E169" cm="1">
        <f t="array" ref="E169">(PRODUCT(1+sp500_monthly!E170:E289)^(1/120)-1)*100</f>
        <v>0.54373910323941566</v>
      </c>
      <c r="F169" cm="1">
        <f t="array" ref="F169">(PRODUCT(1+sp500_monthly!K170:K289)^(1/120)-1)*100</f>
        <v>0.22933947208676475</v>
      </c>
      <c r="G169" cm="1">
        <f t="array" ref="G169">(PRODUCT(1+sp500_monthly!L170:L289)^(1/120)-1)</f>
        <v>3.2955781814939078E-2</v>
      </c>
      <c r="H169" cm="1">
        <f t="array" ref="H169">(PRODUCT(1+sp500_monthly!N170:N289)^(1/120)-1)*100</f>
        <v>0</v>
      </c>
      <c r="I169" cm="1">
        <f t="array" ref="I169">(PRODUCT(1+sp500_monthly!O170:O289)^(1/120)-1)*100</f>
        <v>0</v>
      </c>
    </row>
    <row r="170" spans="1:9" x14ac:dyDescent="0.35">
      <c r="A170" s="1">
        <v>18294</v>
      </c>
      <c r="B170" cm="1">
        <f t="array" ref="B170">(PRODUCT(1+sp500_monthly!B171:B290)^(1/120)-1)*100</f>
        <v>0.73172552195466256</v>
      </c>
      <c r="C170" cm="1">
        <f t="array" ref="C170">(PRODUCT(1+sp500_monthly!C171:C290)^(1/120)-1)*100</f>
        <v>0.25016704039046989</v>
      </c>
      <c r="D170" cm="1">
        <f t="array" ref="D170">(PRODUCT(1+sp500_monthly!D171:D290)^(1/120)-1)*100</f>
        <v>1.0151336836850211</v>
      </c>
      <c r="E170" cm="1">
        <f t="array" ref="E170">(PRODUCT(1+sp500_monthly!E171:E290)^(1/120)-1)*100</f>
        <v>0.57697571299673012</v>
      </c>
      <c r="F170" cm="1">
        <f t="array" ref="F170">(PRODUCT(1+sp500_monthly!K171:K290)^(1/120)-1)*100</f>
        <v>0.24535399642569011</v>
      </c>
      <c r="G170" cm="1">
        <f t="array" ref="G170">(PRODUCT(1+sp500_monthly!L171:L290)^(1/120)-1)</f>
        <v>3.3697862824809466E-2</v>
      </c>
      <c r="H170" cm="1">
        <f t="array" ref="H170">(PRODUCT(1+sp500_monthly!N171:N290)^(1/120)-1)*100</f>
        <v>0</v>
      </c>
      <c r="I170" cm="1">
        <f t="array" ref="I170">(PRODUCT(1+sp500_monthly!O171:O290)^(1/120)-1)*100</f>
        <v>0</v>
      </c>
    </row>
    <row r="171" spans="1:9" x14ac:dyDescent="0.35">
      <c r="A171" s="1">
        <v>18322</v>
      </c>
      <c r="B171" cm="1">
        <f t="array" ref="B171">(PRODUCT(1+sp500_monthly!B172:B291)^(1/120)-1)*100</f>
        <v>0.77882833558353681</v>
      </c>
      <c r="C171" cm="1">
        <f t="array" ref="C171">(PRODUCT(1+sp500_monthly!C172:C291)^(1/120)-1)*100</f>
        <v>0.29660595245211141</v>
      </c>
      <c r="D171" cm="1">
        <f t="array" ref="D171">(PRODUCT(1+sp500_monthly!D172:D291)^(1/120)-1)*100</f>
        <v>1.080942512508476</v>
      </c>
      <c r="E171" cm="1">
        <f t="array" ref="E171">(PRODUCT(1+sp500_monthly!E172:E291)^(1/120)-1)*100</f>
        <v>0.64169916189968923</v>
      </c>
      <c r="F171" cm="1">
        <f t="array" ref="F171">(PRODUCT(1+sp500_monthly!K172:K291)^(1/120)-1)*100</f>
        <v>0.28965425354963159</v>
      </c>
      <c r="G171" cm="1">
        <f t="array" ref="G171">(PRODUCT(1+sp500_monthly!L172:L291)^(1/120)-1)</f>
        <v>3.4440476949683108E-2</v>
      </c>
      <c r="H171" cm="1">
        <f t="array" ref="H171">(PRODUCT(1+sp500_monthly!N172:N291)^(1/120)-1)*100</f>
        <v>0</v>
      </c>
      <c r="I171" cm="1">
        <f t="array" ref="I171">(PRODUCT(1+sp500_monthly!O172:O291)^(1/120)-1)*100</f>
        <v>0</v>
      </c>
    </row>
    <row r="172" spans="1:9" x14ac:dyDescent="0.35">
      <c r="A172" s="1">
        <v>18353</v>
      </c>
      <c r="B172" cm="1">
        <f t="array" ref="B172">(PRODUCT(1+sp500_monthly!B173:B292)^(1/120)-1)*100</f>
        <v>0.78416967423891037</v>
      </c>
      <c r="C172" cm="1">
        <f t="array" ref="C172">(PRODUCT(1+sp500_monthly!C173:C292)^(1/120)-1)*100</f>
        <v>0.29914047199417482</v>
      </c>
      <c r="D172" cm="1">
        <f t="array" ref="D172">(PRODUCT(1+sp500_monthly!D173:D292)^(1/120)-1)*100</f>
        <v>1.0828460859810152</v>
      </c>
      <c r="E172" cm="1">
        <f t="array" ref="E172">(PRODUCT(1+sp500_monthly!E173:E292)^(1/120)-1)*100</f>
        <v>0.64094519074615608</v>
      </c>
      <c r="F172" cm="1">
        <f t="array" ref="F172">(PRODUCT(1+sp500_monthly!K173:K292)^(1/120)-1)*100</f>
        <v>0.29241606696612799</v>
      </c>
      <c r="G172" cm="1">
        <f t="array" ref="G172">(PRODUCT(1+sp500_monthly!L173:L292)^(1/120)-1)</f>
        <v>3.5183624572553196E-2</v>
      </c>
      <c r="H172" cm="1">
        <f t="array" ref="H172">(PRODUCT(1+sp500_monthly!N173:N292)^(1/120)-1)*100</f>
        <v>0</v>
      </c>
      <c r="I172" cm="1">
        <f t="array" ref="I172">(PRODUCT(1+sp500_monthly!O173:O292)^(1/120)-1)*100</f>
        <v>0</v>
      </c>
    </row>
    <row r="173" spans="1:9" x14ac:dyDescent="0.35">
      <c r="A173" s="1">
        <v>18382</v>
      </c>
      <c r="B173" cm="1">
        <f t="array" ref="B173">(PRODUCT(1+sp500_monthly!B174:B293)^(1/120)-1)*100</f>
        <v>0.7797031968543422</v>
      </c>
      <c r="C173" cm="1">
        <f t="array" ref="C173">(PRODUCT(1+sp500_monthly!C174:C293)^(1/120)-1)*100</f>
        <v>0.29335059643098571</v>
      </c>
      <c r="D173" cm="1">
        <f t="array" ref="D173">(PRODUCT(1+sp500_monthly!D174:D293)^(1/120)-1)*100</f>
        <v>1.0783682712139475</v>
      </c>
      <c r="E173" cm="1">
        <f t="array" ref="E173">(PRODUCT(1+sp500_monthly!E174:E293)^(1/120)-1)*100</f>
        <v>0.63447483142018424</v>
      </c>
      <c r="F173" cm="1">
        <f t="array" ref="F173">(PRODUCT(1+sp500_monthly!K174:K293)^(1/120)-1)*100</f>
        <v>0.28757905996117383</v>
      </c>
      <c r="G173" cm="1">
        <f t="array" ref="G173">(PRODUCT(1+sp500_monthly!L174:L293)^(1/120)-1)</f>
        <v>3.6006147319179505E-2</v>
      </c>
      <c r="H173" cm="1">
        <f t="array" ref="H173">(PRODUCT(1+sp500_monthly!N174:N293)^(1/120)-1)*100</f>
        <v>0</v>
      </c>
      <c r="I173" cm="1">
        <f t="array" ref="I173">(PRODUCT(1+sp500_monthly!O174:O293)^(1/120)-1)*100</f>
        <v>0</v>
      </c>
    </row>
    <row r="174" spans="1:9" x14ac:dyDescent="0.35">
      <c r="A174" s="1">
        <v>18414</v>
      </c>
      <c r="B174" cm="1">
        <f t="array" ref="B174">(PRODUCT(1+sp500_monthly!B175:B294)^(1/120)-1)*100</f>
        <v>0.82116021763238844</v>
      </c>
      <c r="C174" cm="1">
        <f t="array" ref="C174">(PRODUCT(1+sp500_monthly!C175:C294)^(1/120)-1)*100</f>
        <v>0.3349660029176027</v>
      </c>
      <c r="D174" cm="1">
        <f t="array" ref="D174">(PRODUCT(1+sp500_monthly!D175:D294)^(1/120)-1)*100</f>
        <v>1.1019637611133781</v>
      </c>
      <c r="E174" cm="1">
        <f t="array" ref="E174">(PRODUCT(1+sp500_monthly!E175:E294)^(1/120)-1)*100</f>
        <v>0.65758024472537535</v>
      </c>
      <c r="F174" cm="1">
        <f t="array" ref="F174">(PRODUCT(1+sp500_monthly!K175:K294)^(1/120)-1)*100</f>
        <v>0.32856748600271768</v>
      </c>
      <c r="G174" cm="1">
        <f t="array" ref="G174">(PRODUCT(1+sp500_monthly!L175:L294)^(1/120)-1)</f>
        <v>3.6750419728095007E-2</v>
      </c>
      <c r="H174" cm="1">
        <f t="array" ref="H174">(PRODUCT(1+sp500_monthly!N175:N294)^(1/120)-1)*100</f>
        <v>0</v>
      </c>
      <c r="I174" cm="1">
        <f t="array" ref="I174">(PRODUCT(1+sp500_monthly!O175:O294)^(1/120)-1)*100</f>
        <v>0</v>
      </c>
    </row>
    <row r="175" spans="1:9" x14ac:dyDescent="0.35">
      <c r="A175" s="1">
        <v>18444</v>
      </c>
      <c r="B175" cm="1">
        <f t="array" ref="B175">(PRODUCT(1+sp500_monthly!B176:B295)^(1/120)-1)*100</f>
        <v>1.0812137119321052</v>
      </c>
      <c r="C175" cm="1">
        <f t="array" ref="C175">(PRODUCT(1+sp500_monthly!C176:C295)^(1/120)-1)*100</f>
        <v>0.59536184983510765</v>
      </c>
      <c r="D175" cm="1">
        <f t="array" ref="D175">(PRODUCT(1+sp500_monthly!D176:D295)^(1/120)-1)*100</f>
        <v>1.4037283899236641</v>
      </c>
      <c r="E175" cm="1">
        <f t="array" ref="E175">(PRODUCT(1+sp500_monthly!E176:E295)^(1/120)-1)*100</f>
        <v>0.95600883363069489</v>
      </c>
      <c r="F175" cm="1">
        <f t="array" ref="F175">(PRODUCT(1+sp500_monthly!K176:K295)^(1/120)-1)*100</f>
        <v>0.59007365936079026</v>
      </c>
      <c r="G175" cm="1">
        <f t="array" ref="G175">(PRODUCT(1+sp500_monthly!L176:L295)^(1/120)-1)</f>
        <v>3.7748883833857105E-2</v>
      </c>
      <c r="H175" cm="1">
        <f t="array" ref="H175">(PRODUCT(1+sp500_monthly!N176:N295)^(1/120)-1)*100</f>
        <v>0</v>
      </c>
      <c r="I175" cm="1">
        <f t="array" ref="I175">(PRODUCT(1+sp500_monthly!O176:O295)^(1/120)-1)*100</f>
        <v>0</v>
      </c>
    </row>
    <row r="176" spans="1:9" x14ac:dyDescent="0.35">
      <c r="A176" s="1">
        <v>18475</v>
      </c>
      <c r="B176" cm="1">
        <f t="array" ref="B176">(PRODUCT(1+sp500_monthly!B177:B296)^(1/120)-1)*100</f>
        <v>0.96712644723435659</v>
      </c>
      <c r="C176" cm="1">
        <f t="array" ref="C176">(PRODUCT(1+sp500_monthly!C177:C296)^(1/120)-1)*100</f>
        <v>0.48234770700903429</v>
      </c>
      <c r="D176" cm="1">
        <f t="array" ref="D176">(PRODUCT(1+sp500_monthly!D177:D296)^(1/120)-1)*100</f>
        <v>1.239504268197944</v>
      </c>
      <c r="E176" cm="1">
        <f t="array" ref="E176">(PRODUCT(1+sp500_monthly!E177:E296)^(1/120)-1)*100</f>
        <v>0.79247442424581482</v>
      </c>
      <c r="F176" cm="1">
        <f t="array" ref="F176">(PRODUCT(1+sp500_monthly!K177:K296)^(1/120)-1)*100</f>
        <v>0.47815236420647445</v>
      </c>
      <c r="G176" cm="1">
        <f t="array" ref="G176">(PRODUCT(1+sp500_monthly!L177:L296)^(1/120)-1)</f>
        <v>3.8573444850837912E-2</v>
      </c>
      <c r="H176" cm="1">
        <f t="array" ref="H176">(PRODUCT(1+sp500_monthly!N177:N296)^(1/120)-1)*100</f>
        <v>0</v>
      </c>
      <c r="I176" cm="1">
        <f t="array" ref="I176">(PRODUCT(1+sp500_monthly!O177:O296)^(1/120)-1)*100</f>
        <v>0</v>
      </c>
    </row>
    <row r="177" spans="1:9" x14ac:dyDescent="0.35">
      <c r="A177" s="1">
        <v>18506</v>
      </c>
      <c r="B177" cm="1">
        <f t="array" ref="B177">(PRODUCT(1+sp500_monthly!B178:B297)^(1/120)-1)*100</f>
        <v>0.95390408881648181</v>
      </c>
      <c r="C177" cm="1">
        <f t="array" ref="C177">(PRODUCT(1+sp500_monthly!C178:C297)^(1/120)-1)*100</f>
        <v>0.46923141311689953</v>
      </c>
      <c r="D177" cm="1">
        <f t="array" ref="D177">(PRODUCT(1+sp500_monthly!D178:D297)^(1/120)-1)*100</f>
        <v>1.2562204412974731</v>
      </c>
      <c r="E177" cm="1">
        <f t="array" ref="E177">(PRODUCT(1+sp500_monthly!E178:E297)^(1/120)-1)*100</f>
        <v>0.80906756922110024</v>
      </c>
      <c r="F177" cm="1">
        <f t="array" ref="F177">(PRODUCT(1+sp500_monthly!K178:K297)^(1/120)-1)*100</f>
        <v>0.45961076198377526</v>
      </c>
      <c r="G177" cm="1">
        <f t="array" ref="G177">(PRODUCT(1+sp500_monthly!L178:L297)^(1/120)-1)</f>
        <v>3.9312478271906981E-2</v>
      </c>
      <c r="H177" cm="1">
        <f t="array" ref="H177">(PRODUCT(1+sp500_monthly!N178:N297)^(1/120)-1)*100</f>
        <v>0</v>
      </c>
      <c r="I177" cm="1">
        <f t="array" ref="I177">(PRODUCT(1+sp500_monthly!O178:O297)^(1/120)-1)*100</f>
        <v>0</v>
      </c>
    </row>
    <row r="178" spans="1:9" x14ac:dyDescent="0.35">
      <c r="A178" s="1">
        <v>18535</v>
      </c>
      <c r="B178" cm="1">
        <f t="array" ref="B178">(PRODUCT(1+sp500_monthly!B179:B298)^(1/120)-1)*100</f>
        <v>0.96411406607563865</v>
      </c>
      <c r="C178" cm="1">
        <f t="array" ref="C178">(PRODUCT(1+sp500_monthly!C179:C298)^(1/120)-1)*100</f>
        <v>0.47321400176616457</v>
      </c>
      <c r="D178" cm="1">
        <f t="array" ref="D178">(PRODUCT(1+sp500_monthly!D179:D298)^(1/120)-1)*100</f>
        <v>1.2625927370337964</v>
      </c>
      <c r="E178" cm="1">
        <f t="array" ref="E178">(PRODUCT(1+sp500_monthly!E179:E298)^(1/120)-1)*100</f>
        <v>0.81127859399725555</v>
      </c>
      <c r="F178" cm="1">
        <f t="array" ref="F178">(PRODUCT(1+sp500_monthly!K179:K298)^(1/120)-1)*100</f>
        <v>0.46471175874283066</v>
      </c>
      <c r="G178" cm="1">
        <f t="array" ref="G178">(PRODUCT(1+sp500_monthly!L179:L298)^(1/120)-1)</f>
        <v>4.0225399809779461E-2</v>
      </c>
      <c r="H178" cm="1">
        <f t="array" ref="H178">(PRODUCT(1+sp500_monthly!N179:N298)^(1/120)-1)*100</f>
        <v>0</v>
      </c>
      <c r="I178" cm="1">
        <f t="array" ref="I178">(PRODUCT(1+sp500_monthly!O179:O298)^(1/120)-1)*100</f>
        <v>0</v>
      </c>
    </row>
    <row r="179" spans="1:9" x14ac:dyDescent="0.35">
      <c r="A179" s="1">
        <v>18567</v>
      </c>
      <c r="B179" cm="1">
        <f t="array" ref="B179">(PRODUCT(1+sp500_monthly!B180:B299)^(1/120)-1)*100</f>
        <v>1.0008415421868699</v>
      </c>
      <c r="C179" cm="1">
        <f t="array" ref="C179">(PRODUCT(1+sp500_monthly!C180:C299)^(1/120)-1)*100</f>
        <v>0.51083624538961203</v>
      </c>
      <c r="D179" cm="1">
        <f t="array" ref="D179">(PRODUCT(1+sp500_monthly!D180:D299)^(1/120)-1)*100</f>
        <v>1.3054821465765976</v>
      </c>
      <c r="E179" cm="1">
        <f t="array" ref="E179">(PRODUCT(1+sp500_monthly!E180:E299)^(1/120)-1)*100</f>
        <v>0.85420897078276603</v>
      </c>
      <c r="F179" cm="1">
        <f t="array" ref="F179">(PRODUCT(1+sp500_monthly!K180:K299)^(1/120)-1)*100</f>
        <v>0.5023798099604182</v>
      </c>
      <c r="G179" cm="1">
        <f t="array" ref="G179">(PRODUCT(1+sp500_monthly!L180:L299)^(1/120)-1)</f>
        <v>4.1051928584628916E-2</v>
      </c>
      <c r="H179" cm="1">
        <f t="array" ref="H179">(PRODUCT(1+sp500_monthly!N180:N299)^(1/120)-1)*100</f>
        <v>0</v>
      </c>
      <c r="I179" cm="1">
        <f t="array" ref="I179">(PRODUCT(1+sp500_monthly!O180:O299)^(1/120)-1)*100</f>
        <v>0</v>
      </c>
    </row>
    <row r="180" spans="1:9" x14ac:dyDescent="0.35">
      <c r="A180" s="1">
        <v>18597</v>
      </c>
      <c r="B180" cm="1">
        <f t="array" ref="B180">(PRODUCT(1+sp500_monthly!B181:B300)^(1/120)-1)*100</f>
        <v>0.97091594569969075</v>
      </c>
      <c r="C180" cm="1">
        <f t="array" ref="C180">(PRODUCT(1+sp500_monthly!C181:C300)^(1/120)-1)*100</f>
        <v>0.4807087628119211</v>
      </c>
      <c r="D180" cm="1">
        <f t="array" ref="D180">(PRODUCT(1+sp500_monthly!D181:D300)^(1/120)-1)*100</f>
        <v>1.2490259795687075</v>
      </c>
      <c r="E180" cm="1">
        <f t="array" ref="E180">(PRODUCT(1+sp500_monthly!E181:E300)^(1/120)-1)*100</f>
        <v>0.79691261768037869</v>
      </c>
      <c r="F180" cm="1">
        <f t="array" ref="F180">(PRODUCT(1+sp500_monthly!K181:K300)^(1/120)-1)*100</f>
        <v>0.47345682578501247</v>
      </c>
      <c r="G180" cm="1">
        <f t="array" ref="G180">(PRODUCT(1+sp500_monthly!L181:L300)^(1/120)-1)</f>
        <v>4.2035568375727861E-2</v>
      </c>
      <c r="H180" cm="1">
        <f t="array" ref="H180">(PRODUCT(1+sp500_monthly!N181:N300)^(1/120)-1)*100</f>
        <v>0</v>
      </c>
      <c r="I180" cm="1">
        <f t="array" ref="I180">(PRODUCT(1+sp500_monthly!O181:O300)^(1/120)-1)*100</f>
        <v>0</v>
      </c>
    </row>
    <row r="181" spans="1:9" x14ac:dyDescent="0.35">
      <c r="A181" s="1">
        <v>18627</v>
      </c>
      <c r="B181" cm="1">
        <f t="array" ref="B181">(PRODUCT(1+sp500_monthly!B182:B301)^(1/120)-1)*100</f>
        <v>1.0147257288777967</v>
      </c>
      <c r="C181" cm="1">
        <f t="array" ref="C181">(PRODUCT(1+sp500_monthly!C182:C301)^(1/120)-1)*100</f>
        <v>0.51745436728034555</v>
      </c>
      <c r="D181" cm="1">
        <f t="array" ref="D181">(PRODUCT(1+sp500_monthly!D182:D301)^(1/120)-1)*100</f>
        <v>1.31102632076745</v>
      </c>
      <c r="E181" cm="1">
        <f t="array" ref="E181">(PRODUCT(1+sp500_monthly!E182:E301)^(1/120)-1)*100</f>
        <v>0.85439623353440464</v>
      </c>
      <c r="F181" cm="1">
        <f t="array" ref="F181">(PRODUCT(1+sp500_monthly!K182:K301)^(1/120)-1)*100</f>
        <v>0.5088970835968043</v>
      </c>
      <c r="G181" cm="1">
        <f t="array" ref="G181">(PRODUCT(1+sp500_monthly!L182:L301)^(1/120)-1)</f>
        <v>4.2942186278696948E-2</v>
      </c>
      <c r="H181" cm="1">
        <f t="array" ref="H181">(PRODUCT(1+sp500_monthly!N182:N301)^(1/120)-1)*100</f>
        <v>0</v>
      </c>
      <c r="I181" cm="1">
        <f t="array" ref="I181">(PRODUCT(1+sp500_monthly!O182:O301)^(1/120)-1)*100</f>
        <v>0</v>
      </c>
    </row>
    <row r="182" spans="1:9" x14ac:dyDescent="0.35">
      <c r="A182" s="1">
        <v>18659</v>
      </c>
      <c r="B182" cm="1">
        <f t="array" ref="B182">(PRODUCT(1+sp500_monthly!B183:B302)^(1/120)-1)*100</f>
        <v>1.0576836321480654</v>
      </c>
      <c r="C182" cm="1">
        <f t="array" ref="C182">(PRODUCT(1+sp500_monthly!C183:C302)^(1/120)-1)*100</f>
        <v>0.5612384004433979</v>
      </c>
      <c r="D182" cm="1">
        <f t="array" ref="D182">(PRODUCT(1+sp500_monthly!D183:D302)^(1/120)-1)*100</f>
        <v>1.3876302228789328</v>
      </c>
      <c r="E182" cm="1">
        <f t="array" ref="E182">(PRODUCT(1+sp500_monthly!E183:E302)^(1/120)-1)*100</f>
        <v>0.93006345499209164</v>
      </c>
      <c r="F182" cm="1">
        <f t="array" ref="F182">(PRODUCT(1+sp500_monthly!K183:K302)^(1/120)-1)*100</f>
        <v>0.54904973501235244</v>
      </c>
      <c r="G182" cm="1">
        <f t="array" ref="G182">(PRODUCT(1+sp500_monthly!L183:L302)^(1/120)-1)</f>
        <v>4.3849592980097718E-2</v>
      </c>
      <c r="H182" cm="1">
        <f t="array" ref="H182">(PRODUCT(1+sp500_monthly!N183:N302)^(1/120)-1)*100</f>
        <v>0</v>
      </c>
      <c r="I182" cm="1">
        <f t="array" ref="I182">(PRODUCT(1+sp500_monthly!O183:O302)^(1/120)-1)*100</f>
        <v>0</v>
      </c>
    </row>
    <row r="183" spans="1:9" x14ac:dyDescent="0.35">
      <c r="A183" s="1">
        <v>18687</v>
      </c>
      <c r="B183" cm="1">
        <f t="array" ref="B183">(PRODUCT(1+sp500_monthly!B184:B303)^(1/120)-1)*100</f>
        <v>1.1501082957406705</v>
      </c>
      <c r="C183" cm="1">
        <f t="array" ref="C183">(PRODUCT(1+sp500_monthly!C184:C303)^(1/120)-1)*100</f>
        <v>0.65292966696046673</v>
      </c>
      <c r="D183" cm="1">
        <f t="array" ref="D183">(PRODUCT(1+sp500_monthly!D184:D303)^(1/120)-1)*100</f>
        <v>1.46317927829267</v>
      </c>
      <c r="E183" cm="1">
        <f t="array" ref="E183">(PRODUCT(1+sp500_monthly!E184:E303)^(1/120)-1)*100</f>
        <v>1.0059550664462957</v>
      </c>
      <c r="F183" cm="1">
        <f t="array" ref="F183">(PRODUCT(1+sp500_monthly!K184:K303)^(1/120)-1)*100</f>
        <v>0.64029442599402575</v>
      </c>
      <c r="G183" cm="1">
        <f t="array" ref="G183">(PRODUCT(1+sp500_monthly!L184:L303)^(1/120)-1)</f>
        <v>4.5000792851866755E-2</v>
      </c>
      <c r="H183" cm="1">
        <f t="array" ref="H183">(PRODUCT(1+sp500_monthly!N184:N303)^(1/120)-1)*100</f>
        <v>0</v>
      </c>
      <c r="I183" cm="1">
        <f t="array" ref="I183">(PRODUCT(1+sp500_monthly!O184:O303)^(1/120)-1)*100</f>
        <v>0</v>
      </c>
    </row>
    <row r="184" spans="1:9" x14ac:dyDescent="0.35">
      <c r="A184" s="1">
        <v>18718</v>
      </c>
      <c r="B184" cm="1">
        <f t="array" ref="B184">(PRODUCT(1+sp500_monthly!B185:B304)^(1/120)-1)*100</f>
        <v>1.1662779598681672</v>
      </c>
      <c r="C184" cm="1">
        <f t="array" ref="C184">(PRODUCT(1+sp500_monthly!C185:C304)^(1/120)-1)*100</f>
        <v>0.66704382277027463</v>
      </c>
      <c r="D184" cm="1">
        <f t="array" ref="D184">(PRODUCT(1+sp500_monthly!D185:D304)^(1/120)-1)*100</f>
        <v>1.4805405820721429</v>
      </c>
      <c r="E184" cm="1">
        <f t="array" ref="E184">(PRODUCT(1+sp500_monthly!E185:E304)^(1/120)-1)*100</f>
        <v>1.0212195305613792</v>
      </c>
      <c r="F184" cm="1">
        <f t="array" ref="F184">(PRODUCT(1+sp500_monthly!K185:K304)^(1/120)-1)*100</f>
        <v>0.65828654140294152</v>
      </c>
      <c r="G184" cm="1">
        <f t="array" ref="G184">(PRODUCT(1+sp500_monthly!L185:L304)^(1/120)-1)</f>
        <v>4.5918710947562502E-2</v>
      </c>
      <c r="H184" cm="1">
        <f t="array" ref="H184">(PRODUCT(1+sp500_monthly!N185:N304)^(1/120)-1)*100</f>
        <v>0</v>
      </c>
      <c r="I184" cm="1">
        <f t="array" ref="I184">(PRODUCT(1+sp500_monthly!O185:O304)^(1/120)-1)*100</f>
        <v>0</v>
      </c>
    </row>
    <row r="185" spans="1:9" x14ac:dyDescent="0.35">
      <c r="A185" s="1">
        <v>18748</v>
      </c>
      <c r="B185" cm="1">
        <f t="array" ref="B185">(PRODUCT(1+sp500_monthly!B186:B305)^(1/120)-1)*100</f>
        <v>1.1439635403620363</v>
      </c>
      <c r="C185" cm="1">
        <f t="array" ref="C185">(PRODUCT(1+sp500_monthly!C186:C305)^(1/120)-1)*100</f>
        <v>0.64685617441799792</v>
      </c>
      <c r="D185" cm="1">
        <f t="array" ref="D185">(PRODUCT(1+sp500_monthly!D186:D305)^(1/120)-1)*100</f>
        <v>1.4465764769994838</v>
      </c>
      <c r="E185" cm="1">
        <f t="array" ref="E185">(PRODUCT(1+sp500_monthly!E186:E305)^(1/120)-1)*100</f>
        <v>0.98738781782312657</v>
      </c>
      <c r="F185" cm="1">
        <f t="array" ref="F185">(PRODUCT(1+sp500_monthly!K186:K305)^(1/120)-1)*100</f>
        <v>0.63937854759139601</v>
      </c>
      <c r="G185" cm="1">
        <f t="array" ref="G185">(PRODUCT(1+sp500_monthly!L186:L305)^(1/120)-1)</f>
        <v>4.674190852505733E-2</v>
      </c>
      <c r="H185" cm="1">
        <f t="array" ref="H185">(PRODUCT(1+sp500_monthly!N186:N305)^(1/120)-1)*100</f>
        <v>0</v>
      </c>
      <c r="I185" cm="1">
        <f t="array" ref="I185">(PRODUCT(1+sp500_monthly!O186:O305)^(1/120)-1)*100</f>
        <v>0</v>
      </c>
    </row>
    <row r="186" spans="1:9" x14ac:dyDescent="0.35">
      <c r="A186" s="1">
        <v>18779</v>
      </c>
      <c r="B186" cm="1">
        <f t="array" ref="B186">(PRODUCT(1+sp500_monthly!B187:B306)^(1/120)-1)*100</f>
        <v>1.2384994761574619</v>
      </c>
      <c r="C186" cm="1">
        <f t="array" ref="C186">(PRODUCT(1+sp500_monthly!C187:C306)^(1/120)-1)*100</f>
        <v>0.74113702510476553</v>
      </c>
      <c r="D186" cm="1">
        <f t="array" ref="D186">(PRODUCT(1+sp500_monthly!D187:D306)^(1/120)-1)*100</f>
        <v>1.5322806197006766</v>
      </c>
      <c r="E186" cm="1">
        <f t="array" ref="E186">(PRODUCT(1+sp500_monthly!E187:E306)^(1/120)-1)*100</f>
        <v>1.0719560159393904</v>
      </c>
      <c r="F186" cm="1">
        <f t="array" ref="F186">(PRODUCT(1+sp500_monthly!K187:K306)^(1/120)-1)*100</f>
        <v>0.73544818651629651</v>
      </c>
      <c r="G186" cm="1">
        <f t="array" ref="G186">(PRODUCT(1+sp500_monthly!L187:L306)^(1/120)-1)</f>
        <v>4.7896298160281736E-2</v>
      </c>
      <c r="H186" cm="1">
        <f t="array" ref="H186">(PRODUCT(1+sp500_monthly!N187:N306)^(1/120)-1)*100</f>
        <v>0</v>
      </c>
      <c r="I186" cm="1">
        <f t="array" ref="I186">(PRODUCT(1+sp500_monthly!O187:O306)^(1/120)-1)*100</f>
        <v>0</v>
      </c>
    </row>
    <row r="187" spans="1:9" x14ac:dyDescent="0.35">
      <c r="A187" s="1">
        <v>18808</v>
      </c>
      <c r="B187" cm="1">
        <f t="array" ref="B187">(PRODUCT(1+sp500_monthly!B188:B307)^(1/120)-1)*100</f>
        <v>1.2017773116405506</v>
      </c>
      <c r="C187" cm="1">
        <f t="array" ref="C187">(PRODUCT(1+sp500_monthly!C188:C307)^(1/120)-1)*100</f>
        <v>0.70427639871262215</v>
      </c>
      <c r="D187" cm="1">
        <f t="array" ref="D187">(PRODUCT(1+sp500_monthly!D188:D307)^(1/120)-1)*100</f>
        <v>1.5152232520099007</v>
      </c>
      <c r="E187" cm="1">
        <f t="array" ref="E187">(PRODUCT(1+sp500_monthly!E188:E307)^(1/120)-1)*100</f>
        <v>1.0531132139310229</v>
      </c>
      <c r="F187" cm="1">
        <f t="array" ref="F187">(PRODUCT(1+sp500_monthly!K188:K307)^(1/120)-1)*100</f>
        <v>0.69708891751896207</v>
      </c>
      <c r="G187" cm="1">
        <f t="array" ref="G187">(PRODUCT(1+sp500_monthly!L188:L307)^(1/120)-1)</f>
        <v>4.8886404866310462E-2</v>
      </c>
      <c r="H187" cm="1">
        <f t="array" ref="H187">(PRODUCT(1+sp500_monthly!N188:N307)^(1/120)-1)*100</f>
        <v>0</v>
      </c>
      <c r="I187" cm="1">
        <f t="array" ref="I187">(PRODUCT(1+sp500_monthly!O188:O307)^(1/120)-1)*100</f>
        <v>0</v>
      </c>
    </row>
    <row r="188" spans="1:9" x14ac:dyDescent="0.35">
      <c r="A188" s="1">
        <v>18840</v>
      </c>
      <c r="B188" cm="1">
        <f t="array" ref="B188">(PRODUCT(1+sp500_monthly!B189:B308)^(1/120)-1)*100</f>
        <v>1.1314898668979945</v>
      </c>
      <c r="C188" cm="1">
        <f t="array" ref="C188">(PRODUCT(1+sp500_monthly!C189:C308)^(1/120)-1)*100</f>
        <v>0.63737574156095267</v>
      </c>
      <c r="D188" cm="1">
        <f t="array" ref="D188">(PRODUCT(1+sp500_monthly!D189:D308)^(1/120)-1)*100</f>
        <v>1.4297023717527946</v>
      </c>
      <c r="E188" cm="1">
        <f t="array" ref="E188">(PRODUCT(1+sp500_monthly!E189:E308)^(1/120)-1)*100</f>
        <v>0.96931610660546674</v>
      </c>
      <c r="F188" cm="1">
        <f t="array" ref="F188">(PRODUCT(1+sp500_monthly!K189:K308)^(1/120)-1)*100</f>
        <v>0.63126986791366413</v>
      </c>
      <c r="G188" cm="1">
        <f t="array" ref="G188">(PRODUCT(1+sp500_monthly!L189:L308)^(1/120)-1)</f>
        <v>4.9877447076444925E-2</v>
      </c>
      <c r="H188" cm="1">
        <f t="array" ref="H188">(PRODUCT(1+sp500_monthly!N189:N308)^(1/120)-1)*100</f>
        <v>0</v>
      </c>
      <c r="I188" cm="1">
        <f t="array" ref="I188">(PRODUCT(1+sp500_monthly!O189:O308)^(1/120)-1)*100</f>
        <v>0</v>
      </c>
    </row>
    <row r="189" spans="1:9" x14ac:dyDescent="0.35">
      <c r="A189" s="1">
        <v>18871</v>
      </c>
      <c r="B189" cm="1">
        <f t="array" ref="B189">(PRODUCT(1+sp500_monthly!B190:B309)^(1/120)-1)*100</f>
        <v>1.1424439384470908</v>
      </c>
      <c r="C189" cm="1">
        <f t="array" ref="C189">(PRODUCT(1+sp500_monthly!C190:C309)^(1/120)-1)*100</f>
        <v>0.64873532974651926</v>
      </c>
      <c r="D189" cm="1">
        <f t="array" ref="D189">(PRODUCT(1+sp500_monthly!D190:D309)^(1/120)-1)*100</f>
        <v>1.3910210800079703</v>
      </c>
      <c r="E189" cm="1">
        <f t="array" ref="E189">(PRODUCT(1+sp500_monthly!E190:E309)^(1/120)-1)*100</f>
        <v>0.93061182185056879</v>
      </c>
      <c r="F189" cm="1">
        <f t="array" ref="F189">(PRODUCT(1+sp500_monthly!K190:K309)^(1/120)-1)*100</f>
        <v>0.64223323198162596</v>
      </c>
      <c r="G189" cm="1">
        <f t="array" ref="G189">(PRODUCT(1+sp500_monthly!L190:L309)^(1/120)-1)</f>
        <v>5.0688430275931395E-2</v>
      </c>
      <c r="H189" cm="1">
        <f t="array" ref="H189">(PRODUCT(1+sp500_monthly!N190:N309)^(1/120)-1)*100</f>
        <v>0</v>
      </c>
      <c r="I189" cm="1">
        <f t="array" ref="I189">(PRODUCT(1+sp500_monthly!O190:O309)^(1/120)-1)*100</f>
        <v>0</v>
      </c>
    </row>
    <row r="190" spans="1:9" x14ac:dyDescent="0.35">
      <c r="A190" s="1">
        <v>18899</v>
      </c>
      <c r="B190" cm="1">
        <f t="array" ref="B190">(PRODUCT(1+sp500_monthly!B191:B310)^(1/120)-1)*100</f>
        <v>1.1846909276251427</v>
      </c>
      <c r="C190" cm="1">
        <f t="array" ref="C190">(PRODUCT(1+sp500_monthly!C191:C310)^(1/120)-1)*100</f>
        <v>0.68855054898098178</v>
      </c>
      <c r="D190" cm="1">
        <f t="array" ref="D190">(PRODUCT(1+sp500_monthly!D191:D310)^(1/120)-1)*100</f>
        <v>1.4316542395002463</v>
      </c>
      <c r="E190" cm="1">
        <f t="array" ref="E190">(PRODUCT(1+sp500_monthly!E191:E310)^(1/120)-1)*100</f>
        <v>0.96872999892700928</v>
      </c>
      <c r="F190" cm="1">
        <f t="array" ref="F190">(PRODUCT(1+sp500_monthly!K191:K310)^(1/120)-1)*100</f>
        <v>0.68185521471206822</v>
      </c>
      <c r="G190" cm="1">
        <f t="array" ref="G190">(PRODUCT(1+sp500_monthly!L191:L310)^(1/120)-1)</f>
        <v>5.1671873199333085E-2</v>
      </c>
      <c r="H190" cm="1">
        <f t="array" ref="H190">(PRODUCT(1+sp500_monthly!N191:N310)^(1/120)-1)*100</f>
        <v>0</v>
      </c>
      <c r="I190" cm="1">
        <f t="array" ref="I190">(PRODUCT(1+sp500_monthly!O191:O310)^(1/120)-1)*100</f>
        <v>0</v>
      </c>
    </row>
    <row r="191" spans="1:9" x14ac:dyDescent="0.35">
      <c r="A191" s="1">
        <v>18932</v>
      </c>
      <c r="B191" cm="1">
        <f t="array" ref="B191">(PRODUCT(1+sp500_monthly!B192:B311)^(1/120)-1)*100</f>
        <v>1.1933274490841361</v>
      </c>
      <c r="C191" cm="1">
        <f t="array" ref="C191">(PRODUCT(1+sp500_monthly!C192:C311)^(1/120)-1)*100</f>
        <v>0.69925759300251134</v>
      </c>
      <c r="D191" cm="1">
        <f t="array" ref="D191">(PRODUCT(1+sp500_monthly!D192:D311)^(1/120)-1)*100</f>
        <v>1.4682531861880399</v>
      </c>
      <c r="E191" cm="1">
        <f t="array" ref="E191">(PRODUCT(1+sp500_monthly!E192:E311)^(1/120)-1)*100</f>
        <v>1.0064580425978464</v>
      </c>
      <c r="F191" cm="1">
        <f t="array" ref="F191">(PRODUCT(1+sp500_monthly!K192:K311)^(1/120)-1)*100</f>
        <v>0.68932027114545491</v>
      </c>
      <c r="G191" cm="1">
        <f t="array" ref="G191">(PRODUCT(1+sp500_monthly!L192:L311)^(1/120)-1)</f>
        <v>5.257826446240399E-2</v>
      </c>
      <c r="H191" cm="1">
        <f t="array" ref="H191">(PRODUCT(1+sp500_monthly!N192:N311)^(1/120)-1)*100</f>
        <v>0</v>
      </c>
      <c r="I191" cm="1">
        <f t="array" ref="I191">(PRODUCT(1+sp500_monthly!O192:O311)^(1/120)-1)*100</f>
        <v>0</v>
      </c>
    </row>
    <row r="192" spans="1:9" x14ac:dyDescent="0.35">
      <c r="A192" s="1">
        <v>18962</v>
      </c>
      <c r="B192" cm="1">
        <f t="array" ref="B192">(PRODUCT(1+sp500_monthly!B193:B312)^(1/120)-1)*100</f>
        <v>1.2383454279662365</v>
      </c>
      <c r="C192" cm="1">
        <f t="array" ref="C192">(PRODUCT(1+sp500_monthly!C193:C312)^(1/120)-1)*100</f>
        <v>0.74376615990303652</v>
      </c>
      <c r="D192" cm="1">
        <f t="array" ref="D192">(PRODUCT(1+sp500_monthly!D193:D312)^(1/120)-1)*100</f>
        <v>1.5173859158712277</v>
      </c>
      <c r="E192" cm="1">
        <f t="array" ref="E192">(PRODUCT(1+sp500_monthly!E193:E312)^(1/120)-1)*100</f>
        <v>1.0541699138364891</v>
      </c>
      <c r="F192" cm="1">
        <f t="array" ref="F192">(PRODUCT(1+sp500_monthly!K193:K312)^(1/120)-1)*100</f>
        <v>0.73736214463600014</v>
      </c>
      <c r="G192" cm="1">
        <f t="array" ref="G192">(PRODUCT(1+sp500_monthly!L193:L312)^(1/120)-1)</f>
        <v>5.3880933817131993E-2</v>
      </c>
      <c r="H192" cm="1">
        <f t="array" ref="H192">(PRODUCT(1+sp500_monthly!N193:N312)^(1/120)-1)*100</f>
        <v>0</v>
      </c>
      <c r="I192" cm="1">
        <f t="array" ref="I192">(PRODUCT(1+sp500_monthly!O193:O312)^(1/120)-1)*100</f>
        <v>0</v>
      </c>
    </row>
    <row r="193" spans="1:9" x14ac:dyDescent="0.35">
      <c r="A193" s="1">
        <v>18993</v>
      </c>
      <c r="B193" cm="1">
        <f t="array" ref="B193">(PRODUCT(1+sp500_monthly!B194:B313)^(1/120)-1)*100</f>
        <v>1.2691901121477889</v>
      </c>
      <c r="C193" cm="1">
        <f t="array" ref="C193">(PRODUCT(1+sp500_monthly!C194:C313)^(1/120)-1)*100</f>
        <v>0.77772410914136447</v>
      </c>
      <c r="D193" cm="1">
        <f t="array" ref="D193">(PRODUCT(1+sp500_monthly!D194:D313)^(1/120)-1)*100</f>
        <v>1.5735585362791626</v>
      </c>
      <c r="E193" cm="1">
        <f t="array" ref="E193">(PRODUCT(1+sp500_monthly!E194:E313)^(1/120)-1)*100</f>
        <v>1.11206893461131</v>
      </c>
      <c r="F193" cm="1">
        <f t="array" ref="F193">(PRODUCT(1+sp500_monthly!K194:K313)^(1/120)-1)*100</f>
        <v>0.77128082019053412</v>
      </c>
      <c r="G193" cm="1">
        <f t="array" ref="G193">(PRODUCT(1+sp500_monthly!L194:L313)^(1/120)-1)</f>
        <v>5.4797857721836873E-2</v>
      </c>
      <c r="H193" cm="1">
        <f t="array" ref="H193">(PRODUCT(1+sp500_monthly!N194:N313)^(1/120)-1)*100</f>
        <v>0</v>
      </c>
      <c r="I193" cm="1">
        <f t="array" ref="I193">(PRODUCT(1+sp500_monthly!O194:O313)^(1/120)-1)*100</f>
        <v>0</v>
      </c>
    </row>
    <row r="194" spans="1:9" x14ac:dyDescent="0.35">
      <c r="A194" s="1">
        <v>19024</v>
      </c>
      <c r="B194" cm="1">
        <f t="array" ref="B194">(PRODUCT(1+sp500_monthly!B195:B314)^(1/120)-1)*100</f>
        <v>1.3372168115176164</v>
      </c>
      <c r="C194" cm="1">
        <f t="array" ref="C194">(PRODUCT(1+sp500_monthly!C195:C314)^(1/120)-1)*100</f>
        <v>0.84917740575145562</v>
      </c>
      <c r="D194" cm="1">
        <f t="array" ref="D194">(PRODUCT(1+sp500_monthly!D195:D314)^(1/120)-1)*100</f>
        <v>1.650887297977377</v>
      </c>
      <c r="E194" cm="1">
        <f t="array" ref="E194">(PRODUCT(1+sp500_monthly!E195:E314)^(1/120)-1)*100</f>
        <v>1.1922881392362195</v>
      </c>
      <c r="F194" cm="1">
        <f t="array" ref="F194">(PRODUCT(1+sp500_monthly!K195:K314)^(1/120)-1)*100</f>
        <v>0.8420664489232621</v>
      </c>
      <c r="G194" cm="1">
        <f t="array" ref="G194">(PRODUCT(1+sp500_monthly!L195:L314)^(1/120)-1)</f>
        <v>5.5706943138028819E-2</v>
      </c>
      <c r="H194" cm="1">
        <f t="array" ref="H194">(PRODUCT(1+sp500_monthly!N195:N314)^(1/120)-1)*100</f>
        <v>0</v>
      </c>
      <c r="I194" cm="1">
        <f t="array" ref="I194">(PRODUCT(1+sp500_monthly!O195:O314)^(1/120)-1)*100</f>
        <v>0</v>
      </c>
    </row>
    <row r="195" spans="1:9" x14ac:dyDescent="0.35">
      <c r="A195" s="1">
        <v>19053</v>
      </c>
      <c r="B195" cm="1">
        <f t="array" ref="B195">(PRODUCT(1+sp500_monthly!B196:B315)^(1/120)-1)*100</f>
        <v>1.333484698348264</v>
      </c>
      <c r="C195" cm="1">
        <f t="array" ref="C195">(PRODUCT(1+sp500_monthly!C196:C315)^(1/120)-1)*100</f>
        <v>0.84559953479885763</v>
      </c>
      <c r="D195" cm="1">
        <f t="array" ref="D195">(PRODUCT(1+sp500_monthly!D196:D315)^(1/120)-1)*100</f>
        <v>1.5863821882605933</v>
      </c>
      <c r="E195" cm="1">
        <f t="array" ref="E195">(PRODUCT(1+sp500_monthly!E196:E315)^(1/120)-1)*100</f>
        <v>1.1275108780911092</v>
      </c>
      <c r="F195" cm="1">
        <f t="array" ref="F195">(PRODUCT(1+sp500_monthly!K196:K315)^(1/120)-1)*100</f>
        <v>0.84352158357763329</v>
      </c>
      <c r="G195" cm="1">
        <f t="array" ref="G195">(PRODUCT(1+sp500_monthly!L196:L315)^(1/120)-1)</f>
        <v>5.6762819824640598E-2</v>
      </c>
      <c r="H195" cm="1">
        <f t="array" ref="H195">(PRODUCT(1+sp500_monthly!N196:N315)^(1/120)-1)*100</f>
        <v>0</v>
      </c>
      <c r="I195" cm="1">
        <f t="array" ref="I195">(PRODUCT(1+sp500_monthly!O196:O315)^(1/120)-1)*100</f>
        <v>0</v>
      </c>
    </row>
    <row r="196" spans="1:9" x14ac:dyDescent="0.35">
      <c r="A196" s="1">
        <v>19084</v>
      </c>
      <c r="B196" cm="1">
        <f t="array" ref="B196">(PRODUCT(1+sp500_monthly!B197:B316)^(1/120)-1)*100</f>
        <v>1.326931628804684</v>
      </c>
      <c r="C196" cm="1">
        <f t="array" ref="C196">(PRODUCT(1+sp500_monthly!C197:C316)^(1/120)-1)*100</f>
        <v>0.83598039361560961</v>
      </c>
      <c r="D196" cm="1">
        <f t="array" ref="D196">(PRODUCT(1+sp500_monthly!D197:D316)^(1/120)-1)*100</f>
        <v>1.5788739677685681</v>
      </c>
      <c r="E196" cm="1">
        <f t="array" ref="E196">(PRODUCT(1+sp500_monthly!E197:E316)^(1/120)-1)*100</f>
        <v>1.1175248501421597</v>
      </c>
      <c r="F196" cm="1">
        <f t="array" ref="F196">(PRODUCT(1+sp500_monthly!K197:K316)^(1/120)-1)*100</f>
        <v>0.83356717288622928</v>
      </c>
      <c r="G196" cm="1">
        <f t="array" ref="G196">(PRODUCT(1+sp500_monthly!L197:L316)^(1/120)-1)</f>
        <v>5.7673598758105182E-2</v>
      </c>
      <c r="H196" cm="1">
        <f t="array" ref="H196">(PRODUCT(1+sp500_monthly!N197:N316)^(1/120)-1)*100</f>
        <v>0</v>
      </c>
      <c r="I196" cm="1">
        <f t="array" ref="I196">(PRODUCT(1+sp500_monthly!O197:O316)^(1/120)-1)*100</f>
        <v>0</v>
      </c>
    </row>
    <row r="197" spans="1:9" x14ac:dyDescent="0.35">
      <c r="A197" s="1">
        <v>19114</v>
      </c>
      <c r="B197" cm="1">
        <f t="array" ref="B197">(PRODUCT(1+sp500_monthly!B198:B317)^(1/120)-1)*100</f>
        <v>1.4263402706225836</v>
      </c>
      <c r="C197" cm="1">
        <f t="array" ref="C197">(PRODUCT(1+sp500_monthly!C198:C317)^(1/120)-1)*100</f>
        <v>0.9382430466258862</v>
      </c>
      <c r="D197" cm="1">
        <f t="array" ref="D197">(PRODUCT(1+sp500_monthly!D198:D317)^(1/120)-1)*100</f>
        <v>1.681936937054096</v>
      </c>
      <c r="E197" cm="1">
        <f t="array" ref="E197">(PRODUCT(1+sp500_monthly!E198:E317)^(1/120)-1)*100</f>
        <v>1.2232043443626273</v>
      </c>
      <c r="F197" cm="1">
        <f t="array" ref="F197">(PRODUCT(1+sp500_monthly!K198:K317)^(1/120)-1)*100</f>
        <v>0.93152824216402585</v>
      </c>
      <c r="G197" cm="1">
        <f t="array" ref="G197">(PRODUCT(1+sp500_monthly!L198:L317)^(1/120)-1)</f>
        <v>5.850604810160065E-2</v>
      </c>
      <c r="H197" cm="1">
        <f t="array" ref="H197">(PRODUCT(1+sp500_monthly!N198:N317)^(1/120)-1)*100</f>
        <v>0</v>
      </c>
      <c r="I197" cm="1">
        <f t="array" ref="I197">(PRODUCT(1+sp500_monthly!O198:O317)^(1/120)-1)*100</f>
        <v>0</v>
      </c>
    </row>
    <row r="198" spans="1:9" x14ac:dyDescent="0.35">
      <c r="A198" s="1">
        <v>19143</v>
      </c>
      <c r="B198" cm="1">
        <f t="array" ref="B198">(PRODUCT(1+sp500_monthly!B199:B318)^(1/120)-1)*100</f>
        <v>1.4233169389110456</v>
      </c>
      <c r="C198" cm="1">
        <f t="array" ref="C198">(PRODUCT(1+sp500_monthly!C199:C318)^(1/120)-1)*100</f>
        <v>0.93565783340481268</v>
      </c>
      <c r="D198" cm="1">
        <f t="array" ref="D198">(PRODUCT(1+sp500_monthly!D199:D318)^(1/120)-1)*100</f>
        <v>1.6892780065649093</v>
      </c>
      <c r="E198" cm="1">
        <f t="array" ref="E198">(PRODUCT(1+sp500_monthly!E199:E318)^(1/120)-1)*100</f>
        <v>1.2322817964453892</v>
      </c>
      <c r="F198" cm="1">
        <f t="array" ref="F198">(PRODUCT(1+sp500_monthly!K199:K318)^(1/120)-1)*100</f>
        <v>0.93206370504814728</v>
      </c>
      <c r="G198" cm="1">
        <f t="array" ref="G198">(PRODUCT(1+sp500_monthly!L199:L318)^(1/120)-1)</f>
        <v>5.9418329449382856E-2</v>
      </c>
      <c r="H198" cm="1">
        <f t="array" ref="H198">(PRODUCT(1+sp500_monthly!N199:N318)^(1/120)-1)*100</f>
        <v>0</v>
      </c>
      <c r="I198" cm="1">
        <f t="array" ref="I198">(PRODUCT(1+sp500_monthly!O199:O318)^(1/120)-1)*100</f>
        <v>0</v>
      </c>
    </row>
    <row r="199" spans="1:9" x14ac:dyDescent="0.35">
      <c r="A199" s="1">
        <v>19175</v>
      </c>
      <c r="B199" cm="1">
        <f t="array" ref="B199">(PRODUCT(1+sp500_monthly!B200:B319)^(1/120)-1)*100</f>
        <v>1.3938807634952477</v>
      </c>
      <c r="C199" cm="1">
        <f t="array" ref="C199">(PRODUCT(1+sp500_monthly!C200:C319)^(1/120)-1)*100</f>
        <v>0.90590817377849131</v>
      </c>
      <c r="D199" cm="1">
        <f t="array" ref="D199">(PRODUCT(1+sp500_monthly!D200:D319)^(1/120)-1)*100</f>
        <v>1.6809721610947959</v>
      </c>
      <c r="E199" cm="1">
        <f t="array" ref="E199">(PRODUCT(1+sp500_monthly!E200:E319)^(1/120)-1)*100</f>
        <v>1.2225078580462956</v>
      </c>
      <c r="F199" cm="1">
        <f t="array" ref="F199">(PRODUCT(1+sp500_monthly!K200:K319)^(1/120)-1)*100</f>
        <v>0.89917001854535883</v>
      </c>
      <c r="G199" cm="1">
        <f t="array" ref="G199">(PRODUCT(1+sp500_monthly!L200:L319)^(1/120)-1)</f>
        <v>6.0236682552217813E-2</v>
      </c>
      <c r="H199" cm="1">
        <f t="array" ref="H199">(PRODUCT(1+sp500_monthly!N200:N319)^(1/120)-1)*100</f>
        <v>0</v>
      </c>
      <c r="I199" cm="1">
        <f t="array" ref="I199">(PRODUCT(1+sp500_monthly!O200:O319)^(1/120)-1)*100</f>
        <v>0</v>
      </c>
    </row>
    <row r="200" spans="1:9" x14ac:dyDescent="0.35">
      <c r="A200" s="1">
        <v>19206</v>
      </c>
      <c r="B200" cm="1">
        <f t="array" ref="B200">(PRODUCT(1+sp500_monthly!B201:B320)^(1/120)-1)*100</f>
        <v>1.4136985731541429</v>
      </c>
      <c r="C200" cm="1">
        <f t="array" ref="C200">(PRODUCT(1+sp500_monthly!C201:C320)^(1/120)-1)*100</f>
        <v>0.92940840097379684</v>
      </c>
      <c r="D200" cm="1">
        <f t="array" ref="D200">(PRODUCT(1+sp500_monthly!D201:D320)^(1/120)-1)*100</f>
        <v>1.7015682380848718</v>
      </c>
      <c r="E200" cm="1">
        <f t="array" ref="E200">(PRODUCT(1+sp500_monthly!E201:E320)^(1/120)-1)*100</f>
        <v>1.2449527340199662</v>
      </c>
      <c r="F200" cm="1">
        <f t="array" ref="F200">(PRODUCT(1+sp500_monthly!K201:K320)^(1/120)-1)*100</f>
        <v>0.92173460243683003</v>
      </c>
      <c r="G200" cm="1">
        <f t="array" ref="G200">(PRODUCT(1+sp500_monthly!L201:L320)^(1/120)-1)</f>
        <v>6.1297089706565E-2</v>
      </c>
      <c r="H200" cm="1">
        <f t="array" ref="H200">(PRODUCT(1+sp500_monthly!N201:N320)^(1/120)-1)*100</f>
        <v>0</v>
      </c>
      <c r="I200" cm="1">
        <f t="array" ref="I200">(PRODUCT(1+sp500_monthly!O201:O320)^(1/120)-1)*100</f>
        <v>0</v>
      </c>
    </row>
    <row r="201" spans="1:9" x14ac:dyDescent="0.35">
      <c r="A201" s="1">
        <v>19235</v>
      </c>
      <c r="B201" cm="1">
        <f t="array" ref="B201">(PRODUCT(1+sp500_monthly!B202:B321)^(1/120)-1)*100</f>
        <v>1.3997984753089998</v>
      </c>
      <c r="C201" cm="1">
        <f t="array" ref="C201">(PRODUCT(1+sp500_monthly!C202:C321)^(1/120)-1)*100</f>
        <v>0.91575566680175413</v>
      </c>
      <c r="D201" cm="1">
        <f t="array" ref="D201">(PRODUCT(1+sp500_monthly!D202:D321)^(1/120)-1)*100</f>
        <v>1.6740328449343256</v>
      </c>
      <c r="E201" cm="1">
        <f t="array" ref="E201">(PRODUCT(1+sp500_monthly!E202:E321)^(1/120)-1)*100</f>
        <v>1.2174771626501046</v>
      </c>
      <c r="F201" cm="1">
        <f t="array" ref="F201">(PRODUCT(1+sp500_monthly!K202:K321)^(1/120)-1)*100</f>
        <v>0.91049090394561549</v>
      </c>
      <c r="G201" cm="1">
        <f t="array" ref="G201">(PRODUCT(1+sp500_monthly!L202:L321)^(1/120)-1)</f>
        <v>6.2272189650018017E-2</v>
      </c>
      <c r="H201" cm="1">
        <f t="array" ref="H201">(PRODUCT(1+sp500_monthly!N202:N321)^(1/120)-1)*100</f>
        <v>0</v>
      </c>
      <c r="I201" cm="1">
        <f t="array" ref="I201">(PRODUCT(1+sp500_monthly!O202:O321)^(1/120)-1)*100</f>
        <v>0</v>
      </c>
    </row>
    <row r="202" spans="1:9" x14ac:dyDescent="0.35">
      <c r="A202" s="1">
        <v>19267</v>
      </c>
      <c r="B202" cm="1">
        <f t="array" ref="B202">(PRODUCT(1+sp500_monthly!B203:B322)^(1/120)-1)*100</f>
        <v>1.3821229896821441</v>
      </c>
      <c r="C202" cm="1">
        <f t="array" ref="C202">(PRODUCT(1+sp500_monthly!C203:C322)^(1/120)-1)*100</f>
        <v>0.89673187323833226</v>
      </c>
      <c r="D202" cm="1">
        <f t="array" ref="D202">(PRODUCT(1+sp500_monthly!D203:D322)^(1/120)-1)*100</f>
        <v>1.6603216984366176</v>
      </c>
      <c r="E202" cm="1">
        <f t="array" ref="E202">(PRODUCT(1+sp500_monthly!E203:E322)^(1/120)-1)*100</f>
        <v>1.2025489975636017</v>
      </c>
      <c r="F202" cm="1">
        <f t="array" ref="F202">(PRODUCT(1+sp500_monthly!K203:K322)^(1/120)-1)*100</f>
        <v>0.89227930412087986</v>
      </c>
      <c r="G202" cm="1">
        <f t="array" ref="G202">(PRODUCT(1+sp500_monthly!L203:L322)^(1/120)-1)</f>
        <v>6.3248185497086329E-2</v>
      </c>
      <c r="H202" cm="1">
        <f t="array" ref="H202">(PRODUCT(1+sp500_monthly!N203:N322)^(1/120)-1)*100</f>
        <v>0</v>
      </c>
      <c r="I202" cm="1">
        <f t="array" ref="I202">(PRODUCT(1+sp500_monthly!O203:O322)^(1/120)-1)*100</f>
        <v>0</v>
      </c>
    </row>
    <row r="203" spans="1:9" x14ac:dyDescent="0.35">
      <c r="A203" s="1">
        <v>19298</v>
      </c>
      <c r="B203" cm="1">
        <f t="array" ref="B203">(PRODUCT(1+sp500_monthly!B204:B323)^(1/120)-1)*100</f>
        <v>1.3397336960162542</v>
      </c>
      <c r="C203" cm="1">
        <f t="array" ref="C203">(PRODUCT(1+sp500_monthly!C204:C323)^(1/120)-1)*100</f>
        <v>0.85671929775197331</v>
      </c>
      <c r="D203" cm="1">
        <f t="array" ref="D203">(PRODUCT(1+sp500_monthly!D204:D323)^(1/120)-1)*100</f>
        <v>1.6016179725912183</v>
      </c>
      <c r="E203" cm="1">
        <f t="array" ref="E203">(PRODUCT(1+sp500_monthly!E204:E323)^(1/120)-1)*100</f>
        <v>1.1462444132932958</v>
      </c>
      <c r="F203" cm="1">
        <f t="array" ref="F203">(PRODUCT(1+sp500_monthly!K204:K323)^(1/120)-1)*100</f>
        <v>0.85352443076598394</v>
      </c>
      <c r="G203" cm="1">
        <f t="array" ref="G203">(PRODUCT(1+sp500_monthly!L204:L323)^(1/120)-1)</f>
        <v>6.4301865236816136E-2</v>
      </c>
      <c r="H203" cm="1">
        <f t="array" ref="H203">(PRODUCT(1+sp500_monthly!N204:N323)^(1/120)-1)*100</f>
        <v>0</v>
      </c>
      <c r="I203" cm="1">
        <f t="array" ref="I203">(PRODUCT(1+sp500_monthly!O204:O323)^(1/120)-1)*100</f>
        <v>0</v>
      </c>
    </row>
    <row r="204" spans="1:9" x14ac:dyDescent="0.35">
      <c r="A204" s="1">
        <v>19326</v>
      </c>
      <c r="B204" cm="1">
        <f t="array" ref="B204">(PRODUCT(1+sp500_monthly!B205:B324)^(1/120)-1)*100</f>
        <v>1.2845664859797878</v>
      </c>
      <c r="C204" cm="1">
        <f t="array" ref="C204">(PRODUCT(1+sp500_monthly!C205:C324)^(1/120)-1)*100</f>
        <v>0.80170819582356945</v>
      </c>
      <c r="D204" cm="1">
        <f t="array" ref="D204">(PRODUCT(1+sp500_monthly!D205:D324)^(1/120)-1)*100</f>
        <v>1.5032661380755652</v>
      </c>
      <c r="E204" cm="1">
        <f t="array" ref="E204">(PRODUCT(1+sp500_monthly!E205:E324)^(1/120)-1)*100</f>
        <v>1.0471151386077571</v>
      </c>
      <c r="F204" cm="1">
        <f t="array" ref="F204">(PRODUCT(1+sp500_monthly!K205:K324)^(1/120)-1)*100</f>
        <v>0.80039436407863818</v>
      </c>
      <c r="G204" cm="1">
        <f t="array" ref="G204">(PRODUCT(1+sp500_monthly!L205:L324)^(1/120)-1)</f>
        <v>6.5202196964881498E-2</v>
      </c>
      <c r="H204" cm="1">
        <f t="array" ref="H204">(PRODUCT(1+sp500_monthly!N205:N324)^(1/120)-1)*100</f>
        <v>0</v>
      </c>
      <c r="I204" cm="1">
        <f t="array" ref="I204">(PRODUCT(1+sp500_monthly!O205:O324)^(1/120)-1)*100</f>
        <v>0</v>
      </c>
    </row>
    <row r="205" spans="1:9" x14ac:dyDescent="0.35">
      <c r="A205" s="1">
        <v>19359</v>
      </c>
      <c r="B205" cm="1">
        <f t="array" ref="B205">(PRODUCT(1+sp500_monthly!B206:B325)^(1/120)-1)*100</f>
        <v>1.3385769547912929</v>
      </c>
      <c r="C205" cm="1">
        <f t="array" ref="C205">(PRODUCT(1+sp500_monthly!C206:C325)^(1/120)-1)*100</f>
        <v>0.85567349078290444</v>
      </c>
      <c r="D205" cm="1">
        <f t="array" ref="D205">(PRODUCT(1+sp500_monthly!D206:D325)^(1/120)-1)*100</f>
        <v>1.5934581197009745</v>
      </c>
      <c r="E205" cm="1">
        <f t="array" ref="E205">(PRODUCT(1+sp500_monthly!E206:E325)^(1/120)-1)*100</f>
        <v>1.139007467946751</v>
      </c>
      <c r="F205" cm="1">
        <f t="array" ref="F205">(PRODUCT(1+sp500_monthly!K206:K325)^(1/120)-1)*100</f>
        <v>0.85025305623336322</v>
      </c>
      <c r="G205" cm="1">
        <f t="array" ref="G205">(PRODUCT(1+sp500_monthly!L206:L325)^(1/120)-1)</f>
        <v>6.5786011159667757E-2</v>
      </c>
      <c r="H205" cm="1">
        <f t="array" ref="H205">(PRODUCT(1+sp500_monthly!N206:N325)^(1/120)-1)*100</f>
        <v>0</v>
      </c>
      <c r="I205" cm="1">
        <f t="array" ref="I205">(PRODUCT(1+sp500_monthly!O206:O325)^(1/120)-1)*100</f>
        <v>0</v>
      </c>
    </row>
    <row r="206" spans="1:9" x14ac:dyDescent="0.35">
      <c r="A206" s="1">
        <v>19389</v>
      </c>
      <c r="B206" cm="1">
        <f t="array" ref="B206">(PRODUCT(1+sp500_monthly!B207:B326)^(1/120)-1)*100</f>
        <v>1.3230060202928939</v>
      </c>
      <c r="C206" cm="1">
        <f t="array" ref="C206">(PRODUCT(1+sp500_monthly!C207:C326)^(1/120)-1)*100</f>
        <v>0.84381017661545599</v>
      </c>
      <c r="D206" cm="1">
        <f t="array" ref="D206">(PRODUCT(1+sp500_monthly!D207:D326)^(1/120)-1)*100</f>
        <v>1.5853311451706986</v>
      </c>
      <c r="E206" cm="1">
        <f t="array" ref="E206">(PRODUCT(1+sp500_monthly!E207:E326)^(1/120)-1)*100</f>
        <v>1.1350506607748834</v>
      </c>
      <c r="F206" cm="1">
        <f t="array" ref="F206">(PRODUCT(1+sp500_monthly!K207:K326)^(1/120)-1)*100</f>
        <v>0.83720401247489029</v>
      </c>
      <c r="G206" cm="1">
        <f t="array" ref="G206">(PRODUCT(1+sp500_monthly!L207:L326)^(1/120)-1)</f>
        <v>6.6842205886509687E-2</v>
      </c>
      <c r="H206" cm="1">
        <f t="array" ref="H206">(PRODUCT(1+sp500_monthly!N207:N326)^(1/120)-1)*100</f>
        <v>0</v>
      </c>
      <c r="I206" cm="1">
        <f t="array" ref="I206">(PRODUCT(1+sp500_monthly!O207:O326)^(1/120)-1)*100</f>
        <v>0</v>
      </c>
    </row>
    <row r="207" spans="1:9" x14ac:dyDescent="0.35">
      <c r="A207" s="1">
        <v>19417</v>
      </c>
      <c r="B207" cm="1">
        <f t="array" ref="B207">(PRODUCT(1+sp500_monthly!B208:B327)^(1/120)-1)*100</f>
        <v>1.2587224718530576</v>
      </c>
      <c r="C207" cm="1">
        <f t="array" ref="C207">(PRODUCT(1+sp500_monthly!C208:C327)^(1/120)-1)*100</f>
        <v>0.78040871156577207</v>
      </c>
      <c r="D207" cm="1">
        <f t="array" ref="D207">(PRODUCT(1+sp500_monthly!D208:D327)^(1/120)-1)*100</f>
        <v>1.4883348875125657</v>
      </c>
      <c r="E207" cm="1">
        <f t="array" ref="E207">(PRODUCT(1+sp500_monthly!E208:E327)^(1/120)-1)*100</f>
        <v>1.038596582475293</v>
      </c>
      <c r="F207" cm="1">
        <f t="array" ref="F207">(PRODUCT(1+sp500_monthly!K208:K327)^(1/120)-1)*100</f>
        <v>0.773046305884173</v>
      </c>
      <c r="G207" cm="1">
        <f t="array" ref="G207">(PRODUCT(1+sp500_monthly!L208:L327)^(1/120)-1)</f>
        <v>6.7899447303108706E-2</v>
      </c>
      <c r="H207" cm="1">
        <f t="array" ref="H207">(PRODUCT(1+sp500_monthly!N208:N327)^(1/120)-1)*100</f>
        <v>0</v>
      </c>
      <c r="I207" cm="1">
        <f t="array" ref="I207">(PRODUCT(1+sp500_monthly!O208:O327)^(1/120)-1)*100</f>
        <v>0</v>
      </c>
    </row>
    <row r="208" spans="1:9" x14ac:dyDescent="0.35">
      <c r="A208" s="1">
        <v>19449</v>
      </c>
      <c r="B208" cm="1">
        <f t="array" ref="B208">(PRODUCT(1+sp500_monthly!B209:B328)^(1/120)-1)*100</f>
        <v>1.2043744475591645</v>
      </c>
      <c r="C208" cm="1">
        <f t="array" ref="C208">(PRODUCT(1+sp500_monthly!C209:C328)^(1/120)-1)*100</f>
        <v>0.72222491892481866</v>
      </c>
      <c r="D208" cm="1">
        <f t="array" ref="D208">(PRODUCT(1+sp500_monthly!D209:D328)^(1/120)-1)*100</f>
        <v>1.3906094446581418</v>
      </c>
      <c r="E208" cm="1">
        <f t="array" ref="E208">(PRODUCT(1+sp500_monthly!E209:E328)^(1/120)-1)*100</f>
        <v>0.93808819782974506</v>
      </c>
      <c r="F208" cm="1">
        <f t="array" ref="F208">(PRODUCT(1+sp500_monthly!K209:K328)^(1/120)-1)*100</f>
        <v>0.71617177694767165</v>
      </c>
      <c r="G208" cm="1">
        <f t="array" ref="G208">(PRODUCT(1+sp500_monthly!L209:L328)^(1/120)-1)</f>
        <v>6.8802822356930138E-2</v>
      </c>
      <c r="H208" cm="1">
        <f t="array" ref="H208">(PRODUCT(1+sp500_monthly!N209:N328)^(1/120)-1)*100</f>
        <v>0</v>
      </c>
      <c r="I208" cm="1">
        <f t="array" ref="I208">(PRODUCT(1+sp500_monthly!O209:O328)^(1/120)-1)*100</f>
        <v>0</v>
      </c>
    </row>
    <row r="209" spans="1:9" x14ac:dyDescent="0.35">
      <c r="A209" s="1">
        <v>19479</v>
      </c>
      <c r="B209" cm="1">
        <f t="array" ref="B209">(PRODUCT(1+sp500_monthly!B210:B329)^(1/120)-1)*100</f>
        <v>1.1367194992234042</v>
      </c>
      <c r="C209" cm="1">
        <f t="array" ref="C209">(PRODUCT(1+sp500_monthly!C210:C329)^(1/120)-1)*100</f>
        <v>0.65645541894503445</v>
      </c>
      <c r="D209" cm="1">
        <f t="array" ref="D209">(PRODUCT(1+sp500_monthly!D210:D329)^(1/120)-1)*100</f>
        <v>1.3031337154518541</v>
      </c>
      <c r="E209" cm="1">
        <f t="array" ref="E209">(PRODUCT(1+sp500_monthly!E210:E329)^(1/120)-1)*100</f>
        <v>0.85141885088415581</v>
      </c>
      <c r="F209" cm="1">
        <f t="array" ref="F209">(PRODUCT(1+sp500_monthly!K210:K329)^(1/120)-1)*100</f>
        <v>0.65306121676209639</v>
      </c>
      <c r="G209" cm="1">
        <f t="array" ref="G209">(PRODUCT(1+sp500_monthly!L210:L329)^(1/120)-1)</f>
        <v>7.0014423308274454E-2</v>
      </c>
      <c r="H209" cm="1">
        <f t="array" ref="H209">(PRODUCT(1+sp500_monthly!N210:N329)^(1/120)-1)*100</f>
        <v>0</v>
      </c>
      <c r="I209" cm="1">
        <f t="array" ref="I209">(PRODUCT(1+sp500_monthly!O210:O329)^(1/120)-1)*100</f>
        <v>0</v>
      </c>
    </row>
    <row r="210" spans="1:9" x14ac:dyDescent="0.35">
      <c r="A210" s="1">
        <v>19508</v>
      </c>
      <c r="B210" cm="1">
        <f t="array" ref="B210">(PRODUCT(1+sp500_monthly!B211:B330)^(1/120)-1)*100</f>
        <v>1.1120996378293446</v>
      </c>
      <c r="C210" cm="1">
        <f t="array" ref="C210">(PRODUCT(1+sp500_monthly!C211:C330)^(1/120)-1)*100</f>
        <v>0.63169040596633419</v>
      </c>
      <c r="D210" cm="1">
        <f t="array" ref="D210">(PRODUCT(1+sp500_monthly!D211:D330)^(1/120)-1)*100</f>
        <v>1.2417332646301737</v>
      </c>
      <c r="E210" cm="1">
        <f t="array" ref="E210">(PRODUCT(1+sp500_monthly!E211:E330)^(1/120)-1)*100</f>
        <v>0.78941061043156235</v>
      </c>
      <c r="F210" cm="1">
        <f t="array" ref="F210">(PRODUCT(1+sp500_monthly!K211:K330)^(1/120)-1)*100</f>
        <v>0.62981816810896429</v>
      </c>
      <c r="G210" cm="1">
        <f t="array" ref="G210">(PRODUCT(1+sp500_monthly!L211:L330)^(1/120)-1)</f>
        <v>7.1074808394689049E-2</v>
      </c>
      <c r="H210" cm="1">
        <f t="array" ref="H210">(PRODUCT(1+sp500_monthly!N211:N330)^(1/120)-1)*100</f>
        <v>0</v>
      </c>
      <c r="I210" cm="1">
        <f t="array" ref="I210">(PRODUCT(1+sp500_monthly!O211:O330)^(1/120)-1)*100</f>
        <v>0</v>
      </c>
    </row>
    <row r="211" spans="1:9" x14ac:dyDescent="0.35">
      <c r="A211" s="1">
        <v>19540</v>
      </c>
      <c r="B211" cm="1">
        <f t="array" ref="B211">(PRODUCT(1+sp500_monthly!B212:B331)^(1/120)-1)*100</f>
        <v>1.075046615074049</v>
      </c>
      <c r="C211" cm="1">
        <f t="array" ref="C211">(PRODUCT(1+sp500_monthly!C212:C331)^(1/120)-1)*100</f>
        <v>0.59197104300756642</v>
      </c>
      <c r="D211" cm="1">
        <f t="array" ref="D211">(PRODUCT(1+sp500_monthly!D212:D331)^(1/120)-1)*100</f>
        <v>1.1918537716549382</v>
      </c>
      <c r="E211" cm="1">
        <f t="array" ref="E211">(PRODUCT(1+sp500_monthly!E212:E331)^(1/120)-1)*100</f>
        <v>0.73747178250245238</v>
      </c>
      <c r="F211" cm="1">
        <f t="array" ref="F211">(PRODUCT(1+sp500_monthly!K212:K331)^(1/120)-1)*100</f>
        <v>0.59029272274697675</v>
      </c>
      <c r="G211" cm="1">
        <f t="array" ref="G211">(PRODUCT(1+sp500_monthly!L212:L331)^(1/120)-1)</f>
        <v>7.2212938255844739E-2</v>
      </c>
      <c r="H211" cm="1">
        <f t="array" ref="H211">(PRODUCT(1+sp500_monthly!N212:N331)^(1/120)-1)*100</f>
        <v>0</v>
      </c>
      <c r="I211" cm="1">
        <f t="array" ref="I211">(PRODUCT(1+sp500_monthly!O212:O331)^(1/120)-1)*100</f>
        <v>0</v>
      </c>
    </row>
    <row r="212" spans="1:9" x14ac:dyDescent="0.35">
      <c r="A212" s="1">
        <v>19571</v>
      </c>
      <c r="B212" cm="1">
        <f t="array" ref="B212">(PRODUCT(1+sp500_monthly!B213:B332)^(1/120)-1)*100</f>
        <v>1.0448752668386074</v>
      </c>
      <c r="C212" cm="1">
        <f t="array" ref="C212">(PRODUCT(1+sp500_monthly!C213:C332)^(1/120)-1)*100</f>
        <v>0.56405049645218419</v>
      </c>
      <c r="D212" cm="1">
        <f t="array" ref="D212">(PRODUCT(1+sp500_monthly!D213:D332)^(1/120)-1)*100</f>
        <v>1.1685793593305016</v>
      </c>
      <c r="E212" cm="1">
        <f t="array" ref="E212">(PRODUCT(1+sp500_monthly!E213:E332)^(1/120)-1)*100</f>
        <v>0.71518553143938846</v>
      </c>
      <c r="F212" cm="1">
        <f t="array" ref="F212">(PRODUCT(1+sp500_monthly!K213:K332)^(1/120)-1)*100</f>
        <v>0.56007114933533941</v>
      </c>
      <c r="G212" cm="1">
        <f t="array" ref="G212">(PRODUCT(1+sp500_monthly!L213:L332)^(1/120)-1)</f>
        <v>7.3428404933944869E-2</v>
      </c>
      <c r="H212" cm="1">
        <f t="array" ref="H212">(PRODUCT(1+sp500_monthly!N213:N332)^(1/120)-1)*100</f>
        <v>0</v>
      </c>
      <c r="I212" cm="1">
        <f t="array" ref="I212">(PRODUCT(1+sp500_monthly!O213:O332)^(1/120)-1)*100</f>
        <v>0</v>
      </c>
    </row>
    <row r="213" spans="1:9" x14ac:dyDescent="0.35">
      <c r="A213" s="1">
        <v>19602</v>
      </c>
      <c r="B213" cm="1">
        <f t="array" ref="B213">(PRODUCT(1+sp500_monthly!B214:B333)^(1/120)-1)*100</f>
        <v>1.112705098022948</v>
      </c>
      <c r="C213" cm="1">
        <f t="array" ref="C213">(PRODUCT(1+sp500_monthly!C214:C333)^(1/120)-1)*100</f>
        <v>0.63137109656667967</v>
      </c>
      <c r="D213" cm="1">
        <f t="array" ref="D213">(PRODUCT(1+sp500_monthly!D214:D333)^(1/120)-1)*100</f>
        <v>1.2457731315513421</v>
      </c>
      <c r="E213" cm="1">
        <f t="array" ref="E213">(PRODUCT(1+sp500_monthly!E214:E333)^(1/120)-1)*100</f>
        <v>0.79142801069793656</v>
      </c>
      <c r="F213" cm="1">
        <f t="array" ref="F213">(PRODUCT(1+sp500_monthly!K214:K333)^(1/120)-1)*100</f>
        <v>0.62774828985232567</v>
      </c>
      <c r="G213" cm="1">
        <f t="array" ref="G213">(PRODUCT(1+sp500_monthly!L214:L333)^(1/120)-1)</f>
        <v>7.4414650903243951E-2</v>
      </c>
      <c r="H213" cm="1">
        <f t="array" ref="H213">(PRODUCT(1+sp500_monthly!N214:N333)^(1/120)-1)*100</f>
        <v>0</v>
      </c>
      <c r="I213" cm="1">
        <f t="array" ref="I213">(PRODUCT(1+sp500_monthly!O214:O333)^(1/120)-1)*100</f>
        <v>0</v>
      </c>
    </row>
    <row r="214" spans="1:9" x14ac:dyDescent="0.35">
      <c r="A214" s="1">
        <v>19632</v>
      </c>
      <c r="B214" cm="1">
        <f t="array" ref="B214">(PRODUCT(1+sp500_monthly!B215:B334)^(1/120)-1)*100</f>
        <v>1.0558441122969997</v>
      </c>
      <c r="C214" cm="1">
        <f t="array" ref="C214">(PRODUCT(1+sp500_monthly!C215:C334)^(1/120)-1)*100</f>
        <v>0.5704470039468168</v>
      </c>
      <c r="D214" cm="1">
        <f t="array" ref="D214">(PRODUCT(1+sp500_monthly!D215:D334)^(1/120)-1)*100</f>
        <v>1.1930608136687892</v>
      </c>
      <c r="E214" cm="1">
        <f t="array" ref="E214">(PRODUCT(1+sp500_monthly!E215:E334)^(1/120)-1)*100</f>
        <v>0.7360370622029544</v>
      </c>
      <c r="F214" cm="1">
        <f t="array" ref="F214">(PRODUCT(1+sp500_monthly!K215:K334)^(1/120)-1)*100</f>
        <v>0.56928718602289319</v>
      </c>
      <c r="G214" cm="1">
        <f t="array" ref="G214">(PRODUCT(1+sp500_monthly!L215:L334)^(1/120)-1)</f>
        <v>7.555632969904047E-2</v>
      </c>
      <c r="H214" cm="1">
        <f t="array" ref="H214">(PRODUCT(1+sp500_monthly!N215:N334)^(1/120)-1)*100</f>
        <v>0</v>
      </c>
      <c r="I214" cm="1">
        <f t="array" ref="I214">(PRODUCT(1+sp500_monthly!O215:O334)^(1/120)-1)*100</f>
        <v>0</v>
      </c>
    </row>
    <row r="215" spans="1:9" x14ac:dyDescent="0.35">
      <c r="A215" s="1">
        <v>19662</v>
      </c>
      <c r="B215" cm="1">
        <f t="array" ref="B215">(PRODUCT(1+sp500_monthly!B216:B335)^(1/120)-1)*100</f>
        <v>1.0348417461311765</v>
      </c>
      <c r="C215" cm="1">
        <f t="array" ref="C215">(PRODUCT(1+sp500_monthly!C216:C335)^(1/120)-1)*100</f>
        <v>0.55118039397104024</v>
      </c>
      <c r="D215" cm="1">
        <f t="array" ref="D215">(PRODUCT(1+sp500_monthly!D216:D335)^(1/120)-1)*100</f>
        <v>1.1569879081314349</v>
      </c>
      <c r="E215" cm="1">
        <f t="array" ref="E215">(PRODUCT(1+sp500_monthly!E216:E335)^(1/120)-1)*100</f>
        <v>0.70037028850000738</v>
      </c>
      <c r="F215" cm="1">
        <f t="array" ref="F215">(PRODUCT(1+sp500_monthly!K216:K335)^(1/120)-1)*100</f>
        <v>0.55071151728520729</v>
      </c>
      <c r="G215" cm="1">
        <f t="array" ref="G215">(PRODUCT(1+sp500_monthly!L216:L335)^(1/120)-1)</f>
        <v>7.6622206818795169E-2</v>
      </c>
      <c r="H215" cm="1">
        <f t="array" ref="H215">(PRODUCT(1+sp500_monthly!N216:N335)^(1/120)-1)*100</f>
        <v>0</v>
      </c>
      <c r="I215" cm="1">
        <f t="array" ref="I215">(PRODUCT(1+sp500_monthly!O216:O335)^(1/120)-1)*100</f>
        <v>0</v>
      </c>
    </row>
    <row r="216" spans="1:9" x14ac:dyDescent="0.35">
      <c r="A216" s="1">
        <v>19693</v>
      </c>
      <c r="B216" cm="1">
        <f t="array" ref="B216">(PRODUCT(1+sp500_monthly!B217:B336)^(1/120)-1)*100</f>
        <v>1.0866389551196454</v>
      </c>
      <c r="C216" cm="1">
        <f t="array" ref="C216">(PRODUCT(1+sp500_monthly!C217:C336)^(1/120)-1)*100</f>
        <v>0.6024613015551461</v>
      </c>
      <c r="D216" cm="1">
        <f t="array" ref="D216">(PRODUCT(1+sp500_monthly!D217:D336)^(1/120)-1)*100</f>
        <v>1.1935018881086723</v>
      </c>
      <c r="E216" cm="1">
        <f t="array" ref="E216">(PRODUCT(1+sp500_monthly!E217:E336)^(1/120)-1)*100</f>
        <v>0.73603973415488078</v>
      </c>
      <c r="F216" cm="1">
        <f t="array" ref="F216">(PRODUCT(1+sp500_monthly!K217:K336)^(1/120)-1)*100</f>
        <v>0.60354915456981573</v>
      </c>
      <c r="G216" cm="1">
        <f t="array" ref="G216">(PRODUCT(1+sp500_monthly!L217:L336)^(1/120)-1)</f>
        <v>7.7453849144626163E-2</v>
      </c>
      <c r="H216" cm="1">
        <f t="array" ref="H216">(PRODUCT(1+sp500_monthly!N217:N336)^(1/120)-1)*100</f>
        <v>0</v>
      </c>
      <c r="I216" cm="1">
        <f t="array" ref="I216">(PRODUCT(1+sp500_monthly!O217:O336)^(1/120)-1)*100</f>
        <v>0</v>
      </c>
    </row>
    <row r="217" spans="1:9" x14ac:dyDescent="0.35">
      <c r="A217" s="1">
        <v>19724</v>
      </c>
      <c r="B217" cm="1">
        <f t="array" ref="B217">(PRODUCT(1+sp500_monthly!B218:B337)^(1/120)-1)*100</f>
        <v>1.1649194632771032</v>
      </c>
      <c r="C217" cm="1">
        <f t="array" ref="C217">(PRODUCT(1+sp500_monthly!C218:C337)^(1/120)-1)*100</f>
        <v>0.67878354086516879</v>
      </c>
      <c r="D217" cm="1">
        <f t="array" ref="D217">(PRODUCT(1+sp500_monthly!D218:D337)^(1/120)-1)*100</f>
        <v>1.3079538132601209</v>
      </c>
      <c r="E217" cm="1">
        <f t="array" ref="E217">(PRODUCT(1+sp500_monthly!E218:E337)^(1/120)-1)*100</f>
        <v>0.85229447544765691</v>
      </c>
      <c r="F217" cm="1">
        <f t="array" ref="F217">(PRODUCT(1+sp500_monthly!K218:K337)^(1/120)-1)*100</f>
        <v>0.67687437351884316</v>
      </c>
      <c r="G217" cm="1">
        <f t="array" ref="G217">(PRODUCT(1+sp500_monthly!L218:L337)^(1/120)-1)</f>
        <v>7.787954759146376E-2</v>
      </c>
      <c r="H217" cm="1">
        <f t="array" ref="H217">(PRODUCT(1+sp500_monthly!N218:N337)^(1/120)-1)*100</f>
        <v>0</v>
      </c>
      <c r="I217" cm="1">
        <f t="array" ref="I217">(PRODUCT(1+sp500_monthly!O218:O337)^(1/120)-1)*100</f>
        <v>0</v>
      </c>
    </row>
    <row r="218" spans="1:9" x14ac:dyDescent="0.35">
      <c r="A218" s="1">
        <v>19753</v>
      </c>
      <c r="B218" cm="1">
        <f t="array" ref="B218">(PRODUCT(1+sp500_monthly!B219:B338)^(1/120)-1)*100</f>
        <v>1.1090984769921652</v>
      </c>
      <c r="C218" cm="1">
        <f t="array" ref="C218">(PRODUCT(1+sp500_monthly!C219:C338)^(1/120)-1)*100</f>
        <v>0.62479844323211076</v>
      </c>
      <c r="D218" cm="1">
        <f t="array" ref="D218">(PRODUCT(1+sp500_monthly!D219:D338)^(1/120)-1)*100</f>
        <v>1.2178881192738356</v>
      </c>
      <c r="E218" cm="1">
        <f t="array" ref="E218">(PRODUCT(1+sp500_monthly!E219:E338)^(1/120)-1)*100</f>
        <v>0.76203254672890797</v>
      </c>
      <c r="F218" cm="1">
        <f t="array" ref="F218">(PRODUCT(1+sp500_monthly!K219:K338)^(1/120)-1)*100</f>
        <v>0.63049567819668528</v>
      </c>
      <c r="G218" cm="1">
        <f t="array" ref="G218">(PRODUCT(1+sp500_monthly!L219:L338)^(1/120)-1)</f>
        <v>7.871216115660018E-2</v>
      </c>
      <c r="H218" cm="1">
        <f t="array" ref="H218">(PRODUCT(1+sp500_monthly!N219:N338)^(1/120)-1)*100</f>
        <v>0</v>
      </c>
      <c r="I218" cm="1">
        <f t="array" ref="I218">(PRODUCT(1+sp500_monthly!O219:O338)^(1/120)-1)*100</f>
        <v>0</v>
      </c>
    </row>
    <row r="219" spans="1:9" x14ac:dyDescent="0.35">
      <c r="A219" s="1">
        <v>19781</v>
      </c>
      <c r="B219" cm="1">
        <f t="array" ref="B219">(PRODUCT(1+sp500_monthly!B220:B339)^(1/120)-1)*100</f>
        <v>1.1374584426353529</v>
      </c>
      <c r="C219" cm="1">
        <f t="array" ref="C219">(PRODUCT(1+sp500_monthly!C220:C339)^(1/120)-1)*100</f>
        <v>0.65338674244923567</v>
      </c>
      <c r="D219" cm="1">
        <f t="array" ref="D219">(PRODUCT(1+sp500_monthly!D220:D339)^(1/120)-1)*100</f>
        <v>1.2325607234026537</v>
      </c>
      <c r="E219" cm="1">
        <f t="array" ref="E219">(PRODUCT(1+sp500_monthly!E220:E339)^(1/120)-1)*100</f>
        <v>0.77688613782787019</v>
      </c>
      <c r="F219" cm="1">
        <f t="array" ref="F219">(PRODUCT(1+sp500_monthly!K220:K339)^(1/120)-1)*100</f>
        <v>0.65952811152354407</v>
      </c>
      <c r="G219" cm="1">
        <f t="array" ref="G219">(PRODUCT(1+sp500_monthly!L220:L339)^(1/120)-1)</f>
        <v>7.9384778922604315E-2</v>
      </c>
      <c r="H219" cm="1">
        <f t="array" ref="H219">(PRODUCT(1+sp500_monthly!N220:N339)^(1/120)-1)*100</f>
        <v>0</v>
      </c>
      <c r="I219" cm="1">
        <f t="array" ref="I219">(PRODUCT(1+sp500_monthly!O220:O339)^(1/120)-1)*100</f>
        <v>0</v>
      </c>
    </row>
    <row r="220" spans="1:9" x14ac:dyDescent="0.35">
      <c r="A220" s="1">
        <v>19814</v>
      </c>
      <c r="B220" cm="1">
        <f t="array" ref="B220">(PRODUCT(1+sp500_monthly!B221:B340)^(1/120)-1)*100</f>
        <v>1.1428316799880323</v>
      </c>
      <c r="C220" cm="1">
        <f t="array" ref="C220">(PRODUCT(1+sp500_monthly!C221:C340)^(1/120)-1)*100</f>
        <v>0.65515011109755772</v>
      </c>
      <c r="D220" cm="1">
        <f t="array" ref="D220">(PRODUCT(1+sp500_monthly!D221:D340)^(1/120)-1)*100</f>
        <v>1.2187701810768781</v>
      </c>
      <c r="E220" cm="1">
        <f t="array" ref="E220">(PRODUCT(1+sp500_monthly!E221:E340)^(1/120)-1)*100</f>
        <v>0.76018487878117824</v>
      </c>
      <c r="F220" cm="1">
        <f t="array" ref="F220">(PRODUCT(1+sp500_monthly!K221:K340)^(1/120)-1)*100</f>
        <v>0.66390321817424436</v>
      </c>
      <c r="G220" cm="1">
        <f t="array" ref="G220">(PRODUCT(1+sp500_monthly!L221:L340)^(1/120)-1)</f>
        <v>7.9727536616476025E-2</v>
      </c>
      <c r="H220" cm="1">
        <f t="array" ref="H220">(PRODUCT(1+sp500_monthly!N221:N340)^(1/120)-1)*100</f>
        <v>0</v>
      </c>
      <c r="I220" cm="1">
        <f t="array" ref="I220">(PRODUCT(1+sp500_monthly!O221:O340)^(1/120)-1)*100</f>
        <v>0</v>
      </c>
    </row>
    <row r="221" spans="1:9" x14ac:dyDescent="0.35">
      <c r="A221" s="1">
        <v>19844</v>
      </c>
      <c r="B221" cm="1">
        <f t="array" ref="B221">(PRODUCT(1+sp500_monthly!B222:B341)^(1/120)-1)*100</f>
        <v>1.1504043406680653</v>
      </c>
      <c r="C221" cm="1">
        <f t="array" ref="C221">(PRODUCT(1+sp500_monthly!C222:C341)^(1/120)-1)*100</f>
        <v>0.6642645584218787</v>
      </c>
      <c r="D221" cm="1">
        <f t="array" ref="D221">(PRODUCT(1+sp500_monthly!D222:D341)^(1/120)-1)*100</f>
        <v>1.2116496269845012</v>
      </c>
      <c r="E221" cm="1">
        <f t="array" ref="E221">(PRODUCT(1+sp500_monthly!E222:E341)^(1/120)-1)*100</f>
        <v>0.75340856471475259</v>
      </c>
      <c r="F221" cm="1">
        <f t="array" ref="F221">(PRODUCT(1+sp500_monthly!K222:K341)^(1/120)-1)*100</f>
        <v>0.67479582107077274</v>
      </c>
      <c r="G221" cm="1">
        <f t="array" ref="G221">(PRODUCT(1+sp500_monthly!L222:L341)^(1/120)-1)</f>
        <v>8.0241955065446735E-2</v>
      </c>
      <c r="H221" cm="1">
        <f t="array" ref="H221">(PRODUCT(1+sp500_monthly!N222:N341)^(1/120)-1)*100</f>
        <v>0</v>
      </c>
      <c r="I221" cm="1">
        <f t="array" ref="I221">(PRODUCT(1+sp500_monthly!O222:O341)^(1/120)-1)*100</f>
        <v>0</v>
      </c>
    </row>
    <row r="222" spans="1:9" x14ac:dyDescent="0.35">
      <c r="A222" s="1">
        <v>19872</v>
      </c>
      <c r="B222" cm="1">
        <f t="array" ref="B222">(PRODUCT(1+sp500_monthly!B223:B342)^(1/120)-1)*100</f>
        <v>1.2007644796083738</v>
      </c>
      <c r="C222" cm="1">
        <f t="array" ref="C222">(PRODUCT(1+sp500_monthly!C223:C342)^(1/120)-1)*100</f>
        <v>0.71426237945557691</v>
      </c>
      <c r="D222" cm="1">
        <f t="array" ref="D222">(PRODUCT(1+sp500_monthly!D223:D342)^(1/120)-1)*100</f>
        <v>1.255980685652025</v>
      </c>
      <c r="E222" cm="1">
        <f t="array" ref="E222">(PRODUCT(1+sp500_monthly!E223:E342)^(1/120)-1)*100</f>
        <v>0.79671577706308394</v>
      </c>
      <c r="F222" cm="1">
        <f t="array" ref="F222">(PRODUCT(1+sp500_monthly!K223:K342)^(1/120)-1)*100</f>
        <v>0.72547562999238924</v>
      </c>
      <c r="G222" cm="1">
        <f t="array" ref="G222">(PRODUCT(1+sp500_monthly!L223:L342)^(1/120)-1)</f>
        <v>8.0751759531240586E-2</v>
      </c>
      <c r="H222" cm="1">
        <f t="array" ref="H222">(PRODUCT(1+sp500_monthly!N223:N342)^(1/120)-1)*100</f>
        <v>0</v>
      </c>
      <c r="I222" cm="1">
        <f t="array" ref="I222">(PRODUCT(1+sp500_monthly!O223:O342)^(1/120)-1)*100</f>
        <v>0</v>
      </c>
    </row>
    <row r="223" spans="1:9" x14ac:dyDescent="0.35">
      <c r="A223" s="1">
        <v>19905</v>
      </c>
      <c r="B223" cm="1">
        <f t="array" ref="B223">(PRODUCT(1+sp500_monthly!B224:B343)^(1/120)-1)*100</f>
        <v>1.1958745783543723</v>
      </c>
      <c r="C223" cm="1">
        <f t="array" ref="C223">(PRODUCT(1+sp500_monthly!C224:C343)^(1/120)-1)*100</f>
        <v>0.70838966829975814</v>
      </c>
      <c r="D223" cm="1">
        <f t="array" ref="D223">(PRODUCT(1+sp500_monthly!D224:D343)^(1/120)-1)*100</f>
        <v>1.2487280126879163</v>
      </c>
      <c r="E223" cm="1">
        <f t="array" ref="E223">(PRODUCT(1+sp500_monthly!E224:E343)^(1/120)-1)*100</f>
        <v>0.78830662501108151</v>
      </c>
      <c r="F223" cm="1">
        <f t="array" ref="F223">(PRODUCT(1+sp500_monthly!K224:K343)^(1/120)-1)*100</f>
        <v>0.71937966944439768</v>
      </c>
      <c r="G223" cm="1">
        <f t="array" ref="G223">(PRODUCT(1+sp500_monthly!L224:L343)^(1/120)-1)</f>
        <v>8.0924976146182104E-2</v>
      </c>
      <c r="H223" cm="1">
        <f t="array" ref="H223">(PRODUCT(1+sp500_monthly!N224:N343)^(1/120)-1)*100</f>
        <v>0</v>
      </c>
      <c r="I223" cm="1">
        <f t="array" ref="I223">(PRODUCT(1+sp500_monthly!O224:O343)^(1/120)-1)*100</f>
        <v>0</v>
      </c>
    </row>
    <row r="224" spans="1:9" x14ac:dyDescent="0.35">
      <c r="A224" s="1">
        <v>19935</v>
      </c>
      <c r="B224" cm="1">
        <f t="array" ref="B224">(PRODUCT(1+sp500_monthly!B225:B344)^(1/120)-1)*100</f>
        <v>1.1531511689297336</v>
      </c>
      <c r="C224" cm="1">
        <f t="array" ref="C224">(PRODUCT(1+sp500_monthly!C225:C344)^(1/120)-1)*100</f>
        <v>0.66808389129187074</v>
      </c>
      <c r="D224" cm="1">
        <f t="array" ref="D224">(PRODUCT(1+sp500_monthly!D225:D344)^(1/120)-1)*100</f>
        <v>1.1972677713836255</v>
      </c>
      <c r="E224" cm="1">
        <f t="array" ref="E224">(PRODUCT(1+sp500_monthly!E225:E344)^(1/120)-1)*100</f>
        <v>0.73774933672776655</v>
      </c>
      <c r="F224" cm="1">
        <f t="array" ref="F224">(PRODUCT(1+sp500_monthly!K225:K344)^(1/120)-1)*100</f>
        <v>0.67820330981827048</v>
      </c>
      <c r="G224" cm="1">
        <f t="array" ref="G224">(PRODUCT(1+sp500_monthly!L225:L344)^(1/120)-1)</f>
        <v>8.1183619339555424E-2</v>
      </c>
      <c r="H224" cm="1">
        <f t="array" ref="H224">(PRODUCT(1+sp500_monthly!N225:N344)^(1/120)-1)*100</f>
        <v>0</v>
      </c>
      <c r="I224" cm="1">
        <f t="array" ref="I224">(PRODUCT(1+sp500_monthly!O225:O344)^(1/120)-1)*100</f>
        <v>0</v>
      </c>
    </row>
    <row r="225" spans="1:9" x14ac:dyDescent="0.35">
      <c r="A225" s="1">
        <v>19967</v>
      </c>
      <c r="B225" cm="1">
        <f t="array" ref="B225">(PRODUCT(1+sp500_monthly!B226:B345)^(1/120)-1)*100</f>
        <v>1.217829541046811</v>
      </c>
      <c r="C225" cm="1">
        <f t="array" ref="C225">(PRODUCT(1+sp500_monthly!C226:C345)^(1/120)-1)*100</f>
        <v>0.7327143471315356</v>
      </c>
      <c r="D225" cm="1">
        <f t="array" ref="D225">(PRODUCT(1+sp500_monthly!D226:D345)^(1/120)-1)*100</f>
        <v>1.2565353336448482</v>
      </c>
      <c r="E225" cm="1">
        <f t="array" ref="E225">(PRODUCT(1+sp500_monthly!E226:E345)^(1/120)-1)*100</f>
        <v>0.79669460819997706</v>
      </c>
      <c r="F225" cm="1">
        <f t="array" ref="F225">(PRODUCT(1+sp500_monthly!K226:K345)^(1/120)-1)*100</f>
        <v>0.74250502812855945</v>
      </c>
      <c r="G225" cm="1">
        <f t="array" ref="G225">(PRODUCT(1+sp500_monthly!L226:L345)^(1/120)-1)</f>
        <v>8.1356905170478555E-2</v>
      </c>
      <c r="H225" cm="1">
        <f t="array" ref="H225">(PRODUCT(1+sp500_monthly!N226:N345)^(1/120)-1)*100</f>
        <v>0</v>
      </c>
      <c r="I225" cm="1">
        <f t="array" ref="I225">(PRODUCT(1+sp500_monthly!O226:O345)^(1/120)-1)*100</f>
        <v>0</v>
      </c>
    </row>
    <row r="226" spans="1:9" x14ac:dyDescent="0.35">
      <c r="A226" s="1">
        <v>19997</v>
      </c>
      <c r="B226" cm="1">
        <f t="array" ref="B226">(PRODUCT(1+sp500_monthly!B227:B346)^(1/120)-1)*100</f>
        <v>1.1833975894201876</v>
      </c>
      <c r="C226" cm="1">
        <f t="array" ref="C226">(PRODUCT(1+sp500_monthly!C227:C346)^(1/120)-1)*100</f>
        <v>0.69616696590577565</v>
      </c>
      <c r="D226" cm="1">
        <f t="array" ref="D226">(PRODUCT(1+sp500_monthly!D227:D346)^(1/120)-1)*100</f>
        <v>1.2126688362994242</v>
      </c>
      <c r="E226" cm="1">
        <f t="array" ref="E226">(PRODUCT(1+sp500_monthly!E227:E346)^(1/120)-1)*100</f>
        <v>0.75077560277121425</v>
      </c>
      <c r="F226" cm="1">
        <f t="array" ref="F226">(PRODUCT(1+sp500_monthly!K227:K346)^(1/120)-1)*100</f>
        <v>0.70623392238828853</v>
      </c>
      <c r="G226" cm="1">
        <f t="array" ref="G226">(PRODUCT(1+sp500_monthly!L227:L346)^(1/120)-1)</f>
        <v>8.1530218774648278E-2</v>
      </c>
      <c r="H226" cm="1">
        <f t="array" ref="H226">(PRODUCT(1+sp500_monthly!N227:N346)^(1/120)-1)*100</f>
        <v>-2.1549995614877915E-2</v>
      </c>
      <c r="I226" cm="1">
        <f t="array" ref="I226">(PRODUCT(1+sp500_monthly!O227:O346)^(1/120)-1)*100</f>
        <v>7.2687362659973331E-4</v>
      </c>
    </row>
    <row r="227" spans="1:9" x14ac:dyDescent="0.35">
      <c r="A227" s="1">
        <v>20026</v>
      </c>
      <c r="B227" cm="1">
        <f t="array" ref="B227">(PRODUCT(1+sp500_monthly!B228:B347)^(1/120)-1)*100</f>
        <v>1.2508465012557535</v>
      </c>
      <c r="C227" cm="1">
        <f t="array" ref="C227">(PRODUCT(1+sp500_monthly!C228:C347)^(1/120)-1)*100</f>
        <v>0.76408072093365753</v>
      </c>
      <c r="D227" cm="1">
        <f t="array" ref="D227">(PRODUCT(1+sp500_monthly!D228:D347)^(1/120)-1)*100</f>
        <v>1.2584083736457252</v>
      </c>
      <c r="E227" cm="1">
        <f t="array" ref="E227">(PRODUCT(1+sp500_monthly!E228:E347)^(1/120)-1)*100</f>
        <v>0.79581561570214454</v>
      </c>
      <c r="F227" cm="1">
        <f t="array" ref="F227">(PRODUCT(1+sp500_monthly!K228:K347)^(1/120)-1)*100</f>
        <v>0.77590246400132123</v>
      </c>
      <c r="G227" cm="1">
        <f t="array" ref="G227">(PRODUCT(1+sp500_monthly!L228:L347)^(1/120)-1)</f>
        <v>8.2128606274749716E-2</v>
      </c>
      <c r="H227" cm="1">
        <f t="array" ref="H227">(PRODUCT(1+sp500_monthly!N228:N347)^(1/120)-1)*100</f>
        <v>4.5761524100051965E-2</v>
      </c>
      <c r="I227" cm="1">
        <f t="array" ref="I227">(PRODUCT(1+sp500_monthly!O228:O347)^(1/120)-1)*100</f>
        <v>2.7189612395117635E-3</v>
      </c>
    </row>
    <row r="228" spans="1:9" x14ac:dyDescent="0.35">
      <c r="A228" s="1">
        <v>20058</v>
      </c>
      <c r="B228" cm="1">
        <f t="array" ref="B228">(PRODUCT(1+sp500_monthly!B229:B348)^(1/120)-1)*100</f>
        <v>1.2335842124634011</v>
      </c>
      <c r="C228" cm="1">
        <f t="array" ref="C228">(PRODUCT(1+sp500_monthly!C229:C348)^(1/120)-1)*100</f>
        <v>0.74738908117586433</v>
      </c>
      <c r="D228" cm="1">
        <f t="array" ref="D228">(PRODUCT(1+sp500_monthly!D229:D348)^(1/120)-1)*100</f>
        <v>1.2575776234106995</v>
      </c>
      <c r="E228" cm="1">
        <f t="array" ref="E228">(PRODUCT(1+sp500_monthly!E229:E348)^(1/120)-1)*100</f>
        <v>0.79514831451816814</v>
      </c>
      <c r="F228" cm="1">
        <f t="array" ref="F228">(PRODUCT(1+sp500_monthly!K229:K348)^(1/120)-1)*100</f>
        <v>0.75936681978434617</v>
      </c>
      <c r="G228" cm="1">
        <f t="array" ref="G228">(PRODUCT(1+sp500_monthly!L229:L348)^(1/120)-1)</f>
        <v>8.2472235268600702E-2</v>
      </c>
      <c r="H228" cm="1">
        <f t="array" ref="H228">(PRODUCT(1+sp500_monthly!N229:N348)^(1/120)-1)*100</f>
        <v>3.3535063172296375E-2</v>
      </c>
      <c r="I228" cm="1">
        <f t="array" ref="I228">(PRODUCT(1+sp500_monthly!O229:O348)^(1/120)-1)*100</f>
        <v>6.1044094993301101E-3</v>
      </c>
    </row>
    <row r="229" spans="1:9" x14ac:dyDescent="0.35">
      <c r="A229" s="1">
        <v>20089</v>
      </c>
      <c r="B229" cm="1">
        <f t="array" ref="B229">(PRODUCT(1+sp500_monthly!B230:B349)^(1/120)-1)*100</f>
        <v>1.2962691946511784</v>
      </c>
      <c r="C229" cm="1">
        <f t="array" ref="C229">(PRODUCT(1+sp500_monthly!C230:C349)^(1/120)-1)*100</f>
        <v>0.80924508439372822</v>
      </c>
      <c r="D229" cm="1">
        <f t="array" ref="D229">(PRODUCT(1+sp500_monthly!D230:D349)^(1/120)-1)*100</f>
        <v>1.3332473834545056</v>
      </c>
      <c r="E229" cm="1">
        <f t="array" ref="E229">(PRODUCT(1+sp500_monthly!E230:E349)^(1/120)-1)*100</f>
        <v>0.87112523597245861</v>
      </c>
      <c r="F229" cm="1">
        <f t="array" ref="F229">(PRODUCT(1+sp500_monthly!K230:K349)^(1/120)-1)*100</f>
        <v>0.82135670483891587</v>
      </c>
      <c r="G229" cm="1">
        <f t="array" ref="G229">(PRODUCT(1+sp500_monthly!L230:L349)^(1/120)-1)</f>
        <v>8.2731248689371206E-2</v>
      </c>
      <c r="H229" cm="1">
        <f t="array" ref="H229">(PRODUCT(1+sp500_monthly!N230:N349)^(1/120)-1)*100</f>
        <v>0.10793595980924664</v>
      </c>
      <c r="I229" cm="1">
        <f t="array" ref="I229">(PRODUCT(1+sp500_monthly!O230:O349)^(1/120)-1)*100</f>
        <v>4.7350256844547189E-3</v>
      </c>
    </row>
    <row r="230" spans="1:9" x14ac:dyDescent="0.35">
      <c r="A230" s="1">
        <v>20120</v>
      </c>
      <c r="B230" cm="1">
        <f t="array" ref="B230">(PRODUCT(1+sp500_monthly!B231:B350)^(1/120)-1)*100</f>
        <v>1.3039183942079591</v>
      </c>
      <c r="C230" cm="1">
        <f t="array" ref="C230">(PRODUCT(1+sp500_monthly!C231:C350)^(1/120)-1)*100</f>
        <v>0.81833660759194071</v>
      </c>
      <c r="D230" cm="1">
        <f t="array" ref="D230">(PRODUCT(1+sp500_monthly!D231:D350)^(1/120)-1)*100</f>
        <v>1.332029361001652</v>
      </c>
      <c r="E230" cm="1">
        <f t="array" ref="E230">(PRODUCT(1+sp500_monthly!E231:E350)^(1/120)-1)*100</f>
        <v>0.87031391034799732</v>
      </c>
      <c r="F230" cm="1">
        <f t="array" ref="F230">(PRODUCT(1+sp500_monthly!K231:K350)^(1/120)-1)*100</f>
        <v>0.83404081818689857</v>
      </c>
      <c r="G230" cm="1">
        <f t="array" ref="G230">(PRODUCT(1+sp500_monthly!L231:L350)^(1/120)-1)</f>
        <v>8.3247098207619441E-2</v>
      </c>
      <c r="H230" cm="1">
        <f t="array" ref="H230">(PRODUCT(1+sp500_monthly!N231:N350)^(1/120)-1)*100</f>
        <v>0.15235965064706036</v>
      </c>
      <c r="I230" cm="1">
        <f t="array" ref="I230">(PRODUCT(1+sp500_monthly!O231:O350)^(1/120)-1)*100</f>
        <v>5.712712505978601E-3</v>
      </c>
    </row>
    <row r="231" spans="1:9" x14ac:dyDescent="0.35">
      <c r="A231" s="1">
        <v>20148</v>
      </c>
      <c r="B231" cm="1">
        <f t="array" ref="B231">(PRODUCT(1+sp500_monthly!B232:B351)^(1/120)-1)*100</f>
        <v>1.3090544908497703</v>
      </c>
      <c r="C231" cm="1">
        <f t="array" ref="C231">(PRODUCT(1+sp500_monthly!C232:C351)^(1/120)-1)*100</f>
        <v>0.82397570445620349</v>
      </c>
      <c r="D231" cm="1">
        <f t="array" ref="D231">(PRODUCT(1+sp500_monthly!D232:D351)^(1/120)-1)*100</f>
        <v>1.3157403880739604</v>
      </c>
      <c r="E231" cm="1">
        <f t="array" ref="E231">(PRODUCT(1+sp500_monthly!E232:E351)^(1/120)-1)*100</f>
        <v>0.85479122019991305</v>
      </c>
      <c r="F231" cm="1">
        <f t="array" ref="F231">(PRODUCT(1+sp500_monthly!K232:K351)^(1/120)-1)*100</f>
        <v>0.83714918325075161</v>
      </c>
      <c r="G231" cm="1">
        <f t="array" ref="G231">(PRODUCT(1+sp500_monthly!L232:L351)^(1/120)-1)</f>
        <v>8.3675085547972428E-2</v>
      </c>
      <c r="H231" cm="1">
        <f t="array" ref="H231">(PRODUCT(1+sp500_monthly!N232:N351)^(1/120)-1)*100</f>
        <v>0.16731232183795353</v>
      </c>
      <c r="I231" cm="1">
        <f t="array" ref="I231">(PRODUCT(1+sp500_monthly!O232:O351)^(1/120)-1)*100</f>
        <v>6.3791529382184464E-3</v>
      </c>
    </row>
    <row r="232" spans="1:9" x14ac:dyDescent="0.35">
      <c r="A232" s="1">
        <v>20179</v>
      </c>
      <c r="B232" cm="1">
        <f t="array" ref="B232">(PRODUCT(1+sp500_monthly!B233:B352)^(1/120)-1)*100</f>
        <v>1.2637037445320853</v>
      </c>
      <c r="C232" cm="1">
        <f t="array" ref="C232">(PRODUCT(1+sp500_monthly!C233:C352)^(1/120)-1)*100</f>
        <v>0.77676125663022066</v>
      </c>
      <c r="D232" cm="1">
        <f t="array" ref="D232">(PRODUCT(1+sp500_monthly!D233:D352)^(1/120)-1)*100</f>
        <v>1.2652606557970847</v>
      </c>
      <c r="E232" cm="1">
        <f t="array" ref="E232">(PRODUCT(1+sp500_monthly!E233:E352)^(1/120)-1)*100</f>
        <v>0.80322727948125561</v>
      </c>
      <c r="F232" cm="1">
        <f t="array" ref="F232">(PRODUCT(1+sp500_monthly!K233:K352)^(1/120)-1)*100</f>
        <v>0.78989163475458035</v>
      </c>
      <c r="G232" cm="1">
        <f t="array" ref="G232">(PRODUCT(1+sp500_monthly!L233:L352)^(1/120)-1)</f>
        <v>8.4274659756909287E-2</v>
      </c>
      <c r="H232" cm="1">
        <f t="array" ref="H232">(PRODUCT(1+sp500_monthly!N233:N352)^(1/120)-1)*100</f>
        <v>0.17697001807852608</v>
      </c>
      <c r="I232" cm="1">
        <f t="array" ref="I232">(PRODUCT(1+sp500_monthly!O233:O352)^(1/120)-1)*100</f>
        <v>5.5737505745723226E-3</v>
      </c>
    </row>
    <row r="233" spans="1:9" x14ac:dyDescent="0.35">
      <c r="A233" s="1">
        <v>20208</v>
      </c>
      <c r="B233" cm="1">
        <f t="array" ref="B233">(PRODUCT(1+sp500_monthly!B234:B353)^(1/120)-1)*100</f>
        <v>1.2977460762924498</v>
      </c>
      <c r="C233" cm="1">
        <f t="array" ref="C233">(PRODUCT(1+sp500_monthly!C234:C353)^(1/120)-1)*100</f>
        <v>0.81218634188859884</v>
      </c>
      <c r="D233" cm="1">
        <f t="array" ref="D233">(PRODUCT(1+sp500_monthly!D234:D353)^(1/120)-1)*100</f>
        <v>1.2939261346077924</v>
      </c>
      <c r="E233" cm="1">
        <f t="array" ref="E233">(PRODUCT(1+sp500_monthly!E234:E353)^(1/120)-1)*100</f>
        <v>0.8315526209734081</v>
      </c>
      <c r="F233" cm="1">
        <f t="array" ref="F233">(PRODUCT(1+sp500_monthly!K234:K353)^(1/120)-1)*100</f>
        <v>0.82546331741200074</v>
      </c>
      <c r="G233" cm="1">
        <f t="array" ref="G233">(PRODUCT(1+sp500_monthly!L234:L353)^(1/120)-1)</f>
        <v>8.4957132165353721E-2</v>
      </c>
      <c r="H233" cm="1">
        <f t="array" ref="H233">(PRODUCT(1+sp500_monthly!N234:N353)^(1/120)-1)*100</f>
        <v>0.17603059395694398</v>
      </c>
      <c r="I233" cm="1">
        <f t="array" ref="I233">(PRODUCT(1+sp500_monthly!O234:O353)^(1/120)-1)*100</f>
        <v>7.339443429255077E-3</v>
      </c>
    </row>
    <row r="234" spans="1:9" x14ac:dyDescent="0.35">
      <c r="A234" s="1">
        <v>20240</v>
      </c>
      <c r="B234" cm="1">
        <f t="array" ref="B234">(PRODUCT(1+sp500_monthly!B235:B354)^(1/120)-1)*100</f>
        <v>1.2575822463087416</v>
      </c>
      <c r="C234" cm="1">
        <f t="array" ref="C234">(PRODUCT(1+sp500_monthly!C235:C354)^(1/120)-1)*100</f>
        <v>0.77225689283415555</v>
      </c>
      <c r="D234" cm="1">
        <f t="array" ref="D234">(PRODUCT(1+sp500_monthly!D235:D354)^(1/120)-1)*100</f>
        <v>1.2314983777217847</v>
      </c>
      <c r="E234" cm="1">
        <f t="array" ref="E234">(PRODUCT(1+sp500_monthly!E235:E354)^(1/120)-1)*100</f>
        <v>0.76918257472902152</v>
      </c>
      <c r="F234" cm="1">
        <f t="array" ref="F234">(PRODUCT(1+sp500_monthly!K235:K354)^(1/120)-1)*100</f>
        <v>0.78573899935192593</v>
      </c>
      <c r="G234" cm="1">
        <f t="array" ref="G234">(PRODUCT(1+sp500_monthly!L235:L354)^(1/120)-1)</f>
        <v>8.5551773611172832E-2</v>
      </c>
      <c r="H234" cm="1">
        <f t="array" ref="H234">(PRODUCT(1+sp500_monthly!N235:N354)^(1/120)-1)*100</f>
        <v>0.2086513331135853</v>
      </c>
      <c r="I234" cm="1">
        <f t="array" ref="I234">(PRODUCT(1+sp500_monthly!O235:O354)^(1/120)-1)*100</f>
        <v>8.1724249739734134E-3</v>
      </c>
    </row>
    <row r="235" spans="1:9" x14ac:dyDescent="0.35">
      <c r="A235" s="1">
        <v>20270</v>
      </c>
      <c r="B235" cm="1">
        <f t="array" ref="B235">(PRODUCT(1+sp500_monthly!B236:B355)^(1/120)-1)*100</f>
        <v>1.2462501099263168</v>
      </c>
      <c r="C235" cm="1">
        <f t="array" ref="C235">(PRODUCT(1+sp500_monthly!C236:C355)^(1/120)-1)*100</f>
        <v>0.76164399584079945</v>
      </c>
      <c r="D235" cm="1">
        <f t="array" ref="D235">(PRODUCT(1+sp500_monthly!D236:D355)^(1/120)-1)*100</f>
        <v>1.2156177880768615</v>
      </c>
      <c r="E235" cm="1">
        <f t="array" ref="E235">(PRODUCT(1+sp500_monthly!E236:E355)^(1/120)-1)*100</f>
        <v>0.75328974496455814</v>
      </c>
      <c r="F235" cm="1">
        <f t="array" ref="F235">(PRODUCT(1+sp500_monthly!K236:K355)^(1/120)-1)*100</f>
        <v>0.77506572912915406</v>
      </c>
      <c r="G235" cm="1">
        <f t="array" ref="G235">(PRODUCT(1+sp500_monthly!L236:L355)^(1/120)-1)</f>
        <v>8.647008141102086E-2</v>
      </c>
      <c r="H235" cm="1">
        <f t="array" ref="H235">(PRODUCT(1+sp500_monthly!N236:N355)^(1/120)-1)*100</f>
        <v>0.21462997846133369</v>
      </c>
      <c r="I235" cm="1">
        <f t="array" ref="I235">(PRODUCT(1+sp500_monthly!O236:O355)^(1/120)-1)*100</f>
        <v>9.9607928851996874E-3</v>
      </c>
    </row>
    <row r="236" spans="1:9" x14ac:dyDescent="0.35">
      <c r="A236" s="1">
        <v>20299</v>
      </c>
      <c r="B236" cm="1">
        <f t="array" ref="B236">(PRODUCT(1+sp500_monthly!B237:B356)^(1/120)-1)*100</f>
        <v>1.3102130912440835</v>
      </c>
      <c r="C236" cm="1">
        <f t="array" ref="C236">(PRODUCT(1+sp500_monthly!C237:C356)^(1/120)-1)*100</f>
        <v>0.82612035604647804</v>
      </c>
      <c r="D236" cm="1">
        <f t="array" ref="D236">(PRODUCT(1+sp500_monthly!D237:D356)^(1/120)-1)*100</f>
        <v>1.2029275551630247</v>
      </c>
      <c r="E236" cm="1">
        <f t="array" ref="E236">(PRODUCT(1+sp500_monthly!E237:E356)^(1/120)-1)*100</f>
        <v>0.73998505698613659</v>
      </c>
      <c r="F236" cm="1">
        <f t="array" ref="F236">(PRODUCT(1+sp500_monthly!K237:K356)^(1/120)-1)*100</f>
        <v>0.84430935235166871</v>
      </c>
      <c r="G236" cm="1">
        <f t="array" ref="G236">(PRODUCT(1+sp500_monthly!L237:L356)^(1/120)-1)</f>
        <v>8.7153935678471628E-2</v>
      </c>
      <c r="H236" cm="1">
        <f t="array" ref="H236">(PRODUCT(1+sp500_monthly!N237:N356)^(1/120)-1)*100</f>
        <v>0.28180283999901246</v>
      </c>
      <c r="I236" cm="1">
        <f t="array" ref="I236">(PRODUCT(1+sp500_monthly!O237:O356)^(1/120)-1)*100</f>
        <v>1.2663874251583884E-2</v>
      </c>
    </row>
    <row r="237" spans="1:9" x14ac:dyDescent="0.35">
      <c r="A237" s="1">
        <v>20332</v>
      </c>
      <c r="B237" cm="1">
        <f t="array" ref="B237">(PRODUCT(1+sp500_monthly!B238:B357)^(1/120)-1)*100</f>
        <v>1.3759341006609027</v>
      </c>
      <c r="C237" cm="1">
        <f t="array" ref="C237">(PRODUCT(1+sp500_monthly!C238:C357)^(1/120)-1)*100</f>
        <v>0.89187583291541195</v>
      </c>
      <c r="D237" cm="1">
        <f t="array" ref="D237">(PRODUCT(1+sp500_monthly!D238:D357)^(1/120)-1)*100</f>
        <v>1.2356070590941348</v>
      </c>
      <c r="E237" cm="1">
        <f t="array" ref="E237">(PRODUCT(1+sp500_monthly!E238:E357)^(1/120)-1)*100</f>
        <v>0.77230764962457066</v>
      </c>
      <c r="F237" cm="1">
        <f t="array" ref="F237">(PRODUCT(1+sp500_monthly!K238:K357)^(1/120)-1)*100</f>
        <v>0.91086636637625062</v>
      </c>
      <c r="G237" cm="1">
        <f t="array" ref="G237">(PRODUCT(1+sp500_monthly!L238:L357)^(1/120)-1)</f>
        <v>8.7749781144595529E-2</v>
      </c>
      <c r="H237" cm="1">
        <f t="array" ref="H237">(PRODUCT(1+sp500_monthly!N238:N357)^(1/120)-1)*100</f>
        <v>0.32708651430357616</v>
      </c>
      <c r="I237" cm="1">
        <f t="array" ref="I237">(PRODUCT(1+sp500_monthly!O238:O357)^(1/120)-1)*100</f>
        <v>1.1938195158966991E-2</v>
      </c>
    </row>
    <row r="238" spans="1:9" x14ac:dyDescent="0.35">
      <c r="A238" s="1">
        <v>20362</v>
      </c>
      <c r="B238" cm="1">
        <f t="array" ref="B238">(PRODUCT(1+sp500_monthly!B239:B358)^(1/120)-1)*100</f>
        <v>1.3262910718323528</v>
      </c>
      <c r="C238" cm="1">
        <f t="array" ref="C238">(PRODUCT(1+sp500_monthly!C239:C358)^(1/120)-1)*100</f>
        <v>0.84063089187913498</v>
      </c>
      <c r="D238" cm="1">
        <f t="array" ref="D238">(PRODUCT(1+sp500_monthly!D239:D358)^(1/120)-1)*100</f>
        <v>1.2018009407470664</v>
      </c>
      <c r="E238" cm="1">
        <f t="array" ref="E238">(PRODUCT(1+sp500_monthly!E239:E358)^(1/120)-1)*100</f>
        <v>0.73761396238183341</v>
      </c>
      <c r="F238" cm="1">
        <f t="array" ref="F238">(PRODUCT(1+sp500_monthly!K239:K358)^(1/120)-1)*100</f>
        <v>0.85688840177113867</v>
      </c>
      <c r="G238" cm="1">
        <f t="array" ref="G238">(PRODUCT(1+sp500_monthly!L239:L358)^(1/120)-1)</f>
        <v>8.8827741983768638E-2</v>
      </c>
      <c r="H238" cm="1">
        <f t="array" ref="H238">(PRODUCT(1+sp500_monthly!N239:N358)^(1/120)-1)*100</f>
        <v>0.32779522446049203</v>
      </c>
      <c r="I238" cm="1">
        <f t="array" ref="I238">(PRODUCT(1+sp500_monthly!O239:O358)^(1/120)-1)*100</f>
        <v>1.4517376244982394E-2</v>
      </c>
    </row>
    <row r="239" spans="1:9" x14ac:dyDescent="0.35">
      <c r="A239" s="1">
        <v>20393</v>
      </c>
      <c r="B239" cm="1">
        <f t="array" ref="B239">(PRODUCT(1+sp500_monthly!B240:B359)^(1/120)-1)*100</f>
        <v>1.2975052868345216</v>
      </c>
      <c r="C239" cm="1">
        <f t="array" ref="C239">(PRODUCT(1+sp500_monthly!C240:C359)^(1/120)-1)*100</f>
        <v>0.81290994455482934</v>
      </c>
      <c r="D239" cm="1">
        <f t="array" ref="D239">(PRODUCT(1+sp500_monthly!D240:D359)^(1/120)-1)*100</f>
        <v>1.1249490115708749</v>
      </c>
      <c r="E239" cm="1">
        <f t="array" ref="E239">(PRODUCT(1+sp500_monthly!E240:E359)^(1/120)-1)*100</f>
        <v>0.66038357691962091</v>
      </c>
      <c r="F239" cm="1">
        <f t="array" ref="F239">(PRODUCT(1+sp500_monthly!K240:K359)^(1/120)-1)*100</f>
        <v>0.83187096749446354</v>
      </c>
      <c r="G239" cm="1">
        <f t="array" ref="G239">(PRODUCT(1+sp500_monthly!L240:L359)^(1/120)-1)</f>
        <v>8.9906771082931991E-2</v>
      </c>
      <c r="H239" cm="1">
        <f t="array" ref="H239">(PRODUCT(1+sp500_monthly!N240:N359)^(1/120)-1)*100</f>
        <v>0.33312052769454148</v>
      </c>
      <c r="I239" cm="1">
        <f t="array" ref="I239">(PRODUCT(1+sp500_monthly!O240:O359)^(1/120)-1)*100</f>
        <v>1.1804726843345215E-2</v>
      </c>
    </row>
    <row r="240" spans="1:9" x14ac:dyDescent="0.35">
      <c r="A240" s="1">
        <v>20423</v>
      </c>
      <c r="B240" cm="1">
        <f t="array" ref="B240">(PRODUCT(1+sp500_monthly!B241:B360)^(1/120)-1)*100</f>
        <v>1.2457794888260709</v>
      </c>
      <c r="C240" cm="1">
        <f t="array" ref="C240">(PRODUCT(1+sp500_monthly!C241:C360)^(1/120)-1)*100</f>
        <v>0.76174737498291289</v>
      </c>
      <c r="D240" cm="1">
        <f t="array" ref="D240">(PRODUCT(1+sp500_monthly!D241:D360)^(1/120)-1)*100</f>
        <v>1.0582859916544507</v>
      </c>
      <c r="E240" cm="1">
        <f t="array" ref="E240">(PRODUCT(1+sp500_monthly!E241:E360)^(1/120)-1)*100</f>
        <v>0.59385703765408859</v>
      </c>
      <c r="F240" cm="1">
        <f t="array" ref="F240">(PRODUCT(1+sp500_monthly!K241:K360)^(1/120)-1)*100</f>
        <v>0.78079509129163061</v>
      </c>
      <c r="G240" cm="1">
        <f t="array" ref="G240">(PRODUCT(1+sp500_monthly!L241:L360)^(1/120)-1)</f>
        <v>9.1142295590444622E-2</v>
      </c>
      <c r="H240" cm="1">
        <f t="array" ref="H240">(PRODUCT(1+sp500_monthly!N241:N360)^(1/120)-1)*100</f>
        <v>0.30818762245217179</v>
      </c>
      <c r="I240" cm="1">
        <f t="array" ref="I240">(PRODUCT(1+sp500_monthly!O241:O360)^(1/120)-1)*100</f>
        <v>1.4235314133914656E-2</v>
      </c>
    </row>
    <row r="241" spans="1:9" x14ac:dyDescent="0.35">
      <c r="A241" s="1">
        <v>20453</v>
      </c>
      <c r="B241" cm="1">
        <f t="array" ref="B241">(PRODUCT(1+sp500_monthly!B242:B361)^(1/120)-1)*100</f>
        <v>1.279712003847866</v>
      </c>
      <c r="C241" cm="1">
        <f t="array" ref="C241">(PRODUCT(1+sp500_monthly!C242:C361)^(1/120)-1)*100</f>
        <v>0.79319284061303286</v>
      </c>
      <c r="D241" cm="1">
        <f t="array" ref="D241">(PRODUCT(1+sp500_monthly!D242:D361)^(1/120)-1)*100</f>
        <v>1.0559713615122757</v>
      </c>
      <c r="E241" cm="1">
        <f t="array" ref="E241">(PRODUCT(1+sp500_monthly!E242:E361)^(1/120)-1)*100</f>
        <v>0.59046223913614693</v>
      </c>
      <c r="F241" cm="1">
        <f t="array" ref="F241">(PRODUCT(1+sp500_monthly!K242:K361)^(1/120)-1)*100</f>
        <v>0.81463165690947026</v>
      </c>
      <c r="G241" cm="1">
        <f t="array" ref="G241">(PRODUCT(1+sp500_monthly!L242:L361)^(1/120)-1)</f>
        <v>9.2390558606369355E-2</v>
      </c>
      <c r="H241" cm="1">
        <f t="array" ref="H241">(PRODUCT(1+sp500_monthly!N242:N361)^(1/120)-1)*100</f>
        <v>0.37670951463912861</v>
      </c>
      <c r="I241" cm="1">
        <f t="array" ref="I241">(PRODUCT(1+sp500_monthly!O242:O361)^(1/120)-1)*100</f>
        <v>1.378851723301544E-2</v>
      </c>
    </row>
    <row r="242" spans="1:9" x14ac:dyDescent="0.35">
      <c r="A242" s="1">
        <v>20485</v>
      </c>
      <c r="B242" cm="1">
        <f t="array" ref="B242">(PRODUCT(1+sp500_monthly!B243:B362)^(1/120)-1)*100</f>
        <v>1.2701073175576783</v>
      </c>
      <c r="C242" cm="1">
        <f t="array" ref="C242">(PRODUCT(1+sp500_monthly!C243:C362)^(1/120)-1)*100</f>
        <v>0.78441339402004484</v>
      </c>
      <c r="D242" cm="1">
        <f t="array" ref="D242">(PRODUCT(1+sp500_monthly!D243:D362)^(1/120)-1)*100</f>
        <v>1.0538474488439142</v>
      </c>
      <c r="E242" cm="1">
        <f t="array" ref="E242">(PRODUCT(1+sp500_monthly!E243:E362)^(1/120)-1)*100</f>
        <v>0.58791737630026208</v>
      </c>
      <c r="F242" cm="1">
        <f t="array" ref="F242">(PRODUCT(1+sp500_monthly!K243:K362)^(1/120)-1)*100</f>
        <v>0.80581106408668113</v>
      </c>
      <c r="G242" cm="1">
        <f t="array" ref="G242">(PRODUCT(1+sp500_monthly!L243:L362)^(1/120)-1)</f>
        <v>9.3628898749529066E-2</v>
      </c>
      <c r="H242" cm="1">
        <f t="array" ref="H242">(PRODUCT(1+sp500_monthly!N243:N362)^(1/120)-1)*100</f>
        <v>0.37676225029861232</v>
      </c>
      <c r="I242" cm="1">
        <f t="array" ref="I242">(PRODUCT(1+sp500_monthly!O243:O362)^(1/120)-1)*100</f>
        <v>1.5597512130582913E-2</v>
      </c>
    </row>
    <row r="243" spans="1:9" x14ac:dyDescent="0.35">
      <c r="A243" s="1">
        <v>20514</v>
      </c>
      <c r="B243" cm="1">
        <f t="array" ref="B243">(PRODUCT(1+sp500_monthly!B244:B363)^(1/120)-1)*100</f>
        <v>1.1833212435717444</v>
      </c>
      <c r="C243" cm="1">
        <f t="array" ref="C243">(PRODUCT(1+sp500_monthly!C244:C363)^(1/120)-1)*100</f>
        <v>0.69775652303347702</v>
      </c>
      <c r="D243" cm="1">
        <f t="array" ref="D243">(PRODUCT(1+sp500_monthly!D244:D363)^(1/120)-1)*100</f>
        <v>0.95385895409272337</v>
      </c>
      <c r="E243" cm="1">
        <f t="array" ref="E243">(PRODUCT(1+sp500_monthly!E244:E363)^(1/120)-1)*100</f>
        <v>0.48792045005410234</v>
      </c>
      <c r="F243" cm="1">
        <f t="array" ref="F243">(PRODUCT(1+sp500_monthly!K244:K363)^(1/120)-1)*100</f>
        <v>0.71801299506122351</v>
      </c>
      <c r="G243" cm="1">
        <f t="array" ref="G243">(PRODUCT(1+sp500_monthly!L244:L363)^(1/120)-1)</f>
        <v>9.5172843277568031E-2</v>
      </c>
      <c r="H243" cm="1">
        <f t="array" ref="H243">(PRODUCT(1+sp500_monthly!N244:N363)^(1/120)-1)*100</f>
        <v>0.34816188561306305</v>
      </c>
      <c r="I243" cm="1">
        <f t="array" ref="I243">(PRODUCT(1+sp500_monthly!O244:O363)^(1/120)-1)*100</f>
        <v>1.8670823404232095E-2</v>
      </c>
    </row>
    <row r="244" spans="1:9" x14ac:dyDescent="0.35">
      <c r="A244" s="1">
        <v>20543</v>
      </c>
      <c r="B244" cm="1">
        <f t="array" ref="B244">(PRODUCT(1+sp500_monthly!B245:B364)^(1/120)-1)*100</f>
        <v>1.2743890227874033</v>
      </c>
      <c r="C244" cm="1">
        <f t="array" ref="C244">(PRODUCT(1+sp500_monthly!C245:C364)^(1/120)-1)*100</f>
        <v>0.78692789186602941</v>
      </c>
      <c r="D244" cm="1">
        <f t="array" ref="D244">(PRODUCT(1+sp500_monthly!D245:D364)^(1/120)-1)*100</f>
        <v>1.0461037948428675</v>
      </c>
      <c r="E244" cm="1">
        <f t="array" ref="E244">(PRODUCT(1+sp500_monthly!E245:E364)^(1/120)-1)*100</f>
        <v>0.57764712343357782</v>
      </c>
      <c r="F244" cm="1">
        <f t="array" ref="F244">(PRODUCT(1+sp500_monthly!K245:K364)^(1/120)-1)*100</f>
        <v>0.80710111604986867</v>
      </c>
      <c r="G244" cm="1">
        <f t="array" ref="G244">(PRODUCT(1+sp500_monthly!L245:L364)^(1/120)-1)</f>
        <v>9.6491444283758332E-2</v>
      </c>
      <c r="H244" cm="1">
        <f t="array" ref="H244">(PRODUCT(1+sp500_monthly!N245:N364)^(1/120)-1)*100</f>
        <v>0.38115304823831408</v>
      </c>
      <c r="I244" cm="1">
        <f t="array" ref="I244">(PRODUCT(1+sp500_monthly!O245:O364)^(1/120)-1)*100</f>
        <v>1.9321505840075304E-2</v>
      </c>
    </row>
    <row r="245" spans="1:9" x14ac:dyDescent="0.35">
      <c r="A245" s="1">
        <v>20575</v>
      </c>
      <c r="B245" cm="1">
        <f t="array" ref="B245">(PRODUCT(1+sp500_monthly!B246:B365)^(1/120)-1)*100</f>
        <v>1.2912824362640185</v>
      </c>
      <c r="C245" cm="1">
        <f t="array" ref="C245">(PRODUCT(1+sp500_monthly!C246:C365)^(1/120)-1)*100</f>
        <v>0.80525693136621612</v>
      </c>
      <c r="D245" cm="1">
        <f t="array" ref="D245">(PRODUCT(1+sp500_monthly!D246:D365)^(1/120)-1)*100</f>
        <v>1.0487933206670963</v>
      </c>
      <c r="E245" cm="1">
        <f t="array" ref="E245">(PRODUCT(1+sp500_monthly!E246:E365)^(1/120)-1)*100</f>
        <v>0.58012953315353943</v>
      </c>
      <c r="F245" cm="1">
        <f t="array" ref="F245">(PRODUCT(1+sp500_monthly!K246:K365)^(1/120)-1)*100</f>
        <v>0.82533695187563261</v>
      </c>
      <c r="G245" cm="1">
        <f t="array" ref="G245">(PRODUCT(1+sp500_monthly!L246:L365)^(1/120)-1)</f>
        <v>9.7498880142847799E-2</v>
      </c>
      <c r="H245" cm="1">
        <f t="array" ref="H245">(PRODUCT(1+sp500_monthly!N246:N365)^(1/120)-1)*100</f>
        <v>0.43708834421605225</v>
      </c>
      <c r="I245" cm="1">
        <f t="array" ref="I245">(PRODUCT(1+sp500_monthly!O246:O365)^(1/120)-1)*100</f>
        <v>1.964039873305623E-2</v>
      </c>
    </row>
    <row r="246" spans="1:9" x14ac:dyDescent="0.35">
      <c r="A246" s="1">
        <v>20606</v>
      </c>
      <c r="B246" cm="1">
        <f t="array" ref="B246">(PRODUCT(1+sp500_monthly!B247:B366)^(1/120)-1)*100</f>
        <v>1.2611012249199582</v>
      </c>
      <c r="C246" cm="1">
        <f t="array" ref="C246">(PRODUCT(1+sp500_monthly!C247:C366)^(1/120)-1)*100</f>
        <v>0.77540257458761364</v>
      </c>
      <c r="D246" cm="1">
        <f t="array" ref="D246">(PRODUCT(1+sp500_monthly!D247:D366)^(1/120)-1)*100</f>
        <v>1.0202404962436296</v>
      </c>
      <c r="E246" cm="1">
        <f t="array" ref="E246">(PRODUCT(1+sp500_monthly!E247:E366)^(1/120)-1)*100</f>
        <v>0.55134761156279133</v>
      </c>
      <c r="F246" cm="1">
        <f t="array" ref="F246">(PRODUCT(1+sp500_monthly!K247:K366)^(1/120)-1)*100</f>
        <v>0.79258572830256391</v>
      </c>
      <c r="G246" cm="1">
        <f t="array" ref="G246">(PRODUCT(1+sp500_monthly!L247:L366)^(1/120)-1)</f>
        <v>9.8820281724828263E-2</v>
      </c>
      <c r="H246" cm="1">
        <f t="array" ref="H246">(PRODUCT(1+sp500_monthly!N247:N366)^(1/120)-1)*100</f>
        <v>0.43531092519839554</v>
      </c>
      <c r="I246" cm="1">
        <f t="array" ref="I246">(PRODUCT(1+sp500_monthly!O247:O366)^(1/120)-1)*100</f>
        <v>1.9983600665041124E-2</v>
      </c>
    </row>
    <row r="247" spans="1:9" x14ac:dyDescent="0.35">
      <c r="A247" s="1">
        <v>20635</v>
      </c>
      <c r="B247" cm="1">
        <f t="array" ref="B247">(PRODUCT(1+sp500_monthly!B248:B367)^(1/120)-1)*100</f>
        <v>1.1863912829871426</v>
      </c>
      <c r="C247" cm="1">
        <f t="array" ref="C247">(PRODUCT(1+sp500_monthly!C248:C367)^(1/120)-1)*100</f>
        <v>0.69885069711497216</v>
      </c>
      <c r="D247" cm="1">
        <f t="array" ref="D247">(PRODUCT(1+sp500_monthly!D248:D367)^(1/120)-1)*100</f>
        <v>0.94555331615187033</v>
      </c>
      <c r="E247" cm="1">
        <f t="array" ref="E247">(PRODUCT(1+sp500_monthly!E248:E367)^(1/120)-1)*100</f>
        <v>0.47517553577922644</v>
      </c>
      <c r="F247" cm="1">
        <f t="array" ref="F247">(PRODUCT(1+sp500_monthly!K248:K367)^(1/120)-1)*100</f>
        <v>0.71690978893550472</v>
      </c>
      <c r="G247" cm="1">
        <f t="array" ref="G247">(PRODUCT(1+sp500_monthly!L248:L367)^(1/120)-1)</f>
        <v>0.10044641342362359</v>
      </c>
      <c r="H247" cm="1">
        <f t="array" ref="H247">(PRODUCT(1+sp500_monthly!N248:N367)^(1/120)-1)*100</f>
        <v>0.38184666761824637</v>
      </c>
      <c r="I247" cm="1">
        <f t="array" ref="I247">(PRODUCT(1+sp500_monthly!O248:O367)^(1/120)-1)*100</f>
        <v>1.8809127557339878E-2</v>
      </c>
    </row>
    <row r="248" spans="1:9" x14ac:dyDescent="0.35">
      <c r="A248" s="1">
        <v>20667</v>
      </c>
      <c r="B248" cm="1">
        <f t="array" ref="B248">(PRODUCT(1+sp500_monthly!B249:B368)^(1/120)-1)*100</f>
        <v>1.2488921549743681</v>
      </c>
      <c r="C248" cm="1">
        <f t="array" ref="C248">(PRODUCT(1+sp500_monthly!C249:C368)^(1/120)-1)*100</f>
        <v>0.76206703465804271</v>
      </c>
      <c r="D248" cm="1">
        <f t="array" ref="D248">(PRODUCT(1+sp500_monthly!D249:D368)^(1/120)-1)*100</f>
        <v>1.0007297702493201</v>
      </c>
      <c r="E248" cm="1">
        <f t="array" ref="E248">(PRODUCT(1+sp500_monthly!E249:E368)^(1/120)-1)*100</f>
        <v>0.52984763124821477</v>
      </c>
      <c r="F248" cm="1">
        <f t="array" ref="F248">(PRODUCT(1+sp500_monthly!K249:K368)^(1/120)-1)*100</f>
        <v>0.7826488395699549</v>
      </c>
      <c r="G248" cm="1">
        <f t="array" ref="G248">(PRODUCT(1+sp500_monthly!L249:L368)^(1/120)-1)</f>
        <v>0.10184819903154141</v>
      </c>
      <c r="H248" cm="1">
        <f t="array" ref="H248">(PRODUCT(1+sp500_monthly!N249:N368)^(1/120)-1)*100</f>
        <v>0.41007667367787271</v>
      </c>
      <c r="I248" cm="1">
        <f t="array" ref="I248">(PRODUCT(1+sp500_monthly!O249:O368)^(1/120)-1)*100</f>
        <v>1.6782364086487256E-2</v>
      </c>
    </row>
    <row r="249" spans="1:9" x14ac:dyDescent="0.35">
      <c r="A249" s="1">
        <v>20698</v>
      </c>
      <c r="B249" cm="1">
        <f t="array" ref="B249">(PRODUCT(1+sp500_monthly!B250:B369)^(1/120)-1)*100</f>
        <v>1.3146233913029048</v>
      </c>
      <c r="C249" cm="1">
        <f t="array" ref="C249">(PRODUCT(1+sp500_monthly!C250:C369)^(1/120)-1)*100</f>
        <v>0.82776889284357225</v>
      </c>
      <c r="D249" cm="1">
        <f t="array" ref="D249">(PRODUCT(1+sp500_monthly!D250:D369)^(1/120)-1)*100</f>
        <v>1.0700240225621549</v>
      </c>
      <c r="E249" cm="1">
        <f t="array" ref="E249">(PRODUCT(1+sp500_monthly!E250:E369)^(1/120)-1)*100</f>
        <v>0.59858610272176538</v>
      </c>
      <c r="F249" cm="1">
        <f t="array" ref="F249">(PRODUCT(1+sp500_monthly!K250:K369)^(1/120)-1)*100</f>
        <v>0.84655811366933786</v>
      </c>
      <c r="G249" cm="1">
        <f t="array" ref="G249">(PRODUCT(1+sp500_monthly!L250:L369)^(1/120)-1)</f>
        <v>0.10340374726144774</v>
      </c>
      <c r="H249" cm="1">
        <f t="array" ref="H249">(PRODUCT(1+sp500_monthly!N250:N369)^(1/120)-1)*100</f>
        <v>0.44774169937102926</v>
      </c>
      <c r="I249" cm="1">
        <f t="array" ref="I249">(PRODUCT(1+sp500_monthly!O250:O369)^(1/120)-1)*100</f>
        <v>1.4327228257271507E-2</v>
      </c>
    </row>
    <row r="250" spans="1:9" x14ac:dyDescent="0.35">
      <c r="A250" s="1">
        <v>20726</v>
      </c>
      <c r="B250" cm="1">
        <f t="array" ref="B250">(PRODUCT(1+sp500_monthly!B251:B370)^(1/120)-1)*100</f>
        <v>1.3467137113822636</v>
      </c>
      <c r="C250" cm="1">
        <f t="array" ref="C250">(PRODUCT(1+sp500_monthly!C251:C370)^(1/120)-1)*100</f>
        <v>0.85751624474461607</v>
      </c>
      <c r="D250" cm="1">
        <f t="array" ref="D250">(PRODUCT(1+sp500_monthly!D251:D370)^(1/120)-1)*100</f>
        <v>1.1087340167693416</v>
      </c>
      <c r="E250" cm="1">
        <f t="array" ref="E250">(PRODUCT(1+sp500_monthly!E251:E370)^(1/120)-1)*100</f>
        <v>0.63583209656687956</v>
      </c>
      <c r="F250" cm="1">
        <f t="array" ref="F250">(PRODUCT(1+sp500_monthly!K251:K370)^(1/120)-1)*100</f>
        <v>0.87759810864909138</v>
      </c>
      <c r="G250" cm="1">
        <f t="array" ref="G250">(PRODUCT(1+sp500_monthly!L251:L370)^(1/120)-1)</f>
        <v>0.10457623002719529</v>
      </c>
      <c r="H250" cm="1">
        <f t="array" ref="H250">(PRODUCT(1+sp500_monthly!N251:N370)^(1/120)-1)*100</f>
        <v>0.4192268142169997</v>
      </c>
      <c r="I250" cm="1">
        <f t="array" ref="I250">(PRODUCT(1+sp500_monthly!O251:O370)^(1/120)-1)*100</f>
        <v>1.5132310051679809E-2</v>
      </c>
    </row>
    <row r="251" spans="1:9" x14ac:dyDescent="0.35">
      <c r="A251" s="1">
        <v>20759</v>
      </c>
      <c r="B251" cm="1">
        <f t="array" ref="B251">(PRODUCT(1+sp500_monthly!B252:B371)^(1/120)-1)*100</f>
        <v>1.401557633846795</v>
      </c>
      <c r="C251" cm="1">
        <f t="array" ref="C251">(PRODUCT(1+sp500_monthly!C252:C371)^(1/120)-1)*100</f>
        <v>0.91347844235172282</v>
      </c>
      <c r="D251" cm="1">
        <f t="array" ref="D251">(PRODUCT(1+sp500_monthly!D252:D371)^(1/120)-1)*100</f>
        <v>1.1863457544254219</v>
      </c>
      <c r="E251" cm="1">
        <f t="array" ref="E251">(PRODUCT(1+sp500_monthly!E252:E371)^(1/120)-1)*100</f>
        <v>0.71346893160000313</v>
      </c>
      <c r="F251" cm="1">
        <f t="array" ref="F251">(PRODUCT(1+sp500_monthly!K252:K371)^(1/120)-1)*100</f>
        <v>0.92847079258877585</v>
      </c>
      <c r="G251" cm="1">
        <f t="array" ref="G251">(PRODUCT(1+sp500_monthly!L252:L371)^(1/120)-1)</f>
        <v>0.10582838391670513</v>
      </c>
      <c r="H251" cm="1">
        <f t="array" ref="H251">(PRODUCT(1+sp500_monthly!N252:N371)^(1/120)-1)*100</f>
        <v>0.38033530949699301</v>
      </c>
      <c r="I251" cm="1">
        <f t="array" ref="I251">(PRODUCT(1+sp500_monthly!O252:O371)^(1/120)-1)*100</f>
        <v>1.5411343124460686E-2</v>
      </c>
    </row>
    <row r="252" spans="1:9" x14ac:dyDescent="0.35">
      <c r="A252" s="1">
        <v>20789</v>
      </c>
      <c r="B252" cm="1">
        <f t="array" ref="B252">(PRODUCT(1+sp500_monthly!B253:B372)^(1/120)-1)*100</f>
        <v>1.411908838339837</v>
      </c>
      <c r="C252" cm="1">
        <f t="array" ref="C252">(PRODUCT(1+sp500_monthly!C253:C372)^(1/120)-1)*100</f>
        <v>0.92367488265139297</v>
      </c>
      <c r="D252" cm="1">
        <f t="array" ref="D252">(PRODUCT(1+sp500_monthly!D253:D372)^(1/120)-1)*100</f>
        <v>1.185130535671286</v>
      </c>
      <c r="E252" cm="1">
        <f t="array" ref="E252">(PRODUCT(1+sp500_monthly!E253:E372)^(1/120)-1)*100</f>
        <v>0.71134833321759849</v>
      </c>
      <c r="F252" cm="1">
        <f t="array" ref="F252">(PRODUCT(1+sp500_monthly!K253:K372)^(1/120)-1)*100</f>
        <v>0.93949995178581602</v>
      </c>
      <c r="G252" cm="1">
        <f t="array" ref="G252">(PRODUCT(1+sp500_monthly!L253:L372)^(1/120)-1)</f>
        <v>0.10761375286549568</v>
      </c>
      <c r="H252" cm="1">
        <f t="array" ref="H252">(PRODUCT(1+sp500_monthly!N253:N372)^(1/120)-1)*100</f>
        <v>0.38097452057150871</v>
      </c>
      <c r="I252" cm="1">
        <f t="array" ref="I252">(PRODUCT(1+sp500_monthly!O253:O372)^(1/120)-1)*100</f>
        <v>1.263081509432773E-2</v>
      </c>
    </row>
    <row r="253" spans="1:9" x14ac:dyDescent="0.35">
      <c r="A253" s="1">
        <v>20820</v>
      </c>
      <c r="B253" cm="1">
        <f t="array" ref="B253">(PRODUCT(1+sp500_monthly!B254:B373)^(1/120)-1)*100</f>
        <v>1.4135021964611472</v>
      </c>
      <c r="C253" cm="1">
        <f t="array" ref="C253">(PRODUCT(1+sp500_monthly!C254:C373)^(1/120)-1)*100</f>
        <v>0.92416833210957616</v>
      </c>
      <c r="D253" cm="1">
        <f t="array" ref="D253">(PRODUCT(1+sp500_monthly!D254:D373)^(1/120)-1)*100</f>
        <v>1.181572759742644</v>
      </c>
      <c r="E253" cm="1">
        <f t="array" ref="E253">(PRODUCT(1+sp500_monthly!E254:E373)^(1/120)-1)*100</f>
        <v>0.70840293047125247</v>
      </c>
      <c r="F253" cm="1">
        <f t="array" ref="F253">(PRODUCT(1+sp500_monthly!K254:K373)^(1/120)-1)*100</f>
        <v>0.93991339352832437</v>
      </c>
      <c r="G253" cm="1">
        <f t="array" ref="G253">(PRODUCT(1+sp500_monthly!L254:L373)^(1/120)-1)</f>
        <v>0.10902466847116177</v>
      </c>
      <c r="H253" cm="1">
        <f t="array" ref="H253">(PRODUCT(1+sp500_monthly!N254:N373)^(1/120)-1)*100</f>
        <v>0.37936605592010508</v>
      </c>
      <c r="I253" cm="1">
        <f t="array" ref="I253">(PRODUCT(1+sp500_monthly!O254:O373)^(1/120)-1)*100</f>
        <v>1.4296041479555655E-2</v>
      </c>
    </row>
    <row r="254" spans="1:9" x14ac:dyDescent="0.35">
      <c r="A254" s="1">
        <v>20851</v>
      </c>
      <c r="B254" cm="1">
        <f t="array" ref="B254">(PRODUCT(1+sp500_monthly!B255:B374)^(1/120)-1)*100</f>
        <v>1.4049552160409595</v>
      </c>
      <c r="C254" cm="1">
        <f t="array" ref="C254">(PRODUCT(1+sp500_monthly!C255:C374)^(1/120)-1)*100</f>
        <v>0.91806775112084349</v>
      </c>
      <c r="D254" cm="1">
        <f t="array" ref="D254">(PRODUCT(1+sp500_monthly!D255:D374)^(1/120)-1)*100</f>
        <v>1.1651652518516631</v>
      </c>
      <c r="E254" cm="1">
        <f t="array" ref="E254">(PRODUCT(1+sp500_monthly!E255:E374)^(1/120)-1)*100</f>
        <v>0.69259453705736718</v>
      </c>
      <c r="F254" cm="1">
        <f t="array" ref="F254">(PRODUCT(1+sp500_monthly!K255:K374)^(1/120)-1)*100</f>
        <v>0.93370139422790377</v>
      </c>
      <c r="G254" cm="1">
        <f t="array" ref="G254">(PRODUCT(1+sp500_monthly!L255:L374)^(1/120)-1)</f>
        <v>0.11074084818248653</v>
      </c>
      <c r="H254" cm="1">
        <f t="array" ref="H254">(PRODUCT(1+sp500_monthly!N255:N374)^(1/120)-1)*100</f>
        <v>0.4055422784790208</v>
      </c>
      <c r="I254" cm="1">
        <f t="array" ref="I254">(PRODUCT(1+sp500_monthly!O255:O374)^(1/120)-1)*100</f>
        <v>1.2666288966989292E-2</v>
      </c>
    </row>
    <row r="255" spans="1:9" x14ac:dyDescent="0.35">
      <c r="A255" s="1">
        <v>20879</v>
      </c>
      <c r="B255" cm="1">
        <f t="array" ref="B255">(PRODUCT(1+sp500_monthly!B256:B375)^(1/120)-1)*100</f>
        <v>1.3518632144315035</v>
      </c>
      <c r="C255" cm="1">
        <f t="array" ref="C255">(PRODUCT(1+sp500_monthly!C256:C375)^(1/120)-1)*100</f>
        <v>0.86493642809422067</v>
      </c>
      <c r="D255" cm="1">
        <f t="array" ref="D255">(PRODUCT(1+sp500_monthly!D256:D375)^(1/120)-1)*100</f>
        <v>1.1434491519890511</v>
      </c>
      <c r="E255" cm="1">
        <f t="array" ref="E255">(PRODUCT(1+sp500_monthly!E256:E375)^(1/120)-1)*100</f>
        <v>0.67030437875257309</v>
      </c>
      <c r="F255" cm="1">
        <f t="array" ref="F255">(PRODUCT(1+sp500_monthly!K256:K375)^(1/120)-1)*100</f>
        <v>0.87825568536321619</v>
      </c>
      <c r="G255" cm="1">
        <f t="array" ref="G255">(PRODUCT(1+sp500_monthly!L256:L375)^(1/120)-1)</f>
        <v>0.11268132177014056</v>
      </c>
      <c r="H255" cm="1">
        <f t="array" ref="H255">(PRODUCT(1+sp500_monthly!N256:N375)^(1/120)-1)*100</f>
        <v>0.36997439682129318</v>
      </c>
      <c r="I255" cm="1">
        <f t="array" ref="I255">(PRODUCT(1+sp500_monthly!O256:O375)^(1/120)-1)*100</f>
        <v>1.3707848536914646E-2</v>
      </c>
    </row>
    <row r="256" spans="1:9" x14ac:dyDescent="0.35">
      <c r="A256" s="1">
        <v>20908</v>
      </c>
      <c r="B256" cm="1">
        <f t="array" ref="B256">(PRODUCT(1+sp500_monthly!B257:B376)^(1/120)-1)*100</f>
        <v>1.3375963770875687</v>
      </c>
      <c r="C256" cm="1">
        <f t="array" ref="C256">(PRODUCT(1+sp500_monthly!C257:C376)^(1/120)-1)*100</f>
        <v>0.84973085710762231</v>
      </c>
      <c r="D256" cm="1">
        <f t="array" ref="D256">(PRODUCT(1+sp500_monthly!D257:D376)^(1/120)-1)*100</f>
        <v>1.1268959110866117</v>
      </c>
      <c r="E256" cm="1">
        <f t="array" ref="E256">(PRODUCT(1+sp500_monthly!E257:E376)^(1/120)-1)*100</f>
        <v>0.65299508960146024</v>
      </c>
      <c r="F256" cm="1">
        <f t="array" ref="F256">(PRODUCT(1+sp500_monthly!K257:K376)^(1/120)-1)*100</f>
        <v>0.8627914645158663</v>
      </c>
      <c r="G256" cm="1">
        <f t="array" ref="G256">(PRODUCT(1+sp500_monthly!L257:L376)^(1/120)-1)</f>
        <v>0.11440316003386863</v>
      </c>
      <c r="H256" cm="1">
        <f t="array" ref="H256">(PRODUCT(1+sp500_monthly!N257:N376)^(1/120)-1)*100</f>
        <v>0.34495029598844429</v>
      </c>
      <c r="I256" cm="1">
        <f t="array" ref="I256">(PRODUCT(1+sp500_monthly!O257:O376)^(1/120)-1)*100</f>
        <v>1.1799186564775965E-2</v>
      </c>
    </row>
    <row r="257" spans="1:9" x14ac:dyDescent="0.35">
      <c r="A257" s="1">
        <v>20940</v>
      </c>
      <c r="B257" cm="1">
        <f t="array" ref="B257">(PRODUCT(1+sp500_monthly!B258:B377)^(1/120)-1)*100</f>
        <v>1.3702571110202344</v>
      </c>
      <c r="C257" cm="1">
        <f t="array" ref="C257">(PRODUCT(1+sp500_monthly!C258:C377)^(1/120)-1)*100</f>
        <v>0.88203289320500922</v>
      </c>
      <c r="D257" cm="1">
        <f t="array" ref="D257">(PRODUCT(1+sp500_monthly!D258:D377)^(1/120)-1)*100</f>
        <v>1.1698529564228011</v>
      </c>
      <c r="E257" cm="1">
        <f t="array" ref="E257">(PRODUCT(1+sp500_monthly!E258:E377)^(1/120)-1)*100</f>
        <v>0.69504373451099166</v>
      </c>
      <c r="F257" cm="1">
        <f t="array" ref="F257">(PRODUCT(1+sp500_monthly!K258:K377)^(1/120)-1)*100</f>
        <v>0.89343489499296158</v>
      </c>
      <c r="G257" cm="1">
        <f t="array" ref="G257">(PRODUCT(1+sp500_monthly!L258:L377)^(1/120)-1)</f>
        <v>0.11605235265791092</v>
      </c>
      <c r="H257" cm="1">
        <f t="array" ref="H257">(PRODUCT(1+sp500_monthly!N258:N377)^(1/120)-1)*100</f>
        <v>0.36283973198378838</v>
      </c>
      <c r="I257" cm="1">
        <f t="array" ref="I257">(PRODUCT(1+sp500_monthly!O258:O377)^(1/120)-1)*100</f>
        <v>1.1917043366715951E-2</v>
      </c>
    </row>
    <row r="258" spans="1:9" x14ac:dyDescent="0.35">
      <c r="A258" s="1">
        <v>20971</v>
      </c>
      <c r="B258" cm="1">
        <f t="array" ref="B258">(PRODUCT(1+sp500_monthly!B259:B378)^(1/120)-1)*100</f>
        <v>1.4428061630974875</v>
      </c>
      <c r="C258" cm="1">
        <f t="array" ref="C258">(PRODUCT(1+sp500_monthly!C259:C378)^(1/120)-1)*100</f>
        <v>0.95423063875530456</v>
      </c>
      <c r="D258" cm="1">
        <f t="array" ref="D258">(PRODUCT(1+sp500_monthly!D259:D378)^(1/120)-1)*100</f>
        <v>1.2504781340618054</v>
      </c>
      <c r="E258" cm="1">
        <f t="array" ref="E258">(PRODUCT(1+sp500_monthly!E259:E378)^(1/120)-1)*100</f>
        <v>0.77525603660211218</v>
      </c>
      <c r="F258" cm="1">
        <f t="array" ref="F258">(PRODUCT(1+sp500_monthly!K259:K378)^(1/120)-1)*100</f>
        <v>0.95731740871651816</v>
      </c>
      <c r="G258" cm="1">
        <f t="array" ref="G258">(PRODUCT(1+sp500_monthly!L259:L378)^(1/120)-1)</f>
        <v>0.11785422828765624</v>
      </c>
      <c r="H258" cm="1">
        <f t="array" ref="H258">(PRODUCT(1+sp500_monthly!N259:N378)^(1/120)-1)*100</f>
        <v>0.39879125631148149</v>
      </c>
      <c r="I258" cm="1">
        <f t="array" ref="I258">(PRODUCT(1+sp500_monthly!O259:O378)^(1/120)-1)*100</f>
        <v>1.1906599283761921E-2</v>
      </c>
    </row>
    <row r="259" spans="1:9" x14ac:dyDescent="0.35">
      <c r="A259" s="1">
        <v>20999</v>
      </c>
      <c r="B259" cm="1">
        <f t="array" ref="B259">(PRODUCT(1+sp500_monthly!B260:B379)^(1/120)-1)*100</f>
        <v>1.4757746442013886</v>
      </c>
      <c r="C259" cm="1">
        <f t="array" ref="C259">(PRODUCT(1+sp500_monthly!C260:C379)^(1/120)-1)*100</f>
        <v>0.99057542024134637</v>
      </c>
      <c r="D259" cm="1">
        <f t="array" ref="D259">(PRODUCT(1+sp500_monthly!D260:D379)^(1/120)-1)*100</f>
        <v>1.286202944863879</v>
      </c>
      <c r="E259" cm="1">
        <f t="array" ref="E259">(PRODUCT(1+sp500_monthly!E260:E379)^(1/120)-1)*100</f>
        <v>0.8127070264388303</v>
      </c>
      <c r="F259" cm="1">
        <f t="array" ref="F259">(PRODUCT(1+sp500_monthly!K260:K379)^(1/120)-1)*100</f>
        <v>0.99538361485489446</v>
      </c>
      <c r="G259" cm="1">
        <f t="array" ref="G259">(PRODUCT(1+sp500_monthly!L260:L379)^(1/120)-1)</f>
        <v>0.11973336247011113</v>
      </c>
      <c r="H259" cm="1">
        <f t="array" ref="H259">(PRODUCT(1+sp500_monthly!N260:N379)^(1/120)-1)*100</f>
        <v>0.4284965689133946</v>
      </c>
      <c r="I259" cm="1">
        <f t="array" ref="I259">(PRODUCT(1+sp500_monthly!O260:O379)^(1/120)-1)*100</f>
        <v>1.19845216151937E-2</v>
      </c>
    </row>
    <row r="260" spans="1:9" x14ac:dyDescent="0.35">
      <c r="A260" s="1">
        <v>21032</v>
      </c>
      <c r="B260" cm="1">
        <f t="array" ref="B260">(PRODUCT(1+sp500_monthly!B261:B380)^(1/120)-1)*100</f>
        <v>1.4307216586563198</v>
      </c>
      <c r="C260" cm="1">
        <f t="array" ref="C260">(PRODUCT(1+sp500_monthly!C261:C380)^(1/120)-1)*100</f>
        <v>0.94573448388126646</v>
      </c>
      <c r="D260" cm="1">
        <f t="array" ref="D260">(PRODUCT(1+sp500_monthly!D261:D380)^(1/120)-1)*100</f>
        <v>1.2378805436674689</v>
      </c>
      <c r="E260" cm="1">
        <f t="array" ref="E260">(PRODUCT(1+sp500_monthly!E261:E380)^(1/120)-1)*100</f>
        <v>0.76410040754770758</v>
      </c>
      <c r="F260" cm="1">
        <f t="array" ref="F260">(PRODUCT(1+sp500_monthly!K261:K380)^(1/120)-1)*100</f>
        <v>0.95118731857395389</v>
      </c>
      <c r="G260" cm="1">
        <f t="array" ref="G260">(PRODUCT(1+sp500_monthly!L261:L380)^(1/120)-1)</f>
        <v>0.12146611353814074</v>
      </c>
      <c r="H260" cm="1">
        <f t="array" ref="H260">(PRODUCT(1+sp500_monthly!N261:N380)^(1/120)-1)*100</f>
        <v>0.42462502174616112</v>
      </c>
      <c r="I260" cm="1">
        <f t="array" ref="I260">(PRODUCT(1+sp500_monthly!O261:O380)^(1/120)-1)*100</f>
        <v>1.0714585713245128E-2</v>
      </c>
    </row>
    <row r="261" spans="1:9" x14ac:dyDescent="0.35">
      <c r="A261" s="1">
        <v>21062</v>
      </c>
      <c r="B261" cm="1">
        <f t="array" ref="B261">(PRODUCT(1+sp500_monthly!B262:B381)^(1/120)-1)*100</f>
        <v>1.40611984401946</v>
      </c>
      <c r="C261" cm="1">
        <f t="array" ref="C261">(PRODUCT(1+sp500_monthly!C262:C381)^(1/120)-1)*100</f>
        <v>0.92094879751825065</v>
      </c>
      <c r="D261" cm="1">
        <f t="array" ref="D261">(PRODUCT(1+sp500_monthly!D262:D381)^(1/120)-1)*100</f>
        <v>1.1950046889888766</v>
      </c>
      <c r="E261" cm="1">
        <f t="array" ref="E261">(PRODUCT(1+sp500_monthly!E262:E381)^(1/120)-1)*100</f>
        <v>0.72126030752877046</v>
      </c>
      <c r="F261" cm="1">
        <f t="array" ref="F261">(PRODUCT(1+sp500_monthly!K262:K381)^(1/120)-1)*100</f>
        <v>0.93084260458518031</v>
      </c>
      <c r="G261" cm="1">
        <f t="array" ref="G261">(PRODUCT(1+sp500_monthly!L262:L381)^(1/120)-1)</f>
        <v>0.1236439206853488</v>
      </c>
      <c r="H261" cm="1">
        <f t="array" ref="H261">(PRODUCT(1+sp500_monthly!N262:N381)^(1/120)-1)*100</f>
        <v>0.43036435616774504</v>
      </c>
      <c r="I261" cm="1">
        <f t="array" ref="I261">(PRODUCT(1+sp500_monthly!O262:O381)^(1/120)-1)*100</f>
        <v>1.0842590152337905E-2</v>
      </c>
    </row>
    <row r="262" spans="1:9" x14ac:dyDescent="0.35">
      <c r="A262" s="1">
        <v>21093</v>
      </c>
      <c r="B262" cm="1">
        <f t="array" ref="B262">(PRODUCT(1+sp500_monthly!B263:B382)^(1/120)-1)*100</f>
        <v>1.383396692155503</v>
      </c>
      <c r="C262" cm="1">
        <f t="array" ref="C262">(PRODUCT(1+sp500_monthly!C263:C382)^(1/120)-1)*100</f>
        <v>0.89898435938391419</v>
      </c>
      <c r="D262" cm="1">
        <f t="array" ref="D262">(PRODUCT(1+sp500_monthly!D263:D382)^(1/120)-1)*100</f>
        <v>1.1710550518484242</v>
      </c>
      <c r="E262" cm="1">
        <f t="array" ref="E262">(PRODUCT(1+sp500_monthly!E263:E382)^(1/120)-1)*100</f>
        <v>0.69739406282987026</v>
      </c>
      <c r="F262" cm="1">
        <f t="array" ref="F262">(PRODUCT(1+sp500_monthly!K263:K382)^(1/120)-1)*100</f>
        <v>0.90605980781190976</v>
      </c>
      <c r="G262" cm="1">
        <f t="array" ref="G262">(PRODUCT(1+sp500_monthly!L263:L382)^(1/120)-1)</f>
        <v>0.12545805296361734</v>
      </c>
      <c r="H262" cm="1">
        <f t="array" ref="H262">(PRODUCT(1+sp500_monthly!N263:N382)^(1/120)-1)*100</f>
        <v>0.38566049302364291</v>
      </c>
      <c r="I262" cm="1">
        <f t="array" ref="I262">(PRODUCT(1+sp500_monthly!O263:O382)^(1/120)-1)*100</f>
        <v>1.0266982984852291E-2</v>
      </c>
    </row>
    <row r="263" spans="1:9" x14ac:dyDescent="0.35">
      <c r="A263" s="1">
        <v>21124</v>
      </c>
      <c r="B263" cm="1">
        <f t="array" ref="B263">(PRODUCT(1+sp500_monthly!B264:B383)^(1/120)-1)*100</f>
        <v>1.3414630966227747</v>
      </c>
      <c r="C263" cm="1">
        <f t="array" ref="C263">(PRODUCT(1+sp500_monthly!C264:C383)^(1/120)-1)*100</f>
        <v>0.85801178972417791</v>
      </c>
      <c r="D263" cm="1">
        <f t="array" ref="D263">(PRODUCT(1+sp500_monthly!D264:D383)^(1/120)-1)*100</f>
        <v>1.1296543128756387</v>
      </c>
      <c r="E263" cm="1">
        <f t="array" ref="E263">(PRODUCT(1+sp500_monthly!E264:E383)^(1/120)-1)*100</f>
        <v>0.6563062535833053</v>
      </c>
      <c r="F263" cm="1">
        <f t="array" ref="F263">(PRODUCT(1+sp500_monthly!K264:K383)^(1/120)-1)*100</f>
        <v>0.86392584390597715</v>
      </c>
      <c r="G263" cm="1">
        <f t="array" ref="G263">(PRODUCT(1+sp500_monthly!L264:L383)^(1/120)-1)</f>
        <v>0.1270802821075836</v>
      </c>
      <c r="H263" cm="1">
        <f t="array" ref="H263">(PRODUCT(1+sp500_monthly!N264:N383)^(1/120)-1)*100</f>
        <v>0.3346148271808902</v>
      </c>
      <c r="I263" cm="1">
        <f t="array" ref="I263">(PRODUCT(1+sp500_monthly!O264:O383)^(1/120)-1)*100</f>
        <v>1.1253087453710897E-2</v>
      </c>
    </row>
    <row r="264" spans="1:9" x14ac:dyDescent="0.35">
      <c r="A264" s="1">
        <v>21153</v>
      </c>
      <c r="B264" cm="1">
        <f t="array" ref="B264">(PRODUCT(1+sp500_monthly!B265:B384)^(1/120)-1)*100</f>
        <v>1.2908242069689546</v>
      </c>
      <c r="C264" cm="1">
        <f t="array" ref="C264">(PRODUCT(1+sp500_monthly!C265:C384)^(1/120)-1)*100</f>
        <v>0.8071231523591349</v>
      </c>
      <c r="D264" cm="1">
        <f t="array" ref="D264">(PRODUCT(1+sp500_monthly!D265:D384)^(1/120)-1)*100</f>
        <v>1.0717676070344462</v>
      </c>
      <c r="E264" cm="1">
        <f t="array" ref="E264">(PRODUCT(1+sp500_monthly!E265:E384)^(1/120)-1)*100</f>
        <v>0.59768901641095162</v>
      </c>
      <c r="F264" cm="1">
        <f t="array" ref="F264">(PRODUCT(1+sp500_monthly!K265:K384)^(1/120)-1)*100</f>
        <v>0.81893204616036996</v>
      </c>
      <c r="G264" cm="1">
        <f t="array" ref="G264">(PRODUCT(1+sp500_monthly!L265:L384)^(1/120)-1)</f>
        <v>0.12892619611261424</v>
      </c>
      <c r="H264" cm="1">
        <f t="array" ref="H264">(PRODUCT(1+sp500_monthly!N265:N384)^(1/120)-1)*100</f>
        <v>0.30150305627023588</v>
      </c>
      <c r="I264" cm="1">
        <f t="array" ref="I264">(PRODUCT(1+sp500_monthly!O265:O384)^(1/120)-1)*100</f>
        <v>1.366655739021283E-2</v>
      </c>
    </row>
    <row r="265" spans="1:9" x14ac:dyDescent="0.35">
      <c r="A265" s="1">
        <v>21185</v>
      </c>
      <c r="B265" cm="1">
        <f t="array" ref="B265">(PRODUCT(1+sp500_monthly!B266:B385)^(1/120)-1)*100</f>
        <v>1.3256208447665729</v>
      </c>
      <c r="C265" cm="1">
        <f t="array" ref="C265">(PRODUCT(1+sp500_monthly!C266:C385)^(1/120)-1)*100</f>
        <v>0.84606673493055062</v>
      </c>
      <c r="D265" cm="1">
        <f t="array" ref="D265">(PRODUCT(1+sp500_monthly!D266:D385)^(1/120)-1)*100</f>
        <v>1.1250378499449321</v>
      </c>
      <c r="E265" cm="1">
        <f t="array" ref="E265">(PRODUCT(1+sp500_monthly!E266:E385)^(1/120)-1)*100</f>
        <v>0.65365571526239119</v>
      </c>
      <c r="F265" cm="1">
        <f t="array" ref="F265">(PRODUCT(1+sp500_monthly!K266:K385)^(1/120)-1)*100</f>
        <v>0.85664257221782503</v>
      </c>
      <c r="G265" cm="1">
        <f t="array" ref="G265">(PRODUCT(1+sp500_monthly!L266:L385)^(1/120)-1)</f>
        <v>0.13070180361297479</v>
      </c>
      <c r="H265" cm="1">
        <f t="array" ref="H265">(PRODUCT(1+sp500_monthly!N266:N385)^(1/120)-1)*100</f>
        <v>0.31843330448617646</v>
      </c>
      <c r="I265" cm="1">
        <f t="array" ref="I265">(PRODUCT(1+sp500_monthly!O266:O385)^(1/120)-1)*100</f>
        <v>1.3352481850370523E-2</v>
      </c>
    </row>
    <row r="266" spans="1:9" x14ac:dyDescent="0.35">
      <c r="A266" s="1">
        <v>21216</v>
      </c>
      <c r="B266" cm="1">
        <f t="array" ref="B266">(PRODUCT(1+sp500_monthly!B267:B386)^(1/120)-1)*100</f>
        <v>1.2678311866320957</v>
      </c>
      <c r="C266" cm="1">
        <f t="array" ref="C266">(PRODUCT(1+sp500_monthly!C267:C386)^(1/120)-1)*100</f>
        <v>0.78990689955147353</v>
      </c>
      <c r="D266" cm="1">
        <f t="array" ref="D266">(PRODUCT(1+sp500_monthly!D267:D386)^(1/120)-1)*100</f>
        <v>1.0498645156372888</v>
      </c>
      <c r="E266" cm="1">
        <f t="array" ref="E266">(PRODUCT(1+sp500_monthly!E267:E386)^(1/120)-1)*100</f>
        <v>0.57983158444907534</v>
      </c>
      <c r="F266" cm="1">
        <f t="array" ref="F266">(PRODUCT(1+sp500_monthly!K267:K386)^(1/120)-1)*100</f>
        <v>0.80385763489123629</v>
      </c>
      <c r="G266" cm="1">
        <f t="array" ref="G266">(PRODUCT(1+sp500_monthly!L267:L386)^(1/120)-1)</f>
        <v>0.13200427684786109</v>
      </c>
      <c r="H266" cm="1">
        <f t="array" ref="H266">(PRODUCT(1+sp500_monthly!N267:N386)^(1/120)-1)*100</f>
        <v>0.28479057062060775</v>
      </c>
      <c r="I266" cm="1">
        <f t="array" ref="I266">(PRODUCT(1+sp500_monthly!O267:O386)^(1/120)-1)*100</f>
        <v>1.3592030098474872E-2</v>
      </c>
    </row>
    <row r="267" spans="1:9" x14ac:dyDescent="0.35">
      <c r="A267" s="1">
        <v>21244</v>
      </c>
      <c r="B267" cm="1">
        <f t="array" ref="B267">(PRODUCT(1+sp500_monthly!B268:B387)^(1/120)-1)*100</f>
        <v>1.3378873184943796</v>
      </c>
      <c r="C267" cm="1">
        <f t="array" ref="C267">(PRODUCT(1+sp500_monthly!C268:C387)^(1/120)-1)*100</f>
        <v>0.85969240459744523</v>
      </c>
      <c r="D267" cm="1">
        <f t="array" ref="D267">(PRODUCT(1+sp500_monthly!D268:D387)^(1/120)-1)*100</f>
        <v>1.1450279571320943</v>
      </c>
      <c r="E267" cm="1">
        <f t="array" ref="E267">(PRODUCT(1+sp500_monthly!E268:E387)^(1/120)-1)*100</f>
        <v>0.67468260655507706</v>
      </c>
      <c r="F267" cm="1">
        <f t="array" ref="F267">(PRODUCT(1+sp500_monthly!K268:K387)^(1/120)-1)*100</f>
        <v>0.87323249116526558</v>
      </c>
      <c r="G267" cm="1">
        <f t="array" ref="G267">(PRODUCT(1+sp500_monthly!L268:L387)^(1/120)-1)</f>
        <v>0.13369601291116706</v>
      </c>
      <c r="H267" cm="1">
        <f t="array" ref="H267">(PRODUCT(1+sp500_monthly!N268:N387)^(1/120)-1)*100</f>
        <v>0.31701977171867401</v>
      </c>
      <c r="I267" cm="1">
        <f t="array" ref="I267">(PRODUCT(1+sp500_monthly!O268:O387)^(1/120)-1)*100</f>
        <v>1.0960579176266805E-2</v>
      </c>
    </row>
    <row r="268" spans="1:9" x14ac:dyDescent="0.35">
      <c r="A268" s="1">
        <v>21275</v>
      </c>
      <c r="B268" cm="1">
        <f t="array" ref="B268">(PRODUCT(1+sp500_monthly!B269:B388)^(1/120)-1)*100</f>
        <v>1.360567765618903</v>
      </c>
      <c r="C268" cm="1">
        <f t="array" ref="C268">(PRODUCT(1+sp500_monthly!C269:C388)^(1/120)-1)*100</f>
        <v>0.88361970832018244</v>
      </c>
      <c r="D268" cm="1">
        <f t="array" ref="D268">(PRODUCT(1+sp500_monthly!D269:D388)^(1/120)-1)*100</f>
        <v>1.1763585411611821</v>
      </c>
      <c r="E268" cm="1">
        <f t="array" ref="E268">(PRODUCT(1+sp500_monthly!E269:E388)^(1/120)-1)*100</f>
        <v>0.70703042148803075</v>
      </c>
      <c r="F268" cm="1">
        <f t="array" ref="F268">(PRODUCT(1+sp500_monthly!K269:K388)^(1/120)-1)*100</f>
        <v>0.89615879099964602</v>
      </c>
      <c r="G268" cm="1">
        <f t="array" ref="G268">(PRODUCT(1+sp500_monthly!L269:L388)^(1/120)-1)</f>
        <v>0.13412756118162483</v>
      </c>
      <c r="H268" cm="1">
        <f t="array" ref="H268">(PRODUCT(1+sp500_monthly!N269:N388)^(1/120)-1)*100</f>
        <v>0.30339241388048777</v>
      </c>
      <c r="I268" cm="1">
        <f t="array" ref="I268">(PRODUCT(1+sp500_monthly!O269:O388)^(1/120)-1)*100</f>
        <v>1.0215916923228541E-2</v>
      </c>
    </row>
    <row r="269" spans="1:9" x14ac:dyDescent="0.35">
      <c r="A269" s="1">
        <v>21305</v>
      </c>
      <c r="B269" cm="1">
        <f t="array" ref="B269">(PRODUCT(1+sp500_monthly!B270:B389)^(1/120)-1)*100</f>
        <v>1.3219094964860734</v>
      </c>
      <c r="C269" cm="1">
        <f t="array" ref="C269">(PRODUCT(1+sp500_monthly!C270:C389)^(1/120)-1)*100</f>
        <v>0.8458816948771597</v>
      </c>
      <c r="D269" cm="1">
        <f t="array" ref="D269">(PRODUCT(1+sp500_monthly!D270:D389)^(1/120)-1)*100</f>
        <v>1.1280353992130454</v>
      </c>
      <c r="E269" cm="1">
        <f t="array" ref="E269">(PRODUCT(1+sp500_monthly!E270:E389)^(1/120)-1)*100</f>
        <v>0.65939991060350867</v>
      </c>
      <c r="F269" cm="1">
        <f t="array" ref="F269">(PRODUCT(1+sp500_monthly!K270:K389)^(1/120)-1)*100</f>
        <v>0.8592320731801939</v>
      </c>
      <c r="G269" cm="1">
        <f t="array" ref="G269">(PRODUCT(1+sp500_monthly!L270:L389)^(1/120)-1)</f>
        <v>0.13412756118162483</v>
      </c>
      <c r="H269" cm="1">
        <f t="array" ref="H269">(PRODUCT(1+sp500_monthly!N270:N389)^(1/120)-1)*100</f>
        <v>0.32563854258917946</v>
      </c>
      <c r="I269" cm="1">
        <f t="array" ref="I269">(PRODUCT(1+sp500_monthly!O270:O389)^(1/120)-1)*100</f>
        <v>6.0436813683395485E-3</v>
      </c>
    </row>
    <row r="270" spans="1:9" x14ac:dyDescent="0.35">
      <c r="A270" s="1">
        <v>21334</v>
      </c>
      <c r="B270" cm="1">
        <f t="array" ref="B270">(PRODUCT(1+sp500_monthly!B271:B390)^(1/120)-1)*100</f>
        <v>1.3241100392487049</v>
      </c>
      <c r="C270" cm="1">
        <f t="array" ref="C270">(PRODUCT(1+sp500_monthly!C271:C390)^(1/120)-1)*100</f>
        <v>0.84873742503728256</v>
      </c>
      <c r="D270" cm="1">
        <f t="array" ref="D270">(PRODUCT(1+sp500_monthly!D271:D390)^(1/120)-1)*100</f>
        <v>1.1268486259676136</v>
      </c>
      <c r="E270" cm="1">
        <f t="array" ref="E270">(PRODUCT(1+sp500_monthly!E271:E390)^(1/120)-1)*100</f>
        <v>0.65799289030301633</v>
      </c>
      <c r="F270" cm="1">
        <f t="array" ref="F270">(PRODUCT(1+sp500_monthly!K271:K390)^(1/120)-1)*100</f>
        <v>0.86356377089078507</v>
      </c>
      <c r="G270" cm="1">
        <f t="array" ref="G270">(PRODUCT(1+sp500_monthly!L271:L390)^(1/120)-1)</f>
        <v>0.13412756118162483</v>
      </c>
      <c r="H270" cm="1">
        <f t="array" ref="H270">(PRODUCT(1+sp500_monthly!N271:N390)^(1/120)-1)*100</f>
        <v>0.35117468031171661</v>
      </c>
      <c r="I270" cm="1">
        <f t="array" ref="I270">(PRODUCT(1+sp500_monthly!O271:O390)^(1/120)-1)*100</f>
        <v>4.691902679976323E-3</v>
      </c>
    </row>
    <row r="271" spans="1:9" x14ac:dyDescent="0.35">
      <c r="A271" s="1">
        <v>21366</v>
      </c>
      <c r="B271" cm="1">
        <f t="array" ref="B271">(PRODUCT(1+sp500_monthly!B272:B391)^(1/120)-1)*100</f>
        <v>1.2738136169204273</v>
      </c>
      <c r="C271" cm="1">
        <f t="array" ref="C271">(PRODUCT(1+sp500_monthly!C272:C391)^(1/120)-1)*100</f>
        <v>0.79892975301714131</v>
      </c>
      <c r="D271" cm="1">
        <f t="array" ref="D271">(PRODUCT(1+sp500_monthly!D272:D391)^(1/120)-1)*100</f>
        <v>1.0923141923783852</v>
      </c>
      <c r="E271" cm="1">
        <f t="array" ref="E271">(PRODUCT(1+sp500_monthly!E272:E391)^(1/120)-1)*100</f>
        <v>0.62488989389284377</v>
      </c>
      <c r="F271" cm="1">
        <f t="array" ref="F271">(PRODUCT(1+sp500_monthly!K272:K391)^(1/120)-1)*100</f>
        <v>0.81280152547018591</v>
      </c>
      <c r="G271" cm="1">
        <f t="array" ref="G271">(PRODUCT(1+sp500_monthly!L272:L391)^(1/120)-1)</f>
        <v>0.13438654017761853</v>
      </c>
      <c r="H271" cm="1">
        <f t="array" ref="H271">(PRODUCT(1+sp500_monthly!N272:N391)^(1/120)-1)*100</f>
        <v>0.36881215826956026</v>
      </c>
      <c r="I271" cm="1">
        <f t="array" ref="I271">(PRODUCT(1+sp500_monthly!O272:O391)^(1/120)-1)*100</f>
        <v>5.6081127318474699E-3</v>
      </c>
    </row>
    <row r="272" spans="1:9" x14ac:dyDescent="0.35">
      <c r="A272" s="1">
        <v>21397</v>
      </c>
      <c r="B272" cm="1">
        <f t="array" ref="B272">(PRODUCT(1+sp500_monthly!B273:B392)^(1/120)-1)*100</f>
        <v>1.290674956926785</v>
      </c>
      <c r="C272" cm="1">
        <f t="array" ref="C272">(PRODUCT(1+sp500_monthly!C273:C392)^(1/120)-1)*100</f>
        <v>0.8164970932090565</v>
      </c>
      <c r="D272" cm="1">
        <f t="array" ref="D272">(PRODUCT(1+sp500_monthly!D273:D392)^(1/120)-1)*100</f>
        <v>1.1059271545351912</v>
      </c>
      <c r="E272" cm="1">
        <f t="array" ref="E272">(PRODUCT(1+sp500_monthly!E273:E392)^(1/120)-1)*100</f>
        <v>0.6388794836179601</v>
      </c>
      <c r="F272" cm="1">
        <f t="array" ref="F272">(PRODUCT(1+sp500_monthly!K273:K392)^(1/120)-1)*100</f>
        <v>0.831921746283526</v>
      </c>
      <c r="G272" cm="1">
        <f t="array" ref="G272">(PRODUCT(1+sp500_monthly!L273:L392)^(1/120)-1)</f>
        <v>0.13385143549791878</v>
      </c>
      <c r="H272" cm="1">
        <f t="array" ref="H272">(PRODUCT(1+sp500_monthly!N273:N392)^(1/120)-1)*100</f>
        <v>0.39277839648930168</v>
      </c>
      <c r="I272" cm="1">
        <f t="array" ref="I272">(PRODUCT(1+sp500_monthly!O273:O392)^(1/120)-1)*100</f>
        <v>6.7224482495742421E-3</v>
      </c>
    </row>
    <row r="273" spans="1:9" x14ac:dyDescent="0.35">
      <c r="A273" s="1">
        <v>21426</v>
      </c>
      <c r="B273" cm="1">
        <f t="array" ref="B273">(PRODUCT(1+sp500_monthly!B274:B393)^(1/120)-1)*100</f>
        <v>1.3723601772284377</v>
      </c>
      <c r="C273" cm="1">
        <f t="array" ref="C273">(PRODUCT(1+sp500_monthly!C274:C393)^(1/120)-1)*100</f>
        <v>0.8973097510078798</v>
      </c>
      <c r="D273" cm="1">
        <f t="array" ref="D273">(PRODUCT(1+sp500_monthly!D274:D393)^(1/120)-1)*100</f>
        <v>1.1947970713314326</v>
      </c>
      <c r="E273" cm="1">
        <f t="array" ref="E273">(PRODUCT(1+sp500_monthly!E274:E393)^(1/120)-1)*100</f>
        <v>0.7272618851584145</v>
      </c>
      <c r="F273" cm="1">
        <f t="array" ref="F273">(PRODUCT(1+sp500_monthly!K274:K393)^(1/120)-1)*100</f>
        <v>0.91331873088851268</v>
      </c>
      <c r="G273" cm="1">
        <f t="array" ref="G273">(PRODUCT(1+sp500_monthly!L274:L393)^(1/120)-1)</f>
        <v>0.13376354281073288</v>
      </c>
      <c r="H273" cm="1">
        <f t="array" ref="H273">(PRODUCT(1+sp500_monthly!N274:N393)^(1/120)-1)*100</f>
        <v>0.42935581837921788</v>
      </c>
      <c r="I273" cm="1">
        <f t="array" ref="I273">(PRODUCT(1+sp500_monthly!O274:O393)^(1/120)-1)*100</f>
        <v>7.882363498756817E-3</v>
      </c>
    </row>
    <row r="274" spans="1:9" x14ac:dyDescent="0.35">
      <c r="A274" s="1">
        <v>21458</v>
      </c>
      <c r="B274" cm="1">
        <f t="array" ref="B274">(PRODUCT(1+sp500_monthly!B275:B394)^(1/120)-1)*100</f>
        <v>1.3744040587266859</v>
      </c>
      <c r="C274" cm="1">
        <f t="array" ref="C274">(PRODUCT(1+sp500_monthly!C275:C394)^(1/120)-1)*100</f>
        <v>0.90159170405683664</v>
      </c>
      <c r="D274" cm="1">
        <f t="array" ref="D274">(PRODUCT(1+sp500_monthly!D275:D394)^(1/120)-1)*100</f>
        <v>1.2042337482197851</v>
      </c>
      <c r="E274" cm="1">
        <f t="array" ref="E274">(PRODUCT(1+sp500_monthly!E275:E394)^(1/120)-1)*100</f>
        <v>0.73856568112824483</v>
      </c>
      <c r="F274" cm="1">
        <f t="array" ref="F274">(PRODUCT(1+sp500_monthly!K275:K394)^(1/120)-1)*100</f>
        <v>0.91689672269228417</v>
      </c>
      <c r="G274" cm="1">
        <f t="array" ref="G274">(PRODUCT(1+sp500_monthly!L275:L394)^(1/120)-1)</f>
        <v>0.13331997863899581</v>
      </c>
      <c r="H274" cm="1">
        <f t="array" ref="H274">(PRODUCT(1+sp500_monthly!N275:N394)^(1/120)-1)*100</f>
        <v>0.442839137697848</v>
      </c>
      <c r="I274" cm="1">
        <f t="array" ref="I274">(PRODUCT(1+sp500_monthly!O275:O394)^(1/120)-1)*100</f>
        <v>6.774543398746502E-3</v>
      </c>
    </row>
    <row r="275" spans="1:9" x14ac:dyDescent="0.35">
      <c r="A275" s="1">
        <v>21489</v>
      </c>
      <c r="B275" cm="1">
        <f t="array" ref="B275">(PRODUCT(1+sp500_monthly!B276:B395)^(1/120)-1)*100</f>
        <v>1.4394520632219576</v>
      </c>
      <c r="C275" cm="1">
        <f t="array" ref="C275">(PRODUCT(1+sp500_monthly!C276:C395)^(1/120)-1)*100</f>
        <v>0.96761509414478031</v>
      </c>
      <c r="D275" cm="1">
        <f t="array" ref="D275">(PRODUCT(1+sp500_monthly!D276:D395)^(1/120)-1)*100</f>
        <v>1.280176276307543</v>
      </c>
      <c r="E275" cm="1">
        <f t="array" ref="E275">(PRODUCT(1+sp500_monthly!E276:E395)^(1/120)-1)*100</f>
        <v>0.81498218752960039</v>
      </c>
      <c r="F275" cm="1">
        <f t="array" ref="F275">(PRODUCT(1+sp500_monthly!K276:K395)^(1/120)-1)*100</f>
        <v>0.98231222826841158</v>
      </c>
      <c r="G275" cm="1">
        <f t="array" ref="G275">(PRODUCT(1+sp500_monthly!L276:L395)^(1/120)-1)</f>
        <v>0.13459315275146055</v>
      </c>
      <c r="H275" cm="1">
        <f t="array" ref="H275">(PRODUCT(1+sp500_monthly!N276:N395)^(1/120)-1)*100</f>
        <v>0.48522169217504185</v>
      </c>
      <c r="I275" cm="1">
        <f t="array" ref="I275">(PRODUCT(1+sp500_monthly!O276:O395)^(1/120)-1)*100</f>
        <v>9.2208744152166844E-3</v>
      </c>
    </row>
    <row r="276" spans="1:9" x14ac:dyDescent="0.35">
      <c r="A276" s="1">
        <v>21517</v>
      </c>
      <c r="B276" cm="1">
        <f t="array" ref="B276">(PRODUCT(1+sp500_monthly!B277:B396)^(1/120)-1)*100</f>
        <v>1.4050573878088501</v>
      </c>
      <c r="C276" cm="1">
        <f t="array" ref="C276">(PRODUCT(1+sp500_monthly!C277:C396)^(1/120)-1)*100</f>
        <v>0.93453368263975989</v>
      </c>
      <c r="D276" cm="1">
        <f t="array" ref="D276">(PRODUCT(1+sp500_monthly!D277:D396)^(1/120)-1)*100</f>
        <v>1.2548810942511146</v>
      </c>
      <c r="E276" cm="1">
        <f t="array" ref="E276">(PRODUCT(1+sp500_monthly!E277:E396)^(1/120)-1)*100</f>
        <v>0.79036747051328682</v>
      </c>
      <c r="F276" cm="1">
        <f t="array" ref="F276">(PRODUCT(1+sp500_monthly!K277:K396)^(1/120)-1)*100</f>
        <v>0.94820799551906809</v>
      </c>
      <c r="G276" cm="1">
        <f t="array" ref="G276">(PRODUCT(1+sp500_monthly!L277:L396)^(1/120)-1)</f>
        <v>0.13578788130241715</v>
      </c>
      <c r="H276" cm="1">
        <f t="array" ref="H276">(PRODUCT(1+sp500_monthly!N277:N396)^(1/120)-1)*100</f>
        <v>0.50783520208175226</v>
      </c>
      <c r="I276" cm="1">
        <f t="array" ref="I276">(PRODUCT(1+sp500_monthly!O277:O396)^(1/120)-1)*100</f>
        <v>1.0719675452675048E-2</v>
      </c>
    </row>
    <row r="277" spans="1:9" x14ac:dyDescent="0.35">
      <c r="A277" s="1">
        <v>21550</v>
      </c>
      <c r="B277" cm="1">
        <f t="array" ref="B277">(PRODUCT(1+sp500_monthly!B278:B397)^(1/120)-1)*100</f>
        <v>1.5164309024111144</v>
      </c>
      <c r="C277" cm="1">
        <f t="array" ref="C277">(PRODUCT(1+sp500_monthly!C278:C397)^(1/120)-1)*100</f>
        <v>1.0520065496350428</v>
      </c>
      <c r="D277" cm="1">
        <f t="array" ref="D277">(PRODUCT(1+sp500_monthly!D278:D397)^(1/120)-1)*100</f>
        <v>1.3852144878428563</v>
      </c>
      <c r="E277" cm="1">
        <f t="array" ref="E277">(PRODUCT(1+sp500_monthly!E278:E397)^(1/120)-1)*100</f>
        <v>0.92595885045523296</v>
      </c>
      <c r="F277" cm="1">
        <f t="array" ref="F277">(PRODUCT(1+sp500_monthly!K278:K397)^(1/120)-1)*100</f>
        <v>1.0632668967886172</v>
      </c>
      <c r="G277" cm="1">
        <f t="array" ref="G277">(PRODUCT(1+sp500_monthly!L278:L397)^(1/120)-1)</f>
        <v>0.13640458558598723</v>
      </c>
      <c r="H277" cm="1">
        <f t="array" ref="H277">(PRODUCT(1+sp500_monthly!N278:N397)^(1/120)-1)*100</f>
        <v>0.53031171374626762</v>
      </c>
      <c r="I277" cm="1">
        <f t="array" ref="I277">(PRODUCT(1+sp500_monthly!O278:O397)^(1/120)-1)*100</f>
        <v>1.0483606638622689E-2</v>
      </c>
    </row>
    <row r="278" spans="1:9" x14ac:dyDescent="0.35">
      <c r="A278" s="1">
        <v>21580</v>
      </c>
      <c r="B278" cm="1">
        <f t="array" ref="B278">(PRODUCT(1+sp500_monthly!B279:B398)^(1/120)-1)*100</f>
        <v>1.5311331497734892</v>
      </c>
      <c r="C278" cm="1">
        <f t="array" ref="C278">(PRODUCT(1+sp500_monthly!C279:C398)^(1/120)-1)*100</f>
        <v>1.0695802594501203</v>
      </c>
      <c r="D278" cm="1">
        <f t="array" ref="D278">(PRODUCT(1+sp500_monthly!D279:D398)^(1/120)-1)*100</f>
        <v>1.3948055257881231</v>
      </c>
      <c r="E278" cm="1">
        <f t="array" ref="E278">(PRODUCT(1+sp500_monthly!E279:E398)^(1/120)-1)*100</f>
        <v>0.93849535447603216</v>
      </c>
      <c r="F278" cm="1">
        <f t="array" ref="F278">(PRODUCT(1+sp500_monthly!K279:K398)^(1/120)-1)*100</f>
        <v>1.0806683234901193</v>
      </c>
      <c r="G278" cm="1">
        <f t="array" ref="G278">(PRODUCT(1+sp500_monthly!L279:L398)^(1/120)-1)</f>
        <v>0.13791729508347572</v>
      </c>
      <c r="H278" cm="1">
        <f t="array" ref="H278">(PRODUCT(1+sp500_monthly!N279:N398)^(1/120)-1)*100</f>
        <v>0.57389107640484216</v>
      </c>
      <c r="I278" cm="1">
        <f t="array" ref="I278">(PRODUCT(1+sp500_monthly!O279:O398)^(1/120)-1)*100</f>
        <v>1.1739559330359306E-2</v>
      </c>
    </row>
    <row r="279" spans="1:9" x14ac:dyDescent="0.35">
      <c r="A279" s="1">
        <v>21608</v>
      </c>
      <c r="B279" cm="1">
        <f t="array" ref="B279">(PRODUCT(1+sp500_monthly!B280:B399)^(1/120)-1)*100</f>
        <v>1.534211804446417</v>
      </c>
      <c r="C279" cm="1">
        <f t="array" ref="C279">(PRODUCT(1+sp500_monthly!C280:C399)^(1/120)-1)*100</f>
        <v>1.0729530466265125</v>
      </c>
      <c r="D279" cm="1">
        <f t="array" ref="D279">(PRODUCT(1+sp500_monthly!D280:D399)^(1/120)-1)*100</f>
        <v>1.4100896653334472</v>
      </c>
      <c r="E279" cm="1">
        <f t="array" ref="E279">(PRODUCT(1+sp500_monthly!E280:E399)^(1/120)-1)*100</f>
        <v>0.95431853899692332</v>
      </c>
      <c r="F279" cm="1">
        <f t="array" ref="F279">(PRODUCT(1+sp500_monthly!K280:K399)^(1/120)-1)*100</f>
        <v>1.0827587339752753</v>
      </c>
      <c r="G279" cm="1">
        <f t="array" ref="G279">(PRODUCT(1+sp500_monthly!L280:L399)^(1/120)-1)</f>
        <v>0.13882144661443929</v>
      </c>
      <c r="H279" cm="1">
        <f t="array" ref="H279">(PRODUCT(1+sp500_monthly!N280:N399)^(1/120)-1)*100</f>
        <v>0.57802412557350635</v>
      </c>
      <c r="I279" cm="1">
        <f t="array" ref="I279">(PRODUCT(1+sp500_monthly!O280:O399)^(1/120)-1)*100</f>
        <v>1.2337974471909874E-2</v>
      </c>
    </row>
    <row r="280" spans="1:9" x14ac:dyDescent="0.35">
      <c r="A280" s="1">
        <v>21640</v>
      </c>
      <c r="B280" cm="1">
        <f t="array" ref="B280">(PRODUCT(1+sp500_monthly!B281:B400)^(1/120)-1)*100</f>
        <v>1.5670794397155685</v>
      </c>
      <c r="C280" cm="1">
        <f t="array" ref="C280">(PRODUCT(1+sp500_monthly!C281:C400)^(1/120)-1)*100</f>
        <v>1.1104951985403844</v>
      </c>
      <c r="D280" cm="1">
        <f t="array" ref="D280">(PRODUCT(1+sp500_monthly!D281:D400)^(1/120)-1)*100</f>
        <v>1.4548577660098205</v>
      </c>
      <c r="E280" cm="1">
        <f t="array" ref="E280">(PRODUCT(1+sp500_monthly!E281:E400)^(1/120)-1)*100</f>
        <v>1.0025938273942936</v>
      </c>
      <c r="F280" cm="1">
        <f t="array" ref="F280">(PRODUCT(1+sp500_monthly!K281:K400)^(1/120)-1)*100</f>
        <v>1.1164923728902654</v>
      </c>
      <c r="G280" cm="1">
        <f t="array" ref="G280">(PRODUCT(1+sp500_monthly!L281:L400)^(1/120)-1)</f>
        <v>0.13965475758021895</v>
      </c>
      <c r="H280" cm="1">
        <f t="array" ref="H280">(PRODUCT(1+sp500_monthly!N281:N400)^(1/120)-1)*100</f>
        <v>0.58391930174079842</v>
      </c>
      <c r="I280" cm="1">
        <f t="array" ref="I280">(PRODUCT(1+sp500_monthly!O281:O400)^(1/120)-1)*100</f>
        <v>1.4207360414553172E-2</v>
      </c>
    </row>
    <row r="281" spans="1:9" x14ac:dyDescent="0.35">
      <c r="A281" s="1">
        <v>21670</v>
      </c>
      <c r="B281" cm="1">
        <f t="array" ref="B281">(PRODUCT(1+sp500_monthly!B282:B401)^(1/120)-1)*100</f>
        <v>1.5416316057608626</v>
      </c>
      <c r="C281" cm="1">
        <f t="array" ref="C281">(PRODUCT(1+sp500_monthly!C282:C401)^(1/120)-1)*100</f>
        <v>1.0868205008738752</v>
      </c>
      <c r="D281" cm="1">
        <f t="array" ref="D281">(PRODUCT(1+sp500_monthly!D282:D401)^(1/120)-1)*100</f>
        <v>1.4246654049584251</v>
      </c>
      <c r="E281" cm="1">
        <f t="array" ref="E281">(PRODUCT(1+sp500_monthly!E282:E401)^(1/120)-1)*100</f>
        <v>0.97424699144630367</v>
      </c>
      <c r="F281" cm="1">
        <f t="array" ref="F281">(PRODUCT(1+sp500_monthly!K282:K401)^(1/120)-1)*100</f>
        <v>1.0919652048877682</v>
      </c>
      <c r="G281" cm="1">
        <f t="array" ref="G281">(PRODUCT(1+sp500_monthly!L282:L401)^(1/120)-1)</f>
        <v>0.14063852049500269</v>
      </c>
      <c r="H281" cm="1">
        <f t="array" ref="H281">(PRODUCT(1+sp500_monthly!N282:N401)^(1/120)-1)*100</f>
        <v>0.58759186602870273</v>
      </c>
      <c r="I281" cm="1">
        <f t="array" ref="I281">(PRODUCT(1+sp500_monthly!O282:O401)^(1/120)-1)*100</f>
        <v>1.6901614217168515E-2</v>
      </c>
    </row>
    <row r="282" spans="1:9" x14ac:dyDescent="0.35">
      <c r="A282" s="1">
        <v>21699</v>
      </c>
      <c r="B282" cm="1">
        <f t="array" ref="B282">(PRODUCT(1+sp500_monthly!B283:B402)^(1/120)-1)*100</f>
        <v>1.5908408856913692</v>
      </c>
      <c r="C282" cm="1">
        <f t="array" ref="C282">(PRODUCT(1+sp500_monthly!C283:C402)^(1/120)-1)*100</f>
        <v>1.1376331871934431</v>
      </c>
      <c r="D282" cm="1">
        <f t="array" ref="D282">(PRODUCT(1+sp500_monthly!D283:D402)^(1/120)-1)*100</f>
        <v>1.47328086899845</v>
      </c>
      <c r="E282" cm="1">
        <f t="array" ref="E282">(PRODUCT(1+sp500_monthly!E283:E402)^(1/120)-1)*100</f>
        <v>1.0233335474300276</v>
      </c>
      <c r="F282" cm="1">
        <f t="array" ref="F282">(PRODUCT(1+sp500_monthly!K283:K402)^(1/120)-1)*100</f>
        <v>1.1421233855628543</v>
      </c>
      <c r="G282" cm="1">
        <f t="array" ref="G282">(PRODUCT(1+sp500_monthly!L283:L402)^(1/120)-1)</f>
        <v>0.14155276494902491</v>
      </c>
      <c r="H282" cm="1">
        <f t="array" ref="H282">(PRODUCT(1+sp500_monthly!N283:N402)^(1/120)-1)*100</f>
        <v>0.62022736303015691</v>
      </c>
      <c r="I282" cm="1">
        <f t="array" ref="I282">(PRODUCT(1+sp500_monthly!O283:O402)^(1/120)-1)*100</f>
        <v>1.8279254466935235E-2</v>
      </c>
    </row>
    <row r="283" spans="1:9" x14ac:dyDescent="0.35">
      <c r="A283" s="1">
        <v>21731</v>
      </c>
      <c r="B283" cm="1">
        <f t="array" ref="B283">(PRODUCT(1+sp500_monthly!B284:B403)^(1/120)-1)*100</f>
        <v>1.6359069659212855</v>
      </c>
      <c r="C283" cm="1">
        <f t="array" ref="C283">(PRODUCT(1+sp500_monthly!C284:C403)^(1/120)-1)*100</f>
        <v>1.1860126369452884</v>
      </c>
      <c r="D283" cm="1">
        <f t="array" ref="D283">(PRODUCT(1+sp500_monthly!D284:D403)^(1/120)-1)*100</f>
        <v>1.5062342823517483</v>
      </c>
      <c r="E283" cm="1">
        <f t="array" ref="E283">(PRODUCT(1+sp500_monthly!E284:E403)^(1/120)-1)*100</f>
        <v>1.0601171293546763</v>
      </c>
      <c r="F283" cm="1">
        <f t="array" ref="F283">(PRODUCT(1+sp500_monthly!K284:K403)^(1/120)-1)*100</f>
        <v>1.1899893107432558</v>
      </c>
      <c r="G283" cm="1">
        <f t="array" ref="G283">(PRODUCT(1+sp500_monthly!L284:L403)^(1/120)-1)</f>
        <v>0.14253816624530002</v>
      </c>
      <c r="H283" cm="1">
        <f t="array" ref="H283">(PRODUCT(1+sp500_monthly!N284:N403)^(1/120)-1)*100</f>
        <v>0.63807885486915072</v>
      </c>
      <c r="I283" cm="1">
        <f t="array" ref="I283">(PRODUCT(1+sp500_monthly!O284:O403)^(1/120)-1)*100</f>
        <v>1.8387049625090413E-2</v>
      </c>
    </row>
    <row r="284" spans="1:9" x14ac:dyDescent="0.35">
      <c r="A284" s="1">
        <v>21762</v>
      </c>
      <c r="B284" cm="1">
        <f t="array" ref="B284">(PRODUCT(1+sp500_monthly!B285:B404)^(1/120)-1)*100</f>
        <v>1.6338168924683982</v>
      </c>
      <c r="C284" cm="1">
        <f t="array" ref="C284">(PRODUCT(1+sp500_monthly!C285:C404)^(1/120)-1)*100</f>
        <v>1.1860743914097638</v>
      </c>
      <c r="D284" cm="1">
        <f t="array" ref="D284">(PRODUCT(1+sp500_monthly!D285:D404)^(1/120)-1)*100</f>
        <v>1.5177792844880189</v>
      </c>
      <c r="E284" cm="1">
        <f t="array" ref="E284">(PRODUCT(1+sp500_monthly!E285:E404)^(1/120)-1)*100</f>
        <v>1.0731813638494847</v>
      </c>
      <c r="F284" cm="1">
        <f t="array" ref="F284">(PRODUCT(1+sp500_monthly!K285:K404)^(1/120)-1)*100</f>
        <v>1.1887504304912477</v>
      </c>
      <c r="G284" cm="1">
        <f t="array" ref="G284">(PRODUCT(1+sp500_monthly!L285:L404)^(1/120)-1)</f>
        <v>0.14375593564391975</v>
      </c>
      <c r="H284" cm="1">
        <f t="array" ref="H284">(PRODUCT(1+sp500_monthly!N285:N404)^(1/120)-1)*100</f>
        <v>0.63545153860566916</v>
      </c>
      <c r="I284" cm="1">
        <f t="array" ref="I284">(PRODUCT(1+sp500_monthly!O285:O404)^(1/120)-1)*100</f>
        <v>1.8461490335752728E-2</v>
      </c>
    </row>
    <row r="285" spans="1:9" x14ac:dyDescent="0.35">
      <c r="A285" s="1">
        <v>21793</v>
      </c>
      <c r="B285" cm="1">
        <f t="array" ref="B285">(PRODUCT(1+sp500_monthly!B286:B405)^(1/120)-1)*100</f>
        <v>1.6110188633400524</v>
      </c>
      <c r="C285" cm="1">
        <f t="array" ref="C285">(PRODUCT(1+sp500_monthly!C286:C405)^(1/120)-1)*100</f>
        <v>1.1634228416952608</v>
      </c>
      <c r="D285" cm="1">
        <f t="array" ref="D285">(PRODUCT(1+sp500_monthly!D286:D405)^(1/120)-1)*100</f>
        <v>1.4949073050371853</v>
      </c>
      <c r="E285" cm="1">
        <f t="array" ref="E285">(PRODUCT(1+sp500_monthly!E286:E405)^(1/120)-1)*100</f>
        <v>1.0508459135878168</v>
      </c>
      <c r="F285" cm="1">
        <f t="array" ref="F285">(PRODUCT(1+sp500_monthly!K286:K405)^(1/120)-1)*100</f>
        <v>1.1668309448002345</v>
      </c>
      <c r="G285" cm="1">
        <f t="array" ref="G285">(PRODUCT(1+sp500_monthly!L286:L405)^(1/120)-1)</f>
        <v>0.14506214352428159</v>
      </c>
      <c r="H285" cm="1">
        <f t="array" ref="H285">(PRODUCT(1+sp500_monthly!N286:N405)^(1/120)-1)*100</f>
        <v>0.66275170959739782</v>
      </c>
      <c r="I285" cm="1">
        <f t="array" ref="I285">(PRODUCT(1+sp500_monthly!O286:O405)^(1/120)-1)*100</f>
        <v>1.9398105234524898E-2</v>
      </c>
    </row>
    <row r="286" spans="1:9" x14ac:dyDescent="0.35">
      <c r="A286" s="1">
        <v>21823</v>
      </c>
      <c r="B286" cm="1">
        <f t="array" ref="B286">(PRODUCT(1+sp500_monthly!B287:B406)^(1/120)-1)*100</f>
        <v>1.5833306078955944</v>
      </c>
      <c r="C286" cm="1">
        <f t="array" ref="C286">(PRODUCT(1+sp500_monthly!C287:C406)^(1/120)-1)*100</f>
        <v>1.1406931109646301</v>
      </c>
      <c r="D286" cm="1">
        <f t="array" ref="D286">(PRODUCT(1+sp500_monthly!D287:D406)^(1/120)-1)*100</f>
        <v>1.4627386805787124</v>
      </c>
      <c r="E286" cm="1">
        <f t="array" ref="E286">(PRODUCT(1+sp500_monthly!E287:E406)^(1/120)-1)*100</f>
        <v>1.0228310772017135</v>
      </c>
      <c r="F286" cm="1">
        <f t="array" ref="F286">(PRODUCT(1+sp500_monthly!K287:K406)^(1/120)-1)*100</f>
        <v>1.1440286714100356</v>
      </c>
      <c r="G286" cm="1">
        <f t="array" ref="G286">(PRODUCT(1+sp500_monthly!L287:L406)^(1/120)-1)</f>
        <v>0.14590002100150556</v>
      </c>
      <c r="H286" cm="1">
        <f t="array" ref="H286">(PRODUCT(1+sp500_monthly!N287:N406)^(1/120)-1)*100</f>
        <v>0.65254634436431314</v>
      </c>
      <c r="I286" cm="1">
        <f t="array" ref="I286">(PRODUCT(1+sp500_monthly!O287:O406)^(1/120)-1)*100</f>
        <v>2.012288758093117E-2</v>
      </c>
    </row>
    <row r="287" spans="1:9" x14ac:dyDescent="0.35">
      <c r="A287" s="1">
        <v>21853</v>
      </c>
      <c r="B287" cm="1">
        <f t="array" ref="B287">(PRODUCT(1+sp500_monthly!B288:B407)^(1/120)-1)*100</f>
        <v>1.5230858426833915</v>
      </c>
      <c r="C287" cm="1">
        <f t="array" ref="C287">(PRODUCT(1+sp500_monthly!C288:C407)^(1/120)-1)*100</f>
        <v>1.0811553285720255</v>
      </c>
      <c r="D287" cm="1">
        <f t="array" ref="D287">(PRODUCT(1+sp500_monthly!D288:D407)^(1/120)-1)*100</f>
        <v>1.3989613968779624</v>
      </c>
      <c r="E287" cm="1">
        <f t="array" ref="E287">(PRODUCT(1+sp500_monthly!E288:E407)^(1/120)-1)*100</f>
        <v>0.95921099885660777</v>
      </c>
      <c r="F287" cm="1">
        <f t="array" ref="F287">(PRODUCT(1+sp500_monthly!K288:K407)^(1/120)-1)*100</f>
        <v>1.0849695255317204</v>
      </c>
      <c r="G287" cm="1">
        <f t="array" ref="G287">(PRODUCT(1+sp500_monthly!L288:L407)^(1/120)-1)</f>
        <v>0.14765697553971724</v>
      </c>
      <c r="H287" cm="1">
        <f t="array" ref="H287">(PRODUCT(1+sp500_monthly!N288:N407)^(1/120)-1)*100</f>
        <v>0.61351908208544526</v>
      </c>
      <c r="I287" cm="1">
        <f t="array" ref="I287">(PRODUCT(1+sp500_monthly!O288:O407)^(1/120)-1)*100</f>
        <v>2.070565179377315E-2</v>
      </c>
    </row>
    <row r="288" spans="1:9" x14ac:dyDescent="0.35">
      <c r="A288" s="1">
        <v>21884</v>
      </c>
      <c r="B288" cm="1">
        <f t="array" ref="B288">(PRODUCT(1+sp500_monthly!B289:B408)^(1/120)-1)*100</f>
        <v>1.5088316625552434</v>
      </c>
      <c r="C288" cm="1">
        <f t="array" ref="C288">(PRODUCT(1+sp500_monthly!C289:C408)^(1/120)-1)*100</f>
        <v>1.0671152293494135</v>
      </c>
      <c r="D288" cm="1">
        <f t="array" ref="D288">(PRODUCT(1+sp500_monthly!D289:D408)^(1/120)-1)*100</f>
        <v>1.3943413514499348</v>
      </c>
      <c r="E288" cm="1">
        <f t="array" ref="E288">(PRODUCT(1+sp500_monthly!E289:E408)^(1/120)-1)*100</f>
        <v>0.95502745883409013</v>
      </c>
      <c r="F288" cm="1">
        <f t="array" ref="F288">(PRODUCT(1+sp500_monthly!K289:K408)^(1/120)-1)*100</f>
        <v>1.0698850978212215</v>
      </c>
      <c r="G288" cm="1">
        <f t="array" ref="G288">(PRODUCT(1+sp500_monthly!L289:L408)^(1/120)-1)</f>
        <v>0.14934322766604247</v>
      </c>
      <c r="H288" cm="1">
        <f t="array" ref="H288">(PRODUCT(1+sp500_monthly!N289:N408)^(1/120)-1)*100</f>
        <v>0.62113466597710776</v>
      </c>
      <c r="I288" cm="1">
        <f t="array" ref="I288">(PRODUCT(1+sp500_monthly!O289:O408)^(1/120)-1)*100</f>
        <v>2.0357694019845773E-2</v>
      </c>
    </row>
    <row r="289" spans="1:9" x14ac:dyDescent="0.35">
      <c r="A289" s="1">
        <v>21915</v>
      </c>
      <c r="B289" cm="1">
        <f t="array" ref="B289">(PRODUCT(1+sp500_monthly!B290:B409)^(1/120)-1)*100</f>
        <v>1.5069633384762859</v>
      </c>
      <c r="C289" cm="1">
        <f t="array" ref="C289">(PRODUCT(1+sp500_monthly!C290:C409)^(1/120)-1)*100</f>
        <v>1.0776830831968454</v>
      </c>
      <c r="D289" cm="1">
        <f t="array" ref="D289">(PRODUCT(1+sp500_monthly!D290:D409)^(1/120)-1)*100</f>
        <v>1.3914997674617124</v>
      </c>
      <c r="E289" cm="1">
        <f t="array" ref="E289">(PRODUCT(1+sp500_monthly!E290:E409)^(1/120)-1)*100</f>
        <v>0.95778904300991563</v>
      </c>
      <c r="F289" cm="1">
        <f t="array" ref="F289">(PRODUCT(1+sp500_monthly!K290:K409)^(1/120)-1)*100</f>
        <v>1.0798917194385416</v>
      </c>
      <c r="G289" cm="1">
        <f t="array" ref="G289">(PRODUCT(1+sp500_monthly!L290:L409)^(1/120)-1)</f>
        <v>0.15082061004328562</v>
      </c>
      <c r="H289" cm="1">
        <f t="array" ref="H289">(PRODUCT(1+sp500_monthly!N290:N409)^(1/120)-1)*100</f>
        <v>0.63649499280074018</v>
      </c>
      <c r="I289" cm="1">
        <f t="array" ref="I289">(PRODUCT(1+sp500_monthly!O290:O409)^(1/120)-1)*100</f>
        <v>2.2522012819803372E-2</v>
      </c>
    </row>
    <row r="290" spans="1:9" x14ac:dyDescent="0.35">
      <c r="A290" s="1">
        <v>21944</v>
      </c>
      <c r="B290" cm="1">
        <f t="array" ref="B290">(PRODUCT(1+sp500_monthly!B291:B410)^(1/120)-1)*100</f>
        <v>1.489598448081364</v>
      </c>
      <c r="C290" cm="1">
        <f t="array" ref="C290">(PRODUCT(1+sp500_monthly!C291:C410)^(1/120)-1)*100</f>
        <v>1.0621430763173567</v>
      </c>
      <c r="D290" cm="1">
        <f t="array" ref="D290">(PRODUCT(1+sp500_monthly!D291:D410)^(1/120)-1)*100</f>
        <v>1.3503960547742055</v>
      </c>
      <c r="E290" cm="1">
        <f t="array" ref="E290">(PRODUCT(1+sp500_monthly!E291:E410)^(1/120)-1)*100</f>
        <v>0.91883243918322588</v>
      </c>
      <c r="F290" cm="1">
        <f t="array" ref="F290">(PRODUCT(1+sp500_monthly!K291:K410)^(1/120)-1)*100</f>
        <v>1.0669092599167707</v>
      </c>
      <c r="G290" cm="1">
        <f t="array" ref="G290">(PRODUCT(1+sp500_monthly!L291:L410)^(1/120)-1)</f>
        <v>0.15280260778738119</v>
      </c>
      <c r="H290" cm="1">
        <f t="array" ref="H290">(PRODUCT(1+sp500_monthly!N291:N410)^(1/120)-1)*100</f>
        <v>0.65927026190732985</v>
      </c>
      <c r="I290" cm="1">
        <f t="array" ref="I290">(PRODUCT(1+sp500_monthly!O291:O410)^(1/120)-1)*100</f>
        <v>2.3648961901612253E-2</v>
      </c>
    </row>
    <row r="291" spans="1:9" x14ac:dyDescent="0.35">
      <c r="A291" s="1">
        <v>21975</v>
      </c>
      <c r="B291" cm="1">
        <f t="array" ref="B291">(PRODUCT(1+sp500_monthly!B292:B411)^(1/120)-1)*100</f>
        <v>1.4118110725779953</v>
      </c>
      <c r="C291" cm="1">
        <f t="array" ref="C291">(PRODUCT(1+sp500_monthly!C292:C411)^(1/120)-1)*100</f>
        <v>0.98507090516850582</v>
      </c>
      <c r="D291" cm="1">
        <f t="array" ref="D291">(PRODUCT(1+sp500_monthly!D292:D411)^(1/120)-1)*100</f>
        <v>1.2797012345197922</v>
      </c>
      <c r="E291" cm="1">
        <f t="array" ref="E291">(PRODUCT(1+sp500_monthly!E292:E411)^(1/120)-1)*100</f>
        <v>0.84924550991278824</v>
      </c>
      <c r="F291" cm="1">
        <f t="array" ref="F291">(PRODUCT(1+sp500_monthly!K292:K411)^(1/120)-1)*100</f>
        <v>0.99004247640857024</v>
      </c>
      <c r="G291" cm="1">
        <f t="array" ref="G291">(PRODUCT(1+sp500_monthly!L292:L411)^(1/120)-1)</f>
        <v>0.1547159367885671</v>
      </c>
      <c r="H291" cm="1">
        <f t="array" ref="H291">(PRODUCT(1+sp500_monthly!N292:N411)^(1/120)-1)*100</f>
        <v>0.59961575032496661</v>
      </c>
      <c r="I291" cm="1">
        <f t="array" ref="I291">(PRODUCT(1+sp500_monthly!O292:O411)^(1/120)-1)*100</f>
        <v>2.7529599928444171E-2</v>
      </c>
    </row>
    <row r="292" spans="1:9" x14ac:dyDescent="0.35">
      <c r="A292" s="1">
        <v>22006</v>
      </c>
      <c r="B292" cm="1">
        <f t="array" ref="B292">(PRODUCT(1+sp500_monthly!B293:B412)^(1/120)-1)*100</f>
        <v>1.4070893161434173</v>
      </c>
      <c r="C292" cm="1">
        <f t="array" ref="C292">(PRODUCT(1+sp500_monthly!C293:C412)^(1/120)-1)*100</f>
        <v>0.98436569899220672</v>
      </c>
      <c r="D292" cm="1">
        <f t="array" ref="D292">(PRODUCT(1+sp500_monthly!D293:D412)^(1/120)-1)*100</f>
        <v>1.2705457534827103</v>
      </c>
      <c r="E292" cm="1">
        <f t="array" ref="E292">(PRODUCT(1+sp500_monthly!E293:E412)^(1/120)-1)*100</f>
        <v>0.8422050414954585</v>
      </c>
      <c r="F292" cm="1">
        <f t="array" ref="F292">(PRODUCT(1+sp500_monthly!K293:K412)^(1/120)-1)*100</f>
        <v>0.98937559437439759</v>
      </c>
      <c r="G292" cm="1">
        <f t="array" ref="G292">(PRODUCT(1+sp500_monthly!L293:L412)^(1/120)-1)</f>
        <v>0.1563381474468184</v>
      </c>
      <c r="H292" cm="1">
        <f t="array" ref="H292">(PRODUCT(1+sp500_monthly!N293:N412)^(1/120)-1)*100</f>
        <v>0.61006605450368845</v>
      </c>
      <c r="I292" cm="1">
        <f t="array" ref="I292">(PRODUCT(1+sp500_monthly!O293:O412)^(1/120)-1)*100</f>
        <v>2.8808956676384945E-2</v>
      </c>
    </row>
    <row r="293" spans="1:9" x14ac:dyDescent="0.35">
      <c r="A293" s="1">
        <v>22035</v>
      </c>
      <c r="B293" cm="1">
        <f t="array" ref="B293">(PRODUCT(1+sp500_monthly!B294:B413)^(1/120)-1)*100</f>
        <v>1.3895158881141123</v>
      </c>
      <c r="C293" cm="1">
        <f t="array" ref="C293">(PRODUCT(1+sp500_monthly!C294:C413)^(1/120)-1)*100</f>
        <v>0.96846945849828892</v>
      </c>
      <c r="D293" cm="1">
        <f t="array" ref="D293">(PRODUCT(1+sp500_monthly!D294:D413)^(1/120)-1)*100</f>
        <v>1.245041609741171</v>
      </c>
      <c r="E293" cm="1">
        <f t="array" ref="E293">(PRODUCT(1+sp500_monthly!E294:E413)^(1/120)-1)*100</f>
        <v>0.81795126519568218</v>
      </c>
      <c r="F293" cm="1">
        <f t="array" ref="F293">(PRODUCT(1+sp500_monthly!K294:K413)^(1/120)-1)*100</f>
        <v>0.97418351195976971</v>
      </c>
      <c r="G293" cm="1">
        <f t="array" ref="G293">(PRODUCT(1+sp500_monthly!L294:L413)^(1/120)-1)</f>
        <v>0.15831326228383324</v>
      </c>
      <c r="H293" cm="1">
        <f t="array" ref="H293">(PRODUCT(1+sp500_monthly!N294:N413)^(1/120)-1)*100</f>
        <v>0.59946430768893499</v>
      </c>
      <c r="I293" cm="1">
        <f t="array" ref="I293">(PRODUCT(1+sp500_monthly!O294:O413)^(1/120)-1)*100</f>
        <v>3.1721412248075787E-2</v>
      </c>
    </row>
    <row r="294" spans="1:9" x14ac:dyDescent="0.35">
      <c r="A294" s="1">
        <v>22067</v>
      </c>
      <c r="B294" cm="1">
        <f t="array" ref="B294">(PRODUCT(1+sp500_monthly!B295:B414)^(1/120)-1)*100</f>
        <v>1.3378967975493872</v>
      </c>
      <c r="C294" cm="1">
        <f t="array" ref="C294">(PRODUCT(1+sp500_monthly!C295:C414)^(1/120)-1)*100</f>
        <v>0.91734487053840574</v>
      </c>
      <c r="D294" cm="1">
        <f t="array" ref="D294">(PRODUCT(1+sp500_monthly!D295:D414)^(1/120)-1)*100</f>
        <v>1.2017446518943542</v>
      </c>
      <c r="E294" cm="1">
        <f t="array" ref="E294">(PRODUCT(1+sp500_monthly!E295:E414)^(1/120)-1)*100</f>
        <v>0.77543867602591909</v>
      </c>
      <c r="F294" cm="1">
        <f t="array" ref="F294">(PRODUCT(1+sp500_monthly!K295:K414)^(1/120)-1)*100</f>
        <v>0.9221880907411828</v>
      </c>
      <c r="G294" cm="1">
        <f t="array" ref="G294">(PRODUCT(1+sp500_monthly!L295:L414)^(1/120)-1)</f>
        <v>0.15916083601555253</v>
      </c>
      <c r="H294" cm="1">
        <f t="array" ref="H294">(PRODUCT(1+sp500_monthly!N295:N414)^(1/120)-1)*100</f>
        <v>0.5821503242011028</v>
      </c>
      <c r="I294" cm="1">
        <f t="array" ref="I294">(PRODUCT(1+sp500_monthly!O295:O414)^(1/120)-1)*100</f>
        <v>2.9627164004186746E-2</v>
      </c>
    </row>
    <row r="295" spans="1:9" x14ac:dyDescent="0.35">
      <c r="A295" s="1">
        <v>22097</v>
      </c>
      <c r="B295" cm="1">
        <f t="array" ref="B295">(PRODUCT(1+sp500_monthly!B296:B415)^(1/120)-1)*100</f>
        <v>1.3270274993056885</v>
      </c>
      <c r="C295" cm="1">
        <f t="array" ref="C295">(PRODUCT(1+sp500_monthly!C296:C415)^(1/120)-1)*100</f>
        <v>0.90979141140765662</v>
      </c>
      <c r="D295" cm="1">
        <f t="array" ref="D295">(PRODUCT(1+sp500_monthly!D296:D415)^(1/120)-1)*100</f>
        <v>1.2021582720039836</v>
      </c>
      <c r="E295" cm="1">
        <f t="array" ref="E295">(PRODUCT(1+sp500_monthly!E296:E415)^(1/120)-1)*100</f>
        <v>0.77803967282490394</v>
      </c>
      <c r="F295" cm="1">
        <f t="array" ref="F295">(PRODUCT(1+sp500_monthly!K296:K415)^(1/120)-1)*100</f>
        <v>0.91206195984101512</v>
      </c>
      <c r="G295" cm="1">
        <f t="array" ref="G295">(PRODUCT(1+sp500_monthly!L296:L415)^(1/120)-1)</f>
        <v>0.16054982756770975</v>
      </c>
      <c r="H295" cm="1">
        <f t="array" ref="H295">(PRODUCT(1+sp500_monthly!N296:N415)^(1/120)-1)*100</f>
        <v>0.60893273173197038</v>
      </c>
      <c r="I295" cm="1">
        <f t="array" ref="I295">(PRODUCT(1+sp500_monthly!O296:O415)^(1/120)-1)*100</f>
        <v>3.1028676246980247E-2</v>
      </c>
    </row>
    <row r="296" spans="1:9" x14ac:dyDescent="0.35">
      <c r="A296" s="1">
        <v>22126</v>
      </c>
      <c r="B296" cm="1">
        <f t="array" ref="B296">(PRODUCT(1+sp500_monthly!B297:B416)^(1/120)-1)*100</f>
        <v>1.3923346035548789</v>
      </c>
      <c r="C296" cm="1">
        <f t="array" ref="C296">(PRODUCT(1+sp500_monthly!C297:C416)^(1/120)-1)*100</f>
        <v>0.97586015900594791</v>
      </c>
      <c r="D296" cm="1">
        <f t="array" ref="D296">(PRODUCT(1+sp500_monthly!D297:D416)^(1/120)-1)*100</f>
        <v>1.2820751294634114</v>
      </c>
      <c r="E296" cm="1">
        <f t="array" ref="E296">(PRODUCT(1+sp500_monthly!E297:E416)^(1/120)-1)*100</f>
        <v>0.8588369345818414</v>
      </c>
      <c r="F296" cm="1">
        <f t="array" ref="F296">(PRODUCT(1+sp500_monthly!K297:K416)^(1/120)-1)*100</f>
        <v>0.97862558618211359</v>
      </c>
      <c r="G296" cm="1">
        <f t="array" ref="G296">(PRODUCT(1+sp500_monthly!L297:L416)^(1/120)-1)</f>
        <v>0.16170903329562458</v>
      </c>
      <c r="H296" cm="1">
        <f t="array" ref="H296">(PRODUCT(1+sp500_monthly!N297:N416)^(1/120)-1)*100</f>
        <v>0.62588334981896754</v>
      </c>
      <c r="I296" cm="1">
        <f t="array" ref="I296">(PRODUCT(1+sp500_monthly!O297:O416)^(1/120)-1)*100</f>
        <v>3.1900047290900346E-2</v>
      </c>
    </row>
    <row r="297" spans="1:9" x14ac:dyDescent="0.35">
      <c r="A297" s="1">
        <v>22159</v>
      </c>
      <c r="B297" cm="1">
        <f t="array" ref="B297">(PRODUCT(1+sp500_monthly!B298:B417)^(1/120)-1)*100</f>
        <v>1.3584973158834668</v>
      </c>
      <c r="C297" cm="1">
        <f t="array" ref="C297">(PRODUCT(1+sp500_monthly!C298:C417)^(1/120)-1)*100</f>
        <v>0.94233212922218978</v>
      </c>
      <c r="D297" cm="1">
        <f t="array" ref="D297">(PRODUCT(1+sp500_monthly!D298:D417)^(1/120)-1)*100</f>
        <v>1.225835811823095</v>
      </c>
      <c r="E297" cm="1">
        <f t="array" ref="E297">(PRODUCT(1+sp500_monthly!E298:E417)^(1/120)-1)*100</f>
        <v>0.80333416911104738</v>
      </c>
      <c r="F297" cm="1">
        <f t="array" ref="F297">(PRODUCT(1+sp500_monthly!K298:K417)^(1/120)-1)*100</f>
        <v>0.95041673492772816</v>
      </c>
      <c r="G297" cm="1">
        <f t="array" ref="G297">(PRODUCT(1+sp500_monthly!L298:L417)^(1/120)-1)</f>
        <v>0.16196955109499367</v>
      </c>
      <c r="H297" cm="1">
        <f t="array" ref="H297">(PRODUCT(1+sp500_monthly!N298:N417)^(1/120)-1)*100</f>
        <v>0.60811857489073695</v>
      </c>
      <c r="I297" cm="1">
        <f t="array" ref="I297">(PRODUCT(1+sp500_monthly!O298:O417)^(1/120)-1)*100</f>
        <v>3.4673931987039275E-2</v>
      </c>
    </row>
    <row r="298" spans="1:9" x14ac:dyDescent="0.35">
      <c r="A298" s="1">
        <v>22189</v>
      </c>
      <c r="B298" cm="1">
        <f t="array" ref="B298">(PRODUCT(1+sp500_monthly!B299:B418)^(1/120)-1)*100</f>
        <v>1.3450161489561463</v>
      </c>
      <c r="C298" cm="1">
        <f t="array" ref="C298">(PRODUCT(1+sp500_monthly!C299:C418)^(1/120)-1)*100</f>
        <v>0.93797528040133749</v>
      </c>
      <c r="D298" cm="1">
        <f t="array" ref="D298">(PRODUCT(1+sp500_monthly!D299:D418)^(1/120)-1)*100</f>
        <v>1.2251035574396996</v>
      </c>
      <c r="E298" cm="1">
        <f t="array" ref="E298">(PRODUCT(1+sp500_monthly!E299:E418)^(1/120)-1)*100</f>
        <v>0.80579816636905388</v>
      </c>
      <c r="F298" cm="1">
        <f t="array" ref="F298">(PRODUCT(1+sp500_monthly!K299:K418)^(1/120)-1)*100</f>
        <v>0.94519434655733203</v>
      </c>
      <c r="G298" cm="1">
        <f t="array" ref="G298">(PRODUCT(1+sp500_monthly!L299:L418)^(1/120)-1)</f>
        <v>0.16256708842173007</v>
      </c>
      <c r="H298" cm="1">
        <f t="array" ref="H298">(PRODUCT(1+sp500_monthly!N299:N418)^(1/120)-1)*100</f>
        <v>0.63239628290159278</v>
      </c>
      <c r="I298" cm="1">
        <f t="array" ref="I298">(PRODUCT(1+sp500_monthly!O299:O418)^(1/120)-1)*100</f>
        <v>3.439896903585371E-2</v>
      </c>
    </row>
    <row r="299" spans="1:9" x14ac:dyDescent="0.35">
      <c r="A299" s="1">
        <v>22220</v>
      </c>
      <c r="B299" cm="1">
        <f t="array" ref="B299">(PRODUCT(1+sp500_monthly!B300:B419)^(1/120)-1)*100</f>
        <v>1.2451795407779187</v>
      </c>
      <c r="C299" cm="1">
        <f t="array" ref="C299">(PRODUCT(1+sp500_monthly!C300:C419)^(1/120)-1)*100</f>
        <v>0.83891491697594134</v>
      </c>
      <c r="D299" cm="1">
        <f t="array" ref="D299">(PRODUCT(1+sp500_monthly!D300:D419)^(1/120)-1)*100</f>
        <v>1.1194639398424799</v>
      </c>
      <c r="E299" cm="1">
        <f t="array" ref="E299">(PRODUCT(1+sp500_monthly!E300:E419)^(1/120)-1)*100</f>
        <v>0.70142348953226019</v>
      </c>
      <c r="F299" cm="1">
        <f t="array" ref="F299">(PRODUCT(1+sp500_monthly!K300:K419)^(1/120)-1)*100</f>
        <v>0.84707020875618433</v>
      </c>
      <c r="G299" cm="1">
        <f t="array" ref="G299">(PRODUCT(1+sp500_monthly!L300:L419)^(1/120)-1)</f>
        <v>0.16308173342445365</v>
      </c>
      <c r="H299" cm="1">
        <f t="array" ref="H299">(PRODUCT(1+sp500_monthly!N300:N419)^(1/120)-1)*100</f>
        <v>0.5816675429997531</v>
      </c>
      <c r="I299" cm="1">
        <f t="array" ref="I299">(PRODUCT(1+sp500_monthly!O300:O419)^(1/120)-1)*100</f>
        <v>3.5731704003105769E-2</v>
      </c>
    </row>
    <row r="300" spans="1:9" x14ac:dyDescent="0.35">
      <c r="A300" s="1">
        <v>22250</v>
      </c>
      <c r="B300" cm="1">
        <f t="array" ref="B300">(PRODUCT(1+sp500_monthly!B301:B420)^(1/120)-1)*100</f>
        <v>1.2399902654874451</v>
      </c>
      <c r="C300" cm="1">
        <f t="array" ref="C300">(PRODUCT(1+sp500_monthly!C301:C420)^(1/120)-1)*100</f>
        <v>0.83401674403145165</v>
      </c>
      <c r="D300" cm="1">
        <f t="array" ref="D300">(PRODUCT(1+sp500_monthly!D301:D420)^(1/120)-1)*100</f>
        <v>1.1157164297443511</v>
      </c>
      <c r="E300" cm="1">
        <f t="array" ref="E300">(PRODUCT(1+sp500_monthly!E301:E420)^(1/120)-1)*100</f>
        <v>0.69883322907877687</v>
      </c>
      <c r="F300" cm="1">
        <f t="array" ref="F300">(PRODUCT(1+sp500_monthly!K301:K420)^(1/120)-1)*100</f>
        <v>0.84157711798702461</v>
      </c>
      <c r="G300" cm="1">
        <f t="array" ref="G300">(PRODUCT(1+sp500_monthly!L301:L420)^(1/120)-1)</f>
        <v>0.16391093951837599</v>
      </c>
      <c r="H300" cm="1">
        <f t="array" ref="H300">(PRODUCT(1+sp500_monthly!N301:N420)^(1/120)-1)*100</f>
        <v>0.57680908601229763</v>
      </c>
      <c r="I300" cm="1">
        <f t="array" ref="I300">(PRODUCT(1+sp500_monthly!O301:O420)^(1/120)-1)*100</f>
        <v>3.3631470582551337E-2</v>
      </c>
    </row>
    <row r="301" spans="1:9" x14ac:dyDescent="0.35">
      <c r="A301" s="1">
        <v>22280</v>
      </c>
      <c r="B301" cm="1">
        <f t="array" ref="B301">(PRODUCT(1+sp500_monthly!B302:B421)^(1/120)-1)*100</f>
        <v>1.2592856228805127</v>
      </c>
      <c r="C301" cm="1">
        <f t="array" ref="C301">(PRODUCT(1+sp500_monthly!C302:C421)^(1/120)-1)*100</f>
        <v>0.86702142093884049</v>
      </c>
      <c r="D301" cm="1">
        <f t="array" ref="D301">(PRODUCT(1+sp500_monthly!D302:D421)^(1/120)-1)*100</f>
        <v>1.1308152140244276</v>
      </c>
      <c r="E301" cm="1">
        <f t="array" ref="E301">(PRODUCT(1+sp500_monthly!E302:E421)^(1/120)-1)*100</f>
        <v>0.72039252305668988</v>
      </c>
      <c r="F301" cm="1">
        <f t="array" ref="F301">(PRODUCT(1+sp500_monthly!K302:K421)^(1/120)-1)*100</f>
        <v>0.87562094556195014</v>
      </c>
      <c r="G301" cm="1">
        <f t="array" ref="G301">(PRODUCT(1+sp500_monthly!L302:L421)^(1/120)-1)</f>
        <v>0.16408415804206178</v>
      </c>
      <c r="H301" cm="1">
        <f t="array" ref="H301">(PRODUCT(1+sp500_monthly!N302:N421)^(1/120)-1)*100</f>
        <v>0.61372998496140863</v>
      </c>
      <c r="I301" cm="1">
        <f t="array" ref="I301">(PRODUCT(1+sp500_monthly!O302:O421)^(1/120)-1)*100</f>
        <v>3.3874269562694792E-2</v>
      </c>
    </row>
    <row r="302" spans="1:9" x14ac:dyDescent="0.35">
      <c r="A302" s="1">
        <v>22312</v>
      </c>
      <c r="B302" cm="1">
        <f t="array" ref="B302">(PRODUCT(1+sp500_monthly!B303:B422)^(1/120)-1)*100</f>
        <v>1.254003661752856</v>
      </c>
      <c r="C302" cm="1">
        <f t="array" ref="C302">(PRODUCT(1+sp500_monthly!C303:C422)^(1/120)-1)*100</f>
        <v>0.86347270420652489</v>
      </c>
      <c r="D302" cm="1">
        <f t="array" ref="D302">(PRODUCT(1+sp500_monthly!D303:D422)^(1/120)-1)*100</f>
        <v>1.0985045373574032</v>
      </c>
      <c r="E302" cm="1">
        <f t="array" ref="E302">(PRODUCT(1+sp500_monthly!E303:E422)^(1/120)-1)*100</f>
        <v>0.69193708582715452</v>
      </c>
      <c r="F302" cm="1">
        <f t="array" ref="F302">(PRODUCT(1+sp500_monthly!K303:K422)^(1/120)-1)*100</f>
        <v>0.87573584712117292</v>
      </c>
      <c r="G302" cm="1">
        <f t="array" ref="G302">(PRODUCT(1+sp500_monthly!L303:L422)^(1/120)-1)</f>
        <v>0.16451164931853723</v>
      </c>
      <c r="H302" cm="1">
        <f t="array" ref="H302">(PRODUCT(1+sp500_monthly!N303:N422)^(1/120)-1)*100</f>
        <v>0.65287378759295578</v>
      </c>
      <c r="I302" cm="1">
        <f t="array" ref="I302">(PRODUCT(1+sp500_monthly!O303:O422)^(1/120)-1)*100</f>
        <v>3.4367638622145869E-2</v>
      </c>
    </row>
    <row r="303" spans="1:9" x14ac:dyDescent="0.35">
      <c r="A303" s="1">
        <v>22340</v>
      </c>
      <c r="B303" cm="1">
        <f t="array" ref="B303">(PRODUCT(1+sp500_monthly!B304:B423)^(1/120)-1)*100</f>
        <v>1.2533815520886948</v>
      </c>
      <c r="C303" cm="1">
        <f t="array" ref="C303">(PRODUCT(1+sp500_monthly!C304:C423)^(1/120)-1)*100</f>
        <v>0.86337151619211294</v>
      </c>
      <c r="D303" cm="1">
        <f t="array" ref="D303">(PRODUCT(1+sp500_monthly!D304:D423)^(1/120)-1)*100</f>
        <v>1.1032518292505511</v>
      </c>
      <c r="E303" cm="1">
        <f t="array" ref="E303">(PRODUCT(1+sp500_monthly!E304:E423)^(1/120)-1)*100</f>
        <v>0.69734130037826247</v>
      </c>
      <c r="F303" cm="1">
        <f t="array" ref="F303">(PRODUCT(1+sp500_monthly!K304:K423)^(1/120)-1)*100</f>
        <v>0.87724902657273507</v>
      </c>
      <c r="G303" cm="1">
        <f t="array" ref="G303">(PRODUCT(1+sp500_monthly!L304:L423)^(1/120)-1)</f>
        <v>0.16501381418944505</v>
      </c>
      <c r="H303" cm="1">
        <f t="array" ref="H303">(PRODUCT(1+sp500_monthly!N304:N423)^(1/120)-1)*100</f>
        <v>0.70432913461728752</v>
      </c>
      <c r="I303" cm="1">
        <f t="array" ref="I303">(PRODUCT(1+sp500_monthly!O304:O423)^(1/120)-1)*100</f>
        <v>3.5111504979634667E-2</v>
      </c>
    </row>
    <row r="304" spans="1:9" x14ac:dyDescent="0.35">
      <c r="A304" s="1">
        <v>22370</v>
      </c>
      <c r="B304" cm="1">
        <f t="array" ref="B304">(PRODUCT(1+sp500_monthly!B305:B424)^(1/120)-1)*100</f>
        <v>1.2684602577938797</v>
      </c>
      <c r="C304" cm="1">
        <f t="array" ref="C304">(PRODUCT(1+sp500_monthly!C305:C424)^(1/120)-1)*100</f>
        <v>0.88357483645737922</v>
      </c>
      <c r="D304" cm="1">
        <f t="array" ref="D304">(PRODUCT(1+sp500_monthly!D305:D424)^(1/120)-1)*100</f>
        <v>1.1413078342385363</v>
      </c>
      <c r="E304" cm="1">
        <f t="array" ref="E304">(PRODUCT(1+sp500_monthly!E305:E424)^(1/120)-1)*100</f>
        <v>0.73763715820156506</v>
      </c>
      <c r="F304" cm="1">
        <f t="array" ref="F304">(PRODUCT(1+sp500_monthly!K305:K424)^(1/120)-1)*100</f>
        <v>0.89412395900478892</v>
      </c>
      <c r="G304" cm="1">
        <f t="array" ref="G304">(PRODUCT(1+sp500_monthly!L305:L424)^(1/120)-1)</f>
        <v>0.16536063296603998</v>
      </c>
      <c r="H304" cm="1">
        <f t="array" ref="H304">(PRODUCT(1+sp500_monthly!N305:N424)^(1/120)-1)*100</f>
        <v>0.73144772223912025</v>
      </c>
      <c r="I304" cm="1">
        <f t="array" ref="I304">(PRODUCT(1+sp500_monthly!O305:O424)^(1/120)-1)*100</f>
        <v>3.627777188726089E-2</v>
      </c>
    </row>
    <row r="305" spans="1:9" x14ac:dyDescent="0.35">
      <c r="A305" s="1">
        <v>22399</v>
      </c>
      <c r="B305" cm="1">
        <f t="array" ref="B305">(PRODUCT(1+sp500_monthly!B306:B425)^(1/120)-1)*100</f>
        <v>1.3077611651880039</v>
      </c>
      <c r="C305" cm="1">
        <f t="array" ref="C305">(PRODUCT(1+sp500_monthly!C306:C425)^(1/120)-1)*100</f>
        <v>0.92275413993758715</v>
      </c>
      <c r="D305" cm="1">
        <f t="array" ref="D305">(PRODUCT(1+sp500_monthly!D306:D425)^(1/120)-1)*100</f>
        <v>1.1922415369788553</v>
      </c>
      <c r="E305" cm="1">
        <f t="array" ref="E305">(PRODUCT(1+sp500_monthly!E306:E425)^(1/120)-1)*100</f>
        <v>0.78945655711750717</v>
      </c>
      <c r="F305" cm="1">
        <f t="array" ref="F305">(PRODUCT(1+sp500_monthly!K306:K425)^(1/120)-1)*100</f>
        <v>0.93090222507192788</v>
      </c>
      <c r="G305" cm="1">
        <f t="array" ref="G305">(PRODUCT(1+sp500_monthly!L306:L425)^(1/120)-1)</f>
        <v>0.16611798988665627</v>
      </c>
      <c r="H305" cm="1">
        <f t="array" ref="H305">(PRODUCT(1+sp500_monthly!N306:N425)^(1/120)-1)*100</f>
        <v>0.75572917488568869</v>
      </c>
      <c r="I305" cm="1">
        <f t="array" ref="I305">(PRODUCT(1+sp500_monthly!O306:O425)^(1/120)-1)*100</f>
        <v>3.7943391998140896E-2</v>
      </c>
    </row>
    <row r="306" spans="1:9" x14ac:dyDescent="0.35">
      <c r="A306" s="1">
        <v>22432</v>
      </c>
      <c r="B306" cm="1">
        <f t="array" ref="B306">(PRODUCT(1+sp500_monthly!B307:B426)^(1/120)-1)*100</f>
        <v>1.2711167226148401</v>
      </c>
      <c r="C306" cm="1">
        <f t="array" ref="C306">(PRODUCT(1+sp500_monthly!C307:C426)^(1/120)-1)*100</f>
        <v>0.8866341363922503</v>
      </c>
      <c r="D306" cm="1">
        <f t="array" ref="D306">(PRODUCT(1+sp500_monthly!D307:D426)^(1/120)-1)*100</f>
        <v>1.1664900329534378</v>
      </c>
      <c r="E306" cm="1">
        <f t="array" ref="E306">(PRODUCT(1+sp500_monthly!E307:E426)^(1/120)-1)*100</f>
        <v>0.76485978941480681</v>
      </c>
      <c r="F306" cm="1">
        <f t="array" ref="F306">(PRODUCT(1+sp500_monthly!K307:K426)^(1/120)-1)*100</f>
        <v>0.89459638855504675</v>
      </c>
      <c r="G306" cm="1">
        <f t="array" ref="G306">(PRODUCT(1+sp500_monthly!L307:L426)^(1/120)-1)</f>
        <v>0.1664560781855795</v>
      </c>
      <c r="H306" cm="1">
        <f t="array" ref="H306">(PRODUCT(1+sp500_monthly!N307:N426)^(1/120)-1)*100</f>
        <v>0.76037463031377595</v>
      </c>
      <c r="I306" cm="1">
        <f t="array" ref="I306">(PRODUCT(1+sp500_monthly!O307:O426)^(1/120)-1)*100</f>
        <v>4.0197959429710828E-2</v>
      </c>
    </row>
    <row r="307" spans="1:9" x14ac:dyDescent="0.35">
      <c r="A307" s="1">
        <v>22462</v>
      </c>
      <c r="B307" cm="1">
        <f t="array" ref="B307">(PRODUCT(1+sp500_monthly!B308:B427)^(1/120)-1)*100</f>
        <v>1.3164604356507903</v>
      </c>
      <c r="C307" cm="1">
        <f t="array" ref="C307">(PRODUCT(1+sp500_monthly!C308:C427)^(1/120)-1)*100</f>
        <v>0.93753152235760417</v>
      </c>
      <c r="D307" cm="1">
        <f t="array" ref="D307">(PRODUCT(1+sp500_monthly!D308:D427)^(1/120)-1)*100</f>
        <v>1.2216270193329715</v>
      </c>
      <c r="E307" cm="1">
        <f t="array" ref="E307">(PRODUCT(1+sp500_monthly!E308:E427)^(1/120)-1)*100</f>
        <v>0.82275831964151447</v>
      </c>
      <c r="F307" cm="1">
        <f t="array" ref="F307">(PRODUCT(1+sp500_monthly!K308:K427)^(1/120)-1)*100</f>
        <v>0.94537185232543841</v>
      </c>
      <c r="G307" cm="1">
        <f t="array" ref="G307">(PRODUCT(1+sp500_monthly!L308:L427)^(1/120)-1)</f>
        <v>0.16696345841083393</v>
      </c>
      <c r="H307" cm="1">
        <f t="array" ref="H307">(PRODUCT(1+sp500_monthly!N308:N427)^(1/120)-1)*100</f>
        <v>0.77907920485458249</v>
      </c>
      <c r="I307" cm="1">
        <f t="array" ref="I307">(PRODUCT(1+sp500_monthly!O308:O427)^(1/120)-1)*100</f>
        <v>4.0858655670072963E-2</v>
      </c>
    </row>
    <row r="308" spans="1:9" x14ac:dyDescent="0.35">
      <c r="A308" s="1">
        <v>22493</v>
      </c>
      <c r="B308" cm="1">
        <f t="array" ref="B308">(PRODUCT(1+sp500_monthly!B309:B428)^(1/120)-1)*100</f>
        <v>1.3157451023936062</v>
      </c>
      <c r="C308" cm="1">
        <f t="array" ref="C308">(PRODUCT(1+sp500_monthly!C309:C428)^(1/120)-1)*100</f>
        <v>0.93706486672899825</v>
      </c>
      <c r="D308" cm="1">
        <f t="array" ref="D308">(PRODUCT(1+sp500_monthly!D309:D428)^(1/120)-1)*100</f>
        <v>1.2264523889254919</v>
      </c>
      <c r="E308" cm="1">
        <f t="array" ref="E308">(PRODUCT(1+sp500_monthly!E309:E428)^(1/120)-1)*100</f>
        <v>0.82881061280002388</v>
      </c>
      <c r="F308" cm="1">
        <f t="array" ref="F308">(PRODUCT(1+sp500_monthly!K309:K428)^(1/120)-1)*100</f>
        <v>0.94292928903165762</v>
      </c>
      <c r="G308" cm="1">
        <f t="array" ref="G308">(PRODUCT(1+sp500_monthly!L309:L428)^(1/120)-1)</f>
        <v>0.16763458598755876</v>
      </c>
      <c r="H308" cm="1">
        <f t="array" ref="H308">(PRODUCT(1+sp500_monthly!N309:N428)^(1/120)-1)*100</f>
        <v>0.75637692501979714</v>
      </c>
      <c r="I308" cm="1">
        <f t="array" ref="I308">(PRODUCT(1+sp500_monthly!O309:O428)^(1/120)-1)*100</f>
        <v>4.2524352053385783E-2</v>
      </c>
    </row>
    <row r="309" spans="1:9" x14ac:dyDescent="0.35">
      <c r="A309" s="1">
        <v>22524</v>
      </c>
      <c r="B309" cm="1">
        <f t="array" ref="B309">(PRODUCT(1+sp500_monthly!B310:B429)^(1/120)-1)*100</f>
        <v>1.2859494831801488</v>
      </c>
      <c r="C309" cm="1">
        <f t="array" ref="C309">(PRODUCT(1+sp500_monthly!C310:C429)^(1/120)-1)*100</f>
        <v>0.90755404781830418</v>
      </c>
      <c r="D309" cm="1">
        <f t="array" ref="D309">(PRODUCT(1+sp500_monthly!D310:D429)^(1/120)-1)*100</f>
        <v>1.1787853338607324</v>
      </c>
      <c r="E309" cm="1">
        <f t="array" ref="E309">(PRODUCT(1+sp500_monthly!E310:E429)^(1/120)-1)*100</f>
        <v>0.78241443384112763</v>
      </c>
      <c r="F309" cm="1">
        <f t="array" ref="F309">(PRODUCT(1+sp500_monthly!K310:K429)^(1/120)-1)*100</f>
        <v>0.91418637330065167</v>
      </c>
      <c r="G309" cm="1">
        <f t="array" ref="G309">(PRODUCT(1+sp500_monthly!L310:L429)^(1/120)-1)</f>
        <v>0.16805595239773896</v>
      </c>
      <c r="H309" cm="1">
        <f t="array" ref="H309">(PRODUCT(1+sp500_monthly!N310:N429)^(1/120)-1)*100</f>
        <v>0.78203874372531068</v>
      </c>
      <c r="I309" cm="1">
        <f t="array" ref="I309">(PRODUCT(1+sp500_monthly!O310:O429)^(1/120)-1)*100</f>
        <v>4.1791546723435324E-2</v>
      </c>
    </row>
    <row r="310" spans="1:9" x14ac:dyDescent="0.35">
      <c r="A310" s="1">
        <v>22553</v>
      </c>
      <c r="B310" cm="1">
        <f t="array" ref="B310">(PRODUCT(1+sp500_monthly!B311:B430)^(1/120)-1)*100</f>
        <v>1.2652128836813548</v>
      </c>
      <c r="C310" cm="1">
        <f t="array" ref="C310">(PRODUCT(1+sp500_monthly!C311:C430)^(1/120)-1)*100</f>
        <v>0.89212132156470947</v>
      </c>
      <c r="D310" cm="1">
        <f t="array" ref="D310">(PRODUCT(1+sp500_monthly!D311:D430)^(1/120)-1)*100</f>
        <v>1.17292142793326</v>
      </c>
      <c r="E310" cm="1">
        <f t="array" ref="E310">(PRODUCT(1+sp500_monthly!E311:E430)^(1/120)-1)*100</f>
        <v>0.77917780929843694</v>
      </c>
      <c r="F310" cm="1">
        <f t="array" ref="F310">(PRODUCT(1+sp500_monthly!K311:K430)^(1/120)-1)*100</f>
        <v>0.89812464630265598</v>
      </c>
      <c r="G310" cm="1">
        <f t="array" ref="G310">(PRODUCT(1+sp500_monthly!L311:L430)^(1/120)-1)</f>
        <v>0.16814171644988596</v>
      </c>
      <c r="H310" cm="1">
        <f t="array" ref="H310">(PRODUCT(1+sp500_monthly!N311:N430)^(1/120)-1)*100</f>
        <v>0.80199635046396267</v>
      </c>
      <c r="I310" cm="1">
        <f t="array" ref="I310">(PRODUCT(1+sp500_monthly!O311:O430)^(1/120)-1)*100</f>
        <v>4.2400798944464135E-2</v>
      </c>
    </row>
    <row r="311" spans="1:9" x14ac:dyDescent="0.35">
      <c r="A311" s="1">
        <v>22585</v>
      </c>
      <c r="B311" cm="1">
        <f t="array" ref="B311">(PRODUCT(1+sp500_monthly!B312:B431)^(1/120)-1)*100</f>
        <v>1.2468902166074436</v>
      </c>
      <c r="C311" cm="1">
        <f t="array" ref="C311">(PRODUCT(1+sp500_monthly!C312:C431)^(1/120)-1)*100</f>
        <v>0.87423852403851754</v>
      </c>
      <c r="D311" cm="1">
        <f t="array" ref="D311">(PRODUCT(1+sp500_monthly!D312:D431)^(1/120)-1)*100</f>
        <v>1.135691618833623</v>
      </c>
      <c r="E311" cm="1">
        <f t="array" ref="E311">(PRODUCT(1+sp500_monthly!E312:E431)^(1/120)-1)*100</f>
        <v>0.74319401885118985</v>
      </c>
      <c r="F311" cm="1">
        <f t="array" ref="F311">(PRODUCT(1+sp500_monthly!K312:K431)^(1/120)-1)*100</f>
        <v>0.88213105452215057</v>
      </c>
      <c r="G311" cm="1">
        <f t="array" ref="G311">(PRODUCT(1+sp500_monthly!L312:L431)^(1/120)-1)</f>
        <v>0.16856694935921879</v>
      </c>
      <c r="H311" cm="1">
        <f t="array" ref="H311">(PRODUCT(1+sp500_monthly!N312:N431)^(1/120)-1)*100</f>
        <v>0.78504147426901039</v>
      </c>
      <c r="I311" cm="1">
        <f t="array" ref="I311">(PRODUCT(1+sp500_monthly!O312:O431)^(1/120)-1)*100</f>
        <v>4.2703796949417061E-2</v>
      </c>
    </row>
    <row r="312" spans="1:9" x14ac:dyDescent="0.35">
      <c r="A312" s="1">
        <v>22615</v>
      </c>
      <c r="B312" cm="1">
        <f t="array" ref="B312">(PRODUCT(1+sp500_monthly!B313:B432)^(1/120)-1)*100</f>
        <v>1.2816541619378397</v>
      </c>
      <c r="C312" cm="1">
        <f t="array" ref="C312">(PRODUCT(1+sp500_monthly!C313:C432)^(1/120)-1)*100</f>
        <v>0.90924912475274233</v>
      </c>
      <c r="D312" cm="1">
        <f t="array" ref="D312">(PRODUCT(1+sp500_monthly!D313:D432)^(1/120)-1)*100</f>
        <v>1.1744477046497837</v>
      </c>
      <c r="E312" cm="1">
        <f t="array" ref="E312">(PRODUCT(1+sp500_monthly!E313:E432)^(1/120)-1)*100</f>
        <v>0.78316192597458478</v>
      </c>
      <c r="F312" cm="1">
        <f t="array" ref="F312">(PRODUCT(1+sp500_monthly!K313:K432)^(1/120)-1)*100</f>
        <v>0.91726335202844123</v>
      </c>
      <c r="G312" cm="1">
        <f t="array" ref="G312">(PRODUCT(1+sp500_monthly!L313:L432)^(1/120)-1)</f>
        <v>0.16881562058769761</v>
      </c>
      <c r="H312" cm="1">
        <f t="array" ref="H312">(PRODUCT(1+sp500_monthly!N313:N432)^(1/120)-1)*100</f>
        <v>0.80838043684998695</v>
      </c>
      <c r="I312" cm="1">
        <f t="array" ref="I312">(PRODUCT(1+sp500_monthly!O313:O432)^(1/120)-1)*100</f>
        <v>4.4286316036923346E-2</v>
      </c>
    </row>
    <row r="313" spans="1:9" x14ac:dyDescent="0.35">
      <c r="A313" s="1">
        <v>22644</v>
      </c>
      <c r="B313" cm="1">
        <f t="array" ref="B313">(PRODUCT(1+sp500_monthly!B314:B433)^(1/120)-1)*100</f>
        <v>1.3094340301112117</v>
      </c>
      <c r="C313" cm="1">
        <f t="array" ref="C313">(PRODUCT(1+sp500_monthly!C314:C433)^(1/120)-1)*100</f>
        <v>0.94385668822181135</v>
      </c>
      <c r="D313" cm="1">
        <f t="array" ref="D313">(PRODUCT(1+sp500_monthly!D314:D433)^(1/120)-1)*100</f>
        <v>1.1961325011634383</v>
      </c>
      <c r="E313" cm="1">
        <f t="array" ref="E313">(PRODUCT(1+sp500_monthly!E314:E433)^(1/120)-1)*100</f>
        <v>0.80941117891280001</v>
      </c>
      <c r="F313" cm="1">
        <f t="array" ref="F313">(PRODUCT(1+sp500_monthly!K314:K433)^(1/120)-1)*100</f>
        <v>0.95192770594128007</v>
      </c>
      <c r="G313" cm="1">
        <f t="array" ref="G313">(PRODUCT(1+sp500_monthly!L314:L433)^(1/120)-1)</f>
        <v>0.16916049083412688</v>
      </c>
      <c r="H313" cm="1">
        <f t="array" ref="H313">(PRODUCT(1+sp500_monthly!N314:N433)^(1/120)-1)*100</f>
        <v>0.8455462045436013</v>
      </c>
      <c r="I313" cm="1">
        <f t="array" ref="I313">(PRODUCT(1+sp500_monthly!O314:O433)^(1/120)-1)*100</f>
        <v>4.5535940441832068E-2</v>
      </c>
    </row>
    <row r="314" spans="1:9" x14ac:dyDescent="0.35">
      <c r="A314" s="1">
        <v>22677</v>
      </c>
      <c r="B314" cm="1">
        <f t="array" ref="B314">(PRODUCT(1+sp500_monthly!B315:B434)^(1/120)-1)*100</f>
        <v>1.2788099673608055</v>
      </c>
      <c r="C314" cm="1">
        <f t="array" ref="C314">(PRODUCT(1+sp500_monthly!C315:C434)^(1/120)-1)*100</f>
        <v>0.91501898098149681</v>
      </c>
      <c r="D314" cm="1">
        <f t="array" ref="D314">(PRODUCT(1+sp500_monthly!D315:D434)^(1/120)-1)*100</f>
        <v>1.171621911095988</v>
      </c>
      <c r="E314" cm="1">
        <f t="array" ref="E314">(PRODUCT(1+sp500_monthly!E315:E434)^(1/120)-1)*100</f>
        <v>0.78833310448438443</v>
      </c>
      <c r="F314" cm="1">
        <f t="array" ref="F314">(PRODUCT(1+sp500_monthly!K315:K434)^(1/120)-1)*100</f>
        <v>0.92253672910680429</v>
      </c>
      <c r="G314" cm="1">
        <f t="array" ref="G314">(PRODUCT(1+sp500_monthly!L315:L434)^(1/120)-1)</f>
        <v>0.16975130600133204</v>
      </c>
      <c r="H314" cm="1">
        <f t="array" ref="H314">(PRODUCT(1+sp500_monthly!N315:N434)^(1/120)-1)*100</f>
        <v>0.84864291746304943</v>
      </c>
      <c r="I314" cm="1">
        <f t="array" ref="I314">(PRODUCT(1+sp500_monthly!O315:O434)^(1/120)-1)*100</f>
        <v>4.6284642769900408E-2</v>
      </c>
    </row>
    <row r="315" spans="1:9" x14ac:dyDescent="0.35">
      <c r="A315" s="1">
        <v>22705</v>
      </c>
      <c r="B315" cm="1">
        <f t="array" ref="B315">(PRODUCT(1+sp500_monthly!B316:B435)^(1/120)-1)*100</f>
        <v>1.23182445666008</v>
      </c>
      <c r="C315" cm="1">
        <f t="array" ref="C315">(PRODUCT(1+sp500_monthly!C316:C435)^(1/120)-1)*100</f>
        <v>0.86824565897509753</v>
      </c>
      <c r="D315" cm="1">
        <f t="array" ref="D315">(PRODUCT(1+sp500_monthly!D316:D435)^(1/120)-1)*100</f>
        <v>1.1436310689948437</v>
      </c>
      <c r="E315" cm="1">
        <f t="array" ref="E315">(PRODUCT(1+sp500_monthly!E316:E435)^(1/120)-1)*100</f>
        <v>0.76121398489501502</v>
      </c>
      <c r="F315" cm="1">
        <f t="array" ref="F315">(PRODUCT(1+sp500_monthly!K316:K435)^(1/120)-1)*100</f>
        <v>0.87708302109499314</v>
      </c>
      <c r="G315" cm="1">
        <f t="array" ref="G315">(PRODUCT(1+sp500_monthly!L316:L435)^(1/120)-1)</f>
        <v>0.17048603750571423</v>
      </c>
      <c r="H315" cm="1">
        <f t="array" ref="H315">(PRODUCT(1+sp500_monthly!N316:N435)^(1/120)-1)*100</f>
        <v>0.81581296856778618</v>
      </c>
      <c r="I315" cm="1">
        <f t="array" ref="I315">(PRODUCT(1+sp500_monthly!O316:O435)^(1/120)-1)*100</f>
        <v>4.7450153055050848E-2</v>
      </c>
    </row>
    <row r="316" spans="1:9" x14ac:dyDescent="0.35">
      <c r="A316" s="1">
        <v>22735</v>
      </c>
      <c r="B316" cm="1">
        <f t="array" ref="B316">(PRODUCT(1+sp500_monthly!B317:B436)^(1/120)-1)*100</f>
        <v>1.2705934336568303</v>
      </c>
      <c r="C316" cm="1">
        <f t="array" ref="C316">(PRODUCT(1+sp500_monthly!C317:C436)^(1/120)-1)*100</f>
        <v>0.9123140668441776</v>
      </c>
      <c r="D316" cm="1">
        <f t="array" ref="D316">(PRODUCT(1+sp500_monthly!D317:D436)^(1/120)-1)*100</f>
        <v>1.1692220090165018</v>
      </c>
      <c r="E316" cm="1">
        <f t="array" ref="E316">(PRODUCT(1+sp500_monthly!E317:E436)^(1/120)-1)*100</f>
        <v>0.78974050488771486</v>
      </c>
      <c r="F316" cm="1">
        <f t="array" ref="F316">(PRODUCT(1+sp500_monthly!K317:K436)^(1/120)-1)*100</f>
        <v>0.92187743839780012</v>
      </c>
      <c r="G316" cm="1">
        <f t="array" ref="G316">(PRODUCT(1+sp500_monthly!L317:L436)^(1/120)-1)</f>
        <v>0.1711591909384802</v>
      </c>
      <c r="H316" cm="1">
        <f t="array" ref="H316">(PRODUCT(1+sp500_monthly!N317:N436)^(1/120)-1)*100</f>
        <v>0.83098297083818995</v>
      </c>
      <c r="I316" cm="1">
        <f t="array" ref="I316">(PRODUCT(1+sp500_monthly!O317:O436)^(1/120)-1)*100</f>
        <v>4.717542902439309E-2</v>
      </c>
    </row>
    <row r="317" spans="1:9" x14ac:dyDescent="0.35">
      <c r="A317" s="1">
        <v>22766</v>
      </c>
      <c r="B317" cm="1">
        <f t="array" ref="B317">(PRODUCT(1+sp500_monthly!B318:B437)^(1/120)-1)*100</f>
        <v>1.2239290524825197</v>
      </c>
      <c r="C317" cm="1">
        <f t="array" ref="C317">(PRODUCT(1+sp500_monthly!C318:C437)^(1/120)-1)*100</f>
        <v>0.86643965204393769</v>
      </c>
      <c r="D317" cm="1">
        <f t="array" ref="D317">(PRODUCT(1+sp500_monthly!D318:D437)^(1/120)-1)*100</f>
        <v>1.1250413442554175</v>
      </c>
      <c r="E317" cm="1">
        <f t="array" ref="E317">(PRODUCT(1+sp500_monthly!E318:E437)^(1/120)-1)*100</f>
        <v>0.74722092160108833</v>
      </c>
      <c r="F317" cm="1">
        <f t="array" ref="F317">(PRODUCT(1+sp500_monthly!K318:K437)^(1/120)-1)*100</f>
        <v>0.87773834201538836</v>
      </c>
      <c r="G317" cm="1">
        <f t="array" ref="G317">(PRODUCT(1+sp500_monthly!L318:L437)^(1/120)-1)</f>
        <v>0.17192031628741455</v>
      </c>
      <c r="H317" cm="1">
        <f t="array" ref="H317">(PRODUCT(1+sp500_monthly!N318:N437)^(1/120)-1)*100</f>
        <v>0.82607588988170555</v>
      </c>
      <c r="I317" cm="1">
        <f t="array" ref="I317">(PRODUCT(1+sp500_monthly!O318:O437)^(1/120)-1)*100</f>
        <v>4.7181508545723894E-2</v>
      </c>
    </row>
    <row r="318" spans="1:9" x14ac:dyDescent="0.35">
      <c r="A318" s="1">
        <v>22797</v>
      </c>
      <c r="B318" cm="1">
        <f t="array" ref="B318">(PRODUCT(1+sp500_monthly!B319:B438)^(1/120)-1)*100</f>
        <v>1.2058571380675343</v>
      </c>
      <c r="C318" cm="1">
        <f t="array" ref="C318">(PRODUCT(1+sp500_monthly!C319:C438)^(1/120)-1)*100</f>
        <v>0.84942344445524398</v>
      </c>
      <c r="D318" cm="1">
        <f t="array" ref="D318">(PRODUCT(1+sp500_monthly!D319:D438)^(1/120)-1)*100</f>
        <v>1.0965686956019516</v>
      </c>
      <c r="E318" cm="1">
        <f t="array" ref="E318">(PRODUCT(1+sp500_monthly!E319:E438)^(1/120)-1)*100</f>
        <v>0.7203238382756938</v>
      </c>
      <c r="F318" cm="1">
        <f t="array" ref="F318">(PRODUCT(1+sp500_monthly!K319:K438)^(1/120)-1)*100</f>
        <v>0.86098428424787876</v>
      </c>
      <c r="G318" cm="1">
        <f t="array" ref="G318">(PRODUCT(1+sp500_monthly!L319:L438)^(1/120)-1)</f>
        <v>0.17275582374998599</v>
      </c>
      <c r="H318" cm="1">
        <f t="array" ref="H318">(PRODUCT(1+sp500_monthly!N319:N438)^(1/120)-1)*100</f>
        <v>0.77142925657469608</v>
      </c>
      <c r="I318" cm="1">
        <f t="array" ref="I318">(PRODUCT(1+sp500_monthly!O319:O438)^(1/120)-1)*100</f>
        <v>4.7909055392092448E-2</v>
      </c>
    </row>
    <row r="319" spans="1:9" x14ac:dyDescent="0.35">
      <c r="A319" s="1">
        <v>22826</v>
      </c>
      <c r="B319" cm="1">
        <f t="array" ref="B319">(PRODUCT(1+sp500_monthly!B320:B439)^(1/120)-1)*100</f>
        <v>1.1077704562497459</v>
      </c>
      <c r="C319" cm="1">
        <f t="array" ref="C319">(PRODUCT(1+sp500_monthly!C320:C439)^(1/120)-1)*100</f>
        <v>0.75501880409851729</v>
      </c>
      <c r="D319" cm="1">
        <f t="array" ref="D319">(PRODUCT(1+sp500_monthly!D320:D439)^(1/120)-1)*100</f>
        <v>0.99433592119131387</v>
      </c>
      <c r="E319" cm="1">
        <f t="array" ref="E319">(PRODUCT(1+sp500_monthly!E320:E439)^(1/120)-1)*100</f>
        <v>0.62020939766693761</v>
      </c>
      <c r="F319" cm="1">
        <f t="array" ref="F319">(PRODUCT(1+sp500_monthly!K320:K439)^(1/120)-1)*100</f>
        <v>0.76621468992690289</v>
      </c>
      <c r="G319" cm="1">
        <f t="array" ref="G319">(PRODUCT(1+sp500_monthly!L320:L439)^(1/120)-1)</f>
        <v>0.17366402258508873</v>
      </c>
      <c r="H319" cm="1">
        <f t="array" ref="H319">(PRODUCT(1+sp500_monthly!N320:N439)^(1/120)-1)*100</f>
        <v>0.7007394966939362</v>
      </c>
      <c r="I319" cm="1">
        <f t="array" ref="I319">(PRODUCT(1+sp500_monthly!O320:O439)^(1/120)-1)*100</f>
        <v>4.9080096914244642E-2</v>
      </c>
    </row>
    <row r="320" spans="1:9" x14ac:dyDescent="0.35">
      <c r="A320" s="1">
        <v>22858</v>
      </c>
      <c r="B320" cm="1">
        <f t="array" ref="B320">(PRODUCT(1+sp500_monthly!B321:B440)^(1/120)-1)*100</f>
        <v>0.99759582982765771</v>
      </c>
      <c r="C320" cm="1">
        <f t="array" ref="C320">(PRODUCT(1+sp500_monthly!C321:C440)^(1/120)-1)*100</f>
        <v>0.64544260622874106</v>
      </c>
      <c r="D320" cm="1">
        <f t="array" ref="D320">(PRODUCT(1+sp500_monthly!D321:D440)^(1/120)-1)*100</f>
        <v>0.8908793190649078</v>
      </c>
      <c r="E320" cm="1">
        <f t="array" ref="E320">(PRODUCT(1+sp500_monthly!E321:E440)^(1/120)-1)*100</f>
        <v>0.51803670246044486</v>
      </c>
      <c r="F320" cm="1">
        <f t="array" ref="F320">(PRODUCT(1+sp500_monthly!K321:K440)^(1/120)-1)*100</f>
        <v>0.6567309996072801</v>
      </c>
      <c r="G320" cm="1">
        <f t="array" ref="G320">(PRODUCT(1+sp500_monthly!L321:L440)^(1/120)-1)</f>
        <v>0.17408035214465123</v>
      </c>
      <c r="H320" cm="1">
        <f t="array" ref="H320">(PRODUCT(1+sp500_monthly!N321:N440)^(1/120)-1)*100</f>
        <v>0.63101454525162914</v>
      </c>
      <c r="I320" cm="1">
        <f t="array" ref="I320">(PRODUCT(1+sp500_monthly!O321:O440)^(1/120)-1)*100</f>
        <v>5.1573483270428433E-2</v>
      </c>
    </row>
    <row r="321" spans="1:9" x14ac:dyDescent="0.35">
      <c r="A321" s="1">
        <v>22889</v>
      </c>
      <c r="B321" cm="1">
        <f t="array" ref="B321">(PRODUCT(1+sp500_monthly!B322:B441)^(1/120)-1)*100</f>
        <v>1.0348178186406543</v>
      </c>
      <c r="C321" cm="1">
        <f t="array" ref="C321">(PRODUCT(1+sp500_monthly!C322:C441)^(1/120)-1)*100</f>
        <v>0.68277335645250403</v>
      </c>
      <c r="D321" cm="1">
        <f t="array" ref="D321">(PRODUCT(1+sp500_monthly!D322:D441)^(1/120)-1)*100</f>
        <v>0.92250240689126795</v>
      </c>
      <c r="E321" cm="1">
        <f t="array" ref="E321">(PRODUCT(1+sp500_monthly!E322:E441)^(1/120)-1)*100</f>
        <v>0.5501202045886</v>
      </c>
      <c r="F321" cm="1">
        <f t="array" ref="F321">(PRODUCT(1+sp500_monthly!K322:K441)^(1/120)-1)*100</f>
        <v>0.69377045004925808</v>
      </c>
      <c r="G321" cm="1">
        <f t="array" ref="G321">(PRODUCT(1+sp500_monthly!L322:L441)^(1/120)-1)</f>
        <v>0.17505186467151623</v>
      </c>
      <c r="H321" cm="1">
        <f t="array" ref="H321">(PRODUCT(1+sp500_monthly!N322:N441)^(1/120)-1)*100</f>
        <v>0.68372077996672331</v>
      </c>
      <c r="I321" cm="1">
        <f t="array" ref="I321">(PRODUCT(1+sp500_monthly!O322:O441)^(1/120)-1)*100</f>
        <v>5.3545686058864561E-2</v>
      </c>
    </row>
    <row r="322" spans="1:9" x14ac:dyDescent="0.35">
      <c r="A322" s="1">
        <v>22917</v>
      </c>
      <c r="B322" cm="1">
        <f t="array" ref="B322">(PRODUCT(1+sp500_monthly!B323:B442)^(1/120)-1)*100</f>
        <v>1.0576607716701769</v>
      </c>
      <c r="C322" cm="1">
        <f t="array" ref="C322">(PRODUCT(1+sp500_monthly!C323:C442)^(1/120)-1)*100</f>
        <v>0.70861873361605099</v>
      </c>
      <c r="D322" cm="1">
        <f t="array" ref="D322">(PRODUCT(1+sp500_monthly!D323:D442)^(1/120)-1)*100</f>
        <v>0.94423732178794406</v>
      </c>
      <c r="E322" cm="1">
        <f t="array" ref="E322">(PRODUCT(1+sp500_monthly!E323:E442)^(1/120)-1)*100</f>
        <v>0.5732057887131603</v>
      </c>
      <c r="F322" cm="1">
        <f t="array" ref="F322">(PRODUCT(1+sp500_monthly!K323:K442)^(1/120)-1)*100</f>
        <v>0.71881486017908447</v>
      </c>
      <c r="G322" cm="1">
        <f t="array" ref="G322">(PRODUCT(1+sp500_monthly!L323:L442)^(1/120)-1)</f>
        <v>0.17571058969688225</v>
      </c>
      <c r="H322" cm="1">
        <f t="array" ref="H322">(PRODUCT(1+sp500_monthly!N323:N442)^(1/120)-1)*100</f>
        <v>0.70004469022462157</v>
      </c>
      <c r="I322" cm="1">
        <f t="array" ref="I322">(PRODUCT(1+sp500_monthly!O323:O442)^(1/120)-1)*100</f>
        <v>5.3807399232108644E-2</v>
      </c>
    </row>
    <row r="323" spans="1:9" x14ac:dyDescent="0.35">
      <c r="A323" s="1">
        <v>22950</v>
      </c>
      <c r="B323" cm="1">
        <f t="array" ref="B323">(PRODUCT(1+sp500_monthly!B324:B443)^(1/120)-1)*100</f>
        <v>1.0308863783477396</v>
      </c>
      <c r="C323" cm="1">
        <f t="array" ref="C323">(PRODUCT(1+sp500_monthly!C324:C443)^(1/120)-1)*100</f>
        <v>0.682384827693161</v>
      </c>
      <c r="D323" cm="1">
        <f t="array" ref="D323">(PRODUCT(1+sp500_monthly!D324:D443)^(1/120)-1)*100</f>
        <v>0.90913018226668196</v>
      </c>
      <c r="E323" cm="1">
        <f t="array" ref="E323">(PRODUCT(1+sp500_monthly!E324:E443)^(1/120)-1)*100</f>
        <v>0.53901470455093303</v>
      </c>
      <c r="F323" cm="1">
        <f t="array" ref="F323">(PRODUCT(1+sp500_monthly!K324:K443)^(1/120)-1)*100</f>
        <v>0.69394329087753004</v>
      </c>
      <c r="G323" cm="1">
        <f t="array" ref="G323">(PRODUCT(1+sp500_monthly!L324:L443)^(1/120)-1)</f>
        <v>0.17612412410355849</v>
      </c>
      <c r="H323" cm="1">
        <f t="array" ref="H323">(PRODUCT(1+sp500_monthly!N324:N443)^(1/120)-1)*100</f>
        <v>0.65418575085407493</v>
      </c>
      <c r="I323" cm="1">
        <f t="array" ref="I323">(PRODUCT(1+sp500_monthly!O324:O443)^(1/120)-1)*100</f>
        <v>5.1710409983884986E-2</v>
      </c>
    </row>
    <row r="324" spans="1:9" x14ac:dyDescent="0.35">
      <c r="A324" s="1">
        <v>22980</v>
      </c>
      <c r="B324" cm="1">
        <f t="array" ref="B324">(PRODUCT(1+sp500_monthly!B325:B444)^(1/120)-1)*100</f>
        <v>1.0375872118421059</v>
      </c>
      <c r="C324" cm="1">
        <f t="array" ref="C324">(PRODUCT(1+sp500_monthly!C325:C444)^(1/120)-1)*100</f>
        <v>0.68878620709198479</v>
      </c>
      <c r="D324" cm="1">
        <f t="array" ref="D324">(PRODUCT(1+sp500_monthly!D325:D444)^(1/120)-1)*100</f>
        <v>0.91169548266070155</v>
      </c>
      <c r="E324" cm="1">
        <f t="array" ref="E324">(PRODUCT(1+sp500_monthly!E325:E444)^(1/120)-1)*100</f>
        <v>0.5426115754544325</v>
      </c>
      <c r="F324" cm="1">
        <f t="array" ref="F324">(PRODUCT(1+sp500_monthly!K325:K444)^(1/120)-1)*100</f>
        <v>0.69834748124086854</v>
      </c>
      <c r="G324" cm="1">
        <f t="array" ref="G324">(PRODUCT(1+sp500_monthly!L325:L444)^(1/120)-1)</f>
        <v>0.17702729582125132</v>
      </c>
      <c r="H324" cm="1">
        <f t="array" ref="H324">(PRODUCT(1+sp500_monthly!N325:N444)^(1/120)-1)*100</f>
        <v>0.662233732882056</v>
      </c>
      <c r="I324" cm="1">
        <f t="array" ref="I324">(PRODUCT(1+sp500_monthly!O325:O444)^(1/120)-1)*100</f>
        <v>5.4889328325402609E-2</v>
      </c>
    </row>
    <row r="325" spans="1:9" x14ac:dyDescent="0.35">
      <c r="A325" s="1">
        <v>23011</v>
      </c>
      <c r="B325" cm="1">
        <f t="array" ref="B325">(PRODUCT(1+sp500_monthly!B326:B445)^(1/120)-1)*100</f>
        <v>1.0739896991920794</v>
      </c>
      <c r="C325" cm="1">
        <f t="array" ref="C325">(PRODUCT(1+sp500_monthly!C326:C445)^(1/120)-1)*100</f>
        <v>0.72961205120591899</v>
      </c>
      <c r="D325" cm="1">
        <f t="array" ref="D325">(PRODUCT(1+sp500_monthly!D326:D445)^(1/120)-1)*100</f>
        <v>0.95489513874797982</v>
      </c>
      <c r="E325" cm="1">
        <f t="array" ref="E325">(PRODUCT(1+sp500_monthly!E326:E445)^(1/120)-1)*100</f>
        <v>0.58889164552005102</v>
      </c>
      <c r="F325" cm="1">
        <f t="array" ref="F325">(PRODUCT(1+sp500_monthly!K326:K445)^(1/120)-1)*100</f>
        <v>0.74138848754550235</v>
      </c>
      <c r="G325" cm="1">
        <f t="array" ref="G325">(PRODUCT(1+sp500_monthly!L326:L445)^(1/120)-1)</f>
        <v>0.1778810616958113</v>
      </c>
      <c r="H325" cm="1">
        <f t="array" ref="H325">(PRODUCT(1+sp500_monthly!N326:N445)^(1/120)-1)*100</f>
        <v>0.74850334774265725</v>
      </c>
      <c r="I325" cm="1">
        <f t="array" ref="I325">(PRODUCT(1+sp500_monthly!O326:O445)^(1/120)-1)*100</f>
        <v>5.6555258321688839E-2</v>
      </c>
    </row>
    <row r="326" spans="1:9" x14ac:dyDescent="0.35">
      <c r="A326" s="1">
        <v>23042</v>
      </c>
      <c r="B326" cm="1">
        <f t="array" ref="B326">(PRODUCT(1+sp500_monthly!B327:B446)^(1/120)-1)*100</f>
        <v>1.0553867979882225</v>
      </c>
      <c r="C326" cm="1">
        <f t="array" ref="C326">(PRODUCT(1+sp500_monthly!C327:C446)^(1/120)-1)*100</f>
        <v>0.71185220589713438</v>
      </c>
      <c r="D326" cm="1">
        <f t="array" ref="D326">(PRODUCT(1+sp500_monthly!D327:D446)^(1/120)-1)*100</f>
        <v>0.92210044179497075</v>
      </c>
      <c r="E326" cm="1">
        <f t="array" ref="E326">(PRODUCT(1+sp500_monthly!E327:E446)^(1/120)-1)*100</f>
        <v>0.5576802715547835</v>
      </c>
      <c r="F326" cm="1">
        <f t="array" ref="F326">(PRODUCT(1+sp500_monthly!K327:K446)^(1/120)-1)*100</f>
        <v>0.72338438502592695</v>
      </c>
      <c r="G326" cm="1">
        <f t="array" ref="G326">(PRODUCT(1+sp500_monthly!L327:L446)^(1/120)-1)</f>
        <v>0.17845634343847583</v>
      </c>
      <c r="H326" cm="1">
        <f t="array" ref="H326">(PRODUCT(1+sp500_monthly!N327:N446)^(1/120)-1)*100</f>
        <v>0.76144581330932493</v>
      </c>
      <c r="I326" cm="1">
        <f t="array" ref="I326">(PRODUCT(1+sp500_monthly!O327:O446)^(1/120)-1)*100</f>
        <v>5.8470825263090553E-2</v>
      </c>
    </row>
    <row r="327" spans="1:9" x14ac:dyDescent="0.35">
      <c r="A327" s="1">
        <v>23070</v>
      </c>
      <c r="B327" cm="1">
        <f t="array" ref="B327">(PRODUCT(1+sp500_monthly!B328:B447)^(1/120)-1)*100</f>
        <v>1.1020228019939848</v>
      </c>
      <c r="C327" cm="1">
        <f t="array" ref="C327">(PRODUCT(1+sp500_monthly!C328:C447)^(1/120)-1)*100</f>
        <v>0.75769872380215819</v>
      </c>
      <c r="D327" cm="1">
        <f t="array" ref="D327">(PRODUCT(1+sp500_monthly!D328:D447)^(1/120)-1)*100</f>
        <v>0.9761215386632438</v>
      </c>
      <c r="E327" cm="1">
        <f t="array" ref="E327">(PRODUCT(1+sp500_monthly!E328:E447)^(1/120)-1)*100</f>
        <v>0.61154237361449315</v>
      </c>
      <c r="F327" cm="1">
        <f t="array" ref="F327">(PRODUCT(1+sp500_monthly!K328:K447)^(1/120)-1)*100</f>
        <v>0.76967408463290976</v>
      </c>
      <c r="G327" cm="1">
        <f t="array" ref="G327">(PRODUCT(1+sp500_monthly!L328:L447)^(1/120)-1)</f>
        <v>0.17919039226796207</v>
      </c>
      <c r="H327" cm="1">
        <f t="array" ref="H327">(PRODUCT(1+sp500_monthly!N328:N447)^(1/120)-1)*100</f>
        <v>0.80105838035411381</v>
      </c>
      <c r="I327" cm="1">
        <f t="array" ref="I327">(PRODUCT(1+sp500_monthly!O328:O447)^(1/120)-1)*100</f>
        <v>5.890761844051795E-2</v>
      </c>
    </row>
    <row r="328" spans="1:9" x14ac:dyDescent="0.35">
      <c r="A328" s="1">
        <v>23099</v>
      </c>
      <c r="B328" cm="1">
        <f t="array" ref="B328">(PRODUCT(1+sp500_monthly!B329:B448)^(1/120)-1)*100</f>
        <v>1.0877702839733772</v>
      </c>
      <c r="C328" cm="1">
        <f t="array" ref="C328">(PRODUCT(1+sp500_monthly!C329:C448)^(1/120)-1)*100</f>
        <v>0.74793130502519567</v>
      </c>
      <c r="D328" cm="1">
        <f t="array" ref="D328">(PRODUCT(1+sp500_monthly!D329:D448)^(1/120)-1)*100</f>
        <v>0.97014972305360381</v>
      </c>
      <c r="E328" cm="1">
        <f t="array" ref="E328">(PRODUCT(1+sp500_monthly!E329:E448)^(1/120)-1)*100</f>
        <v>0.60807059311460687</v>
      </c>
      <c r="F328" cm="1">
        <f t="array" ref="F328">(PRODUCT(1+sp500_monthly!K329:K448)^(1/120)-1)*100</f>
        <v>0.76051049127332515</v>
      </c>
      <c r="G328" cm="1">
        <f t="array" ref="G328">(PRODUCT(1+sp500_monthly!L329:L448)^(1/120)-1)</f>
        <v>0.17993731081882069</v>
      </c>
      <c r="H328" cm="1">
        <f t="array" ref="H328">(PRODUCT(1+sp500_monthly!N329:N448)^(1/120)-1)*100</f>
        <v>0.77938885470654196</v>
      </c>
      <c r="I328" cm="1">
        <f t="array" ref="I328">(PRODUCT(1+sp500_monthly!O329:O448)^(1/120)-1)*100</f>
        <v>5.9728239280332218E-2</v>
      </c>
    </row>
    <row r="329" spans="1:9" x14ac:dyDescent="0.35">
      <c r="A329" s="1">
        <v>23131</v>
      </c>
      <c r="B329" cm="1">
        <f t="array" ref="B329">(PRODUCT(1+sp500_monthly!B330:B449)^(1/120)-1)*100</f>
        <v>1.1370355556956424</v>
      </c>
      <c r="C329" cm="1">
        <f t="array" ref="C329">(PRODUCT(1+sp500_monthly!C330:C449)^(1/120)-1)*100</f>
        <v>0.7976643196853761</v>
      </c>
      <c r="D329" cm="1">
        <f t="array" ref="D329">(PRODUCT(1+sp500_monthly!D330:D449)^(1/120)-1)*100</f>
        <v>1.0044856776458611</v>
      </c>
      <c r="E329" cm="1">
        <f t="array" ref="E329">(PRODUCT(1+sp500_monthly!E330:E449)^(1/120)-1)*100</f>
        <v>0.64366627362697493</v>
      </c>
      <c r="F329" cm="1">
        <f t="array" ref="F329">(PRODUCT(1+sp500_monthly!K330:K449)^(1/120)-1)*100</f>
        <v>0.80979730034203001</v>
      </c>
      <c r="G329" cm="1">
        <f t="array" ref="G329">(PRODUCT(1+sp500_monthly!L330:L449)^(1/120)-1)</f>
        <v>0.18034544039408296</v>
      </c>
      <c r="H329" cm="1">
        <f t="array" ref="H329">(PRODUCT(1+sp500_monthly!N330:N449)^(1/120)-1)*100</f>
        <v>0.8087401108906489</v>
      </c>
      <c r="I329" cm="1">
        <f t="array" ref="I329">(PRODUCT(1+sp500_monthly!O330:O449)^(1/120)-1)*100</f>
        <v>6.0823558378153564E-2</v>
      </c>
    </row>
    <row r="330" spans="1:9" x14ac:dyDescent="0.35">
      <c r="A330" s="1">
        <v>23162</v>
      </c>
      <c r="B330" cm="1">
        <f t="array" ref="B330">(PRODUCT(1+sp500_monthly!B331:B450)^(1/120)-1)*100</f>
        <v>1.1990328533715511</v>
      </c>
      <c r="C330" cm="1">
        <f t="array" ref="C330">(PRODUCT(1+sp500_monthly!C331:C450)^(1/120)-1)*100</f>
        <v>0.86005302650495885</v>
      </c>
      <c r="D330" cm="1">
        <f t="array" ref="D330">(PRODUCT(1+sp500_monthly!D331:D450)^(1/120)-1)*100</f>
        <v>1.062775285198736</v>
      </c>
      <c r="E330" cm="1">
        <f t="array" ref="E330">(PRODUCT(1+sp500_monthly!E331:E450)^(1/120)-1)*100</f>
        <v>0.70283569907447774</v>
      </c>
      <c r="F330" cm="1">
        <f t="array" ref="F330">(PRODUCT(1+sp500_monthly!K331:K450)^(1/120)-1)*100</f>
        <v>0.87217577605360752</v>
      </c>
      <c r="G330" cm="1">
        <f t="array" ref="G330">(PRODUCT(1+sp500_monthly!L331:L450)^(1/120)-1)</f>
        <v>0.18108066592342476</v>
      </c>
      <c r="H330" cm="1">
        <f t="array" ref="H330">(PRODUCT(1+sp500_monthly!N331:N450)^(1/120)-1)*100</f>
        <v>0.84981781179516158</v>
      </c>
      <c r="I330" cm="1">
        <f t="array" ref="I330">(PRODUCT(1+sp500_monthly!O331:O450)^(1/120)-1)*100</f>
        <v>6.3725904772105046E-2</v>
      </c>
    </row>
    <row r="331" spans="1:9" x14ac:dyDescent="0.35">
      <c r="A331" s="1">
        <v>23190</v>
      </c>
      <c r="B331" cm="1">
        <f t="array" ref="B331">(PRODUCT(1+sp500_monthly!B332:B451)^(1/120)-1)*100</f>
        <v>1.2092453810760295</v>
      </c>
      <c r="C331" cm="1">
        <f t="array" ref="C331">(PRODUCT(1+sp500_monthly!C332:C451)^(1/120)-1)*100</f>
        <v>0.87390776223350564</v>
      </c>
      <c r="D331" cm="1">
        <f t="array" ref="D331">(PRODUCT(1+sp500_monthly!D332:D451)^(1/120)-1)*100</f>
        <v>1.0818410104470821</v>
      </c>
      <c r="E331" cm="1">
        <f t="array" ref="E331">(PRODUCT(1+sp500_monthly!E332:E451)^(1/120)-1)*100</f>
        <v>0.72416723421744322</v>
      </c>
      <c r="F331" cm="1">
        <f t="array" ref="F331">(PRODUCT(1+sp500_monthly!K332:K451)^(1/120)-1)*100</f>
        <v>0.88687024702658324</v>
      </c>
      <c r="G331" cm="1">
        <f t="array" ref="G331">(PRODUCT(1+sp500_monthly!L332:L451)^(1/120)-1)</f>
        <v>0.18165271940912575</v>
      </c>
      <c r="H331" cm="1">
        <f t="array" ref="H331">(PRODUCT(1+sp500_monthly!N332:N451)^(1/120)-1)*100</f>
        <v>0.86536601851847639</v>
      </c>
      <c r="I331" cm="1">
        <f t="array" ref="I331">(PRODUCT(1+sp500_monthly!O332:O451)^(1/120)-1)*100</f>
        <v>6.490445951585766E-2</v>
      </c>
    </row>
    <row r="332" spans="1:9" x14ac:dyDescent="0.35">
      <c r="A332" s="1">
        <v>23223</v>
      </c>
      <c r="B332" cm="1">
        <f t="array" ref="B332">(PRODUCT(1+sp500_monthly!B333:B452)^(1/120)-1)*100</f>
        <v>1.2055247340831521</v>
      </c>
      <c r="C332" cm="1">
        <f t="array" ref="C332">(PRODUCT(1+sp500_monthly!C333:C452)^(1/120)-1)*100</f>
        <v>0.8708064475912991</v>
      </c>
      <c r="D332" cm="1">
        <f t="array" ref="D332">(PRODUCT(1+sp500_monthly!D333:D452)^(1/120)-1)*100</f>
        <v>1.0846277594196874</v>
      </c>
      <c r="E332" cm="1">
        <f t="array" ref="E332">(PRODUCT(1+sp500_monthly!E333:E452)^(1/120)-1)*100</f>
        <v>0.72820590827931131</v>
      </c>
      <c r="F332" cm="1">
        <f t="array" ref="F332">(PRODUCT(1+sp500_monthly!K333:K452)^(1/120)-1)*100</f>
        <v>0.88353223980761619</v>
      </c>
      <c r="G332" cm="1">
        <f t="array" ref="G332">(PRODUCT(1+sp500_monthly!L333:L452)^(1/120)-1)</f>
        <v>0.18206144232860466</v>
      </c>
      <c r="H332" cm="1">
        <f t="array" ref="H332">(PRODUCT(1+sp500_monthly!N333:N452)^(1/120)-1)*100</f>
        <v>0.84683160560543591</v>
      </c>
      <c r="I332" cm="1">
        <f t="array" ref="I332">(PRODUCT(1+sp500_monthly!O333:O452)^(1/120)-1)*100</f>
        <v>6.4091522875986406E-2</v>
      </c>
    </row>
    <row r="333" spans="1:9" x14ac:dyDescent="0.35">
      <c r="A333" s="1">
        <v>23253</v>
      </c>
      <c r="B333" cm="1">
        <f t="array" ref="B333">(PRODUCT(1+sp500_monthly!B334:B453)^(1/120)-1)*100</f>
        <v>1.1820845361932175</v>
      </c>
      <c r="C333" cm="1">
        <f t="array" ref="C333">(PRODUCT(1+sp500_monthly!C334:C453)^(1/120)-1)*100</f>
        <v>0.84754469279277878</v>
      </c>
      <c r="D333" cm="1">
        <f t="array" ref="D333">(PRODUCT(1+sp500_monthly!D334:D453)^(1/120)-1)*100</f>
        <v>1.0557159686735096</v>
      </c>
      <c r="E333" cm="1">
        <f t="array" ref="E333">(PRODUCT(1+sp500_monthly!E334:E453)^(1/120)-1)*100</f>
        <v>0.7002039873345467</v>
      </c>
      <c r="F333" cm="1">
        <f t="array" ref="F333">(PRODUCT(1+sp500_monthly!K334:K453)^(1/120)-1)*100</f>
        <v>0.8596416310056032</v>
      </c>
      <c r="G333" cm="1">
        <f t="array" ref="G333">(PRODUCT(1+sp500_monthly!L334:L453)^(1/120)-1)</f>
        <v>0.18303955894272628</v>
      </c>
      <c r="H333" cm="1">
        <f t="array" ref="H333">(PRODUCT(1+sp500_monthly!N334:N453)^(1/120)-1)*100</f>
        <v>0.84310641286300392</v>
      </c>
      <c r="I333" cm="1">
        <f t="array" ref="I333">(PRODUCT(1+sp500_monthly!O334:O453)^(1/120)-1)*100</f>
        <v>6.4163440526576743E-2</v>
      </c>
    </row>
    <row r="334" spans="1:9" x14ac:dyDescent="0.35">
      <c r="A334" s="1">
        <v>23284</v>
      </c>
      <c r="B334" cm="1">
        <f t="array" ref="B334">(PRODUCT(1+sp500_monthly!B335:B454)^(1/120)-1)*100</f>
        <v>1.2693793212104731</v>
      </c>
      <c r="C334" cm="1">
        <f t="array" ref="C334">(PRODUCT(1+sp500_monthly!C335:C454)^(1/120)-1)*100</f>
        <v>0.93947158411920029</v>
      </c>
      <c r="D334" cm="1">
        <f t="array" ref="D334">(PRODUCT(1+sp500_monthly!D335:D454)^(1/120)-1)*100</f>
        <v>1.1512149293033014</v>
      </c>
      <c r="E334" cm="1">
        <f t="array" ref="E334">(PRODUCT(1+sp500_monthly!E335:E454)^(1/120)-1)*100</f>
        <v>0.79802866538349893</v>
      </c>
      <c r="F334" cm="1">
        <f t="array" ref="F334">(PRODUCT(1+sp500_monthly!K335:K454)^(1/120)-1)*100</f>
        <v>0.94970946523678101</v>
      </c>
      <c r="G334" cm="1">
        <f t="array" ref="G334">(PRODUCT(1+sp500_monthly!L335:L454)^(1/120)-1)</f>
        <v>0.18369178869252289</v>
      </c>
      <c r="H334" cm="1">
        <f t="array" ref="H334">(PRODUCT(1+sp500_monthly!N335:N454)^(1/120)-1)*100</f>
        <v>0.8852445689143229</v>
      </c>
      <c r="I334" cm="1">
        <f t="array" ref="I334">(PRODUCT(1+sp500_monthly!O335:O454)^(1/120)-1)*100</f>
        <v>6.4616861111654877E-2</v>
      </c>
    </row>
    <row r="335" spans="1:9" x14ac:dyDescent="0.35">
      <c r="A335" s="1">
        <v>23315</v>
      </c>
      <c r="B335" cm="1">
        <f t="array" ref="B335">(PRODUCT(1+sp500_monthly!B336:B455)^(1/120)-1)*100</f>
        <v>1.2587119211559195</v>
      </c>
      <c r="C335" cm="1">
        <f t="array" ref="C335">(PRODUCT(1+sp500_monthly!C336:C455)^(1/120)-1)*100</f>
        <v>0.92961485828226831</v>
      </c>
      <c r="D335" cm="1">
        <f t="array" ref="D335">(PRODUCT(1+sp500_monthly!D336:D455)^(1/120)-1)*100</f>
        <v>1.1402349697418046</v>
      </c>
      <c r="E335" cm="1">
        <f t="array" ref="E335">(PRODUCT(1+sp500_monthly!E336:E455)^(1/120)-1)*100</f>
        <v>0.78834466536028547</v>
      </c>
      <c r="F335" cm="1">
        <f t="array" ref="F335">(PRODUCT(1+sp500_monthly!K336:K455)^(1/120)-1)*100</f>
        <v>0.93929493690050325</v>
      </c>
      <c r="G335" cm="1">
        <f t="array" ref="G335">(PRODUCT(1+sp500_monthly!L336:L455)^(1/120)-1)</f>
        <v>0.18458578279718107</v>
      </c>
      <c r="H335" cm="1">
        <f t="array" ref="H335">(PRODUCT(1+sp500_monthly!N336:N455)^(1/120)-1)*100</f>
        <v>0.87727461906523807</v>
      </c>
      <c r="I335" cm="1">
        <f t="array" ref="I335">(PRODUCT(1+sp500_monthly!O336:O455)^(1/120)-1)*100</f>
        <v>6.7679258422748134E-2</v>
      </c>
    </row>
    <row r="336" spans="1:9" x14ac:dyDescent="0.35">
      <c r="A336" s="1">
        <v>23344</v>
      </c>
      <c r="B336" cm="1">
        <f t="array" ref="B336">(PRODUCT(1+sp500_monthly!B337:B456)^(1/120)-1)*100</f>
        <v>1.245588352832927</v>
      </c>
      <c r="C336" cm="1">
        <f t="array" ref="C336">(PRODUCT(1+sp500_monthly!C337:C456)^(1/120)-1)*100</f>
        <v>0.91627831248719538</v>
      </c>
      <c r="D336" cm="1">
        <f t="array" ref="D336">(PRODUCT(1+sp500_monthly!D337:D456)^(1/120)-1)*100</f>
        <v>1.1273681599084373</v>
      </c>
      <c r="E336" cm="1">
        <f t="array" ref="E336">(PRODUCT(1+sp500_monthly!E337:E456)^(1/120)-1)*100</f>
        <v>0.77652757668651429</v>
      </c>
      <c r="F336" cm="1">
        <f t="array" ref="F336">(PRODUCT(1+sp500_monthly!K337:K456)^(1/120)-1)*100</f>
        <v>0.92415689963820657</v>
      </c>
      <c r="G336" cm="1">
        <f t="array" ref="G336">(PRODUCT(1+sp500_monthly!L337:L456)^(1/120)-1)</f>
        <v>0.18589374003361692</v>
      </c>
      <c r="H336" cm="1">
        <f t="array" ref="H336">(PRODUCT(1+sp500_monthly!N337:N456)^(1/120)-1)*100</f>
        <v>0.90523515407403554</v>
      </c>
      <c r="I336" cm="1">
        <f t="array" ref="I336">(PRODUCT(1+sp500_monthly!O337:O456)^(1/120)-1)*100</f>
        <v>6.9280118218784104E-2</v>
      </c>
    </row>
    <row r="337" spans="1:9" x14ac:dyDescent="0.35">
      <c r="A337" s="1">
        <v>23376</v>
      </c>
      <c r="B337" cm="1">
        <f t="array" ref="B337">(PRODUCT(1+sp500_monthly!B338:B457)^(1/120)-1)*100</f>
        <v>1.2219821937915265</v>
      </c>
      <c r="C337" cm="1">
        <f t="array" ref="C337">(PRODUCT(1+sp500_monthly!C338:C457)^(1/120)-1)*100</f>
        <v>0.89863849628837311</v>
      </c>
      <c r="D337" cm="1">
        <f t="array" ref="D337">(PRODUCT(1+sp500_monthly!D338:D457)^(1/120)-1)*100</f>
        <v>1.1013808098270239</v>
      </c>
      <c r="E337" cm="1">
        <f t="array" ref="E337">(PRODUCT(1+sp500_monthly!E338:E457)^(1/120)-1)*100</f>
        <v>0.75539542089586575</v>
      </c>
      <c r="F337" cm="1">
        <f t="array" ref="F337">(PRODUCT(1+sp500_monthly!K338:K457)^(1/120)-1)*100</f>
        <v>0.90774125416412943</v>
      </c>
      <c r="G337" cm="1">
        <f t="array" ref="G337">(PRODUCT(1+sp500_monthly!L338:L457)^(1/120)-1)</f>
        <v>0.18749633048761383</v>
      </c>
      <c r="H337" cm="1">
        <f t="array" ref="H337">(PRODUCT(1+sp500_monthly!N338:N457)^(1/120)-1)*100</f>
        <v>0.90063378606106692</v>
      </c>
      <c r="I337" cm="1">
        <f t="array" ref="I337">(PRODUCT(1+sp500_monthly!O338:O457)^(1/120)-1)*100</f>
        <v>7.071547839443415E-2</v>
      </c>
    </row>
    <row r="338" spans="1:9" x14ac:dyDescent="0.35">
      <c r="A338" s="1">
        <v>23407</v>
      </c>
      <c r="B338" cm="1">
        <f t="array" ref="B338">(PRODUCT(1+sp500_monthly!B339:B458)^(1/120)-1)*100</f>
        <v>1.2422451198876416</v>
      </c>
      <c r="C338" cm="1">
        <f t="array" ref="C338">(PRODUCT(1+sp500_monthly!C339:C458)^(1/120)-1)*100</f>
        <v>0.92011686739232879</v>
      </c>
      <c r="D338" cm="1">
        <f t="array" ref="D338">(PRODUCT(1+sp500_monthly!D339:D458)^(1/120)-1)*100</f>
        <v>1.1250274026088025</v>
      </c>
      <c r="E338" cm="1">
        <f t="array" ref="E338">(PRODUCT(1+sp500_monthly!E339:E458)^(1/120)-1)*100</f>
        <v>0.78087843596688078</v>
      </c>
      <c r="F338" cm="1">
        <f t="array" ref="F338">(PRODUCT(1+sp500_monthly!K339:K458)^(1/120)-1)*100</f>
        <v>0.92635461462831081</v>
      </c>
      <c r="G338" cm="1">
        <f t="array" ref="G338">(PRODUCT(1+sp500_monthly!L339:L458)^(1/120)-1)</f>
        <v>0.18880750139752855</v>
      </c>
      <c r="H338" cm="1">
        <f t="array" ref="H338">(PRODUCT(1+sp500_monthly!N339:N458)^(1/120)-1)*100</f>
        <v>0.919543916889487</v>
      </c>
      <c r="I338" cm="1">
        <f t="array" ref="I338">(PRODUCT(1+sp500_monthly!O339:O458)^(1/120)-1)*100</f>
        <v>7.0425445833266487E-2</v>
      </c>
    </row>
    <row r="339" spans="1:9" x14ac:dyDescent="0.35">
      <c r="A339" s="1">
        <v>23435</v>
      </c>
      <c r="B339" cm="1">
        <f t="array" ref="B339">(PRODUCT(1+sp500_monthly!B340:B459)^(1/120)-1)*100</f>
        <v>1.2210859420395126</v>
      </c>
      <c r="C339" cm="1">
        <f t="array" ref="C339">(PRODUCT(1+sp500_monthly!C340:C459)^(1/120)-1)*100</f>
        <v>0.89891008990570231</v>
      </c>
      <c r="D339" cm="1">
        <f t="array" ref="D339">(PRODUCT(1+sp500_monthly!D340:D459)^(1/120)-1)*100</f>
        <v>1.092174774737309</v>
      </c>
      <c r="E339" cm="1">
        <f t="array" ref="E339">(PRODUCT(1+sp500_monthly!E340:E459)^(1/120)-1)*100</f>
        <v>0.74865760367099909</v>
      </c>
      <c r="F339" cm="1">
        <f t="array" ref="F339">(PRODUCT(1+sp500_monthly!K340:K459)^(1/120)-1)*100</f>
        <v>0.90671623113007804</v>
      </c>
      <c r="G339" cm="1">
        <f t="array" ref="G339">(PRODUCT(1+sp500_monthly!L340:L459)^(1/120)-1)</f>
        <v>0.19037383767563099</v>
      </c>
      <c r="H339" cm="1">
        <f t="array" ref="H339">(PRODUCT(1+sp500_monthly!N340:N459)^(1/120)-1)*100</f>
        <v>0.94063953316501081</v>
      </c>
      <c r="I339" cm="1">
        <f t="array" ref="I339">(PRODUCT(1+sp500_monthly!O340:O459)^(1/120)-1)*100</f>
        <v>7.1304725987531015E-2</v>
      </c>
    </row>
    <row r="340" spans="1:9" x14ac:dyDescent="0.35">
      <c r="A340" s="1">
        <v>23467</v>
      </c>
      <c r="B340" cm="1">
        <f t="array" ref="B340">(PRODUCT(1+sp500_monthly!B341:B460)^(1/120)-1)*100</f>
        <v>1.2244925666739626</v>
      </c>
      <c r="C340" cm="1">
        <f t="array" ref="C340">(PRODUCT(1+sp500_monthly!C341:C460)^(1/120)-1)*100</f>
        <v>0.90711457224630365</v>
      </c>
      <c r="D340" cm="1">
        <f t="array" ref="D340">(PRODUCT(1+sp500_monthly!D341:D460)^(1/120)-1)*100</f>
        <v>1.1079153747890702</v>
      </c>
      <c r="E340" cm="1">
        <f t="array" ref="E340">(PRODUCT(1+sp500_monthly!E341:E460)^(1/120)-1)*100</f>
        <v>0.76758416015212383</v>
      </c>
      <c r="F340" cm="1">
        <f t="array" ref="F340">(PRODUCT(1+sp500_monthly!K341:K460)^(1/120)-1)*100</f>
        <v>0.91271720924934741</v>
      </c>
      <c r="G340" cm="1">
        <f t="array" ref="G340">(PRODUCT(1+sp500_monthly!L341:L460)^(1/120)-1)</f>
        <v>0.19199636129489206</v>
      </c>
      <c r="H340" cm="1">
        <f t="array" ref="H340">(PRODUCT(1+sp500_monthly!N341:N460)^(1/120)-1)*100</f>
        <v>0.9556488020364462</v>
      </c>
      <c r="I340" cm="1">
        <f t="array" ref="I340">(PRODUCT(1+sp500_monthly!O341:O460)^(1/120)-1)*100</f>
        <v>7.4279151928191567E-2</v>
      </c>
    </row>
    <row r="341" spans="1:9" x14ac:dyDescent="0.35">
      <c r="A341" s="1">
        <v>23497</v>
      </c>
      <c r="B341" cm="1">
        <f t="array" ref="B341">(PRODUCT(1+sp500_monthly!B342:B461)^(1/120)-1)*100</f>
        <v>1.2135372784091381</v>
      </c>
      <c r="C341" cm="1">
        <f t="array" ref="C341">(PRODUCT(1+sp500_monthly!C342:C461)^(1/120)-1)*100</f>
        <v>0.89674160224102462</v>
      </c>
      <c r="D341" cm="1">
        <f t="array" ref="D341">(PRODUCT(1+sp500_monthly!D342:D461)^(1/120)-1)*100</f>
        <v>1.1147039564485262</v>
      </c>
      <c r="E341" cm="1">
        <f t="array" ref="E341">(PRODUCT(1+sp500_monthly!E342:E461)^(1/120)-1)*100</f>
        <v>0.77609663336279944</v>
      </c>
      <c r="F341" cm="1">
        <f t="array" ref="F341">(PRODUCT(1+sp500_monthly!K342:K461)^(1/120)-1)*100</f>
        <v>0.90034814200845581</v>
      </c>
      <c r="G341" cm="1">
        <f t="array" ref="G341">(PRODUCT(1+sp500_monthly!L342:L461)^(1/120)-1)</f>
        <v>0.19391568890218602</v>
      </c>
      <c r="H341" cm="1">
        <f t="array" ref="H341">(PRODUCT(1+sp500_monthly!N342:N461)^(1/120)-1)*100</f>
        <v>0.96920731905945079</v>
      </c>
      <c r="I341" cm="1">
        <f t="array" ref="I341">(PRODUCT(1+sp500_monthly!O342:O461)^(1/120)-1)*100</f>
        <v>7.6051412974620369E-2</v>
      </c>
    </row>
    <row r="342" spans="1:9" x14ac:dyDescent="0.35">
      <c r="A342" s="1">
        <v>23525</v>
      </c>
      <c r="B342" cm="1">
        <f t="array" ref="B342">(PRODUCT(1+sp500_monthly!B343:B462)^(1/120)-1)*100</f>
        <v>1.1789178618447194</v>
      </c>
      <c r="C342" cm="1">
        <f t="array" ref="C342">(PRODUCT(1+sp500_monthly!C343:C462)^(1/120)-1)*100</f>
        <v>0.86245967268241408</v>
      </c>
      <c r="D342" cm="1">
        <f t="array" ref="D342">(PRODUCT(1+sp500_monthly!D343:D462)^(1/120)-1)*100</f>
        <v>1.1007276593987481</v>
      </c>
      <c r="E342" cm="1">
        <f t="array" ref="E342">(PRODUCT(1+sp500_monthly!E343:E462)^(1/120)-1)*100</f>
        <v>0.76270553327626445</v>
      </c>
      <c r="F342" cm="1">
        <f t="array" ref="F342">(PRODUCT(1+sp500_monthly!K343:K462)^(1/120)-1)*100</f>
        <v>0.86522679752645271</v>
      </c>
      <c r="G342" cm="1">
        <f t="array" ref="G342">(PRODUCT(1+sp500_monthly!L343:L462)^(1/120)-1)</f>
        <v>0.19559296960290729</v>
      </c>
      <c r="H342" cm="1">
        <f t="array" ref="H342">(PRODUCT(1+sp500_monthly!N343:N462)^(1/120)-1)*100</f>
        <v>0.9741294811973944</v>
      </c>
      <c r="I342" cm="1">
        <f t="array" ref="I342">(PRODUCT(1+sp500_monthly!O343:O462)^(1/120)-1)*100</f>
        <v>7.8196940691888095E-2</v>
      </c>
    </row>
    <row r="343" spans="1:9" x14ac:dyDescent="0.35">
      <c r="A343" s="1">
        <v>23558</v>
      </c>
      <c r="B343" cm="1">
        <f t="array" ref="B343">(PRODUCT(1+sp500_monthly!B344:B463)^(1/120)-1)*100</f>
        <v>1.1576622744456255</v>
      </c>
      <c r="C343" cm="1">
        <f t="array" ref="C343">(PRODUCT(1+sp500_monthly!C344:C463)^(1/120)-1)*100</f>
        <v>0.8442566271172014</v>
      </c>
      <c r="D343" cm="1">
        <f t="array" ref="D343">(PRODUCT(1+sp500_monthly!D344:D463)^(1/120)-1)*100</f>
        <v>1.0792152676053268</v>
      </c>
      <c r="E343" cm="1">
        <f t="array" ref="E343">(PRODUCT(1+sp500_monthly!E344:E463)^(1/120)-1)*100</f>
        <v>0.74356166099307508</v>
      </c>
      <c r="F343" cm="1">
        <f t="array" ref="F343">(PRODUCT(1+sp500_monthly!K344:K463)^(1/120)-1)*100</f>
        <v>0.84758350662572646</v>
      </c>
      <c r="G343" cm="1">
        <f t="array" ref="G343">(PRODUCT(1+sp500_monthly!L344:L463)^(1/120)-1)</f>
        <v>0.19741087002593116</v>
      </c>
      <c r="H343" cm="1">
        <f t="array" ref="H343">(PRODUCT(1+sp500_monthly!N344:N463)^(1/120)-1)*100</f>
        <v>0.98734647726099745</v>
      </c>
      <c r="I343" cm="1">
        <f t="array" ref="I343">(PRODUCT(1+sp500_monthly!O344:O463)^(1/120)-1)*100</f>
        <v>7.9554502292067397E-2</v>
      </c>
    </row>
    <row r="344" spans="1:9" x14ac:dyDescent="0.35">
      <c r="A344" s="1">
        <v>23589</v>
      </c>
      <c r="B344" cm="1">
        <f t="array" ref="B344">(PRODUCT(1+sp500_monthly!B345:B464)^(1/120)-1)*100</f>
        <v>1.1706943007861348</v>
      </c>
      <c r="C344" cm="1">
        <f t="array" ref="C344">(PRODUCT(1+sp500_monthly!C345:C464)^(1/120)-1)*100</f>
        <v>0.85779329679407379</v>
      </c>
      <c r="D344" cm="1">
        <f t="array" ref="D344">(PRODUCT(1+sp500_monthly!D345:D464)^(1/120)-1)*100</f>
        <v>1.0847022702367815</v>
      </c>
      <c r="E344" cm="1">
        <f t="array" ref="E344">(PRODUCT(1+sp500_monthly!E345:E464)^(1/120)-1)*100</f>
        <v>0.7498356306206988</v>
      </c>
      <c r="F344" cm="1">
        <f t="array" ref="F344">(PRODUCT(1+sp500_monthly!K345:K464)^(1/120)-1)*100</f>
        <v>0.86069943595488141</v>
      </c>
      <c r="G344" cm="1">
        <f t="array" ref="G344">(PRODUCT(1+sp500_monthly!L345:L464)^(1/120)-1)</f>
        <v>0.19944915286991272</v>
      </c>
      <c r="H344" cm="1">
        <f t="array" ref="H344">(PRODUCT(1+sp500_monthly!N345:N464)^(1/120)-1)*100</f>
        <v>1.0016157613608412</v>
      </c>
      <c r="I344" cm="1">
        <f t="array" ref="I344">(PRODUCT(1+sp500_monthly!O345:O464)^(1/120)-1)*100</f>
        <v>8.1245536505103466E-2</v>
      </c>
    </row>
    <row r="345" spans="1:9" x14ac:dyDescent="0.35">
      <c r="A345" s="1">
        <v>23620</v>
      </c>
      <c r="B345" cm="1">
        <f t="array" ref="B345">(PRODUCT(1+sp500_monthly!B346:B465)^(1/120)-1)*100</f>
        <v>1.1384013384346803</v>
      </c>
      <c r="C345" cm="1">
        <f t="array" ref="C345">(PRODUCT(1+sp500_monthly!C346:C465)^(1/120)-1)*100</f>
        <v>0.82554192652639635</v>
      </c>
      <c r="D345" cm="1">
        <f t="array" ref="D345">(PRODUCT(1+sp500_monthly!D346:D465)^(1/120)-1)*100</f>
        <v>1.0559254684414876</v>
      </c>
      <c r="E345" cm="1">
        <f t="array" ref="E345">(PRODUCT(1+sp500_monthly!E346:E465)^(1/120)-1)*100</f>
        <v>0.72144574615848889</v>
      </c>
      <c r="F345" cm="1">
        <f t="array" ref="F345">(PRODUCT(1+sp500_monthly!K346:K465)^(1/120)-1)*100</f>
        <v>0.82916709825684443</v>
      </c>
      <c r="G345" cm="1">
        <f t="array" ref="G345">(PRODUCT(1+sp500_monthly!L346:L465)^(1/120)-1)</f>
        <v>0.2015858143179885</v>
      </c>
      <c r="H345" cm="1">
        <f t="array" ref="H345">(PRODUCT(1+sp500_monthly!N346:N465)^(1/120)-1)*100</f>
        <v>1.017113126285496</v>
      </c>
      <c r="I345" cm="1">
        <f t="array" ref="I345">(PRODUCT(1+sp500_monthly!O346:O465)^(1/120)-1)*100</f>
        <v>8.3474941423689053E-2</v>
      </c>
    </row>
    <row r="346" spans="1:9" x14ac:dyDescent="0.35">
      <c r="A346" s="1">
        <v>23650</v>
      </c>
      <c r="B346" cm="1">
        <f t="array" ref="B346">(PRODUCT(1+sp500_monthly!B347:B466)^(1/120)-1)*100</f>
        <v>1.1506618257947299</v>
      </c>
      <c r="C346" cm="1">
        <f t="array" ref="C346">(PRODUCT(1+sp500_monthly!C347:C466)^(1/120)-1)*100</f>
        <v>0.84146706083041423</v>
      </c>
      <c r="D346" cm="1">
        <f t="array" ref="D346">(PRODUCT(1+sp500_monthly!D347:D466)^(1/120)-1)*100</f>
        <v>1.0708784909308822</v>
      </c>
      <c r="E346" cm="1">
        <f t="array" ref="E346">(PRODUCT(1+sp500_monthly!E347:E466)^(1/120)-1)*100</f>
        <v>0.73894145398725186</v>
      </c>
      <c r="F346" cm="1">
        <f t="array" ref="F346">(PRODUCT(1+sp500_monthly!K347:K466)^(1/120)-1)*100</f>
        <v>0.84448707037698689</v>
      </c>
      <c r="G346" cm="1">
        <f t="array" ref="G346">(PRODUCT(1+sp500_monthly!L347:L466)^(1/120)-1)</f>
        <v>0.20357076868808544</v>
      </c>
      <c r="H346" cm="1">
        <f t="array" ref="H346">(PRODUCT(1+sp500_monthly!N347:N466)^(1/120)-1)*100</f>
        <v>1.0282315800393294</v>
      </c>
      <c r="I346" cm="1">
        <f t="array" ref="I346">(PRODUCT(1+sp500_monthly!O347:O466)^(1/120)-1)*100</f>
        <v>8.4273270027712677E-2</v>
      </c>
    </row>
    <row r="347" spans="1:9" x14ac:dyDescent="0.35">
      <c r="A347" s="1">
        <v>23680</v>
      </c>
      <c r="B347" cm="1">
        <f t="array" ref="B347">(PRODUCT(1+sp500_monthly!B348:B467)^(1/120)-1)*100</f>
        <v>1.109091484605651</v>
      </c>
      <c r="C347" cm="1">
        <f t="array" ref="C347">(PRODUCT(1+sp500_monthly!C348:C467)^(1/120)-1)*100</f>
        <v>0.80015229924457199</v>
      </c>
      <c r="D347" cm="1">
        <f t="array" ref="D347">(PRODUCT(1+sp500_monthly!D348:D467)^(1/120)-1)*100</f>
        <v>1.061562754757861</v>
      </c>
      <c r="E347" cm="1">
        <f t="array" ref="E347">(PRODUCT(1+sp500_monthly!E348:E467)^(1/120)-1)*100</f>
        <v>0.72993369492253546</v>
      </c>
      <c r="F347" cm="1">
        <f t="array" ref="F347">(PRODUCT(1+sp500_monthly!K348:K467)^(1/120)-1)*100</f>
        <v>0.80117608896013159</v>
      </c>
      <c r="G347" cm="1">
        <f t="array" ref="G347">(PRODUCT(1+sp500_monthly!L348:L467)^(1/120)-1)</f>
        <v>0.20518345330252874</v>
      </c>
      <c r="H347" cm="1">
        <f t="array" ref="H347">(PRODUCT(1+sp500_monthly!N348:N467)^(1/120)-1)*100</f>
        <v>0.98464422134900698</v>
      </c>
      <c r="I347" cm="1">
        <f t="array" ref="I347">(PRODUCT(1+sp500_monthly!O348:O467)^(1/120)-1)*100</f>
        <v>8.3806132970276614E-2</v>
      </c>
    </row>
    <row r="348" spans="1:9" x14ac:dyDescent="0.35">
      <c r="A348" s="1">
        <v>23711</v>
      </c>
      <c r="B348" cm="1">
        <f t="array" ref="B348">(PRODUCT(1+sp500_monthly!B349:B468)^(1/120)-1)*100</f>
        <v>1.1316207003207568</v>
      </c>
      <c r="C348" cm="1">
        <f t="array" ref="C348">(PRODUCT(1+sp500_monthly!C349:C468)^(1/120)-1)*100</f>
        <v>0.82230791646968893</v>
      </c>
      <c r="D348" cm="1">
        <f t="array" ref="D348">(PRODUCT(1+sp500_monthly!D349:D468)^(1/120)-1)*100</f>
        <v>1.0829064242429354</v>
      </c>
      <c r="E348" cm="1">
        <f t="array" ref="E348">(PRODUCT(1+sp500_monthly!E349:E468)^(1/120)-1)*100</f>
        <v>0.75164779951830685</v>
      </c>
      <c r="F348" cm="1">
        <f t="array" ref="F348">(PRODUCT(1+sp500_monthly!K349:K468)^(1/120)-1)*100</f>
        <v>0.82447826906479893</v>
      </c>
      <c r="G348" cm="1">
        <f t="array" ref="G348">(PRODUCT(1+sp500_monthly!L349:L468)^(1/120)-1)</f>
        <v>0.20706282967839362</v>
      </c>
      <c r="H348" cm="1">
        <f t="array" ref="H348">(PRODUCT(1+sp500_monthly!N349:N468)^(1/120)-1)*100</f>
        <v>1.0032327856166479</v>
      </c>
      <c r="I348" cm="1">
        <f t="array" ref="I348">(PRODUCT(1+sp500_monthly!O349:O468)^(1/120)-1)*100</f>
        <v>8.176049976771349E-2</v>
      </c>
    </row>
    <row r="349" spans="1:9" x14ac:dyDescent="0.35">
      <c r="A349" s="1">
        <v>23742</v>
      </c>
      <c r="B349" cm="1">
        <f t="array" ref="B349">(PRODUCT(1+sp500_monthly!B350:B469)^(1/120)-1)*100</f>
        <v>1.055914750223752</v>
      </c>
      <c r="C349" cm="1">
        <f t="array" ref="C349">(PRODUCT(1+sp500_monthly!C350:C469)^(1/120)-1)*100</f>
        <v>0.75170027185347266</v>
      </c>
      <c r="D349" cm="1">
        <f t="array" ref="D349">(PRODUCT(1+sp500_monthly!D350:D469)^(1/120)-1)*100</f>
        <v>0.99709347868384146</v>
      </c>
      <c r="E349" cm="1">
        <f t="array" ref="E349">(PRODUCT(1+sp500_monthly!E350:E469)^(1/120)-1)*100</f>
        <v>0.6700074369654363</v>
      </c>
      <c r="F349" cm="1">
        <f t="array" ref="F349">(PRODUCT(1+sp500_monthly!K350:K469)^(1/120)-1)*100</f>
        <v>0.75484320059258092</v>
      </c>
      <c r="G349" cm="1">
        <f t="array" ref="G349">(PRODUCT(1+sp500_monthly!L350:L469)^(1/120)-1)</f>
        <v>0.20903973781672858</v>
      </c>
      <c r="H349" cm="1">
        <f t="array" ref="H349">(PRODUCT(1+sp500_monthly!N350:N469)^(1/120)-1)*100</f>
        <v>0.92708057392281162</v>
      </c>
      <c r="I349" cm="1">
        <f t="array" ref="I349">(PRODUCT(1+sp500_monthly!O350:O469)^(1/120)-1)*100</f>
        <v>8.3137565594926244E-2</v>
      </c>
    </row>
    <row r="350" spans="1:9" x14ac:dyDescent="0.35">
      <c r="A350" s="1">
        <v>23771</v>
      </c>
      <c r="B350" cm="1">
        <f t="array" ref="B350">(PRODUCT(1+sp500_monthly!B351:B470)^(1/120)-1)*100</f>
        <v>1.015794022452865</v>
      </c>
      <c r="C350" cm="1">
        <f t="array" ref="C350">(PRODUCT(1+sp500_monthly!C351:C470)^(1/120)-1)*100</f>
        <v>0.71204513549985027</v>
      </c>
      <c r="D350" cm="1">
        <f t="array" ref="D350">(PRODUCT(1+sp500_monthly!D351:D470)^(1/120)-1)*100</f>
        <v>0.92926294446695756</v>
      </c>
      <c r="E350" cm="1">
        <f t="array" ref="E350">(PRODUCT(1+sp500_monthly!E351:E470)^(1/120)-1)*100</f>
        <v>0.60239856647170686</v>
      </c>
      <c r="F350" cm="1">
        <f t="array" ref="F350">(PRODUCT(1+sp500_monthly!K351:K470)^(1/120)-1)*100</f>
        <v>0.71650695655101071</v>
      </c>
      <c r="G350" cm="1">
        <f t="array" ref="G350">(PRODUCT(1+sp500_monthly!L351:L470)^(1/120)-1)</f>
        <v>0.21098650831239207</v>
      </c>
      <c r="H350" cm="1">
        <f t="array" ref="H350">(PRODUCT(1+sp500_monthly!N351:N470)^(1/120)-1)*100</f>
        <v>0.88562019112612411</v>
      </c>
      <c r="I350" cm="1">
        <f t="array" ref="I350">(PRODUCT(1+sp500_monthly!O351:O470)^(1/120)-1)*100</f>
        <v>8.3672363026043861E-2</v>
      </c>
    </row>
    <row r="351" spans="1:9" x14ac:dyDescent="0.35">
      <c r="A351" s="1">
        <v>23799</v>
      </c>
      <c r="B351" cm="1">
        <f t="array" ref="B351">(PRODUCT(1+sp500_monthly!B352:B471)^(1/120)-1)*100</f>
        <v>1.0295035555870635</v>
      </c>
      <c r="C351" cm="1">
        <f t="array" ref="C351">(PRODUCT(1+sp500_monthly!C352:C471)^(1/120)-1)*100</f>
        <v>0.72533920901831639</v>
      </c>
      <c r="D351" cm="1">
        <f t="array" ref="D351">(PRODUCT(1+sp500_monthly!D352:D471)^(1/120)-1)*100</f>
        <v>0.9682012837109788</v>
      </c>
      <c r="E351" cm="1">
        <f t="array" ref="E351">(PRODUCT(1+sp500_monthly!E352:E471)^(1/120)-1)*100</f>
        <v>0.64126725271038687</v>
      </c>
      <c r="F351" cm="1">
        <f t="array" ref="F351">(PRODUCT(1+sp500_monthly!K352:K471)^(1/120)-1)*100</f>
        <v>0.7288567711746019</v>
      </c>
      <c r="G351" cm="1">
        <f t="array" ref="G351">(PRODUCT(1+sp500_monthly!L352:L471)^(1/120)-1)</f>
        <v>0.21270226797821157</v>
      </c>
      <c r="H351" cm="1">
        <f t="array" ref="H351">(PRODUCT(1+sp500_monthly!N352:N471)^(1/120)-1)*100</f>
        <v>0.8985052534285165</v>
      </c>
      <c r="I351" cm="1">
        <f t="array" ref="I351">(PRODUCT(1+sp500_monthly!O352:O471)^(1/120)-1)*100</f>
        <v>8.4537146102459104E-2</v>
      </c>
    </row>
    <row r="352" spans="1:9" x14ac:dyDescent="0.35">
      <c r="A352" s="1">
        <v>23832</v>
      </c>
      <c r="B352" cm="1">
        <f t="array" ref="B352">(PRODUCT(1+sp500_monthly!B353:B472)^(1/120)-1)*100</f>
        <v>1.0213404160633655</v>
      </c>
      <c r="C352" cm="1">
        <f t="array" ref="C352">(PRODUCT(1+sp500_monthly!C353:C472)^(1/120)-1)*100</f>
        <v>0.72006420318506681</v>
      </c>
      <c r="D352" cm="1">
        <f t="array" ref="D352">(PRODUCT(1+sp500_monthly!D353:D472)^(1/120)-1)*100</f>
        <v>0.96189643421777937</v>
      </c>
      <c r="E352" cm="1">
        <f t="array" ref="E352">(PRODUCT(1+sp500_monthly!E353:E472)^(1/120)-1)*100</f>
        <v>0.63690443744535141</v>
      </c>
      <c r="F352" cm="1">
        <f t="array" ref="F352">(PRODUCT(1+sp500_monthly!K353:K472)^(1/120)-1)*100</f>
        <v>0.7246356314833724</v>
      </c>
      <c r="G352" cm="1">
        <f t="array" ref="G352">(PRODUCT(1+sp500_monthly!L353:L472)^(1/120)-1)</f>
        <v>0.21448409113753675</v>
      </c>
      <c r="H352" cm="1">
        <f t="array" ref="H352">(PRODUCT(1+sp500_monthly!N353:N472)^(1/120)-1)*100</f>
        <v>0.8919215727778651</v>
      </c>
      <c r="I352" cm="1">
        <f t="array" ref="I352">(PRODUCT(1+sp500_monthly!O353:O472)^(1/120)-1)*100</f>
        <v>8.7841603455851569E-2</v>
      </c>
    </row>
    <row r="353" spans="1:9" x14ac:dyDescent="0.35">
      <c r="A353" s="1">
        <v>23862</v>
      </c>
      <c r="B353" cm="1">
        <f t="array" ref="B353">(PRODUCT(1+sp500_monthly!B354:B473)^(1/120)-1)*100</f>
        <v>1.0128855577402618</v>
      </c>
      <c r="C353" cm="1">
        <f t="array" ref="C353">(PRODUCT(1+sp500_monthly!C354:C473)^(1/120)-1)*100</f>
        <v>0.71173745852051162</v>
      </c>
      <c r="D353" cm="1">
        <f t="array" ref="D353">(PRODUCT(1+sp500_monthly!D354:D473)^(1/120)-1)*100</f>
        <v>0.96679758990090292</v>
      </c>
      <c r="E353" cm="1">
        <f t="array" ref="E353">(PRODUCT(1+sp500_monthly!E354:E473)^(1/120)-1)*100</f>
        <v>0.64244102141901571</v>
      </c>
      <c r="F353" cm="1">
        <f t="array" ref="F353">(PRODUCT(1+sp500_monthly!K354:K473)^(1/120)-1)*100</f>
        <v>0.71647432407497824</v>
      </c>
      <c r="G353" cm="1">
        <f t="array" ref="G353">(PRODUCT(1+sp500_monthly!L354:L473)^(1/120)-1)</f>
        <v>0.21663334547360913</v>
      </c>
      <c r="H353" cm="1">
        <f t="array" ref="H353">(PRODUCT(1+sp500_monthly!N354:N473)^(1/120)-1)*100</f>
        <v>0.88173075198225703</v>
      </c>
      <c r="I353" cm="1">
        <f t="array" ref="I353">(PRODUCT(1+sp500_monthly!O354:O473)^(1/120)-1)*100</f>
        <v>8.8272166611802483E-2</v>
      </c>
    </row>
    <row r="354" spans="1:9" x14ac:dyDescent="0.35">
      <c r="A354" s="1">
        <v>23890</v>
      </c>
      <c r="B354" cm="1">
        <f t="array" ref="B354">(PRODUCT(1+sp500_monthly!B355:B474)^(1/120)-1)*100</f>
        <v>1.0094535484509226</v>
      </c>
      <c r="C354" cm="1">
        <f t="array" ref="C354">(PRODUCT(1+sp500_monthly!C355:C474)^(1/120)-1)*100</f>
        <v>0.70840579374615853</v>
      </c>
      <c r="D354" cm="1">
        <f t="array" ref="D354">(PRODUCT(1+sp500_monthly!D355:D474)^(1/120)-1)*100</f>
        <v>0.96283104860102053</v>
      </c>
      <c r="E354" cm="1">
        <f t="array" ref="E354">(PRODUCT(1+sp500_monthly!E355:E474)^(1/120)-1)*100</f>
        <v>0.63879392974433014</v>
      </c>
      <c r="F354" cm="1">
        <f t="array" ref="F354">(PRODUCT(1+sp500_monthly!K355:K474)^(1/120)-1)*100</f>
        <v>0.71364935878697189</v>
      </c>
      <c r="G354" cm="1">
        <f t="array" ref="G354">(PRODUCT(1+sp500_monthly!L355:L474)^(1/120)-1)</f>
        <v>0.21840602295054623</v>
      </c>
      <c r="H354" cm="1">
        <f t="array" ref="H354">(PRODUCT(1+sp500_monthly!N355:N474)^(1/120)-1)*100</f>
        <v>0.87642586098923836</v>
      </c>
      <c r="I354" cm="1">
        <f t="array" ref="I354">(PRODUCT(1+sp500_monthly!O355:O474)^(1/120)-1)*100</f>
        <v>8.8157476033257076E-2</v>
      </c>
    </row>
    <row r="355" spans="1:9" x14ac:dyDescent="0.35">
      <c r="A355" s="1">
        <v>23923</v>
      </c>
      <c r="B355" cm="1">
        <f t="array" ref="B355">(PRODUCT(1+sp500_monthly!B356:B475)^(1/120)-1)*100</f>
        <v>1.0014242219460678</v>
      </c>
      <c r="C355" cm="1">
        <f t="array" ref="C355">(PRODUCT(1+sp500_monthly!C356:C475)^(1/120)-1)*100</f>
        <v>0.70227325354259573</v>
      </c>
      <c r="D355" cm="1">
        <f t="array" ref="D355">(PRODUCT(1+sp500_monthly!D356:D475)^(1/120)-1)*100</f>
        <v>0.9472773856224137</v>
      </c>
      <c r="E355" cm="1">
        <f t="array" ref="E355">(PRODUCT(1+sp500_monthly!E356:E475)^(1/120)-1)*100</f>
        <v>0.62492319769105187</v>
      </c>
      <c r="F355" cm="1">
        <f t="array" ref="F355">(PRODUCT(1+sp500_monthly!K356:K475)^(1/120)-1)*100</f>
        <v>0.70823172732403794</v>
      </c>
      <c r="G355" cm="1">
        <f t="array" ref="G355">(PRODUCT(1+sp500_monthly!L356:L475)^(1/120)-1)</f>
        <v>0.21981814952807754</v>
      </c>
      <c r="H355" cm="1">
        <f t="array" ref="H355">(PRODUCT(1+sp500_monthly!N356:N475)^(1/120)-1)*100</f>
        <v>0.86510498163467897</v>
      </c>
      <c r="I355" cm="1">
        <f t="array" ref="I355">(PRODUCT(1+sp500_monthly!O356:O475)^(1/120)-1)*100</f>
        <v>8.6295588159335246E-2</v>
      </c>
    </row>
    <row r="356" spans="1:9" x14ac:dyDescent="0.35">
      <c r="A356" s="1">
        <v>23953</v>
      </c>
      <c r="B356" cm="1">
        <f t="array" ref="B356">(PRODUCT(1+sp500_monthly!B357:B476)^(1/120)-1)*100</f>
        <v>0.89527831393949597</v>
      </c>
      <c r="C356" cm="1">
        <f t="array" ref="C356">(PRODUCT(1+sp500_monthly!C357:C476)^(1/120)-1)*100</f>
        <v>0.59619564083344123</v>
      </c>
      <c r="D356" cm="1">
        <f t="array" ref="D356">(PRODUCT(1+sp500_monthly!D357:D476)^(1/120)-1)*100</f>
        <v>0.85522169321954333</v>
      </c>
      <c r="E356" cm="1">
        <f t="array" ref="E356">(PRODUCT(1+sp500_monthly!E357:E476)^(1/120)-1)*100</f>
        <v>0.53337084608637841</v>
      </c>
      <c r="F356" cm="1">
        <f t="array" ref="F356">(PRODUCT(1+sp500_monthly!K357:K476)^(1/120)-1)*100</f>
        <v>0.60007655376195235</v>
      </c>
      <c r="G356" cm="1">
        <f t="array" ref="G356">(PRODUCT(1+sp500_monthly!L357:L476)^(1/120)-1)</f>
        <v>0.22190169310995511</v>
      </c>
      <c r="H356" cm="1">
        <f t="array" ref="H356">(PRODUCT(1+sp500_monthly!N357:N476)^(1/120)-1)*100</f>
        <v>0.7537581034530616</v>
      </c>
      <c r="I356" cm="1">
        <f t="array" ref="I356">(PRODUCT(1+sp500_monthly!O357:O476)^(1/120)-1)*100</f>
        <v>8.3067403324399436E-2</v>
      </c>
    </row>
    <row r="357" spans="1:9" x14ac:dyDescent="0.35">
      <c r="A357" s="1">
        <v>23985</v>
      </c>
      <c r="B357" cm="1">
        <f t="array" ref="B357">(PRODUCT(1+sp500_monthly!B358:B477)^(1/120)-1)*100</f>
        <v>0.86025388714476847</v>
      </c>
      <c r="C357" cm="1">
        <f t="array" ref="C357">(PRODUCT(1+sp500_monthly!C358:C477)^(1/120)-1)*100</f>
        <v>0.56106542200680121</v>
      </c>
      <c r="D357" cm="1">
        <f t="array" ref="D357">(PRODUCT(1+sp500_monthly!D358:D477)^(1/120)-1)*100</f>
        <v>0.86941048471089744</v>
      </c>
      <c r="E357" cm="1">
        <f t="array" ref="E357">(PRODUCT(1+sp500_monthly!E358:E477)^(1/120)-1)*100</f>
        <v>0.54770766396956549</v>
      </c>
      <c r="F357" cm="1">
        <f t="array" ref="F357">(PRODUCT(1+sp500_monthly!K358:K477)^(1/120)-1)*100</f>
        <v>0.56187821721698228</v>
      </c>
      <c r="G357" cm="1">
        <f t="array" ref="G357">(PRODUCT(1+sp500_monthly!L358:L477)^(1/120)-1)</f>
        <v>0.22368204675426862</v>
      </c>
      <c r="H357" cm="1">
        <f t="array" ref="H357">(PRODUCT(1+sp500_monthly!N358:N477)^(1/120)-1)*100</f>
        <v>0.7211494923185624</v>
      </c>
      <c r="I357" cm="1">
        <f t="array" ref="I357">(PRODUCT(1+sp500_monthly!O358:O477)^(1/120)-1)*100</f>
        <v>8.7167081649641709E-2</v>
      </c>
    </row>
    <row r="358" spans="1:9" x14ac:dyDescent="0.35">
      <c r="A358" s="1">
        <v>24015</v>
      </c>
      <c r="B358" cm="1">
        <f t="array" ref="B358">(PRODUCT(1+sp500_monthly!B359:B478)^(1/120)-1)*100</f>
        <v>0.88365220401505074</v>
      </c>
      <c r="C358" cm="1">
        <f t="array" ref="C358">(PRODUCT(1+sp500_monthly!C359:C478)^(1/120)-1)*100</f>
        <v>0.58668824997438751</v>
      </c>
      <c r="D358" cm="1">
        <f t="array" ref="D358">(PRODUCT(1+sp500_monthly!D359:D478)^(1/120)-1)*100</f>
        <v>0.90050423810208446</v>
      </c>
      <c r="E358" cm="1">
        <f t="array" ref="E358">(PRODUCT(1+sp500_monthly!E359:E478)^(1/120)-1)*100</f>
        <v>0.58003494670912925</v>
      </c>
      <c r="F358" cm="1">
        <f t="array" ref="F358">(PRODUCT(1+sp500_monthly!K359:K478)^(1/120)-1)*100</f>
        <v>0.58711890113904985</v>
      </c>
      <c r="G358" cm="1">
        <f t="array" ref="G358">(PRODUCT(1+sp500_monthly!L359:L478)^(1/120)-1)</f>
        <v>0.2250774205282271</v>
      </c>
      <c r="H358" cm="1">
        <f t="array" ref="H358">(PRODUCT(1+sp500_monthly!N359:N478)^(1/120)-1)*100</f>
        <v>0.74405759988724895</v>
      </c>
      <c r="I358" cm="1">
        <f t="array" ref="I358">(PRODUCT(1+sp500_monthly!O359:O478)^(1/120)-1)*100</f>
        <v>8.8126570903779289E-2</v>
      </c>
    </row>
    <row r="359" spans="1:9" x14ac:dyDescent="0.35">
      <c r="A359" s="1">
        <v>24044</v>
      </c>
      <c r="B359" cm="1">
        <f t="array" ref="B359">(PRODUCT(1+sp500_monthly!B360:B479)^(1/120)-1)*100</f>
        <v>0.901811758126847</v>
      </c>
      <c r="C359" cm="1">
        <f t="array" ref="C359">(PRODUCT(1+sp500_monthly!C360:C479)^(1/120)-1)*100</f>
        <v>0.60468267748436944</v>
      </c>
      <c r="D359" cm="1">
        <f t="array" ref="D359">(PRODUCT(1+sp500_monthly!D360:D479)^(1/120)-1)*100</f>
        <v>0.94261304376661581</v>
      </c>
      <c r="E359" cm="1">
        <f t="array" ref="E359">(PRODUCT(1+sp500_monthly!E360:E479)^(1/120)-1)*100</f>
        <v>0.62235936884262877</v>
      </c>
      <c r="F359" cm="1">
        <f t="array" ref="F359">(PRODUCT(1+sp500_monthly!K360:K479)^(1/120)-1)*100</f>
        <v>0.60406958276029155</v>
      </c>
      <c r="G359" cm="1">
        <f t="array" ref="G359">(PRODUCT(1+sp500_monthly!L360:L479)^(1/120)-1)</f>
        <v>0.22631953439406804</v>
      </c>
      <c r="H359" cm="1">
        <f t="array" ref="H359">(PRODUCT(1+sp500_monthly!N360:N479)^(1/120)-1)*100</f>
        <v>0.76440649248750159</v>
      </c>
      <c r="I359" cm="1">
        <f t="array" ref="I359">(PRODUCT(1+sp500_monthly!O360:O479)^(1/120)-1)*100</f>
        <v>9.1574426901530614E-2</v>
      </c>
    </row>
    <row r="360" spans="1:9" x14ac:dyDescent="0.35">
      <c r="A360" s="1">
        <v>24076</v>
      </c>
      <c r="B360" cm="1">
        <f t="array" ref="B360">(PRODUCT(1+sp500_monthly!B361:B480)^(1/120)-1)*100</f>
        <v>0.95172554189617564</v>
      </c>
      <c r="C360" cm="1">
        <f t="array" ref="C360">(PRODUCT(1+sp500_monthly!C361:C480)^(1/120)-1)*100</f>
        <v>0.65403296122192867</v>
      </c>
      <c r="D360" cm="1">
        <f t="array" ref="D360">(PRODUCT(1+sp500_monthly!D361:D480)^(1/120)-1)*100</f>
        <v>1.0000699482918929</v>
      </c>
      <c r="E360" cm="1">
        <f t="array" ref="E360">(PRODUCT(1+sp500_monthly!E361:E480)^(1/120)-1)*100</f>
        <v>0.67982532908106297</v>
      </c>
      <c r="F360" cm="1">
        <f t="array" ref="F360">(PRODUCT(1+sp500_monthly!K361:K480)^(1/120)-1)*100</f>
        <v>0.65262881942391715</v>
      </c>
      <c r="G360" cm="1">
        <f t="array" ref="G360">(PRODUCT(1+sp500_monthly!L361:L480)^(1/120)-1)</f>
        <v>0.22738804933270518</v>
      </c>
      <c r="H360" cm="1">
        <f t="array" ref="H360">(PRODUCT(1+sp500_monthly!N361:N480)^(1/120)-1)*100</f>
        <v>0.81251641627428928</v>
      </c>
      <c r="I360" cm="1">
        <f t="array" ref="I360">(PRODUCT(1+sp500_monthly!O361:O480)^(1/120)-1)*100</f>
        <v>9.0932644332619716E-2</v>
      </c>
    </row>
    <row r="361" spans="1:9" x14ac:dyDescent="0.35">
      <c r="A361" s="1">
        <v>24107</v>
      </c>
      <c r="B361" cm="1">
        <f t="array" ref="B361">(PRODUCT(1+sp500_monthly!B362:B481)^(1/120)-1)*100</f>
        <v>0.87771417788105044</v>
      </c>
      <c r="C361" cm="1">
        <f t="array" ref="C361">(PRODUCT(1+sp500_monthly!C362:C481)^(1/120)-1)*100</f>
        <v>0.58460942376827862</v>
      </c>
      <c r="D361" cm="1">
        <f t="array" ref="D361">(PRODUCT(1+sp500_monthly!D362:D481)^(1/120)-1)*100</f>
        <v>0.96036250384219368</v>
      </c>
      <c r="E361" cm="1">
        <f t="array" ref="E361">(PRODUCT(1+sp500_monthly!E362:E481)^(1/120)-1)*100</f>
        <v>0.6435337476061509</v>
      </c>
      <c r="F361" cm="1">
        <f t="array" ref="F361">(PRODUCT(1+sp500_monthly!K362:K481)^(1/120)-1)*100</f>
        <v>0.58470924681346403</v>
      </c>
      <c r="G361" cm="1">
        <f t="array" ref="G361">(PRODUCT(1+sp500_monthly!L362:L481)^(1/120)-1)</f>
        <v>0.22885259127521262</v>
      </c>
      <c r="H361" cm="1">
        <f t="array" ref="H361">(PRODUCT(1+sp500_monthly!N362:N481)^(1/120)-1)*100</f>
        <v>0.73783483640015302</v>
      </c>
      <c r="I361" cm="1">
        <f t="array" ref="I361">(PRODUCT(1+sp500_monthly!O362:O481)^(1/120)-1)*100</f>
        <v>9.1662805071024422E-2</v>
      </c>
    </row>
    <row r="362" spans="1:9" x14ac:dyDescent="0.35">
      <c r="A362" s="1">
        <v>24138</v>
      </c>
      <c r="B362" cm="1">
        <f t="array" ref="B362">(PRODUCT(1+sp500_monthly!B363:B482)^(1/120)-1)*100</f>
        <v>0.88662952503493209</v>
      </c>
      <c r="C362" cm="1">
        <f t="array" ref="C362">(PRODUCT(1+sp500_monthly!C363:C482)^(1/120)-1)*100</f>
        <v>0.59358250307723903</v>
      </c>
      <c r="D362" cm="1">
        <f t="array" ref="D362">(PRODUCT(1+sp500_monthly!D363:D482)^(1/120)-1)*100</f>
        <v>0.97773255510971158</v>
      </c>
      <c r="E362" cm="1">
        <f t="array" ref="E362">(PRODUCT(1+sp500_monthly!E363:E482)^(1/120)-1)*100</f>
        <v>0.66125680821966792</v>
      </c>
      <c r="F362" cm="1">
        <f t="array" ref="F362">(PRODUCT(1+sp500_monthly!K363:K482)^(1/120)-1)*100</f>
        <v>0.59273152794099282</v>
      </c>
      <c r="G362" cm="1">
        <f t="array" ref="G362">(PRODUCT(1+sp500_monthly!L363:L482)^(1/120)-1)</f>
        <v>0.23007861943653163</v>
      </c>
      <c r="H362" cm="1">
        <f t="array" ref="H362">(PRODUCT(1+sp500_monthly!N363:N482)^(1/120)-1)*100</f>
        <v>0.74378535575387872</v>
      </c>
      <c r="I362" cm="1">
        <f t="array" ref="I362">(PRODUCT(1+sp500_monthly!O363:O482)^(1/120)-1)*100</f>
        <v>8.9977471922209062E-2</v>
      </c>
    </row>
    <row r="363" spans="1:9" x14ac:dyDescent="0.35">
      <c r="A363" s="1">
        <v>24166</v>
      </c>
      <c r="B363" cm="1">
        <f t="array" ref="B363">(PRODUCT(1+sp500_monthly!B364:B483)^(1/120)-1)*100</f>
        <v>0.9214204209489596</v>
      </c>
      <c r="C363" cm="1">
        <f t="array" ref="C363">(PRODUCT(1+sp500_monthly!C364:C483)^(1/120)-1)*100</f>
        <v>0.62864179114929808</v>
      </c>
      <c r="D363" cm="1">
        <f t="array" ref="D363">(PRODUCT(1+sp500_monthly!D364:D483)^(1/120)-1)*100</f>
        <v>1.0309733450342584</v>
      </c>
      <c r="E363" cm="1">
        <f t="array" ref="E363">(PRODUCT(1+sp500_monthly!E364:E483)^(1/120)-1)*100</f>
        <v>0.7150248915856805</v>
      </c>
      <c r="F363" cm="1">
        <f t="array" ref="F363">(PRODUCT(1+sp500_monthly!K364:K483)^(1/120)-1)*100</f>
        <v>0.62797866843053995</v>
      </c>
      <c r="G363" cm="1">
        <f t="array" ref="G363">(PRODUCT(1+sp500_monthly!L364:L483)^(1/120)-1)</f>
        <v>0.23134248358262655</v>
      </c>
      <c r="H363" cm="1">
        <f t="array" ref="H363">(PRODUCT(1+sp500_monthly!N364:N483)^(1/120)-1)*100</f>
        <v>0.77648521410880189</v>
      </c>
      <c r="I363" cm="1">
        <f t="array" ref="I363">(PRODUCT(1+sp500_monthly!O364:O483)^(1/120)-1)*100</f>
        <v>8.9280167997851656E-2</v>
      </c>
    </row>
    <row r="364" spans="1:9" x14ac:dyDescent="0.35">
      <c r="A364" s="1">
        <v>24197</v>
      </c>
      <c r="B364" cm="1">
        <f t="array" ref="B364">(PRODUCT(1+sp500_monthly!B365:B484)^(1/120)-1)*100</f>
        <v>0.8765245327628568</v>
      </c>
      <c r="C364" cm="1">
        <f t="array" ref="C364">(PRODUCT(1+sp500_monthly!C365:C484)^(1/120)-1)*100</f>
        <v>0.58539635977792326</v>
      </c>
      <c r="D364" cm="1">
        <f t="array" ref="D364">(PRODUCT(1+sp500_monthly!D365:D484)^(1/120)-1)*100</f>
        <v>1.0042384754484601</v>
      </c>
      <c r="E364" cm="1">
        <f t="array" ref="E364">(PRODUCT(1+sp500_monthly!E365:E484)^(1/120)-1)*100</f>
        <v>0.69036349226920812</v>
      </c>
      <c r="F364" cm="1">
        <f t="array" ref="F364">(PRODUCT(1+sp500_monthly!K365:K484)^(1/120)-1)*100</f>
        <v>0.58427065968658098</v>
      </c>
      <c r="G364" cm="1">
        <f t="array" ref="G364">(PRODUCT(1+sp500_monthly!L365:L484)^(1/120)-1)</f>
        <v>0.23263762620447248</v>
      </c>
      <c r="H364" cm="1">
        <f t="array" ref="H364">(PRODUCT(1+sp500_monthly!N365:N484)^(1/120)-1)*100</f>
        <v>0.72734224146744353</v>
      </c>
      <c r="I364" cm="1">
        <f t="array" ref="I364">(PRODUCT(1+sp500_monthly!O365:O484)^(1/120)-1)*100</f>
        <v>8.6326985233076137E-2</v>
      </c>
    </row>
    <row r="365" spans="1:9" x14ac:dyDescent="0.35">
      <c r="A365" s="1">
        <v>24226</v>
      </c>
      <c r="B365" cm="1">
        <f t="array" ref="B365">(PRODUCT(1+sp500_monthly!B366:B485)^(1/120)-1)*100</f>
        <v>0.79982388124735238</v>
      </c>
      <c r="C365" cm="1">
        <f t="array" ref="C365">(PRODUCT(1+sp500_monthly!C366:C485)^(1/120)-1)*100</f>
        <v>0.50843535798943407</v>
      </c>
      <c r="D365" cm="1">
        <f t="array" ref="D365">(PRODUCT(1+sp500_monthly!D366:D485)^(1/120)-1)*100</f>
        <v>0.93668072403354508</v>
      </c>
      <c r="E365" cm="1">
        <f t="array" ref="E365">(PRODUCT(1+sp500_monthly!E366:E485)^(1/120)-1)*100</f>
        <v>0.62338365068181911</v>
      </c>
      <c r="F365" cm="1">
        <f t="array" ref="F365">(PRODUCT(1+sp500_monthly!K366:K485)^(1/120)-1)*100</f>
        <v>0.50968272925802083</v>
      </c>
      <c r="G365" cm="1">
        <f t="array" ref="G365">(PRODUCT(1+sp500_monthly!L366:L485)^(1/120)-1)</f>
        <v>0.2345118530685335</v>
      </c>
      <c r="H365" cm="1">
        <f t="array" ref="H365">(PRODUCT(1+sp500_monthly!N366:N485)^(1/120)-1)*100</f>
        <v>0.6490808092887157</v>
      </c>
      <c r="I365" cm="1">
        <f t="array" ref="I365">(PRODUCT(1+sp500_monthly!O366:O485)^(1/120)-1)*100</f>
        <v>8.6575402085831143E-2</v>
      </c>
    </row>
    <row r="366" spans="1:9" x14ac:dyDescent="0.35">
      <c r="A366" s="1">
        <v>24258</v>
      </c>
      <c r="B366" cm="1">
        <f t="array" ref="B366">(PRODUCT(1+sp500_monthly!B367:B486)^(1/120)-1)*100</f>
        <v>0.8187703851003425</v>
      </c>
      <c r="C366" cm="1">
        <f t="array" ref="C366">(PRODUCT(1+sp500_monthly!C367:C486)^(1/120)-1)*100</f>
        <v>0.52724340454473051</v>
      </c>
      <c r="D366" cm="1">
        <f t="array" ref="D366">(PRODUCT(1+sp500_monthly!D367:D486)^(1/120)-1)*100</f>
        <v>0.96313751366774447</v>
      </c>
      <c r="E366" cm="1">
        <f t="array" ref="E366">(PRODUCT(1+sp500_monthly!E367:E486)^(1/120)-1)*100</f>
        <v>0.65013334830335001</v>
      </c>
      <c r="F366" cm="1">
        <f t="array" ref="F366">(PRODUCT(1+sp500_monthly!K367:K486)^(1/120)-1)*100</f>
        <v>0.52841835219212818</v>
      </c>
      <c r="G366" cm="1">
        <f t="array" ref="G366">(PRODUCT(1+sp500_monthly!L367:L486)^(1/120)-1)</f>
        <v>0.23573376312112537</v>
      </c>
      <c r="H366" cm="1">
        <f t="array" ref="H366">(PRODUCT(1+sp500_monthly!N367:N486)^(1/120)-1)*100</f>
        <v>0.66664310341029154</v>
      </c>
      <c r="I366" cm="1">
        <f t="array" ref="I366">(PRODUCT(1+sp500_monthly!O367:O486)^(1/120)-1)*100</f>
        <v>8.6475124136886627E-2</v>
      </c>
    </row>
    <row r="367" spans="1:9" x14ac:dyDescent="0.35">
      <c r="A367" s="1">
        <v>24288</v>
      </c>
      <c r="B367" cm="1">
        <f t="array" ref="B367">(PRODUCT(1+sp500_monthly!B368:B487)^(1/120)-1)*100</f>
        <v>0.82700522109284691</v>
      </c>
      <c r="C367" cm="1">
        <f t="array" ref="C367">(PRODUCT(1+sp500_monthly!C368:C487)^(1/120)-1)*100</f>
        <v>0.53734554671178714</v>
      </c>
      <c r="D367" cm="1">
        <f t="array" ref="D367">(PRODUCT(1+sp500_monthly!D368:D487)^(1/120)-1)*100</f>
        <v>0.94354968829879482</v>
      </c>
      <c r="E367" cm="1">
        <f t="array" ref="E367">(PRODUCT(1+sp500_monthly!E368:E487)^(1/120)-1)*100</f>
        <v>0.63223577233824102</v>
      </c>
      <c r="F367" cm="1">
        <f t="array" ref="F367">(PRODUCT(1+sp500_monthly!K368:K487)^(1/120)-1)*100</f>
        <v>0.53874741617703226</v>
      </c>
      <c r="G367" cm="1">
        <f t="array" ref="G367">(PRODUCT(1+sp500_monthly!L368:L487)^(1/120)-1)</f>
        <v>0.23714098877023004</v>
      </c>
      <c r="H367" cm="1">
        <f t="array" ref="H367">(PRODUCT(1+sp500_monthly!N368:N487)^(1/120)-1)*100</f>
        <v>0.67615774759408609</v>
      </c>
      <c r="I367" cm="1">
        <f t="array" ref="I367">(PRODUCT(1+sp500_monthly!O368:O487)^(1/120)-1)*100</f>
        <v>8.9256344709820468E-2</v>
      </c>
    </row>
    <row r="368" spans="1:9" x14ac:dyDescent="0.35">
      <c r="A368" s="1">
        <v>24317</v>
      </c>
      <c r="B368" cm="1">
        <f t="array" ref="B368">(PRODUCT(1+sp500_monthly!B369:B488)^(1/120)-1)*100</f>
        <v>0.78277163285709328</v>
      </c>
      <c r="C368" cm="1">
        <f t="array" ref="C368">(PRODUCT(1+sp500_monthly!C369:C488)^(1/120)-1)*100</f>
        <v>0.49286903887375555</v>
      </c>
      <c r="D368" cm="1">
        <f t="array" ref="D368">(PRODUCT(1+sp500_monthly!D369:D488)^(1/120)-1)*100</f>
        <v>0.91374236922272534</v>
      </c>
      <c r="E368" cm="1">
        <f t="array" ref="E368">(PRODUCT(1+sp500_monthly!E369:E488)^(1/120)-1)*100</f>
        <v>0.60248404731264582</v>
      </c>
      <c r="F368" cm="1">
        <f t="array" ref="F368">(PRODUCT(1+sp500_monthly!K369:K488)^(1/120)-1)*100</f>
        <v>0.49294455073845</v>
      </c>
      <c r="G368" cm="1">
        <f t="array" ref="G368">(PRODUCT(1+sp500_monthly!L369:L488)^(1/120)-1)</f>
        <v>0.23858270507490764</v>
      </c>
      <c r="H368" cm="1">
        <f t="array" ref="H368">(PRODUCT(1+sp500_monthly!N369:N488)^(1/120)-1)*100</f>
        <v>0.63492779342335659</v>
      </c>
      <c r="I368" cm="1">
        <f t="array" ref="I368">(PRODUCT(1+sp500_monthly!O369:O488)^(1/120)-1)*100</f>
        <v>9.3675011216642901E-2</v>
      </c>
    </row>
    <row r="369" spans="1:9" x14ac:dyDescent="0.35">
      <c r="A369" s="1">
        <v>24350</v>
      </c>
      <c r="B369" cm="1">
        <f t="array" ref="B369">(PRODUCT(1+sp500_monthly!B370:B489)^(1/120)-1)*100</f>
        <v>0.73041897254428889</v>
      </c>
      <c r="C369" cm="1">
        <f t="array" ref="C369">(PRODUCT(1+sp500_monthly!C370:C489)^(1/120)-1)*100</f>
        <v>0.44053905819370076</v>
      </c>
      <c r="D369" cm="1">
        <f t="array" ref="D369">(PRODUCT(1+sp500_monthly!D370:D489)^(1/120)-1)*100</f>
        <v>0.87090312264921366</v>
      </c>
      <c r="E369" cm="1">
        <f t="array" ref="E369">(PRODUCT(1+sp500_monthly!E370:E489)^(1/120)-1)*100</f>
        <v>0.56010141086810794</v>
      </c>
      <c r="F369" cm="1">
        <f t="array" ref="F369">(PRODUCT(1+sp500_monthly!K370:K489)^(1/120)-1)*100</f>
        <v>0.43954427337518087</v>
      </c>
      <c r="G369" cm="1">
        <f t="array" ref="G369">(PRODUCT(1+sp500_monthly!L370:L489)^(1/120)-1)</f>
        <v>0.23962823880861417</v>
      </c>
      <c r="H369" cm="1">
        <f t="array" ref="H369">(PRODUCT(1+sp500_monthly!N370:N489)^(1/120)-1)*100</f>
        <v>0.58515294536780615</v>
      </c>
      <c r="I369" cm="1">
        <f t="array" ref="I369">(PRODUCT(1+sp500_monthly!O370:O489)^(1/120)-1)*100</f>
        <v>9.7245165330339667E-2</v>
      </c>
    </row>
    <row r="370" spans="1:9" x14ac:dyDescent="0.35">
      <c r="A370" s="1">
        <v>24380</v>
      </c>
      <c r="B370" cm="1">
        <f t="array" ref="B370">(PRODUCT(1+sp500_monthly!B371:B490)^(1/120)-1)*100</f>
        <v>0.69600116550772029</v>
      </c>
      <c r="C370" cm="1">
        <f t="array" ref="C370">(PRODUCT(1+sp500_monthly!C371:C490)^(1/120)-1)*100</f>
        <v>0.40718426353685278</v>
      </c>
      <c r="D370" cm="1">
        <f t="array" ref="D370">(PRODUCT(1+sp500_monthly!D371:D490)^(1/120)-1)*100</f>
        <v>0.82176084268563709</v>
      </c>
      <c r="E370" cm="1">
        <f t="array" ref="E370">(PRODUCT(1+sp500_monthly!E371:E490)^(1/120)-1)*100</f>
        <v>0.5114323191406811</v>
      </c>
      <c r="F370" cm="1">
        <f t="array" ref="F370">(PRODUCT(1+sp500_monthly!K371:K490)^(1/120)-1)*100</f>
        <v>0.40428558021168293</v>
      </c>
      <c r="G370" cm="1">
        <f t="array" ref="G370">(PRODUCT(1+sp500_monthly!L371:L490)^(1/120)-1)</f>
        <v>0.24155721491521032</v>
      </c>
      <c r="H370" cm="1">
        <f t="array" ref="H370">(PRODUCT(1+sp500_monthly!N371:N490)^(1/120)-1)*100</f>
        <v>0.54625019271989927</v>
      </c>
      <c r="I370" cm="1">
        <f t="array" ref="I370">(PRODUCT(1+sp500_monthly!O371:O490)^(1/120)-1)*100</f>
        <v>9.4727125229154829E-2</v>
      </c>
    </row>
    <row r="371" spans="1:9" x14ac:dyDescent="0.35">
      <c r="A371" s="1">
        <v>24411</v>
      </c>
      <c r="B371" cm="1">
        <f t="array" ref="B371">(PRODUCT(1+sp500_monthly!B372:B491)^(1/120)-1)*100</f>
        <v>0.72852854400968781</v>
      </c>
      <c r="C371" cm="1">
        <f t="array" ref="C371">(PRODUCT(1+sp500_monthly!C372:C491)^(1/120)-1)*100</f>
        <v>0.43936590233022432</v>
      </c>
      <c r="D371" cm="1">
        <f t="array" ref="D371">(PRODUCT(1+sp500_monthly!D372:D491)^(1/120)-1)*100</f>
        <v>0.84765090690370748</v>
      </c>
      <c r="E371" cm="1">
        <f t="array" ref="E371">(PRODUCT(1+sp500_monthly!E372:E491)^(1/120)-1)*100</f>
        <v>0.53747308706939556</v>
      </c>
      <c r="F371" cm="1">
        <f t="array" ref="F371">(PRODUCT(1+sp500_monthly!K372:K491)^(1/120)-1)*100</f>
        <v>0.43734183332373444</v>
      </c>
      <c r="G371" cm="1">
        <f t="array" ref="G371">(PRODUCT(1+sp500_monthly!L372:L491)^(1/120)-1)</f>
        <v>0.2433272578579444</v>
      </c>
      <c r="H371" cm="1">
        <f t="array" ref="H371">(PRODUCT(1+sp500_monthly!N372:N491)^(1/120)-1)*100</f>
        <v>0.57739275597405992</v>
      </c>
      <c r="I371" cm="1">
        <f t="array" ref="I371">(PRODUCT(1+sp500_monthly!O372:O491)^(1/120)-1)*100</f>
        <v>9.5226871382436684E-2</v>
      </c>
    </row>
    <row r="372" spans="1:9" x14ac:dyDescent="0.35">
      <c r="A372" s="1">
        <v>24441</v>
      </c>
      <c r="B372" cm="1">
        <f t="array" ref="B372">(PRODUCT(1+sp500_monthly!B373:B492)^(1/120)-1)*100</f>
        <v>0.76261756542685966</v>
      </c>
      <c r="C372" cm="1">
        <f t="array" ref="C372">(PRODUCT(1+sp500_monthly!C373:C492)^(1/120)-1)*100</f>
        <v>0.47358634748846384</v>
      </c>
      <c r="D372" cm="1">
        <f t="array" ref="D372">(PRODUCT(1+sp500_monthly!D373:D492)^(1/120)-1)*100</f>
        <v>0.86517714205893714</v>
      </c>
      <c r="E372" cm="1">
        <f t="array" ref="E372">(PRODUCT(1+sp500_monthly!E373:E492)^(1/120)-1)*100</f>
        <v>0.55583913829189147</v>
      </c>
      <c r="F372" cm="1">
        <f t="array" ref="F372">(PRODUCT(1+sp500_monthly!K373:K492)^(1/120)-1)*100</f>
        <v>0.47198964836674406</v>
      </c>
      <c r="G372" cm="1">
        <f t="array" ref="G372">(PRODUCT(1+sp500_monthly!L373:L492)^(1/120)-1)</f>
        <v>0.24486599789409458</v>
      </c>
      <c r="H372" cm="1">
        <f t="array" ref="H372">(PRODUCT(1+sp500_monthly!N373:N492)^(1/120)-1)*100</f>
        <v>0.6137650622713986</v>
      </c>
      <c r="I372" cm="1">
        <f t="array" ref="I372">(PRODUCT(1+sp500_monthly!O373:O492)^(1/120)-1)*100</f>
        <v>9.9211815333322129E-2</v>
      </c>
    </row>
    <row r="373" spans="1:9" x14ac:dyDescent="0.35">
      <c r="A373" s="1">
        <v>24471</v>
      </c>
      <c r="B373" cm="1">
        <f t="array" ref="B373">(PRODUCT(1+sp500_monthly!B374:B493)^(1/120)-1)*100</f>
        <v>0.7736040915986786</v>
      </c>
      <c r="C373" cm="1">
        <f t="array" ref="C373">(PRODUCT(1+sp500_monthly!C374:C493)^(1/120)-1)*100</f>
        <v>0.48611096900204043</v>
      </c>
      <c r="D373" cm="1">
        <f t="array" ref="D373">(PRODUCT(1+sp500_monthly!D374:D493)^(1/120)-1)*100</f>
        <v>0.89158278280740966</v>
      </c>
      <c r="E373" cm="1">
        <f t="array" ref="E373">(PRODUCT(1+sp500_monthly!E374:E493)^(1/120)-1)*100</f>
        <v>0.58313773413016801</v>
      </c>
      <c r="F373" cm="1">
        <f t="array" ref="F373">(PRODUCT(1+sp500_monthly!K374:K493)^(1/120)-1)*100</f>
        <v>0.48383161181935197</v>
      </c>
      <c r="G373" cm="1">
        <f t="array" ref="G373">(PRODUCT(1+sp500_monthly!L374:L493)^(1/120)-1)</f>
        <v>0.24646616661919563</v>
      </c>
      <c r="H373" cm="1">
        <f t="array" ref="H373">(PRODUCT(1+sp500_monthly!N374:N493)^(1/120)-1)*100</f>
        <v>0.62396992140814067</v>
      </c>
      <c r="I373" cm="1">
        <f t="array" ref="I373">(PRODUCT(1+sp500_monthly!O374:O493)^(1/120)-1)*100</f>
        <v>0.10011370774720696</v>
      </c>
    </row>
    <row r="374" spans="1:9" x14ac:dyDescent="0.35">
      <c r="A374" s="1">
        <v>24503</v>
      </c>
      <c r="B374" cm="1">
        <f t="array" ref="B374">(PRODUCT(1+sp500_monthly!B375:B494)^(1/120)-1)*100</f>
        <v>0.74395137911806852</v>
      </c>
      <c r="C374" cm="1">
        <f t="array" ref="C374">(PRODUCT(1+sp500_monthly!C375:C494)^(1/120)-1)*100</f>
        <v>0.45684719049796652</v>
      </c>
      <c r="D374" cm="1">
        <f t="array" ref="D374">(PRODUCT(1+sp500_monthly!D375:D494)^(1/120)-1)*100</f>
        <v>0.88011672545675879</v>
      </c>
      <c r="E374" cm="1">
        <f t="array" ref="E374">(PRODUCT(1+sp500_monthly!E375:E494)^(1/120)-1)*100</f>
        <v>0.57283455102496994</v>
      </c>
      <c r="F374" cm="1">
        <f t="array" ref="F374">(PRODUCT(1+sp500_monthly!K375:K494)^(1/120)-1)*100</f>
        <v>0.45356010737087615</v>
      </c>
      <c r="G374" cm="1">
        <f t="array" ref="G374">(PRODUCT(1+sp500_monthly!L375:L494)^(1/120)-1)</f>
        <v>0.24772740596796039</v>
      </c>
      <c r="H374" cm="1">
        <f t="array" ref="H374">(PRODUCT(1+sp500_monthly!N375:N494)^(1/120)-1)*100</f>
        <v>0.59699077497914477</v>
      </c>
      <c r="I374" cm="1">
        <f t="array" ref="I374">(PRODUCT(1+sp500_monthly!O375:O494)^(1/120)-1)*100</f>
        <v>0.10406077896667476</v>
      </c>
    </row>
    <row r="375" spans="1:9" x14ac:dyDescent="0.35">
      <c r="A375" s="1">
        <v>24531</v>
      </c>
      <c r="B375" cm="1">
        <f t="array" ref="B375">(PRODUCT(1+sp500_monthly!B376:B495)^(1/120)-1)*100</f>
        <v>0.84247998759912068</v>
      </c>
      <c r="C375" cm="1">
        <f t="array" ref="C375">(PRODUCT(1+sp500_monthly!C376:C495)^(1/120)-1)*100</f>
        <v>0.55509862964311374</v>
      </c>
      <c r="D375" cm="1">
        <f t="array" ref="D375">(PRODUCT(1+sp500_monthly!D376:D495)^(1/120)-1)*100</f>
        <v>0.98472254055410602</v>
      </c>
      <c r="E375" cm="1">
        <f t="array" ref="E375">(PRODUCT(1+sp500_monthly!E376:E495)^(1/120)-1)*100</f>
        <v>0.67757445055118826</v>
      </c>
      <c r="F375" cm="1">
        <f t="array" ref="F375">(PRODUCT(1+sp500_monthly!K376:K495)^(1/120)-1)*100</f>
        <v>0.55234913740620506</v>
      </c>
      <c r="G375" cm="1">
        <f t="array" ref="G375">(PRODUCT(1+sp500_monthly!L376:L495)^(1/120)-1)</f>
        <v>0.24896178506339695</v>
      </c>
      <c r="H375" cm="1">
        <f t="array" ref="H375">(PRODUCT(1+sp500_monthly!N376:N495)^(1/120)-1)*100</f>
        <v>0.69709955134356072</v>
      </c>
      <c r="I375" cm="1">
        <f t="array" ref="I375">(PRODUCT(1+sp500_monthly!O376:O495)^(1/120)-1)*100</f>
        <v>0.1071046500205286</v>
      </c>
    </row>
    <row r="376" spans="1:9" x14ac:dyDescent="0.35">
      <c r="A376" s="1">
        <v>24562</v>
      </c>
      <c r="B376" cm="1">
        <f t="array" ref="B376">(PRODUCT(1+sp500_monthly!B377:B496)^(1/120)-1)*100</f>
        <v>0.86998066169616806</v>
      </c>
      <c r="C376" cm="1">
        <f t="array" ref="C376">(PRODUCT(1+sp500_monthly!C377:C496)^(1/120)-1)*100</f>
        <v>0.58509436172726748</v>
      </c>
      <c r="D376" cm="1">
        <f t="array" ref="D376">(PRODUCT(1+sp500_monthly!D377:D496)^(1/120)-1)*100</f>
        <v>1.015329448687452</v>
      </c>
      <c r="E376" cm="1">
        <f t="array" ref="E376">(PRODUCT(1+sp500_monthly!E377:E496)^(1/120)-1)*100</f>
        <v>0.71011686128459317</v>
      </c>
      <c r="F376" cm="1">
        <f t="array" ref="F376">(PRODUCT(1+sp500_monthly!K377:K496)^(1/120)-1)*100</f>
        <v>0.58181019043026527</v>
      </c>
      <c r="G376" cm="1">
        <f t="array" ref="G376">(PRODUCT(1+sp500_monthly!L377:L496)^(1/120)-1)</f>
        <v>0.24992357808932564</v>
      </c>
      <c r="H376" cm="1">
        <f t="array" ref="H376">(PRODUCT(1+sp500_monthly!N377:N496)^(1/120)-1)*100</f>
        <v>0.72594750114132189</v>
      </c>
      <c r="I376" cm="1">
        <f t="array" ref="I376">(PRODUCT(1+sp500_monthly!O377:O496)^(1/120)-1)*100</f>
        <v>0.10948116592877088</v>
      </c>
    </row>
    <row r="377" spans="1:9" x14ac:dyDescent="0.35">
      <c r="A377" s="1">
        <v>24590</v>
      </c>
      <c r="B377" cm="1">
        <f t="array" ref="B377">(PRODUCT(1+sp500_monthly!B378:B497)^(1/120)-1)*100</f>
        <v>0.88407471086964229</v>
      </c>
      <c r="C377" cm="1">
        <f t="array" ref="C377">(PRODUCT(1+sp500_monthly!C378:C497)^(1/120)-1)*100</f>
        <v>0.6003865915735096</v>
      </c>
      <c r="D377" cm="1">
        <f t="array" ref="D377">(PRODUCT(1+sp500_monthly!D378:D497)^(1/120)-1)*100</f>
        <v>1.0387552298259051</v>
      </c>
      <c r="E377" cm="1">
        <f t="array" ref="E377">(PRODUCT(1+sp500_monthly!E378:E497)^(1/120)-1)*100</f>
        <v>0.73471363639714404</v>
      </c>
      <c r="F377" cm="1">
        <f t="array" ref="F377">(PRODUCT(1+sp500_monthly!K378:K497)^(1/120)-1)*100</f>
        <v>0.59790020334953287</v>
      </c>
      <c r="G377" cm="1">
        <f t="array" ref="G377">(PRODUCT(1+sp500_monthly!L378:L497)^(1/120)-1)</f>
        <v>0.25119799923575425</v>
      </c>
      <c r="H377" cm="1">
        <f t="array" ref="H377">(PRODUCT(1+sp500_monthly!N378:N497)^(1/120)-1)*100</f>
        <v>0.74183135999426053</v>
      </c>
      <c r="I377" cm="1">
        <f t="array" ref="I377">(PRODUCT(1+sp500_monthly!O378:O497)^(1/120)-1)*100</f>
        <v>0.11261047314026218</v>
      </c>
    </row>
    <row r="378" spans="1:9" x14ac:dyDescent="0.35">
      <c r="A378" s="1">
        <v>24623</v>
      </c>
      <c r="B378" cm="1">
        <f t="array" ref="B378">(PRODUCT(1+sp500_monthly!B379:B498)^(1/120)-1)*100</f>
        <v>0.88152678434501031</v>
      </c>
      <c r="C378" cm="1">
        <f t="array" ref="C378">(PRODUCT(1+sp500_monthly!C379:C498)^(1/120)-1)*100</f>
        <v>0.59824154103158556</v>
      </c>
      <c r="D378" cm="1">
        <f t="array" ref="D378">(PRODUCT(1+sp500_monthly!D379:D498)^(1/120)-1)*100</f>
        <v>1.0463218067132019</v>
      </c>
      <c r="E378" cm="1">
        <f t="array" ref="E378">(PRODUCT(1+sp500_monthly!E379:E498)^(1/120)-1)*100</f>
        <v>0.74291206729395487</v>
      </c>
      <c r="F378" cm="1">
        <f t="array" ref="F378">(PRODUCT(1+sp500_monthly!K379:K498)^(1/120)-1)*100</f>
        <v>0.60216286012755305</v>
      </c>
      <c r="G378" cm="1">
        <f t="array" ref="G378">(PRODUCT(1+sp500_monthly!L379:L498)^(1/120)-1)</f>
        <v>0.2517662574767372</v>
      </c>
      <c r="H378" cm="1">
        <f t="array" ref="H378">(PRODUCT(1+sp500_monthly!N379:N498)^(1/120)-1)*100</f>
        <v>0.73885358829874903</v>
      </c>
      <c r="I378" cm="1">
        <f t="array" ref="I378">(PRODUCT(1+sp500_monthly!O379:O498)^(1/120)-1)*100</f>
        <v>0.1127620615897218</v>
      </c>
    </row>
    <row r="379" spans="1:9" x14ac:dyDescent="0.35">
      <c r="A379" s="1">
        <v>24653</v>
      </c>
      <c r="B379" cm="1">
        <f t="array" ref="B379">(PRODUCT(1+sp500_monthly!B380:B499)^(1/120)-1)*100</f>
        <v>0.80930156338514525</v>
      </c>
      <c r="C379" cm="1">
        <f t="array" ref="C379">(PRODUCT(1+sp500_monthly!C380:C499)^(1/120)-1)*100</f>
        <v>0.52583638974736946</v>
      </c>
      <c r="D379" cm="1">
        <f t="array" ref="D379">(PRODUCT(1+sp500_monthly!D380:D499)^(1/120)-1)*100</f>
        <v>1.0020806865043808</v>
      </c>
      <c r="E379" cm="1">
        <f t="array" ref="E379">(PRODUCT(1+sp500_monthly!E380:E499)^(1/120)-1)*100</f>
        <v>0.69915439042451677</v>
      </c>
      <c r="F379" cm="1">
        <f t="array" ref="F379">(PRODUCT(1+sp500_monthly!K380:K499)^(1/120)-1)*100</f>
        <v>0.52661566117444547</v>
      </c>
      <c r="G379" cm="1">
        <f t="array" ref="G379">(PRODUCT(1+sp500_monthly!L380:L499)^(1/120)-1)</f>
        <v>0.25233038057974366</v>
      </c>
      <c r="H379" cm="1">
        <f t="array" ref="H379">(PRODUCT(1+sp500_monthly!N380:N499)^(1/120)-1)*100</f>
        <v>0.66883038428944275</v>
      </c>
      <c r="I379" cm="1">
        <f t="array" ref="I379">(PRODUCT(1+sp500_monthly!O380:O499)^(1/120)-1)*100</f>
        <v>0.11543266463809321</v>
      </c>
    </row>
    <row r="380" spans="1:9" x14ac:dyDescent="0.35">
      <c r="A380" s="1">
        <v>24684</v>
      </c>
      <c r="B380" cm="1">
        <f t="array" ref="B380">(PRODUCT(1+sp500_monthly!B381:B500)^(1/120)-1)*100</f>
        <v>0.82597008408615835</v>
      </c>
      <c r="C380" cm="1">
        <f t="array" ref="C380">(PRODUCT(1+sp500_monthly!C381:C500)^(1/120)-1)*100</f>
        <v>0.5438432389125003</v>
      </c>
      <c r="D380" cm="1">
        <f t="array" ref="D380">(PRODUCT(1+sp500_monthly!D381:D500)^(1/120)-1)*100</f>
        <v>1.0389367364199042</v>
      </c>
      <c r="E380" cm="1">
        <f t="array" ref="E380">(PRODUCT(1+sp500_monthly!E381:E500)^(1/120)-1)*100</f>
        <v>0.73707510475828908</v>
      </c>
      <c r="F380" cm="1">
        <f t="array" ref="F380">(PRODUCT(1+sp500_monthly!K381:K500)^(1/120)-1)*100</f>
        <v>0.54222047332426193</v>
      </c>
      <c r="G380" cm="1">
        <f t="array" ref="G380">(PRODUCT(1+sp500_monthly!L381:L500)^(1/120)-1)</f>
        <v>0.25257988551476185</v>
      </c>
      <c r="H380" cm="1">
        <f t="array" ref="H380">(PRODUCT(1+sp500_monthly!N381:N500)^(1/120)-1)*100</f>
        <v>0.68371097974537776</v>
      </c>
      <c r="I380" cm="1">
        <f t="array" ref="I380">(PRODUCT(1+sp500_monthly!O381:O500)^(1/120)-1)*100</f>
        <v>0.11392760485053888</v>
      </c>
    </row>
    <row r="381" spans="1:9" x14ac:dyDescent="0.35">
      <c r="A381" s="1">
        <v>24715</v>
      </c>
      <c r="B381" cm="1">
        <f t="array" ref="B381">(PRODUCT(1+sp500_monthly!B382:B501)^(1/120)-1)*100</f>
        <v>0.8559765772261807</v>
      </c>
      <c r="C381" cm="1">
        <f t="array" ref="C381">(PRODUCT(1+sp500_monthly!C382:C501)^(1/120)-1)*100</f>
        <v>0.5743708515290713</v>
      </c>
      <c r="D381" cm="1">
        <f t="array" ref="D381">(PRODUCT(1+sp500_monthly!D382:D501)^(1/120)-1)*100</f>
        <v>1.0920107570794979</v>
      </c>
      <c r="E381" cm="1">
        <f t="array" ref="E381">(PRODUCT(1+sp500_monthly!E382:E501)^(1/120)-1)*100</f>
        <v>0.79072852597881216</v>
      </c>
      <c r="F381" cm="1">
        <f t="array" ref="F381">(PRODUCT(1+sp500_monthly!K382:K501)^(1/120)-1)*100</f>
        <v>0.56988219278040209</v>
      </c>
      <c r="G381" cm="1">
        <f t="array" ref="G381">(PRODUCT(1+sp500_monthly!L382:L501)^(1/120)-1)</f>
        <v>0.25265987440422388</v>
      </c>
      <c r="H381" cm="1">
        <f t="array" ref="H381">(PRODUCT(1+sp500_monthly!N382:N501)^(1/120)-1)*100</f>
        <v>0.71354371879506218</v>
      </c>
      <c r="I381" cm="1">
        <f t="array" ref="I381">(PRODUCT(1+sp500_monthly!O382:O501)^(1/120)-1)*100</f>
        <v>0.11388014513595834</v>
      </c>
    </row>
    <row r="382" spans="1:9" x14ac:dyDescent="0.35">
      <c r="A382" s="1">
        <v>24744</v>
      </c>
      <c r="B382" cm="1">
        <f t="array" ref="B382">(PRODUCT(1+sp500_monthly!B383:B502)^(1/120)-1)*100</f>
        <v>0.89245246031064429</v>
      </c>
      <c r="C382" cm="1">
        <f t="array" ref="C382">(PRODUCT(1+sp500_monthly!C383:C502)^(1/120)-1)*100</f>
        <v>0.61077605328372364</v>
      </c>
      <c r="D382" cm="1">
        <f t="array" ref="D382">(PRODUCT(1+sp500_monthly!D383:D502)^(1/120)-1)*100</f>
        <v>1.1401176858755413</v>
      </c>
      <c r="E382" cm="1">
        <f t="array" ref="E382">(PRODUCT(1+sp500_monthly!E383:E502)^(1/120)-1)*100</f>
        <v>0.83958737705609465</v>
      </c>
      <c r="F382" cm="1">
        <f t="array" ref="F382">(PRODUCT(1+sp500_monthly!K383:K502)^(1/120)-1)*100</f>
        <v>0.6084419444664757</v>
      </c>
      <c r="G382" cm="1">
        <f t="array" ref="G382">(PRODUCT(1+sp500_monthly!L383:L502)^(1/120)-1)</f>
        <v>0.25314937991225084</v>
      </c>
      <c r="H382" cm="1">
        <f t="array" ref="H382">(PRODUCT(1+sp500_monthly!N383:N502)^(1/120)-1)*100</f>
        <v>0.75013432428436833</v>
      </c>
      <c r="I382" cm="1">
        <f t="array" ref="I382">(PRODUCT(1+sp500_monthly!O383:O502)^(1/120)-1)*100</f>
        <v>0.11454450451953146</v>
      </c>
    </row>
    <row r="383" spans="1:9" x14ac:dyDescent="0.35">
      <c r="A383" s="1">
        <v>24776</v>
      </c>
      <c r="B383" cm="1">
        <f t="array" ref="B383">(PRODUCT(1+sp500_monthly!B384:B503)^(1/120)-1)*100</f>
        <v>0.97057126462098964</v>
      </c>
      <c r="C383" cm="1">
        <f t="array" ref="C383">(PRODUCT(1+sp500_monthly!C384:C503)^(1/120)-1)*100</f>
        <v>0.69012255110298959</v>
      </c>
      <c r="D383" cm="1">
        <f t="array" ref="D383">(PRODUCT(1+sp500_monthly!D384:D503)^(1/120)-1)*100</f>
        <v>1.2045386365808319</v>
      </c>
      <c r="E383" cm="1">
        <f t="array" ref="E383">(PRODUCT(1+sp500_monthly!E384:E503)^(1/120)-1)*100</f>
        <v>0.90591742157963839</v>
      </c>
      <c r="F383" cm="1">
        <f t="array" ref="F383">(PRODUCT(1+sp500_monthly!K384:K503)^(1/120)-1)*100</f>
        <v>0.68911116508503234</v>
      </c>
      <c r="G383" cm="1">
        <f t="array" ref="G383">(PRODUCT(1+sp500_monthly!L384:L503)^(1/120)-1)</f>
        <v>0.25363527849575918</v>
      </c>
      <c r="H383" cm="1">
        <f t="array" ref="H383">(PRODUCT(1+sp500_monthly!N384:N503)^(1/120)-1)*100</f>
        <v>0.82682612756133089</v>
      </c>
      <c r="I383" cm="1">
        <f t="array" ref="I383">(PRODUCT(1+sp500_monthly!O384:O503)^(1/120)-1)*100</f>
        <v>0.1137361368215517</v>
      </c>
    </row>
    <row r="384" spans="1:9" x14ac:dyDescent="0.35">
      <c r="A384" s="1">
        <v>24806</v>
      </c>
      <c r="B384" cm="1">
        <f t="array" ref="B384">(PRODUCT(1+sp500_monthly!B385:B504)^(1/120)-1)*100</f>
        <v>0.9804806776870123</v>
      </c>
      <c r="C384" cm="1">
        <f t="array" ref="C384">(PRODUCT(1+sp500_monthly!C385:C504)^(1/120)-1)*100</f>
        <v>0.70042124811973139</v>
      </c>
      <c r="D384" cm="1">
        <f t="array" ref="D384">(PRODUCT(1+sp500_monthly!D385:D504)^(1/120)-1)*100</f>
        <v>1.2099715062322991</v>
      </c>
      <c r="E384" cm="1">
        <f t="array" ref="E384">(PRODUCT(1+sp500_monthly!E385:E504)^(1/120)-1)*100</f>
        <v>0.91243293491407584</v>
      </c>
      <c r="F384" cm="1">
        <f t="array" ref="F384">(PRODUCT(1+sp500_monthly!K385:K504)^(1/120)-1)*100</f>
        <v>0.69171123671780688</v>
      </c>
      <c r="G384" cm="1">
        <f t="array" ref="G384">(PRODUCT(1+sp500_monthly!L385:L504)^(1/120)-1)</f>
        <v>0.25441550724514705</v>
      </c>
      <c r="H384" cm="1">
        <f t="array" ref="H384">(PRODUCT(1+sp500_monthly!N385:N504)^(1/120)-1)*100</f>
        <v>0.83422426764696578</v>
      </c>
      <c r="I384" cm="1">
        <f t="array" ref="I384">(PRODUCT(1+sp500_monthly!O385:O504)^(1/120)-1)*100</f>
        <v>0.11208831267028874</v>
      </c>
    </row>
    <row r="385" spans="1:9" x14ac:dyDescent="0.35">
      <c r="A385" s="1">
        <v>24835</v>
      </c>
      <c r="B385" cm="1">
        <f t="array" ref="B385">(PRODUCT(1+sp500_monthly!B386:B505)^(1/120)-1)*100</f>
        <v>0.96616597432239715</v>
      </c>
      <c r="C385" cm="1">
        <f t="array" ref="C385">(PRODUCT(1+sp500_monthly!C386:C505)^(1/120)-1)*100</f>
        <v>0.68714999860650661</v>
      </c>
      <c r="D385" cm="1">
        <f t="array" ref="D385">(PRODUCT(1+sp500_monthly!D386:D505)^(1/120)-1)*100</f>
        <v>1.1896989908737332</v>
      </c>
      <c r="E385" cm="1">
        <f t="array" ref="E385">(PRODUCT(1+sp500_monthly!E386:E505)^(1/120)-1)*100</f>
        <v>0.8935900875313374</v>
      </c>
      <c r="F385" cm="1">
        <f t="array" ref="F385">(PRODUCT(1+sp500_monthly!K386:K505)^(1/120)-1)*100</f>
        <v>0.67922477216721955</v>
      </c>
      <c r="G385" cm="1">
        <f t="array" ref="G385">(PRODUCT(1+sp500_monthly!L386:L505)^(1/120)-1)</f>
        <v>0.25504940457016612</v>
      </c>
      <c r="H385" cm="1">
        <f t="array" ref="H385">(PRODUCT(1+sp500_monthly!N386:N505)^(1/120)-1)*100</f>
        <v>0.81762469776431868</v>
      </c>
      <c r="I385" cm="1">
        <f t="array" ref="I385">(PRODUCT(1+sp500_monthly!O386:O505)^(1/120)-1)*100</f>
        <v>0.11046417258093744</v>
      </c>
    </row>
    <row r="386" spans="1:9" x14ac:dyDescent="0.35">
      <c r="A386" s="1">
        <v>24868</v>
      </c>
      <c r="B386" cm="1">
        <f t="array" ref="B386">(PRODUCT(1+sp500_monthly!B387:B506)^(1/120)-1)*100</f>
        <v>1.0207521197361125</v>
      </c>
      <c r="C386" cm="1">
        <f t="array" ref="C386">(PRODUCT(1+sp500_monthly!C387:C506)^(1/120)-1)*100</f>
        <v>0.74373064146404655</v>
      </c>
      <c r="D386" cm="1">
        <f t="array" ref="D386">(PRODUCT(1+sp500_monthly!D387:D506)^(1/120)-1)*100</f>
        <v>1.2686492926097914</v>
      </c>
      <c r="E386" cm="1">
        <f t="array" ref="E386">(PRODUCT(1+sp500_monthly!E387:E506)^(1/120)-1)*100</f>
        <v>0.97512010565301566</v>
      </c>
      <c r="F386" cm="1">
        <f t="array" ref="F386">(PRODUCT(1+sp500_monthly!K387:K506)^(1/120)-1)*100</f>
        <v>0.73653508986186722</v>
      </c>
      <c r="G386" cm="1">
        <f t="array" ref="G386">(PRODUCT(1+sp500_monthly!L387:L506)^(1/120)-1)</f>
        <v>0.25578243732976635</v>
      </c>
      <c r="H386" cm="1">
        <f t="array" ref="H386">(PRODUCT(1+sp500_monthly!N387:N506)^(1/120)-1)*100</f>
        <v>0.87142796013797152</v>
      </c>
      <c r="I386" cm="1">
        <f t="array" ref="I386">(PRODUCT(1+sp500_monthly!O387:O506)^(1/120)-1)*100</f>
        <v>0.11051559395347521</v>
      </c>
    </row>
    <row r="387" spans="1:9" x14ac:dyDescent="0.35">
      <c r="A387" s="1">
        <v>24897</v>
      </c>
      <c r="B387" cm="1">
        <f t="array" ref="B387">(PRODUCT(1+sp500_monthly!B388:B507)^(1/120)-1)*100</f>
        <v>0.94729509390589772</v>
      </c>
      <c r="C387" cm="1">
        <f t="array" ref="C387">(PRODUCT(1+sp500_monthly!C388:C507)^(1/120)-1)*100</f>
        <v>0.6699846344092153</v>
      </c>
      <c r="D387" cm="1">
        <f t="array" ref="D387">(PRODUCT(1+sp500_monthly!D388:D507)^(1/120)-1)*100</f>
        <v>1.1778440062706563</v>
      </c>
      <c r="E387" cm="1">
        <f t="array" ref="E387">(PRODUCT(1+sp500_monthly!E388:E507)^(1/120)-1)*100</f>
        <v>0.88458923518821564</v>
      </c>
      <c r="F387" cm="1">
        <f t="array" ref="F387">(PRODUCT(1+sp500_monthly!K388:K507)^(1/120)-1)*100</f>
        <v>0.66377051717885216</v>
      </c>
      <c r="G387" cm="1">
        <f t="array" ref="G387">(PRODUCT(1+sp500_monthly!L388:L507)^(1/120)-1)</f>
        <v>0.25672056569373347</v>
      </c>
      <c r="H387" cm="1">
        <f t="array" ref="H387">(PRODUCT(1+sp500_monthly!N388:N507)^(1/120)-1)*100</f>
        <v>0.80061342677384406</v>
      </c>
      <c r="I387" cm="1">
        <f t="array" ref="I387">(PRODUCT(1+sp500_monthly!O388:O507)^(1/120)-1)*100</f>
        <v>0.1140299644568632</v>
      </c>
    </row>
    <row r="388" spans="1:9" x14ac:dyDescent="0.35">
      <c r="A388" s="1">
        <v>24926</v>
      </c>
      <c r="B388" cm="1">
        <f t="array" ref="B388">(PRODUCT(1+sp500_monthly!B389:B508)^(1/120)-1)*100</f>
        <v>0.93631014514985456</v>
      </c>
      <c r="C388" cm="1">
        <f t="array" ref="C388">(PRODUCT(1+sp500_monthly!C389:C508)^(1/120)-1)*100</f>
        <v>0.65991925369026649</v>
      </c>
      <c r="D388" cm="1">
        <f t="array" ref="D388">(PRODUCT(1+sp500_monthly!D389:D508)^(1/120)-1)*100</f>
        <v>1.1610042510921126</v>
      </c>
      <c r="E388" cm="1">
        <f t="array" ref="E388">(PRODUCT(1+sp500_monthly!E389:E508)^(1/120)-1)*100</f>
        <v>0.86866318594787106</v>
      </c>
      <c r="F388" cm="1">
        <f t="array" ref="F388">(PRODUCT(1+sp500_monthly!K389:K508)^(1/120)-1)*100</f>
        <v>0.65464309016816102</v>
      </c>
      <c r="G388" cm="1">
        <f t="array" ref="G388">(PRODUCT(1+sp500_monthly!L389:L508)^(1/120)-1)</f>
        <v>0.25898443818167949</v>
      </c>
      <c r="H388" cm="1">
        <f t="array" ref="H388">(PRODUCT(1+sp500_monthly!N389:N508)^(1/120)-1)*100</f>
        <v>0.78894271181197961</v>
      </c>
      <c r="I388" cm="1">
        <f t="array" ref="I388">(PRODUCT(1+sp500_monthly!O389:O508)^(1/120)-1)*100</f>
        <v>0.11557978755056819</v>
      </c>
    </row>
    <row r="389" spans="1:9" x14ac:dyDescent="0.35">
      <c r="A389" s="1">
        <v>24958</v>
      </c>
      <c r="B389" cm="1">
        <f t="array" ref="B389">(PRODUCT(1+sp500_monthly!B390:B509)^(1/120)-1)*100</f>
        <v>0.91707668633769224</v>
      </c>
      <c r="C389" cm="1">
        <f t="array" ref="C389">(PRODUCT(1+sp500_monthly!C390:C509)^(1/120)-1)*100</f>
        <v>0.64251154193755156</v>
      </c>
      <c r="D389" cm="1">
        <f t="array" ref="D389">(PRODUCT(1+sp500_monthly!D390:D509)^(1/120)-1)*100</f>
        <v>1.1319248809263271</v>
      </c>
      <c r="E389" cm="1">
        <f t="array" ref="E389">(PRODUCT(1+sp500_monthly!E390:E509)^(1/120)-1)*100</f>
        <v>0.84137508950312689</v>
      </c>
      <c r="F389" cm="1">
        <f t="array" ref="F389">(PRODUCT(1+sp500_monthly!K390:K509)^(1/120)-1)*100</f>
        <v>0.63700528706767123</v>
      </c>
      <c r="G389" cm="1">
        <f t="array" ref="G389">(PRODUCT(1+sp500_monthly!L390:L509)^(1/120)-1)</f>
        <v>0.26146188702581985</v>
      </c>
      <c r="H389" cm="1">
        <f t="array" ref="H389">(PRODUCT(1+sp500_monthly!N390:N509)^(1/120)-1)*100</f>
        <v>0.7722449871311543</v>
      </c>
      <c r="I389" cm="1">
        <f t="array" ref="I389">(PRODUCT(1+sp500_monthly!O390:O509)^(1/120)-1)*100</f>
        <v>0.1204850403469182</v>
      </c>
    </row>
    <row r="390" spans="1:9" x14ac:dyDescent="0.35">
      <c r="A390" s="1">
        <v>24989</v>
      </c>
      <c r="B390" cm="1">
        <f t="array" ref="B390">(PRODUCT(1+sp500_monthly!B391:B510)^(1/120)-1)*100</f>
        <v>0.95726736676817747</v>
      </c>
      <c r="C390" cm="1">
        <f t="array" ref="C390">(PRODUCT(1+sp500_monthly!C391:C510)^(1/120)-1)*100</f>
        <v>0.68266657130091613</v>
      </c>
      <c r="D390" cm="1">
        <f t="array" ref="D390">(PRODUCT(1+sp500_monthly!D391:D510)^(1/120)-1)*100</f>
        <v>1.186479112388672</v>
      </c>
      <c r="E390" cm="1">
        <f t="array" ref="E390">(PRODUCT(1+sp500_monthly!E391:E510)^(1/120)-1)*100</f>
        <v>0.89608646043197737</v>
      </c>
      <c r="F390" cm="1">
        <f t="array" ref="F390">(PRODUCT(1+sp500_monthly!K391:K510)^(1/120)-1)*100</f>
        <v>0.67677533004091295</v>
      </c>
      <c r="G390" cm="1">
        <f t="array" ref="G390">(PRODUCT(1+sp500_monthly!L391:L510)^(1/120)-1)</f>
        <v>0.26441625171287209</v>
      </c>
      <c r="H390" cm="1">
        <f t="array" ref="H390">(PRODUCT(1+sp500_monthly!N391:N510)^(1/120)-1)*100</f>
        <v>0.81196677258321692</v>
      </c>
      <c r="I390" cm="1">
        <f t="array" ref="I390">(PRODUCT(1+sp500_monthly!O391:O510)^(1/120)-1)*100</f>
        <v>0.12298943422608399</v>
      </c>
    </row>
    <row r="391" spans="1:9" x14ac:dyDescent="0.35">
      <c r="A391" s="1">
        <v>25017</v>
      </c>
      <c r="B391" cm="1">
        <f t="array" ref="B391">(PRODUCT(1+sp500_monthly!B392:B511)^(1/120)-1)*100</f>
        <v>0.9531890592841652</v>
      </c>
      <c r="C391" cm="1">
        <f t="array" ref="C391">(PRODUCT(1+sp500_monthly!C392:C511)^(1/120)-1)*100</f>
        <v>0.67902422940917528</v>
      </c>
      <c r="D391" cm="1">
        <f t="array" ref="D391">(PRODUCT(1+sp500_monthly!D392:D511)^(1/120)-1)*100</f>
        <v>1.1932693435266373</v>
      </c>
      <c r="E391" cm="1">
        <f t="array" ref="E391">(PRODUCT(1+sp500_monthly!E392:E511)^(1/120)-1)*100</f>
        <v>0.90331192673147598</v>
      </c>
      <c r="F391" cm="1">
        <f t="array" ref="F391">(PRODUCT(1+sp500_monthly!K392:K511)^(1/120)-1)*100</f>
        <v>0.67363336486048198</v>
      </c>
      <c r="G391" cm="1">
        <f t="array" ref="G391">(PRODUCT(1+sp500_monthly!L392:L511)^(1/120)-1)</f>
        <v>0.2672348594722731</v>
      </c>
      <c r="H391" cm="1">
        <f t="array" ref="H391">(PRODUCT(1+sp500_monthly!N392:N511)^(1/120)-1)*100</f>
        <v>0.8054558551354063</v>
      </c>
      <c r="I391" cm="1">
        <f t="array" ref="I391">(PRODUCT(1+sp500_monthly!O392:O511)^(1/120)-1)*100</f>
        <v>0.12339639343044162</v>
      </c>
    </row>
    <row r="392" spans="1:9" x14ac:dyDescent="0.35">
      <c r="A392" s="1">
        <v>25049</v>
      </c>
      <c r="B392" cm="1">
        <f t="array" ref="B392">(PRODUCT(1+sp500_monthly!B393:B512)^(1/120)-1)*100</f>
        <v>0.93826081650636439</v>
      </c>
      <c r="C392" cm="1">
        <f t="array" ref="C392">(PRODUCT(1+sp500_monthly!C393:C512)^(1/120)-1)*100</f>
        <v>0.66565603030250831</v>
      </c>
      <c r="D392" cm="1">
        <f t="array" ref="D392">(PRODUCT(1+sp500_monthly!D393:D512)^(1/120)-1)*100</f>
        <v>1.1877578391767951</v>
      </c>
      <c r="E392" cm="1">
        <f t="array" ref="E392">(PRODUCT(1+sp500_monthly!E393:E512)^(1/120)-1)*100</f>
        <v>0.89924341126559337</v>
      </c>
      <c r="F392" cm="1">
        <f t="array" ref="F392">(PRODUCT(1+sp500_monthly!K393:K512)^(1/120)-1)*100</f>
        <v>0.65964911057843079</v>
      </c>
      <c r="G392" cm="1">
        <f t="array" ref="G392">(PRODUCT(1+sp500_monthly!L393:L512)^(1/120)-1)</f>
        <v>0.2707045974536133</v>
      </c>
      <c r="H392" cm="1">
        <f t="array" ref="H392">(PRODUCT(1+sp500_monthly!N393:N512)^(1/120)-1)*100</f>
        <v>0.78482343406991451</v>
      </c>
      <c r="I392" cm="1">
        <f t="array" ref="I392">(PRODUCT(1+sp500_monthly!O393:O512)^(1/120)-1)*100</f>
        <v>0.12103792976640992</v>
      </c>
    </row>
    <row r="393" spans="1:9" x14ac:dyDescent="0.35">
      <c r="A393" s="1">
        <v>25080</v>
      </c>
      <c r="B393" cm="1">
        <f t="array" ref="B393">(PRODUCT(1+sp500_monthly!B394:B513)^(1/120)-1)*100</f>
        <v>0.88728379388909318</v>
      </c>
      <c r="C393" cm="1">
        <f t="array" ref="C393">(PRODUCT(1+sp500_monthly!C394:C513)^(1/120)-1)*100</f>
        <v>0.61501433054307331</v>
      </c>
      <c r="D393" cm="1">
        <f t="array" ref="D393">(PRODUCT(1+sp500_monthly!D394:D513)^(1/120)-1)*100</f>
        <v>1.1188546957368262</v>
      </c>
      <c r="E393" cm="1">
        <f t="array" ref="E393">(PRODUCT(1+sp500_monthly!E394:E513)^(1/120)-1)*100</f>
        <v>0.83070600906929304</v>
      </c>
      <c r="F393" cm="1">
        <f t="array" ref="F393">(PRODUCT(1+sp500_monthly!K394:K513)^(1/120)-1)*100</f>
        <v>0.60861856921907709</v>
      </c>
      <c r="G393" cm="1">
        <f t="array" ref="G393">(PRODUCT(1+sp500_monthly!L394:L513)^(1/120)-1)</f>
        <v>0.2741442070579001</v>
      </c>
      <c r="H393" cm="1">
        <f t="array" ref="H393">(PRODUCT(1+sp500_monthly!N394:N513)^(1/120)-1)*100</f>
        <v>0.72851867845729057</v>
      </c>
      <c r="I393" cm="1">
        <f t="array" ref="I393">(PRODUCT(1+sp500_monthly!O394:O513)^(1/120)-1)*100</f>
        <v>0.11907689306296376</v>
      </c>
    </row>
    <row r="394" spans="1:9" x14ac:dyDescent="0.35">
      <c r="A394" s="1">
        <v>25111</v>
      </c>
      <c r="B394" cm="1">
        <f t="array" ref="B394">(PRODUCT(1+sp500_monthly!B395:B514)^(1/120)-1)*100</f>
        <v>0.88597461711916736</v>
      </c>
      <c r="C394" cm="1">
        <f t="array" ref="C394">(PRODUCT(1+sp500_monthly!C395:C514)^(1/120)-1)*100</f>
        <v>0.61334863294539854</v>
      </c>
      <c r="D394" cm="1">
        <f t="array" ref="D394">(PRODUCT(1+sp500_monthly!D395:D514)^(1/120)-1)*100</f>
        <v>1.1163089686246908</v>
      </c>
      <c r="E394" cm="1">
        <f t="array" ref="E394">(PRODUCT(1+sp500_monthly!E395:E514)^(1/120)-1)*100</f>
        <v>0.82817453806369734</v>
      </c>
      <c r="F394" cm="1">
        <f t="array" ref="F394">(PRODUCT(1+sp500_monthly!K395:K514)^(1/120)-1)*100</f>
        <v>0.60828044404006576</v>
      </c>
      <c r="G394" cm="1">
        <f t="array" ref="G394">(PRODUCT(1+sp500_monthly!L395:L514)^(1/120)-1)</f>
        <v>0.27745528997140512</v>
      </c>
      <c r="H394" cm="1">
        <f t="array" ref="H394">(PRODUCT(1+sp500_monthly!N395:N514)^(1/120)-1)*100</f>
        <v>0.72626135159137295</v>
      </c>
      <c r="I394" cm="1">
        <f t="array" ref="I394">(PRODUCT(1+sp500_monthly!O395:O514)^(1/120)-1)*100</f>
        <v>0.12129560565037334</v>
      </c>
    </row>
    <row r="395" spans="1:9" x14ac:dyDescent="0.35">
      <c r="A395" s="1">
        <v>25142</v>
      </c>
      <c r="B395" cm="1">
        <f t="array" ref="B395">(PRODUCT(1+sp500_monthly!B396:B515)^(1/120)-1)*100</f>
        <v>0.87673513798356417</v>
      </c>
      <c r="C395" cm="1">
        <f t="array" ref="C395">(PRODUCT(1+sp500_monthly!C396:C515)^(1/120)-1)*100</f>
        <v>0.60551651108886606</v>
      </c>
      <c r="D395" cm="1">
        <f t="array" ref="D395">(PRODUCT(1+sp500_monthly!D396:D515)^(1/120)-1)*100</f>
        <v>1.1172568344669509</v>
      </c>
      <c r="E395" cm="1">
        <f t="array" ref="E395">(PRODUCT(1+sp500_monthly!E396:E515)^(1/120)-1)*100</f>
        <v>0.8304440486898379</v>
      </c>
      <c r="F395" cm="1">
        <f t="array" ref="F395">(PRODUCT(1+sp500_monthly!K396:K515)^(1/120)-1)*100</f>
        <v>0.60037601542839436</v>
      </c>
      <c r="G395" cm="1">
        <f t="array" ref="G395">(PRODUCT(1+sp500_monthly!L396:L515)^(1/120)-1)</f>
        <v>0.27941258406139635</v>
      </c>
      <c r="H395" cm="1">
        <f t="array" ref="H395">(PRODUCT(1+sp500_monthly!N396:N515)^(1/120)-1)*100</f>
        <v>0.71377144533166792</v>
      </c>
      <c r="I395" cm="1">
        <f t="array" ref="I395">(PRODUCT(1+sp500_monthly!O396:O515)^(1/120)-1)*100</f>
        <v>0.12004605794193601</v>
      </c>
    </row>
    <row r="396" spans="1:9" x14ac:dyDescent="0.35">
      <c r="A396" s="1">
        <v>25171</v>
      </c>
      <c r="B396" cm="1">
        <f t="array" ref="B396">(PRODUCT(1+sp500_monthly!B397:B516)^(1/120)-1)*100</f>
        <v>0.86122502157983671</v>
      </c>
      <c r="C396" cm="1">
        <f t="array" ref="C396">(PRODUCT(1+sp500_monthly!C397:C516)^(1/120)-1)*100</f>
        <v>0.58973901621410807</v>
      </c>
      <c r="D396" cm="1">
        <f t="array" ref="D396">(PRODUCT(1+sp500_monthly!D397:D516)^(1/120)-1)*100</f>
        <v>1.1050021409303223</v>
      </c>
      <c r="E396" cm="1">
        <f t="array" ref="E396">(PRODUCT(1+sp500_monthly!E397:E516)^(1/120)-1)*100</f>
        <v>0.81844262527670519</v>
      </c>
      <c r="F396" cm="1">
        <f t="array" ref="F396">(PRODUCT(1+sp500_monthly!K397:K516)^(1/120)-1)*100</f>
        <v>0.58539490434870167</v>
      </c>
      <c r="G396" cm="1">
        <f t="array" ref="G396">(PRODUCT(1+sp500_monthly!L397:L516)^(1/120)-1)</f>
        <v>0.28153741098855689</v>
      </c>
      <c r="H396" cm="1">
        <f t="array" ref="H396">(PRODUCT(1+sp500_monthly!N397:N516)^(1/120)-1)*100</f>
        <v>0.69351857387141003</v>
      </c>
      <c r="I396" cm="1">
        <f t="array" ref="I396">(PRODUCT(1+sp500_monthly!O397:O516)^(1/120)-1)*100</f>
        <v>0.11746811082240516</v>
      </c>
    </row>
    <row r="397" spans="1:9" x14ac:dyDescent="0.35">
      <c r="A397" s="1">
        <v>25203</v>
      </c>
      <c r="B397" cm="1">
        <f t="array" ref="B397">(PRODUCT(1+sp500_monthly!B398:B517)^(1/120)-1)*100</f>
        <v>0.88138138354074691</v>
      </c>
      <c r="C397" cm="1">
        <f t="array" ref="C397">(PRODUCT(1+sp500_monthly!C398:C517)^(1/120)-1)*100</f>
        <v>0.61019136196927004</v>
      </c>
      <c r="D397" cm="1">
        <f t="array" ref="D397">(PRODUCT(1+sp500_monthly!D398:D517)^(1/120)-1)*100</f>
        <v>1.1282282359154738</v>
      </c>
      <c r="E397" cm="1">
        <f t="array" ref="E397">(PRODUCT(1+sp500_monthly!E398:E517)^(1/120)-1)*100</f>
        <v>0.84220484252579553</v>
      </c>
      <c r="F397" cm="1">
        <f t="array" ref="F397">(PRODUCT(1+sp500_monthly!K398:K517)^(1/120)-1)*100</f>
        <v>0.60609458889324674</v>
      </c>
      <c r="G397" cm="1">
        <f t="array" ref="G397">(PRODUCT(1+sp500_monthly!L398:L517)^(1/120)-1)</f>
        <v>0.28417043413259502</v>
      </c>
      <c r="H397" cm="1">
        <f t="array" ref="H397">(PRODUCT(1+sp500_monthly!N398:N517)^(1/120)-1)*100</f>
        <v>0.71242765414076814</v>
      </c>
      <c r="I397" cm="1">
        <f t="array" ref="I397">(PRODUCT(1+sp500_monthly!O398:O517)^(1/120)-1)*100</f>
        <v>0.11884106525446025</v>
      </c>
    </row>
    <row r="398" spans="1:9" x14ac:dyDescent="0.35">
      <c r="A398" s="1">
        <v>25234</v>
      </c>
      <c r="B398" cm="1">
        <f t="array" ref="B398">(PRODUCT(1+sp500_monthly!B399:B518)^(1/120)-1)*100</f>
        <v>0.8020681207658642</v>
      </c>
      <c r="C398" cm="1">
        <f t="array" ref="C398">(PRODUCT(1+sp500_monthly!C399:C518)^(1/120)-1)*100</f>
        <v>0.53207463408815325</v>
      </c>
      <c r="D398" cm="1">
        <f t="array" ref="D398">(PRODUCT(1+sp500_monthly!D399:D518)^(1/120)-1)*100</f>
        <v>1.0745187866062489</v>
      </c>
      <c r="E398" cm="1">
        <f t="array" ref="E398">(PRODUCT(1+sp500_monthly!E399:E518)^(1/120)-1)*100</f>
        <v>0.78979436987336449</v>
      </c>
      <c r="F398" cm="1">
        <f t="array" ref="F398">(PRODUCT(1+sp500_monthly!K399:K518)^(1/120)-1)*100</f>
        <v>0.52797084062836674</v>
      </c>
      <c r="G398" cm="1">
        <f t="array" ref="G398">(PRODUCT(1+sp500_monthly!L399:L518)^(1/120)-1)</f>
        <v>0.28587119732957822</v>
      </c>
      <c r="H398" cm="1">
        <f t="array" ref="H398">(PRODUCT(1+sp500_monthly!N399:N518)^(1/120)-1)*100</f>
        <v>0.62910188145959278</v>
      </c>
      <c r="I398" cm="1">
        <f t="array" ref="I398">(PRODUCT(1+sp500_monthly!O399:O518)^(1/120)-1)*100</f>
        <v>0.11646326093524006</v>
      </c>
    </row>
    <row r="399" spans="1:9" x14ac:dyDescent="0.35">
      <c r="A399" s="1">
        <v>25262</v>
      </c>
      <c r="B399" cm="1">
        <f t="array" ref="B399">(PRODUCT(1+sp500_monthly!B400:B519)^(1/120)-1)*100</f>
        <v>0.79040375683101516</v>
      </c>
      <c r="C399" cm="1">
        <f t="array" ref="C399">(PRODUCT(1+sp500_monthly!C400:C519)^(1/120)-1)*100</f>
        <v>0.52032161642636687</v>
      </c>
      <c r="D399" cm="1">
        <f t="array" ref="D399">(PRODUCT(1+sp500_monthly!D400:D519)^(1/120)-1)*100</f>
        <v>1.0430716527659145</v>
      </c>
      <c r="E399" cm="1">
        <f t="array" ref="E399">(PRODUCT(1+sp500_monthly!E400:E519)^(1/120)-1)*100</f>
        <v>0.75841798955111894</v>
      </c>
      <c r="F399" cm="1">
        <f t="array" ref="F399">(PRODUCT(1+sp500_monthly!K400:K519)^(1/120)-1)*100</f>
        <v>0.51790643722615659</v>
      </c>
      <c r="G399" cm="1">
        <f t="array" ref="G399">(PRODUCT(1+sp500_monthly!L400:L519)^(1/120)-1)</f>
        <v>0.28838804309172827</v>
      </c>
      <c r="H399" cm="1">
        <f t="array" ref="H399">(PRODUCT(1+sp500_monthly!N400:N519)^(1/120)-1)*100</f>
        <v>0.61626248535116002</v>
      </c>
      <c r="I399" cm="1">
        <f t="array" ref="I399">(PRODUCT(1+sp500_monthly!O400:O519)^(1/120)-1)*100</f>
        <v>0.1179341008652468</v>
      </c>
    </row>
    <row r="400" spans="1:9" x14ac:dyDescent="0.35">
      <c r="A400" s="1">
        <v>25290</v>
      </c>
      <c r="B400" cm="1">
        <f t="array" ref="B400">(PRODUCT(1+sp500_monthly!B401:B520)^(1/120)-1)*100</f>
        <v>0.74847425582513782</v>
      </c>
      <c r="C400" cm="1">
        <f t="array" ref="C400">(PRODUCT(1+sp500_monthly!C401:C520)^(1/120)-1)*100</f>
        <v>0.4778180846577218</v>
      </c>
      <c r="D400" cm="1">
        <f t="array" ref="D400">(PRODUCT(1+sp500_monthly!D401:D520)^(1/120)-1)*100</f>
        <v>0.9676288421328616</v>
      </c>
      <c r="E400" cm="1">
        <f t="array" ref="E400">(PRODUCT(1+sp500_monthly!E401:E520)^(1/120)-1)*100</f>
        <v>0.68302601235428195</v>
      </c>
      <c r="F400" cm="1">
        <f t="array" ref="F400">(PRODUCT(1+sp500_monthly!K401:K520)^(1/120)-1)*100</f>
        <v>0.477411843111053</v>
      </c>
      <c r="G400" cm="1">
        <f t="array" ref="G400">(PRODUCT(1+sp500_monthly!L401:L520)^(1/120)-1)</f>
        <v>0.29058536151979353</v>
      </c>
      <c r="H400" cm="1">
        <f t="array" ref="H400">(PRODUCT(1+sp500_monthly!N401:N520)^(1/120)-1)*100</f>
        <v>0.57177211242760428</v>
      </c>
      <c r="I400" cm="1">
        <f t="array" ref="I400">(PRODUCT(1+sp500_monthly!O401:O520)^(1/120)-1)*100</f>
        <v>0.11755806051556572</v>
      </c>
    </row>
    <row r="401" spans="1:9" x14ac:dyDescent="0.35">
      <c r="A401" s="1">
        <v>25323</v>
      </c>
      <c r="B401" cm="1">
        <f t="array" ref="B401">(PRODUCT(1+sp500_monthly!B402:B521)^(1/120)-1)*100</f>
        <v>0.77442637073701359</v>
      </c>
      <c r="C401" cm="1">
        <f t="array" ref="C401">(PRODUCT(1+sp500_monthly!C402:C521)^(1/120)-1)*100</f>
        <v>0.50480102905710034</v>
      </c>
      <c r="D401" cm="1">
        <f t="array" ref="D401">(PRODUCT(1+sp500_monthly!D402:D521)^(1/120)-1)*100</f>
        <v>0.98054698130700668</v>
      </c>
      <c r="E401" cm="1">
        <f t="array" ref="E401">(PRODUCT(1+sp500_monthly!E402:E521)^(1/120)-1)*100</f>
        <v>0.69676073979405562</v>
      </c>
      <c r="F401" cm="1">
        <f t="array" ref="F401">(PRODUCT(1+sp500_monthly!K402:K521)^(1/120)-1)*100</f>
        <v>0.50531765060048972</v>
      </c>
      <c r="G401" cm="1">
        <f t="array" ref="G401">(PRODUCT(1+sp500_monthly!L402:L521)^(1/120)-1)</f>
        <v>0.29251822844484043</v>
      </c>
      <c r="H401" cm="1">
        <f t="array" ref="H401">(PRODUCT(1+sp500_monthly!N402:N521)^(1/120)-1)*100</f>
        <v>0.58981564044857659</v>
      </c>
      <c r="I401" cm="1">
        <f t="array" ref="I401">(PRODUCT(1+sp500_monthly!O402:O521)^(1/120)-1)*100</f>
        <v>0.11172794990104151</v>
      </c>
    </row>
    <row r="402" spans="1:9" x14ac:dyDescent="0.35">
      <c r="A402" s="1">
        <v>25352</v>
      </c>
      <c r="B402" cm="1">
        <f t="array" ref="B402">(PRODUCT(1+sp500_monthly!B403:B522)^(1/120)-1)*100</f>
        <v>0.76035502389744103</v>
      </c>
      <c r="C402" cm="1">
        <f t="array" ref="C402">(PRODUCT(1+sp500_monthly!C403:C522)^(1/120)-1)*100</f>
        <v>0.4904583341545754</v>
      </c>
      <c r="D402" cm="1">
        <f t="array" ref="D402">(PRODUCT(1+sp500_monthly!D403:D522)^(1/120)-1)*100</f>
        <v>0.96666688131243905</v>
      </c>
      <c r="E402" cm="1">
        <f t="array" ref="E402">(PRODUCT(1+sp500_monthly!E403:E522)^(1/120)-1)*100</f>
        <v>0.68261153994513268</v>
      </c>
      <c r="F402" cm="1">
        <f t="array" ref="F402">(PRODUCT(1+sp500_monthly!K403:K522)^(1/120)-1)*100</f>
        <v>0.49124850221902161</v>
      </c>
      <c r="G402" cm="1">
        <f t="array" ref="G402">(PRODUCT(1+sp500_monthly!L403:L522)^(1/120)-1)</f>
        <v>0.29513764882905846</v>
      </c>
      <c r="H402" cm="1">
        <f t="array" ref="H402">(PRODUCT(1+sp500_monthly!N403:N522)^(1/120)-1)*100</f>
        <v>0.5714288529944378</v>
      </c>
      <c r="I402" cm="1">
        <f t="array" ref="I402">(PRODUCT(1+sp500_monthly!O403:O522)^(1/120)-1)*100</f>
        <v>0.11014974345215922</v>
      </c>
    </row>
    <row r="403" spans="1:9" x14ac:dyDescent="0.35">
      <c r="A403" s="1">
        <v>25384</v>
      </c>
      <c r="B403" cm="1">
        <f t="array" ref="B403">(PRODUCT(1+sp500_monthly!B404:B523)^(1/120)-1)*100</f>
        <v>0.74397480602388377</v>
      </c>
      <c r="C403" cm="1">
        <f t="array" ref="C403">(PRODUCT(1+sp500_monthly!C404:C523)^(1/120)-1)*100</f>
        <v>0.47310204323813831</v>
      </c>
      <c r="D403" cm="1">
        <f t="array" ref="D403">(PRODUCT(1+sp500_monthly!D404:D523)^(1/120)-1)*100</f>
        <v>0.95203813468269782</v>
      </c>
      <c r="E403" cm="1">
        <f t="array" ref="E403">(PRODUCT(1+sp500_monthly!E404:E523)^(1/120)-1)*100</f>
        <v>0.66789194731788903</v>
      </c>
      <c r="F403" cm="1">
        <f t="array" ref="F403">(PRODUCT(1+sp500_monthly!K404:K523)^(1/120)-1)*100</f>
        <v>0.47368870837654065</v>
      </c>
      <c r="G403" cm="1">
        <f t="array" ref="G403">(PRODUCT(1+sp500_monthly!L404:L523)^(1/120)-1)</f>
        <v>0.29722440509205095</v>
      </c>
      <c r="H403" cm="1">
        <f t="array" ref="H403">(PRODUCT(1+sp500_monthly!N404:N523)^(1/120)-1)*100</f>
        <v>0.55450720783896124</v>
      </c>
      <c r="I403" cm="1">
        <f t="array" ref="I403">(PRODUCT(1+sp500_monthly!O404:O523)^(1/120)-1)*100</f>
        <v>0.11174163503031576</v>
      </c>
    </row>
    <row r="404" spans="1:9" x14ac:dyDescent="0.35">
      <c r="A404" s="1">
        <v>25415</v>
      </c>
      <c r="B404" cm="1">
        <f t="array" ref="B404">(PRODUCT(1+sp500_monthly!B405:B524)^(1/120)-1)*100</f>
        <v>0.69767269156646439</v>
      </c>
      <c r="C404" cm="1">
        <f t="array" ref="C404">(PRODUCT(1+sp500_monthly!C405:C524)^(1/120)-1)*100</f>
        <v>0.4278194593727358</v>
      </c>
      <c r="D404" cm="1">
        <f t="array" ref="D404">(PRODUCT(1+sp500_monthly!D405:D524)^(1/120)-1)*100</f>
        <v>0.87382303574001785</v>
      </c>
      <c r="E404" cm="1">
        <f t="array" ref="E404">(PRODUCT(1+sp500_monthly!E405:E524)^(1/120)-1)*100</f>
        <v>0.59038577319896479</v>
      </c>
      <c r="F404" cm="1">
        <f t="array" ref="F404">(PRODUCT(1+sp500_monthly!K405:K524)^(1/120)-1)*100</f>
        <v>0.42882408073845468</v>
      </c>
      <c r="G404" cm="1">
        <f t="array" ref="G404">(PRODUCT(1+sp500_monthly!L405:L524)^(1/120)-1)</f>
        <v>0.29926877628999637</v>
      </c>
      <c r="H404" cm="1">
        <f t="array" ref="H404">(PRODUCT(1+sp500_monthly!N405:N524)^(1/120)-1)*100</f>
        <v>0.50571927914995207</v>
      </c>
      <c r="I404" cm="1">
        <f t="array" ref="I404">(PRODUCT(1+sp500_monthly!O405:O524)^(1/120)-1)*100</f>
        <v>0.11133973798962415</v>
      </c>
    </row>
    <row r="405" spans="1:9" x14ac:dyDescent="0.35">
      <c r="A405" s="1">
        <v>25444</v>
      </c>
      <c r="B405" cm="1">
        <f t="array" ref="B405">(PRODUCT(1+sp500_monthly!B406:B525)^(1/120)-1)*100</f>
        <v>0.61853594216798591</v>
      </c>
      <c r="C405" cm="1">
        <f t="array" ref="C405">(PRODUCT(1+sp500_monthly!C406:C525)^(1/120)-1)*100</f>
        <v>0.34855137663587499</v>
      </c>
      <c r="D405" cm="1">
        <f t="array" ref="D405">(PRODUCT(1+sp500_monthly!D406:D525)^(1/120)-1)*100</f>
        <v>0.78986905670113128</v>
      </c>
      <c r="E405" cm="1">
        <f t="array" ref="E405">(PRODUCT(1+sp500_monthly!E406:E525)^(1/120)-1)*100</f>
        <v>0.50623466696886332</v>
      </c>
      <c r="F405" cm="1">
        <f t="array" ref="F405">(PRODUCT(1+sp500_monthly!K406:K525)^(1/120)-1)*100</f>
        <v>0.34821216840521529</v>
      </c>
      <c r="G405" cm="1">
        <f t="array" ref="G405">(PRODUCT(1+sp500_monthly!L406:L525)^(1/120)-1)</f>
        <v>0.30145906741152695</v>
      </c>
      <c r="H405" cm="1">
        <f t="array" ref="H405">(PRODUCT(1+sp500_monthly!N406:N525)^(1/120)-1)*100</f>
        <v>0.42332190317531104</v>
      </c>
      <c r="I405" cm="1">
        <f t="array" ref="I405">(PRODUCT(1+sp500_monthly!O406:O525)^(1/120)-1)*100</f>
        <v>0.11026577808121996</v>
      </c>
    </row>
    <row r="406" spans="1:9" x14ac:dyDescent="0.35">
      <c r="A406" s="1">
        <v>25476</v>
      </c>
      <c r="B406" cm="1">
        <f t="array" ref="B406">(PRODUCT(1+sp500_monthly!B407:B526)^(1/120)-1)*100</f>
        <v>0.66537729879005969</v>
      </c>
      <c r="C406" cm="1">
        <f t="array" ref="C406">(PRODUCT(1+sp500_monthly!C407:C526)^(1/120)-1)*100</f>
        <v>0.39429494542930765</v>
      </c>
      <c r="D406" cm="1">
        <f t="array" ref="D406">(PRODUCT(1+sp500_monthly!D407:D526)^(1/120)-1)*100</f>
        <v>0.83852078548420916</v>
      </c>
      <c r="E406" cm="1">
        <f t="array" ref="E406">(PRODUCT(1+sp500_monthly!E407:E526)^(1/120)-1)*100</f>
        <v>0.55418345711237826</v>
      </c>
      <c r="F406" cm="1">
        <f t="array" ref="F406">(PRODUCT(1+sp500_monthly!K407:K526)^(1/120)-1)*100</f>
        <v>0.39375139959294536</v>
      </c>
      <c r="G406" cm="1">
        <f t="array" ref="G406">(PRODUCT(1+sp500_monthly!L407:L526)^(1/120)-1)</f>
        <v>0.30397235046487192</v>
      </c>
      <c r="H406" cm="1">
        <f t="array" ref="H406">(PRODUCT(1+sp500_monthly!N407:N526)^(1/120)-1)*100</f>
        <v>0.4686615603764821</v>
      </c>
      <c r="I406" cm="1">
        <f t="array" ref="I406">(PRODUCT(1+sp500_monthly!O407:O526)^(1/120)-1)*100</f>
        <v>0.11143729917113543</v>
      </c>
    </row>
    <row r="407" spans="1:9" x14ac:dyDescent="0.35">
      <c r="A407" s="1">
        <v>25507</v>
      </c>
      <c r="B407" cm="1">
        <f t="array" ref="B407">(PRODUCT(1+sp500_monthly!B408:B527)^(1/120)-1)*100</f>
        <v>0.68208061377865725</v>
      </c>
      <c r="C407" cm="1">
        <f t="array" ref="C407">(PRODUCT(1+sp500_monthly!C408:C527)^(1/120)-1)*100</f>
        <v>0.41190529856911517</v>
      </c>
      <c r="D407" cm="1">
        <f t="array" ref="D407">(PRODUCT(1+sp500_monthly!D408:D527)^(1/120)-1)*100</f>
        <v>0.85812602441308616</v>
      </c>
      <c r="E407" cm="1">
        <f t="array" ref="E407">(PRODUCT(1+sp500_monthly!E408:E527)^(1/120)-1)*100</f>
        <v>0.57493207404826219</v>
      </c>
      <c r="F407" cm="1">
        <f t="array" ref="F407">(PRODUCT(1+sp500_monthly!K408:K527)^(1/120)-1)*100</f>
        <v>0.41163127891872264</v>
      </c>
      <c r="G407" cm="1">
        <f t="array" ref="G407">(PRODUCT(1+sp500_monthly!L408:L527)^(1/120)-1)</f>
        <v>0.30628241458363648</v>
      </c>
      <c r="H407" cm="1">
        <f t="array" ref="H407">(PRODUCT(1+sp500_monthly!N408:N527)^(1/120)-1)*100</f>
        <v>0.48281227150412942</v>
      </c>
      <c r="I407" cm="1">
        <f t="array" ref="I407">(PRODUCT(1+sp500_monthly!O408:O527)^(1/120)-1)*100</f>
        <v>0.11150092516891696</v>
      </c>
    </row>
    <row r="408" spans="1:9" x14ac:dyDescent="0.35">
      <c r="A408" s="1">
        <v>25535</v>
      </c>
      <c r="B408" cm="1">
        <f t="array" ref="B408">(PRODUCT(1+sp500_monthly!B409:B528)^(1/120)-1)*100</f>
        <v>0.71005550231562076</v>
      </c>
      <c r="C408" cm="1">
        <f t="array" ref="C408">(PRODUCT(1+sp500_monthly!C409:C528)^(1/120)-1)*100</f>
        <v>0.4389543252225625</v>
      </c>
      <c r="D408" cm="1">
        <f t="array" ref="D408">(PRODUCT(1+sp500_monthly!D409:D528)^(1/120)-1)*100</f>
        <v>0.89950011029527044</v>
      </c>
      <c r="E408" cm="1">
        <f t="array" ref="E408">(PRODUCT(1+sp500_monthly!E409:E528)^(1/120)-1)*100</f>
        <v>0.61584580442346493</v>
      </c>
      <c r="F408" cm="1">
        <f t="array" ref="F408">(PRODUCT(1+sp500_monthly!K409:K528)^(1/120)-1)*100</f>
        <v>0.43849834071227889</v>
      </c>
      <c r="G408" cm="1">
        <f t="array" ref="G408">(PRODUCT(1+sp500_monthly!L409:L528)^(1/120)-1)</f>
        <v>0.30854466832961869</v>
      </c>
      <c r="H408" cm="1">
        <f t="array" ref="H408">(PRODUCT(1+sp500_monthly!N409:N528)^(1/120)-1)*100</f>
        <v>0.50908729599110636</v>
      </c>
      <c r="I408" cm="1">
        <f t="array" ref="I408">(PRODUCT(1+sp500_monthly!O409:O528)^(1/120)-1)*100</f>
        <v>0.11235452806703794</v>
      </c>
    </row>
    <row r="409" spans="1:9" x14ac:dyDescent="0.35">
      <c r="A409" s="1">
        <v>25568</v>
      </c>
      <c r="B409" cm="1">
        <f t="array" ref="B409">(PRODUCT(1+sp500_monthly!B410:B529)^(1/120)-1)*100</f>
        <v>0.66986126843056049</v>
      </c>
      <c r="C409" cm="1">
        <f t="array" ref="C409">(PRODUCT(1+sp500_monthly!C410:C529)^(1/120)-1)*100</f>
        <v>0.39872943196035404</v>
      </c>
      <c r="D409" cm="1">
        <f t="array" ref="D409">(PRODUCT(1+sp500_monthly!D410:D529)^(1/120)-1)*100</f>
        <v>0.84950071622851286</v>
      </c>
      <c r="E409" cm="1">
        <f t="array" ref="E409">(PRODUCT(1+sp500_monthly!E410:E529)^(1/120)-1)*100</f>
        <v>0.56619803280868464</v>
      </c>
      <c r="F409" cm="1">
        <f t="array" ref="F409">(PRODUCT(1+sp500_monthly!K410:K529)^(1/120)-1)*100</f>
        <v>0.3974628469151531</v>
      </c>
      <c r="G409" cm="1">
        <f t="array" ref="G409">(PRODUCT(1+sp500_monthly!L410:L529)^(1/120)-1)</f>
        <v>0.31059194457175021</v>
      </c>
      <c r="H409" cm="1">
        <f t="array" ref="H409">(PRODUCT(1+sp500_monthly!N410:N529)^(1/120)-1)*100</f>
        <v>0.46449613233139342</v>
      </c>
      <c r="I409" cm="1">
        <f t="array" ref="I409">(PRODUCT(1+sp500_monthly!O410:O529)^(1/120)-1)*100</f>
        <v>0.11005388459126575</v>
      </c>
    </row>
    <row r="410" spans="1:9" x14ac:dyDescent="0.35">
      <c r="A410" s="1">
        <v>25598</v>
      </c>
      <c r="B410" cm="1">
        <f t="array" ref="B410">(PRODUCT(1+sp500_monthly!B411:B530)^(1/120)-1)*100</f>
        <v>0.6310576534652057</v>
      </c>
      <c r="C410" cm="1">
        <f t="array" ref="C410">(PRODUCT(1+sp500_monthly!C411:C530)^(1/120)-1)*100</f>
        <v>0.36101086206870026</v>
      </c>
      <c r="D410" cm="1">
        <f t="array" ref="D410">(PRODUCT(1+sp500_monthly!D411:D530)^(1/120)-1)*100</f>
        <v>0.80065593924059097</v>
      </c>
      <c r="E410" cm="1">
        <f t="array" ref="E410">(PRODUCT(1+sp500_monthly!E411:E530)^(1/120)-1)*100</f>
        <v>0.5183220273752509</v>
      </c>
      <c r="F410" cm="1">
        <f t="array" ref="F410">(PRODUCT(1+sp500_monthly!K411:K530)^(1/120)-1)*100</f>
        <v>0.35891635633156227</v>
      </c>
      <c r="G410" cm="1">
        <f t="array" ref="G410">(PRODUCT(1+sp500_monthly!L411:L530)^(1/120)-1)</f>
        <v>0.31280025688369251</v>
      </c>
      <c r="H410" cm="1">
        <f t="array" ref="H410">(PRODUCT(1+sp500_monthly!N411:N530)^(1/120)-1)*100</f>
        <v>0.4230292907089428</v>
      </c>
      <c r="I410" cm="1">
        <f t="array" ref="I410">(PRODUCT(1+sp500_monthly!O411:O530)^(1/120)-1)*100</f>
        <v>0.10981063306487737</v>
      </c>
    </row>
    <row r="411" spans="1:9" x14ac:dyDescent="0.35">
      <c r="A411" s="1">
        <v>25626</v>
      </c>
      <c r="B411" cm="1">
        <f t="array" ref="B411">(PRODUCT(1+sp500_monthly!B412:B531)^(1/120)-1)*100</f>
        <v>0.62611574004014514</v>
      </c>
      <c r="C411" cm="1">
        <f t="array" ref="C411">(PRODUCT(1+sp500_monthly!C412:C531)^(1/120)-1)*100</f>
        <v>0.35561644684578564</v>
      </c>
      <c r="D411" cm="1">
        <f t="array" ref="D411">(PRODUCT(1+sp500_monthly!D412:D531)^(1/120)-1)*100</f>
        <v>0.79239963216859444</v>
      </c>
      <c r="E411" cm="1">
        <f t="array" ref="E411">(PRODUCT(1+sp500_monthly!E412:E531)^(1/120)-1)*100</f>
        <v>0.50981962086542598</v>
      </c>
      <c r="F411" cm="1">
        <f t="array" ref="F411">(PRODUCT(1+sp500_monthly!K412:K531)^(1/120)-1)*100</f>
        <v>0.35439358828344147</v>
      </c>
      <c r="G411" cm="1">
        <f t="array" ref="G411">(PRODUCT(1+sp500_monthly!L412:L531)^(1/120)-1)</f>
        <v>0.31482379728949161</v>
      </c>
      <c r="H411" cm="1">
        <f t="array" ref="H411">(PRODUCT(1+sp500_monthly!N412:N531)^(1/120)-1)*100</f>
        <v>0.41253121689082128</v>
      </c>
      <c r="I411" cm="1">
        <f t="array" ref="I411">(PRODUCT(1+sp500_monthly!O412:O531)^(1/120)-1)*100</f>
        <v>0.10650329292651861</v>
      </c>
    </row>
    <row r="412" spans="1:9" x14ac:dyDescent="0.35">
      <c r="A412" s="1">
        <v>25658</v>
      </c>
      <c r="B412" cm="1">
        <f t="array" ref="B412">(PRODUCT(1+sp500_monthly!B413:B532)^(1/120)-1)*100</f>
        <v>0.6630111476143119</v>
      </c>
      <c r="C412" cm="1">
        <f t="array" ref="C412">(PRODUCT(1+sp500_monthly!C413:C532)^(1/120)-1)*100</f>
        <v>0.39170037992355411</v>
      </c>
      <c r="D412" cm="1">
        <f t="array" ref="D412">(PRODUCT(1+sp500_monthly!D413:D532)^(1/120)-1)*100</f>
        <v>0.84186707398881122</v>
      </c>
      <c r="E412" cm="1">
        <f t="array" ref="E412">(PRODUCT(1+sp500_monthly!E413:E532)^(1/120)-1)*100</f>
        <v>0.55882521613457303</v>
      </c>
      <c r="F412" cm="1">
        <f t="array" ref="F412">(PRODUCT(1+sp500_monthly!K413:K532)^(1/120)-1)*100</f>
        <v>0.38970986314053047</v>
      </c>
      <c r="G412" cm="1">
        <f t="array" ref="G412">(PRODUCT(1+sp500_monthly!L413:L532)^(1/120)-1)</f>
        <v>0.31732196532452006</v>
      </c>
      <c r="H412" cm="1">
        <f t="array" ref="H412">(PRODUCT(1+sp500_monthly!N413:N532)^(1/120)-1)*100</f>
        <v>0.44608195086075497</v>
      </c>
      <c r="I412" cm="1">
        <f t="array" ref="I412">(PRODUCT(1+sp500_monthly!O413:O532)^(1/120)-1)*100</f>
        <v>0.10598849094618501</v>
      </c>
    </row>
    <row r="413" spans="1:9" x14ac:dyDescent="0.35">
      <c r="A413" s="1">
        <v>25688</v>
      </c>
      <c r="B413" cm="1">
        <f t="array" ref="B413">(PRODUCT(1+sp500_monthly!B414:B533)^(1/120)-1)*100</f>
        <v>0.67597040699403088</v>
      </c>
      <c r="C413" cm="1">
        <f t="array" ref="C413">(PRODUCT(1+sp500_monthly!C414:C533)^(1/120)-1)*100</f>
        <v>0.40557759112591629</v>
      </c>
      <c r="D413" cm="1">
        <f t="array" ref="D413">(PRODUCT(1+sp500_monthly!D414:D533)^(1/120)-1)*100</f>
        <v>0.86687276860606399</v>
      </c>
      <c r="E413" cm="1">
        <f t="array" ref="E413">(PRODUCT(1+sp500_monthly!E414:E533)^(1/120)-1)*100</f>
        <v>0.5846070712468121</v>
      </c>
      <c r="F413" cm="1">
        <f t="array" ref="F413">(PRODUCT(1+sp500_monthly!K414:K533)^(1/120)-1)*100</f>
        <v>0.40263456595270863</v>
      </c>
      <c r="G413" cm="1">
        <f t="array" ref="G413">(PRODUCT(1+sp500_monthly!L414:L533)^(1/120)-1)</f>
        <v>0.31898032036960089</v>
      </c>
      <c r="H413" cm="1">
        <f t="array" ref="H413">(PRODUCT(1+sp500_monthly!N414:N533)^(1/120)-1)*100</f>
        <v>0.4546303400839502</v>
      </c>
      <c r="I413" cm="1">
        <f t="array" ref="I413">(PRODUCT(1+sp500_monthly!O414:O533)^(1/120)-1)*100</f>
        <v>0.10344776075792428</v>
      </c>
    </row>
    <row r="414" spans="1:9" x14ac:dyDescent="0.35">
      <c r="A414" s="1">
        <v>25717</v>
      </c>
      <c r="B414" cm="1">
        <f t="array" ref="B414">(PRODUCT(1+sp500_monthly!B415:B534)^(1/120)-1)*100</f>
        <v>0.61157293618547826</v>
      </c>
      <c r="C414" cm="1">
        <f t="array" ref="C414">(PRODUCT(1+sp500_monthly!C415:C534)^(1/120)-1)*100</f>
        <v>0.34108413111413327</v>
      </c>
      <c r="D414" cm="1">
        <f t="array" ref="D414">(PRODUCT(1+sp500_monthly!D415:D534)^(1/120)-1)*100</f>
        <v>0.78355943657628657</v>
      </c>
      <c r="E414" cm="1">
        <f t="array" ref="E414">(PRODUCT(1+sp500_monthly!E415:E534)^(1/120)-1)*100</f>
        <v>0.50115795992791146</v>
      </c>
      <c r="F414" cm="1">
        <f t="array" ref="F414">(PRODUCT(1+sp500_monthly!K415:K534)^(1/120)-1)*100</f>
        <v>0.33809796566313111</v>
      </c>
      <c r="G414" cm="1">
        <f t="array" ref="G414">(PRODUCT(1+sp500_monthly!L415:L534)^(1/120)-1)</f>
        <v>0.3215274391917653</v>
      </c>
      <c r="H414" cm="1">
        <f t="array" ref="H414">(PRODUCT(1+sp500_monthly!N415:N534)^(1/120)-1)*100</f>
        <v>0.38970700597653618</v>
      </c>
      <c r="I414" cm="1">
        <f t="array" ref="I414">(PRODUCT(1+sp500_monthly!O415:O534)^(1/120)-1)*100</f>
        <v>0.10535935749986791</v>
      </c>
    </row>
    <row r="415" spans="1:9" x14ac:dyDescent="0.35">
      <c r="A415" s="1">
        <v>25749</v>
      </c>
      <c r="B415" cm="1">
        <f t="array" ref="B415">(PRODUCT(1+sp500_monthly!B416:B535)^(1/120)-1)*100</f>
        <v>0.53680861415694725</v>
      </c>
      <c r="C415" cm="1">
        <f t="array" ref="C415">(PRODUCT(1+sp500_monthly!C416:C535)^(1/120)-1)*100</f>
        <v>0.26503961443760105</v>
      </c>
      <c r="D415" cm="1">
        <f t="array" ref="D415">(PRODUCT(1+sp500_monthly!D416:D535)^(1/120)-1)*100</f>
        <v>0.69002784656124749</v>
      </c>
      <c r="E415" cm="1">
        <f t="array" ref="E415">(PRODUCT(1+sp500_monthly!E416:E535)^(1/120)-1)*100</f>
        <v>0.40754451561759719</v>
      </c>
      <c r="F415" cm="1">
        <f t="array" ref="F415">(PRODUCT(1+sp500_monthly!K416:K535)^(1/120)-1)*100</f>
        <v>0.26337104497275998</v>
      </c>
      <c r="G415" cm="1">
        <f t="array" ref="G415">(PRODUCT(1+sp500_monthly!L416:L535)^(1/120)-1)</f>
        <v>0.32358016169282822</v>
      </c>
      <c r="H415" cm="1">
        <f t="array" ref="H415">(PRODUCT(1+sp500_monthly!N416:N535)^(1/120)-1)*100</f>
        <v>0.3137875993207917</v>
      </c>
      <c r="I415" cm="1">
        <f t="array" ref="I415">(PRODUCT(1+sp500_monthly!O416:O535)^(1/120)-1)*100</f>
        <v>0.10620246879629036</v>
      </c>
    </row>
    <row r="416" spans="1:9" x14ac:dyDescent="0.35">
      <c r="A416" s="1">
        <v>25780</v>
      </c>
      <c r="B416" cm="1">
        <f t="array" ref="B416">(PRODUCT(1+sp500_monthly!B417:B536)^(1/120)-1)*100</f>
        <v>0.47663641289570347</v>
      </c>
      <c r="C416" cm="1">
        <f t="array" ref="C416">(PRODUCT(1+sp500_monthly!C417:C536)^(1/120)-1)*100</f>
        <v>0.20557043992872615</v>
      </c>
      <c r="D416" cm="1">
        <f t="array" ref="D416">(PRODUCT(1+sp500_monthly!D417:D536)^(1/120)-1)*100</f>
        <v>0.62244030448899146</v>
      </c>
      <c r="E416" cm="1">
        <f t="array" ref="E416">(PRODUCT(1+sp500_monthly!E417:E536)^(1/120)-1)*100</f>
        <v>0.33986827393588381</v>
      </c>
      <c r="F416" cm="1">
        <f t="array" ref="F416">(PRODUCT(1+sp500_monthly!K417:K536)^(1/120)-1)*100</f>
        <v>0.20434676557485876</v>
      </c>
      <c r="G416" cm="1">
        <f t="array" ref="G416">(PRODUCT(1+sp500_monthly!L417:L536)^(1/120)-1)</f>
        <v>0.32625553943725683</v>
      </c>
      <c r="H416" cm="1">
        <f t="array" ref="H416">(PRODUCT(1+sp500_monthly!N417:N536)^(1/120)-1)*100</f>
        <v>0.25056072439360033</v>
      </c>
      <c r="I416" cm="1">
        <f t="array" ref="I416">(PRODUCT(1+sp500_monthly!O417:O536)^(1/120)-1)*100</f>
        <v>0.10584372071553716</v>
      </c>
    </row>
    <row r="417" spans="1:9" x14ac:dyDescent="0.35">
      <c r="A417" s="1">
        <v>25811</v>
      </c>
      <c r="B417" cm="1">
        <f t="array" ref="B417">(PRODUCT(1+sp500_monthly!B418:B537)^(1/120)-1)*100</f>
        <v>0.55706870330018976</v>
      </c>
      <c r="C417" cm="1">
        <f t="array" ref="C417">(PRODUCT(1+sp500_monthly!C418:C537)^(1/120)-1)*100</f>
        <v>0.28473374508302118</v>
      </c>
      <c r="D417" cm="1">
        <f t="array" ref="D417">(PRODUCT(1+sp500_monthly!D418:D537)^(1/120)-1)*100</f>
        <v>0.70423673715709345</v>
      </c>
      <c r="E417" cm="1">
        <f t="array" ref="E417">(PRODUCT(1+sp500_monthly!E418:E537)^(1/120)-1)*100</f>
        <v>0.42080490702840478</v>
      </c>
      <c r="F417" cm="1">
        <f t="array" ref="F417">(PRODUCT(1+sp500_monthly!K418:K537)^(1/120)-1)*100</f>
        <v>0.28438967154904571</v>
      </c>
      <c r="G417" cm="1">
        <f t="array" ref="G417">(PRODUCT(1+sp500_monthly!L418:L537)^(1/120)-1)</f>
        <v>0.32953646671904191</v>
      </c>
      <c r="H417" cm="1">
        <f t="array" ref="H417">(PRODUCT(1+sp500_monthly!N418:N537)^(1/120)-1)*100</f>
        <v>0.32696409036465646</v>
      </c>
      <c r="I417" cm="1">
        <f t="array" ref="I417">(PRODUCT(1+sp500_monthly!O418:O537)^(1/120)-1)*100</f>
        <v>0.10524723239546674</v>
      </c>
    </row>
    <row r="418" spans="1:9" x14ac:dyDescent="0.35">
      <c r="A418" s="1">
        <v>25841</v>
      </c>
      <c r="B418" cm="1">
        <f t="array" ref="B418">(PRODUCT(1+sp500_monthly!B419:B538)^(1/120)-1)*100</f>
        <v>0.57181534941750378</v>
      </c>
      <c r="C418" cm="1">
        <f t="array" ref="C418">(PRODUCT(1+sp500_monthly!C419:C538)^(1/120)-1)*100</f>
        <v>0.29893416551984853</v>
      </c>
      <c r="D418" cm="1">
        <f t="array" ref="D418">(PRODUCT(1+sp500_monthly!D419:D538)^(1/120)-1)*100</f>
        <v>0.72722146816424083</v>
      </c>
      <c r="E418" cm="1">
        <f t="array" ref="E418">(PRODUCT(1+sp500_monthly!E419:E538)^(1/120)-1)*100</f>
        <v>0.44390834350467312</v>
      </c>
      <c r="F418" cm="1">
        <f t="array" ref="F418">(PRODUCT(1+sp500_monthly!K419:K538)^(1/120)-1)*100</f>
        <v>0.29919388874339869</v>
      </c>
      <c r="G418" cm="1">
        <f t="array" ref="G418">(PRODUCT(1+sp500_monthly!L419:L538)^(1/120)-1)</f>
        <v>0.33251201438836575</v>
      </c>
      <c r="H418" cm="1">
        <f t="array" ref="H418">(PRODUCT(1+sp500_monthly!N419:N538)^(1/120)-1)*100</f>
        <v>0.34122629370136881</v>
      </c>
      <c r="I418" cm="1">
        <f t="array" ref="I418">(PRODUCT(1+sp500_monthly!O419:O538)^(1/120)-1)*100</f>
        <v>0.10779031383028048</v>
      </c>
    </row>
    <row r="419" spans="1:9" x14ac:dyDescent="0.35">
      <c r="A419" s="1">
        <v>25871</v>
      </c>
      <c r="B419" cm="1">
        <f t="array" ref="B419">(PRODUCT(1+sp500_monthly!B420:B539)^(1/120)-1)*100</f>
        <v>0.65114804676247307</v>
      </c>
      <c r="C419" cm="1">
        <f t="array" ref="C419">(PRODUCT(1+sp500_monthly!C420:C539)^(1/120)-1)*100</f>
        <v>0.37865511087873394</v>
      </c>
      <c r="D419" cm="1">
        <f t="array" ref="D419">(PRODUCT(1+sp500_monthly!D420:D539)^(1/120)-1)*100</f>
        <v>0.83277241353676423</v>
      </c>
      <c r="E419" cm="1">
        <f t="array" ref="E419">(PRODUCT(1+sp500_monthly!E420:E539)^(1/120)-1)*100</f>
        <v>0.5494432745297706</v>
      </c>
      <c r="F419" cm="1">
        <f t="array" ref="F419">(PRODUCT(1+sp500_monthly!K420:K539)^(1/120)-1)*100</f>
        <v>0.37842712058009376</v>
      </c>
      <c r="G419" cm="1">
        <f t="array" ref="G419">(PRODUCT(1+sp500_monthly!L420:L539)^(1/120)-1)</f>
        <v>0.33566226416354628</v>
      </c>
      <c r="H419" cm="1">
        <f t="array" ref="H419">(PRODUCT(1+sp500_monthly!N420:N539)^(1/120)-1)*100</f>
        <v>0.41609668703073144</v>
      </c>
      <c r="I419" cm="1">
        <f t="array" ref="I419">(PRODUCT(1+sp500_monthly!O420:O539)^(1/120)-1)*100</f>
        <v>0.10668216864155866</v>
      </c>
    </row>
    <row r="420" spans="1:9" x14ac:dyDescent="0.35">
      <c r="A420" s="1">
        <v>25902</v>
      </c>
      <c r="B420" cm="1">
        <f t="array" ref="B420">(PRODUCT(1+sp500_monthly!B421:B540)^(1/120)-1)*100</f>
        <v>0.64444368467400093</v>
      </c>
      <c r="C420" cm="1">
        <f t="array" ref="C420">(PRODUCT(1+sp500_monthly!C421:C540)^(1/120)-1)*100</f>
        <v>0.37087827314112864</v>
      </c>
      <c r="D420" cm="1">
        <f t="array" ref="D420">(PRODUCT(1+sp500_monthly!D421:D540)^(1/120)-1)*100</f>
        <v>0.81501474295866405</v>
      </c>
      <c r="E420" cm="1">
        <f t="array" ref="E420">(PRODUCT(1+sp500_monthly!E421:E540)^(1/120)-1)*100</f>
        <v>0.53115485441423971</v>
      </c>
      <c r="F420" cm="1">
        <f t="array" ref="F420">(PRODUCT(1+sp500_monthly!K421:K540)^(1/120)-1)*100</f>
        <v>0.37087098115673456</v>
      </c>
      <c r="G420" cm="1">
        <f t="array" ref="G420">(PRODUCT(1+sp500_monthly!L421:L540)^(1/120)-1)</f>
        <v>0.33766264127180246</v>
      </c>
      <c r="H420" cm="1">
        <f t="array" ref="H420">(PRODUCT(1+sp500_monthly!N421:N540)^(1/120)-1)*100</f>
        <v>0.40909664637640564</v>
      </c>
      <c r="I420" cm="1">
        <f t="array" ref="I420">(PRODUCT(1+sp500_monthly!O421:O540)^(1/120)-1)*100</f>
        <v>0.10836713608506354</v>
      </c>
    </row>
    <row r="421" spans="1:9" x14ac:dyDescent="0.35">
      <c r="A421" s="1">
        <v>25933</v>
      </c>
      <c r="B421" cm="1">
        <f t="array" ref="B421">(PRODUCT(1+sp500_monthly!B422:B541)^(1/120)-1)*100</f>
        <v>0.65107700523678869</v>
      </c>
      <c r="C421" cm="1">
        <f t="array" ref="C421">(PRODUCT(1+sp500_monthly!C422:C541)^(1/120)-1)*100</f>
        <v>0.37797339023810661</v>
      </c>
      <c r="D421" cm="1">
        <f t="array" ref="D421">(PRODUCT(1+sp500_monthly!D422:D541)^(1/120)-1)*100</f>
        <v>0.81470825959399917</v>
      </c>
      <c r="E421" cm="1">
        <f t="array" ref="E421">(PRODUCT(1+sp500_monthly!E422:E541)^(1/120)-1)*100</f>
        <v>0.53179497476318893</v>
      </c>
      <c r="F421" cm="1">
        <f t="array" ref="F421">(PRODUCT(1+sp500_monthly!K422:K541)^(1/120)-1)*100</f>
        <v>0.37662196190162422</v>
      </c>
      <c r="G421" cm="1">
        <f t="array" ref="G421">(PRODUCT(1+sp500_monthly!L422:L541)^(1/120)-1)</f>
        <v>0.34052181191390507</v>
      </c>
      <c r="H421" cm="1">
        <f t="array" ref="H421">(PRODUCT(1+sp500_monthly!N422:N541)^(1/120)-1)*100</f>
        <v>0.41232095824959014</v>
      </c>
      <c r="I421" cm="1">
        <f t="array" ref="I421">(PRODUCT(1+sp500_monthly!O422:O541)^(1/120)-1)*100</f>
        <v>0.10772885543819388</v>
      </c>
    </row>
    <row r="422" spans="1:9" x14ac:dyDescent="0.35">
      <c r="A422" s="1">
        <v>25962</v>
      </c>
      <c r="B422" cm="1">
        <f t="array" ref="B422">(PRODUCT(1+sp500_monthly!B423:B542)^(1/120)-1)*100</f>
        <v>0.65891365863406381</v>
      </c>
      <c r="C422" cm="1">
        <f t="array" ref="C422">(PRODUCT(1+sp500_monthly!C423:C542)^(1/120)-1)*100</f>
        <v>0.38653047148007325</v>
      </c>
      <c r="D422" cm="1">
        <f t="array" ref="D422">(PRODUCT(1+sp500_monthly!D423:D542)^(1/120)-1)*100</f>
        <v>0.85067635492648286</v>
      </c>
      <c r="E422" cm="1">
        <f t="array" ref="E422">(PRODUCT(1+sp500_monthly!E423:E542)^(1/120)-1)*100</f>
        <v>0.56801362056058124</v>
      </c>
      <c r="F422" cm="1">
        <f t="array" ref="F422">(PRODUCT(1+sp500_monthly!K423:K542)^(1/120)-1)*100</f>
        <v>0.38496944086949814</v>
      </c>
      <c r="G422" cm="1">
        <f t="array" ref="G422">(PRODUCT(1+sp500_monthly!L423:L542)^(1/120)-1)</f>
        <v>0.34278290778857823</v>
      </c>
      <c r="H422" cm="1">
        <f t="array" ref="H422">(PRODUCT(1+sp500_monthly!N423:N542)^(1/120)-1)*100</f>
        <v>0.41676587131795895</v>
      </c>
      <c r="I422" cm="1">
        <f t="array" ref="I422">(PRODUCT(1+sp500_monthly!O423:O542)^(1/120)-1)*100</f>
        <v>0.10652887934221589</v>
      </c>
    </row>
    <row r="423" spans="1:9" x14ac:dyDescent="0.35">
      <c r="A423" s="1">
        <v>25990</v>
      </c>
      <c r="B423" cm="1">
        <f t="array" ref="B423">(PRODUCT(1+sp500_monthly!B424:B543)^(1/120)-1)*100</f>
        <v>0.64180322851883354</v>
      </c>
      <c r="C423" cm="1">
        <f t="array" ref="C423">(PRODUCT(1+sp500_monthly!C424:C543)^(1/120)-1)*100</f>
        <v>0.36929610581024619</v>
      </c>
      <c r="D423" cm="1">
        <f t="array" ref="D423">(PRODUCT(1+sp500_monthly!D424:D543)^(1/120)-1)*100</f>
        <v>0.85503352605631466</v>
      </c>
      <c r="E423" cm="1">
        <f t="array" ref="E423">(PRODUCT(1+sp500_monthly!E424:E543)^(1/120)-1)*100</f>
        <v>0.57239471517316343</v>
      </c>
      <c r="F423" cm="1">
        <f t="array" ref="F423">(PRODUCT(1+sp500_monthly!K424:K543)^(1/120)-1)*100</f>
        <v>0.36693306924662217</v>
      </c>
      <c r="G423" cm="1">
        <f t="array" ref="G423">(PRODUCT(1+sp500_monthly!L424:L543)^(1/120)-1)</f>
        <v>0.34444148701827038</v>
      </c>
      <c r="H423" cm="1">
        <f t="array" ref="H423">(PRODUCT(1+sp500_monthly!N424:N543)^(1/120)-1)*100</f>
        <v>0.39843864908231108</v>
      </c>
      <c r="I423" cm="1">
        <f t="array" ref="I423">(PRODUCT(1+sp500_monthly!O424:O543)^(1/120)-1)*100</f>
        <v>0.10685510786077046</v>
      </c>
    </row>
    <row r="424" spans="1:9" x14ac:dyDescent="0.35">
      <c r="A424" s="1">
        <v>26023</v>
      </c>
      <c r="B424" cm="1">
        <f t="array" ref="B424">(PRODUCT(1+sp500_monthly!B425:B544)^(1/120)-1)*100</f>
        <v>0.62580141002719358</v>
      </c>
      <c r="C424" cm="1">
        <f t="array" ref="C424">(PRODUCT(1+sp500_monthly!C425:C544)^(1/120)-1)*100</f>
        <v>0.35249287472938207</v>
      </c>
      <c r="D424" cm="1">
        <f t="array" ref="D424">(PRODUCT(1+sp500_monthly!D425:D544)^(1/120)-1)*100</f>
        <v>0.8267303568497919</v>
      </c>
      <c r="E424" cm="1">
        <f t="array" ref="E424">(PRODUCT(1+sp500_monthly!E425:E544)^(1/120)-1)*100</f>
        <v>0.54437038210111144</v>
      </c>
      <c r="F424" cm="1">
        <f t="array" ref="F424">(PRODUCT(1+sp500_monthly!K425:K544)^(1/120)-1)*100</f>
        <v>0.35231212577431226</v>
      </c>
      <c r="G424" cm="1">
        <f t="array" ref="G424">(PRODUCT(1+sp500_monthly!L425:L544)^(1/120)-1)</f>
        <v>0.34616965151460533</v>
      </c>
      <c r="H424" cm="1">
        <f t="array" ref="H424">(PRODUCT(1+sp500_monthly!N425:N544)^(1/120)-1)*100</f>
        <v>0.38247552500694226</v>
      </c>
      <c r="I424" cm="1">
        <f t="array" ref="I424">(PRODUCT(1+sp500_monthly!O425:O544)^(1/120)-1)*100</f>
        <v>0.10843642995308489</v>
      </c>
    </row>
    <row r="425" spans="1:9" x14ac:dyDescent="0.35">
      <c r="A425" s="1">
        <v>26053</v>
      </c>
      <c r="B425" cm="1">
        <f t="array" ref="B425">(PRODUCT(1+sp500_monthly!B426:B545)^(1/120)-1)*100</f>
        <v>0.63368531426459818</v>
      </c>
      <c r="C425" cm="1">
        <f t="array" ref="C425">(PRODUCT(1+sp500_monthly!C426:C545)^(1/120)-1)*100</f>
        <v>0.36105823782137669</v>
      </c>
      <c r="D425" cm="1">
        <f t="array" ref="D425">(PRODUCT(1+sp500_monthly!D426:D545)^(1/120)-1)*100</f>
        <v>0.82993698102999947</v>
      </c>
      <c r="E425" cm="1">
        <f t="array" ref="E425">(PRODUCT(1+sp500_monthly!E426:E545)^(1/120)-1)*100</f>
        <v>0.54804534734187449</v>
      </c>
      <c r="F425" cm="1">
        <f t="array" ref="F425">(PRODUCT(1+sp500_monthly!K426:K545)^(1/120)-1)*100</f>
        <v>0.36144442258965181</v>
      </c>
      <c r="G425" cm="1">
        <f t="array" ref="G425">(PRODUCT(1+sp500_monthly!L426:L545)^(1/120)-1)</f>
        <v>0.34706787658195548</v>
      </c>
      <c r="H425" cm="1">
        <f t="array" ref="H425">(PRODUCT(1+sp500_monthly!N426:N545)^(1/120)-1)*100</f>
        <v>0.38824630268814442</v>
      </c>
      <c r="I425" cm="1">
        <f t="array" ref="I425">(PRODUCT(1+sp500_monthly!O426:O545)^(1/120)-1)*100</f>
        <v>0.10718039071129226</v>
      </c>
    </row>
    <row r="426" spans="1:9" x14ac:dyDescent="0.35">
      <c r="A426" s="1">
        <v>26081</v>
      </c>
      <c r="B426" cm="1">
        <f t="array" ref="B426">(PRODUCT(1+sp500_monthly!B427:B546)^(1/120)-1)*100</f>
        <v>0.66033281637571939</v>
      </c>
      <c r="C426" cm="1">
        <f t="array" ref="C426">(PRODUCT(1+sp500_monthly!C427:C546)^(1/120)-1)*100</f>
        <v>0.38726243507227753</v>
      </c>
      <c r="D426" cm="1">
        <f t="array" ref="D426">(PRODUCT(1+sp500_monthly!D427:D546)^(1/120)-1)*100</f>
        <v>0.86343255901502047</v>
      </c>
      <c r="E426" cm="1">
        <f t="array" ref="E426">(PRODUCT(1+sp500_monthly!E427:E546)^(1/120)-1)*100</f>
        <v>0.58114024781652507</v>
      </c>
      <c r="F426" cm="1">
        <f t="array" ref="F426">(PRODUCT(1+sp500_monthly!K427:K546)^(1/120)-1)*100</f>
        <v>0.3880516460004424</v>
      </c>
      <c r="G426" cm="1">
        <f t="array" ref="G426">(PRODUCT(1+sp500_monthly!L427:L546)^(1/120)-1)</f>
        <v>0.34807694245101528</v>
      </c>
      <c r="H426" cm="1">
        <f t="array" ref="H426">(PRODUCT(1+sp500_monthly!N427:N546)^(1/120)-1)*100</f>
        <v>0.41189779084351841</v>
      </c>
      <c r="I426" cm="1">
        <f t="array" ref="I426">(PRODUCT(1+sp500_monthly!O427:O546)^(1/120)-1)*100</f>
        <v>0.10517391490396655</v>
      </c>
    </row>
    <row r="427" spans="1:9" x14ac:dyDescent="0.35">
      <c r="A427" s="1">
        <v>26114</v>
      </c>
      <c r="B427" cm="1">
        <f t="array" ref="B427">(PRODUCT(1+sp500_monthly!B428:B547)^(1/120)-1)*100</f>
        <v>0.60906149354711392</v>
      </c>
      <c r="C427" cm="1">
        <f t="array" ref="C427">(PRODUCT(1+sp500_monthly!C428:C547)^(1/120)-1)*100</f>
        <v>0.3355773671016582</v>
      </c>
      <c r="D427" cm="1">
        <f t="array" ref="D427">(PRODUCT(1+sp500_monthly!D428:D547)^(1/120)-1)*100</f>
        <v>0.79265298210691171</v>
      </c>
      <c r="E427" cm="1">
        <f t="array" ref="E427">(PRODUCT(1+sp500_monthly!E428:E547)^(1/120)-1)*100</f>
        <v>0.51097934007846568</v>
      </c>
      <c r="F427" cm="1">
        <f t="array" ref="F427">(PRODUCT(1+sp500_monthly!K428:K547)^(1/120)-1)*100</f>
        <v>0.33669590036891073</v>
      </c>
      <c r="G427" cm="1">
        <f t="array" ref="G427">(PRODUCT(1+sp500_monthly!L428:L547)^(1/120)-1)</f>
        <v>0.34907857358488004</v>
      </c>
      <c r="H427" cm="1">
        <f t="array" ref="H427">(PRODUCT(1+sp500_monthly!N428:N547)^(1/120)-1)*100</f>
        <v>0.35743340804952339</v>
      </c>
      <c r="I427" cm="1">
        <f t="array" ref="I427">(PRODUCT(1+sp500_monthly!O428:O547)^(1/120)-1)*100</f>
        <v>0.10277822169053596</v>
      </c>
    </row>
    <row r="428" spans="1:9" x14ac:dyDescent="0.35">
      <c r="A428" s="1">
        <v>26144</v>
      </c>
      <c r="B428" cm="1">
        <f t="array" ref="B428">(PRODUCT(1+sp500_monthly!B429:B548)^(1/120)-1)*100</f>
        <v>0.63377345089947745</v>
      </c>
      <c r="C428" cm="1">
        <f t="array" ref="C428">(PRODUCT(1+sp500_monthly!C429:C548)^(1/120)-1)*100</f>
        <v>0.36083674599183269</v>
      </c>
      <c r="D428" cm="1">
        <f t="array" ref="D428">(PRODUCT(1+sp500_monthly!D429:D548)^(1/120)-1)*100</f>
        <v>0.81896200199156333</v>
      </c>
      <c r="E428" cm="1">
        <f t="array" ref="E428">(PRODUCT(1+sp500_monthly!E429:E548)^(1/120)-1)*100</f>
        <v>0.53741027644416128</v>
      </c>
      <c r="F428" cm="1">
        <f t="array" ref="F428">(PRODUCT(1+sp500_monthly!K429:K548)^(1/120)-1)*100</f>
        <v>0.36176060940498189</v>
      </c>
      <c r="G428" cm="1">
        <f t="array" ref="G428">(PRODUCT(1+sp500_monthly!L429:L548)^(1/120)-1)</f>
        <v>0.35056888212482229</v>
      </c>
      <c r="H428" cm="1">
        <f t="array" ref="H428">(PRODUCT(1+sp500_monthly!N429:N548)^(1/120)-1)*100</f>
        <v>0.37794246150961719</v>
      </c>
      <c r="I428" cm="1">
        <f t="array" ref="I428">(PRODUCT(1+sp500_monthly!O429:O548)^(1/120)-1)*100</f>
        <v>0.10006269038944637</v>
      </c>
    </row>
    <row r="429" spans="1:9" x14ac:dyDescent="0.35">
      <c r="A429" s="1">
        <v>26176</v>
      </c>
      <c r="B429" cm="1">
        <f t="array" ref="B429">(PRODUCT(1+sp500_monthly!B430:B549)^(1/120)-1)*100</f>
        <v>0.57096377138641241</v>
      </c>
      <c r="C429" cm="1">
        <f t="array" ref="C429">(PRODUCT(1+sp500_monthly!C430:C549)^(1/120)-1)*100</f>
        <v>0.29780773749650269</v>
      </c>
      <c r="D429" cm="1">
        <f t="array" ref="D429">(PRODUCT(1+sp500_monthly!D430:D549)^(1/120)-1)*100</f>
        <v>0.76718135559690204</v>
      </c>
      <c r="E429" cm="1">
        <f t="array" ref="E429">(PRODUCT(1+sp500_monthly!E430:E549)^(1/120)-1)*100</f>
        <v>0.4853913508854113</v>
      </c>
      <c r="F429" cm="1">
        <f t="array" ref="F429">(PRODUCT(1+sp500_monthly!K430:K549)^(1/120)-1)*100</f>
        <v>0.29949478095920856</v>
      </c>
      <c r="G429" cm="1">
        <f t="array" ref="G429">(PRODUCT(1+sp500_monthly!L430:L549)^(1/120)-1)</f>
        <v>0.35249433903471172</v>
      </c>
      <c r="H429" cm="1">
        <f t="array" ref="H429">(PRODUCT(1+sp500_monthly!N430:N549)^(1/120)-1)*100</f>
        <v>0.31546908300275067</v>
      </c>
      <c r="I429" cm="1">
        <f t="array" ref="I429">(PRODUCT(1+sp500_monthly!O430:O549)^(1/120)-1)*100</f>
        <v>0.10206881968843895</v>
      </c>
    </row>
    <row r="430" spans="1:9" x14ac:dyDescent="0.35">
      <c r="A430" s="1">
        <v>26206</v>
      </c>
      <c r="B430" cm="1">
        <f t="array" ref="B430">(PRODUCT(1+sp500_monthly!B431:B550)^(1/120)-1)*100</f>
        <v>0.58500054219048359</v>
      </c>
      <c r="C430" cm="1">
        <f t="array" ref="C430">(PRODUCT(1+sp500_monthly!C431:C550)^(1/120)-1)*100</f>
        <v>0.31166134735169937</v>
      </c>
      <c r="D430" cm="1">
        <f t="array" ref="D430">(PRODUCT(1+sp500_monthly!D431:D550)^(1/120)-1)*100</f>
        <v>0.78716170935109187</v>
      </c>
      <c r="E430" cm="1">
        <f t="array" ref="E430">(PRODUCT(1+sp500_monthly!E431:E550)^(1/120)-1)*100</f>
        <v>0.50567822603717616</v>
      </c>
      <c r="F430" cm="1">
        <f t="array" ref="F430">(PRODUCT(1+sp500_monthly!K431:K550)^(1/120)-1)*100</f>
        <v>0.31289057880397042</v>
      </c>
      <c r="G430" cm="1">
        <f t="array" ref="G430">(PRODUCT(1+sp500_monthly!L431:L550)^(1/120)-1)</f>
        <v>0.35536279515085178</v>
      </c>
      <c r="H430" cm="1">
        <f t="array" ref="H430">(PRODUCT(1+sp500_monthly!N431:N550)^(1/120)-1)*100</f>
        <v>0.32797211922208636</v>
      </c>
      <c r="I430" cm="1">
        <f t="array" ref="I430">(PRODUCT(1+sp500_monthly!O431:O550)^(1/120)-1)*100</f>
        <v>0.10331857563969926</v>
      </c>
    </row>
    <row r="431" spans="1:9" x14ac:dyDescent="0.35">
      <c r="A431" s="1">
        <v>26235</v>
      </c>
      <c r="B431" cm="1">
        <f t="array" ref="B431">(PRODUCT(1+sp500_monthly!B432:B551)^(1/120)-1)*100</f>
        <v>0.59656833749390792</v>
      </c>
      <c r="C431" cm="1">
        <f t="array" ref="C431">(PRODUCT(1+sp500_monthly!C432:C551)^(1/120)-1)*100</f>
        <v>0.32308893494965574</v>
      </c>
      <c r="D431" cm="1">
        <f t="array" ref="D431">(PRODUCT(1+sp500_monthly!D432:D551)^(1/120)-1)*100</f>
        <v>0.79686472930706742</v>
      </c>
      <c r="E431" cm="1">
        <f t="array" ref="E431">(PRODUCT(1+sp500_monthly!E432:E551)^(1/120)-1)*100</f>
        <v>0.51543265831945906</v>
      </c>
      <c r="F431" cm="1">
        <f t="array" ref="F431">(PRODUCT(1+sp500_monthly!K432:K551)^(1/120)-1)*100</f>
        <v>0.3236664009342638</v>
      </c>
      <c r="G431" cm="1">
        <f t="array" ref="G431">(PRODUCT(1+sp500_monthly!L432:L551)^(1/120)-1)</f>
        <v>0.35714634866935113</v>
      </c>
      <c r="H431" cm="1">
        <f t="array" ref="H431">(PRODUCT(1+sp500_monthly!N432:N551)^(1/120)-1)*100</f>
        <v>0.33857479764234366</v>
      </c>
      <c r="I431" cm="1">
        <f t="array" ref="I431">(PRODUCT(1+sp500_monthly!O432:O551)^(1/120)-1)*100</f>
        <v>0.10404911557657659</v>
      </c>
    </row>
    <row r="432" spans="1:9" x14ac:dyDescent="0.35">
      <c r="A432" s="1">
        <v>26267</v>
      </c>
      <c r="B432" cm="1">
        <f t="array" ref="B432">(PRODUCT(1+sp500_monthly!B433:B552)^(1/120)-1)*100</f>
        <v>0.53895829317032184</v>
      </c>
      <c r="C432" cm="1">
        <f t="array" ref="C432">(PRODUCT(1+sp500_monthly!C433:C552)^(1/120)-1)*100</f>
        <v>0.26511763800276533</v>
      </c>
      <c r="D432" cm="1">
        <f t="array" ref="D432">(PRODUCT(1+sp500_monthly!D433:D552)^(1/120)-1)*100</f>
        <v>0.7303559938189208</v>
      </c>
      <c r="E432" cm="1">
        <f t="array" ref="E432">(PRODUCT(1+sp500_monthly!E433:E552)^(1/120)-1)*100</f>
        <v>0.44854407024590426</v>
      </c>
      <c r="F432" cm="1">
        <f t="array" ref="F432">(PRODUCT(1+sp500_monthly!K433:K552)^(1/120)-1)*100</f>
        <v>0.26464177782221654</v>
      </c>
      <c r="G432" cm="1">
        <f t="array" ref="G432">(PRODUCT(1+sp500_monthly!L433:L552)^(1/120)-1)</f>
        <v>0.35874031858424305</v>
      </c>
      <c r="H432" cm="1">
        <f t="array" ref="H432">(PRODUCT(1+sp500_monthly!N433:N552)^(1/120)-1)*100</f>
        <v>0.27906680360418878</v>
      </c>
      <c r="I432" cm="1">
        <f t="array" ref="I432">(PRODUCT(1+sp500_monthly!O433:O552)^(1/120)-1)*100</f>
        <v>0.10350437828190451</v>
      </c>
    </row>
    <row r="433" spans="1:9" x14ac:dyDescent="0.35">
      <c r="A433" s="1">
        <v>26298</v>
      </c>
      <c r="B433" cm="1">
        <f t="array" ref="B433">(PRODUCT(1+sp500_monthly!B434:B553)^(1/120)-1)*100</f>
        <v>0.50432915596465566</v>
      </c>
      <c r="C433" cm="1">
        <f t="array" ref="C433">(PRODUCT(1+sp500_monthly!C434:C553)^(1/120)-1)*100</f>
        <v>0.23119903900552519</v>
      </c>
      <c r="D433" cm="1">
        <f t="array" ref="D433">(PRODUCT(1+sp500_monthly!D434:D553)^(1/120)-1)*100</f>
        <v>0.68185428035925089</v>
      </c>
      <c r="E433" cm="1">
        <f t="array" ref="E433">(PRODUCT(1+sp500_monthly!E434:E553)^(1/120)-1)*100</f>
        <v>0.40055283270219455</v>
      </c>
      <c r="F433" cm="1">
        <f t="array" ref="F433">(PRODUCT(1+sp500_monthly!K434:K553)^(1/120)-1)*100</f>
        <v>0.23027120217027353</v>
      </c>
      <c r="G433" cm="1">
        <f t="array" ref="G433">(PRODUCT(1+sp500_monthly!L434:L553)^(1/120)-1)</f>
        <v>0.36072381375799689</v>
      </c>
      <c r="H433" cm="1">
        <f t="array" ref="H433">(PRODUCT(1+sp500_monthly!N434:N553)^(1/120)-1)*100</f>
        <v>0.24248722370137088</v>
      </c>
      <c r="I433" cm="1">
        <f t="array" ref="I433">(PRODUCT(1+sp500_monthly!O434:O553)^(1/120)-1)*100</f>
        <v>0.10329774155330984</v>
      </c>
    </row>
    <row r="434" spans="1:9" x14ac:dyDescent="0.35">
      <c r="A434" s="1">
        <v>26329</v>
      </c>
      <c r="B434" cm="1">
        <f t="array" ref="B434">(PRODUCT(1+sp500_monthly!B435:B554)^(1/120)-1)*100</f>
        <v>0.57097375303176712</v>
      </c>
      <c r="C434" cm="1">
        <f t="array" ref="C434">(PRODUCT(1+sp500_monthly!C435:C554)^(1/120)-1)*100</f>
        <v>0.29761553729461543</v>
      </c>
      <c r="D434" cm="1">
        <f t="array" ref="D434">(PRODUCT(1+sp500_monthly!D435:D554)^(1/120)-1)*100</f>
        <v>0.76995916624216232</v>
      </c>
      <c r="E434" cm="1">
        <f t="array" ref="E434">(PRODUCT(1+sp500_monthly!E435:E554)^(1/120)-1)*100</f>
        <v>0.48863537005940927</v>
      </c>
      <c r="F434" cm="1">
        <f t="array" ref="F434">(PRODUCT(1+sp500_monthly!K435:K554)^(1/120)-1)*100</f>
        <v>0.29665080970440183</v>
      </c>
      <c r="G434" cm="1">
        <f t="array" ref="G434">(PRODUCT(1+sp500_monthly!L435:L554)^(1/120)-1)</f>
        <v>0.36232198540966398</v>
      </c>
      <c r="H434" cm="1">
        <f t="array" ref="H434">(PRODUCT(1+sp500_monthly!N435:N554)^(1/120)-1)*100</f>
        <v>0.30775792984321093</v>
      </c>
      <c r="I434" cm="1">
        <f t="array" ref="I434">(PRODUCT(1+sp500_monthly!O435:O554)^(1/120)-1)*100</f>
        <v>0.10359728988713623</v>
      </c>
    </row>
    <row r="435" spans="1:9" x14ac:dyDescent="0.35">
      <c r="A435" s="1">
        <v>26358</v>
      </c>
      <c r="B435" cm="1">
        <f t="array" ref="B435">(PRODUCT(1+sp500_monthly!B436:B555)^(1/120)-1)*100</f>
        <v>0.61873931122990999</v>
      </c>
      <c r="C435" cm="1">
        <f t="array" ref="C435">(PRODUCT(1+sp500_monthly!C436:C555)^(1/120)-1)*100</f>
        <v>0.3453665698349706</v>
      </c>
      <c r="D435" cm="1">
        <f t="array" ref="D435">(PRODUCT(1+sp500_monthly!D436:D555)^(1/120)-1)*100</f>
        <v>0.81201355853155466</v>
      </c>
      <c r="E435" cm="1">
        <f t="array" ref="E435">(PRODUCT(1+sp500_monthly!E436:E555)^(1/120)-1)*100</f>
        <v>0.53037084403095847</v>
      </c>
      <c r="F435" cm="1">
        <f t="array" ref="F435">(PRODUCT(1+sp500_monthly!K436:K555)^(1/120)-1)*100</f>
        <v>0.34394406266515798</v>
      </c>
      <c r="G435" cm="1">
        <f t="array" ref="G435">(PRODUCT(1+sp500_monthly!L436:L555)^(1/120)-1)</f>
        <v>0.36277084042683416</v>
      </c>
      <c r="H435" cm="1">
        <f t="array" ref="H435">(PRODUCT(1+sp500_monthly!N436:N555)^(1/120)-1)*100</f>
        <v>0.35420177158747013</v>
      </c>
      <c r="I435" cm="1">
        <f t="array" ref="I435">(PRODUCT(1+sp500_monthly!O436:O555)^(1/120)-1)*100</f>
        <v>0.10281958063871333</v>
      </c>
    </row>
    <row r="436" spans="1:9" x14ac:dyDescent="0.35">
      <c r="A436" s="1">
        <v>26388</v>
      </c>
      <c r="B436" cm="1">
        <f t="array" ref="B436">(PRODUCT(1+sp500_monthly!B437:B556)^(1/120)-1)*100</f>
        <v>0.62661344757022341</v>
      </c>
      <c r="C436" cm="1">
        <f t="array" ref="C436">(PRODUCT(1+sp500_monthly!C437:C556)^(1/120)-1)*100</f>
        <v>0.35295995771866817</v>
      </c>
      <c r="D436" cm="1">
        <f t="array" ref="D436">(PRODUCT(1+sp500_monthly!D437:D556)^(1/120)-1)*100</f>
        <v>0.8229536266639359</v>
      </c>
      <c r="E436" cm="1">
        <f t="array" ref="E436">(PRODUCT(1+sp500_monthly!E437:E556)^(1/120)-1)*100</f>
        <v>0.54155140727127904</v>
      </c>
      <c r="F436" cm="1">
        <f t="array" ref="F436">(PRODUCT(1+sp500_monthly!K437:K556)^(1/120)-1)*100</f>
        <v>0.35134396283191816</v>
      </c>
      <c r="G436" cm="1">
        <f t="array" ref="G436">(PRODUCT(1+sp500_monthly!L437:L556)^(1/120)-1)</f>
        <v>0.3632345111537143</v>
      </c>
      <c r="H436" cm="1">
        <f t="array" ref="H436">(PRODUCT(1+sp500_monthly!N437:N556)^(1/120)-1)*100</f>
        <v>0.35995171554896732</v>
      </c>
      <c r="I436" cm="1">
        <f t="array" ref="I436">(PRODUCT(1+sp500_monthly!O437:O556)^(1/120)-1)*100</f>
        <v>0.10113767441606303</v>
      </c>
    </row>
    <row r="437" spans="1:9" x14ac:dyDescent="0.35">
      <c r="A437" s="1">
        <v>26417</v>
      </c>
      <c r="B437" cm="1">
        <f t="array" ref="B437">(PRODUCT(1+sp500_monthly!B438:B557)^(1/120)-1)*100</f>
        <v>0.63595351883107831</v>
      </c>
      <c r="C437" cm="1">
        <f t="array" ref="C437">(PRODUCT(1+sp500_monthly!C438:C557)^(1/120)-1)*100</f>
        <v>0.36237979249609253</v>
      </c>
      <c r="D437" cm="1">
        <f t="array" ref="D437">(PRODUCT(1+sp500_monthly!D438:D557)^(1/120)-1)*100</f>
        <v>0.83106189143193898</v>
      </c>
      <c r="E437" cm="1">
        <f t="array" ref="E437">(PRODUCT(1+sp500_monthly!E438:E557)^(1/120)-1)*100</f>
        <v>0.54998140865107903</v>
      </c>
      <c r="F437" cm="1">
        <f t="array" ref="F437">(PRODUCT(1+sp500_monthly!K438:K557)^(1/120)-1)*100</f>
        <v>0.36118877027879748</v>
      </c>
      <c r="G437" cm="1">
        <f t="array" ref="G437">(PRODUCT(1+sp500_monthly!L438:L557)^(1/120)-1)</f>
        <v>0.363878738737345</v>
      </c>
      <c r="H437" cm="1">
        <f t="array" ref="H437">(PRODUCT(1+sp500_monthly!N438:N557)^(1/120)-1)*100</f>
        <v>0.37093210074976568</v>
      </c>
      <c r="I437" cm="1">
        <f t="array" ref="I437">(PRODUCT(1+sp500_monthly!O438:O557)^(1/120)-1)*100</f>
        <v>0.10338085723695656</v>
      </c>
    </row>
    <row r="438" spans="1:9" x14ac:dyDescent="0.35">
      <c r="A438" s="1">
        <v>26450</v>
      </c>
      <c r="B438" cm="1">
        <f t="array" ref="B438">(PRODUCT(1+sp500_monthly!B439:B558)^(1/120)-1)*100</f>
        <v>0.69399731242791862</v>
      </c>
      <c r="C438" cm="1">
        <f t="array" ref="C438">(PRODUCT(1+sp500_monthly!C439:C558)^(1/120)-1)*100</f>
        <v>0.42020928261707891</v>
      </c>
      <c r="D438" cm="1">
        <f t="array" ref="D438">(PRODUCT(1+sp500_monthly!D439:D558)^(1/120)-1)*100</f>
        <v>0.89362219256721165</v>
      </c>
      <c r="E438" cm="1">
        <f t="array" ref="E438">(PRODUCT(1+sp500_monthly!E439:E558)^(1/120)-1)*100</f>
        <v>0.61216071141976247</v>
      </c>
      <c r="F438" cm="1">
        <f t="array" ref="F438">(PRODUCT(1+sp500_monthly!K439:K558)^(1/120)-1)*100</f>
        <v>0.41836724404176184</v>
      </c>
      <c r="G438" cm="1">
        <f t="array" ref="G438">(PRODUCT(1+sp500_monthly!L439:L558)^(1/120)-1)</f>
        <v>0.36451299157689143</v>
      </c>
      <c r="H438" cm="1">
        <f t="array" ref="H438">(PRODUCT(1+sp500_monthly!N439:N558)^(1/120)-1)*100</f>
        <v>0.42791281868623798</v>
      </c>
      <c r="I438" cm="1">
        <f t="array" ref="I438">(PRODUCT(1+sp500_monthly!O439:O558)^(1/120)-1)*100</f>
        <v>0.10305603513198758</v>
      </c>
    </row>
    <row r="439" spans="1:9" x14ac:dyDescent="0.35">
      <c r="A439" s="1">
        <v>26480</v>
      </c>
      <c r="B439" cm="1">
        <f t="array" ref="B439">(PRODUCT(1+sp500_monthly!B440:B559)^(1/120)-1)*100</f>
        <v>0.78213925578787258</v>
      </c>
      <c r="C439" cm="1">
        <f t="array" ref="C439">(PRODUCT(1+sp500_monthly!C440:C559)^(1/120)-1)*100</f>
        <v>0.50895363446195052</v>
      </c>
      <c r="D439" cm="1">
        <f t="array" ref="D439">(PRODUCT(1+sp500_monthly!D440:D559)^(1/120)-1)*100</f>
        <v>0.97321210985383821</v>
      </c>
      <c r="E439" cm="1">
        <f t="array" ref="E439">(PRODUCT(1+sp500_monthly!E440:E559)^(1/120)-1)*100</f>
        <v>0.69233714895662324</v>
      </c>
      <c r="F439" cm="1">
        <f t="array" ref="F439">(PRODUCT(1+sp500_monthly!K440:K559)^(1/120)-1)*100</f>
        <v>0.50798143637835746</v>
      </c>
      <c r="G439" cm="1">
        <f t="array" ref="G439">(PRODUCT(1+sp500_monthly!L440:L559)^(1/120)-1)</f>
        <v>0.36505040717400328</v>
      </c>
      <c r="H439" cm="1">
        <f t="array" ref="H439">(PRODUCT(1+sp500_monthly!N440:N559)^(1/120)-1)*100</f>
        <v>0.51463728775347217</v>
      </c>
      <c r="I439" cm="1">
        <f t="array" ref="I439">(PRODUCT(1+sp500_monthly!O440:O559)^(1/120)-1)*100</f>
        <v>0.10237550372138582</v>
      </c>
    </row>
    <row r="440" spans="1:9" x14ac:dyDescent="0.35">
      <c r="A440" s="1">
        <v>26511</v>
      </c>
      <c r="B440" cm="1">
        <f t="array" ref="B440">(PRODUCT(1+sp500_monthly!B441:B560)^(1/120)-1)*100</f>
        <v>0.83569159135081783</v>
      </c>
      <c r="C440" cm="1">
        <f t="array" ref="C440">(PRODUCT(1+sp500_monthly!C441:C560)^(1/120)-1)*100</f>
        <v>0.56273187106923306</v>
      </c>
      <c r="D440" cm="1">
        <f t="array" ref="D440">(PRODUCT(1+sp500_monthly!D441:D560)^(1/120)-1)*100</f>
        <v>1.0179927718422022</v>
      </c>
      <c r="E440" cm="1">
        <f t="array" ref="E440">(PRODUCT(1+sp500_monthly!E441:E560)^(1/120)-1)*100</f>
        <v>0.73771002190434753</v>
      </c>
      <c r="F440" cm="1">
        <f t="array" ref="F440">(PRODUCT(1+sp500_monthly!K441:K560)^(1/120)-1)*100</f>
        <v>0.56102916577946971</v>
      </c>
      <c r="G440" cm="1">
        <f t="array" ref="G440">(PRODUCT(1+sp500_monthly!L441:L560)^(1/120)-1)</f>
        <v>0.36587333303082481</v>
      </c>
      <c r="H440" cm="1">
        <f t="array" ref="H440">(PRODUCT(1+sp500_monthly!N441:N560)^(1/120)-1)*100</f>
        <v>0.56520352652387196</v>
      </c>
      <c r="I440" cm="1">
        <f t="array" ref="I440">(PRODUCT(1+sp500_monthly!O441:O560)^(1/120)-1)*100</f>
        <v>0.10029363203398756</v>
      </c>
    </row>
    <row r="441" spans="1:9" x14ac:dyDescent="0.35">
      <c r="A441" s="1">
        <v>26542</v>
      </c>
      <c r="B441" cm="1">
        <f t="array" ref="B441">(PRODUCT(1+sp500_monthly!B442:B561)^(1/120)-1)*100</f>
        <v>0.78534879703837657</v>
      </c>
      <c r="C441" cm="1">
        <f t="array" ref="C441">(PRODUCT(1+sp500_monthly!C442:C561)^(1/120)-1)*100</f>
        <v>0.51256148191729523</v>
      </c>
      <c r="D441" cm="1">
        <f t="array" ref="D441">(PRODUCT(1+sp500_monthly!D442:D561)^(1/120)-1)*100</f>
        <v>0.95341643298338941</v>
      </c>
      <c r="E441" cm="1">
        <f t="array" ref="E441">(PRODUCT(1+sp500_monthly!E442:E561)^(1/120)-1)*100</f>
        <v>0.67310142863996614</v>
      </c>
      <c r="F441" cm="1">
        <f t="array" ref="F441">(PRODUCT(1+sp500_monthly!K442:K561)^(1/120)-1)*100</f>
        <v>0.51135308759424625</v>
      </c>
      <c r="G441" cm="1">
        <f t="array" ref="G441">(PRODUCT(1+sp500_monthly!L442:L561)^(1/120)-1)</f>
        <v>0.36622634576987645</v>
      </c>
      <c r="H441" cm="1">
        <f t="array" ref="H441">(PRODUCT(1+sp500_monthly!N442:N561)^(1/120)-1)*100</f>
        <v>0.51326672306222232</v>
      </c>
      <c r="I441" cm="1">
        <f t="array" ref="I441">(PRODUCT(1+sp500_monthly!O442:O561)^(1/120)-1)*100</f>
        <v>9.8904411493694333E-2</v>
      </c>
    </row>
    <row r="442" spans="1:9" x14ac:dyDescent="0.35">
      <c r="A442" s="1">
        <v>26571</v>
      </c>
      <c r="B442" cm="1">
        <f t="array" ref="B442">(PRODUCT(1+sp500_monthly!B443:B562)^(1/120)-1)*100</f>
        <v>0.79982102562521362</v>
      </c>
      <c r="C442" cm="1">
        <f t="array" ref="C442">(PRODUCT(1+sp500_monthly!C443:C562)^(1/120)-1)*100</f>
        <v>0.52796018570959724</v>
      </c>
      <c r="D442" cm="1">
        <f t="array" ref="D442">(PRODUCT(1+sp500_monthly!D443:D562)^(1/120)-1)*100</f>
        <v>0.9690121246860306</v>
      </c>
      <c r="E442" cm="1">
        <f t="array" ref="E442">(PRODUCT(1+sp500_monthly!E443:E562)^(1/120)-1)*100</f>
        <v>0.68946949329451446</v>
      </c>
      <c r="F442" cm="1">
        <f t="array" ref="F442">(PRODUCT(1+sp500_monthly!K443:K562)^(1/120)-1)*100</f>
        <v>0.5270218300111873</v>
      </c>
      <c r="G442" cm="1">
        <f t="array" ref="G442">(PRODUCT(1+sp500_monthly!L443:L562)^(1/120)-1)</f>
        <v>0.36676870918927729</v>
      </c>
      <c r="H442" cm="1">
        <f t="array" ref="H442">(PRODUCT(1+sp500_monthly!N443:N562)^(1/120)-1)*100</f>
        <v>0.52735975086921627</v>
      </c>
      <c r="I442" cm="1">
        <f t="array" ref="I442">(PRODUCT(1+sp500_monthly!O443:O562)^(1/120)-1)*100</f>
        <v>9.9064927214698173E-2</v>
      </c>
    </row>
    <row r="443" spans="1:9" x14ac:dyDescent="0.35">
      <c r="A443" s="1">
        <v>26603</v>
      </c>
      <c r="B443" cm="1">
        <f t="array" ref="B443">(PRODUCT(1+sp500_monthly!B444:B563)^(1/120)-1)*100</f>
        <v>0.83911152508246989</v>
      </c>
      <c r="C443" cm="1">
        <f t="array" ref="C443">(PRODUCT(1+sp500_monthly!C444:C563)^(1/120)-1)*100</f>
        <v>0.56737464896126077</v>
      </c>
      <c r="D443" cm="1">
        <f t="array" ref="D443">(PRODUCT(1+sp500_monthly!D444:D563)^(1/120)-1)*100</f>
        <v>1.0015045174354809</v>
      </c>
      <c r="E443" cm="1">
        <f t="array" ref="E443">(PRODUCT(1+sp500_monthly!E444:E563)^(1/120)-1)*100</f>
        <v>0.72245164399358242</v>
      </c>
      <c r="F443" cm="1">
        <f t="array" ref="F443">(PRODUCT(1+sp500_monthly!K444:K563)^(1/120)-1)*100</f>
        <v>0.56433672056332984</v>
      </c>
      <c r="G443" cm="1">
        <f t="array" ref="G443">(PRODUCT(1+sp500_monthly!L444:L563)^(1/120)-1)</f>
        <v>0.36793151794862222</v>
      </c>
      <c r="H443" cm="1">
        <f t="array" ref="H443">(PRODUCT(1+sp500_monthly!N444:N563)^(1/120)-1)*100</f>
        <v>0.56641913179791281</v>
      </c>
      <c r="I443" cm="1">
        <f t="array" ref="I443">(PRODUCT(1+sp500_monthly!O444:O563)^(1/120)-1)*100</f>
        <v>0.10002202857217757</v>
      </c>
    </row>
    <row r="444" spans="1:9" x14ac:dyDescent="0.35">
      <c r="A444" s="1">
        <v>26633</v>
      </c>
      <c r="B444" cm="1">
        <f t="array" ref="B444">(PRODUCT(1+sp500_monthly!B445:B564)^(1/120)-1)*100</f>
        <v>0.84124649892667325</v>
      </c>
      <c r="C444" cm="1">
        <f t="array" ref="C444">(PRODUCT(1+sp500_monthly!C445:C564)^(1/120)-1)*100</f>
        <v>0.56995051024333332</v>
      </c>
      <c r="D444" cm="1">
        <f t="array" ref="D444">(PRODUCT(1+sp500_monthly!D445:D564)^(1/120)-1)*100</f>
        <v>1.0113597847585698</v>
      </c>
      <c r="E444" cm="1">
        <f t="array" ref="E444">(PRODUCT(1+sp500_monthly!E445:E564)^(1/120)-1)*100</f>
        <v>0.73233580759810568</v>
      </c>
      <c r="F444" cm="1">
        <f t="array" ref="F444">(PRODUCT(1+sp500_monthly!K445:K564)^(1/120)-1)*100</f>
        <v>0.56839348850481475</v>
      </c>
      <c r="G444" cm="1">
        <f t="array" ref="G444">(PRODUCT(1+sp500_monthly!L445:L564)^(1/120)-1)</f>
        <v>0.36922401050889464</v>
      </c>
      <c r="H444" cm="1">
        <f t="array" ref="H444">(PRODUCT(1+sp500_monthly!N445:N564)^(1/120)-1)*100</f>
        <v>0.56545734666615388</v>
      </c>
      <c r="I444" cm="1">
        <f t="array" ref="I444">(PRODUCT(1+sp500_monthly!O445:O564)^(1/120)-1)*100</f>
        <v>9.8192609824310217E-2</v>
      </c>
    </row>
    <row r="445" spans="1:9" x14ac:dyDescent="0.35">
      <c r="A445" s="1">
        <v>26662</v>
      </c>
      <c r="B445" cm="1">
        <f t="array" ref="B445">(PRODUCT(1+sp500_monthly!B446:B565)^(1/120)-1)*100</f>
        <v>0.79610875526534564</v>
      </c>
      <c r="C445" cm="1">
        <f t="array" ref="C445">(PRODUCT(1+sp500_monthly!C446:C565)^(1/120)-1)*100</f>
        <v>0.52670832543166846</v>
      </c>
      <c r="D445" cm="1">
        <f t="array" ref="D445">(PRODUCT(1+sp500_monthly!D446:D565)^(1/120)-1)*100</f>
        <v>0.96570004328391246</v>
      </c>
      <c r="E445" cm="1">
        <f t="array" ref="E445">(PRODUCT(1+sp500_monthly!E446:E565)^(1/120)-1)*100</f>
        <v>0.68784250640734346</v>
      </c>
      <c r="F445" cm="1">
        <f t="array" ref="F445">(PRODUCT(1+sp500_monthly!K446:K565)^(1/120)-1)*100</f>
        <v>0.52472486863306411</v>
      </c>
      <c r="G445" cm="1">
        <f t="array" ref="G445">(PRODUCT(1+sp500_monthly!L446:L565)^(1/120)-1)</f>
        <v>0.37073657343585076</v>
      </c>
      <c r="H445" cm="1">
        <f t="array" ref="H445">(PRODUCT(1+sp500_monthly!N446:N565)^(1/120)-1)*100</f>
        <v>0.51648250380975647</v>
      </c>
      <c r="I445" cm="1">
        <f t="array" ref="I445">(PRODUCT(1+sp500_monthly!O446:O565)^(1/120)-1)*100</f>
        <v>9.5662683316599662E-2</v>
      </c>
    </row>
    <row r="446" spans="1:9" x14ac:dyDescent="0.35">
      <c r="A446" s="1">
        <v>26695</v>
      </c>
      <c r="B446" cm="1">
        <f t="array" ref="B446">(PRODUCT(1+sp500_monthly!B447:B566)^(1/120)-1)*100</f>
        <v>0.79455979998999116</v>
      </c>
      <c r="C446" cm="1">
        <f t="array" ref="C446">(PRODUCT(1+sp500_monthly!C447:C566)^(1/120)-1)*100</f>
        <v>0.52553606891219129</v>
      </c>
      <c r="D446" cm="1">
        <f t="array" ref="D446">(PRODUCT(1+sp500_monthly!D447:D566)^(1/120)-1)*100</f>
        <v>0.95883324279630866</v>
      </c>
      <c r="E446" cm="1">
        <f t="array" ref="E446">(PRODUCT(1+sp500_monthly!E447:E566)^(1/120)-1)*100</f>
        <v>0.6818338534743118</v>
      </c>
      <c r="F446" cm="1">
        <f t="array" ref="F446">(PRODUCT(1+sp500_monthly!K447:K566)^(1/120)-1)*100</f>
        <v>0.52334836159086962</v>
      </c>
      <c r="G446" cm="1">
        <f t="array" ref="G446">(PRODUCT(1+sp500_monthly!L447:L566)^(1/120)-1)</f>
        <v>0.37196846584053422</v>
      </c>
      <c r="H446" cm="1">
        <f t="array" ref="H446">(PRODUCT(1+sp500_monthly!N447:N566)^(1/120)-1)*100</f>
        <v>0.51296466151686815</v>
      </c>
      <c r="I446" cm="1">
        <f t="array" ref="I446">(PRODUCT(1+sp500_monthly!O447:O566)^(1/120)-1)*100</f>
        <v>9.4862003876916567E-2</v>
      </c>
    </row>
    <row r="447" spans="1:9" x14ac:dyDescent="0.35">
      <c r="A447" s="1">
        <v>26723</v>
      </c>
      <c r="B447" cm="1">
        <f t="array" ref="B447">(PRODUCT(1+sp500_monthly!B448:B567)^(1/120)-1)*100</f>
        <v>0.73910988742340589</v>
      </c>
      <c r="C447" cm="1">
        <f t="array" ref="C447">(PRODUCT(1+sp500_monthly!C448:C567)^(1/120)-1)*100</f>
        <v>0.47025794297648194</v>
      </c>
      <c r="D447" cm="1">
        <f t="array" ref="D447">(PRODUCT(1+sp500_monthly!D448:D567)^(1/120)-1)*100</f>
        <v>0.85688140863768858</v>
      </c>
      <c r="E447" cm="1">
        <f t="array" ref="E447">(PRODUCT(1+sp500_monthly!E448:E567)^(1/120)-1)*100</f>
        <v>0.57994385321746833</v>
      </c>
      <c r="F447" cm="1">
        <f t="array" ref="F447">(PRODUCT(1+sp500_monthly!K448:K567)^(1/120)-1)*100</f>
        <v>0.46873008229448843</v>
      </c>
      <c r="G447" cm="1">
        <f t="array" ref="G447">(PRODUCT(1+sp500_monthly!L448:L567)^(1/120)-1)</f>
        <v>0.37358719450354405</v>
      </c>
      <c r="H447" cm="1">
        <f t="array" ref="H447">(PRODUCT(1+sp500_monthly!N448:N567)^(1/120)-1)*100</f>
        <v>0.45539113369452711</v>
      </c>
      <c r="I447" cm="1">
        <f t="array" ref="I447">(PRODUCT(1+sp500_monthly!O448:O567)^(1/120)-1)*100</f>
        <v>9.4171067798365371E-2</v>
      </c>
    </row>
    <row r="448" spans="1:9" x14ac:dyDescent="0.35">
      <c r="A448" s="1">
        <v>26753</v>
      </c>
      <c r="B448" cm="1">
        <f t="array" ref="B448">(PRODUCT(1+sp500_monthly!B449:B568)^(1/120)-1)*100</f>
        <v>0.73078523710674581</v>
      </c>
      <c r="C448" cm="1">
        <f t="array" ref="C448">(PRODUCT(1+sp500_monthly!C449:C568)^(1/120)-1)*100</f>
        <v>0.46240383737192747</v>
      </c>
      <c r="D448" cm="1">
        <f t="array" ref="D448">(PRODUCT(1+sp500_monthly!D449:D568)^(1/120)-1)*100</f>
        <v>0.8269407991183364</v>
      </c>
      <c r="E448" cm="1">
        <f t="array" ref="E448">(PRODUCT(1+sp500_monthly!E449:E568)^(1/120)-1)*100</f>
        <v>0.55023818942627756</v>
      </c>
      <c r="F448" cm="1">
        <f t="array" ref="F448">(PRODUCT(1+sp500_monthly!K449:K568)^(1/120)-1)*100</f>
        <v>0.46125011120037307</v>
      </c>
      <c r="G448" cm="1">
        <f t="array" ref="G448">(PRODUCT(1+sp500_monthly!L449:L568)^(1/120)-1)</f>
        <v>0.37515140452116524</v>
      </c>
      <c r="H448" cm="1">
        <f t="array" ref="H448">(PRODUCT(1+sp500_monthly!N449:N568)^(1/120)-1)*100</f>
        <v>0.44232885144162015</v>
      </c>
      <c r="I448" cm="1">
        <f t="array" ref="I448">(PRODUCT(1+sp500_monthly!O449:O568)^(1/120)-1)*100</f>
        <v>9.0923282528065918E-2</v>
      </c>
    </row>
    <row r="449" spans="1:9" x14ac:dyDescent="0.35">
      <c r="A449" s="1">
        <v>26784</v>
      </c>
      <c r="B449" cm="1">
        <f t="array" ref="B449">(PRODUCT(1+sp500_monthly!B450:B569)^(1/120)-1)*100</f>
        <v>0.69971341194339232</v>
      </c>
      <c r="C449" cm="1">
        <f t="array" ref="C449">(PRODUCT(1+sp500_monthly!C450:C569)^(1/120)-1)*100</f>
        <v>0.43173121643687029</v>
      </c>
      <c r="D449" cm="1">
        <f t="array" ref="D449">(PRODUCT(1+sp500_monthly!D450:D569)^(1/120)-1)*100</f>
        <v>0.79516290505974307</v>
      </c>
      <c r="E449" cm="1">
        <f t="array" ref="E449">(PRODUCT(1+sp500_monthly!E450:E569)^(1/120)-1)*100</f>
        <v>0.51888661426675586</v>
      </c>
      <c r="F449" cm="1">
        <f t="array" ref="F449">(PRODUCT(1+sp500_monthly!K450:K569)^(1/120)-1)*100</f>
        <v>0.43087885168515694</v>
      </c>
      <c r="G449" cm="1">
        <f t="array" ref="G449">(PRODUCT(1+sp500_monthly!L450:L569)^(1/120)-1)</f>
        <v>0.37711723805467967</v>
      </c>
      <c r="H449" cm="1">
        <f t="array" ref="H449">(PRODUCT(1+sp500_monthly!N450:N569)^(1/120)-1)*100</f>
        <v>0.40442157790334665</v>
      </c>
      <c r="I449" cm="1">
        <f t="array" ref="I449">(PRODUCT(1+sp500_monthly!O450:O569)^(1/120)-1)*100</f>
        <v>8.593265313463494E-2</v>
      </c>
    </row>
    <row r="450" spans="1:9" x14ac:dyDescent="0.35">
      <c r="A450" s="1">
        <v>26815</v>
      </c>
      <c r="B450" cm="1">
        <f t="array" ref="B450">(PRODUCT(1+sp500_monthly!B451:B570)^(1/120)-1)*100</f>
        <v>0.62522929271289218</v>
      </c>
      <c r="C450" cm="1">
        <f t="array" ref="C450">(PRODUCT(1+sp500_monthly!C451:C570)^(1/120)-1)*100</f>
        <v>0.35713582257350662</v>
      </c>
      <c r="D450" cm="1">
        <f t="array" ref="D450">(PRODUCT(1+sp500_monthly!D451:D570)^(1/120)-1)*100</f>
        <v>0.71565138497289293</v>
      </c>
      <c r="E450" cm="1">
        <f t="array" ref="E450">(PRODUCT(1+sp500_monthly!E451:E570)^(1/120)-1)*100</f>
        <v>0.43897019371379464</v>
      </c>
      <c r="F450" cm="1">
        <f t="array" ref="F450">(PRODUCT(1+sp500_monthly!K451:K570)^(1/120)-1)*100</f>
        <v>0.3563906923526039</v>
      </c>
      <c r="G450" cm="1">
        <f t="array" ref="G450">(PRODUCT(1+sp500_monthly!L451:L570)^(1/120)-1)</f>
        <v>0.37936338776541945</v>
      </c>
      <c r="H450" cm="1">
        <f t="array" ref="H450">(PRODUCT(1+sp500_monthly!N451:N570)^(1/120)-1)*100</f>
        <v>0.32357407497056734</v>
      </c>
      <c r="I450" cm="1">
        <f t="array" ref="I450">(PRODUCT(1+sp500_monthly!O451:O570)^(1/120)-1)*100</f>
        <v>8.1610049715741262E-2</v>
      </c>
    </row>
    <row r="451" spans="1:9" x14ac:dyDescent="0.35">
      <c r="A451" s="1">
        <v>26844</v>
      </c>
      <c r="B451" cm="1">
        <f t="array" ref="B451">(PRODUCT(1+sp500_monthly!B452:B571)^(1/120)-1)*100</f>
        <v>0.59711586164947761</v>
      </c>
      <c r="C451" cm="1">
        <f t="array" ref="C451">(PRODUCT(1+sp500_monthly!C452:C571)^(1/120)-1)*100</f>
        <v>0.32959666503957763</v>
      </c>
      <c r="D451" cm="1">
        <f t="array" ref="D451">(PRODUCT(1+sp500_monthly!D452:D571)^(1/120)-1)*100</f>
        <v>0.64845633376713341</v>
      </c>
      <c r="E451" cm="1">
        <f t="array" ref="E451">(PRODUCT(1+sp500_monthly!E452:E571)^(1/120)-1)*100</f>
        <v>0.37141689294895031</v>
      </c>
      <c r="F451" cm="1">
        <f t="array" ref="F451">(PRODUCT(1+sp500_monthly!K452:K571)^(1/120)-1)*100</f>
        <v>0.32855408679175468</v>
      </c>
      <c r="G451" cm="1">
        <f t="array" ref="G451">(PRODUCT(1+sp500_monthly!L452:L571)^(1/120)-1)</f>
        <v>0.38162968251339069</v>
      </c>
      <c r="H451" cm="1">
        <f t="array" ref="H451">(PRODUCT(1+sp500_monthly!N452:N571)^(1/120)-1)*100</f>
        <v>0.29255076911502975</v>
      </c>
      <c r="I451" cm="1">
        <f t="array" ref="I451">(PRODUCT(1+sp500_monthly!O452:O571)^(1/120)-1)*100</f>
        <v>8.0865665801210795E-2</v>
      </c>
    </row>
    <row r="452" spans="1:9" x14ac:dyDescent="0.35">
      <c r="A452" s="1">
        <v>26876</v>
      </c>
      <c r="B452" cm="1">
        <f t="array" ref="B452">(PRODUCT(1+sp500_monthly!B453:B572)^(1/120)-1)*100</f>
        <v>0.60850812222494888</v>
      </c>
      <c r="C452" cm="1">
        <f t="array" ref="C452">(PRODUCT(1+sp500_monthly!C453:C572)^(1/120)-1)*100</f>
        <v>0.34085210875423044</v>
      </c>
      <c r="D452" cm="1">
        <f t="array" ref="D452">(PRODUCT(1+sp500_monthly!D453:D572)^(1/120)-1)*100</f>
        <v>0.63845614288422503</v>
      </c>
      <c r="E452" cm="1">
        <f t="array" ref="E452">(PRODUCT(1+sp500_monthly!E453:E572)^(1/120)-1)*100</f>
        <v>0.36108191107311338</v>
      </c>
      <c r="F452" cm="1">
        <f t="array" ref="F452">(PRODUCT(1+sp500_monthly!K453:K572)^(1/120)-1)*100</f>
        <v>0.34009927181182231</v>
      </c>
      <c r="G452" cm="1">
        <f t="array" ref="G452">(PRODUCT(1+sp500_monthly!L453:L572)^(1/120)-1)</f>
        <v>0.38399308499219975</v>
      </c>
      <c r="H452" cm="1">
        <f t="array" ref="H452">(PRODUCT(1+sp500_monthly!N453:N572)^(1/120)-1)*100</f>
        <v>0.300951109300307</v>
      </c>
      <c r="I452" cm="1">
        <f t="array" ref="I452">(PRODUCT(1+sp500_monthly!O453:O572)^(1/120)-1)*100</f>
        <v>8.024138434701289E-2</v>
      </c>
    </row>
    <row r="453" spans="1:9" x14ac:dyDescent="0.35">
      <c r="A453" s="1">
        <v>26907</v>
      </c>
      <c r="B453" cm="1">
        <f t="array" ref="B453">(PRODUCT(1+sp500_monthly!B454:B573)^(1/120)-1)*100</f>
        <v>0.64222144282983784</v>
      </c>
      <c r="C453" cm="1">
        <f t="array" ref="C453">(PRODUCT(1+sp500_monthly!C454:C573)^(1/120)-1)*100</f>
        <v>0.37440701657642794</v>
      </c>
      <c r="D453" cm="1">
        <f t="array" ref="D453">(PRODUCT(1+sp500_monthly!D454:D573)^(1/120)-1)*100</f>
        <v>0.70809504388489319</v>
      </c>
      <c r="E453" cm="1">
        <f t="array" ref="E453">(PRODUCT(1+sp500_monthly!E454:E573)^(1/120)-1)*100</f>
        <v>0.43008162917002046</v>
      </c>
      <c r="F453" cm="1">
        <f t="array" ref="F453">(PRODUCT(1+sp500_monthly!K454:K573)^(1/120)-1)*100</f>
        <v>0.37417423529924054</v>
      </c>
      <c r="G453" cm="1">
        <f t="array" ref="G453">(PRODUCT(1+sp500_monthly!L454:L573)^(1/120)-1)</f>
        <v>0.38694504902990823</v>
      </c>
      <c r="H453" cm="1">
        <f t="array" ref="H453">(PRODUCT(1+sp500_monthly!N454:N573)^(1/120)-1)*100</f>
        <v>0.33674376651728899</v>
      </c>
      <c r="I453" cm="1">
        <f t="array" ref="I453">(PRODUCT(1+sp500_monthly!O454:O573)^(1/120)-1)*100</f>
        <v>8.5490197790871747E-2</v>
      </c>
    </row>
    <row r="454" spans="1:9" x14ac:dyDescent="0.35">
      <c r="A454" s="1">
        <v>26935</v>
      </c>
      <c r="B454" cm="1">
        <f t="array" ref="B454">(PRODUCT(1+sp500_monthly!B455:B574)^(1/120)-1)*100</f>
        <v>0.57168095850346212</v>
      </c>
      <c r="C454" cm="1">
        <f t="array" ref="C454">(PRODUCT(1+sp500_monthly!C455:C574)^(1/120)-1)*100</f>
        <v>0.30371419047656723</v>
      </c>
      <c r="D454" cm="1">
        <f t="array" ref="D454">(PRODUCT(1+sp500_monthly!D455:D574)^(1/120)-1)*100</f>
        <v>0.64348667181033381</v>
      </c>
      <c r="E454" cm="1">
        <f t="array" ref="E454">(PRODUCT(1+sp500_monthly!E455:E574)^(1/120)-1)*100</f>
        <v>0.36479868831900131</v>
      </c>
      <c r="F454" cm="1">
        <f t="array" ref="F454">(PRODUCT(1+sp500_monthly!K455:K574)^(1/120)-1)*100</f>
        <v>0.30312373591736552</v>
      </c>
      <c r="G454" cm="1">
        <f t="array" ref="G454">(PRODUCT(1+sp500_monthly!L455:L574)^(1/120)-1)</f>
        <v>0.390503475940287</v>
      </c>
      <c r="H454" cm="1">
        <f t="array" ref="H454">(PRODUCT(1+sp500_monthly!N455:N574)^(1/120)-1)*100</f>
        <v>0.25306231476562857</v>
      </c>
      <c r="I454" cm="1">
        <f t="array" ref="I454">(PRODUCT(1+sp500_monthly!O455:O574)^(1/120)-1)*100</f>
        <v>7.5894259591624547E-2</v>
      </c>
    </row>
    <row r="455" spans="1:9" x14ac:dyDescent="0.35">
      <c r="A455" s="1">
        <v>26968</v>
      </c>
      <c r="B455" cm="1">
        <f t="array" ref="B455">(PRODUCT(1+sp500_monthly!B456:B575)^(1/120)-1)*100</f>
        <v>0.61511096024178258</v>
      </c>
      <c r="C455" cm="1">
        <f t="array" ref="C455">(PRODUCT(1+sp500_monthly!C456:C575)^(1/120)-1)*100</f>
        <v>0.34707553690516146</v>
      </c>
      <c r="D455" cm="1">
        <f t="array" ref="D455">(PRODUCT(1+sp500_monthly!D456:D575)^(1/120)-1)*100</f>
        <v>0.73625434158317571</v>
      </c>
      <c r="E455" cm="1">
        <f t="array" ref="E455">(PRODUCT(1+sp500_monthly!E456:E575)^(1/120)-1)*100</f>
        <v>0.45754288767558826</v>
      </c>
      <c r="F455" cm="1">
        <f t="array" ref="F455">(PRODUCT(1+sp500_monthly!K456:K575)^(1/120)-1)*100</f>
        <v>0.34526687211056117</v>
      </c>
      <c r="G455" cm="1">
        <f t="array" ref="G455">(PRODUCT(1+sp500_monthly!L456:L575)^(1/120)-1)</f>
        <v>0.3937491809597129</v>
      </c>
      <c r="H455" cm="1">
        <f t="array" ref="H455">(PRODUCT(1+sp500_monthly!N456:N575)^(1/120)-1)*100</f>
        <v>0.29183256406526414</v>
      </c>
      <c r="I455" cm="1">
        <f t="array" ref="I455">(PRODUCT(1+sp500_monthly!O456:O575)^(1/120)-1)*100</f>
        <v>7.4785040947955572E-2</v>
      </c>
    </row>
    <row r="456" spans="1:9" x14ac:dyDescent="0.35">
      <c r="A456" s="1">
        <v>26998</v>
      </c>
      <c r="B456" cm="1">
        <f t="array" ref="B456">(PRODUCT(1+sp500_monthly!B457:B576)^(1/120)-1)*100</f>
        <v>0.5866741237769757</v>
      </c>
      <c r="C456" cm="1">
        <f t="array" ref="C456">(PRODUCT(1+sp500_monthly!C457:C576)^(1/120)-1)*100</f>
        <v>0.31838948537405987</v>
      </c>
      <c r="D456" cm="1">
        <f t="array" ref="D456">(PRODUCT(1+sp500_monthly!D457:D576)^(1/120)-1)*100</f>
        <v>0.71481782651625636</v>
      </c>
      <c r="E456" cm="1">
        <f t="array" ref="E456">(PRODUCT(1+sp500_monthly!E457:E576)^(1/120)-1)*100</f>
        <v>0.43547948488291688</v>
      </c>
      <c r="F456" cm="1">
        <f t="array" ref="F456">(PRODUCT(1+sp500_monthly!K457:K576)^(1/120)-1)*100</f>
        <v>0.31767428052751345</v>
      </c>
      <c r="G456" cm="1">
        <f t="array" ref="G456">(PRODUCT(1+sp500_monthly!L457:L576)^(1/120)-1)</f>
        <v>0.39661084611721242</v>
      </c>
      <c r="H456" cm="1">
        <f t="array" ref="H456">(PRODUCT(1+sp500_monthly!N457:N576)^(1/120)-1)*100</f>
        <v>0.25694132048208473</v>
      </c>
      <c r="I456" cm="1">
        <f t="array" ref="I456">(PRODUCT(1+sp500_monthly!O457:O576)^(1/120)-1)*100</f>
        <v>7.1239636985054311E-2</v>
      </c>
    </row>
    <row r="457" spans="1:9" x14ac:dyDescent="0.35">
      <c r="A457" s="1">
        <v>27029</v>
      </c>
      <c r="B457" cm="1">
        <f t="array" ref="B457">(PRODUCT(1+sp500_monthly!B458:B577)^(1/120)-1)*100</f>
        <v>0.49541805605921585</v>
      </c>
      <c r="C457" cm="1">
        <f t="array" ref="C457">(PRODUCT(1+sp500_monthly!C458:C577)^(1/120)-1)*100</f>
        <v>0.22746261913286769</v>
      </c>
      <c r="D457" cm="1">
        <f t="array" ref="D457">(PRODUCT(1+sp500_monthly!D458:D577)^(1/120)-1)*100</f>
        <v>0.58118406112226406</v>
      </c>
      <c r="E457" cm="1">
        <f t="array" ref="E457">(PRODUCT(1+sp500_monthly!E458:E577)^(1/120)-1)*100</f>
        <v>0.30086127687718456</v>
      </c>
      <c r="F457" cm="1">
        <f t="array" ref="F457">(PRODUCT(1+sp500_monthly!K458:K577)^(1/120)-1)*100</f>
        <v>0.22551923544982255</v>
      </c>
      <c r="G457" cm="1">
        <f t="array" ref="G457">(PRODUCT(1+sp500_monthly!L458:L577)^(1/120)-1)</f>
        <v>0.39900656059319273</v>
      </c>
      <c r="H457" cm="1">
        <f t="array" ref="H457">(PRODUCT(1+sp500_monthly!N458:N577)^(1/120)-1)*100</f>
        <v>0.16132489725360077</v>
      </c>
      <c r="I457" cm="1">
        <f t="array" ref="I457">(PRODUCT(1+sp500_monthly!O458:O577)^(1/120)-1)*100</f>
        <v>6.8992854694727157E-2</v>
      </c>
    </row>
    <row r="458" spans="1:9" x14ac:dyDescent="0.35">
      <c r="A458" s="1">
        <v>27060</v>
      </c>
      <c r="B458" cm="1">
        <f t="array" ref="B458">(PRODUCT(1+sp500_monthly!B459:B578)^(1/120)-1)*100</f>
        <v>0.48878585613474357</v>
      </c>
      <c r="C458" cm="1">
        <f t="array" ref="C458">(PRODUCT(1+sp500_monthly!C459:C578)^(1/120)-1)*100</f>
        <v>0.22082004269561306</v>
      </c>
      <c r="D458" cm="1">
        <f t="array" ref="D458">(PRODUCT(1+sp500_monthly!D459:D578)^(1/120)-1)*100</f>
        <v>0.57535760763576249</v>
      </c>
      <c r="E458" cm="1">
        <f t="array" ref="E458">(PRODUCT(1+sp500_monthly!E459:E578)^(1/120)-1)*100</f>
        <v>0.29496798916521794</v>
      </c>
      <c r="F458" cm="1">
        <f t="array" ref="F458">(PRODUCT(1+sp500_monthly!K459:K578)^(1/120)-1)*100</f>
        <v>0.21907427810698987</v>
      </c>
      <c r="G458" cm="1">
        <f t="array" ref="G458">(PRODUCT(1+sp500_monthly!L459:L578)^(1/120)-1)</f>
        <v>0.40180800468131839</v>
      </c>
      <c r="H458" cm="1">
        <f t="array" ref="H458">(PRODUCT(1+sp500_monthly!N459:N578)^(1/120)-1)*100</f>
        <v>0.15018013738528069</v>
      </c>
      <c r="I458" cm="1">
        <f t="array" ref="I458">(PRODUCT(1+sp500_monthly!O459:O578)^(1/120)-1)*100</f>
        <v>6.7367210895596941E-2</v>
      </c>
    </row>
    <row r="459" spans="1:9" x14ac:dyDescent="0.35">
      <c r="A459" s="1">
        <v>27088</v>
      </c>
      <c r="B459" cm="1">
        <f t="array" ref="B459">(PRODUCT(1+sp500_monthly!B460:B579)^(1/120)-1)*100</f>
        <v>0.45933378986575679</v>
      </c>
      <c r="C459" cm="1">
        <f t="array" ref="C459">(PRODUCT(1+sp500_monthly!C460:C579)^(1/120)-1)*100</f>
        <v>0.19090186203305493</v>
      </c>
      <c r="D459" cm="1">
        <f t="array" ref="D459">(PRODUCT(1+sp500_monthly!D460:D579)^(1/120)-1)*100</f>
        <v>0.61606948097743253</v>
      </c>
      <c r="E459" cm="1">
        <f t="array" ref="E459">(PRODUCT(1+sp500_monthly!E460:E579)^(1/120)-1)*100</f>
        <v>0.33481369992374166</v>
      </c>
      <c r="F459" cm="1">
        <f t="array" ref="F459">(PRODUCT(1+sp500_monthly!K460:K579)^(1/120)-1)*100</f>
        <v>0.18845645385567877</v>
      </c>
      <c r="G459" cm="1">
        <f t="array" ref="G459">(PRODUCT(1+sp500_monthly!L460:L579)^(1/120)-1)</f>
        <v>0.40445308914391531</v>
      </c>
      <c r="H459" cm="1">
        <f t="array" ref="H459">(PRODUCT(1+sp500_monthly!N460:N579)^(1/120)-1)*100</f>
        <v>0.11348528597270313</v>
      </c>
      <c r="I459" cm="1">
        <f t="array" ref="I459">(PRODUCT(1+sp500_monthly!O460:O579)^(1/120)-1)*100</f>
        <v>6.2768059561890688E-2</v>
      </c>
    </row>
    <row r="460" spans="1:9" x14ac:dyDescent="0.35">
      <c r="A460" s="1">
        <v>27117</v>
      </c>
      <c r="B460" cm="1">
        <f t="array" ref="B460">(PRODUCT(1+sp500_monthly!B461:B580)^(1/120)-1)*100</f>
        <v>0.4468760582103215</v>
      </c>
      <c r="C460" cm="1">
        <f t="array" ref="C460">(PRODUCT(1+sp500_monthly!C461:C580)^(1/120)-1)*100</f>
        <v>0.17771145239109387</v>
      </c>
      <c r="D460" cm="1">
        <f t="array" ref="D460">(PRODUCT(1+sp500_monthly!D461:D580)^(1/120)-1)*100</f>
        <v>0.6054303959355245</v>
      </c>
      <c r="E460" cm="1">
        <f t="array" ref="E460">(PRODUCT(1+sp500_monthly!E461:E580)^(1/120)-1)*100</f>
        <v>0.32345903674193544</v>
      </c>
      <c r="F460" cm="1">
        <f t="array" ref="F460">(PRODUCT(1+sp500_monthly!K461:K580)^(1/120)-1)*100</f>
        <v>0.17722993010542698</v>
      </c>
      <c r="G460" cm="1">
        <f t="array" ref="G460">(PRODUCT(1+sp500_monthly!L461:L580)^(1/120)-1)</f>
        <v>0.40710430645534368</v>
      </c>
      <c r="H460" cm="1">
        <f t="array" ref="H460">(PRODUCT(1+sp500_monthly!N461:N580)^(1/120)-1)*100</f>
        <v>9.1396823901201962E-2</v>
      </c>
      <c r="I460" cm="1">
        <f t="array" ref="I460">(PRODUCT(1+sp500_monthly!O461:O580)^(1/120)-1)*100</f>
        <v>5.5755103815435803E-2</v>
      </c>
    </row>
    <row r="461" spans="1:9" x14ac:dyDescent="0.35">
      <c r="A461" s="1">
        <v>27149</v>
      </c>
      <c r="B461" cm="1">
        <f t="array" ref="B461">(PRODUCT(1+sp500_monthly!B462:B581)^(1/120)-1)*100</f>
        <v>0.41411500721066918</v>
      </c>
      <c r="C461" cm="1">
        <f t="array" ref="C461">(PRODUCT(1+sp500_monthly!C462:C581)^(1/120)-1)*100</f>
        <v>0.14506174008992456</v>
      </c>
      <c r="D461" cm="1">
        <f t="array" ref="D461">(PRODUCT(1+sp500_monthly!D462:D581)^(1/120)-1)*100</f>
        <v>0.56087291417024066</v>
      </c>
      <c r="E461" cm="1">
        <f t="array" ref="E461">(PRODUCT(1+sp500_monthly!E462:E581)^(1/120)-1)*100</f>
        <v>0.27840109460808282</v>
      </c>
      <c r="F461" cm="1">
        <f t="array" ref="F461">(PRODUCT(1+sp500_monthly!K462:K581)^(1/120)-1)*100</f>
        <v>0.14500443425666809</v>
      </c>
      <c r="G461" cm="1">
        <f t="array" ref="G461">(PRODUCT(1+sp500_monthly!L462:L581)^(1/120)-1)</f>
        <v>0.40915382250496402</v>
      </c>
      <c r="H461" cm="1">
        <f t="array" ref="H461">(PRODUCT(1+sp500_monthly!N462:N581)^(1/120)-1)*100</f>
        <v>5.079297756254153E-2</v>
      </c>
      <c r="I461" cm="1">
        <f t="array" ref="I461">(PRODUCT(1+sp500_monthly!O462:O581)^(1/120)-1)*100</f>
        <v>4.9871930336387038E-2</v>
      </c>
    </row>
    <row r="462" spans="1:9" x14ac:dyDescent="0.35">
      <c r="A462" s="1">
        <v>27180</v>
      </c>
      <c r="B462" cm="1">
        <f t="array" ref="B462">(PRODUCT(1+sp500_monthly!B463:B582)^(1/120)-1)*100</f>
        <v>0.37684407407780895</v>
      </c>
      <c r="C462" cm="1">
        <f t="array" ref="C462">(PRODUCT(1+sp500_monthly!C463:C582)^(1/120)-1)*100</f>
        <v>0.10714938346170211</v>
      </c>
      <c r="D462" cm="1">
        <f t="array" ref="D462">(PRODUCT(1+sp500_monthly!D463:D582)^(1/120)-1)*100</f>
        <v>0.51208553670993862</v>
      </c>
      <c r="E462" cm="1">
        <f t="array" ref="E462">(PRODUCT(1+sp500_monthly!E463:E582)^(1/120)-1)*100</f>
        <v>0.22854921750214974</v>
      </c>
      <c r="F462" cm="1">
        <f t="array" ref="F462">(PRODUCT(1+sp500_monthly!K463:K582)^(1/120)-1)*100</f>
        <v>0.1067125094683874</v>
      </c>
      <c r="G462" cm="1">
        <f t="array" ref="G462">(PRODUCT(1+sp500_monthly!L463:L582)^(1/120)-1)</f>
        <v>0.41273966611718405</v>
      </c>
      <c r="H462" cm="1">
        <f t="array" ref="H462">(PRODUCT(1+sp500_monthly!N463:N582)^(1/120)-1)*100</f>
        <v>8.7118601190594447E-3</v>
      </c>
      <c r="I462" cm="1">
        <f t="array" ref="I462">(PRODUCT(1+sp500_monthly!O463:O582)^(1/120)-1)*100</f>
        <v>4.8740396110291684E-2</v>
      </c>
    </row>
    <row r="463" spans="1:9" x14ac:dyDescent="0.35">
      <c r="A463" s="1">
        <v>27208</v>
      </c>
      <c r="B463" cm="1">
        <f t="array" ref="B463">(PRODUCT(1+sp500_monthly!B464:B583)^(1/120)-1)*100</f>
        <v>0.34009655812599071</v>
      </c>
      <c r="C463" cm="1">
        <f t="array" ref="C463">(PRODUCT(1+sp500_monthly!C464:C583)^(1/120)-1)*100</f>
        <v>6.9547060752128687E-2</v>
      </c>
      <c r="D463" cm="1">
        <f t="array" ref="D463">(PRODUCT(1+sp500_monthly!D464:D583)^(1/120)-1)*100</f>
        <v>0.44345819254967278</v>
      </c>
      <c r="E463" cm="1">
        <f t="array" ref="E463">(PRODUCT(1+sp500_monthly!E464:E583)^(1/120)-1)*100</f>
        <v>0.15830959798923683</v>
      </c>
      <c r="F463" cm="1">
        <f t="array" ref="F463">(PRODUCT(1+sp500_monthly!K464:K583)^(1/120)-1)*100</f>
        <v>6.8751175214187832E-2</v>
      </c>
      <c r="G463" cm="1">
        <f t="array" ref="G463">(PRODUCT(1+sp500_monthly!L464:L583)^(1/120)-1)</f>
        <v>0.41661238726710881</v>
      </c>
      <c r="H463" cm="1">
        <f t="array" ref="H463">(PRODUCT(1+sp500_monthly!N464:N583)^(1/120)-1)*100</f>
        <v>-3.5708831780545403E-2</v>
      </c>
      <c r="I463" cm="1">
        <f t="array" ref="I463">(PRODUCT(1+sp500_monthly!O464:O583)^(1/120)-1)*100</f>
        <v>4.4991032313412838E-2</v>
      </c>
    </row>
    <row r="464" spans="1:9" x14ac:dyDescent="0.35">
      <c r="A464" s="1">
        <v>27241</v>
      </c>
      <c r="B464" cm="1">
        <f t="array" ref="B464">(PRODUCT(1+sp500_monthly!B465:B584)^(1/120)-1)*100</f>
        <v>0.31432813005642934</v>
      </c>
      <c r="C464" cm="1">
        <f t="array" ref="C464">(PRODUCT(1+sp500_monthly!C465:C584)^(1/120)-1)*100</f>
        <v>4.3423842750933694E-2</v>
      </c>
      <c r="D464" cm="1">
        <f t="array" ref="D464">(PRODUCT(1+sp500_monthly!D465:D584)^(1/120)-1)*100</f>
        <v>0.40244943615330708</v>
      </c>
      <c r="E464" cm="1">
        <f t="array" ref="E464">(PRODUCT(1+sp500_monthly!E465:E584)^(1/120)-1)*100</f>
        <v>0.11624478561651497</v>
      </c>
      <c r="F464" cm="1">
        <f t="array" ref="F464">(PRODUCT(1+sp500_monthly!K465:K584)^(1/120)-1)*100</f>
        <v>4.2849914504028419E-2</v>
      </c>
      <c r="G464" cm="1">
        <f t="array" ref="G464">(PRODUCT(1+sp500_monthly!L465:L584)^(1/120)-1)</f>
        <v>0.41906571331966935</v>
      </c>
      <c r="H464" cm="1">
        <f t="array" ref="H464">(PRODUCT(1+sp500_monthly!N465:N584)^(1/120)-1)*100</f>
        <v>-6.7400927562955015E-2</v>
      </c>
      <c r="I464" cm="1">
        <f t="array" ref="I464">(PRODUCT(1+sp500_monthly!O465:O584)^(1/120)-1)*100</f>
        <v>4.1454248964090112E-2</v>
      </c>
    </row>
    <row r="465" spans="1:9" x14ac:dyDescent="0.35">
      <c r="A465" s="1">
        <v>27271</v>
      </c>
      <c r="B465" cm="1">
        <f t="array" ref="B465">(PRODUCT(1+sp500_monthly!B466:B585)^(1/120)-1)*100</f>
        <v>0.23199356445495756</v>
      </c>
      <c r="C465" cm="1">
        <f t="array" ref="C465">(PRODUCT(1+sp500_monthly!C466:C585)^(1/120)-1)*100</f>
        <v>-3.9532974644029828E-2</v>
      </c>
      <c r="D465" cm="1">
        <f t="array" ref="D465">(PRODUCT(1+sp500_monthly!D466:D585)^(1/120)-1)*100</f>
        <v>0.34119400018186585</v>
      </c>
      <c r="E465" cm="1">
        <f t="array" ref="E465">(PRODUCT(1+sp500_monthly!E466:E585)^(1/120)-1)*100</f>
        <v>5.3814749681269092E-2</v>
      </c>
      <c r="F465" cm="1">
        <f t="array" ref="F465">(PRODUCT(1+sp500_monthly!K466:K585)^(1/120)-1)*100</f>
        <v>-3.9700586275159822E-2</v>
      </c>
      <c r="G465" cm="1">
        <f t="array" ref="G465">(PRODUCT(1+sp500_monthly!L466:L585)^(1/120)-1)</f>
        <v>0.42224163047695185</v>
      </c>
      <c r="H465" cm="1">
        <f t="array" ref="H465">(PRODUCT(1+sp500_monthly!N466:N585)^(1/120)-1)*100</f>
        <v>-0.15423266686948045</v>
      </c>
      <c r="I465" cm="1">
        <f t="array" ref="I465">(PRODUCT(1+sp500_monthly!O466:O585)^(1/120)-1)*100</f>
        <v>3.9952593366465727E-2</v>
      </c>
    </row>
    <row r="466" spans="1:9" x14ac:dyDescent="0.35">
      <c r="A466" s="1">
        <v>27302</v>
      </c>
      <c r="B466" cm="1">
        <f t="array" ref="B466">(PRODUCT(1+sp500_monthly!B467:B586)^(1/120)-1)*100</f>
        <v>0.17015141350791296</v>
      </c>
      <c r="C466" cm="1">
        <f t="array" ref="C466">(PRODUCT(1+sp500_monthly!C467:C586)^(1/120)-1)*100</f>
        <v>-0.10415538840793381</v>
      </c>
      <c r="D466" cm="1">
        <f t="array" ref="D466">(PRODUCT(1+sp500_monthly!D467:D586)^(1/120)-1)*100</f>
        <v>0.27121569545653923</v>
      </c>
      <c r="E466" cm="1">
        <f t="array" ref="E466">(PRODUCT(1+sp500_monthly!E467:E586)^(1/120)-1)*100</f>
        <v>-1.9120698171493089E-2</v>
      </c>
      <c r="F466" cm="1">
        <f t="array" ref="F466">(PRODUCT(1+sp500_monthly!K467:K586)^(1/120)-1)*100</f>
        <v>-0.10486525596413721</v>
      </c>
      <c r="G466" cm="1">
        <f t="array" ref="G466">(PRODUCT(1+sp500_monthly!L467:L586)^(1/120)-1)</f>
        <v>0.42488879135325286</v>
      </c>
      <c r="H466" cm="1">
        <f t="array" ref="H466">(PRODUCT(1+sp500_monthly!N467:N586)^(1/120)-1)*100</f>
        <v>-0.22509129740896361</v>
      </c>
      <c r="I466" cm="1">
        <f t="array" ref="I466">(PRODUCT(1+sp500_monthly!O467:O586)^(1/120)-1)*100</f>
        <v>3.3329928711367529E-2</v>
      </c>
    </row>
    <row r="467" spans="1:9" x14ac:dyDescent="0.35">
      <c r="A467" s="1">
        <v>27333</v>
      </c>
      <c r="B467" cm="1">
        <f t="array" ref="B467">(PRODUCT(1+sp500_monthly!B468:B587)^(1/120)-1)*100</f>
        <v>4.0885958756109453E-2</v>
      </c>
      <c r="C467" cm="1">
        <f t="array" ref="C467">(PRODUCT(1+sp500_monthly!C468:C587)^(1/120)-1)*100</f>
        <v>-0.23390466487689388</v>
      </c>
      <c r="D467" cm="1">
        <f t="array" ref="D467">(PRODUCT(1+sp500_monthly!D468:D587)^(1/120)-1)*100</f>
        <v>0.17296034697276141</v>
      </c>
      <c r="E467" cm="1">
        <f t="array" ref="E467">(PRODUCT(1+sp500_monthly!E468:E587)^(1/120)-1)*100</f>
        <v>-0.11885970863002582</v>
      </c>
      <c r="F467" cm="1">
        <f t="array" ref="F467">(PRODUCT(1+sp500_monthly!K468:K587)^(1/120)-1)*100</f>
        <v>-0.23413853008651397</v>
      </c>
      <c r="G467" cm="1">
        <f t="array" ref="G467">(PRODUCT(1+sp500_monthly!L468:L587)^(1/120)-1)</f>
        <v>0.42900870782826006</v>
      </c>
      <c r="H467" cm="1">
        <f t="array" ref="H467">(PRODUCT(1+sp500_monthly!N468:N587)^(1/120)-1)*100</f>
        <v>-0.36461194341859127</v>
      </c>
      <c r="I467" cm="1">
        <f t="array" ref="I467">(PRODUCT(1+sp500_monthly!O468:O587)^(1/120)-1)*100</f>
        <v>2.6916686881239826E-2</v>
      </c>
    </row>
    <row r="468" spans="1:9" x14ac:dyDescent="0.35">
      <c r="A468" s="1">
        <v>27362</v>
      </c>
      <c r="B468" cm="1">
        <f t="array" ref="B468">(PRODUCT(1+sp500_monthly!B469:B588)^(1/120)-1)*100</f>
        <v>0.16324623984809161</v>
      </c>
      <c r="C468" cm="1">
        <f t="array" ref="C468">(PRODUCT(1+sp500_monthly!C469:C588)^(1/120)-1)*100</f>
        <v>-0.11326121331123318</v>
      </c>
      <c r="D468" cm="1">
        <f t="array" ref="D468">(PRODUCT(1+sp500_monthly!D469:D588)^(1/120)-1)*100</f>
        <v>0.26635629726547982</v>
      </c>
      <c r="E468" cm="1">
        <f t="array" ref="E468">(PRODUCT(1+sp500_monthly!E469:E588)^(1/120)-1)*100</f>
        <v>-2.7541002613873378E-2</v>
      </c>
      <c r="F468" cm="1">
        <f t="array" ref="F468">(PRODUCT(1+sp500_monthly!K469:K588)^(1/120)-1)*100</f>
        <v>-0.11518189609309726</v>
      </c>
      <c r="G468" cm="1">
        <f t="array" ref="G468">(PRODUCT(1+sp500_monthly!L469:L588)^(1/120)-1)</f>
        <v>0.43088512480447627</v>
      </c>
      <c r="H468" cm="1">
        <f t="array" ref="H468">(PRODUCT(1+sp500_monthly!N469:N588)^(1/120)-1)*100</f>
        <v>-0.24822405316881069</v>
      </c>
      <c r="I468" cm="1">
        <f t="array" ref="I468">(PRODUCT(1+sp500_monthly!O469:O588)^(1/120)-1)*100</f>
        <v>2.3251895588916049E-2</v>
      </c>
    </row>
    <row r="469" spans="1:9" x14ac:dyDescent="0.35">
      <c r="A469" s="1">
        <v>27394</v>
      </c>
      <c r="B469" cm="1">
        <f t="array" ref="B469">(PRODUCT(1+sp500_monthly!B470:B589)^(1/120)-1)*100</f>
        <v>0.12288746490964897</v>
      </c>
      <c r="C469" cm="1">
        <f t="array" ref="C469">(PRODUCT(1+sp500_monthly!C470:C589)^(1/120)-1)*100</f>
        <v>-0.1554708114336889</v>
      </c>
      <c r="D469" cm="1">
        <f t="array" ref="D469">(PRODUCT(1+sp500_monthly!D470:D589)^(1/120)-1)*100</f>
        <v>0.23212177383549193</v>
      </c>
      <c r="E469" cm="1">
        <f t="array" ref="E469">(PRODUCT(1+sp500_monthly!E470:E589)^(1/120)-1)*100</f>
        <v>-6.5021358185834988E-2</v>
      </c>
      <c r="F469" cm="1">
        <f t="array" ref="F469">(PRODUCT(1+sp500_monthly!K470:K589)^(1/120)-1)*100</f>
        <v>-0.15633244559561943</v>
      </c>
      <c r="G469" cm="1">
        <f t="array" ref="G469">(PRODUCT(1+sp500_monthly!L470:L589)^(1/120)-1)</f>
        <v>0.43299891186002082</v>
      </c>
      <c r="H469" cm="1">
        <f t="array" ref="H469">(PRODUCT(1+sp500_monthly!N470:N589)^(1/120)-1)*100</f>
        <v>-0.29412396154562259</v>
      </c>
      <c r="I469" cm="1">
        <f t="array" ref="I469">(PRODUCT(1+sp500_monthly!O470:O589)^(1/120)-1)*100</f>
        <v>1.960223973547226E-2</v>
      </c>
    </row>
    <row r="470" spans="1:9" x14ac:dyDescent="0.35">
      <c r="A470" s="1">
        <v>27425</v>
      </c>
      <c r="B470" cm="1">
        <f t="array" ref="B470">(PRODUCT(1+sp500_monthly!B471:B590)^(1/120)-1)*100</f>
        <v>0.10336562451167541</v>
      </c>
      <c r="C470" cm="1">
        <f t="array" ref="C470">(PRODUCT(1+sp500_monthly!C471:C590)^(1/120)-1)*100</f>
        <v>-0.17569540657860205</v>
      </c>
      <c r="D470" cm="1">
        <f t="array" ref="D470">(PRODUCT(1+sp500_monthly!D471:D590)^(1/120)-1)*100</f>
        <v>0.20950429162032158</v>
      </c>
      <c r="E470" cm="1">
        <f t="array" ref="E470">(PRODUCT(1+sp500_monthly!E471:E590)^(1/120)-1)*100</f>
        <v>-8.9228907465410678E-2</v>
      </c>
      <c r="F470" cm="1">
        <f t="array" ref="F470">(PRODUCT(1+sp500_monthly!K471:K590)^(1/120)-1)*100</f>
        <v>-0.17651395327132891</v>
      </c>
      <c r="G470" cm="1">
        <f t="array" ref="G470">(PRODUCT(1+sp500_monthly!L471:L590)^(1/120)-1)</f>
        <v>0.43611430271678442</v>
      </c>
      <c r="H470" cm="1">
        <f t="array" ref="H470">(PRODUCT(1+sp500_monthly!N471:N590)^(1/120)-1)*100</f>
        <v>-0.31892761459081376</v>
      </c>
      <c r="I470" cm="1">
        <f t="array" ref="I470">(PRODUCT(1+sp500_monthly!O471:O590)^(1/120)-1)*100</f>
        <v>1.7455380544029175E-2</v>
      </c>
    </row>
    <row r="471" spans="1:9" x14ac:dyDescent="0.35">
      <c r="A471" s="1">
        <v>27453</v>
      </c>
      <c r="B471" cm="1">
        <f t="array" ref="B471">(PRODUCT(1+sp500_monthly!B472:B591)^(1/120)-1)*100</f>
        <v>0.17208283374687827</v>
      </c>
      <c r="C471" cm="1">
        <f t="array" ref="C471">(PRODUCT(1+sp500_monthly!C472:C591)^(1/120)-1)*100</f>
        <v>-0.10781969370800004</v>
      </c>
      <c r="D471" cm="1">
        <f t="array" ref="D471">(PRODUCT(1+sp500_monthly!D472:D591)^(1/120)-1)*100</f>
        <v>0.33732823447800708</v>
      </c>
      <c r="E471" cm="1">
        <f t="array" ref="E471">(PRODUCT(1+sp500_monthly!E472:E591)^(1/120)-1)*100</f>
        <v>3.7289403243745411E-2</v>
      </c>
      <c r="F471" cm="1">
        <f t="array" ref="F471">(PRODUCT(1+sp500_monthly!K472:K591)^(1/120)-1)*100</f>
        <v>-0.10726397222694528</v>
      </c>
      <c r="G471" cm="1">
        <f t="array" ref="G471">(PRODUCT(1+sp500_monthly!L472:L591)^(1/120)-1)</f>
        <v>0.43863647387594851</v>
      </c>
      <c r="H471" cm="1">
        <f t="array" ref="H471">(PRODUCT(1+sp500_monthly!N472:N591)^(1/120)-1)*100</f>
        <v>-0.25608448143519258</v>
      </c>
      <c r="I471" cm="1">
        <f t="array" ref="I471">(PRODUCT(1+sp500_monthly!O472:O591)^(1/120)-1)*100</f>
        <v>1.4345816224725638E-2</v>
      </c>
    </row>
    <row r="472" spans="1:9" x14ac:dyDescent="0.35">
      <c r="A472" s="1">
        <v>27484</v>
      </c>
      <c r="B472" cm="1">
        <f t="array" ref="B472">(PRODUCT(1+sp500_monthly!B473:B592)^(1/120)-1)*100</f>
        <v>0.22347009181500344</v>
      </c>
      <c r="C472" cm="1">
        <f t="array" ref="C472">(PRODUCT(1+sp500_monthly!C473:C592)^(1/120)-1)*100</f>
        <v>-5.8987430516743711E-2</v>
      </c>
      <c r="D472" cm="1">
        <f t="array" ref="D472">(PRODUCT(1+sp500_monthly!D473:D592)^(1/120)-1)*100</f>
        <v>0.35502515156311532</v>
      </c>
      <c r="E472" cm="1">
        <f t="array" ref="E472">(PRODUCT(1+sp500_monthly!E473:E592)^(1/120)-1)*100</f>
        <v>5.2755730838627279E-2</v>
      </c>
      <c r="F472" cm="1">
        <f t="array" ref="F472">(PRODUCT(1+sp500_monthly!K473:K592)^(1/120)-1)*100</f>
        <v>-5.7598731025099159E-2</v>
      </c>
      <c r="G472" cm="1">
        <f t="array" ref="G472">(PRODUCT(1+sp500_monthly!L473:L592)^(1/120)-1)</f>
        <v>0.43977956694253195</v>
      </c>
      <c r="H472" cm="1">
        <f t="array" ref="H472">(PRODUCT(1+sp500_monthly!N473:N592)^(1/120)-1)*100</f>
        <v>-0.20967344542957012</v>
      </c>
      <c r="I472" cm="1">
        <f t="array" ref="I472">(PRODUCT(1+sp500_monthly!O473:O592)^(1/120)-1)*100</f>
        <v>1.0658291736942438E-2</v>
      </c>
    </row>
    <row r="473" spans="1:9" x14ac:dyDescent="0.35">
      <c r="A473" s="1">
        <v>27514</v>
      </c>
      <c r="B473" cm="1">
        <f t="array" ref="B473">(PRODUCT(1+sp500_monthly!B474:B593)^(1/120)-1)*100</f>
        <v>0.2535570071392268</v>
      </c>
      <c r="C473" cm="1">
        <f t="array" ref="C473">(PRODUCT(1+sp500_monthly!C474:C593)^(1/120)-1)*100</f>
        <v>-2.9283578787897557E-2</v>
      </c>
      <c r="D473" cm="1">
        <f t="array" ref="D473">(PRODUCT(1+sp500_monthly!D474:D593)^(1/120)-1)*100</f>
        <v>0.40900743680005736</v>
      </c>
      <c r="E473" cm="1">
        <f t="array" ref="E473">(PRODUCT(1+sp500_monthly!E474:E593)^(1/120)-1)*100</f>
        <v>0.10549926588705461</v>
      </c>
      <c r="F473" cm="1">
        <f t="array" ref="F473">(PRODUCT(1+sp500_monthly!K474:K593)^(1/120)-1)*100</f>
        <v>-2.7532726751400283E-2</v>
      </c>
      <c r="G473" cm="1">
        <f t="array" ref="G473">(PRODUCT(1+sp500_monthly!L474:L593)^(1/120)-1)</f>
        <v>0.44021282585055954</v>
      </c>
      <c r="H473" cm="1">
        <f t="array" ref="H473">(PRODUCT(1+sp500_monthly!N474:N593)^(1/120)-1)*100</f>
        <v>-0.1820759926191462</v>
      </c>
      <c r="I473" cm="1">
        <f t="array" ref="I473">(PRODUCT(1+sp500_monthly!O474:O593)^(1/120)-1)*100</f>
        <v>8.7094622711614278E-3</v>
      </c>
    </row>
    <row r="474" spans="1:9" x14ac:dyDescent="0.35">
      <c r="A474" s="1">
        <v>27544</v>
      </c>
      <c r="B474" cm="1">
        <f t="array" ref="B474">(PRODUCT(1+sp500_monthly!B475:B594)^(1/120)-1)*100</f>
        <v>0.26462635101784926</v>
      </c>
      <c r="C474" cm="1">
        <f t="array" ref="C474">(PRODUCT(1+sp500_monthly!C475:C594)^(1/120)-1)*100</f>
        <v>-1.9260573412083204E-2</v>
      </c>
      <c r="D474" cm="1">
        <f t="array" ref="D474">(PRODUCT(1+sp500_monthly!D475:D594)^(1/120)-1)*100</f>
        <v>0.41824197306847832</v>
      </c>
      <c r="E474" cm="1">
        <f t="array" ref="E474">(PRODUCT(1+sp500_monthly!E475:E594)^(1/120)-1)*100</f>
        <v>0.11364646285192403</v>
      </c>
      <c r="F474" cm="1">
        <f t="array" ref="F474">(PRODUCT(1+sp500_monthly!K475:K594)^(1/120)-1)*100</f>
        <v>-1.7104960142744208E-2</v>
      </c>
      <c r="G474" cm="1">
        <f t="array" ref="G474">(PRODUCT(1+sp500_monthly!L475:L594)^(1/120)-1)</f>
        <v>0.44134883316609086</v>
      </c>
      <c r="H474" cm="1">
        <f t="array" ref="H474">(PRODUCT(1+sp500_monthly!N475:N594)^(1/120)-1)*100</f>
        <v>-0.17234212667945892</v>
      </c>
      <c r="I474" cm="1">
        <f t="array" ref="I474">(PRODUCT(1+sp500_monthly!O475:O594)^(1/120)-1)*100</f>
        <v>8.4991379430077174E-3</v>
      </c>
    </row>
    <row r="475" spans="1:9" x14ac:dyDescent="0.35">
      <c r="A475" s="1">
        <v>27575</v>
      </c>
      <c r="B475" cm="1">
        <f t="array" ref="B475">(PRODUCT(1+sp500_monthly!B476:B595)^(1/120)-1)*100</f>
        <v>0.30896363817969341</v>
      </c>
      <c r="C475" cm="1">
        <f t="array" ref="C475">(PRODUCT(1+sp500_monthly!C476:C595)^(1/120)-1)*100</f>
        <v>2.4247866672544305E-2</v>
      </c>
      <c r="D475" cm="1">
        <f t="array" ref="D475">(PRODUCT(1+sp500_monthly!D476:D595)^(1/120)-1)*100</f>
        <v>0.47169124095378656</v>
      </c>
      <c r="E475" cm="1">
        <f t="array" ref="E475">(PRODUCT(1+sp500_monthly!E476:E595)^(1/120)-1)*100</f>
        <v>0.16546921724822639</v>
      </c>
      <c r="F475" cm="1">
        <f t="array" ref="F475">(PRODUCT(1+sp500_monthly!K476:K595)^(1/120)-1)*100</f>
        <v>2.5337920256207624E-2</v>
      </c>
      <c r="G475" cm="1">
        <f t="array" ref="G475">(PRODUCT(1+sp500_monthly!L476:L595)^(1/120)-1)</f>
        <v>0.44248573653850909</v>
      </c>
      <c r="H475" cm="1">
        <f t="array" ref="H475">(PRODUCT(1+sp500_monthly!N476:N595)^(1/120)-1)*100</f>
        <v>-0.12711889627742279</v>
      </c>
      <c r="I475" cm="1">
        <f t="array" ref="I475">(PRODUCT(1+sp500_monthly!O476:O595)^(1/120)-1)*100</f>
        <v>1.0659182289329827E-2</v>
      </c>
    </row>
    <row r="476" spans="1:9" x14ac:dyDescent="0.35">
      <c r="A476" s="1">
        <v>27606</v>
      </c>
      <c r="B476" cm="1">
        <f t="array" ref="B476">(PRODUCT(1+sp500_monthly!B477:B596)^(1/120)-1)*100</f>
        <v>0.38689896689350078</v>
      </c>
      <c r="C476" cm="1">
        <f t="array" ref="C476">(PRODUCT(1+sp500_monthly!C477:C596)^(1/120)-1)*100</f>
        <v>0.10176571083255759</v>
      </c>
      <c r="D476" cm="1">
        <f t="array" ref="D476">(PRODUCT(1+sp500_monthly!D477:D596)^(1/120)-1)*100</f>
        <v>0.5823562959647699</v>
      </c>
      <c r="E476" cm="1">
        <f t="array" ref="E476">(PRODUCT(1+sp500_monthly!E477:E596)^(1/120)-1)*100</f>
        <v>0.27534839136933442</v>
      </c>
      <c r="F476" cm="1">
        <f t="array" ref="F476">(PRODUCT(1+sp500_monthly!K477:K596)^(1/120)-1)*100</f>
        <v>0.10307376092113518</v>
      </c>
      <c r="G476" cm="1">
        <f t="array" ref="G476">(PRODUCT(1+sp500_monthly!L477:L596)^(1/120)-1)</f>
        <v>0.443008553375281</v>
      </c>
      <c r="H476" cm="1">
        <f t="array" ref="H476">(PRODUCT(1+sp500_monthly!N477:N596)^(1/120)-1)*100</f>
        <v>-5.2340632807923448E-2</v>
      </c>
      <c r="I476" cm="1">
        <f t="array" ref="I476">(PRODUCT(1+sp500_monthly!O477:O596)^(1/120)-1)*100</f>
        <v>8.3373831736954784E-3</v>
      </c>
    </row>
    <row r="477" spans="1:9" x14ac:dyDescent="0.35">
      <c r="A477" s="1">
        <v>27635</v>
      </c>
      <c r="B477" cm="1">
        <f t="array" ref="B477">(PRODUCT(1+sp500_monthly!B478:B597)^(1/120)-1)*100</f>
        <v>0.3182159960320341</v>
      </c>
      <c r="C477" cm="1">
        <f t="array" ref="C477">(PRODUCT(1+sp500_monthly!C478:C597)^(1/120)-1)*100</f>
        <v>3.2112231145187131E-2</v>
      </c>
      <c r="D477" cm="1">
        <f t="array" ref="D477">(PRODUCT(1+sp500_monthly!D478:D597)^(1/120)-1)*100</f>
        <v>0.51480160500767536</v>
      </c>
      <c r="E477" cm="1">
        <f t="array" ref="E477">(PRODUCT(1+sp500_monthly!E478:E597)^(1/120)-1)*100</f>
        <v>0.2070115725599786</v>
      </c>
      <c r="F477" cm="1">
        <f t="array" ref="F477">(PRODUCT(1+sp500_monthly!K478:K597)^(1/120)-1)*100</f>
        <v>3.3530575192086687E-2</v>
      </c>
      <c r="G477" cm="1">
        <f t="array" ref="G477">(PRODUCT(1+sp500_monthly!L478:L597)^(1/120)-1)</f>
        <v>0.44447653804330933</v>
      </c>
      <c r="H477" cm="1">
        <f t="array" ref="H477">(PRODUCT(1+sp500_monthly!N478:N597)^(1/120)-1)*100</f>
        <v>-0.12925566378721998</v>
      </c>
      <c r="I477" cm="1">
        <f t="array" ref="I477">(PRODUCT(1+sp500_monthly!O478:O597)^(1/120)-1)*100</f>
        <v>1.2048776936168792E-3</v>
      </c>
    </row>
    <row r="478" spans="1:9" x14ac:dyDescent="0.35">
      <c r="A478" s="1">
        <v>27667</v>
      </c>
      <c r="B478" cm="1">
        <f t="array" ref="B478">(PRODUCT(1+sp500_monthly!B479:B598)^(1/120)-1)*100</f>
        <v>0.28229678560303118</v>
      </c>
      <c r="C478" cm="1">
        <f t="array" ref="C478">(PRODUCT(1+sp500_monthly!C479:C598)^(1/120)-1)*100</f>
        <v>-4.7218108809032877E-3</v>
      </c>
      <c r="D478" cm="1">
        <f t="array" ref="D478">(PRODUCT(1+sp500_monthly!D479:D598)^(1/120)-1)*100</f>
        <v>0.45633653212542313</v>
      </c>
      <c r="E478" cm="1">
        <f t="array" ref="E478">(PRODUCT(1+sp500_monthly!E479:E598)^(1/120)-1)*100</f>
        <v>0.14775943807403547</v>
      </c>
      <c r="F478" cm="1">
        <f t="array" ref="F478">(PRODUCT(1+sp500_monthly!K479:K598)^(1/120)-1)*100</f>
        <v>-2.7810606567202356E-3</v>
      </c>
      <c r="G478" cm="1">
        <f t="array" ref="G478">(PRODUCT(1+sp500_monthly!L479:L598)^(1/120)-1)</f>
        <v>0.44576345519596949</v>
      </c>
      <c r="H478" cm="1">
        <f t="array" ref="H478">(PRODUCT(1+sp500_monthly!N479:N598)^(1/120)-1)*100</f>
        <v>-0.16888092509225183</v>
      </c>
      <c r="I478" cm="1">
        <f t="array" ref="I478">(PRODUCT(1+sp500_monthly!O479:O598)^(1/120)-1)*100</f>
        <v>-1.4228960577455929E-3</v>
      </c>
    </row>
    <row r="479" spans="1:9" x14ac:dyDescent="0.35">
      <c r="A479" s="1">
        <v>27698</v>
      </c>
      <c r="B479" cm="1">
        <f t="array" ref="B479">(PRODUCT(1+sp500_monthly!B480:B599)^(1/120)-1)*100</f>
        <v>0.22748833553005721</v>
      </c>
      <c r="C479" cm="1">
        <f t="array" ref="C479">(PRODUCT(1+sp500_monthly!C480:C599)^(1/120)-1)*100</f>
        <v>-6.0001446661539504E-2</v>
      </c>
      <c r="D479" cm="1">
        <f t="array" ref="D479">(PRODUCT(1+sp500_monthly!D480:D599)^(1/120)-1)*100</f>
        <v>0.4009979268953634</v>
      </c>
      <c r="E479" cm="1">
        <f t="array" ref="E479">(PRODUCT(1+sp500_monthly!E480:E599)^(1/120)-1)*100</f>
        <v>9.1413671988038736E-2</v>
      </c>
      <c r="F479" cm="1">
        <f t="array" ref="F479">(PRODUCT(1+sp500_monthly!K480:K599)^(1/120)-1)*100</f>
        <v>-5.8400581747763969E-2</v>
      </c>
      <c r="G479" cm="1">
        <f t="array" ref="G479">(PRODUCT(1+sp500_monthly!L480:L599)^(1/120)-1)</f>
        <v>0.44763500871971917</v>
      </c>
      <c r="H479" cm="1">
        <f t="array" ref="H479">(PRODUCT(1+sp500_monthly!N480:N599)^(1/120)-1)*100</f>
        <v>-0.22771374123036203</v>
      </c>
      <c r="I479" cm="1">
        <f t="array" ref="I479">(PRODUCT(1+sp500_monthly!O480:O599)^(1/120)-1)*100</f>
        <v>-3.8777743177398349E-3</v>
      </c>
    </row>
    <row r="480" spans="1:9" x14ac:dyDescent="0.35">
      <c r="A480" s="1">
        <v>27726</v>
      </c>
      <c r="B480" cm="1">
        <f t="array" ref="B480">(PRODUCT(1+sp500_monthly!B481:B600)^(1/120)-1)*100</f>
        <v>0.25625265749702475</v>
      </c>
      <c r="C480" cm="1">
        <f t="array" ref="C480">(PRODUCT(1+sp500_monthly!C481:C600)^(1/120)-1)*100</f>
        <v>-3.2579366788332287E-2</v>
      </c>
      <c r="D480" cm="1">
        <f t="array" ref="D480">(PRODUCT(1+sp500_monthly!D481:D600)^(1/120)-1)*100</f>
        <v>0.40816916779773393</v>
      </c>
      <c r="E480" cm="1">
        <f t="array" ref="E480">(PRODUCT(1+sp500_monthly!E481:E600)^(1/120)-1)*100</f>
        <v>9.7231548578213811E-2</v>
      </c>
      <c r="F480" cm="1">
        <f t="array" ref="F480">(PRODUCT(1+sp500_monthly!K481:K600)^(1/120)-1)*100</f>
        <v>-3.1046234783382864E-2</v>
      </c>
      <c r="G480" cm="1">
        <f t="array" ref="G480">(PRODUCT(1+sp500_monthly!L481:L600)^(1/120)-1)</f>
        <v>0.4497435597139503</v>
      </c>
      <c r="H480" cm="1">
        <f t="array" ref="H480">(PRODUCT(1+sp500_monthly!N481:N600)^(1/120)-1)*100</f>
        <v>-0.20284842700515338</v>
      </c>
      <c r="I480" cm="1">
        <f t="array" ref="I480">(PRODUCT(1+sp500_monthly!O481:O600)^(1/120)-1)*100</f>
        <v>-5.5793401620207739E-3</v>
      </c>
    </row>
    <row r="481" spans="1:9" x14ac:dyDescent="0.35">
      <c r="A481" s="1">
        <v>27759</v>
      </c>
      <c r="B481" cm="1">
        <f t="array" ref="B481">(PRODUCT(1+sp500_monthly!B482:B601)^(1/120)-1)*100</f>
        <v>0.28422264315934864</v>
      </c>
      <c r="C481" cm="1">
        <f t="array" ref="C481">(PRODUCT(1+sp500_monthly!C482:C601)^(1/120)-1)*100</f>
        <v>-4.1911747675427158E-3</v>
      </c>
      <c r="D481" cm="1">
        <f t="array" ref="D481">(PRODUCT(1+sp500_monthly!D482:D601)^(1/120)-1)*100</f>
        <v>0.42032279355235236</v>
      </c>
      <c r="E481" cm="1">
        <f t="array" ref="E481">(PRODUCT(1+sp500_monthly!E482:E601)^(1/120)-1)*100</f>
        <v>0.10924221496910747</v>
      </c>
      <c r="F481" cm="1">
        <f t="array" ref="F481">(PRODUCT(1+sp500_monthly!K482:K601)^(1/120)-1)*100</f>
        <v>-3.3757284203406179E-3</v>
      </c>
      <c r="G481" cm="1">
        <f t="array" ref="G481">(PRODUCT(1+sp500_monthly!L482:L601)^(1/120)-1)</f>
        <v>0.45026900708775885</v>
      </c>
      <c r="H481" cm="1">
        <f t="array" ref="H481">(PRODUCT(1+sp500_monthly!N482:N601)^(1/120)-1)*100</f>
        <v>-0.17842129795891948</v>
      </c>
      <c r="I481" cm="1">
        <f t="array" ref="I481">(PRODUCT(1+sp500_monthly!O482:O601)^(1/120)-1)*100</f>
        <v>-8.5018465649455699E-3</v>
      </c>
    </row>
    <row r="482" spans="1:9" x14ac:dyDescent="0.35">
      <c r="A482" s="1">
        <v>27789</v>
      </c>
      <c r="B482" cm="1">
        <f t="array" ref="B482">(PRODUCT(1+sp500_monthly!B483:B602)^(1/120)-1)*100</f>
        <v>0.26681132837544919</v>
      </c>
      <c r="C482" cm="1">
        <f t="array" ref="C482">(PRODUCT(1+sp500_monthly!C483:C602)^(1/120)-1)*100</f>
        <v>-2.201420133697285E-2</v>
      </c>
      <c r="D482" cm="1">
        <f t="array" ref="D482">(PRODUCT(1+sp500_monthly!D483:D602)^(1/120)-1)*100</f>
        <v>0.39534556740148386</v>
      </c>
      <c r="E482" cm="1">
        <f t="array" ref="E482">(PRODUCT(1+sp500_monthly!E483:E602)^(1/120)-1)*100</f>
        <v>8.3283168747039227E-2</v>
      </c>
      <c r="F482" cm="1">
        <f t="array" ref="F482">(PRODUCT(1+sp500_monthly!K483:K602)^(1/120)-1)*100</f>
        <v>-2.0445284010528475E-2</v>
      </c>
      <c r="G482" cm="1">
        <f t="array" ref="G482">(PRODUCT(1+sp500_monthly!L483:L602)^(1/120)-1)</f>
        <v>0.45156108488344304</v>
      </c>
      <c r="H482" cm="1">
        <f t="array" ref="H482">(PRODUCT(1+sp500_monthly!N483:N602)^(1/120)-1)*100</f>
        <v>-0.19763660503949732</v>
      </c>
      <c r="I482" cm="1">
        <f t="array" ref="I482">(PRODUCT(1+sp500_monthly!O483:O602)^(1/120)-1)*100</f>
        <v>-9.1448617131062448E-3</v>
      </c>
    </row>
    <row r="483" spans="1:9" x14ac:dyDescent="0.35">
      <c r="A483" s="1">
        <v>27817</v>
      </c>
      <c r="B483" cm="1">
        <f t="array" ref="B483">(PRODUCT(1+sp500_monthly!B484:B603)^(1/120)-1)*100</f>
        <v>0.35689769368056901</v>
      </c>
      <c r="C483" cm="1">
        <f t="array" ref="C483">(PRODUCT(1+sp500_monthly!C484:C603)^(1/120)-1)*100</f>
        <v>6.7311496772637369E-2</v>
      </c>
      <c r="D483" cm="1">
        <f t="array" ref="D483">(PRODUCT(1+sp500_monthly!D484:D603)^(1/120)-1)*100</f>
        <v>0.49169073193968682</v>
      </c>
      <c r="E483" cm="1">
        <f t="array" ref="E483">(PRODUCT(1+sp500_monthly!E484:E603)^(1/120)-1)*100</f>
        <v>0.17877814483155952</v>
      </c>
      <c r="F483" cm="1">
        <f t="array" ref="F483">(PRODUCT(1+sp500_monthly!K484:K603)^(1/120)-1)*100</f>
        <v>6.8707764941611238E-2</v>
      </c>
      <c r="G483" cm="1">
        <f t="array" ref="G483">(PRODUCT(1+sp500_monthly!L484:L603)^(1/120)-1)</f>
        <v>0.45232551972458745</v>
      </c>
      <c r="H483" cm="1">
        <f t="array" ref="H483">(PRODUCT(1+sp500_monthly!N484:N603)^(1/120)-1)*100</f>
        <v>-0.11017278623719484</v>
      </c>
      <c r="I483" cm="1">
        <f t="array" ref="I483">(PRODUCT(1+sp500_monthly!O484:O603)^(1/120)-1)*100</f>
        <v>-1.0605554935216865E-2</v>
      </c>
    </row>
    <row r="484" spans="1:9" x14ac:dyDescent="0.35">
      <c r="A484" s="1">
        <v>27850</v>
      </c>
      <c r="B484" cm="1">
        <f t="array" ref="B484">(PRODUCT(1+sp500_monthly!B485:B604)^(1/120)-1)*100</f>
        <v>0.36280165388586916</v>
      </c>
      <c r="C484" cm="1">
        <f t="array" ref="C484">(PRODUCT(1+sp500_monthly!C485:C604)^(1/120)-1)*100</f>
        <v>7.2328123259213228E-2</v>
      </c>
      <c r="D484" cm="1">
        <f t="array" ref="D484">(PRODUCT(1+sp500_monthly!D485:D604)^(1/120)-1)*100</f>
        <v>0.51834088906927978</v>
      </c>
      <c r="E484" cm="1">
        <f t="array" ref="E484">(PRODUCT(1+sp500_monthly!E485:E604)^(1/120)-1)*100</f>
        <v>0.20483712274541599</v>
      </c>
      <c r="F484" cm="1">
        <f t="array" ref="F484">(PRODUCT(1+sp500_monthly!K485:K604)^(1/120)-1)*100</f>
        <v>7.4184299841384416E-2</v>
      </c>
      <c r="G484" cm="1">
        <f t="array" ref="G484">(PRODUCT(1+sp500_monthly!L485:L604)^(1/120)-1)</f>
        <v>0.45223553910383263</v>
      </c>
      <c r="H484" cm="1">
        <f t="array" ref="H484">(PRODUCT(1+sp500_monthly!N485:N604)^(1/120)-1)*100</f>
        <v>-0.10058059858244484</v>
      </c>
      <c r="I484" cm="1">
        <f t="array" ref="I484">(PRODUCT(1+sp500_monthly!O485:O604)^(1/120)-1)*100</f>
        <v>-6.9694060593428198E-3</v>
      </c>
    </row>
    <row r="485" spans="1:9" x14ac:dyDescent="0.35">
      <c r="A485" s="1">
        <v>27880</v>
      </c>
      <c r="B485" cm="1">
        <f t="array" ref="B485">(PRODUCT(1+sp500_monthly!B486:B605)^(1/120)-1)*100</f>
        <v>0.40917096315498114</v>
      </c>
      <c r="C485" cm="1">
        <f t="array" ref="C485">(PRODUCT(1+sp500_monthly!C486:C605)^(1/120)-1)*100</f>
        <v>0.11840323335985392</v>
      </c>
      <c r="D485" cm="1">
        <f t="array" ref="D485">(PRODUCT(1+sp500_monthly!D486:D605)^(1/120)-1)*100</f>
        <v>0.55461127654503617</v>
      </c>
      <c r="E485" cm="1">
        <f t="array" ref="E485">(PRODUCT(1+sp500_monthly!E486:E605)^(1/120)-1)*100</f>
        <v>0.240470555040595</v>
      </c>
      <c r="F485" cm="1">
        <f t="array" ref="F485">(PRODUCT(1+sp500_monthly!K486:K605)^(1/120)-1)*100</f>
        <v>0.11779610200191026</v>
      </c>
      <c r="G485" cm="1">
        <f t="array" ref="G485">(PRODUCT(1+sp500_monthly!L486:L605)^(1/120)-1)</f>
        <v>0.45240968150975269</v>
      </c>
      <c r="H485" cm="1">
        <f t="array" ref="H485">(PRODUCT(1+sp500_monthly!N486:N605)^(1/120)-1)*100</f>
        <v>-5.3321767955205601E-2</v>
      </c>
      <c r="I485" cm="1">
        <f t="array" ref="I485">(PRODUCT(1+sp500_monthly!O486:O605)^(1/120)-1)*100</f>
        <v>-5.699260667479944E-3</v>
      </c>
    </row>
    <row r="486" spans="1:9" x14ac:dyDescent="0.35">
      <c r="A486" s="1">
        <v>27908</v>
      </c>
      <c r="B486" cm="1">
        <f t="array" ref="B486">(PRODUCT(1+sp500_monthly!B487:B606)^(1/120)-1)*100</f>
        <v>0.3827563228729236</v>
      </c>
      <c r="C486" cm="1">
        <f t="array" ref="C486">(PRODUCT(1+sp500_monthly!C487:C606)^(1/120)-1)*100</f>
        <v>9.1888706316067825E-2</v>
      </c>
      <c r="D486" cm="1">
        <f t="array" ref="D486">(PRODUCT(1+sp500_monthly!D487:D606)^(1/120)-1)*100</f>
        <v>0.5265967888299139</v>
      </c>
      <c r="E486" cm="1">
        <f t="array" ref="E486">(PRODUCT(1+sp500_monthly!E487:E606)^(1/120)-1)*100</f>
        <v>0.21195150841974986</v>
      </c>
      <c r="F486" cm="1">
        <f t="array" ref="F486">(PRODUCT(1+sp500_monthly!K487:K606)^(1/120)-1)*100</f>
        <v>9.1637559912394195E-2</v>
      </c>
      <c r="G486" cm="1">
        <f t="array" ref="G486">(PRODUCT(1+sp500_monthly!L487:L606)^(1/120)-1)</f>
        <v>0.45311169489885228</v>
      </c>
      <c r="H486" cm="1">
        <f t="array" ref="H486">(PRODUCT(1+sp500_monthly!N487:N606)^(1/120)-1)*100</f>
        <v>-7.8516792360494581E-2</v>
      </c>
      <c r="I486" cm="1">
        <f t="array" ref="I486">(PRODUCT(1+sp500_monthly!O487:O606)^(1/120)-1)*100</f>
        <v>-3.9363859417496094E-3</v>
      </c>
    </row>
    <row r="487" spans="1:9" x14ac:dyDescent="0.35">
      <c r="A487" s="1">
        <v>27941</v>
      </c>
      <c r="B487" cm="1">
        <f t="array" ref="B487">(PRODUCT(1+sp500_monthly!B488:B607)^(1/120)-1)*100</f>
        <v>0.41809670932386744</v>
      </c>
      <c r="C487" cm="1">
        <f t="array" ref="C487">(PRODUCT(1+sp500_monthly!C488:C607)^(1/120)-1)*100</f>
        <v>0.12613827410583589</v>
      </c>
      <c r="D487" cm="1">
        <f t="array" ref="D487">(PRODUCT(1+sp500_monthly!D488:D607)^(1/120)-1)*100</f>
        <v>0.57107658304278441</v>
      </c>
      <c r="E487" cm="1">
        <f t="array" ref="E487">(PRODUCT(1+sp500_monthly!E488:E607)^(1/120)-1)*100</f>
        <v>0.25596721910194908</v>
      </c>
      <c r="F487" cm="1">
        <f t="array" ref="F487">(PRODUCT(1+sp500_monthly!K488:K607)^(1/120)-1)*100</f>
        <v>0.12600204055979169</v>
      </c>
      <c r="G487" cm="1">
        <f t="array" ref="G487">(PRODUCT(1+sp500_monthly!L488:L607)^(1/120)-1)</f>
        <v>0.45276324460106099</v>
      </c>
      <c r="H487" cm="1">
        <f t="array" ref="H487">(PRODUCT(1+sp500_monthly!N488:N607)^(1/120)-1)*100</f>
        <v>-4.5976928404145578E-2</v>
      </c>
      <c r="I487" cm="1">
        <f t="array" ref="I487">(PRODUCT(1+sp500_monthly!O488:O607)^(1/120)-1)*100</f>
        <v>-6.9075702490262181E-3</v>
      </c>
    </row>
    <row r="488" spans="1:9" x14ac:dyDescent="0.35">
      <c r="A488" s="1">
        <v>27971</v>
      </c>
      <c r="B488" cm="1">
        <f t="array" ref="B488">(PRODUCT(1+sp500_monthly!B489:B608)^(1/120)-1)*100</f>
        <v>0.46622910416818097</v>
      </c>
      <c r="C488" cm="1">
        <f t="array" ref="C488">(PRODUCT(1+sp500_monthly!C489:C608)^(1/120)-1)*100</f>
        <v>0.1739811159719773</v>
      </c>
      <c r="D488" cm="1">
        <f t="array" ref="D488">(PRODUCT(1+sp500_monthly!D489:D608)^(1/120)-1)*100</f>
        <v>0.62416633778843433</v>
      </c>
      <c r="E488" cm="1">
        <f t="array" ref="E488">(PRODUCT(1+sp500_monthly!E489:E608)^(1/120)-1)*100</f>
        <v>0.3084174773687165</v>
      </c>
      <c r="F488" cm="1">
        <f t="array" ref="F488">(PRODUCT(1+sp500_monthly!K489:K608)^(1/120)-1)*100</f>
        <v>0.17305590820997363</v>
      </c>
      <c r="G488" cm="1">
        <f t="array" ref="G488">(PRODUCT(1+sp500_monthly!L489:L608)^(1/120)-1)</f>
        <v>0.45319418531189726</v>
      </c>
      <c r="H488" cm="1">
        <f t="array" ref="H488">(PRODUCT(1+sp500_monthly!N489:N608)^(1/120)-1)*100</f>
        <v>-1.7154147108344731E-3</v>
      </c>
      <c r="I488" cm="1">
        <f t="array" ref="I488">(PRODUCT(1+sp500_monthly!O489:O608)^(1/120)-1)*100</f>
        <v>-1.0140746081443996E-2</v>
      </c>
    </row>
    <row r="489" spans="1:9" x14ac:dyDescent="0.35">
      <c r="A489" s="1">
        <v>28003</v>
      </c>
      <c r="B489" cm="1">
        <f t="array" ref="B489">(PRODUCT(1+sp500_monthly!B490:B609)^(1/120)-1)*100</f>
        <v>0.47039443410665793</v>
      </c>
      <c r="C489" cm="1">
        <f t="array" ref="C489">(PRODUCT(1+sp500_monthly!C490:C609)^(1/120)-1)*100</f>
        <v>0.17785025732943716</v>
      </c>
      <c r="D489" cm="1">
        <f t="array" ref="D489">(PRODUCT(1+sp500_monthly!D490:D609)^(1/120)-1)*100</f>
        <v>0.62922159994298621</v>
      </c>
      <c r="E489" cm="1">
        <f t="array" ref="E489">(PRODUCT(1+sp500_monthly!E490:E609)^(1/120)-1)*100</f>
        <v>0.31324919948727548</v>
      </c>
      <c r="F489" cm="1">
        <f t="array" ref="F489">(PRODUCT(1+sp500_monthly!K490:K609)^(1/120)-1)*100</f>
        <v>0.17761112662870726</v>
      </c>
      <c r="G489" cm="1">
        <f t="array" ref="G489">(PRODUCT(1+sp500_monthly!L490:L609)^(1/120)-1)</f>
        <v>0.454225808246004</v>
      </c>
      <c r="H489" cm="1">
        <f t="array" ref="H489">(PRODUCT(1+sp500_monthly!N490:N609)^(1/120)-1)*100</f>
        <v>-1.6748364894958456E-4</v>
      </c>
      <c r="I489" cm="1">
        <f t="array" ref="I489">(PRODUCT(1+sp500_monthly!O490:O609)^(1/120)-1)*100</f>
        <v>-1.1742622430277461E-2</v>
      </c>
    </row>
    <row r="490" spans="1:9" x14ac:dyDescent="0.35">
      <c r="A490" s="1">
        <v>28033</v>
      </c>
      <c r="B490" cm="1">
        <f t="array" ref="B490">(PRODUCT(1+sp500_monthly!B491:B610)^(1/120)-1)*100</f>
        <v>0.53399907725286688</v>
      </c>
      <c r="C490" cm="1">
        <f t="array" ref="C490">(PRODUCT(1+sp500_monthly!C491:C610)^(1/120)-1)*100</f>
        <v>0.24103177292098543</v>
      </c>
      <c r="D490" cm="1">
        <f t="array" ref="D490">(PRODUCT(1+sp500_monthly!D491:D610)^(1/120)-1)*100</f>
        <v>0.69650835972925318</v>
      </c>
      <c r="E490" cm="1">
        <f t="array" ref="E490">(PRODUCT(1+sp500_monthly!E491:E610)^(1/120)-1)*100</f>
        <v>0.38059939500494355</v>
      </c>
      <c r="F490" cm="1">
        <f t="array" ref="F490">(PRODUCT(1+sp500_monthly!K491:K610)^(1/120)-1)*100</f>
        <v>0.24091235825605128</v>
      </c>
      <c r="G490" cm="1">
        <f t="array" ref="G490">(PRODUCT(1+sp500_monthly!L491:L610)^(1/120)-1)</f>
        <v>0.45431145457602495</v>
      </c>
      <c r="H490" cm="1">
        <f t="array" ref="H490">(PRODUCT(1+sp500_monthly!N491:N610)^(1/120)-1)*100</f>
        <v>6.3885615862746548E-2</v>
      </c>
      <c r="I490" cm="1">
        <f t="array" ref="I490">(PRODUCT(1+sp500_monthly!O491:O610)^(1/120)-1)*100</f>
        <v>-1.0913846825388873E-2</v>
      </c>
    </row>
    <row r="491" spans="1:9" x14ac:dyDescent="0.35">
      <c r="A491" s="1">
        <v>28062</v>
      </c>
      <c r="B491" cm="1">
        <f t="array" ref="B491">(PRODUCT(1+sp500_monthly!B492:B611)^(1/120)-1)*100</f>
        <v>0.55946350058444505</v>
      </c>
      <c r="C491" cm="1">
        <f t="array" ref="C491">(PRODUCT(1+sp500_monthly!C492:C611)^(1/120)-1)*100</f>
        <v>0.26621096295982305</v>
      </c>
      <c r="D491" cm="1">
        <f t="array" ref="D491">(PRODUCT(1+sp500_monthly!D492:D611)^(1/120)-1)*100</f>
        <v>0.72419709490636475</v>
      </c>
      <c r="E491" cm="1">
        <f t="array" ref="E491">(PRODUCT(1+sp500_monthly!E492:E611)^(1/120)-1)*100</f>
        <v>0.40807228746253532</v>
      </c>
      <c r="F491" cm="1">
        <f t="array" ref="F491">(PRODUCT(1+sp500_monthly!K492:K611)^(1/120)-1)*100</f>
        <v>0.26548871166329757</v>
      </c>
      <c r="G491" cm="1">
        <f t="array" ref="G491">(PRODUCT(1+sp500_monthly!L492:L611)^(1/120)-1)</f>
        <v>0.45465290489558674</v>
      </c>
      <c r="H491" cm="1">
        <f t="array" ref="H491">(PRODUCT(1+sp500_monthly!N492:N611)^(1/120)-1)*100</f>
        <v>8.7426172618609854E-2</v>
      </c>
      <c r="I491" cm="1">
        <f t="array" ref="I491">(PRODUCT(1+sp500_monthly!O492:O611)^(1/120)-1)*100</f>
        <v>-1.2384934258158342E-2</v>
      </c>
    </row>
    <row r="492" spans="1:9" x14ac:dyDescent="0.35">
      <c r="A492" s="1">
        <v>28094</v>
      </c>
      <c r="B492" cm="1">
        <f t="array" ref="B492">(PRODUCT(1+sp500_monthly!B493:B612)^(1/120)-1)*100</f>
        <v>0.50281477473776981</v>
      </c>
      <c r="C492" cm="1">
        <f t="array" ref="C492">(PRODUCT(1+sp500_monthly!C493:C612)^(1/120)-1)*100</f>
        <v>0.20907346357781353</v>
      </c>
      <c r="D492" cm="1">
        <f t="array" ref="D492">(PRODUCT(1+sp500_monthly!D493:D612)^(1/120)-1)*100</f>
        <v>0.68231618455296683</v>
      </c>
      <c r="E492" cm="1">
        <f t="array" ref="E492">(PRODUCT(1+sp500_monthly!E493:E612)^(1/120)-1)*100</f>
        <v>0.36593489831842074</v>
      </c>
      <c r="F492" cm="1">
        <f t="array" ref="F492">(PRODUCT(1+sp500_monthly!K493:K612)^(1/120)-1)*100</f>
        <v>0.20790749074204307</v>
      </c>
      <c r="G492" cm="1">
        <f t="array" ref="G492">(PRODUCT(1+sp500_monthly!L493:L612)^(1/120)-1)</f>
        <v>0.45431384237468708</v>
      </c>
      <c r="H492" cm="1">
        <f t="array" ref="H492">(PRODUCT(1+sp500_monthly!N493:N612)^(1/120)-1)*100</f>
        <v>2.9254461342631544E-2</v>
      </c>
      <c r="I492" cm="1">
        <f t="array" ref="I492">(PRODUCT(1+sp500_monthly!O493:O612)^(1/120)-1)*100</f>
        <v>-1.4504917020763397E-2</v>
      </c>
    </row>
    <row r="493" spans="1:9" x14ac:dyDescent="0.35">
      <c r="A493" s="1">
        <v>28125</v>
      </c>
      <c r="B493" cm="1">
        <f t="array" ref="B493">(PRODUCT(1+sp500_monthly!B494:B613)^(1/120)-1)*100</f>
        <v>0.4925958065976177</v>
      </c>
      <c r="C493" cm="1">
        <f t="array" ref="C493">(PRODUCT(1+sp500_monthly!C494:C613)^(1/120)-1)*100</f>
        <v>0.19871951475163296</v>
      </c>
      <c r="D493" cm="1">
        <f t="array" ref="D493">(PRODUCT(1+sp500_monthly!D494:D613)^(1/120)-1)*100</f>
        <v>0.67726940087371457</v>
      </c>
      <c r="E493" cm="1">
        <f t="array" ref="E493">(PRODUCT(1+sp500_monthly!E494:E613)^(1/120)-1)*100</f>
        <v>0.36142082119450247</v>
      </c>
      <c r="F493" cm="1">
        <f t="array" ref="F493">(PRODUCT(1+sp500_monthly!K494:K613)^(1/120)-1)*100</f>
        <v>0.19879104420339466</v>
      </c>
      <c r="G493" cm="1">
        <f t="array" ref="G493">(PRODUCT(1+sp500_monthly!L494:L613)^(1/120)-1)</f>
        <v>0.45431384237468708</v>
      </c>
      <c r="H493" cm="1">
        <f t="array" ref="H493">(PRODUCT(1+sp500_monthly!N494:N613)^(1/120)-1)*100</f>
        <v>1.6970384830261587E-2</v>
      </c>
      <c r="I493" cm="1">
        <f t="array" ref="I493">(PRODUCT(1+sp500_monthly!O494:O613)^(1/120)-1)*100</f>
        <v>-1.6617466582924401E-2</v>
      </c>
    </row>
    <row r="494" spans="1:9" x14ac:dyDescent="0.35">
      <c r="A494" s="1">
        <v>28156</v>
      </c>
      <c r="B494" cm="1">
        <f t="array" ref="B494">(PRODUCT(1+sp500_monthly!B495:B614)^(1/120)-1)*100</f>
        <v>0.53619644477034267</v>
      </c>
      <c r="C494" cm="1">
        <f t="array" ref="C494">(PRODUCT(1+sp500_monthly!C495:C614)^(1/120)-1)*100</f>
        <v>0.24210183271820007</v>
      </c>
      <c r="D494" cm="1">
        <f t="array" ref="D494">(PRODUCT(1+sp500_monthly!D495:D614)^(1/120)-1)*100</f>
        <v>0.72755376122519699</v>
      </c>
      <c r="E494" cm="1">
        <f t="array" ref="E494">(PRODUCT(1+sp500_monthly!E495:E614)^(1/120)-1)*100</f>
        <v>0.41171532448855963</v>
      </c>
      <c r="F494" cm="1">
        <f t="array" ref="F494">(PRODUCT(1+sp500_monthly!K495:K614)^(1/120)-1)*100</f>
        <v>0.24277084567942975</v>
      </c>
      <c r="G494" cm="1">
        <f t="array" ref="G494">(PRODUCT(1+sp500_monthly!L495:L614)^(1/120)-1)</f>
        <v>0.45431384237468708</v>
      </c>
      <c r="H494" cm="1">
        <f t="array" ref="H494">(PRODUCT(1+sp500_monthly!N495:N614)^(1/120)-1)*100</f>
        <v>5.7084054785372373E-2</v>
      </c>
      <c r="I494" cm="1">
        <f t="array" ref="I494">(PRODUCT(1+sp500_monthly!O495:O614)^(1/120)-1)*100</f>
        <v>-1.9895551638982045E-2</v>
      </c>
    </row>
    <row r="495" spans="1:9" x14ac:dyDescent="0.35">
      <c r="A495" s="1">
        <v>28184</v>
      </c>
      <c r="B495" cm="1">
        <f t="array" ref="B495">(PRODUCT(1+sp500_monthly!B496:B615)^(1/120)-1)*100</f>
        <v>0.42971544073664436</v>
      </c>
      <c r="C495" cm="1">
        <f t="array" ref="C495">(PRODUCT(1+sp500_monthly!C496:C615)^(1/120)-1)*100</f>
        <v>0.13575717787230879</v>
      </c>
      <c r="D495" cm="1">
        <f t="array" ref="D495">(PRODUCT(1+sp500_monthly!D496:D615)^(1/120)-1)*100</f>
        <v>0.60050034626029092</v>
      </c>
      <c r="E495" cm="1">
        <f t="array" ref="E495">(PRODUCT(1+sp500_monthly!E496:E615)^(1/120)-1)*100</f>
        <v>0.2848919267335992</v>
      </c>
      <c r="F495" cm="1">
        <f t="array" ref="F495">(PRODUCT(1+sp500_monthly!K496:K615)^(1/120)-1)*100</f>
        <v>0.13663328813304787</v>
      </c>
      <c r="G495" cm="1">
        <f t="array" ref="G495">(PRODUCT(1+sp500_monthly!L496:L615)^(1/120)-1)</f>
        <v>0.45370570589106141</v>
      </c>
      <c r="H495" cm="1">
        <f t="array" ref="H495">(PRODUCT(1+sp500_monthly!N496:N615)^(1/120)-1)*100</f>
        <v>-5.366335320483584E-2</v>
      </c>
      <c r="I495" cm="1">
        <f t="array" ref="I495">(PRODUCT(1+sp500_monthly!O496:O615)^(1/120)-1)*100</f>
        <v>-2.5251676414139723E-2</v>
      </c>
    </row>
    <row r="496" spans="1:9" x14ac:dyDescent="0.35">
      <c r="A496" s="1">
        <v>28215</v>
      </c>
      <c r="B496" cm="1">
        <f t="array" ref="B496">(PRODUCT(1+sp500_monthly!B497:B616)^(1/120)-1)*100</f>
        <v>0.41026118196287875</v>
      </c>
      <c r="C496" cm="1">
        <f t="array" ref="C496">(PRODUCT(1+sp500_monthly!C497:C616)^(1/120)-1)*100</f>
        <v>0.11483786012964625</v>
      </c>
      <c r="D496" cm="1">
        <f t="array" ref="D496">(PRODUCT(1+sp500_monthly!D497:D616)^(1/120)-1)*100</f>
        <v>0.5769957232505174</v>
      </c>
      <c r="E496" cm="1">
        <f t="array" ref="E496">(PRODUCT(1+sp500_monthly!E497:E616)^(1/120)-1)*100</f>
        <v>0.26102672158878626</v>
      </c>
      <c r="F496" cm="1">
        <f t="array" ref="F496">(PRODUCT(1+sp500_monthly!K497:K616)^(1/120)-1)*100</f>
        <v>0.11672552028509919</v>
      </c>
      <c r="G496" cm="1">
        <f t="array" ref="G496">(PRODUCT(1+sp500_monthly!L497:L616)^(1/120)-1)</f>
        <v>0.45361630443948542</v>
      </c>
      <c r="H496" cm="1">
        <f t="array" ref="H496">(PRODUCT(1+sp500_monthly!N497:N616)^(1/120)-1)*100</f>
        <v>-7.896502117583637E-2</v>
      </c>
      <c r="I496" cm="1">
        <f t="array" ref="I496">(PRODUCT(1+sp500_monthly!O497:O616)^(1/120)-1)*100</f>
        <v>-3.1278573862525416E-2</v>
      </c>
    </row>
    <row r="497" spans="1:9" x14ac:dyDescent="0.35">
      <c r="A497" s="1">
        <v>28244</v>
      </c>
      <c r="B497" cm="1">
        <f t="array" ref="B497">(PRODUCT(1+sp500_monthly!B498:B617)^(1/120)-1)*100</f>
        <v>0.36601160406468658</v>
      </c>
      <c r="C497" cm="1">
        <f t="array" ref="C497">(PRODUCT(1+sp500_monthly!C498:C617)^(1/120)-1)*100</f>
        <v>7.0265800687652202E-2</v>
      </c>
      <c r="D497" cm="1">
        <f t="array" ref="D497">(PRODUCT(1+sp500_monthly!D498:D617)^(1/120)-1)*100</f>
        <v>0.53629983005862858</v>
      </c>
      <c r="E497" cm="1">
        <f t="array" ref="E497">(PRODUCT(1+sp500_monthly!E498:E617)^(1/120)-1)*100</f>
        <v>0.21988491593498694</v>
      </c>
      <c r="F497" cm="1">
        <f t="array" ref="F497">(PRODUCT(1+sp500_monthly!K498:K617)^(1/120)-1)*100</f>
        <v>7.2702594422979772E-2</v>
      </c>
      <c r="G497" cm="1">
        <f t="array" ref="G497">(PRODUCT(1+sp500_monthly!L498:L617)^(1/120)-1)</f>
        <v>0.45352884481920941</v>
      </c>
      <c r="H497" cm="1">
        <f t="array" ref="H497">(PRODUCT(1+sp500_monthly!N498:N617)^(1/120)-1)*100</f>
        <v>-0.12719896574830969</v>
      </c>
      <c r="I497" cm="1">
        <f t="array" ref="I497">(PRODUCT(1+sp500_monthly!O498:O617)^(1/120)-1)*100</f>
        <v>-3.5565377768520534E-2</v>
      </c>
    </row>
    <row r="498" spans="1:9" x14ac:dyDescent="0.35">
      <c r="A498" s="1">
        <v>28276</v>
      </c>
      <c r="B498" cm="1">
        <f t="array" ref="B498">(PRODUCT(1+sp500_monthly!B499:B618)^(1/120)-1)*100</f>
        <v>0.33104346843888521</v>
      </c>
      <c r="C498" cm="1">
        <f t="array" ref="C498">(PRODUCT(1+sp500_monthly!C499:C618)^(1/120)-1)*100</f>
        <v>3.5108115136806006E-2</v>
      </c>
      <c r="D498" cm="1">
        <f t="array" ref="D498">(PRODUCT(1+sp500_monthly!D499:D618)^(1/120)-1)*100</f>
        <v>0.51219712976031673</v>
      </c>
      <c r="E498" cm="1">
        <f t="array" ref="E498">(PRODUCT(1+sp500_monthly!E499:E618)^(1/120)-1)*100</f>
        <v>0.19548837729530533</v>
      </c>
      <c r="F498" cm="1">
        <f t="array" ref="F498">(PRODUCT(1+sp500_monthly!K499:K618)^(1/120)-1)*100</f>
        <v>3.837662063492786E-2</v>
      </c>
      <c r="G498" cm="1">
        <f t="array" ref="G498">(PRODUCT(1+sp500_monthly!L499:L618)^(1/120)-1)</f>
        <v>0.45406737721685886</v>
      </c>
      <c r="H498" cm="1">
        <f t="array" ref="H498">(PRODUCT(1+sp500_monthly!N499:N618)^(1/120)-1)*100</f>
        <v>-0.16504299468805828</v>
      </c>
      <c r="I498" cm="1">
        <f t="array" ref="I498">(PRODUCT(1+sp500_monthly!O499:O618)^(1/120)-1)*100</f>
        <v>-3.8118903224959588E-2</v>
      </c>
    </row>
    <row r="499" spans="1:9" x14ac:dyDescent="0.35">
      <c r="A499" s="1">
        <v>28306</v>
      </c>
      <c r="B499" cm="1">
        <f t="array" ref="B499">(PRODUCT(1+sp500_monthly!B500:B619)^(1/120)-1)*100</f>
        <v>0.35843959817329907</v>
      </c>
      <c r="C499" cm="1">
        <f t="array" ref="C499">(PRODUCT(1+sp500_monthly!C500:C619)^(1/120)-1)*100</f>
        <v>6.0044589054419895E-2</v>
      </c>
      <c r="D499" cm="1">
        <f t="array" ref="D499">(PRODUCT(1+sp500_monthly!D500:D619)^(1/120)-1)*100</f>
        <v>0.52461630539557547</v>
      </c>
      <c r="E499" cm="1">
        <f t="array" ref="E499">(PRODUCT(1+sp500_monthly!E500:E619)^(1/120)-1)*100</f>
        <v>0.20705415989206166</v>
      </c>
      <c r="F499" cm="1">
        <f t="array" ref="F499">(PRODUCT(1+sp500_monthly!K500:K619)^(1/120)-1)*100</f>
        <v>6.3402605727058692E-2</v>
      </c>
      <c r="G499" cm="1">
        <f t="array" ref="G499">(PRODUCT(1+sp500_monthly!L500:L619)^(1/120)-1)</f>
        <v>0.45442647680345782</v>
      </c>
      <c r="H499" cm="1">
        <f t="array" ref="H499">(PRODUCT(1+sp500_monthly!N500:N619)^(1/120)-1)*100</f>
        <v>-0.14055162410273603</v>
      </c>
      <c r="I499" cm="1">
        <f t="array" ref="I499">(PRODUCT(1+sp500_monthly!O500:O619)^(1/120)-1)*100</f>
        <v>-4.0558930637124568E-2</v>
      </c>
    </row>
    <row r="500" spans="1:9" x14ac:dyDescent="0.35">
      <c r="A500" s="1">
        <v>28335</v>
      </c>
      <c r="B500" cm="1">
        <f t="array" ref="B500">(PRODUCT(1+sp500_monthly!B501:B620)^(1/120)-1)*100</f>
        <v>0.38147037530606998</v>
      </c>
      <c r="C500" cm="1">
        <f t="array" ref="C500">(PRODUCT(1+sp500_monthly!C501:C620)^(1/120)-1)*100</f>
        <v>8.2424391670676833E-2</v>
      </c>
      <c r="D500" cm="1">
        <f t="array" ref="D500">(PRODUCT(1+sp500_monthly!D501:D620)^(1/120)-1)*100</f>
        <v>0.53755265311155043</v>
      </c>
      <c r="E500" cm="1">
        <f t="array" ref="E500">(PRODUCT(1+sp500_monthly!E501:E620)^(1/120)-1)*100</f>
        <v>0.21944028758507095</v>
      </c>
      <c r="F500" cm="1">
        <f t="array" ref="F500">(PRODUCT(1+sp500_monthly!K501:K620)^(1/120)-1)*100</f>
        <v>8.5920148181672928E-2</v>
      </c>
      <c r="G500" cm="1">
        <f t="array" ref="G500">(PRODUCT(1+sp500_monthly!L501:L620)^(1/120)-1)</f>
        <v>0.4556081367446505</v>
      </c>
      <c r="H500" cm="1">
        <f t="array" ref="H500">(PRODUCT(1+sp500_monthly!N501:N620)^(1/120)-1)*100</f>
        <v>-0.11675880167588693</v>
      </c>
      <c r="I500" cm="1">
        <f t="array" ref="I500">(PRODUCT(1+sp500_monthly!O501:O620)^(1/120)-1)*100</f>
        <v>-3.8602404014154157E-2</v>
      </c>
    </row>
    <row r="501" spans="1:9" x14ac:dyDescent="0.35">
      <c r="A501" s="1">
        <v>28368</v>
      </c>
      <c r="B501" cm="1">
        <f t="array" ref="B501">(PRODUCT(1+sp500_monthly!B502:B621)^(1/120)-1)*100</f>
        <v>0.33047202425446898</v>
      </c>
      <c r="C501" cm="1">
        <f t="array" ref="C501">(PRODUCT(1+sp500_monthly!C502:C621)^(1/120)-1)*100</f>
        <v>3.1277816570818295E-2</v>
      </c>
      <c r="D501" cm="1">
        <f t="array" ref="D501">(PRODUCT(1+sp500_monthly!D502:D621)^(1/120)-1)*100</f>
        <v>0.46791466363071965</v>
      </c>
      <c r="E501" cm="1">
        <f t="array" ref="E501">(PRODUCT(1+sp500_monthly!E502:E621)^(1/120)-1)*100</f>
        <v>0.14971559580716498</v>
      </c>
      <c r="F501" cm="1">
        <f t="array" ref="F501">(PRODUCT(1+sp500_monthly!K502:K621)^(1/120)-1)*100</f>
        <v>3.5305292979215253E-2</v>
      </c>
      <c r="G501" cm="1">
        <f t="array" ref="G501">(PRODUCT(1+sp500_monthly!L502:L621)^(1/120)-1)</f>
        <v>0.45658650954472391</v>
      </c>
      <c r="H501" cm="1">
        <f t="array" ref="H501">(PRODUCT(1+sp500_monthly!N502:N621)^(1/120)-1)*100</f>
        <v>-0.1691245649103168</v>
      </c>
      <c r="I501" cm="1">
        <f t="array" ref="I501">(PRODUCT(1+sp500_monthly!O502:O621)^(1/120)-1)*100</f>
        <v>-3.9312061799956499E-2</v>
      </c>
    </row>
    <row r="502" spans="1:9" x14ac:dyDescent="0.35">
      <c r="A502" s="1">
        <v>28398</v>
      </c>
      <c r="B502" cm="1">
        <f t="array" ref="B502">(PRODUCT(1+sp500_monthly!B503:B622)^(1/120)-1)*100</f>
        <v>0.32584103900312744</v>
      </c>
      <c r="C502" cm="1">
        <f t="array" ref="C502">(PRODUCT(1+sp500_monthly!C503:C622)^(1/120)-1)*100</f>
        <v>2.4479047440917334E-2</v>
      </c>
      <c r="D502" cm="1">
        <f t="array" ref="D502">(PRODUCT(1+sp500_monthly!D503:D622)^(1/120)-1)*100</f>
        <v>0.45169889279577102</v>
      </c>
      <c r="E502" cm="1">
        <f t="array" ref="E502">(PRODUCT(1+sp500_monthly!E503:E622)^(1/120)-1)*100</f>
        <v>0.13216237069950676</v>
      </c>
      <c r="F502" cm="1">
        <f t="array" ref="F502">(PRODUCT(1+sp500_monthly!K503:K622)^(1/120)-1)*100</f>
        <v>2.7400834638280358E-2</v>
      </c>
      <c r="G502" cm="1">
        <f t="array" ref="G502">(PRODUCT(1+sp500_monthly!L503:L622)^(1/120)-1)</f>
        <v>0.45773543205176392</v>
      </c>
      <c r="H502" cm="1">
        <f t="array" ref="H502">(PRODUCT(1+sp500_monthly!N503:N622)^(1/120)-1)*100</f>
        <v>-0.17534012793750664</v>
      </c>
      <c r="I502" cm="1">
        <f t="array" ref="I502">(PRODUCT(1+sp500_monthly!O503:O622)^(1/120)-1)*100</f>
        <v>-3.9843014048157599E-2</v>
      </c>
    </row>
    <row r="503" spans="1:9" x14ac:dyDescent="0.35">
      <c r="A503" s="1">
        <v>28429</v>
      </c>
      <c r="B503" cm="1">
        <f t="array" ref="B503">(PRODUCT(1+sp500_monthly!B504:B623)^(1/120)-1)*100</f>
        <v>0.29735155631345211</v>
      </c>
      <c r="C503" cm="1">
        <f t="array" ref="C503">(PRODUCT(1+sp500_monthly!C504:C623)^(1/120)-1)*100</f>
        <v>-4.8286261901453464E-3</v>
      </c>
      <c r="D503" cm="1">
        <f t="array" ref="D503">(PRODUCT(1+sp500_monthly!D504:D623)^(1/120)-1)*100</f>
        <v>0.42842076651017358</v>
      </c>
      <c r="E503" cm="1">
        <f t="array" ref="E503">(PRODUCT(1+sp500_monthly!E504:E623)^(1/120)-1)*100</f>
        <v>0.10812097797494591</v>
      </c>
      <c r="F503" cm="1">
        <f t="array" ref="F503">(PRODUCT(1+sp500_monthly!K504:K623)^(1/120)-1)*100</f>
        <v>-1.5546708809544008E-3</v>
      </c>
      <c r="G503" cm="1">
        <f t="array" ref="G503">(PRODUCT(1+sp500_monthly!L504:L623)^(1/120)-1)</f>
        <v>0.45870809883648933</v>
      </c>
      <c r="H503" cm="1">
        <f t="array" ref="H503">(PRODUCT(1+sp500_monthly!N504:N623)^(1/120)-1)*100</f>
        <v>-0.20392625960170552</v>
      </c>
      <c r="I503" cm="1">
        <f t="array" ref="I503">(PRODUCT(1+sp500_monthly!O504:O623)^(1/120)-1)*100</f>
        <v>-3.9169495323543302E-2</v>
      </c>
    </row>
    <row r="504" spans="1:9" x14ac:dyDescent="0.35">
      <c r="A504" s="1">
        <v>28459</v>
      </c>
      <c r="B504" cm="1">
        <f t="array" ref="B504">(PRODUCT(1+sp500_monthly!B505:B624)^(1/120)-1)*100</f>
        <v>0.28476580972645049</v>
      </c>
      <c r="C504" cm="1">
        <f t="array" ref="C504">(PRODUCT(1+sp500_monthly!C505:C624)^(1/120)-1)*100</f>
        <v>-1.7943314356194673E-2</v>
      </c>
      <c r="D504" cm="1">
        <f t="array" ref="D504">(PRODUCT(1+sp500_monthly!D505:D624)^(1/120)-1)*100</f>
        <v>0.43911429076768371</v>
      </c>
      <c r="E504" cm="1">
        <f t="array" ref="E504">(PRODUCT(1+sp500_monthly!E505:E624)^(1/120)-1)*100</f>
        <v>0.11826114911159813</v>
      </c>
      <c r="F504" cm="1">
        <f t="array" ref="F504">(PRODUCT(1+sp500_monthly!K505:K624)^(1/120)-1)*100</f>
        <v>-1.3961820807484315E-2</v>
      </c>
      <c r="G504" cm="1">
        <f t="array" ref="G504">(PRODUCT(1+sp500_monthly!L505:L624)^(1/120)-1)</f>
        <v>0.45955284261329155</v>
      </c>
      <c r="H504" cm="1">
        <f t="array" ref="H504">(PRODUCT(1+sp500_monthly!N505:N624)^(1/120)-1)*100</f>
        <v>-0.21803752642639562</v>
      </c>
      <c r="I504" cm="1">
        <f t="array" ref="I504">(PRODUCT(1+sp500_monthly!O505:O624)^(1/120)-1)*100</f>
        <v>-3.9931392079695094E-2</v>
      </c>
    </row>
    <row r="505" spans="1:9" x14ac:dyDescent="0.35">
      <c r="A505" s="1">
        <v>28489</v>
      </c>
      <c r="B505" cm="1">
        <f t="array" ref="B505">(PRODUCT(1+sp500_monthly!B506:B625)^(1/120)-1)*100</f>
        <v>0.30957127645863114</v>
      </c>
      <c r="C505" cm="1">
        <f t="array" ref="C505">(PRODUCT(1+sp500_monthly!C506:C625)^(1/120)-1)*100</f>
        <v>3.7745698161728569E-3</v>
      </c>
      <c r="D505" cm="1">
        <f t="array" ref="D505">(PRODUCT(1+sp500_monthly!D506:D625)^(1/120)-1)*100</f>
        <v>0.49052673242853118</v>
      </c>
      <c r="E505" cm="1">
        <f t="array" ref="E505">(PRODUCT(1+sp500_monthly!E506:E625)^(1/120)-1)*100</f>
        <v>0.16826725455125757</v>
      </c>
      <c r="F505" cm="1">
        <f t="array" ref="F505">(PRODUCT(1+sp500_monthly!K506:K625)^(1/120)-1)*100</f>
        <v>7.3244651439319242E-3</v>
      </c>
      <c r="G505" cm="1">
        <f t="array" ref="G505">(PRODUCT(1+sp500_monthly!L506:L625)^(1/120)-1)</f>
        <v>0.46074505913433406</v>
      </c>
      <c r="H505" cm="1">
        <f t="array" ref="H505">(PRODUCT(1+sp500_monthly!N506:N625)^(1/120)-1)*100</f>
        <v>-0.1938183135946292</v>
      </c>
      <c r="I505" cm="1">
        <f t="array" ref="I505">(PRODUCT(1+sp500_monthly!O506:O625)^(1/120)-1)*100</f>
        <v>-3.9232778278963654E-2</v>
      </c>
    </row>
    <row r="506" spans="1:9" x14ac:dyDescent="0.35">
      <c r="A506" s="1">
        <v>28521</v>
      </c>
      <c r="B506" cm="1">
        <f t="array" ref="B506">(PRODUCT(1+sp500_monthly!B507:B626)^(1/120)-1)*100</f>
        <v>0.29188131584982902</v>
      </c>
      <c r="C506" cm="1">
        <f t="array" ref="C506">(PRODUCT(1+sp500_monthly!C507:C626)^(1/120)-1)*100</f>
        <v>-1.4472752938421429E-2</v>
      </c>
      <c r="D506" cm="1">
        <f t="array" ref="D506">(PRODUCT(1+sp500_monthly!D507:D626)^(1/120)-1)*100</f>
        <v>0.45447761567269929</v>
      </c>
      <c r="E506" cm="1">
        <f t="array" ref="E506">(PRODUCT(1+sp500_monthly!E507:E626)^(1/120)-1)*100</f>
        <v>0.13161424733274529</v>
      </c>
      <c r="F506" cm="1">
        <f t="array" ref="F506">(PRODUCT(1+sp500_monthly!K507:K626)^(1/120)-1)*100</f>
        <v>-1.1920705714385527E-2</v>
      </c>
      <c r="G506" cm="1">
        <f t="array" ref="G506">(PRODUCT(1+sp500_monthly!L507:L626)^(1/120)-1)</f>
        <v>0.462128518152783</v>
      </c>
      <c r="H506" cm="1">
        <f t="array" ref="H506">(PRODUCT(1+sp500_monthly!N507:N626)^(1/120)-1)*100</f>
        <v>-0.21298411450120236</v>
      </c>
      <c r="I506" cm="1">
        <f t="array" ref="I506">(PRODUCT(1+sp500_monthly!O507:O626)^(1/120)-1)*100</f>
        <v>-3.9472736640899786E-2</v>
      </c>
    </row>
    <row r="507" spans="1:9" x14ac:dyDescent="0.35">
      <c r="A507" s="1">
        <v>28549</v>
      </c>
      <c r="B507" cm="1">
        <f t="array" ref="B507">(PRODUCT(1+sp500_monthly!B508:B627)^(1/120)-1)*100</f>
        <v>0.27534901790589039</v>
      </c>
      <c r="C507" cm="1">
        <f t="array" ref="C507">(PRODUCT(1+sp500_monthly!C508:C627)^(1/120)-1)*100</f>
        <v>-3.1267570814419443E-2</v>
      </c>
      <c r="D507" cm="1">
        <f t="array" ref="D507">(PRODUCT(1+sp500_monthly!D508:D627)^(1/120)-1)*100</f>
        <v>0.4200914500555708</v>
      </c>
      <c r="E507" cm="1">
        <f t="array" ref="E507">(PRODUCT(1+sp500_monthly!E508:E627)^(1/120)-1)*100</f>
        <v>9.7065594898038121E-2</v>
      </c>
      <c r="F507" cm="1">
        <f t="array" ref="F507">(PRODUCT(1+sp500_monthly!K508:K627)^(1/120)-1)*100</f>
        <v>-2.7458443878480843E-2</v>
      </c>
      <c r="G507" cm="1">
        <f t="array" ref="G507">(PRODUCT(1+sp500_monthly!L508:L627)^(1/120)-1)</f>
        <v>0.46288785096329943</v>
      </c>
      <c r="H507" cm="1">
        <f t="array" ref="H507">(PRODUCT(1+sp500_monthly!N508:N627)^(1/120)-1)*100</f>
        <v>-0.23231249505936136</v>
      </c>
      <c r="I507" cm="1">
        <f t="array" ref="I507">(PRODUCT(1+sp500_monthly!O508:O627)^(1/120)-1)*100</f>
        <v>-4.1611160471266562E-2</v>
      </c>
    </row>
    <row r="508" spans="1:9" x14ac:dyDescent="0.35">
      <c r="A508" s="1">
        <v>28580</v>
      </c>
      <c r="B508" cm="1">
        <f t="array" ref="B508">(PRODUCT(1+sp500_monthly!B509:B628)^(1/120)-1)*100</f>
        <v>0.28443670157296541</v>
      </c>
      <c r="C508" cm="1">
        <f t="array" ref="C508">(PRODUCT(1+sp500_monthly!C509:C628)^(1/120)-1)*100</f>
        <v>-2.5235042840754396E-2</v>
      </c>
      <c r="D508" cm="1">
        <f t="array" ref="D508">(PRODUCT(1+sp500_monthly!D509:D628)^(1/120)-1)*100</f>
        <v>0.43783919639459601</v>
      </c>
      <c r="E508" cm="1">
        <f t="array" ref="E508">(PRODUCT(1+sp500_monthly!E509:E628)^(1/120)-1)*100</f>
        <v>0.11305389382274544</v>
      </c>
      <c r="F508" cm="1">
        <f t="array" ref="F508">(PRODUCT(1+sp500_monthly!K509:K628)^(1/120)-1)*100</f>
        <v>-2.1920567719424522E-2</v>
      </c>
      <c r="G508" cm="1">
        <f t="array" ref="G508">(PRODUCT(1+sp500_monthly!L509:L628)^(1/120)-1)</f>
        <v>0.46348693704293242</v>
      </c>
      <c r="H508" cm="1">
        <f t="array" ref="H508">(PRODUCT(1+sp500_monthly!N509:N628)^(1/120)-1)*100</f>
        <v>-0.22480489057595809</v>
      </c>
      <c r="I508" cm="1">
        <f t="array" ref="I508">(PRODUCT(1+sp500_monthly!O509:O628)^(1/120)-1)*100</f>
        <v>-4.2567408952898234E-2</v>
      </c>
    </row>
    <row r="509" spans="1:9" x14ac:dyDescent="0.35">
      <c r="A509" s="1">
        <v>28608</v>
      </c>
      <c r="B509" cm="1">
        <f t="array" ref="B509">(PRODUCT(1+sp500_monthly!B510:B629)^(1/120)-1)*100</f>
        <v>0.29857747358386089</v>
      </c>
      <c r="C509" cm="1">
        <f t="array" ref="C509">(PRODUCT(1+sp500_monthly!C510:C629)^(1/120)-1)*100</f>
        <v>-1.2307666625566149E-2</v>
      </c>
      <c r="D509" cm="1">
        <f t="array" ref="D509">(PRODUCT(1+sp500_monthly!D510:D629)^(1/120)-1)*100</f>
        <v>0.47775858790166659</v>
      </c>
      <c r="E509" cm="1">
        <f t="array" ref="E509">(PRODUCT(1+sp500_monthly!E510:E629)^(1/120)-1)*100</f>
        <v>0.15183635657500805</v>
      </c>
      <c r="F509" cm="1">
        <f t="array" ref="F509">(PRODUCT(1+sp500_monthly!K510:K629)^(1/120)-1)*100</f>
        <v>-9.1982156258385572E-3</v>
      </c>
      <c r="G509" cm="1">
        <f t="array" ref="G509">(PRODUCT(1+sp500_monthly!L510:L629)^(1/120)-1)</f>
        <v>0.46474588474550971</v>
      </c>
      <c r="H509" cm="1">
        <f t="array" ref="H509">(PRODUCT(1+sp500_monthly!N510:N629)^(1/120)-1)*100</f>
        <v>-0.21357108479167497</v>
      </c>
      <c r="I509" cm="1">
        <f t="array" ref="I509">(PRODUCT(1+sp500_monthly!O510:O629)^(1/120)-1)*100</f>
        <v>-4.4163565436339258E-2</v>
      </c>
    </row>
    <row r="510" spans="1:9" x14ac:dyDescent="0.35">
      <c r="A510" s="1">
        <v>28641</v>
      </c>
      <c r="B510" cm="1">
        <f t="array" ref="B510">(PRODUCT(1+sp500_monthly!B511:B630)^(1/120)-1)*100</f>
        <v>0.30232537989696162</v>
      </c>
      <c r="C510" cm="1">
        <f t="array" ref="C510">(PRODUCT(1+sp500_monthly!C511:C630)^(1/120)-1)*100</f>
        <v>-8.5058561082651529E-3</v>
      </c>
      <c r="D510" cm="1">
        <f t="array" ref="D510">(PRODUCT(1+sp500_monthly!D511:D630)^(1/120)-1)*100</f>
        <v>0.46404571683642537</v>
      </c>
      <c r="E510" cm="1">
        <f t="array" ref="E510">(PRODUCT(1+sp500_monthly!E511:E630)^(1/120)-1)*100</f>
        <v>0.13818547208752641</v>
      </c>
      <c r="F510" cm="1">
        <f t="array" ref="F510">(PRODUCT(1+sp500_monthly!K511:K630)^(1/120)-1)*100</f>
        <v>-6.5169558246758186E-3</v>
      </c>
      <c r="G510" cm="1">
        <f t="array" ref="G510">(PRODUCT(1+sp500_monthly!L511:L630)^(1/120)-1)</f>
        <v>0.46565074201514833</v>
      </c>
      <c r="H510" cm="1">
        <f t="array" ref="H510">(PRODUCT(1+sp500_monthly!N511:N630)^(1/120)-1)*100</f>
        <v>-0.21395382691714593</v>
      </c>
      <c r="I510" cm="1">
        <f t="array" ref="I510">(PRODUCT(1+sp500_monthly!O511:O630)^(1/120)-1)*100</f>
        <v>-4.7370096297949527E-2</v>
      </c>
    </row>
    <row r="511" spans="1:9" x14ac:dyDescent="0.35">
      <c r="A511" s="1">
        <v>28671</v>
      </c>
      <c r="B511" cm="1">
        <f t="array" ref="B511">(PRODUCT(1+sp500_monthly!B512:B631)^(1/120)-1)*100</f>
        <v>0.30013910958466283</v>
      </c>
      <c r="C511" cm="1">
        <f t="array" ref="C511">(PRODUCT(1+sp500_monthly!C512:C631)^(1/120)-1)*100</f>
        <v>-1.4019079480209751E-2</v>
      </c>
      <c r="D511" cm="1">
        <f t="array" ref="D511">(PRODUCT(1+sp500_monthly!D512:D631)^(1/120)-1)*100</f>
        <v>0.45655394057002585</v>
      </c>
      <c r="E511" cm="1">
        <f t="array" ref="E511">(PRODUCT(1+sp500_monthly!E512:E631)^(1/120)-1)*100</f>
        <v>0.12872359080309259</v>
      </c>
      <c r="F511" cm="1">
        <f t="array" ref="F511">(PRODUCT(1+sp500_monthly!K512:K631)^(1/120)-1)*100</f>
        <v>-1.2251438847732388E-2</v>
      </c>
      <c r="G511" cm="1">
        <f t="array" ref="G511">(PRODUCT(1+sp500_monthly!L512:L631)^(1/120)-1)</f>
        <v>0.46614604579920194</v>
      </c>
      <c r="H511" cm="1">
        <f t="array" ref="H511">(PRODUCT(1+sp500_monthly!N512:N631)^(1/120)-1)*100</f>
        <v>-0.22148634795886579</v>
      </c>
      <c r="I511" cm="1">
        <f t="array" ref="I511">(PRODUCT(1+sp500_monthly!O512:O631)^(1/120)-1)*100</f>
        <v>-5.223931081119737E-2</v>
      </c>
    </row>
    <row r="512" spans="1:9" x14ac:dyDescent="0.35">
      <c r="A512" s="1">
        <v>28702</v>
      </c>
      <c r="B512" cm="1">
        <f t="array" ref="B512">(PRODUCT(1+sp500_monthly!B513:B632)^(1/120)-1)*100</f>
        <v>0.27792165290243531</v>
      </c>
      <c r="C512" cm="1">
        <f t="array" ref="C512">(PRODUCT(1+sp500_monthly!C513:C632)^(1/120)-1)*100</f>
        <v>-3.7173423265257632E-2</v>
      </c>
      <c r="D512" cm="1">
        <f t="array" ref="D512">(PRODUCT(1+sp500_monthly!D513:D632)^(1/120)-1)*100</f>
        <v>0.42970001943229974</v>
      </c>
      <c r="E512" cm="1">
        <f t="array" ref="E512">(PRODUCT(1+sp500_monthly!E513:E632)^(1/120)-1)*100</f>
        <v>0.1009670286502784</v>
      </c>
      <c r="F512" cm="1">
        <f t="array" ref="F512">(PRODUCT(1+sp500_monthly!K513:K632)^(1/120)-1)*100</f>
        <v>-3.4596300921474477E-2</v>
      </c>
      <c r="G512" cm="1">
        <f t="array" ref="G512">(PRODUCT(1+sp500_monthly!L513:L632)^(1/120)-1)</f>
        <v>0.4670517680283679</v>
      </c>
      <c r="H512" cm="1">
        <f t="array" ref="H512">(PRODUCT(1+sp500_monthly!N513:N632)^(1/120)-1)*100</f>
        <v>-0.24520237435677883</v>
      </c>
      <c r="I512" cm="1">
        <f t="array" ref="I512">(PRODUCT(1+sp500_monthly!O513:O632)^(1/120)-1)*100</f>
        <v>-5.2944766535112375E-2</v>
      </c>
    </row>
    <row r="513" spans="1:9" x14ac:dyDescent="0.35">
      <c r="A513" s="1">
        <v>28733</v>
      </c>
      <c r="B513" cm="1">
        <f t="array" ref="B513">(PRODUCT(1+sp500_monthly!B514:B633)^(1/120)-1)*100</f>
        <v>0.33894934336267113</v>
      </c>
      <c r="C513" cm="1">
        <f t="array" ref="C513">(PRODUCT(1+sp500_monthly!C514:C633)^(1/120)-1)*100</f>
        <v>2.3235550331235366E-2</v>
      </c>
      <c r="D513" cm="1">
        <f t="array" ref="D513">(PRODUCT(1+sp500_monthly!D514:D633)^(1/120)-1)*100</f>
        <v>0.50187689660121659</v>
      </c>
      <c r="E513" cm="1">
        <f t="array" ref="E513">(PRODUCT(1+sp500_monthly!E514:E633)^(1/120)-1)*100</f>
        <v>0.17252286359199509</v>
      </c>
      <c r="F513" cm="1">
        <f t="array" ref="F513">(PRODUCT(1+sp500_monthly!K514:K633)^(1/120)-1)*100</f>
        <v>2.4699019820473289E-2</v>
      </c>
      <c r="G513" cm="1">
        <f t="array" ref="G513">(PRODUCT(1+sp500_monthly!L514:L633)^(1/120)-1)</f>
        <v>0.46769550157266004</v>
      </c>
      <c r="H513" cm="1">
        <f t="array" ref="H513">(PRODUCT(1+sp500_monthly!N514:N633)^(1/120)-1)*100</f>
        <v>-0.1860865336321571</v>
      </c>
      <c r="I513" cm="1">
        <f t="array" ref="I513">(PRODUCT(1+sp500_monthly!O514:O633)^(1/120)-1)*100</f>
        <v>-5.3877492196152676E-2</v>
      </c>
    </row>
    <row r="514" spans="1:9" x14ac:dyDescent="0.35">
      <c r="A514" s="1">
        <v>28762</v>
      </c>
      <c r="B514" cm="1">
        <f t="array" ref="B514">(PRODUCT(1+sp500_monthly!B515:B634)^(1/120)-1)*100</f>
        <v>0.35300262176916064</v>
      </c>
      <c r="C514" cm="1">
        <f t="array" ref="C514">(PRODUCT(1+sp500_monthly!C515:C634)^(1/120)-1)*100</f>
        <v>3.494365588809778E-2</v>
      </c>
      <c r="D514" cm="1">
        <f t="array" ref="D514">(PRODUCT(1+sp500_monthly!D515:D634)^(1/120)-1)*100</f>
        <v>0.52178068305619441</v>
      </c>
      <c r="E514" cm="1">
        <f t="array" ref="E514">(PRODUCT(1+sp500_monthly!E515:E634)^(1/120)-1)*100</f>
        <v>0.19108693769944729</v>
      </c>
      <c r="F514" cm="1">
        <f t="array" ref="F514">(PRODUCT(1+sp500_monthly!K515:K634)^(1/120)-1)*100</f>
        <v>3.6535831980688549E-2</v>
      </c>
      <c r="G514" cm="1">
        <f t="array" ref="G514">(PRODUCT(1+sp500_monthly!L515:L634)^(1/120)-1)</f>
        <v>0.46884600115170971</v>
      </c>
      <c r="H514" cm="1">
        <f t="array" ref="H514">(PRODUCT(1+sp500_monthly!N515:N634)^(1/120)-1)*100</f>
        <v>-0.17479134845530542</v>
      </c>
      <c r="I514" cm="1">
        <f t="array" ref="I514">(PRODUCT(1+sp500_monthly!O515:O634)^(1/120)-1)*100</f>
        <v>-5.54049012375879E-2</v>
      </c>
    </row>
    <row r="515" spans="1:9" x14ac:dyDescent="0.35">
      <c r="A515" s="1">
        <v>28794</v>
      </c>
      <c r="B515" cm="1">
        <f t="array" ref="B515">(PRODUCT(1+sp500_monthly!B516:B635)^(1/120)-1)*100</f>
        <v>0.31640315280454523</v>
      </c>
      <c r="C515" cm="1">
        <f t="array" ref="C515">(PRODUCT(1+sp500_monthly!C516:C635)^(1/120)-1)*100</f>
        <v>-2.5700937280270786E-3</v>
      </c>
      <c r="D515" cm="1">
        <f t="array" ref="D515">(PRODUCT(1+sp500_monthly!D516:D635)^(1/120)-1)*100</f>
        <v>0.46989449650765014</v>
      </c>
      <c r="E515" cm="1">
        <f t="array" ref="E515">(PRODUCT(1+sp500_monthly!E516:E635)^(1/120)-1)*100</f>
        <v>0.13841691243945409</v>
      </c>
      <c r="F515" cm="1">
        <f t="array" ref="F515">(PRODUCT(1+sp500_monthly!K516:K635)^(1/120)-1)*100</f>
        <v>-1.0561744500425796E-3</v>
      </c>
      <c r="G515" cm="1">
        <f t="array" ref="G515">(PRODUCT(1+sp500_monthly!L516:L635)^(1/120)-1)</f>
        <v>0.47037380385562511</v>
      </c>
      <c r="H515" cm="1">
        <f t="array" ref="H515">(PRODUCT(1+sp500_monthly!N516:N635)^(1/120)-1)*100</f>
        <v>-0.21636262751479896</v>
      </c>
      <c r="I515" cm="1">
        <f t="array" ref="I515">(PRODUCT(1+sp500_monthly!O516:O635)^(1/120)-1)*100</f>
        <v>-5.9003141315228103E-2</v>
      </c>
    </row>
    <row r="516" spans="1:9" x14ac:dyDescent="0.35">
      <c r="A516" s="1">
        <v>28824</v>
      </c>
      <c r="B516" cm="1">
        <f t="array" ref="B516">(PRODUCT(1+sp500_monthly!B517:B636)^(1/120)-1)*100</f>
        <v>0.23084585354462561</v>
      </c>
      <c r="C516" cm="1">
        <f t="array" ref="C516">(PRODUCT(1+sp500_monthly!C517:C636)^(1/120)-1)*100</f>
        <v>-8.8810261931138168E-2</v>
      </c>
      <c r="D516" cm="1">
        <f t="array" ref="D516">(PRODUCT(1+sp500_monthly!D517:D636)^(1/120)-1)*100</f>
        <v>0.33977492715377977</v>
      </c>
      <c r="E516" cm="1">
        <f t="array" ref="E516">(PRODUCT(1+sp500_monthly!E517:E636)^(1/120)-1)*100</f>
        <v>7.6260105269287948E-3</v>
      </c>
      <c r="F516" cm="1">
        <f t="array" ref="F516">(PRODUCT(1+sp500_monthly!K517:K636)^(1/120)-1)*100</f>
        <v>-8.7038274674544613E-2</v>
      </c>
      <c r="G516" cm="1">
        <f t="array" ref="G516">(PRODUCT(1+sp500_monthly!L517:L636)^(1/120)-1)</f>
        <v>0.47226384357003437</v>
      </c>
      <c r="H516" cm="1">
        <f t="array" ref="H516">(PRODUCT(1+sp500_monthly!N517:N636)^(1/120)-1)*100</f>
        <v>-0.30420743481509582</v>
      </c>
      <c r="I516" cm="1">
        <f t="array" ref="I516">(PRODUCT(1+sp500_monthly!O517:O636)^(1/120)-1)*100</f>
        <v>-5.976404492039622E-2</v>
      </c>
    </row>
    <row r="517" spans="1:9" x14ac:dyDescent="0.35">
      <c r="A517" s="1">
        <v>28853</v>
      </c>
      <c r="B517" cm="1">
        <f t="array" ref="B517">(PRODUCT(1+sp500_monthly!B518:B637)^(1/120)-1)*100</f>
        <v>0.2093194466108228</v>
      </c>
      <c r="C517" cm="1">
        <f t="array" ref="C517">(PRODUCT(1+sp500_monthly!C518:C637)^(1/120)-1)*100</f>
        <v>-0.11400289859335722</v>
      </c>
      <c r="D517" cm="1">
        <f t="array" ref="D517">(PRODUCT(1+sp500_monthly!D518:D637)^(1/120)-1)*100</f>
        <v>0.30839136359577246</v>
      </c>
      <c r="E517" cm="1">
        <f t="array" ref="E517">(PRODUCT(1+sp500_monthly!E518:E637)^(1/120)-1)*100</f>
        <v>-2.6155534392169333E-2</v>
      </c>
      <c r="F517" cm="1">
        <f t="array" ref="F517">(PRODUCT(1+sp500_monthly!K518:K637)^(1/120)-1)*100</f>
        <v>-0.11230153793447828</v>
      </c>
      <c r="G517" cm="1">
        <f t="array" ref="G517">(PRODUCT(1+sp500_monthly!L518:L637)^(1/120)-1)</f>
        <v>0.47447354479191994</v>
      </c>
      <c r="H517" cm="1">
        <f t="array" ref="H517">(PRODUCT(1+sp500_monthly!N518:N637)^(1/120)-1)*100</f>
        <v>-0.32820602540873933</v>
      </c>
      <c r="I517" cm="1">
        <f t="array" ref="I517">(PRODUCT(1+sp500_monthly!O518:O637)^(1/120)-1)*100</f>
        <v>-6.0039120532329182E-2</v>
      </c>
    </row>
    <row r="518" spans="1:9" x14ac:dyDescent="0.35">
      <c r="A518" s="1">
        <v>28886</v>
      </c>
      <c r="B518" cm="1">
        <f t="array" ref="B518">(PRODUCT(1+sp500_monthly!B519:B638)^(1/120)-1)*100</f>
        <v>0.25791025172225979</v>
      </c>
      <c r="C518" cm="1">
        <f t="array" ref="C518">(PRODUCT(1+sp500_monthly!C519:C638)^(1/120)-1)*100</f>
        <v>-6.6364300658972031E-2</v>
      </c>
      <c r="D518" cm="1">
        <f t="array" ref="D518">(PRODUCT(1+sp500_monthly!D519:D638)^(1/120)-1)*100</f>
        <v>0.33664569822398072</v>
      </c>
      <c r="E518" cm="1">
        <f t="array" ref="E518">(PRODUCT(1+sp500_monthly!E519:E638)^(1/120)-1)*100</f>
        <v>7.7391198884946277E-4</v>
      </c>
      <c r="F518" cm="1">
        <f t="array" ref="F518">(PRODUCT(1+sp500_monthly!K519:K638)^(1/120)-1)*100</f>
        <v>-6.4604568465786993E-2</v>
      </c>
      <c r="G518" cm="1">
        <f t="array" ref="G518">(PRODUCT(1+sp500_monthly!L519:L638)^(1/120)-1)</f>
        <v>0.47716616408743695</v>
      </c>
      <c r="H518" cm="1">
        <f t="array" ref="H518">(PRODUCT(1+sp500_monthly!N519:N638)^(1/120)-1)*100</f>
        <v>-0.28010407106194846</v>
      </c>
      <c r="I518" cm="1">
        <f t="array" ref="I518">(PRODUCT(1+sp500_monthly!O519:O638)^(1/120)-1)*100</f>
        <v>-5.7370407381751587E-2</v>
      </c>
    </row>
    <row r="519" spans="1:9" x14ac:dyDescent="0.35">
      <c r="A519" s="1">
        <v>28914</v>
      </c>
      <c r="B519" cm="1">
        <f t="array" ref="B519">(PRODUCT(1+sp500_monthly!B520:B639)^(1/120)-1)*100</f>
        <v>0.29918009395648593</v>
      </c>
      <c r="C519" cm="1">
        <f t="array" ref="C519">(PRODUCT(1+sp500_monthly!C520:C639)^(1/120)-1)*100</f>
        <v>-2.636218405049906E-2</v>
      </c>
      <c r="D519" cm="1">
        <f t="array" ref="D519">(PRODUCT(1+sp500_monthly!D520:D639)^(1/120)-1)*100</f>
        <v>0.39601795174288856</v>
      </c>
      <c r="E519" cm="1">
        <f t="array" ref="E519">(PRODUCT(1+sp500_monthly!E520:E639)^(1/120)-1)*100</f>
        <v>5.9073172055290613E-2</v>
      </c>
      <c r="F519" cm="1">
        <f t="array" ref="F519">(PRODUCT(1+sp500_monthly!K520:K639)^(1/120)-1)*100</f>
        <v>-2.5293809013404722E-2</v>
      </c>
      <c r="G519" cm="1">
        <f t="array" ref="G519">(PRODUCT(1+sp500_monthly!L520:L639)^(1/120)-1)</f>
        <v>0.47896092483445307</v>
      </c>
      <c r="H519" cm="1">
        <f t="array" ref="H519">(PRODUCT(1+sp500_monthly!N520:N639)^(1/120)-1)*100</f>
        <v>-0.24403751589551215</v>
      </c>
      <c r="I519" cm="1">
        <f t="array" ref="I519">(PRODUCT(1+sp500_monthly!O520:O639)^(1/120)-1)*100</f>
        <v>-6.037543544232804E-2</v>
      </c>
    </row>
    <row r="520" spans="1:9" x14ac:dyDescent="0.35">
      <c r="A520" s="1">
        <v>28944</v>
      </c>
      <c r="B520" cm="1">
        <f t="array" ref="B520">(PRODUCT(1+sp500_monthly!B521:B640)^(1/120)-1)*100</f>
        <v>0.31102883269964465</v>
      </c>
      <c r="C520" cm="1">
        <f t="array" ref="C520">(PRODUCT(1+sp500_monthly!C521:C640)^(1/120)-1)*100</f>
        <v>-1.7293213876712343E-2</v>
      </c>
      <c r="D520" cm="1">
        <f t="array" ref="D520">(PRODUCT(1+sp500_monthly!D521:D640)^(1/120)-1)*100</f>
        <v>0.42482239516128395</v>
      </c>
      <c r="E520" cm="1">
        <f t="array" ref="E520">(PRODUCT(1+sp500_monthly!E521:E640)^(1/120)-1)*100</f>
        <v>8.5663435271121635E-2</v>
      </c>
      <c r="F520" cm="1">
        <f t="array" ref="F520">(PRODUCT(1+sp500_monthly!K521:K640)^(1/120)-1)*100</f>
        <v>-1.5859816615815259E-2</v>
      </c>
      <c r="G520" cm="1">
        <f t="array" ref="G520">(PRODUCT(1+sp500_monthly!L521:L640)^(1/120)-1)</f>
        <v>0.4810537161683015</v>
      </c>
      <c r="H520" cm="1">
        <f t="array" ref="H520">(PRODUCT(1+sp500_monthly!N521:N640)^(1/120)-1)*100</f>
        <v>-0.2383800913548062</v>
      </c>
      <c r="I520" cm="1">
        <f t="array" ref="I520">(PRODUCT(1+sp500_monthly!O521:O640)^(1/120)-1)*100</f>
        <v>-6.4277902565246237E-2</v>
      </c>
    </row>
    <row r="521" spans="1:9" x14ac:dyDescent="0.35">
      <c r="A521" s="1">
        <v>28975</v>
      </c>
      <c r="B521" cm="1">
        <f t="array" ref="B521">(PRODUCT(1+sp500_monthly!B522:B641)^(1/120)-1)*100</f>
        <v>0.32902172369224658</v>
      </c>
      <c r="C521" cm="1">
        <f t="array" ref="C521">(PRODUCT(1+sp500_monthly!C522:C641)^(1/120)-1)*100</f>
        <v>-3.547171643636382E-4</v>
      </c>
      <c r="D521" cm="1">
        <f t="array" ref="D521">(PRODUCT(1+sp500_monthly!D522:D641)^(1/120)-1)*100</f>
        <v>0.46625368118782262</v>
      </c>
      <c r="E521" cm="1">
        <f t="array" ref="E521">(PRODUCT(1+sp500_monthly!E522:E641)^(1/120)-1)*100</f>
        <v>0.12580256901146836</v>
      </c>
      <c r="F521" cm="1">
        <f t="array" ref="F521">(PRODUCT(1+sp500_monthly!K522:K641)^(1/120)-1)*100</f>
        <v>6.5621779568036942E-4</v>
      </c>
      <c r="G521" cm="1">
        <f t="array" ref="G521">(PRODUCT(1+sp500_monthly!L522:L641)^(1/120)-1)</f>
        <v>0.4837082943033717</v>
      </c>
      <c r="H521" cm="1">
        <f t="array" ref="H521">(PRODUCT(1+sp500_monthly!N522:N641)^(1/120)-1)*100</f>
        <v>-0.22191575709895606</v>
      </c>
      <c r="I521" cm="1">
        <f t="array" ref="I521">(PRODUCT(1+sp500_monthly!O522:O641)^(1/120)-1)*100</f>
        <v>-6.2813746850043373E-2</v>
      </c>
    </row>
    <row r="522" spans="1:9" x14ac:dyDescent="0.35">
      <c r="A522" s="1">
        <v>29006</v>
      </c>
      <c r="B522" cm="1">
        <f t="array" ref="B522">(PRODUCT(1+sp500_monthly!B523:B642)^(1/120)-1)*100</f>
        <v>0.31368816063601646</v>
      </c>
      <c r="C522" cm="1">
        <f t="array" ref="C522">(PRODUCT(1+sp500_monthly!C523:C642)^(1/120)-1)*100</f>
        <v>-1.619229301809133E-2</v>
      </c>
      <c r="D522" cm="1">
        <f t="array" ref="D522">(PRODUCT(1+sp500_monthly!D523:D642)^(1/120)-1)*100</f>
        <v>0.46539928609548031</v>
      </c>
      <c r="E522" cm="1">
        <f t="array" ref="E522">(PRODUCT(1+sp500_monthly!E523:E642)^(1/120)-1)*100</f>
        <v>0.1243242729772609</v>
      </c>
      <c r="F522" cm="1">
        <f t="array" ref="F522">(PRODUCT(1+sp500_monthly!K523:K642)^(1/120)-1)*100</f>
        <v>-1.5656756929793847E-2</v>
      </c>
      <c r="G522" cm="1">
        <f t="array" ref="G522">(PRODUCT(1+sp500_monthly!L523:L642)^(1/120)-1)</f>
        <v>0.48571907798671576</v>
      </c>
      <c r="H522" cm="1">
        <f t="array" ref="H522">(PRODUCT(1+sp500_monthly!N523:N642)^(1/120)-1)*100</f>
        <v>-0.2408559589904824</v>
      </c>
      <c r="I522" cm="1">
        <f t="array" ref="I522">(PRODUCT(1+sp500_monthly!O523:O642)^(1/120)-1)*100</f>
        <v>-6.4277361286335655E-2</v>
      </c>
    </row>
    <row r="523" spans="1:9" x14ac:dyDescent="0.35">
      <c r="A523" s="1">
        <v>29035</v>
      </c>
      <c r="B523" cm="1">
        <f t="array" ref="B523">(PRODUCT(1+sp500_monthly!B524:B643)^(1/120)-1)*100</f>
        <v>0.29629559202393185</v>
      </c>
      <c r="C523" cm="1">
        <f t="array" ref="C523">(PRODUCT(1+sp500_monthly!C524:C643)^(1/120)-1)*100</f>
        <v>-3.6846294493364518E-2</v>
      </c>
      <c r="D523" cm="1">
        <f t="array" ref="D523">(PRODUCT(1+sp500_monthly!D524:D643)^(1/120)-1)*100</f>
        <v>0.45894013733807082</v>
      </c>
      <c r="E523" cm="1">
        <f t="array" ref="E523">(PRODUCT(1+sp500_monthly!E524:E643)^(1/120)-1)*100</f>
        <v>0.11556304842481602</v>
      </c>
      <c r="F523" cm="1">
        <f t="array" ref="F523">(PRODUCT(1+sp500_monthly!K524:K643)^(1/120)-1)*100</f>
        <v>-3.6041936601827196E-2</v>
      </c>
      <c r="G523" cm="1">
        <f t="array" ref="G523">(PRODUCT(1+sp500_monthly!L524:L643)^(1/120)-1)</f>
        <v>0.48828160537966836</v>
      </c>
      <c r="H523" cm="1">
        <f t="array" ref="H523">(PRODUCT(1+sp500_monthly!N524:N643)^(1/120)-1)*100</f>
        <v>-0.26523104973631417</v>
      </c>
      <c r="I523" cm="1">
        <f t="array" ref="I523">(PRODUCT(1+sp500_monthly!O524:O643)^(1/120)-1)*100</f>
        <v>-6.8556721788604058E-2</v>
      </c>
    </row>
    <row r="524" spans="1:9" x14ac:dyDescent="0.35">
      <c r="A524" s="1">
        <v>29067</v>
      </c>
      <c r="B524" cm="1">
        <f t="array" ref="B524">(PRODUCT(1+sp500_monthly!B525:B644)^(1/120)-1)*100</f>
        <v>0.37608155595982851</v>
      </c>
      <c r="C524" cm="1">
        <f t="array" ref="C524">(PRODUCT(1+sp500_monthly!C525:C644)^(1/120)-1)*100</f>
        <v>4.1815589484062166E-2</v>
      </c>
      <c r="D524" cm="1">
        <f t="array" ref="D524">(PRODUCT(1+sp500_monthly!D525:D644)^(1/120)-1)*100</f>
        <v>0.57333615178651876</v>
      </c>
      <c r="E524" cm="1">
        <f t="array" ref="E524">(PRODUCT(1+sp500_monthly!E525:E644)^(1/120)-1)*100</f>
        <v>0.22852970029405562</v>
      </c>
      <c r="F524" cm="1">
        <f t="array" ref="F524">(PRODUCT(1+sp500_monthly!K525:K644)^(1/120)-1)*100</f>
        <v>4.3218144490775323E-2</v>
      </c>
      <c r="G524" cm="1">
        <f t="array" ref="G524">(PRODUCT(1+sp500_monthly!L525:L644)^(1/120)-1)</f>
        <v>0.49053082174738183</v>
      </c>
      <c r="H524" cm="1">
        <f t="array" ref="H524">(PRODUCT(1+sp500_monthly!N525:N644)^(1/120)-1)*100</f>
        <v>-0.19060182413365157</v>
      </c>
      <c r="I524" cm="1">
        <f t="array" ref="I524">(PRODUCT(1+sp500_monthly!O525:O644)^(1/120)-1)*100</f>
        <v>-7.0790479996463151E-2</v>
      </c>
    </row>
    <row r="525" spans="1:9" x14ac:dyDescent="0.35">
      <c r="A525" s="1">
        <v>29098</v>
      </c>
      <c r="B525" cm="1">
        <f t="array" ref="B525">(PRODUCT(1+sp500_monthly!B526:B645)^(1/120)-1)*100</f>
        <v>0.43666015437855421</v>
      </c>
      <c r="C525" cm="1">
        <f t="array" ref="C525">(PRODUCT(1+sp500_monthly!C526:C645)^(1/120)-1)*100</f>
        <v>0.10142419722565243</v>
      </c>
      <c r="D525" cm="1">
        <f t="array" ref="D525">(PRODUCT(1+sp500_monthly!D526:D645)^(1/120)-1)*100</f>
        <v>0.65653923020774219</v>
      </c>
      <c r="E525" cm="1">
        <f t="array" ref="E525">(PRODUCT(1+sp500_monthly!E526:E645)^(1/120)-1)*100</f>
        <v>0.31084936188392476</v>
      </c>
      <c r="F525" cm="1">
        <f t="array" ref="F525">(PRODUCT(1+sp500_monthly!K526:K645)^(1/120)-1)*100</f>
        <v>0.10223833479958699</v>
      </c>
      <c r="G525" cm="1">
        <f t="array" ref="G525">(PRODUCT(1+sp500_monthly!L526:L645)^(1/120)-1)</f>
        <v>0.49234182058835674</v>
      </c>
      <c r="H525" cm="1">
        <f t="array" ref="H525">(PRODUCT(1+sp500_monthly!N526:N645)^(1/120)-1)*100</f>
        <v>-0.13500056195667742</v>
      </c>
      <c r="I525" cm="1">
        <f t="array" ref="I525">(PRODUCT(1+sp500_monthly!O526:O645)^(1/120)-1)*100</f>
        <v>-7.3442972897297398E-2</v>
      </c>
    </row>
    <row r="526" spans="1:9" x14ac:dyDescent="0.35">
      <c r="A526" s="1">
        <v>29126</v>
      </c>
      <c r="B526" cm="1">
        <f t="array" ref="B526">(PRODUCT(1+sp500_monthly!B527:B646)^(1/120)-1)*100</f>
        <v>0.44947794761087678</v>
      </c>
      <c r="C526" cm="1">
        <f t="array" ref="C526">(PRODUCT(1+sp500_monthly!C527:C646)^(1/120)-1)*100</f>
        <v>0.11181882001718435</v>
      </c>
      <c r="D526" cm="1">
        <f t="array" ref="D526">(PRODUCT(1+sp500_monthly!D527:D646)^(1/120)-1)*100</f>
        <v>0.67855205700171339</v>
      </c>
      <c r="E526" cm="1">
        <f t="array" ref="E526">(PRODUCT(1+sp500_monthly!E527:E646)^(1/120)-1)*100</f>
        <v>0.33134512836818786</v>
      </c>
      <c r="F526" cm="1">
        <f t="array" ref="F526">(PRODUCT(1+sp500_monthly!K527:K646)^(1/120)-1)*100</f>
        <v>0.11260399109582764</v>
      </c>
      <c r="G526" cm="1">
        <f t="array" ref="G526">(PRODUCT(1+sp500_monthly!L527:L646)^(1/120)-1)</f>
        <v>0.49440160843485348</v>
      </c>
      <c r="H526" cm="1">
        <f t="array" ref="H526">(PRODUCT(1+sp500_monthly!N527:N646)^(1/120)-1)*100</f>
        <v>-0.12793998146544139</v>
      </c>
      <c r="I526" cm="1">
        <f t="array" ref="I526">(PRODUCT(1+sp500_monthly!O527:O646)^(1/120)-1)*100</f>
        <v>-7.6895948179944718E-2</v>
      </c>
    </row>
    <row r="527" spans="1:9" x14ac:dyDescent="0.35">
      <c r="A527" s="1">
        <v>29159</v>
      </c>
      <c r="B527" cm="1">
        <f t="array" ref="B527">(PRODUCT(1+sp500_monthly!B528:B647)^(1/120)-1)*100</f>
        <v>0.47094900924442573</v>
      </c>
      <c r="C527" cm="1">
        <f t="array" ref="C527">(PRODUCT(1+sp500_monthly!C528:C647)^(1/120)-1)*100</f>
        <v>0.13245881362993206</v>
      </c>
      <c r="D527" cm="1">
        <f t="array" ref="D527">(PRODUCT(1+sp500_monthly!D528:D647)^(1/120)-1)*100</f>
        <v>0.69325504079138511</v>
      </c>
      <c r="E527" cm="1">
        <f t="array" ref="E527">(PRODUCT(1+sp500_monthly!E528:E647)^(1/120)-1)*100</f>
        <v>0.34568899261138153</v>
      </c>
      <c r="F527" cm="1">
        <f t="array" ref="F527">(PRODUCT(1+sp500_monthly!K528:K647)^(1/120)-1)*100</f>
        <v>0.13374869063560446</v>
      </c>
      <c r="G527" cm="1">
        <f t="array" ref="G527">(PRODUCT(1+sp500_monthly!L528:L647)^(1/120)-1)</f>
        <v>0.49592031577900508</v>
      </c>
      <c r="H527" cm="1">
        <f t="array" ref="H527">(PRODUCT(1+sp500_monthly!N528:N647)^(1/120)-1)*100</f>
        <v>-0.10996179393174543</v>
      </c>
      <c r="I527" cm="1">
        <f t="array" ref="I527">(PRODUCT(1+sp500_monthly!O528:O647)^(1/120)-1)*100</f>
        <v>-7.8530375972285515E-2</v>
      </c>
    </row>
    <row r="528" spans="1:9" x14ac:dyDescent="0.35">
      <c r="A528" s="1">
        <v>29189</v>
      </c>
      <c r="B528" cm="1">
        <f t="array" ref="B528">(PRODUCT(1+sp500_monthly!B529:B648)^(1/120)-1)*100</f>
        <v>0.37584699065369431</v>
      </c>
      <c r="C528" cm="1">
        <f t="array" ref="C528">(PRODUCT(1+sp500_monthly!C529:C648)^(1/120)-1)*100</f>
        <v>3.6819799397003194E-2</v>
      </c>
      <c r="D528" cm="1">
        <f t="array" ref="D528">(PRODUCT(1+sp500_monthly!D529:D648)^(1/120)-1)*100</f>
        <v>0.56072745023618698</v>
      </c>
      <c r="E528" cm="1">
        <f t="array" ref="E528">(PRODUCT(1+sp500_monthly!E529:E648)^(1/120)-1)*100</f>
        <v>0.21276557024607623</v>
      </c>
      <c r="F528" cm="1">
        <f t="array" ref="F528">(PRODUCT(1+sp500_monthly!K529:K648)^(1/120)-1)*100</f>
        <v>3.8361625439375935E-2</v>
      </c>
      <c r="G528" cm="1">
        <f t="array" ref="G528">(PRODUCT(1+sp500_monthly!L529:L648)^(1/120)-1)</f>
        <v>0.49786546296989331</v>
      </c>
      <c r="H528" cm="1">
        <f t="array" ref="H528">(PRODUCT(1+sp500_monthly!N529:N648)^(1/120)-1)*100</f>
        <v>-0.20893722462680397</v>
      </c>
      <c r="I528" cm="1">
        <f t="array" ref="I528">(PRODUCT(1+sp500_monthly!O529:O648)^(1/120)-1)*100</f>
        <v>-8.0727483943765499E-2</v>
      </c>
    </row>
    <row r="529" spans="1:9" x14ac:dyDescent="0.35">
      <c r="A529" s="1">
        <v>29220</v>
      </c>
      <c r="B529" cm="1">
        <f t="array" ref="B529">(PRODUCT(1+sp500_monthly!B530:B649)^(1/120)-1)*100</f>
        <v>0.44363761935641843</v>
      </c>
      <c r="C529" cm="1">
        <f t="array" ref="C529">(PRODUCT(1+sp500_monthly!C530:C649)^(1/120)-1)*100</f>
        <v>0.10160403173693489</v>
      </c>
      <c r="D529" cm="1">
        <f t="array" ref="D529">(PRODUCT(1+sp500_monthly!D530:D649)^(1/120)-1)*100</f>
        <v>0.6511139755744022</v>
      </c>
      <c r="E529" cm="1">
        <f t="array" ref="E529">(PRODUCT(1+sp500_monthly!E530:E649)^(1/120)-1)*100</f>
        <v>0.30094082711709103</v>
      </c>
      <c r="F529" cm="1">
        <f t="array" ref="F529">(PRODUCT(1+sp500_monthly!K530:K649)^(1/120)-1)*100</f>
        <v>0.10311720539095681</v>
      </c>
      <c r="G529" cm="1">
        <f t="array" ref="G529">(PRODUCT(1+sp500_monthly!L530:L649)^(1/120)-1)</f>
        <v>0.50123225244824354</v>
      </c>
      <c r="H529" cm="1">
        <f t="array" ref="H529">(PRODUCT(1+sp500_monthly!N530:N649)^(1/120)-1)*100</f>
        <v>-0.14589735710333063</v>
      </c>
      <c r="I529" cm="1">
        <f t="array" ref="I529">(PRODUCT(1+sp500_monthly!O530:O649)^(1/120)-1)*100</f>
        <v>-8.1201860922175406E-2</v>
      </c>
    </row>
    <row r="530" spans="1:9" x14ac:dyDescent="0.35">
      <c r="A530" s="1">
        <v>29251</v>
      </c>
      <c r="B530" cm="1">
        <f t="array" ref="B530">(PRODUCT(1+sp500_monthly!B531:B650)^(1/120)-1)*100</f>
        <v>0.47313945480473851</v>
      </c>
      <c r="C530" cm="1">
        <f t="array" ref="C530">(PRODUCT(1+sp500_monthly!C531:C650)^(1/120)-1)*100</f>
        <v>0.13022281151078285</v>
      </c>
      <c r="D530" cm="1">
        <f t="array" ref="D530">(PRODUCT(1+sp500_monthly!D531:D650)^(1/120)-1)*100</f>
        <v>0.71849576671771942</v>
      </c>
      <c r="E530" cm="1">
        <f t="array" ref="E530">(PRODUCT(1+sp500_monthly!E531:E650)^(1/120)-1)*100</f>
        <v>0.36725059174940178</v>
      </c>
      <c r="F530" cm="1">
        <f t="array" ref="F530">(PRODUCT(1+sp500_monthly!K531:K650)^(1/120)-1)*100</f>
        <v>0.13270136731189375</v>
      </c>
      <c r="G530" cm="1">
        <f t="array" ref="G530">(PRODUCT(1+sp500_monthly!L531:L650)^(1/120)-1)</f>
        <v>0.50339975768322942</v>
      </c>
      <c r="H530" cm="1">
        <f t="array" ref="H530">(PRODUCT(1+sp500_monthly!N531:N650)^(1/120)-1)*100</f>
        <v>-0.12194007612283952</v>
      </c>
      <c r="I530" cm="1">
        <f t="array" ref="I530">(PRODUCT(1+sp500_monthly!O531:O650)^(1/120)-1)*100</f>
        <v>-8.4014388075959179E-2</v>
      </c>
    </row>
    <row r="531" spans="1:9" x14ac:dyDescent="0.35">
      <c r="A531" s="1">
        <v>29280</v>
      </c>
      <c r="B531" cm="1">
        <f t="array" ref="B531">(PRODUCT(1+sp500_monthly!B532:B651)^(1/120)-1)*100</f>
        <v>0.5886611869078795</v>
      </c>
      <c r="C531" cm="1">
        <f t="array" ref="C531">(PRODUCT(1+sp500_monthly!C532:C651)^(1/120)-1)*100</f>
        <v>0.24475615020880248</v>
      </c>
      <c r="D531" cm="1">
        <f t="array" ref="D531">(PRODUCT(1+sp500_monthly!D532:D651)^(1/120)-1)*100</f>
        <v>0.81697564946909829</v>
      </c>
      <c r="E531" cm="1">
        <f t="array" ref="E531">(PRODUCT(1+sp500_monthly!E532:E651)^(1/120)-1)*100</f>
        <v>0.46487166080373399</v>
      </c>
      <c r="F531" cm="1">
        <f t="array" ref="F531">(PRODUCT(1+sp500_monthly!K532:K651)^(1/120)-1)*100</f>
        <v>0.24589855651608872</v>
      </c>
      <c r="G531" cm="1">
        <f t="array" ref="G531">(PRODUCT(1+sp500_monthly!L532:L651)^(1/120)-1)</f>
        <v>0.50487610699567798</v>
      </c>
      <c r="H531" cm="1">
        <f t="array" ref="H531">(PRODUCT(1+sp500_monthly!N532:N651)^(1/120)-1)*100</f>
        <v>-1.4528360166610188E-2</v>
      </c>
      <c r="I531" cm="1">
        <f t="array" ref="I531">(PRODUCT(1+sp500_monthly!O532:O651)^(1/120)-1)*100</f>
        <v>-8.9780901561709037E-2</v>
      </c>
    </row>
    <row r="532" spans="1:9" x14ac:dyDescent="0.35">
      <c r="A532" s="1">
        <v>29311</v>
      </c>
      <c r="B532" cm="1">
        <f t="array" ref="B532">(PRODUCT(1+sp500_monthly!B533:B652)^(1/120)-1)*100</f>
        <v>0.54239323299347664</v>
      </c>
      <c r="C532" cm="1">
        <f t="array" ref="C532">(PRODUCT(1+sp500_monthly!C533:C652)^(1/120)-1)*100</f>
        <v>0.19646927452015017</v>
      </c>
      <c r="D532" cm="1">
        <f t="array" ref="D532">(PRODUCT(1+sp500_monthly!D533:D652)^(1/120)-1)*100</f>
        <v>0.73426740059368001</v>
      </c>
      <c r="E532" cm="1">
        <f t="array" ref="E532">(PRODUCT(1+sp500_monthly!E533:E652)^(1/120)-1)*100</f>
        <v>0.38091292476465366</v>
      </c>
      <c r="F532" cm="1">
        <f t="array" ref="F532">(PRODUCT(1+sp500_monthly!K533:K652)^(1/120)-1)*100</f>
        <v>0.19934409491531024</v>
      </c>
      <c r="G532" cm="1">
        <f t="array" ref="G532">(PRODUCT(1+sp500_monthly!L533:L652)^(1/120)-1)</f>
        <v>0.5068104964686333</v>
      </c>
      <c r="H532" cm="1">
        <f t="array" ref="H532">(PRODUCT(1+sp500_monthly!N533:N652)^(1/120)-1)*100</f>
        <v>-6.6744779450755853E-2</v>
      </c>
      <c r="I532" cm="1">
        <f t="array" ref="I532">(PRODUCT(1+sp500_monthly!O533:O652)^(1/120)-1)*100</f>
        <v>-9.3773972103594616E-2</v>
      </c>
    </row>
    <row r="533" spans="1:9" x14ac:dyDescent="0.35">
      <c r="A533" s="1">
        <v>29341</v>
      </c>
      <c r="B533" cm="1">
        <f t="array" ref="B533">(PRODUCT(1+sp500_monthly!B534:B653)^(1/120)-1)*100</f>
        <v>0.45411506629691178</v>
      </c>
      <c r="C533" cm="1">
        <f t="array" ref="C533">(PRODUCT(1+sp500_monthly!C534:C653)^(1/120)-1)*100</f>
        <v>0.10741882068923125</v>
      </c>
      <c r="D533" cm="1">
        <f t="array" ref="D533">(PRODUCT(1+sp500_monthly!D534:D653)^(1/120)-1)*100</f>
        <v>0.63747280938362128</v>
      </c>
      <c r="E533" cm="1">
        <f t="array" ref="E533">(PRODUCT(1+sp500_monthly!E534:E653)^(1/120)-1)*100</f>
        <v>0.2829896894572359</v>
      </c>
      <c r="F533" cm="1">
        <f t="array" ref="F533">(PRODUCT(1+sp500_monthly!K534:K653)^(1/120)-1)*100</f>
        <v>0.10853043904208715</v>
      </c>
      <c r="G533" cm="1">
        <f t="array" ref="G533">(PRODUCT(1+sp500_monthly!L534:L653)^(1/120)-1)</f>
        <v>0.511109985243136</v>
      </c>
      <c r="H533" cm="1">
        <f t="array" ref="H533">(PRODUCT(1+sp500_monthly!N534:N653)^(1/120)-1)*100</f>
        <v>-0.16163711635035494</v>
      </c>
      <c r="I533" cm="1">
        <f t="array" ref="I533">(PRODUCT(1+sp500_monthly!O534:O653)^(1/120)-1)*100</f>
        <v>-9.5646217058342753E-2</v>
      </c>
    </row>
    <row r="534" spans="1:9" x14ac:dyDescent="0.35">
      <c r="A534" s="1">
        <v>29371</v>
      </c>
      <c r="B534" cm="1">
        <f t="array" ref="B534">(PRODUCT(1+sp500_monthly!B535:B654)^(1/120)-1)*100</f>
        <v>0.56680979668664033</v>
      </c>
      <c r="C534" cm="1">
        <f t="array" ref="C534">(PRODUCT(1+sp500_monthly!C535:C654)^(1/120)-1)*100</f>
        <v>0.21880985699036515</v>
      </c>
      <c r="D534" cm="1">
        <f t="array" ref="D534">(PRODUCT(1+sp500_monthly!D535:D654)^(1/120)-1)*100</f>
        <v>0.77183174353516737</v>
      </c>
      <c r="E534" cm="1">
        <f t="array" ref="E534">(PRODUCT(1+sp500_monthly!E535:E654)^(1/120)-1)*100</f>
        <v>0.41617945648482202</v>
      </c>
      <c r="F534" cm="1">
        <f t="array" ref="F534">(PRODUCT(1+sp500_monthly!K535:K654)^(1/120)-1)*100</f>
        <v>0.22134774746049857</v>
      </c>
      <c r="G534" cm="1">
        <f t="array" ref="G534">(PRODUCT(1+sp500_monthly!L535:L654)^(1/120)-1)</f>
        <v>0.51628050717527163</v>
      </c>
      <c r="H534" cm="1">
        <f t="array" ref="H534">(PRODUCT(1+sp500_monthly!N535:N654)^(1/120)-1)*100</f>
        <v>-5.3572489490072428E-2</v>
      </c>
      <c r="I534" cm="1">
        <f t="array" ref="I534">(PRODUCT(1+sp500_monthly!O535:O654)^(1/120)-1)*100</f>
        <v>-9.3311663006534484E-2</v>
      </c>
    </row>
    <row r="535" spans="1:9" x14ac:dyDescent="0.35">
      <c r="A535" s="1">
        <v>29402</v>
      </c>
      <c r="B535" cm="1">
        <f t="array" ref="B535">(PRODUCT(1+sp500_monthly!B536:B655)^(1/120)-1)*100</f>
        <v>0.65930063590364796</v>
      </c>
      <c r="C535" cm="1">
        <f t="array" ref="C535">(PRODUCT(1+sp500_monthly!C536:C655)^(1/120)-1)*100</f>
        <v>0.30959459548816071</v>
      </c>
      <c r="D535" cm="1">
        <f t="array" ref="D535">(PRODUCT(1+sp500_monthly!D536:D655)^(1/120)-1)*100</f>
        <v>0.90977863506227497</v>
      </c>
      <c r="E535" cm="1">
        <f t="array" ref="E535">(PRODUCT(1+sp500_monthly!E536:E655)^(1/120)-1)*100</f>
        <v>0.55272103474928169</v>
      </c>
      <c r="F535" cm="1">
        <f t="array" ref="F535">(PRODUCT(1+sp500_monthly!K536:K655)^(1/120)-1)*100</f>
        <v>0.31194179856186555</v>
      </c>
      <c r="G535" cm="1">
        <f t="array" ref="G535">(PRODUCT(1+sp500_monthly!L536:L655)^(1/120)-1)</f>
        <v>0.51840553447337556</v>
      </c>
      <c r="H535" cm="1">
        <f t="array" ref="H535">(PRODUCT(1+sp500_monthly!N536:N655)^(1/120)-1)*100</f>
        <v>3.2307201530734631E-2</v>
      </c>
      <c r="I535" cm="1">
        <f t="array" ref="I535">(PRODUCT(1+sp500_monthly!O536:O655)^(1/120)-1)*100</f>
        <v>-9.7028768705276214E-2</v>
      </c>
    </row>
    <row r="536" spans="1:9" x14ac:dyDescent="0.35">
      <c r="A536" s="1">
        <v>29433</v>
      </c>
      <c r="B536" cm="1">
        <f t="array" ref="B536">(PRODUCT(1+sp500_monthly!B537:B656)^(1/120)-1)*100</f>
        <v>0.72606301027338116</v>
      </c>
      <c r="C536" cm="1">
        <f t="array" ref="C536">(PRODUCT(1+sp500_monthly!C537:C656)^(1/120)-1)*100</f>
        <v>0.37547189556927929</v>
      </c>
      <c r="D536" cm="1">
        <f t="array" ref="D536">(PRODUCT(1+sp500_monthly!D537:D656)^(1/120)-1)*100</f>
        <v>0.98789854496088569</v>
      </c>
      <c r="E536" cm="1">
        <f t="array" ref="E536">(PRODUCT(1+sp500_monthly!E537:E656)^(1/120)-1)*100</f>
        <v>0.63017145812078734</v>
      </c>
      <c r="F536" cm="1">
        <f t="array" ref="F536">(PRODUCT(1+sp500_monthly!K537:K656)^(1/120)-1)*100</f>
        <v>0.37711538138307521</v>
      </c>
      <c r="G536" cm="1">
        <f t="array" ref="G536">(PRODUCT(1+sp500_monthly!L537:L656)^(1/120)-1)</f>
        <v>0.51864355474159773</v>
      </c>
      <c r="H536" cm="1">
        <f t="array" ref="H536">(PRODUCT(1+sp500_monthly!N537:N656)^(1/120)-1)*100</f>
        <v>9.4836431356748463E-2</v>
      </c>
      <c r="I536" cm="1">
        <f t="array" ref="I536">(PRODUCT(1+sp500_monthly!O537:O656)^(1/120)-1)*100</f>
        <v>-0.10059032586243744</v>
      </c>
    </row>
    <row r="537" spans="1:9" x14ac:dyDescent="0.35">
      <c r="A537" s="1">
        <v>29462</v>
      </c>
      <c r="B537" cm="1">
        <f t="array" ref="B537">(PRODUCT(1+sp500_monthly!B538:B657)^(1/120)-1)*100</f>
        <v>0.7203284476208216</v>
      </c>
      <c r="C537" cm="1">
        <f t="array" ref="C537">(PRODUCT(1+sp500_monthly!C538:C657)^(1/120)-1)*100</f>
        <v>0.36953622542064135</v>
      </c>
      <c r="D537" cm="1">
        <f t="array" ref="D537">(PRODUCT(1+sp500_monthly!D538:D657)^(1/120)-1)*100</f>
        <v>0.99543585674097823</v>
      </c>
      <c r="E537" cm="1">
        <f t="array" ref="E537">(PRODUCT(1+sp500_monthly!E538:E657)^(1/120)-1)*100</f>
        <v>0.63747831624969553</v>
      </c>
      <c r="F537" cm="1">
        <f t="array" ref="F537">(PRODUCT(1+sp500_monthly!K538:K657)^(1/120)-1)*100</f>
        <v>0.37065637389341877</v>
      </c>
      <c r="G537" cm="1">
        <f t="array" ref="G537">(PRODUCT(1+sp500_monthly!L538:L657)^(1/120)-1)</f>
        <v>0.51872654329299261</v>
      </c>
      <c r="H537" cm="1">
        <f t="array" ref="H537">(PRODUCT(1+sp500_monthly!N538:N657)^(1/120)-1)*100</f>
        <v>9.0274338493845363E-2</v>
      </c>
      <c r="I537" cm="1">
        <f t="array" ref="I537">(PRODUCT(1+sp500_monthly!O538:O657)^(1/120)-1)*100</f>
        <v>-9.9373131926283609E-2</v>
      </c>
    </row>
    <row r="538" spans="1:9" x14ac:dyDescent="0.35">
      <c r="A538" s="1">
        <v>29494</v>
      </c>
      <c r="B538" cm="1">
        <f t="array" ref="B538">(PRODUCT(1+sp500_monthly!B539:B658)^(1/120)-1)*100</f>
        <v>0.69077605555696309</v>
      </c>
      <c r="C538" cm="1">
        <f t="array" ref="C538">(PRODUCT(1+sp500_monthly!C539:C658)^(1/120)-1)*100</f>
        <v>0.33872854143017772</v>
      </c>
      <c r="D538" cm="1">
        <f t="array" ref="D538">(PRODUCT(1+sp500_monthly!D539:D658)^(1/120)-1)*100</f>
        <v>0.96656637196970152</v>
      </c>
      <c r="E538" cm="1">
        <f t="array" ref="E538">(PRODUCT(1+sp500_monthly!E539:E658)^(1/120)-1)*100</f>
        <v>0.6080327094478255</v>
      </c>
      <c r="F538" cm="1">
        <f t="array" ref="F538">(PRODUCT(1+sp500_monthly!K539:K658)^(1/120)-1)*100</f>
        <v>0.33914409442785676</v>
      </c>
      <c r="G538" cm="1">
        <f t="array" ref="G538">(PRODUCT(1+sp500_monthly!L539:L658)^(1/120)-1)</f>
        <v>0.51960548849768662</v>
      </c>
      <c r="H538" cm="1">
        <f t="array" ref="H538">(PRODUCT(1+sp500_monthly!N539:N658)^(1/120)-1)*100</f>
        <v>5.7012623048269262E-2</v>
      </c>
      <c r="I538" cm="1">
        <f t="array" ref="I538">(PRODUCT(1+sp500_monthly!O539:O658)^(1/120)-1)*100</f>
        <v>-0.10235068339551345</v>
      </c>
    </row>
    <row r="539" spans="1:9" x14ac:dyDescent="0.35">
      <c r="A539" s="1">
        <v>29525</v>
      </c>
      <c r="B539" cm="1">
        <f t="array" ref="B539">(PRODUCT(1+sp500_monthly!B540:B659)^(1/120)-1)*100</f>
        <v>0.68527049561997178</v>
      </c>
      <c r="C539" cm="1">
        <f t="array" ref="C539">(PRODUCT(1+sp500_monthly!C540:C659)^(1/120)-1)*100</f>
        <v>0.3323374201587237</v>
      </c>
      <c r="D539" cm="1">
        <f t="array" ref="D539">(PRODUCT(1+sp500_monthly!D540:D659)^(1/120)-1)*100</f>
        <v>0.93711295027758545</v>
      </c>
      <c r="E539" cm="1">
        <f t="array" ref="E539">(PRODUCT(1+sp500_monthly!E540:E659)^(1/120)-1)*100</f>
        <v>0.5778935329652013</v>
      </c>
      <c r="F539" cm="1">
        <f t="array" ref="F539">(PRODUCT(1+sp500_monthly!K540:K659)^(1/120)-1)*100</f>
        <v>0.33278216523737747</v>
      </c>
      <c r="G539" cm="1">
        <f t="array" ref="G539">(PRODUCT(1+sp500_monthly!L540:L659)^(1/120)-1)</f>
        <v>0.52122515348266352</v>
      </c>
      <c r="H539" cm="1">
        <f t="array" ref="H539">(PRODUCT(1+sp500_monthly!N540:N659)^(1/120)-1)*100</f>
        <v>4.8821047229719028E-2</v>
      </c>
      <c r="I539" cm="1">
        <f t="array" ref="I539">(PRODUCT(1+sp500_monthly!O540:O659)^(1/120)-1)*100</f>
        <v>-0.10333019370651897</v>
      </c>
    </row>
    <row r="540" spans="1:9" x14ac:dyDescent="0.35">
      <c r="A540" s="1">
        <v>29553</v>
      </c>
      <c r="B540" cm="1">
        <f t="array" ref="B540">(PRODUCT(1+sp500_monthly!B541:B660)^(1/120)-1)*100</f>
        <v>0.70769670465229417</v>
      </c>
      <c r="C540" cm="1">
        <f t="array" ref="C540">(PRODUCT(1+sp500_monthly!C541:C660)^(1/120)-1)*100</f>
        <v>0.35436417059757641</v>
      </c>
      <c r="D540" cm="1">
        <f t="array" ref="D540">(PRODUCT(1+sp500_monthly!D541:D660)^(1/120)-1)*100</f>
        <v>0.972144571009248</v>
      </c>
      <c r="E540" cm="1">
        <f t="array" ref="E540">(PRODUCT(1+sp500_monthly!E541:E660)^(1/120)-1)*100</f>
        <v>0.61218901208539567</v>
      </c>
      <c r="F540" cm="1">
        <f t="array" ref="F540">(PRODUCT(1+sp500_monthly!K541:K660)^(1/120)-1)*100</f>
        <v>0.3556602264122688</v>
      </c>
      <c r="G540" cm="1">
        <f t="array" ref="G540">(PRODUCT(1+sp500_monthly!L541:L660)^(1/120)-1)</f>
        <v>0.52489817910769121</v>
      </c>
      <c r="H540" cm="1">
        <f t="array" ref="H540">(PRODUCT(1+sp500_monthly!N541:N660)^(1/120)-1)*100</f>
        <v>6.7435523538361686E-2</v>
      </c>
      <c r="I540" cm="1">
        <f t="array" ref="I540">(PRODUCT(1+sp500_monthly!O541:O660)^(1/120)-1)*100</f>
        <v>-0.10294327004596315</v>
      </c>
    </row>
    <row r="541" spans="1:9" x14ac:dyDescent="0.35">
      <c r="A541" s="1">
        <v>29586</v>
      </c>
      <c r="B541" cm="1">
        <f t="array" ref="B541">(PRODUCT(1+sp500_monthly!B542:B661)^(1/120)-1)*100</f>
        <v>0.75077471630033976</v>
      </c>
      <c r="C541" cm="1">
        <f t="array" ref="C541">(PRODUCT(1+sp500_monthly!C542:C661)^(1/120)-1)*100</f>
        <v>0.3964937129216306</v>
      </c>
      <c r="D541" cm="1">
        <f t="array" ref="D541">(PRODUCT(1+sp500_monthly!D542:D661)^(1/120)-1)*100</f>
        <v>0.9862910541037273</v>
      </c>
      <c r="E541" cm="1">
        <f t="array" ref="E541">(PRODUCT(1+sp500_monthly!E542:E661)^(1/120)-1)*100</f>
        <v>0.62590664997392853</v>
      </c>
      <c r="F541" cm="1">
        <f t="array" ref="F541">(PRODUCT(1+sp500_monthly!K542:K661)^(1/120)-1)*100</f>
        <v>0.39841497391321923</v>
      </c>
      <c r="G541" cm="1">
        <f t="array" ref="G541">(PRODUCT(1+sp500_monthly!L542:L661)^(1/120)-1)</f>
        <v>0.52864523171611166</v>
      </c>
      <c r="H541" cm="1">
        <f t="array" ref="H541">(PRODUCT(1+sp500_monthly!N542:N661)^(1/120)-1)*100</f>
        <v>0.10564605886485001</v>
      </c>
      <c r="I541" cm="1">
        <f t="array" ref="I541">(PRODUCT(1+sp500_monthly!O542:O661)^(1/120)-1)*100</f>
        <v>-0.10339415361323434</v>
      </c>
    </row>
    <row r="542" spans="1:9" x14ac:dyDescent="0.35">
      <c r="A542" s="1">
        <v>29616</v>
      </c>
      <c r="B542" cm="1">
        <f t="array" ref="B542">(PRODUCT(1+sp500_monthly!B543:B662)^(1/120)-1)*100</f>
        <v>0.67680073057967416</v>
      </c>
      <c r="C542" cm="1">
        <f t="array" ref="C542">(PRODUCT(1+sp500_monthly!C543:C662)^(1/120)-1)*100</f>
        <v>0.32177940662434512</v>
      </c>
      <c r="D542" cm="1">
        <f t="array" ref="D542">(PRODUCT(1+sp500_monthly!D543:D662)^(1/120)-1)*100</f>
        <v>0.9086763403147069</v>
      </c>
      <c r="E542" cm="1">
        <f t="array" ref="E542">(PRODUCT(1+sp500_monthly!E543:E662)^(1/120)-1)*100</f>
        <v>0.54718888626617002</v>
      </c>
      <c r="F542" cm="1">
        <f t="array" ref="F542">(PRODUCT(1+sp500_monthly!K543:K662)^(1/120)-1)*100</f>
        <v>0.32341667039281763</v>
      </c>
      <c r="G542" cm="1">
        <f t="array" ref="G542">(PRODUCT(1+sp500_monthly!L543:L662)^(1/120)-1)</f>
        <v>0.53485635335773951</v>
      </c>
      <c r="H542" cm="1">
        <f t="array" ref="H542">(PRODUCT(1+sp500_monthly!N543:N662)^(1/120)-1)*100</f>
        <v>2.8590832890396101E-2</v>
      </c>
      <c r="I542" cm="1">
        <f t="array" ref="I542">(PRODUCT(1+sp500_monthly!O543:O662)^(1/120)-1)*100</f>
        <v>-9.9598731557004605E-2</v>
      </c>
    </row>
    <row r="543" spans="1:9" x14ac:dyDescent="0.35">
      <c r="A543" s="1">
        <v>29644</v>
      </c>
      <c r="B543" cm="1">
        <f t="array" ref="B543">(PRODUCT(1+sp500_monthly!B544:B663)^(1/120)-1)*100</f>
        <v>0.60444445304588257</v>
      </c>
      <c r="C543" cm="1">
        <f t="array" ref="C543">(PRODUCT(1+sp500_monthly!C544:C663)^(1/120)-1)*100</f>
        <v>0.24928666065784366</v>
      </c>
      <c r="D543" cm="1">
        <f t="array" ref="D543">(PRODUCT(1+sp500_monthly!D544:D663)^(1/120)-1)*100</f>
        <v>0.83131998162042642</v>
      </c>
      <c r="E543" cm="1">
        <f t="array" ref="E543">(PRODUCT(1+sp500_monthly!E544:E663)^(1/120)-1)*100</f>
        <v>0.46952318350015343</v>
      </c>
      <c r="F543" cm="1">
        <f t="array" ref="F543">(PRODUCT(1+sp500_monthly!K544:K663)^(1/120)-1)*100</f>
        <v>0.25112587628655092</v>
      </c>
      <c r="G543" cm="1">
        <f t="array" ref="G543">(PRODUCT(1+sp500_monthly!L544:L663)^(1/120)-1)</f>
        <v>0.53986386786011731</v>
      </c>
      <c r="H543" cm="1">
        <f t="array" ref="H543">(PRODUCT(1+sp500_monthly!N544:N663)^(1/120)-1)*100</f>
        <v>-4.8886370360656795E-2</v>
      </c>
      <c r="I543" cm="1">
        <f t="array" ref="I543">(PRODUCT(1+sp500_monthly!O544:O663)^(1/120)-1)*100</f>
        <v>-9.9726728601101655E-2</v>
      </c>
    </row>
    <row r="544" spans="1:9" x14ac:dyDescent="0.35">
      <c r="A544" s="1">
        <v>29676</v>
      </c>
      <c r="B544" cm="1">
        <f t="array" ref="B544">(PRODUCT(1+sp500_monthly!B545:B664)^(1/120)-1)*100</f>
        <v>0.61099645129194524</v>
      </c>
      <c r="C544" cm="1">
        <f t="array" ref="C544">(PRODUCT(1+sp500_monthly!C545:C664)^(1/120)-1)*100</f>
        <v>0.25370010024474698</v>
      </c>
      <c r="D544" cm="1">
        <f t="array" ref="D544">(PRODUCT(1+sp500_monthly!D545:D664)^(1/120)-1)*100</f>
        <v>0.83713514454999416</v>
      </c>
      <c r="E544" cm="1">
        <f t="array" ref="E544">(PRODUCT(1+sp500_monthly!E545:E664)^(1/120)-1)*100</f>
        <v>0.47367564375921933</v>
      </c>
      <c r="F544" cm="1">
        <f t="array" ref="F544">(PRODUCT(1+sp500_monthly!K545:K664)^(1/120)-1)*100</f>
        <v>0.25459843031108154</v>
      </c>
      <c r="G544" cm="1">
        <f t="array" ref="G544">(PRODUCT(1+sp500_monthly!L545:L664)^(1/120)-1)</f>
        <v>0.54555091936113209</v>
      </c>
      <c r="H544" cm="1">
        <f t="array" ref="H544">(PRODUCT(1+sp500_monthly!N545:N664)^(1/120)-1)*100</f>
        <v>-4.9983809607223595E-2</v>
      </c>
      <c r="I544" cm="1">
        <f t="array" ref="I544">(PRODUCT(1+sp500_monthly!O545:O664)^(1/120)-1)*100</f>
        <v>-0.10121181039486338</v>
      </c>
    </row>
    <row r="545" spans="1:9" x14ac:dyDescent="0.35">
      <c r="A545" s="1">
        <v>29706</v>
      </c>
      <c r="B545" cm="1">
        <f t="array" ref="B545">(PRODUCT(1+sp500_monthly!B546:B665)^(1/120)-1)*100</f>
        <v>0.61036441165216448</v>
      </c>
      <c r="C545" cm="1">
        <f t="array" ref="C545">(PRODUCT(1+sp500_monthly!C546:C665)^(1/120)-1)*100</f>
        <v>0.25192850952566737</v>
      </c>
      <c r="D545" cm="1">
        <f t="array" ref="D545">(PRODUCT(1+sp500_monthly!D546:D665)^(1/120)-1)*100</f>
        <v>0.87052582050235472</v>
      </c>
      <c r="E545" cm="1">
        <f t="array" ref="E545">(PRODUCT(1+sp500_monthly!E546:E665)^(1/120)-1)*100</f>
        <v>0.505728842341302</v>
      </c>
      <c r="F545" cm="1">
        <f t="array" ref="F545">(PRODUCT(1+sp500_monthly!K546:K665)^(1/120)-1)*100</f>
        <v>0.2539833769434674</v>
      </c>
      <c r="G545" cm="1">
        <f t="array" ref="G545">(PRODUCT(1+sp500_monthly!L546:L665)^(1/120)-1)</f>
        <v>0.55240032674880268</v>
      </c>
      <c r="H545" cm="1">
        <f t="array" ref="H545">(PRODUCT(1+sp500_monthly!N546:N665)^(1/120)-1)*100</f>
        <v>-5.4186416953694305E-2</v>
      </c>
      <c r="I545" cm="1">
        <f t="array" ref="I545">(PRODUCT(1+sp500_monthly!O546:O665)^(1/120)-1)*100</f>
        <v>-9.7265765027854112E-2</v>
      </c>
    </row>
    <row r="546" spans="1:9" x14ac:dyDescent="0.35">
      <c r="A546" s="1">
        <v>29735</v>
      </c>
      <c r="B546" cm="1">
        <f t="array" ref="B546">(PRODUCT(1+sp500_monthly!B547:B666)^(1/120)-1)*100</f>
        <v>0.56282365585205163</v>
      </c>
      <c r="C546" cm="1">
        <f t="array" ref="C546">(PRODUCT(1+sp500_monthly!C547:C666)^(1/120)-1)*100</f>
        <v>0.20400674419986942</v>
      </c>
      <c r="D546" cm="1">
        <f t="array" ref="D546">(PRODUCT(1+sp500_monthly!D547:D666)^(1/120)-1)*100</f>
        <v>0.83700857282091867</v>
      </c>
      <c r="E546" cm="1">
        <f t="array" ref="E546">(PRODUCT(1+sp500_monthly!E547:E666)^(1/120)-1)*100</f>
        <v>0.47173443872405851</v>
      </c>
      <c r="F546" cm="1">
        <f t="array" ref="F546">(PRODUCT(1+sp500_monthly!K547:K666)^(1/120)-1)*100</f>
        <v>0.20438616170737056</v>
      </c>
      <c r="G546" cm="1">
        <f t="array" ref="G546">(PRODUCT(1+sp500_monthly!L547:L666)^(1/120)-1)</f>
        <v>0.55869390384947359</v>
      </c>
      <c r="H546" cm="1">
        <f t="array" ref="H546">(PRODUCT(1+sp500_monthly!N547:N666)^(1/120)-1)*100</f>
        <v>-0.10401930777151902</v>
      </c>
      <c r="I546" cm="1">
        <f t="array" ref="I546">(PRODUCT(1+sp500_monthly!O547:O666)^(1/120)-1)*100</f>
        <v>-9.3256743911429574E-2</v>
      </c>
    </row>
    <row r="547" spans="1:9" x14ac:dyDescent="0.35">
      <c r="A547" s="1">
        <v>29767</v>
      </c>
      <c r="B547" cm="1">
        <f t="array" ref="B547">(PRODUCT(1+sp500_monthly!B548:B667)^(1/120)-1)*100</f>
        <v>0.60001812512038288</v>
      </c>
      <c r="C547" cm="1">
        <f t="array" ref="C547">(PRODUCT(1+sp500_monthly!C548:C667)^(1/120)-1)*100</f>
        <v>0.23902324698179545</v>
      </c>
      <c r="D547" cm="1">
        <f t="array" ref="D547">(PRODUCT(1+sp500_monthly!D548:D667)^(1/120)-1)*100</f>
        <v>0.88649011371881858</v>
      </c>
      <c r="E547" cm="1">
        <f t="array" ref="E547">(PRODUCT(1+sp500_monthly!E548:E667)^(1/120)-1)*100</f>
        <v>0.51971749809736068</v>
      </c>
      <c r="F547" cm="1">
        <f t="array" ref="F547">(PRODUCT(1+sp500_monthly!K548:K667)^(1/120)-1)*100</f>
        <v>0.23845130067217113</v>
      </c>
      <c r="G547" cm="1">
        <f t="array" ref="G547">(PRODUCT(1+sp500_monthly!L548:L667)^(1/120)-1)</f>
        <v>0.56534321969303014</v>
      </c>
      <c r="H547" cm="1">
        <f t="array" ref="H547">(PRODUCT(1+sp500_monthly!N548:N667)^(1/120)-1)*100</f>
        <v>-6.8517414747093497E-2</v>
      </c>
      <c r="I547" cm="1">
        <f t="array" ref="I547">(PRODUCT(1+sp500_monthly!O548:O667)^(1/120)-1)*100</f>
        <v>-8.7593307573585744E-2</v>
      </c>
    </row>
    <row r="548" spans="1:9" x14ac:dyDescent="0.35">
      <c r="A548" s="1">
        <v>29798</v>
      </c>
      <c r="B548" cm="1">
        <f t="array" ref="B548">(PRODUCT(1+sp500_monthly!B549:B668)^(1/120)-1)*100</f>
        <v>0.59102715579251175</v>
      </c>
      <c r="C548" cm="1">
        <f t="array" ref="C548">(PRODUCT(1+sp500_monthly!C549:C668)^(1/120)-1)*100</f>
        <v>0.22874643092516411</v>
      </c>
      <c r="D548" cm="1">
        <f t="array" ref="D548">(PRODUCT(1+sp500_monthly!D549:D668)^(1/120)-1)*100</f>
        <v>0.8838565371537932</v>
      </c>
      <c r="E548" cm="1">
        <f t="array" ref="E548">(PRODUCT(1+sp500_monthly!E549:E668)^(1/120)-1)*100</f>
        <v>0.51578301561254758</v>
      </c>
      <c r="F548" cm="1">
        <f t="array" ref="F548">(PRODUCT(1+sp500_monthly!K549:K668)^(1/120)-1)*100</f>
        <v>0.22912513554020908</v>
      </c>
      <c r="G548" cm="1">
        <f t="array" ref="G548">(PRODUCT(1+sp500_monthly!L549:L668)^(1/120)-1)</f>
        <v>0.57239795586926823</v>
      </c>
      <c r="H548" cm="1">
        <f t="array" ref="H548">(PRODUCT(1+sp500_monthly!N549:N668)^(1/120)-1)*100</f>
        <v>-8.0719859419531304E-2</v>
      </c>
      <c r="I548" cm="1">
        <f t="array" ref="I548">(PRODUCT(1+sp500_monthly!O549:O668)^(1/120)-1)*100</f>
        <v>-8.2774134066543326E-2</v>
      </c>
    </row>
    <row r="549" spans="1:9" x14ac:dyDescent="0.35">
      <c r="A549" s="1">
        <v>29829</v>
      </c>
      <c r="B549" cm="1">
        <f t="array" ref="B549">(PRODUCT(1+sp500_monthly!B550:B669)^(1/120)-1)*100</f>
        <v>0.62657356033883893</v>
      </c>
      <c r="C549" cm="1">
        <f t="array" ref="C549">(PRODUCT(1+sp500_monthly!C550:C669)^(1/120)-1)*100</f>
        <v>0.2637137510837384</v>
      </c>
      <c r="D549" cm="1">
        <f t="array" ref="D549">(PRODUCT(1+sp500_monthly!D550:D669)^(1/120)-1)*100</f>
        <v>0.90574804571039724</v>
      </c>
      <c r="E549" cm="1">
        <f t="array" ref="E549">(PRODUCT(1+sp500_monthly!E550:E669)^(1/120)-1)*100</f>
        <v>0.5371050154509005</v>
      </c>
      <c r="F549" cm="1">
        <f t="array" ref="F549">(PRODUCT(1+sp500_monthly!K550:K669)^(1/120)-1)*100</f>
        <v>0.26253177976556241</v>
      </c>
      <c r="G549" cm="1">
        <f t="array" ref="G549">(PRODUCT(1+sp500_monthly!L550:L669)^(1/120)-1)</f>
        <v>0.57856863854334106</v>
      </c>
      <c r="H549" cm="1">
        <f t="array" ref="H549">(PRODUCT(1+sp500_monthly!N550:N669)^(1/120)-1)*100</f>
        <v>-5.2509880620232874E-2</v>
      </c>
      <c r="I549" cm="1">
        <f t="array" ref="I549">(PRODUCT(1+sp500_monthly!O550:O669)^(1/120)-1)*100</f>
        <v>-8.2933419200947878E-2</v>
      </c>
    </row>
    <row r="550" spans="1:9" x14ac:dyDescent="0.35">
      <c r="A550" s="1">
        <v>29859</v>
      </c>
      <c r="B550" cm="1">
        <f t="array" ref="B550">(PRODUCT(1+sp500_monthly!B551:B670)^(1/120)-1)*100</f>
        <v>0.54416193205437668</v>
      </c>
      <c r="C550" cm="1">
        <f t="array" ref="C550">(PRODUCT(1+sp500_monthly!C551:C670)^(1/120)-1)*100</f>
        <v>0.17879922630792411</v>
      </c>
      <c r="D550" cm="1">
        <f t="array" ref="D550">(PRODUCT(1+sp500_monthly!D551:D670)^(1/120)-1)*100</f>
        <v>0.80830334214407884</v>
      </c>
      <c r="E550" cm="1">
        <f t="array" ref="E550">(PRODUCT(1+sp500_monthly!E551:E670)^(1/120)-1)*100</f>
        <v>0.43815816658783202</v>
      </c>
      <c r="F550" cm="1">
        <f t="array" ref="F550">(PRODUCT(1+sp500_monthly!K551:K670)^(1/120)-1)*100</f>
        <v>0.17937368475096083</v>
      </c>
      <c r="G550" cm="1">
        <f t="array" ref="G550">(PRODUCT(1+sp500_monthly!L551:L670)^(1/120)-1)</f>
        <v>0.58435299691629372</v>
      </c>
      <c r="H550" cm="1">
        <f t="array" ref="H550">(PRODUCT(1+sp500_monthly!N551:N670)^(1/120)-1)*100</f>
        <v>-0.13866042228579678</v>
      </c>
      <c r="I550" cm="1">
        <f t="array" ref="I550">(PRODUCT(1+sp500_monthly!O551:O670)^(1/120)-1)*100</f>
        <v>-8.0544831141371453E-2</v>
      </c>
    </row>
    <row r="551" spans="1:9" x14ac:dyDescent="0.35">
      <c r="A551" s="1">
        <v>29889</v>
      </c>
      <c r="B551" cm="1">
        <f t="array" ref="B551">(PRODUCT(1+sp500_monthly!B552:B671)^(1/120)-1)*100</f>
        <v>0.50501329574794696</v>
      </c>
      <c r="C551" cm="1">
        <f t="array" ref="C551">(PRODUCT(1+sp500_monthly!C552:C671)^(1/120)-1)*100</f>
        <v>0.13825436730865448</v>
      </c>
      <c r="D551" cm="1">
        <f t="array" ref="D551">(PRODUCT(1+sp500_monthly!D552:D671)^(1/120)-1)*100</f>
        <v>0.77597951770664864</v>
      </c>
      <c r="E551" cm="1">
        <f t="array" ref="E551">(PRODUCT(1+sp500_monthly!E552:E671)^(1/120)-1)*100</f>
        <v>0.40402622104347419</v>
      </c>
      <c r="F551" cm="1">
        <f t="array" ref="F551">(PRODUCT(1+sp500_monthly!K552:K671)^(1/120)-1)*100</f>
        <v>0.13902392942732877</v>
      </c>
      <c r="G551" cm="1">
        <f t="array" ref="G551">(PRODUCT(1+sp500_monthly!L552:L671)^(1/120)-1)</f>
        <v>0.5908577394284984</v>
      </c>
      <c r="H551" cm="1">
        <f t="array" ref="H551">(PRODUCT(1+sp500_monthly!N552:N671)^(1/120)-1)*100</f>
        <v>-0.18358231952917414</v>
      </c>
      <c r="I551" cm="1">
        <f t="array" ref="I551">(PRODUCT(1+sp500_monthly!O552:O671)^(1/120)-1)*100</f>
        <v>-7.9403650278997429E-2</v>
      </c>
    </row>
    <row r="552" spans="1:9" x14ac:dyDescent="0.35">
      <c r="A552" s="1">
        <v>29920</v>
      </c>
      <c r="B552" cm="1">
        <f t="array" ref="B552">(PRODUCT(1+sp500_monthly!B553:B672)^(1/120)-1)*100</f>
        <v>0.58189451639858447</v>
      </c>
      <c r="C552" cm="1">
        <f t="array" ref="C552">(PRODUCT(1+sp500_monthly!C553:C672)^(1/120)-1)*100</f>
        <v>0.2137776793178281</v>
      </c>
      <c r="D552" cm="1">
        <f t="array" ref="D552">(PRODUCT(1+sp500_monthly!D553:D672)^(1/120)-1)*100</f>
        <v>0.87148908090597388</v>
      </c>
      <c r="E552" cm="1">
        <f t="array" ref="E552">(PRODUCT(1+sp500_monthly!E553:E672)^(1/120)-1)*100</f>
        <v>0.49835261802591013</v>
      </c>
      <c r="F552" cm="1">
        <f t="array" ref="F552">(PRODUCT(1+sp500_monthly!K553:K672)^(1/120)-1)*100</f>
        <v>0.21471664991392636</v>
      </c>
      <c r="G552" cm="1">
        <f t="array" ref="G552">(PRODUCT(1+sp500_monthly!L553:L672)^(1/120)-1)</f>
        <v>0.59720971333816952</v>
      </c>
      <c r="H552" cm="1">
        <f t="array" ref="H552">(PRODUCT(1+sp500_monthly!N553:N672)^(1/120)-1)*100</f>
        <v>-0.1078681328797404</v>
      </c>
      <c r="I552" cm="1">
        <f t="array" ref="I552">(PRODUCT(1+sp500_monthly!O553:O672)^(1/120)-1)*100</f>
        <v>-7.3104266591206279E-2</v>
      </c>
    </row>
    <row r="553" spans="1:9" x14ac:dyDescent="0.35">
      <c r="A553" s="1">
        <v>29951</v>
      </c>
      <c r="B553" cm="1">
        <f t="array" ref="B553">(PRODUCT(1+sp500_monthly!B554:B673)^(1/120)-1)*100</f>
        <v>0.61542736787913999</v>
      </c>
      <c r="C553" cm="1">
        <f t="array" ref="C553">(PRODUCT(1+sp500_monthly!C554:C673)^(1/120)-1)*100</f>
        <v>0.24494821857605764</v>
      </c>
      <c r="D553" cm="1">
        <f t="array" ref="D553">(PRODUCT(1+sp500_monthly!D554:D673)^(1/120)-1)*100</f>
        <v>0.92100406897199782</v>
      </c>
      <c r="E553" cm="1">
        <f t="array" ref="E553">(PRODUCT(1+sp500_monthly!E554:E673)^(1/120)-1)*100</f>
        <v>0.54605511148642094</v>
      </c>
      <c r="F553" cm="1">
        <f t="array" ref="F553">(PRODUCT(1+sp500_monthly!K554:K673)^(1/120)-1)*100</f>
        <v>0.24686294328037928</v>
      </c>
      <c r="G553" cm="1">
        <f t="array" ref="G553">(PRODUCT(1+sp500_monthly!L554:L673)^(1/120)-1)</f>
        <v>0.60271274612926806</v>
      </c>
      <c r="H553" cm="1">
        <f t="array" ref="H553">(PRODUCT(1+sp500_monthly!N554:N673)^(1/120)-1)*100</f>
        <v>-7.6090346605228731E-2</v>
      </c>
      <c r="I553" cm="1">
        <f t="array" ref="I553">(PRODUCT(1+sp500_monthly!O554:O673)^(1/120)-1)*100</f>
        <v>-6.884189292907239E-2</v>
      </c>
    </row>
    <row r="554" spans="1:9" x14ac:dyDescent="0.35">
      <c r="A554" s="1">
        <v>29980</v>
      </c>
      <c r="B554" cm="1">
        <f t="array" ref="B554">(PRODUCT(1+sp500_monthly!B555:B674)^(1/120)-1)*100</f>
        <v>0.52184600874725096</v>
      </c>
      <c r="C554" cm="1">
        <f t="array" ref="C554">(PRODUCT(1+sp500_monthly!C555:C674)^(1/120)-1)*100</f>
        <v>0.15047431636681097</v>
      </c>
      <c r="D554" cm="1">
        <f t="array" ref="D554">(PRODUCT(1+sp500_monthly!D555:D674)^(1/120)-1)*100</f>
        <v>0.81726170543232612</v>
      </c>
      <c r="E554" cm="1">
        <f t="array" ref="E554">(PRODUCT(1+sp500_monthly!E555:E674)^(1/120)-1)*100</f>
        <v>0.44125834018702292</v>
      </c>
      <c r="F554" cm="1">
        <f t="array" ref="F554">(PRODUCT(1+sp500_monthly!K555:K674)^(1/120)-1)*100</f>
        <v>0.15233918649142364</v>
      </c>
      <c r="G554" cm="1">
        <f t="array" ref="G554">(PRODUCT(1+sp500_monthly!L555:L674)^(1/120)-1)</f>
        <v>0.60687354034202579</v>
      </c>
      <c r="H554" cm="1">
        <f t="array" ref="H554">(PRODUCT(1+sp500_monthly!N555:N674)^(1/120)-1)*100</f>
        <v>-0.16965841034417561</v>
      </c>
      <c r="I554" cm="1">
        <f t="array" ref="I554">(PRODUCT(1+sp500_monthly!O555:O674)^(1/120)-1)*100</f>
        <v>-6.5334193206545432E-2</v>
      </c>
    </row>
    <row r="555" spans="1:9" x14ac:dyDescent="0.35">
      <c r="A555" s="1">
        <v>30008</v>
      </c>
      <c r="B555" cm="1">
        <f t="array" ref="B555">(PRODUCT(1+sp500_monthly!B556:B675)^(1/120)-1)*100</f>
        <v>0.49303856101365895</v>
      </c>
      <c r="C555" cm="1">
        <f t="array" ref="C555">(PRODUCT(1+sp500_monthly!C556:C675)^(1/120)-1)*100</f>
        <v>0.12153903423586243</v>
      </c>
      <c r="D555" cm="1">
        <f t="array" ref="D555">(PRODUCT(1+sp500_monthly!D556:D675)^(1/120)-1)*100</f>
        <v>0.769240192985432</v>
      </c>
      <c r="E555" cm="1">
        <f t="array" ref="E555">(PRODUCT(1+sp500_monthly!E556:E675)^(1/120)-1)*100</f>
        <v>0.39305290109119539</v>
      </c>
      <c r="F555" cm="1">
        <f t="array" ref="F555">(PRODUCT(1+sp500_monthly!K556:K675)^(1/120)-1)*100</f>
        <v>0.12258292998357234</v>
      </c>
      <c r="G555" cm="1">
        <f t="array" ref="G555">(PRODUCT(1+sp500_monthly!L556:L675)^(1/120)-1)</f>
        <v>0.61134074671231087</v>
      </c>
      <c r="H555" cm="1">
        <f t="array" ref="H555">(PRODUCT(1+sp500_monthly!N556:N675)^(1/120)-1)*100</f>
        <v>-0.19889385128973869</v>
      </c>
      <c r="I555" cm="1">
        <f t="array" ref="I555">(PRODUCT(1+sp500_monthly!O556:O675)^(1/120)-1)*100</f>
        <v>-6.1736917850274686E-2</v>
      </c>
    </row>
    <row r="556" spans="1:9" x14ac:dyDescent="0.35">
      <c r="A556" s="1">
        <v>30041</v>
      </c>
      <c r="B556" cm="1">
        <f t="array" ref="B556">(PRODUCT(1+sp500_monthly!B557:B676)^(1/120)-1)*100</f>
        <v>0.42478430538916978</v>
      </c>
      <c r="C556" cm="1">
        <f t="array" ref="C556">(PRODUCT(1+sp500_monthly!C557:C676)^(1/120)-1)*100</f>
        <v>4.9364427414766432E-2</v>
      </c>
      <c r="D556" cm="1">
        <f t="array" ref="D556">(PRODUCT(1+sp500_monthly!D557:D676)^(1/120)-1)*100</f>
        <v>0.71507953199869689</v>
      </c>
      <c r="E556" cm="1">
        <f t="array" ref="E556">(PRODUCT(1+sp500_monthly!E557:E676)^(1/120)-1)*100</f>
        <v>0.33656756049327274</v>
      </c>
      <c r="F556" cm="1">
        <f t="array" ref="F556">(PRODUCT(1+sp500_monthly!K557:K676)^(1/120)-1)*100</f>
        <v>4.964790302877109E-2</v>
      </c>
      <c r="G556" cm="1">
        <f t="array" ref="G556">(PRODUCT(1+sp500_monthly!L557:L676)^(1/120)-1)</f>
        <v>0.6171140468329519</v>
      </c>
      <c r="H556" cm="1">
        <f t="array" ref="H556">(PRODUCT(1+sp500_monthly!N557:N676)^(1/120)-1)*100</f>
        <v>-0.26529043707710365</v>
      </c>
      <c r="I556" cm="1">
        <f t="array" ref="I556">(PRODUCT(1+sp500_monthly!O557:O676)^(1/120)-1)*100</f>
        <v>-5.4798667124444922E-2</v>
      </c>
    </row>
    <row r="557" spans="1:9" x14ac:dyDescent="0.35">
      <c r="A557" s="1">
        <v>30071</v>
      </c>
      <c r="B557" cm="1">
        <f t="array" ref="B557">(PRODUCT(1+sp500_monthly!B558:B677)^(1/120)-1)*100</f>
        <v>0.41297116691714209</v>
      </c>
      <c r="C557" cm="1">
        <f t="array" ref="C557">(PRODUCT(1+sp500_monthly!C558:C677)^(1/120)-1)*100</f>
        <v>3.5499048436316016E-2</v>
      </c>
      <c r="D557" cm="1">
        <f t="array" ref="D557">(PRODUCT(1+sp500_monthly!D558:D677)^(1/120)-1)*100</f>
        <v>0.71127470027740891</v>
      </c>
      <c r="E557" cm="1">
        <f t="array" ref="E557">(PRODUCT(1+sp500_monthly!E558:E677)^(1/120)-1)*100</f>
        <v>0.330409878093052</v>
      </c>
      <c r="F557" cm="1">
        <f t="array" ref="F557">(PRODUCT(1+sp500_monthly!K558:K677)^(1/120)-1)*100</f>
        <v>3.6214113551147342E-2</v>
      </c>
      <c r="G557" cm="1">
        <f t="array" ref="G557">(PRODUCT(1+sp500_monthly!L558:L677)^(1/120)-1)</f>
        <v>0.62310953293487015</v>
      </c>
      <c r="H557" cm="1">
        <f t="array" ref="H557">(PRODUCT(1+sp500_monthly!N558:N677)^(1/120)-1)*100</f>
        <v>-0.27702240088151031</v>
      </c>
      <c r="I557" cm="1">
        <f t="array" ref="I557">(PRODUCT(1+sp500_monthly!O558:O677)^(1/120)-1)*100</f>
        <v>-4.8921774897714432E-2</v>
      </c>
    </row>
    <row r="558" spans="1:9" x14ac:dyDescent="0.35">
      <c r="A558" s="1">
        <v>30099</v>
      </c>
      <c r="B558" cm="1">
        <f t="array" ref="B558">(PRODUCT(1+sp500_monthly!B559:B678)^(1/120)-1)*100</f>
        <v>0.44247091178930553</v>
      </c>
      <c r="C558" cm="1">
        <f t="array" ref="C558">(PRODUCT(1+sp500_monthly!C559:C678)^(1/120)-1)*100</f>
        <v>6.4375213594369818E-2</v>
      </c>
      <c r="D558" cm="1">
        <f t="array" ref="D558">(PRODUCT(1+sp500_monthly!D559:D678)^(1/120)-1)*100</f>
        <v>0.74640977848057233</v>
      </c>
      <c r="E558" cm="1">
        <f t="array" ref="E558">(PRODUCT(1+sp500_monthly!E559:E678)^(1/120)-1)*100</f>
        <v>0.3648080781379015</v>
      </c>
      <c r="F558" cm="1">
        <f t="array" ref="F558">(PRODUCT(1+sp500_monthly!K559:K678)^(1/120)-1)*100</f>
        <v>6.5278652013867067E-2</v>
      </c>
      <c r="G558" cm="1">
        <f t="array" ref="G558">(PRODUCT(1+sp500_monthly!L559:L678)^(1/120)-1)</f>
        <v>0.62990669722088133</v>
      </c>
      <c r="H558" cm="1">
        <f t="array" ref="H558">(PRODUCT(1+sp500_monthly!N559:N678)^(1/120)-1)*100</f>
        <v>-0.24834910177765623</v>
      </c>
      <c r="I558" cm="1">
        <f t="array" ref="I558">(PRODUCT(1+sp500_monthly!O559:O678)^(1/120)-1)*100</f>
        <v>-4.2599266261555968E-2</v>
      </c>
    </row>
    <row r="559" spans="1:9" x14ac:dyDescent="0.35">
      <c r="A559" s="1">
        <v>30132</v>
      </c>
      <c r="B559" cm="1">
        <f t="array" ref="B559">(PRODUCT(1+sp500_monthly!B560:B679)^(1/120)-1)*100</f>
        <v>0.39918191184449281</v>
      </c>
      <c r="C559" cm="1">
        <f t="array" ref="C559">(PRODUCT(1+sp500_monthly!C560:C679)^(1/120)-1)*100</f>
        <v>1.6628263682516575E-2</v>
      </c>
      <c r="D559" cm="1">
        <f t="array" ref="D559">(PRODUCT(1+sp500_monthly!D560:D679)^(1/120)-1)*100</f>
        <v>0.70787104501528475</v>
      </c>
      <c r="E559" cm="1">
        <f t="array" ref="E559">(PRODUCT(1+sp500_monthly!E560:E679)^(1/120)-1)*100</f>
        <v>0.32356082729037006</v>
      </c>
      <c r="F559" cm="1">
        <f t="array" ref="F559">(PRODUCT(1+sp500_monthly!K560:K679)^(1/120)-1)*100</f>
        <v>1.7694801544743122E-2</v>
      </c>
      <c r="G559" cm="1">
        <f t="array" ref="G559">(PRODUCT(1+sp500_monthly!L560:L679)^(1/120)-1)</f>
        <v>0.63617132273788535</v>
      </c>
      <c r="H559" cm="1">
        <f t="array" ref="H559">(PRODUCT(1+sp500_monthly!N560:N679)^(1/120)-1)*100</f>
        <v>-0.29717510872930841</v>
      </c>
      <c r="I559" cm="1">
        <f t="array" ref="I559">(PRODUCT(1+sp500_monthly!O560:O679)^(1/120)-1)*100</f>
        <v>-4.2160823288006632E-2</v>
      </c>
    </row>
    <row r="560" spans="1:9" x14ac:dyDescent="0.35">
      <c r="A560" s="1">
        <v>30162</v>
      </c>
      <c r="B560" cm="1">
        <f t="array" ref="B560">(PRODUCT(1+sp500_monthly!B561:B680)^(1/120)-1)*100</f>
        <v>0.40291104935523681</v>
      </c>
      <c r="C560" cm="1">
        <f t="array" ref="C560">(PRODUCT(1+sp500_monthly!C561:C680)^(1/120)-1)*100</f>
        <v>1.8707194160660912E-2</v>
      </c>
      <c r="D560" cm="1">
        <f t="array" ref="D560">(PRODUCT(1+sp500_monthly!D561:D680)^(1/120)-1)*100</f>
        <v>0.72823294529307248</v>
      </c>
      <c r="E560" cm="1">
        <f t="array" ref="E560">(PRODUCT(1+sp500_monthly!E561:E680)^(1/120)-1)*100</f>
        <v>0.34221054957142005</v>
      </c>
      <c r="F560" cm="1">
        <f t="array" ref="F560">(PRODUCT(1+sp500_monthly!K561:K680)^(1/120)-1)*100</f>
        <v>1.8998315344465055E-2</v>
      </c>
      <c r="G560" cm="1">
        <f t="array" ref="G560">(PRODUCT(1+sp500_monthly!L561:L680)^(1/120)-1)</f>
        <v>0.64188472627287596</v>
      </c>
      <c r="H560" cm="1">
        <f t="array" ref="H560">(PRODUCT(1+sp500_monthly!N561:N680)^(1/120)-1)*100</f>
        <v>-0.30095289772030798</v>
      </c>
      <c r="I560" cm="1">
        <f t="array" ref="I560">(PRODUCT(1+sp500_monthly!O561:O680)^(1/120)-1)*100</f>
        <v>-4.4114667899408655E-2</v>
      </c>
    </row>
    <row r="561" spans="1:9" x14ac:dyDescent="0.35">
      <c r="A561" s="1">
        <v>30194</v>
      </c>
      <c r="B561" cm="1">
        <f t="array" ref="B561">(PRODUCT(1+sp500_monthly!B562:B681)^(1/120)-1)*100</f>
        <v>0.38312899341899076</v>
      </c>
      <c r="C561" cm="1">
        <f t="array" ref="C561">(PRODUCT(1+sp500_monthly!C562:C681)^(1/120)-1)*100</f>
        <v>-1.6517573328544977E-3</v>
      </c>
      <c r="D561" cm="1">
        <f t="array" ref="D561">(PRODUCT(1+sp500_monthly!D562:D681)^(1/120)-1)*100</f>
        <v>0.73261489586065043</v>
      </c>
      <c r="E561" cm="1">
        <f t="array" ref="E561">(PRODUCT(1+sp500_monthly!E562:E681)^(1/120)-1)*100</f>
        <v>0.34609367451965412</v>
      </c>
      <c r="F561" cm="1">
        <f t="array" ref="F561">(PRODUCT(1+sp500_monthly!K562:K681)^(1/120)-1)*100</f>
        <v>-2.328210244995077E-3</v>
      </c>
      <c r="G561" cm="1">
        <f t="array" ref="G561">(PRODUCT(1+sp500_monthly!L562:L681)^(1/120)-1)</f>
        <v>0.64802331271869384</v>
      </c>
      <c r="H561" cm="1">
        <f t="array" ref="H561">(PRODUCT(1+sp500_monthly!N562:N681)^(1/120)-1)*100</f>
        <v>-0.32287740138172705</v>
      </c>
      <c r="I561" cm="1">
        <f t="array" ref="I561">(PRODUCT(1+sp500_monthly!O562:O681)^(1/120)-1)*100</f>
        <v>-4.0279733334902534E-2</v>
      </c>
    </row>
    <row r="562" spans="1:9" x14ac:dyDescent="0.35">
      <c r="A562" s="1">
        <v>30224</v>
      </c>
      <c r="B562" cm="1">
        <f t="array" ref="B562">(PRODUCT(1+sp500_monthly!B563:B682)^(1/120)-1)*100</f>
        <v>0.45111824117687327</v>
      </c>
      <c r="C562" cm="1">
        <f t="array" ref="C562">(PRODUCT(1+sp500_monthly!C563:C682)^(1/120)-1)*100</f>
        <v>6.1924232757526454E-2</v>
      </c>
      <c r="D562" cm="1">
        <f t="array" ref="D562">(PRODUCT(1+sp500_monthly!D563:D682)^(1/120)-1)*100</f>
        <v>0.80099875239945106</v>
      </c>
      <c r="E562" cm="1">
        <f t="array" ref="E562">(PRODUCT(1+sp500_monthly!E563:E682)^(1/120)-1)*100</f>
        <v>0.41173128664189207</v>
      </c>
      <c r="F562" cm="1">
        <f t="array" ref="F562">(PRODUCT(1+sp500_monthly!K563:K682)^(1/120)-1)*100</f>
        <v>6.0904054259358631E-2</v>
      </c>
      <c r="G562" cm="1">
        <f t="array" ref="G562">(PRODUCT(1+sp500_monthly!L563:L682)^(1/120)-1)</f>
        <v>0.65229545734097716</v>
      </c>
      <c r="H562" cm="1">
        <f t="array" ref="H562">(PRODUCT(1+sp500_monthly!N563:N682)^(1/120)-1)*100</f>
        <v>-0.25508346519009795</v>
      </c>
      <c r="I562" cm="1">
        <f t="array" ref="I562">(PRODUCT(1+sp500_monthly!O563:O682)^(1/120)-1)*100</f>
        <v>-3.6101522349540893E-2</v>
      </c>
    </row>
    <row r="563" spans="1:9" x14ac:dyDescent="0.35">
      <c r="A563" s="1">
        <v>30253</v>
      </c>
      <c r="B563" cm="1">
        <f t="array" ref="B563">(PRODUCT(1+sp500_monthly!B564:B683)^(1/120)-1)*100</f>
        <v>0.46260689024768542</v>
      </c>
      <c r="C563" cm="1">
        <f t="array" ref="C563">(PRODUCT(1+sp500_monthly!C564:C683)^(1/120)-1)*100</f>
        <v>7.2109057200764326E-2</v>
      </c>
      <c r="D563" cm="1">
        <f t="array" ref="D563">(PRODUCT(1+sp500_monthly!D564:D683)^(1/120)-1)*100</f>
        <v>0.83276018137428132</v>
      </c>
      <c r="E563" cm="1">
        <f t="array" ref="E563">(PRODUCT(1+sp500_monthly!E564:E683)^(1/120)-1)*100</f>
        <v>0.44208309968523096</v>
      </c>
      <c r="F563" cm="1">
        <f t="array" ref="F563">(PRODUCT(1+sp500_monthly!K564:K683)^(1/120)-1)*100</f>
        <v>7.1292593773408797E-2</v>
      </c>
      <c r="G563" cm="1">
        <f t="array" ref="G563">(PRODUCT(1+sp500_monthly!L564:L683)^(1/120)-1)</f>
        <v>0.65394086132089568</v>
      </c>
      <c r="H563" cm="1">
        <f t="array" ref="H563">(PRODUCT(1+sp500_monthly!N564:N683)^(1/120)-1)*100</f>
        <v>-0.23971691446563748</v>
      </c>
      <c r="I563" cm="1">
        <f t="array" ref="I563">(PRODUCT(1+sp500_monthly!O564:O683)^(1/120)-1)*100</f>
        <v>-3.0724386493985456E-2</v>
      </c>
    </row>
    <row r="564" spans="1:9" x14ac:dyDescent="0.35">
      <c r="A564" s="1">
        <v>30285</v>
      </c>
      <c r="B564" cm="1">
        <f t="array" ref="B564">(PRODUCT(1+sp500_monthly!B565:B684)^(1/120)-1)*100</f>
        <v>0.54385947304798066</v>
      </c>
      <c r="C564" cm="1">
        <f t="array" ref="C564">(PRODUCT(1+sp500_monthly!C565:C684)^(1/120)-1)*100</f>
        <v>0.15221035942258876</v>
      </c>
      <c r="D564" cm="1">
        <f t="array" ref="D564">(PRODUCT(1+sp500_monthly!D565:D684)^(1/120)-1)*100</f>
        <v>0.94315109675278119</v>
      </c>
      <c r="E564" cm="1">
        <f t="array" ref="E564">(PRODUCT(1+sp500_monthly!E565:E684)^(1/120)-1)*100</f>
        <v>0.5517616168730477</v>
      </c>
      <c r="F564" cm="1">
        <f t="array" ref="F564">(PRODUCT(1+sp500_monthly!K565:K684)^(1/120)-1)*100</f>
        <v>0.15089260869665111</v>
      </c>
      <c r="G564" cm="1">
        <f t="array" ref="G564">(PRODUCT(1+sp500_monthly!L565:L684)^(1/120)-1)</f>
        <v>0.65569582054808095</v>
      </c>
      <c r="H564" cm="1">
        <f t="array" ref="H564">(PRODUCT(1+sp500_monthly!N565:N684)^(1/120)-1)*100</f>
        <v>-0.16045785200120566</v>
      </c>
      <c r="I564" cm="1">
        <f t="array" ref="I564">(PRODUCT(1+sp500_monthly!O565:O684)^(1/120)-1)*100</f>
        <v>-3.0576669517512478E-2</v>
      </c>
    </row>
    <row r="565" spans="1:9" x14ac:dyDescent="0.35">
      <c r="A565" s="1">
        <v>30316</v>
      </c>
      <c r="B565" cm="1">
        <f t="array" ref="B565">(PRODUCT(1+sp500_monthly!B566:B685)^(1/120)-1)*100</f>
        <v>0.54022753836986404</v>
      </c>
      <c r="C565" cm="1">
        <f t="array" ref="C565">(PRODUCT(1+sp500_monthly!C566:C685)^(1/120)-1)*100</f>
        <v>0.14610426363983464</v>
      </c>
      <c r="D565" cm="1">
        <f t="array" ref="D565">(PRODUCT(1+sp500_monthly!D566:D685)^(1/120)-1)*100</f>
        <v>0.93293527731170833</v>
      </c>
      <c r="E565" cm="1">
        <f t="array" ref="E565">(PRODUCT(1+sp500_monthly!E566:E685)^(1/120)-1)*100</f>
        <v>0.54034060726722011</v>
      </c>
      <c r="F565" cm="1">
        <f t="array" ref="F565">(PRODUCT(1+sp500_monthly!K566:K685)^(1/120)-1)*100</f>
        <v>0.14328036260573551</v>
      </c>
      <c r="G565" cm="1">
        <f t="array" ref="G565">(PRODUCT(1+sp500_monthly!L566:L685)^(1/120)-1)</f>
        <v>0.65809513284298871</v>
      </c>
      <c r="H565" cm="1">
        <f t="array" ref="H565">(PRODUCT(1+sp500_monthly!N566:N685)^(1/120)-1)*100</f>
        <v>-0.15928206464210781</v>
      </c>
      <c r="I565" cm="1">
        <f t="array" ref="I565">(PRODUCT(1+sp500_monthly!O566:O685)^(1/120)-1)*100</f>
        <v>-2.3632639505744013E-2</v>
      </c>
    </row>
    <row r="566" spans="1:9" x14ac:dyDescent="0.35">
      <c r="A566" s="1">
        <v>30347</v>
      </c>
      <c r="B566" cm="1">
        <f t="array" ref="B566">(PRODUCT(1+sp500_monthly!B567:B686)^(1/120)-1)*100</f>
        <v>0.5428452706773168</v>
      </c>
      <c r="C566" cm="1">
        <f t="array" ref="C566">(PRODUCT(1+sp500_monthly!C567:C686)^(1/120)-1)*100</f>
        <v>0.14779536435038931</v>
      </c>
      <c r="D566" cm="1">
        <f t="array" ref="D566">(PRODUCT(1+sp500_monthly!D567:D686)^(1/120)-1)*100</f>
        <v>0.95586914558019043</v>
      </c>
      <c r="E566" cm="1">
        <f t="array" ref="E566">(PRODUCT(1+sp500_monthly!E567:E686)^(1/120)-1)*100</f>
        <v>0.56236822600643777</v>
      </c>
      <c r="F566" cm="1">
        <f t="array" ref="F566">(PRODUCT(1+sp500_monthly!K567:K686)^(1/120)-1)*100</f>
        <v>0.14602238112535471</v>
      </c>
      <c r="G566" cm="1">
        <f t="array" ref="G566">(PRODUCT(1+sp500_monthly!L567:L686)^(1/120)-1)</f>
        <v>0.66083342649005328</v>
      </c>
      <c r="H566" cm="1">
        <f t="array" ref="H566">(PRODUCT(1+sp500_monthly!N567:N686)^(1/120)-1)*100</f>
        <v>-0.15217149452694256</v>
      </c>
      <c r="I566" cm="1">
        <f t="array" ref="I566">(PRODUCT(1+sp500_monthly!O567:O686)^(1/120)-1)*100</f>
        <v>-1.6628952832120625E-2</v>
      </c>
    </row>
    <row r="567" spans="1:9" x14ac:dyDescent="0.35">
      <c r="A567" s="1">
        <v>30375</v>
      </c>
      <c r="B567" cm="1">
        <f t="array" ref="B567">(PRODUCT(1+sp500_monthly!B568:B687)^(1/120)-1)*100</f>
        <v>0.58606986855855858</v>
      </c>
      <c r="C567" cm="1">
        <f t="array" ref="C567">(PRODUCT(1+sp500_monthly!C568:C687)^(1/120)-1)*100</f>
        <v>0.19035285796169532</v>
      </c>
      <c r="D567" cm="1">
        <f t="array" ref="D567">(PRODUCT(1+sp500_monthly!D568:D687)^(1/120)-1)*100</f>
        <v>1.0273551865718211</v>
      </c>
      <c r="E567" cm="1">
        <f t="array" ref="E567">(PRODUCT(1+sp500_monthly!E568:E687)^(1/120)-1)*100</f>
        <v>0.63321740858721665</v>
      </c>
      <c r="F567" cm="1">
        <f t="array" ref="F567">(PRODUCT(1+sp500_monthly!K568:K687)^(1/120)-1)*100</f>
        <v>0.18763834782380417</v>
      </c>
      <c r="G567" cm="1">
        <f t="array" ref="G567">(PRODUCT(1+sp500_monthly!L568:L687)^(1/120)-1)</f>
        <v>0.66305053176133466</v>
      </c>
      <c r="H567" cm="1">
        <f t="array" ref="H567">(PRODUCT(1+sp500_monthly!N568:N687)^(1/120)-1)*100</f>
        <v>-0.10703986935430843</v>
      </c>
      <c r="I567" cm="1">
        <f t="array" ref="I567">(PRODUCT(1+sp500_monthly!O568:O687)^(1/120)-1)*100</f>
        <v>-1.23497317414345E-2</v>
      </c>
    </row>
    <row r="568" spans="1:9" x14ac:dyDescent="0.35">
      <c r="A568" s="1">
        <v>30406</v>
      </c>
      <c r="B568" cm="1">
        <f t="array" ref="B568">(PRODUCT(1+sp500_monthly!B569:B688)^(1/120)-1)*100</f>
        <v>0.63621658728776342</v>
      </c>
      <c r="C568" cm="1">
        <f t="array" ref="C568">(PRODUCT(1+sp500_monthly!C569:C688)^(1/120)-1)*100</f>
        <v>0.2382453958280184</v>
      </c>
      <c r="D568" cm="1">
        <f t="array" ref="D568">(PRODUCT(1+sp500_monthly!D569:D688)^(1/120)-1)*100</f>
        <v>1.1026690192806221</v>
      </c>
      <c r="E568" cm="1">
        <f t="array" ref="E568">(PRODUCT(1+sp500_monthly!E569:E688)^(1/120)-1)*100</f>
        <v>0.70772802521605893</v>
      </c>
      <c r="F568" cm="1">
        <f t="array" ref="F568">(PRODUCT(1+sp500_monthly!K569:K688)^(1/120)-1)*100</f>
        <v>0.23526189342710779</v>
      </c>
      <c r="G568" cm="1">
        <f t="array" ref="G568">(PRODUCT(1+sp500_monthly!L569:L688)^(1/120)-1)</f>
        <v>0.66497574544953597</v>
      </c>
      <c r="H568" cm="1">
        <f t="array" ref="H568">(PRODUCT(1+sp500_monthly!N569:N688)^(1/120)-1)*100</f>
        <v>-5.2257870412386609E-2</v>
      </c>
      <c r="I568" cm="1">
        <f t="array" ref="I568">(PRODUCT(1+sp500_monthly!O569:O688)^(1/120)-1)*100</f>
        <v>-5.6257465519515826E-3</v>
      </c>
    </row>
    <row r="569" spans="1:9" x14ac:dyDescent="0.35">
      <c r="A569" s="1">
        <v>30435</v>
      </c>
      <c r="B569" cm="1">
        <f t="array" ref="B569">(PRODUCT(1+sp500_monthly!B570:B689)^(1/120)-1)*100</f>
        <v>0.66636922135312471</v>
      </c>
      <c r="C569" cm="1">
        <f t="array" ref="C569">(PRODUCT(1+sp500_monthly!C570:C689)^(1/120)-1)*100</f>
        <v>0.26667909975519599</v>
      </c>
      <c r="D569" cm="1">
        <f t="array" ref="D569">(PRODUCT(1+sp500_monthly!D570:D689)^(1/120)-1)*100</f>
        <v>1.156421957715148</v>
      </c>
      <c r="E569" cm="1">
        <f t="array" ref="E569">(PRODUCT(1+sp500_monthly!E570:E689)^(1/120)-1)*100</f>
        <v>0.76053043987871494</v>
      </c>
      <c r="F569" cm="1">
        <f t="array" ref="F569">(PRODUCT(1+sp500_monthly!K570:K689)^(1/120)-1)*100</f>
        <v>0.2636602086759865</v>
      </c>
      <c r="G569" cm="1">
        <f t="array" ref="G569">(PRODUCT(1+sp500_monthly!L570:L689)^(1/120)-1)</f>
        <v>0.66650466691016974</v>
      </c>
      <c r="H569" cm="1">
        <f t="array" ref="H569">(PRODUCT(1+sp500_monthly!N570:N689)^(1/120)-1)*100</f>
        <v>-1.5446615488312609E-2</v>
      </c>
      <c r="I569" cm="1">
        <f t="array" ref="I569">(PRODUCT(1+sp500_monthly!O570:O689)^(1/120)-1)*100</f>
        <v>2.6493162369245482E-3</v>
      </c>
    </row>
    <row r="570" spans="1:9" x14ac:dyDescent="0.35">
      <c r="A570" s="1">
        <v>30467</v>
      </c>
      <c r="B570" cm="1">
        <f t="array" ref="B570">(PRODUCT(1+sp500_monthly!B571:B690)^(1/120)-1)*100</f>
        <v>0.76194521930315062</v>
      </c>
      <c r="C570" cm="1">
        <f t="array" ref="C570">(PRODUCT(1+sp500_monthly!C571:C690)^(1/120)-1)*100</f>
        <v>0.36206970635217495</v>
      </c>
      <c r="D570" cm="1">
        <f t="array" ref="D570">(PRODUCT(1+sp500_monthly!D571:D690)^(1/120)-1)*100</f>
        <v>1.2547419867928733</v>
      </c>
      <c r="E570" cm="1">
        <f t="array" ref="E570">(PRODUCT(1+sp500_monthly!E571:E690)^(1/120)-1)*100</f>
        <v>0.85897487472430534</v>
      </c>
      <c r="F570" cm="1">
        <f t="array" ref="F570">(PRODUCT(1+sp500_monthly!K571:K690)^(1/120)-1)*100</f>
        <v>0.35887546977628748</v>
      </c>
      <c r="G570" cm="1">
        <f t="array" ref="G570">(PRODUCT(1+sp500_monthly!L571:L690)^(1/120)-1)</f>
        <v>0.66814118640979792</v>
      </c>
      <c r="H570" cm="1">
        <f t="array" ref="H570">(PRODUCT(1+sp500_monthly!N571:N690)^(1/120)-1)*100</f>
        <v>7.9297249589616037E-2</v>
      </c>
      <c r="I570" cm="1">
        <f t="array" ref="I570">(PRODUCT(1+sp500_monthly!O571:O690)^(1/120)-1)*100</f>
        <v>4.0383708476143809E-3</v>
      </c>
    </row>
    <row r="571" spans="1:9" x14ac:dyDescent="0.35">
      <c r="A571" s="1">
        <v>30497</v>
      </c>
      <c r="B571" cm="1">
        <f t="array" ref="B571">(PRODUCT(1+sp500_monthly!B572:B691)^(1/120)-1)*100</f>
        <v>0.76895260242704211</v>
      </c>
      <c r="C571" cm="1">
        <f t="array" ref="C571">(PRODUCT(1+sp500_monthly!C572:C691)^(1/120)-1)*100</f>
        <v>0.36793357943147864</v>
      </c>
      <c r="D571" cm="1">
        <f t="array" ref="D571">(PRODUCT(1+sp500_monthly!D572:D691)^(1/120)-1)*100</f>
        <v>1.3167721684636646</v>
      </c>
      <c r="E571" cm="1">
        <f t="array" ref="E571">(PRODUCT(1+sp500_monthly!E572:E691)^(1/120)-1)*100</f>
        <v>0.92080928171842658</v>
      </c>
      <c r="F571" cm="1">
        <f t="array" ref="F571">(PRODUCT(1+sp500_monthly!K572:K691)^(1/120)-1)*100</f>
        <v>0.36443026539636492</v>
      </c>
      <c r="G571" cm="1">
        <f t="array" ref="G571">(PRODUCT(1+sp500_monthly!L572:L691)^(1/120)-1)</f>
        <v>0.66970745616742966</v>
      </c>
      <c r="H571" cm="1">
        <f t="array" ref="H571">(PRODUCT(1+sp500_monthly!N572:N691)^(1/120)-1)*100</f>
        <v>8.6695711300133205E-2</v>
      </c>
      <c r="I571" cm="1">
        <f t="array" ref="I571">(PRODUCT(1+sp500_monthly!O572:O691)^(1/120)-1)*100</f>
        <v>5.9676951453369043E-3</v>
      </c>
    </row>
    <row r="572" spans="1:9" x14ac:dyDescent="0.35">
      <c r="A572" s="1">
        <v>30526</v>
      </c>
      <c r="B572" cm="1">
        <f t="array" ref="B572">(PRODUCT(1+sp500_monthly!B573:B692)^(1/120)-1)*100</f>
        <v>0.80380323101909568</v>
      </c>
      <c r="C572" cm="1">
        <f t="array" ref="C572">(PRODUCT(1+sp500_monthly!C573:C692)^(1/120)-1)*100</f>
        <v>0.40114943540181525</v>
      </c>
      <c r="D572" cm="1">
        <f t="array" ref="D572">(PRODUCT(1+sp500_monthly!D573:D692)^(1/120)-1)*100</f>
        <v>1.3659719710365392</v>
      </c>
      <c r="E572" cm="1">
        <f t="array" ref="E572">(PRODUCT(1+sp500_monthly!E573:E692)^(1/120)-1)*100</f>
        <v>0.96992623060994099</v>
      </c>
      <c r="F572" cm="1">
        <f t="array" ref="F572">(PRODUCT(1+sp500_monthly!K573:K692)^(1/120)-1)*100</f>
        <v>0.39890679995491229</v>
      </c>
      <c r="G572" cm="1">
        <f t="array" ref="G572">(PRODUCT(1+sp500_monthly!L573:L692)^(1/120)-1)</f>
        <v>0.67110940169977518</v>
      </c>
      <c r="H572" cm="1">
        <f t="array" ref="H572">(PRODUCT(1+sp500_monthly!N573:N692)^(1/120)-1)*100</f>
        <v>0.12531228688474894</v>
      </c>
      <c r="I572" cm="1">
        <f t="array" ref="I572">(PRODUCT(1+sp500_monthly!O573:O692)^(1/120)-1)*100</f>
        <v>1.1290642210104451E-2</v>
      </c>
    </row>
    <row r="573" spans="1:9" x14ac:dyDescent="0.35">
      <c r="A573" s="1">
        <v>30559</v>
      </c>
      <c r="B573" cm="1">
        <f t="array" ref="B573">(PRODUCT(1+sp500_monthly!B574:B693)^(1/120)-1)*100</f>
        <v>0.74491891658026166</v>
      </c>
      <c r="C573" cm="1">
        <f t="array" ref="C573">(PRODUCT(1+sp500_monthly!C574:C693)^(1/120)-1)*100</f>
        <v>0.34273184123154721</v>
      </c>
      <c r="D573" cm="1">
        <f t="array" ref="D573">(PRODUCT(1+sp500_monthly!D574:D693)^(1/120)-1)*100</f>
        <v>1.2828450229426469</v>
      </c>
      <c r="E573" cm="1">
        <f t="array" ref="E573">(PRODUCT(1+sp500_monthly!E574:E693)^(1/120)-1)*100</f>
        <v>0.88756954050814851</v>
      </c>
      <c r="F573" cm="1">
        <f t="array" ref="F573">(PRODUCT(1+sp500_monthly!K574:K693)^(1/120)-1)*100</f>
        <v>0.33964735444929062</v>
      </c>
      <c r="G573" cm="1">
        <f t="array" ref="G573">(PRODUCT(1+sp500_monthly!L574:L693)^(1/120)-1)</f>
        <v>0.67193386400766952</v>
      </c>
      <c r="H573" cm="1">
        <f t="array" ref="H573">(PRODUCT(1+sp500_monthly!N574:N693)^(1/120)-1)*100</f>
        <v>6.3475406303048487E-2</v>
      </c>
      <c r="I573" cm="1">
        <f t="array" ref="I573">(PRODUCT(1+sp500_monthly!O574:O693)^(1/120)-1)*100</f>
        <v>8.7712876120749073E-3</v>
      </c>
    </row>
    <row r="574" spans="1:9" x14ac:dyDescent="0.35">
      <c r="A574" s="1">
        <v>30589</v>
      </c>
      <c r="B574" cm="1">
        <f t="array" ref="B574">(PRODUCT(1+sp500_monthly!B575:B694)^(1/120)-1)*100</f>
        <v>0.78505000715962669</v>
      </c>
      <c r="C574" cm="1">
        <f t="array" ref="C574">(PRODUCT(1+sp500_monthly!C575:C694)^(1/120)-1)*100</f>
        <v>0.38172866400676408</v>
      </c>
      <c r="D574" cm="1">
        <f t="array" ref="D574">(PRODUCT(1+sp500_monthly!D575:D694)^(1/120)-1)*100</f>
        <v>1.3040773019216356</v>
      </c>
      <c r="E574" cm="1">
        <f t="array" ref="E574">(PRODUCT(1+sp500_monthly!E575:E694)^(1/120)-1)*100</f>
        <v>0.90888722379072195</v>
      </c>
      <c r="F574" cm="1">
        <f t="array" ref="F574">(PRODUCT(1+sp500_monthly!K575:K694)^(1/120)-1)*100</f>
        <v>0.38031843543544497</v>
      </c>
      <c r="G574" cm="1">
        <f t="array" ref="G574">(PRODUCT(1+sp500_monthly!L575:L694)^(1/120)-1)</f>
        <v>0.67241720018250795</v>
      </c>
      <c r="H574" cm="1">
        <f t="array" ref="H574">(PRODUCT(1+sp500_monthly!N575:N694)^(1/120)-1)*100</f>
        <v>0.11579551703464475</v>
      </c>
      <c r="I574" cm="1">
        <f t="array" ref="I574">(PRODUCT(1+sp500_monthly!O575:O694)^(1/120)-1)*100</f>
        <v>2.1716468509835885E-2</v>
      </c>
    </row>
    <row r="575" spans="1:9" x14ac:dyDescent="0.35">
      <c r="A575" s="1">
        <v>30620</v>
      </c>
      <c r="B575" cm="1">
        <f t="array" ref="B575">(PRODUCT(1+sp500_monthly!B576:B695)^(1/120)-1)*100</f>
        <v>0.76208568976074975</v>
      </c>
      <c r="C575" cm="1">
        <f t="array" ref="C575">(PRODUCT(1+sp500_monthly!C576:C695)^(1/120)-1)*100</f>
        <v>0.35710586929751376</v>
      </c>
      <c r="D575" cm="1">
        <f t="array" ref="D575">(PRODUCT(1+sp500_monthly!D576:D695)^(1/120)-1)*100</f>
        <v>1.2490748463958035</v>
      </c>
      <c r="E575" cm="1">
        <f t="array" ref="E575">(PRODUCT(1+sp500_monthly!E576:E695)^(1/120)-1)*100</f>
        <v>0.85359814545449275</v>
      </c>
      <c r="F575" cm="1">
        <f t="array" ref="F575">(PRODUCT(1+sp500_monthly!K576:K695)^(1/120)-1)*100</f>
        <v>0.3558902923479712</v>
      </c>
      <c r="G575" cm="1">
        <f t="array" ref="G575">(PRODUCT(1+sp500_monthly!L576:L695)^(1/120)-1)</f>
        <v>0.67306566648798549</v>
      </c>
      <c r="H575" cm="1">
        <f t="array" ref="H575">(PRODUCT(1+sp500_monthly!N576:N695)^(1/120)-1)*100</f>
        <v>9.4186546968133555E-2</v>
      </c>
      <c r="I575" cm="1">
        <f t="array" ref="I575">(PRODUCT(1+sp500_monthly!O576:O695)^(1/120)-1)*100</f>
        <v>2.3580521718113978E-2</v>
      </c>
    </row>
    <row r="576" spans="1:9" x14ac:dyDescent="0.35">
      <c r="A576" s="1">
        <v>30650</v>
      </c>
      <c r="B576" cm="1">
        <f t="array" ref="B576">(PRODUCT(1+sp500_monthly!B577:B696)^(1/120)-1)*100</f>
        <v>0.75074503518097746</v>
      </c>
      <c r="C576" cm="1">
        <f t="array" ref="C576">(PRODUCT(1+sp500_monthly!C577:C696)^(1/120)-1)*100</f>
        <v>0.34603138546365209</v>
      </c>
      <c r="D576" cm="1">
        <f t="array" ref="D576">(PRODUCT(1+sp500_monthly!D577:D696)^(1/120)-1)*100</f>
        <v>1.2327369224081952</v>
      </c>
      <c r="E576" cm="1">
        <f t="array" ref="E576">(PRODUCT(1+sp500_monthly!E577:E696)^(1/120)-1)*100</f>
        <v>0.83777310475254829</v>
      </c>
      <c r="F576" cm="1">
        <f t="array" ref="F576">(PRODUCT(1+sp500_monthly!K577:K696)^(1/120)-1)*100</f>
        <v>0.34418406823728542</v>
      </c>
      <c r="G576" cm="1">
        <f t="array" ref="G576">(PRODUCT(1+sp500_monthly!L577:L696)^(1/120)-1)</f>
        <v>0.67396571836537178</v>
      </c>
      <c r="H576" cm="1">
        <f t="array" ref="H576">(PRODUCT(1+sp500_monthly!N577:N696)^(1/120)-1)*100</f>
        <v>8.6953219963725736E-2</v>
      </c>
      <c r="I576" cm="1">
        <f t="array" ref="I576">(PRODUCT(1+sp500_monthly!O577:O696)^(1/120)-1)*100</f>
        <v>2.8520792272468398E-2</v>
      </c>
    </row>
    <row r="577" spans="1:9" x14ac:dyDescent="0.35">
      <c r="A577" s="1">
        <v>30680</v>
      </c>
      <c r="B577" cm="1">
        <f t="array" ref="B577">(PRODUCT(1+sp500_monthly!B578:B697)^(1/120)-1)*100</f>
        <v>0.865818696045495</v>
      </c>
      <c r="C577" cm="1">
        <f t="array" ref="C577">(PRODUCT(1+sp500_monthly!C578:C697)^(1/120)-1)*100</f>
        <v>0.46080598792559435</v>
      </c>
      <c r="D577" cm="1">
        <f t="array" ref="D577">(PRODUCT(1+sp500_monthly!D578:D697)^(1/120)-1)*100</f>
        <v>1.4097911901270077</v>
      </c>
      <c r="E577" cm="1">
        <f t="array" ref="E577">(PRODUCT(1+sp500_monthly!E578:E697)^(1/120)-1)*100</f>
        <v>1.0152725987326638</v>
      </c>
      <c r="F577" cm="1">
        <f t="array" ref="F577">(PRODUCT(1+sp500_monthly!K578:K697)^(1/120)-1)*100</f>
        <v>0.45977799765486438</v>
      </c>
      <c r="G577" cm="1">
        <f t="array" ref="G577">(PRODUCT(1+sp500_monthly!L578:L697)^(1/120)-1)</f>
        <v>0.67516502011988289</v>
      </c>
      <c r="H577" cm="1">
        <f t="array" ref="H577">(PRODUCT(1+sp500_monthly!N578:N697)^(1/120)-1)*100</f>
        <v>0.20426280693992549</v>
      </c>
      <c r="I577" cm="1">
        <f t="array" ref="I577">(PRODUCT(1+sp500_monthly!O578:O697)^(1/120)-1)*100</f>
        <v>3.2669449169842046E-2</v>
      </c>
    </row>
    <row r="578" spans="1:9" x14ac:dyDescent="0.35">
      <c r="A578" s="1">
        <v>30712</v>
      </c>
      <c r="B578" cm="1">
        <f t="array" ref="B578">(PRODUCT(1+sp500_monthly!B579:B698)^(1/120)-1)*100</f>
        <v>0.84600301454720306</v>
      </c>
      <c r="C578" cm="1">
        <f t="array" ref="C578">(PRODUCT(1+sp500_monthly!C579:C698)^(1/120)-1)*100</f>
        <v>0.43976511971786092</v>
      </c>
      <c r="D578" cm="1">
        <f t="array" ref="D578">(PRODUCT(1+sp500_monthly!D579:D698)^(1/120)-1)*100</f>
        <v>1.3938806737325393</v>
      </c>
      <c r="E578" cm="1">
        <f t="array" ref="E578">(PRODUCT(1+sp500_monthly!E579:E698)^(1/120)-1)*100</f>
        <v>0.99992083868531978</v>
      </c>
      <c r="F578" cm="1">
        <f t="array" ref="F578">(PRODUCT(1+sp500_monthly!K579:K698)^(1/120)-1)*100</f>
        <v>0.43859453429988537</v>
      </c>
      <c r="G578" cm="1">
        <f t="array" ref="G578">(PRODUCT(1+sp500_monthly!L579:L698)^(1/120)-1)</f>
        <v>0.67591098591655441</v>
      </c>
      <c r="H578" cm="1">
        <f t="array" ref="H578">(PRODUCT(1+sp500_monthly!N579:N698)^(1/120)-1)*100</f>
        <v>0.18934756005404285</v>
      </c>
      <c r="I578" cm="1">
        <f t="array" ref="I578">(PRODUCT(1+sp500_monthly!O579:O698)^(1/120)-1)*100</f>
        <v>3.8177863006971791E-2</v>
      </c>
    </row>
    <row r="579" spans="1:9" x14ac:dyDescent="0.35">
      <c r="A579" s="1">
        <v>30741</v>
      </c>
      <c r="B579" cm="1">
        <f t="array" ref="B579">(PRODUCT(1+sp500_monthly!B580:B699)^(1/120)-1)*100</f>
        <v>0.84957263104175063</v>
      </c>
      <c r="C579" cm="1">
        <f t="array" ref="C579">(PRODUCT(1+sp500_monthly!C580:C699)^(1/120)-1)*100</f>
        <v>0.44321676745495697</v>
      </c>
      <c r="D579" cm="1">
        <f t="array" ref="D579">(PRODUCT(1+sp500_monthly!D580:D699)^(1/120)-1)*100</f>
        <v>1.3244333882118653</v>
      </c>
      <c r="E579" cm="1">
        <f t="array" ref="E579">(PRODUCT(1+sp500_monthly!E580:E699)^(1/120)-1)*100</f>
        <v>0.93109063738423536</v>
      </c>
      <c r="F579" cm="1">
        <f t="array" ref="F579">(PRODUCT(1+sp500_monthly!K580:K699)^(1/120)-1)*100</f>
        <v>0.43929599279202147</v>
      </c>
      <c r="G579" cm="1">
        <f t="array" ref="G579">(PRODUCT(1+sp500_monthly!L580:L699)^(1/120)-1)</f>
        <v>0.67698298703085902</v>
      </c>
      <c r="H579" cm="1">
        <f t="array" ref="H579">(PRODUCT(1+sp500_monthly!N580:N699)^(1/120)-1)*100</f>
        <v>0.19611819883988968</v>
      </c>
      <c r="I579" cm="1">
        <f t="array" ref="I579">(PRODUCT(1+sp500_monthly!O580:O699)^(1/120)-1)*100</f>
        <v>4.2473457332370401E-2</v>
      </c>
    </row>
    <row r="580" spans="1:9" x14ac:dyDescent="0.35">
      <c r="A580" s="1">
        <v>30771</v>
      </c>
      <c r="B580" cm="1">
        <f t="array" ref="B580">(PRODUCT(1+sp500_monthly!B581:B700)^(1/120)-1)*100</f>
        <v>0.81880420409921051</v>
      </c>
      <c r="C580" cm="1">
        <f t="array" ref="C580">(PRODUCT(1+sp500_monthly!C581:C700)^(1/120)-1)*100</f>
        <v>0.41258235918408825</v>
      </c>
      <c r="D580" cm="1">
        <f t="array" ref="D580">(PRODUCT(1+sp500_monthly!D581:D700)^(1/120)-1)*100</f>
        <v>1.2706512536315939</v>
      </c>
      <c r="E580" cm="1">
        <f t="array" ref="E580">(PRODUCT(1+sp500_monthly!E581:E700)^(1/120)-1)*100</f>
        <v>0.87775737974149504</v>
      </c>
      <c r="F580" cm="1">
        <f t="array" ref="F580">(PRODUCT(1+sp500_monthly!K581:K700)^(1/120)-1)*100</f>
        <v>0.40916573110589827</v>
      </c>
      <c r="G580" cm="1">
        <f t="array" ref="G580">(PRODUCT(1+sp500_monthly!L581:L700)^(1/120)-1)</f>
        <v>0.6780883225517198</v>
      </c>
      <c r="H580" cm="1">
        <f t="array" ref="H580">(PRODUCT(1+sp500_monthly!N581:N700)^(1/120)-1)*100</f>
        <v>0.17034207601465123</v>
      </c>
      <c r="I580" cm="1">
        <f t="array" ref="I580">(PRODUCT(1+sp500_monthly!O581:O700)^(1/120)-1)*100</f>
        <v>4.8337413614230051E-2</v>
      </c>
    </row>
    <row r="581" spans="1:9" x14ac:dyDescent="0.35">
      <c r="A581" s="1">
        <v>30802</v>
      </c>
      <c r="B581" cm="1">
        <f t="array" ref="B581">(PRODUCT(1+sp500_monthly!B582:B701)^(1/120)-1)*100</f>
        <v>0.85174933737535152</v>
      </c>
      <c r="C581" cm="1">
        <f t="array" ref="C581">(PRODUCT(1+sp500_monthly!C582:C701)^(1/120)-1)*100</f>
        <v>0.44358708538363434</v>
      </c>
      <c r="D581" cm="1">
        <f t="array" ref="D581">(PRODUCT(1+sp500_monthly!D582:D701)^(1/120)-1)*100</f>
        <v>1.3071415521894281</v>
      </c>
      <c r="E581" cm="1">
        <f t="array" ref="E581">(PRODUCT(1+sp500_monthly!E582:E701)^(1/120)-1)*100</f>
        <v>0.91425946516556778</v>
      </c>
      <c r="F581" cm="1">
        <f t="array" ref="F581">(PRODUCT(1+sp500_monthly!K582:K701)^(1/120)-1)*100</f>
        <v>0.44009900579322636</v>
      </c>
      <c r="G581" cm="1">
        <f t="array" ref="G581">(PRODUCT(1+sp500_monthly!L582:L701)^(1/120)-1)</f>
        <v>0.67953539655022399</v>
      </c>
      <c r="H581" cm="1">
        <f t="array" ref="H581">(PRODUCT(1+sp500_monthly!N582:N701)^(1/120)-1)*100</f>
        <v>0.20941805733523111</v>
      </c>
      <c r="I581" cm="1">
        <f t="array" ref="I581">(PRODUCT(1+sp500_monthly!O582:O701)^(1/120)-1)*100</f>
        <v>5.6078736070852564E-2</v>
      </c>
    </row>
    <row r="582" spans="1:9" x14ac:dyDescent="0.35">
      <c r="A582" s="1">
        <v>30833</v>
      </c>
      <c r="B582" cm="1">
        <f t="array" ref="B582">(PRODUCT(1+sp500_monthly!B583:B702)^(1/120)-1)*100</f>
        <v>0.88968861523626153</v>
      </c>
      <c r="C582" cm="1">
        <f t="array" ref="C582">(PRODUCT(1+sp500_monthly!C583:C702)^(1/120)-1)*100</f>
        <v>0.48157021548043133</v>
      </c>
      <c r="D582" cm="1">
        <f t="array" ref="D582">(PRODUCT(1+sp500_monthly!D583:D702)^(1/120)-1)*100</f>
        <v>1.3468434705308896</v>
      </c>
      <c r="E582" cm="1">
        <f t="array" ref="E582">(PRODUCT(1+sp500_monthly!E583:E702)^(1/120)-1)*100</f>
        <v>0.95461849845237534</v>
      </c>
      <c r="F582" cm="1">
        <f t="array" ref="F582">(PRODUCT(1+sp500_monthly!K583:K702)^(1/120)-1)*100</f>
        <v>0.47800978852623466</v>
      </c>
      <c r="G582" cm="1">
        <f t="array" ref="G582">(PRODUCT(1+sp500_monthly!L583:L702)^(1/120)-1)</f>
        <v>0.68000728711400793</v>
      </c>
      <c r="H582" cm="1">
        <f t="array" ref="H582">(PRODUCT(1+sp500_monthly!N583:N702)^(1/120)-1)*100</f>
        <v>0.24910128197952464</v>
      </c>
      <c r="I582" cm="1">
        <f t="array" ref="I582">(PRODUCT(1+sp500_monthly!O583:O702)^(1/120)-1)*100</f>
        <v>5.8556956192545861E-2</v>
      </c>
    </row>
    <row r="583" spans="1:9" x14ac:dyDescent="0.35">
      <c r="A583" s="1">
        <v>30862</v>
      </c>
      <c r="B583" cm="1">
        <f t="array" ref="B583">(PRODUCT(1+sp500_monthly!B584:B703)^(1/120)-1)*100</f>
        <v>0.86671342822184361</v>
      </c>
      <c r="C583" cm="1">
        <f t="array" ref="C583">(PRODUCT(1+sp500_monthly!C584:C703)^(1/120)-1)*100</f>
        <v>0.45837648045130575</v>
      </c>
      <c r="D583" cm="1">
        <f t="array" ref="D583">(PRODUCT(1+sp500_monthly!D584:D703)^(1/120)-1)*100</f>
        <v>1.3497612145022542</v>
      </c>
      <c r="E583" cm="1">
        <f t="array" ref="E583">(PRODUCT(1+sp500_monthly!E584:E703)^(1/120)-1)*100</f>
        <v>0.95834232758671423</v>
      </c>
      <c r="F583" cm="1">
        <f t="array" ref="F583">(PRODUCT(1+sp500_monthly!K584:K703)^(1/120)-1)*100</f>
        <v>0.45535138538257414</v>
      </c>
      <c r="G583" cm="1">
        <f t="array" ref="G583">(PRODUCT(1+sp500_monthly!L584:L703)^(1/120)-1)</f>
        <v>0.68024527106975752</v>
      </c>
      <c r="H583" cm="1">
        <f t="array" ref="H583">(PRODUCT(1+sp500_monthly!N584:N703)^(1/120)-1)*100</f>
        <v>0.23329400268765621</v>
      </c>
      <c r="I583" cm="1">
        <f t="array" ref="I583">(PRODUCT(1+sp500_monthly!O584:O703)^(1/120)-1)*100</f>
        <v>6.5815500232702107E-2</v>
      </c>
    </row>
    <row r="584" spans="1:9" x14ac:dyDescent="0.35">
      <c r="A584" s="1">
        <v>30894</v>
      </c>
      <c r="B584" cm="1">
        <f t="array" ref="B584">(PRODUCT(1+sp500_monthly!B585:B704)^(1/120)-1)*100</f>
        <v>0.89662209759946432</v>
      </c>
      <c r="C584" cm="1">
        <f t="array" ref="C584">(PRODUCT(1+sp500_monthly!C585:C704)^(1/120)-1)*100</f>
        <v>0.48619601425348158</v>
      </c>
      <c r="D584" cm="1">
        <f t="array" ref="D584">(PRODUCT(1+sp500_monthly!D585:D704)^(1/120)-1)*100</f>
        <v>1.4003769647146447</v>
      </c>
      <c r="E584" cm="1">
        <f t="array" ref="E584">(PRODUCT(1+sp500_monthly!E585:E704)^(1/120)-1)*100</f>
        <v>1.0090984343868348</v>
      </c>
      <c r="F584" cm="1">
        <f t="array" ref="F584">(PRODUCT(1+sp500_monthly!K585:K704)^(1/120)-1)*100</f>
        <v>0.48221989083467864</v>
      </c>
      <c r="G584" cm="1">
        <f t="array" ref="G584">(PRODUCT(1+sp500_monthly!L585:L704)^(1/120)-1)</f>
        <v>0.68150049307347005</v>
      </c>
      <c r="H584" cm="1">
        <f t="array" ref="H584">(PRODUCT(1+sp500_monthly!N585:N704)^(1/120)-1)*100</f>
        <v>0.26825061086899193</v>
      </c>
      <c r="I584" cm="1">
        <f t="array" ref="I584">(PRODUCT(1+sp500_monthly!O585:O704)^(1/120)-1)*100</f>
        <v>7.228346977781186E-2</v>
      </c>
    </row>
    <row r="585" spans="1:9" x14ac:dyDescent="0.35">
      <c r="A585" s="1">
        <v>30925</v>
      </c>
      <c r="B585" cm="1">
        <f t="array" ref="B585">(PRODUCT(1+sp500_monthly!B586:B705)^(1/120)-1)*100</f>
        <v>0.95207858686270352</v>
      </c>
      <c r="C585" cm="1">
        <f t="array" ref="C585">(PRODUCT(1+sp500_monthly!C586:C705)^(1/120)-1)*100</f>
        <v>0.54146847774831919</v>
      </c>
      <c r="D585" cm="1">
        <f t="array" ref="D585">(PRODUCT(1+sp500_monthly!D586:D705)^(1/120)-1)*100</f>
        <v>1.4167079964584994</v>
      </c>
      <c r="E585" cm="1">
        <f t="array" ref="E585">(PRODUCT(1+sp500_monthly!E586:E705)^(1/120)-1)*100</f>
        <v>1.0261574947251884</v>
      </c>
      <c r="F585" cm="1">
        <f t="array" ref="F585">(PRODUCT(1+sp500_monthly!K586:K705)^(1/120)-1)*100</f>
        <v>0.53615611805932772</v>
      </c>
      <c r="G585" cm="1">
        <f t="array" ref="G585">(PRODUCT(1+sp500_monthly!L586:L705)^(1/120)-1)</f>
        <v>0.68245653313907351</v>
      </c>
      <c r="H585" cm="1">
        <f t="array" ref="H585">(PRODUCT(1+sp500_monthly!N586:N705)^(1/120)-1)*100</f>
        <v>0.32524608417690004</v>
      </c>
      <c r="I585" cm="1">
        <f t="array" ref="I585">(PRODUCT(1+sp500_monthly!O586:O705)^(1/120)-1)*100</f>
        <v>7.5156312309321294E-2</v>
      </c>
    </row>
    <row r="586" spans="1:9" x14ac:dyDescent="0.35">
      <c r="A586" s="1">
        <v>30953</v>
      </c>
      <c r="B586" cm="1">
        <f t="array" ref="B586">(PRODUCT(1+sp500_monthly!B587:B706)^(1/120)-1)*100</f>
        <v>1.1139879624873394</v>
      </c>
      <c r="C586" cm="1">
        <f t="array" ref="C586">(PRODUCT(1+sp500_monthly!C587:C706)^(1/120)-1)*100</f>
        <v>0.70460207984324175</v>
      </c>
      <c r="D586" cm="1">
        <f t="array" ref="D586">(PRODUCT(1+sp500_monthly!D587:D706)^(1/120)-1)*100</f>
        <v>1.5971878843914489</v>
      </c>
      <c r="E586" cm="1">
        <f t="array" ref="E586">(PRODUCT(1+sp500_monthly!E587:E706)^(1/120)-1)*100</f>
        <v>1.2083382784210173</v>
      </c>
      <c r="F586" cm="1">
        <f t="array" ref="F586">(PRODUCT(1+sp500_monthly!K587:K706)^(1/120)-1)*100</f>
        <v>0.70022020772957383</v>
      </c>
      <c r="G586" cm="1">
        <f t="array" ref="G586">(PRODUCT(1+sp500_monthly!L587:L706)^(1/120)-1)</f>
        <v>0.68434070964207416</v>
      </c>
      <c r="H586" cm="1">
        <f t="array" ref="H586">(PRODUCT(1+sp500_monthly!N587:N706)^(1/120)-1)*100</f>
        <v>0.49387046157725045</v>
      </c>
      <c r="I586" cm="1">
        <f t="array" ref="I586">(PRODUCT(1+sp500_monthly!O587:O706)^(1/120)-1)*100</f>
        <v>8.4749721911991927E-2</v>
      </c>
    </row>
    <row r="587" spans="1:9" x14ac:dyDescent="0.35">
      <c r="A587" s="1">
        <v>30986</v>
      </c>
      <c r="B587" cm="1">
        <f t="array" ref="B587">(PRODUCT(1+sp500_monthly!B588:B707)^(1/120)-1)*100</f>
        <v>1.2193234781648021</v>
      </c>
      <c r="C587" cm="1">
        <f t="array" ref="C587">(PRODUCT(1+sp500_monthly!C588:C707)^(1/120)-1)*100</f>
        <v>0.80876475847619922</v>
      </c>
      <c r="D587" cm="1">
        <f t="array" ref="D587">(PRODUCT(1+sp500_monthly!D588:D707)^(1/120)-1)*100</f>
        <v>1.6712035523570146</v>
      </c>
      <c r="E587" cm="1">
        <f t="array" ref="E587">(PRODUCT(1+sp500_monthly!E588:E707)^(1/120)-1)*100</f>
        <v>1.283770894054248</v>
      </c>
      <c r="F587" cm="1">
        <f t="array" ref="F587">(PRODUCT(1+sp500_monthly!K588:K707)^(1/120)-1)*100</f>
        <v>0.80398806991459626</v>
      </c>
      <c r="G587" cm="1">
        <f t="array" ref="G587">(PRODUCT(1+sp500_monthly!L588:L707)^(1/120)-1)</f>
        <v>0.68472323375643018</v>
      </c>
      <c r="H587" cm="1">
        <f t="array" ref="H587">(PRODUCT(1+sp500_monthly!N588:N707)^(1/120)-1)*100</f>
        <v>0.60783317928674307</v>
      </c>
      <c r="I587" cm="1">
        <f t="array" ref="I587">(PRODUCT(1+sp500_monthly!O588:O707)^(1/120)-1)*100</f>
        <v>9.4389173757436495E-2</v>
      </c>
    </row>
    <row r="588" spans="1:9" x14ac:dyDescent="0.35">
      <c r="A588" s="1">
        <v>31016</v>
      </c>
      <c r="B588" cm="1">
        <f t="array" ref="B588">(PRODUCT(1+sp500_monthly!B589:B708)^(1/120)-1)*100</f>
        <v>1.0911394496217142</v>
      </c>
      <c r="C588" cm="1">
        <f t="array" ref="C588">(PRODUCT(1+sp500_monthly!C589:C708)^(1/120)-1)*100</f>
        <v>0.68086466548751279</v>
      </c>
      <c r="D588" cm="1">
        <f t="array" ref="D588">(PRODUCT(1+sp500_monthly!D589:D708)^(1/120)-1)*100</f>
        <v>1.5633356579429325</v>
      </c>
      <c r="E588" cm="1">
        <f t="array" ref="E588">(PRODUCT(1+sp500_monthly!E589:E708)^(1/120)-1)*100</f>
        <v>1.177421245901189</v>
      </c>
      <c r="F588" cm="1">
        <f t="array" ref="F588">(PRODUCT(1+sp500_monthly!K589:K708)^(1/120)-1)*100</f>
        <v>0.67713616921523112</v>
      </c>
      <c r="G588" cm="1">
        <f t="array" ref="G588">(PRODUCT(1+sp500_monthly!L589:L708)^(1/120)-1)</f>
        <v>0.68867344473979197</v>
      </c>
      <c r="H588" cm="1">
        <f t="array" ref="H588">(PRODUCT(1+sp500_monthly!N589:N708)^(1/120)-1)*100</f>
        <v>0.48382393712500527</v>
      </c>
      <c r="I588" cm="1">
        <f t="array" ref="I588">(PRODUCT(1+sp500_monthly!O589:O708)^(1/120)-1)*100</f>
        <v>0.10183329363755433</v>
      </c>
    </row>
    <row r="589" spans="1:9" x14ac:dyDescent="0.35">
      <c r="A589" s="1">
        <v>31047</v>
      </c>
      <c r="B589" cm="1">
        <f t="array" ref="B589">(PRODUCT(1+sp500_monthly!B590:B709)^(1/120)-1)*100</f>
        <v>1.122208581826678</v>
      </c>
      <c r="C589" cm="1">
        <f t="array" ref="C589">(PRODUCT(1+sp500_monthly!C590:C709)^(1/120)-1)*100</f>
        <v>0.71464485817305246</v>
      </c>
      <c r="D589" cm="1">
        <f t="array" ref="D589">(PRODUCT(1+sp500_monthly!D590:D709)^(1/120)-1)*100</f>
        <v>1.5956572037128636</v>
      </c>
      <c r="E589" cm="1">
        <f t="array" ref="E589">(PRODUCT(1+sp500_monthly!E590:E709)^(1/120)-1)*100</f>
        <v>1.2128454181921322</v>
      </c>
      <c r="F589" cm="1">
        <f t="array" ref="F589">(PRODUCT(1+sp500_monthly!K590:K709)^(1/120)-1)*100</f>
        <v>0.7102131414458368</v>
      </c>
      <c r="G589" cm="1">
        <f t="array" ref="G589">(PRODUCT(1+sp500_monthly!L590:L709)^(1/120)-1)</f>
        <v>0.6903113933211964</v>
      </c>
      <c r="H589" cm="1">
        <f t="array" ref="H589">(PRODUCT(1+sp500_monthly!N590:N709)^(1/120)-1)*100</f>
        <v>0.52128618701823282</v>
      </c>
      <c r="I589" cm="1">
        <f t="array" ref="I589">(PRODUCT(1+sp500_monthly!O590:O709)^(1/120)-1)*100</f>
        <v>0.10996109612497751</v>
      </c>
    </row>
    <row r="590" spans="1:9" x14ac:dyDescent="0.35">
      <c r="A590" s="1">
        <v>31078</v>
      </c>
      <c r="B590" cm="1">
        <f t="array" ref="B590">(PRODUCT(1+sp500_monthly!B591:B710)^(1/120)-1)*100</f>
        <v>1.1588048075181323</v>
      </c>
      <c r="C590" cm="1">
        <f t="array" ref="C590">(PRODUCT(1+sp500_monthly!C591:C710)^(1/120)-1)*100</f>
        <v>0.7500034480460771</v>
      </c>
      <c r="D590" cm="1">
        <f t="array" ref="D590">(PRODUCT(1+sp500_monthly!D591:D710)^(1/120)-1)*100</f>
        <v>1.6461376781373049</v>
      </c>
      <c r="E590" cm="1">
        <f t="array" ref="E590">(PRODUCT(1+sp500_monthly!E591:E710)^(1/120)-1)*100</f>
        <v>1.2646180611521451</v>
      </c>
      <c r="F590" cm="1">
        <f t="array" ref="F590">(PRODUCT(1+sp500_monthly!K591:K710)^(1/120)-1)*100</f>
        <v>0.74587437287507719</v>
      </c>
      <c r="G590" cm="1">
        <f t="array" ref="G590">(PRODUCT(1+sp500_monthly!L591:L710)^(1/120)-1)</f>
        <v>0.68980533338577232</v>
      </c>
      <c r="H590" cm="1">
        <f t="array" ref="H590">(PRODUCT(1+sp500_monthly!N591:N710)^(1/120)-1)*100</f>
        <v>0.56255840177572569</v>
      </c>
      <c r="I590" cm="1">
        <f t="array" ref="I590">(PRODUCT(1+sp500_monthly!O591:O710)^(1/120)-1)*100</f>
        <v>0.11433553144535313</v>
      </c>
    </row>
    <row r="591" spans="1:9" x14ac:dyDescent="0.35">
      <c r="A591" s="1">
        <v>31106</v>
      </c>
      <c r="B591" cm="1">
        <f t="array" ref="B591">(PRODUCT(1+sp500_monthly!B592:B711)^(1/120)-1)*100</f>
        <v>1.1229925955868136</v>
      </c>
      <c r="C591" cm="1">
        <f t="array" ref="C591">(PRODUCT(1+sp500_monthly!C592:C711)^(1/120)-1)*100</f>
        <v>0.71410285680530983</v>
      </c>
      <c r="D591" cm="1">
        <f t="array" ref="D591">(PRODUCT(1+sp500_monthly!D592:D711)^(1/120)-1)*100</f>
        <v>1.5466004737112238</v>
      </c>
      <c r="E591" cm="1">
        <f t="array" ref="E591">(PRODUCT(1+sp500_monthly!E592:E711)^(1/120)-1)*100</f>
        <v>1.165851835033882</v>
      </c>
      <c r="F591" cm="1">
        <f t="array" ref="F591">(PRODUCT(1+sp500_monthly!K592:K711)^(1/120)-1)*100</f>
        <v>0.70863289151716913</v>
      </c>
      <c r="G591" cm="1">
        <f t="array" ref="G591">(PRODUCT(1+sp500_monthly!L592:L711)^(1/120)-1)</f>
        <v>0.69041589204735265</v>
      </c>
      <c r="H591" cm="1">
        <f t="array" ref="H591">(PRODUCT(1+sp500_monthly!N592:N711)^(1/120)-1)*100</f>
        <v>0.53180248813882169</v>
      </c>
      <c r="I591" cm="1">
        <f t="array" ref="I591">(PRODUCT(1+sp500_monthly!O592:O711)^(1/120)-1)*100</f>
        <v>0.11974131946450584</v>
      </c>
    </row>
    <row r="592" spans="1:9" x14ac:dyDescent="0.35">
      <c r="A592" s="1">
        <v>31135</v>
      </c>
      <c r="B592" cm="1">
        <f t="array" ref="B592">(PRODUCT(1+sp500_monthly!B593:B712)^(1/120)-1)*100</f>
        <v>1.0798430209794319</v>
      </c>
      <c r="C592" cm="1">
        <f t="array" ref="C592">(PRODUCT(1+sp500_monthly!C593:C712)^(1/120)-1)*100</f>
        <v>0.67303035822237067</v>
      </c>
      <c r="D592" cm="1">
        <f t="array" ref="D592">(PRODUCT(1+sp500_monthly!D593:D712)^(1/120)-1)*100</f>
        <v>1.5159016499580291</v>
      </c>
      <c r="E592" cm="1">
        <f t="array" ref="E592">(PRODUCT(1+sp500_monthly!E593:E712)^(1/120)-1)*100</f>
        <v>1.1373533052329465</v>
      </c>
      <c r="F592" cm="1">
        <f t="array" ref="F592">(PRODUCT(1+sp500_monthly!K593:K712)^(1/120)-1)*100</f>
        <v>0.66708752634032642</v>
      </c>
      <c r="G592" cm="1">
        <f t="array" ref="G592">(PRODUCT(1+sp500_monthly!L593:L712)^(1/120)-1)</f>
        <v>0.6918216401167705</v>
      </c>
      <c r="H592" cm="1">
        <f t="array" ref="H592">(PRODUCT(1+sp500_monthly!N593:N712)^(1/120)-1)*100</f>
        <v>0.48895488199458548</v>
      </c>
      <c r="I592" cm="1">
        <f t="array" ref="I592">(PRODUCT(1+sp500_monthly!O593:O712)^(1/120)-1)*100</f>
        <v>0.12103605926019334</v>
      </c>
    </row>
    <row r="593" spans="1:9" x14ac:dyDescent="0.35">
      <c r="A593" s="1">
        <v>31167</v>
      </c>
      <c r="B593" cm="1">
        <f t="array" ref="B593">(PRODUCT(1+sp500_monthly!B594:B713)^(1/120)-1)*100</f>
        <v>1.0593205049572951</v>
      </c>
      <c r="C593" cm="1">
        <f t="array" ref="C593">(PRODUCT(1+sp500_monthly!C594:C713)^(1/120)-1)*100</f>
        <v>0.65133027679651345</v>
      </c>
      <c r="D593" cm="1">
        <f t="array" ref="D593">(PRODUCT(1+sp500_monthly!D594:D713)^(1/120)-1)*100</f>
        <v>1.4567216099077296</v>
      </c>
      <c r="E593" cm="1">
        <f t="array" ref="E593">(PRODUCT(1+sp500_monthly!E594:E713)^(1/120)-1)*100</f>
        <v>1.0792000007312286</v>
      </c>
      <c r="F593" cm="1">
        <f t="array" ref="F593">(PRODUCT(1+sp500_monthly!K594:K713)^(1/120)-1)*100</f>
        <v>0.6466279126816632</v>
      </c>
      <c r="G593" cm="1">
        <f t="array" ref="G593">(PRODUCT(1+sp500_monthly!L594:L713)^(1/120)-1)</f>
        <v>0.69378016038861001</v>
      </c>
      <c r="H593" cm="1">
        <f t="array" ref="H593">(PRODUCT(1+sp500_monthly!N594:N713)^(1/120)-1)*100</f>
        <v>0.46780085858235676</v>
      </c>
      <c r="I593" cm="1">
        <f t="array" ref="I593">(PRODUCT(1+sp500_monthly!O594:O713)^(1/120)-1)*100</f>
        <v>0.1220303252918109</v>
      </c>
    </row>
    <row r="594" spans="1:9" x14ac:dyDescent="0.35">
      <c r="A594" s="1">
        <v>31198</v>
      </c>
      <c r="B594" cm="1">
        <f t="array" ref="B594">(PRODUCT(1+sp500_monthly!B595:B714)^(1/120)-1)*100</f>
        <v>1.0155777573929603</v>
      </c>
      <c r="C594" cm="1">
        <f t="array" ref="C594">(PRODUCT(1+sp500_monthly!C595:C714)^(1/120)-1)*100</f>
        <v>0.60802895459246553</v>
      </c>
      <c r="D594" cm="1">
        <f t="array" ref="D594">(PRODUCT(1+sp500_monthly!D595:D714)^(1/120)-1)*100</f>
        <v>1.4111822444417443</v>
      </c>
      <c r="E594" cm="1">
        <f t="array" ref="E594">(PRODUCT(1+sp500_monthly!E595:E714)^(1/120)-1)*100</f>
        <v>1.0343872924781117</v>
      </c>
      <c r="F594" cm="1">
        <f t="array" ref="F594">(PRODUCT(1+sp500_monthly!K595:K714)^(1/120)-1)*100</f>
        <v>0.60404110091489827</v>
      </c>
      <c r="G594" cm="1">
        <f t="array" ref="G594">(PRODUCT(1+sp500_monthly!L595:L714)^(1/120)-1)</f>
        <v>0.6962899584702209</v>
      </c>
      <c r="H594" cm="1">
        <f t="array" ref="H594">(PRODUCT(1+sp500_monthly!N595:N714)^(1/120)-1)*100</f>
        <v>0.42591242388623218</v>
      </c>
      <c r="I594" cm="1">
        <f t="array" ref="I594">(PRODUCT(1+sp500_monthly!O595:O714)^(1/120)-1)*100</f>
        <v>0.12594656692441752</v>
      </c>
    </row>
    <row r="595" spans="1:9" x14ac:dyDescent="0.35">
      <c r="A595" s="1">
        <v>31226</v>
      </c>
      <c r="B595" cm="1">
        <f t="array" ref="B595">(PRODUCT(1+sp500_monthly!B596:B715)^(1/120)-1)*100</f>
        <v>1.024774608122736</v>
      </c>
      <c r="C595" cm="1">
        <f t="array" ref="C595">(PRODUCT(1+sp500_monthly!C596:C715)^(1/120)-1)*100</f>
        <v>0.61764604131244738</v>
      </c>
      <c r="D595" cm="1">
        <f t="array" ref="D595">(PRODUCT(1+sp500_monthly!D596:D715)^(1/120)-1)*100</f>
        <v>1.417270592083919</v>
      </c>
      <c r="E595" cm="1">
        <f t="array" ref="E595">(PRODUCT(1+sp500_monthly!E596:E715)^(1/120)-1)*100</f>
        <v>1.0418861598534113</v>
      </c>
      <c r="F595" cm="1">
        <f t="array" ref="F595">(PRODUCT(1+sp500_monthly!K596:K715)^(1/120)-1)*100</f>
        <v>0.61199299757965786</v>
      </c>
      <c r="G595" cm="1">
        <f t="array" ref="G595">(PRODUCT(1+sp500_monthly!L596:L715)^(1/120)-1)</f>
        <v>0.69830089248020899</v>
      </c>
      <c r="H595" cm="1">
        <f t="array" ref="H595">(PRODUCT(1+sp500_monthly!N596:N715)^(1/120)-1)*100</f>
        <v>0.43507032010463575</v>
      </c>
      <c r="I595" cm="1">
        <f t="array" ref="I595">(PRODUCT(1+sp500_monthly!O596:O715)^(1/120)-1)*100</f>
        <v>0.12778687168355507</v>
      </c>
    </row>
    <row r="596" spans="1:9" x14ac:dyDescent="0.35">
      <c r="A596" s="1">
        <v>31259</v>
      </c>
      <c r="B596" cm="1">
        <f t="array" ref="B596">(PRODUCT(1+sp500_monthly!B597:B716)^(1/120)-1)*100</f>
        <v>1.0001558964370494</v>
      </c>
      <c r="C596" cm="1">
        <f t="array" ref="C596">(PRODUCT(1+sp500_monthly!C597:C716)^(1/120)-1)*100</f>
        <v>0.59203805392820108</v>
      </c>
      <c r="D596" cm="1">
        <f t="array" ref="D596">(PRODUCT(1+sp500_monthly!D597:D716)^(1/120)-1)*100</f>
        <v>1.3769950576666856</v>
      </c>
      <c r="E596" cm="1">
        <f t="array" ref="E596">(PRODUCT(1+sp500_monthly!E597:E716)^(1/120)-1)*100</f>
        <v>1.0022327100371875</v>
      </c>
      <c r="F596" cm="1">
        <f t="array" ref="F596">(PRODUCT(1+sp500_monthly!K597:K716)^(1/120)-1)*100</f>
        <v>0.58574687377017653</v>
      </c>
      <c r="G596" cm="1">
        <f t="array" ref="G596">(PRODUCT(1+sp500_monthly!L597:L716)^(1/120)-1)</f>
        <v>0.69964117139090898</v>
      </c>
      <c r="H596" cm="1">
        <f t="array" ref="H596">(PRODUCT(1+sp500_monthly!N597:N716)^(1/120)-1)*100</f>
        <v>0.41453661261736663</v>
      </c>
      <c r="I596" cm="1">
        <f t="array" ref="I596">(PRODUCT(1+sp500_monthly!O597:O716)^(1/120)-1)*100</f>
        <v>0.13287969990165571</v>
      </c>
    </row>
    <row r="597" spans="1:9" x14ac:dyDescent="0.35">
      <c r="A597" s="1">
        <v>31289</v>
      </c>
      <c r="B597" cm="1">
        <f t="array" ref="B597">(PRODUCT(1+sp500_monthly!B598:B717)^(1/120)-1)*100</f>
        <v>1.0543918867850666</v>
      </c>
      <c r="C597" cm="1">
        <f t="array" ref="C597">(PRODUCT(1+sp500_monthly!C598:C717)^(1/120)-1)*100</f>
        <v>0.6462836994356902</v>
      </c>
      <c r="D597" cm="1">
        <f t="array" ref="D597">(PRODUCT(1+sp500_monthly!D598:D717)^(1/120)-1)*100</f>
        <v>1.4323674896392413</v>
      </c>
      <c r="E597" cm="1">
        <f t="array" ref="E597">(PRODUCT(1+sp500_monthly!E598:E717)^(1/120)-1)*100</f>
        <v>1.0579426299463179</v>
      </c>
      <c r="F597" cm="1">
        <f t="array" ref="F597">(PRODUCT(1+sp500_monthly!K598:K717)^(1/120)-1)*100</f>
        <v>0.64040618297760421</v>
      </c>
      <c r="G597" cm="1">
        <f t="array" ref="G597">(PRODUCT(1+sp500_monthly!L598:L717)^(1/120)-1)</f>
        <v>0.70092182422545868</v>
      </c>
      <c r="H597" cm="1">
        <f t="array" ref="H597">(PRODUCT(1+sp500_monthly!N598:N717)^(1/120)-1)*100</f>
        <v>0.47469043044363612</v>
      </c>
      <c r="I597" cm="1">
        <f t="array" ref="I597">(PRODUCT(1+sp500_monthly!O598:O717)^(1/120)-1)*100</f>
        <v>0.14025308774445744</v>
      </c>
    </row>
    <row r="598" spans="1:9" x14ac:dyDescent="0.35">
      <c r="A598" s="1">
        <v>31320</v>
      </c>
      <c r="B598" cm="1">
        <f t="array" ref="B598">(PRODUCT(1+sp500_monthly!B599:B718)^(1/120)-1)*100</f>
        <v>1.0622179431207579</v>
      </c>
      <c r="C598" cm="1">
        <f t="array" ref="C598">(PRODUCT(1+sp500_monthly!C599:C718)^(1/120)-1)*100</f>
        <v>0.65469520567580375</v>
      </c>
      <c r="D598" cm="1">
        <f t="array" ref="D598">(PRODUCT(1+sp500_monthly!D599:D718)^(1/120)-1)*100</f>
        <v>1.4493966174349726</v>
      </c>
      <c r="E598" cm="1">
        <f t="array" ref="E598">(PRODUCT(1+sp500_monthly!E599:E718)^(1/120)-1)*100</f>
        <v>1.0759110638752345</v>
      </c>
      <c r="F598" cm="1">
        <f t="array" ref="F598">(PRODUCT(1+sp500_monthly!K599:K718)^(1/120)-1)*100</f>
        <v>0.64814540909392537</v>
      </c>
      <c r="G598" cm="1">
        <f t="array" ref="G598">(PRODUCT(1+sp500_monthly!L599:L718)^(1/120)-1)</f>
        <v>0.70157698731700036</v>
      </c>
      <c r="H598" cm="1">
        <f t="array" ref="H598">(PRODUCT(1+sp500_monthly!N599:N718)^(1/120)-1)*100</f>
        <v>0.48401365325381196</v>
      </c>
      <c r="I598" cm="1">
        <f t="array" ref="I598">(PRODUCT(1+sp500_monthly!O599:O718)^(1/120)-1)*100</f>
        <v>0.14237106587844384</v>
      </c>
    </row>
    <row r="599" spans="1:9" x14ac:dyDescent="0.35">
      <c r="A599" s="1">
        <v>31351</v>
      </c>
      <c r="B599" cm="1">
        <f t="array" ref="B599">(PRODUCT(1+sp500_monthly!B600:B719)^(1/120)-1)*100</f>
        <v>1.0613489884850003</v>
      </c>
      <c r="C599" cm="1">
        <f t="array" ref="C599">(PRODUCT(1+sp500_monthly!C600:C719)^(1/120)-1)*100</f>
        <v>0.65298162817051253</v>
      </c>
      <c r="D599" cm="1">
        <f t="array" ref="D599">(PRODUCT(1+sp500_monthly!D600:D719)^(1/120)-1)*100</f>
        <v>1.4410716184621197</v>
      </c>
      <c r="E599" cm="1">
        <f t="array" ref="E599">(PRODUCT(1+sp500_monthly!E600:E719)^(1/120)-1)*100</f>
        <v>1.0685846104165009</v>
      </c>
      <c r="F599" cm="1">
        <f t="array" ref="F599">(PRODUCT(1+sp500_monthly!K600:K719)^(1/120)-1)*100</f>
        <v>0.64807676831637462</v>
      </c>
      <c r="G599" cm="1">
        <f t="array" ref="G599">(PRODUCT(1+sp500_monthly!L600:L719)^(1/120)-1)</f>
        <v>0.70221145196914603</v>
      </c>
      <c r="H599" cm="1">
        <f t="array" ref="H599">(PRODUCT(1+sp500_monthly!N600:N719)^(1/120)-1)*100</f>
        <v>0.48775619287666494</v>
      </c>
      <c r="I599" cm="1">
        <f t="array" ref="I599">(PRODUCT(1+sp500_monthly!O600:O719)^(1/120)-1)*100</f>
        <v>0.14754287623581774</v>
      </c>
    </row>
    <row r="600" spans="1:9" x14ac:dyDescent="0.35">
      <c r="A600" s="1">
        <v>31380</v>
      </c>
      <c r="B600" cm="1">
        <f t="array" ref="B600">(PRODUCT(1+sp500_monthly!B601:B720)^(1/120)-1)*100</f>
        <v>1.0455626205903679</v>
      </c>
      <c r="C600" cm="1">
        <f t="array" ref="C600">(PRODUCT(1+sp500_monthly!C601:C720)^(1/120)-1)*100</f>
        <v>0.63745491687212663</v>
      </c>
      <c r="D600" cm="1">
        <f t="array" ref="D600">(PRODUCT(1+sp500_monthly!D601:D720)^(1/120)-1)*100</f>
        <v>1.4366650364228795</v>
      </c>
      <c r="E600" cm="1">
        <f t="array" ref="E600">(PRODUCT(1+sp500_monthly!E601:E720)^(1/120)-1)*100</f>
        <v>1.065118951606725</v>
      </c>
      <c r="F600" cm="1">
        <f t="array" ref="F600">(PRODUCT(1+sp500_monthly!K601:K720)^(1/120)-1)*100</f>
        <v>0.63282353367903887</v>
      </c>
      <c r="G600" cm="1">
        <f t="array" ref="G600">(PRODUCT(1+sp500_monthly!L601:L720)^(1/120)-1)</f>
        <v>0.70300727237998584</v>
      </c>
      <c r="H600" cm="1">
        <f t="array" ref="H600">(PRODUCT(1+sp500_monthly!N601:N720)^(1/120)-1)*100</f>
        <v>0.47355480837030228</v>
      </c>
      <c r="I600" cm="1">
        <f t="array" ref="I600">(PRODUCT(1+sp500_monthly!O601:O720)^(1/120)-1)*100</f>
        <v>0.14978003478558488</v>
      </c>
    </row>
    <row r="601" spans="1:9" x14ac:dyDescent="0.35">
      <c r="A601" s="1">
        <v>31412</v>
      </c>
      <c r="B601" cm="1">
        <f t="array" ref="B601">(PRODUCT(1+sp500_monthly!B602:B721)^(1/120)-1)*100</f>
        <v>1.0790609365813442</v>
      </c>
      <c r="C601" cm="1">
        <f t="array" ref="C601">(PRODUCT(1+sp500_monthly!C602:C721)^(1/120)-1)*100</f>
        <v>0.67167035926802843</v>
      </c>
      <c r="D601" cm="1">
        <f t="array" ref="D601">(PRODUCT(1+sp500_monthly!D602:D721)^(1/120)-1)*100</f>
        <v>1.4680161959513827</v>
      </c>
      <c r="E601" cm="1">
        <f t="array" ref="E601">(PRODUCT(1+sp500_monthly!E602:E721)^(1/120)-1)*100</f>
        <v>1.0971512369411851</v>
      </c>
      <c r="F601" cm="1">
        <f t="array" ref="F601">(PRODUCT(1+sp500_monthly!K602:K721)^(1/120)-1)*100</f>
        <v>0.66522020526911252</v>
      </c>
      <c r="G601" cm="1">
        <f t="array" ref="G601">(PRODUCT(1+sp500_monthly!L602:L721)^(1/120)-1)</f>
        <v>0.70489076737568768</v>
      </c>
      <c r="H601" cm="1">
        <f t="array" ref="H601">(PRODUCT(1+sp500_monthly!N602:N721)^(1/120)-1)*100</f>
        <v>0.50909297106895846</v>
      </c>
      <c r="I601" cm="1">
        <f t="array" ref="I601">(PRODUCT(1+sp500_monthly!O602:O721)^(1/120)-1)*100</f>
        <v>0.15366233544840124</v>
      </c>
    </row>
    <row r="602" spans="1:9" x14ac:dyDescent="0.35">
      <c r="A602" s="1">
        <v>31443</v>
      </c>
      <c r="B602" cm="1">
        <f t="array" ref="B602">(PRODUCT(1+sp500_monthly!B603:B722)^(1/120)-1)*100</f>
        <v>1.1275675968283494</v>
      </c>
      <c r="C602" cm="1">
        <f t="array" ref="C602">(PRODUCT(1+sp500_monthly!C603:C722)^(1/120)-1)*100</f>
        <v>0.71911330930554129</v>
      </c>
      <c r="D602" cm="1">
        <f t="array" ref="D602">(PRODUCT(1+sp500_monthly!D603:D722)^(1/120)-1)*100</f>
        <v>1.5059261727005113</v>
      </c>
      <c r="E602" cm="1">
        <f t="array" ref="E602">(PRODUCT(1+sp500_monthly!E603:E722)^(1/120)-1)*100</f>
        <v>1.1358371928479771</v>
      </c>
      <c r="F602" cm="1">
        <f t="array" ref="F602">(PRODUCT(1+sp500_monthly!K603:K722)^(1/120)-1)*100</f>
        <v>0.71191451612886425</v>
      </c>
      <c r="G602" cm="1">
        <f t="array" ref="G602">(PRODUCT(1+sp500_monthly!L603:L722)^(1/120)-1)</f>
        <v>0.70643628605007347</v>
      </c>
      <c r="H602" cm="1">
        <f t="array" ref="H602">(PRODUCT(1+sp500_monthly!N603:N722)^(1/120)-1)*100</f>
        <v>0.55802467253784904</v>
      </c>
      <c r="I602" cm="1">
        <f t="array" ref="I602">(PRODUCT(1+sp500_monthly!O603:O722)^(1/120)-1)*100</f>
        <v>0.15576898562013053</v>
      </c>
    </row>
    <row r="603" spans="1:9" x14ac:dyDescent="0.35">
      <c r="A603" s="1">
        <v>31471</v>
      </c>
      <c r="B603" cm="1">
        <f t="array" ref="B603">(PRODUCT(1+sp500_monthly!B604:B723)^(1/120)-1)*100</f>
        <v>1.0359526599940772</v>
      </c>
      <c r="C603" cm="1">
        <f t="array" ref="C603">(PRODUCT(1+sp500_monthly!C604:C723)^(1/120)-1)*100</f>
        <v>0.62760868727338437</v>
      </c>
      <c r="D603" cm="1">
        <f t="array" ref="D603">(PRODUCT(1+sp500_monthly!D604:D723)^(1/120)-1)*100</f>
        <v>1.3944180709808629</v>
      </c>
      <c r="E603" cm="1">
        <f t="array" ref="E603">(PRODUCT(1+sp500_monthly!E604:E723)^(1/120)-1)*100</f>
        <v>1.0249143424602813</v>
      </c>
      <c r="F603" cm="1">
        <f t="array" ref="F603">(PRODUCT(1+sp500_monthly!K604:K723)^(1/120)-1)*100</f>
        <v>0.62009803357743198</v>
      </c>
      <c r="G603" cm="1">
        <f t="array" ref="G603">(PRODUCT(1+sp500_monthly!L604:L723)^(1/120)-1)</f>
        <v>0.70728151431705077</v>
      </c>
      <c r="H603" cm="1">
        <f t="array" ref="H603">(PRODUCT(1+sp500_monthly!N604:N723)^(1/120)-1)*100</f>
        <v>0.46687911767901991</v>
      </c>
      <c r="I603" cm="1">
        <f t="array" ref="I603">(PRODUCT(1+sp500_monthly!O604:O723)^(1/120)-1)*100</f>
        <v>0.15646986544530783</v>
      </c>
    </row>
    <row r="604" spans="1:9" x14ac:dyDescent="0.35">
      <c r="A604" s="1">
        <v>31502</v>
      </c>
      <c r="B604" cm="1">
        <f t="array" ref="B604">(PRODUCT(1+sp500_monthly!B605:B724)^(1/120)-1)*100</f>
        <v>1.1029203317572733</v>
      </c>
      <c r="C604" cm="1">
        <f t="array" ref="C604">(PRODUCT(1+sp500_monthly!C605:C724)^(1/120)-1)*100</f>
        <v>0.69538729041580538</v>
      </c>
      <c r="D604" cm="1">
        <f t="array" ref="D604">(PRODUCT(1+sp500_monthly!D605:D724)^(1/120)-1)*100</f>
        <v>1.4305605846416158</v>
      </c>
      <c r="E604" cm="1">
        <f t="array" ref="E604">(PRODUCT(1+sp500_monthly!E605:E724)^(1/120)-1)*100</f>
        <v>1.0618668239718243</v>
      </c>
      <c r="F604" cm="1">
        <f t="array" ref="F604">(PRODUCT(1+sp500_monthly!K605:K724)^(1/120)-1)*100</f>
        <v>0.68763406679492878</v>
      </c>
      <c r="G604" cm="1">
        <f t="array" ref="G604">(PRODUCT(1+sp500_monthly!L605:L724)^(1/120)-1)</f>
        <v>0.70916907633465209</v>
      </c>
      <c r="H604" cm="1">
        <f t="array" ref="H604">(PRODUCT(1+sp500_monthly!N605:N724)^(1/120)-1)*100</f>
        <v>0.53649570871217023</v>
      </c>
      <c r="I604" cm="1">
        <f t="array" ref="I604">(PRODUCT(1+sp500_monthly!O605:O724)^(1/120)-1)*100</f>
        <v>0.16106362746941549</v>
      </c>
    </row>
    <row r="605" spans="1:9" x14ac:dyDescent="0.35">
      <c r="A605" s="1">
        <v>31532</v>
      </c>
      <c r="B605" cm="1">
        <f t="array" ref="B605">(PRODUCT(1+sp500_monthly!B606:B725)^(1/120)-1)*100</f>
        <v>1.121634909805902</v>
      </c>
      <c r="C605" cm="1">
        <f t="array" ref="C605">(PRODUCT(1+sp500_monthly!C606:C725)^(1/120)-1)*100</f>
        <v>0.7135354617287426</v>
      </c>
      <c r="D605" cm="1">
        <f t="array" ref="D605">(PRODUCT(1+sp500_monthly!D606:D725)^(1/120)-1)*100</f>
        <v>1.4639585269129896</v>
      </c>
      <c r="E605" cm="1">
        <f t="array" ref="E605">(PRODUCT(1+sp500_monthly!E606:E725)^(1/120)-1)*100</f>
        <v>1.0961660079154445</v>
      </c>
      <c r="F605" cm="1">
        <f t="array" ref="F605">(PRODUCT(1+sp500_monthly!K606:K725)^(1/120)-1)*100</f>
        <v>0.70544063138631152</v>
      </c>
      <c r="G605" cm="1">
        <f t="array" ref="G605">(PRODUCT(1+sp500_monthly!L606:L725)^(1/120)-1)</f>
        <v>0.71107203263159224</v>
      </c>
      <c r="H605" cm="1">
        <f t="array" ref="H605">(PRODUCT(1+sp500_monthly!N606:N725)^(1/120)-1)*100</f>
        <v>0.56119908304015365</v>
      </c>
      <c r="I605" cm="1">
        <f t="array" ref="I605">(PRODUCT(1+sp500_monthly!O606:O725)^(1/120)-1)*100</f>
        <v>0.16879455320324421</v>
      </c>
    </row>
    <row r="606" spans="1:9" x14ac:dyDescent="0.35">
      <c r="A606" s="1">
        <v>31562</v>
      </c>
      <c r="B606" cm="1">
        <f t="array" ref="B606">(PRODUCT(1+sp500_monthly!B607:B726)^(1/120)-1)*100</f>
        <v>1.118448439259212</v>
      </c>
      <c r="C606" cm="1">
        <f t="array" ref="C606">(PRODUCT(1+sp500_monthly!C607:C726)^(1/120)-1)*100</f>
        <v>0.70983278339351585</v>
      </c>
      <c r="D606" cm="1">
        <f t="array" ref="D606">(PRODUCT(1+sp500_monthly!D607:D726)^(1/120)-1)*100</f>
        <v>1.454283923773092</v>
      </c>
      <c r="E606" cm="1">
        <f t="array" ref="E606">(PRODUCT(1+sp500_monthly!E607:E726)^(1/120)-1)*100</f>
        <v>1.0868407489865728</v>
      </c>
      <c r="F606" cm="1">
        <f t="array" ref="F606">(PRODUCT(1+sp500_monthly!K607:K726)^(1/120)-1)*100</f>
        <v>0.70276094116441534</v>
      </c>
      <c r="G606" cm="1">
        <f t="array" ref="G606">(PRODUCT(1+sp500_monthly!L607:L726)^(1/120)-1)</f>
        <v>0.71204267765190976</v>
      </c>
      <c r="H606" cm="1">
        <f t="array" ref="H606">(PRODUCT(1+sp500_monthly!N607:N726)^(1/120)-1)*100</f>
        <v>0.56260343772711607</v>
      </c>
      <c r="I606" cm="1">
        <f t="array" ref="I606">(PRODUCT(1+sp500_monthly!O607:O726)^(1/120)-1)*100</f>
        <v>0.1741808931123856</v>
      </c>
    </row>
    <row r="607" spans="1:9" x14ac:dyDescent="0.35">
      <c r="A607" s="1">
        <v>31593</v>
      </c>
      <c r="B607" cm="1">
        <f t="array" ref="B607">(PRODUCT(1+sp500_monthly!B608:B727)^(1/120)-1)*100</f>
        <v>1.1707054900729874</v>
      </c>
      <c r="C607" cm="1">
        <f t="array" ref="C607">(PRODUCT(1+sp500_monthly!C608:C727)^(1/120)-1)*100</f>
        <v>0.76414313080122032</v>
      </c>
      <c r="D607" cm="1">
        <f t="array" ref="D607">(PRODUCT(1+sp500_monthly!D608:D727)^(1/120)-1)*100</f>
        <v>1.5159136240633142</v>
      </c>
      <c r="E607" cm="1">
        <f t="array" ref="E607">(PRODUCT(1+sp500_monthly!E608:E727)^(1/120)-1)*100</f>
        <v>1.149684191722633</v>
      </c>
      <c r="F607" cm="1">
        <f t="array" ref="F607">(PRODUCT(1+sp500_monthly!K608:K727)^(1/120)-1)*100</f>
        <v>0.75604376896807324</v>
      </c>
      <c r="G607" cm="1">
        <f t="array" ref="G607">(PRODUCT(1+sp500_monthly!L608:L727)^(1/120)-1)</f>
        <v>0.71324103280617712</v>
      </c>
      <c r="H607" cm="1">
        <f t="array" ref="H607">(PRODUCT(1+sp500_monthly!N608:N727)^(1/120)-1)*100</f>
        <v>0.61673417052019452</v>
      </c>
      <c r="I607" cm="1">
        <f t="array" ref="I607">(PRODUCT(1+sp500_monthly!O608:O727)^(1/120)-1)*100</f>
        <v>0.1773298512890209</v>
      </c>
    </row>
    <row r="608" spans="1:9" x14ac:dyDescent="0.35">
      <c r="A608" s="1">
        <v>31624</v>
      </c>
      <c r="B608" cm="1">
        <f t="array" ref="B608">(PRODUCT(1+sp500_monthly!B609:B728)^(1/120)-1)*100</f>
        <v>1.147608437140657</v>
      </c>
      <c r="C608" cm="1">
        <f t="array" ref="C608">(PRODUCT(1+sp500_monthly!C609:C728)^(1/120)-1)*100</f>
        <v>0.74057433049494747</v>
      </c>
      <c r="D608" cm="1">
        <f t="array" ref="D608">(PRODUCT(1+sp500_monthly!D609:D728)^(1/120)-1)*100</f>
        <v>1.47302571679091</v>
      </c>
      <c r="E608" cm="1">
        <f t="array" ref="E608">(PRODUCT(1+sp500_monthly!E609:E728)^(1/120)-1)*100</f>
        <v>1.1079645664332505</v>
      </c>
      <c r="F608" cm="1">
        <f t="array" ref="F608">(PRODUCT(1+sp500_monthly!K609:K728)^(1/120)-1)*100</f>
        <v>0.73413228240462036</v>
      </c>
      <c r="G608" cm="1">
        <f t="array" ref="G608">(PRODUCT(1+sp500_monthly!L609:L728)^(1/120)-1)</f>
        <v>0.71411266439264831</v>
      </c>
      <c r="H608" cm="1">
        <f t="array" ref="H608">(PRODUCT(1+sp500_monthly!N609:N728)^(1/120)-1)*100</f>
        <v>0.5951400927356687</v>
      </c>
      <c r="I608" cm="1">
        <f t="array" ref="I608">(PRODUCT(1+sp500_monthly!O609:O728)^(1/120)-1)*100</f>
        <v>0.17944844869115517</v>
      </c>
    </row>
    <row r="609" spans="1:9" x14ac:dyDescent="0.35">
      <c r="A609" s="1">
        <v>31653</v>
      </c>
      <c r="B609" cm="1">
        <f t="array" ref="B609">(PRODUCT(1+sp500_monthly!B610:B729)^(1/120)-1)*100</f>
        <v>1.1037579800221353</v>
      </c>
      <c r="C609" cm="1">
        <f t="array" ref="C609">(PRODUCT(1+sp500_monthly!C610:C729)^(1/120)-1)*100</f>
        <v>0.69632201690441597</v>
      </c>
      <c r="D609" cm="1">
        <f t="array" ref="D609">(PRODUCT(1+sp500_monthly!D610:D729)^(1/120)-1)*100</f>
        <v>1.4119540006439113</v>
      </c>
      <c r="E609" cm="1">
        <f t="array" ref="E609">(PRODUCT(1+sp500_monthly!E610:E729)^(1/120)-1)*100</f>
        <v>1.0470103375715523</v>
      </c>
      <c r="F609" cm="1">
        <f t="array" ref="F609">(PRODUCT(1+sp500_monthly!K610:K729)^(1/120)-1)*100</f>
        <v>0.69016496477756206</v>
      </c>
      <c r="G609" cm="1">
        <f t="array" ref="G609">(PRODUCT(1+sp500_monthly!L610:L729)^(1/120)-1)</f>
        <v>0.71459051038008359</v>
      </c>
      <c r="H609" cm="1">
        <f t="array" ref="H609">(PRODUCT(1+sp500_monthly!N610:N729)^(1/120)-1)*100</f>
        <v>0.55518543270343113</v>
      </c>
      <c r="I609" cm="1">
        <f t="array" ref="I609">(PRODUCT(1+sp500_monthly!O610:O729)^(1/120)-1)*100</f>
        <v>0.18350657913841495</v>
      </c>
    </row>
    <row r="610" spans="1:9" x14ac:dyDescent="0.35">
      <c r="A610" s="1">
        <v>31685</v>
      </c>
      <c r="B610" cm="1">
        <f t="array" ref="B610">(PRODUCT(1+sp500_monthly!B611:B730)^(1/120)-1)*100</f>
        <v>1.1629045142326211</v>
      </c>
      <c r="C610" cm="1">
        <f t="array" ref="C610">(PRODUCT(1+sp500_monthly!C611:C730)^(1/120)-1)*100</f>
        <v>0.75736594541353508</v>
      </c>
      <c r="D610" cm="1">
        <f t="array" ref="D610">(PRODUCT(1+sp500_monthly!D611:D730)^(1/120)-1)*100</f>
        <v>1.4842762895130424</v>
      </c>
      <c r="E610" cm="1">
        <f t="array" ref="E610">(PRODUCT(1+sp500_monthly!E611:E730)^(1/120)-1)*100</f>
        <v>1.120769095867713</v>
      </c>
      <c r="F610" cm="1">
        <f t="array" ref="F610">(PRODUCT(1+sp500_monthly!K611:K730)^(1/120)-1)*100</f>
        <v>0.75220094679964156</v>
      </c>
      <c r="G610" cm="1">
        <f t="array" ref="G610">(PRODUCT(1+sp500_monthly!L611:L730)^(1/120)-1)</f>
        <v>0.71498747780157257</v>
      </c>
      <c r="H610" cm="1">
        <f t="array" ref="H610">(PRODUCT(1+sp500_monthly!N611:N730)^(1/120)-1)*100</f>
        <v>0.61764707764238036</v>
      </c>
      <c r="I610" cm="1">
        <f t="array" ref="I610">(PRODUCT(1+sp500_monthly!O611:O730)^(1/120)-1)*100</f>
        <v>0.18745954626790962</v>
      </c>
    </row>
    <row r="611" spans="1:9" x14ac:dyDescent="0.35">
      <c r="A611" s="1">
        <v>31716</v>
      </c>
      <c r="B611" cm="1">
        <f t="array" ref="B611">(PRODUCT(1+sp500_monthly!B612:B731)^(1/120)-1)*100</f>
        <v>1.0693380567468047</v>
      </c>
      <c r="C611" cm="1">
        <f t="array" ref="C611">(PRODUCT(1+sp500_monthly!C612:C731)^(1/120)-1)*100</f>
        <v>0.66339140722551093</v>
      </c>
      <c r="D611" cm="1">
        <f t="array" ref="D611">(PRODUCT(1+sp500_monthly!D612:D731)^(1/120)-1)*100</f>
        <v>1.4051579615893761</v>
      </c>
      <c r="E611" cm="1">
        <f t="array" ref="E611">(PRODUCT(1+sp500_monthly!E612:E731)^(1/120)-1)*100</f>
        <v>1.0427106148825027</v>
      </c>
      <c r="F611" cm="1">
        <f t="array" ref="F611">(PRODUCT(1+sp500_monthly!K612:K731)^(1/120)-1)*100</f>
        <v>0.6584614042773218</v>
      </c>
      <c r="G611" cm="1">
        <f t="array" ref="G611">(PRODUCT(1+sp500_monthly!L612:L731)^(1/120)-1)</f>
        <v>0.715086384593701</v>
      </c>
      <c r="H611" cm="1">
        <f t="array" ref="H611">(PRODUCT(1+sp500_monthly!N612:N731)^(1/120)-1)*100</f>
        <v>0.52590763861859458</v>
      </c>
      <c r="I611" cm="1">
        <f t="array" ref="I611">(PRODUCT(1+sp500_monthly!O612:O731)^(1/120)-1)*100</f>
        <v>0.1888609362362903</v>
      </c>
    </row>
    <row r="612" spans="1:9" x14ac:dyDescent="0.35">
      <c r="A612" s="1">
        <v>31744</v>
      </c>
      <c r="B612" cm="1">
        <f t="array" ref="B612">(PRODUCT(1+sp500_monthly!B613:B732)^(1/120)-1)*100</f>
        <v>1.1328763613684734</v>
      </c>
      <c r="C612" cm="1">
        <f t="array" ref="C612">(PRODUCT(1+sp500_monthly!C613:C732)^(1/120)-1)*100</f>
        <v>0.72603653335301388</v>
      </c>
      <c r="D612" cm="1">
        <f t="array" ref="D612">(PRODUCT(1+sp500_monthly!D613:D732)^(1/120)-1)*100</f>
        <v>1.4774415872861768</v>
      </c>
      <c r="E612" cm="1">
        <f t="array" ref="E612">(PRODUCT(1+sp500_monthly!E613:E732)^(1/120)-1)*100</f>
        <v>1.1139406655672035</v>
      </c>
      <c r="F612" cm="1">
        <f t="array" ref="F612">(PRODUCT(1+sp500_monthly!K613:K732)^(1/120)-1)*100</f>
        <v>0.7220387246724691</v>
      </c>
      <c r="G612" cm="1">
        <f t="array" ref="G612">(PRODUCT(1+sp500_monthly!L613:L732)^(1/120)-1)</f>
        <v>0.71558449986767192</v>
      </c>
      <c r="H612" cm="1">
        <f t="array" ref="H612">(PRODUCT(1+sp500_monthly!N613:N732)^(1/120)-1)*100</f>
        <v>0.59193617282429223</v>
      </c>
      <c r="I612" cm="1">
        <f t="array" ref="I612">(PRODUCT(1+sp500_monthly!O613:O732)^(1/120)-1)*100</f>
        <v>0.19209718921853192</v>
      </c>
    </row>
    <row r="613" spans="1:9" x14ac:dyDescent="0.35">
      <c r="A613" s="1">
        <v>31777</v>
      </c>
      <c r="B613" cm="1">
        <f t="array" ref="B613">(PRODUCT(1+sp500_monthly!B614:B733)^(1/120)-1)*100</f>
        <v>1.1544647797767427</v>
      </c>
      <c r="C613" cm="1">
        <f t="array" ref="C613">(PRODUCT(1+sp500_monthly!C614:C733)^(1/120)-1)*100</f>
        <v>0.74970201998640906</v>
      </c>
      <c r="D613" cm="1">
        <f t="array" ref="D613">(PRODUCT(1+sp500_monthly!D614:D733)^(1/120)-1)*100</f>
        <v>1.4769520687156978</v>
      </c>
      <c r="E613" cm="1">
        <f t="array" ref="E613">(PRODUCT(1+sp500_monthly!E614:E733)^(1/120)-1)*100</f>
        <v>1.1146162152115613</v>
      </c>
      <c r="F613" cm="1">
        <f t="array" ref="F613">(PRODUCT(1+sp500_monthly!K614:K733)^(1/120)-1)*100</f>
        <v>0.74642900261798761</v>
      </c>
      <c r="G613" cm="1">
        <f t="array" ref="G613">(PRODUCT(1+sp500_monthly!L614:L733)^(1/120)-1)</f>
        <v>0.71548201835005121</v>
      </c>
      <c r="H613" cm="1">
        <f t="array" ref="H613">(PRODUCT(1+sp500_monthly!N614:N733)^(1/120)-1)*100</f>
        <v>0.61478002134256471</v>
      </c>
      <c r="I613" cm="1">
        <f t="array" ref="I613">(PRODUCT(1+sp500_monthly!O614:O733)^(1/120)-1)*100</f>
        <v>0.19337918502790874</v>
      </c>
    </row>
    <row r="614" spans="1:9" x14ac:dyDescent="0.35">
      <c r="A614" s="1">
        <v>31807</v>
      </c>
      <c r="B614" cm="1">
        <f t="array" ref="B614">(PRODUCT(1+sp500_monthly!B615:B734)^(1/120)-1)*100</f>
        <v>1.0868171582340658</v>
      </c>
      <c r="C614" cm="1">
        <f t="array" ref="C614">(PRODUCT(1+sp500_monthly!C615:C734)^(1/120)-1)*100</f>
        <v>0.68130503036962775</v>
      </c>
      <c r="D614" cm="1">
        <f t="array" ref="D614">(PRODUCT(1+sp500_monthly!D615:D734)^(1/120)-1)*100</f>
        <v>1.3882198053731143</v>
      </c>
      <c r="E614" cm="1">
        <f t="array" ref="E614">(PRODUCT(1+sp500_monthly!E615:E734)^(1/120)-1)*100</f>
        <v>1.0263224324531972</v>
      </c>
      <c r="F614" cm="1">
        <f t="array" ref="F614">(PRODUCT(1+sp500_monthly!K615:K734)^(1/120)-1)*100</f>
        <v>0.67940271229778304</v>
      </c>
      <c r="G614" cm="1">
        <f t="array" ref="G614">(PRODUCT(1+sp500_monthly!L615:L734)^(1/120)-1)</f>
        <v>0.71637292620542192</v>
      </c>
      <c r="H614" cm="1">
        <f t="array" ref="H614">(PRODUCT(1+sp500_monthly!N615:N734)^(1/120)-1)*100</f>
        <v>0.54877831007162925</v>
      </c>
      <c r="I614" cm="1">
        <f t="array" ref="I614">(PRODUCT(1+sp500_monthly!O615:O734)^(1/120)-1)*100</f>
        <v>0.19540778610300791</v>
      </c>
    </row>
    <row r="615" spans="1:9" x14ac:dyDescent="0.35">
      <c r="A615" s="1">
        <v>31835</v>
      </c>
      <c r="B615" cm="1">
        <f t="array" ref="B615">(PRODUCT(1+sp500_monthly!B616:B735)^(1/120)-1)*100</f>
        <v>1.2366401982619957</v>
      </c>
      <c r="C615" cm="1">
        <f t="array" ref="C615">(PRODUCT(1+sp500_monthly!C616:C735)^(1/120)-1)*100</f>
        <v>0.83078521053585597</v>
      </c>
      <c r="D615" cm="1">
        <f t="array" ref="D615">(PRODUCT(1+sp500_monthly!D616:D735)^(1/120)-1)*100</f>
        <v>1.5290341362911741</v>
      </c>
      <c r="E615" cm="1">
        <f t="array" ref="E615">(PRODUCT(1+sp500_monthly!E616:E735)^(1/120)-1)*100</f>
        <v>1.1671333617534474</v>
      </c>
      <c r="F615" cm="1">
        <f t="array" ref="F615">(PRODUCT(1+sp500_monthly!K616:K735)^(1/120)-1)*100</f>
        <v>0.82686452987810188</v>
      </c>
      <c r="G615" cm="1">
        <f t="array" ref="G615">(PRODUCT(1+sp500_monthly!L616:L735)^(1/120)-1)</f>
        <v>0.71699053352108977</v>
      </c>
      <c r="H615" cm="1">
        <f t="array" ref="H615">(PRODUCT(1+sp500_monthly!N616:N735)^(1/120)-1)*100</f>
        <v>0.6975717049868102</v>
      </c>
      <c r="I615" cm="1">
        <f t="array" ref="I615">(PRODUCT(1+sp500_monthly!O616:O735)^(1/120)-1)*100</f>
        <v>0.19567576987407076</v>
      </c>
    </row>
    <row r="616" spans="1:9" x14ac:dyDescent="0.35">
      <c r="A616" s="1">
        <v>31867</v>
      </c>
      <c r="B616" cm="1">
        <f t="array" ref="B616">(PRODUCT(1+sp500_monthly!B617:B736)^(1/120)-1)*100</f>
        <v>1.2844777378229866</v>
      </c>
      <c r="C616" cm="1">
        <f t="array" ref="C616">(PRODUCT(1+sp500_monthly!C617:C736)^(1/120)-1)*100</f>
        <v>0.88104603101086809</v>
      </c>
      <c r="D616" cm="1">
        <f t="array" ref="D616">(PRODUCT(1+sp500_monthly!D617:D736)^(1/120)-1)*100</f>
        <v>1.5939145526469023</v>
      </c>
      <c r="E616" cm="1">
        <f t="array" ref="E616">(PRODUCT(1+sp500_monthly!E617:E736)^(1/120)-1)*100</f>
        <v>1.233742932886317</v>
      </c>
      <c r="F616" cm="1">
        <f t="array" ref="F616">(PRODUCT(1+sp500_monthly!K617:K736)^(1/120)-1)*100</f>
        <v>0.87574098606810757</v>
      </c>
      <c r="G616" cm="1">
        <f t="array" ref="G616">(PRODUCT(1+sp500_monthly!L617:L736)^(1/120)-1)</f>
        <v>0.71781445523127951</v>
      </c>
      <c r="H616" cm="1">
        <f t="array" ref="H616">(PRODUCT(1+sp500_monthly!N617:N736)^(1/120)-1)*100</f>
        <v>0.75068334999222053</v>
      </c>
      <c r="I616" cm="1">
        <f t="array" ref="I616">(PRODUCT(1+sp500_monthly!O617:O736)^(1/120)-1)*100</f>
        <v>0.20183986227209072</v>
      </c>
    </row>
    <row r="617" spans="1:9" x14ac:dyDescent="0.35">
      <c r="A617" s="1">
        <v>31897</v>
      </c>
      <c r="B617" cm="1">
        <f t="array" ref="B617">(PRODUCT(1+sp500_monthly!B618:B737)^(1/120)-1)*100</f>
        <v>1.3170425434531507</v>
      </c>
      <c r="C617" cm="1">
        <f t="array" ref="C617">(PRODUCT(1+sp500_monthly!C618:C737)^(1/120)-1)*100</f>
        <v>0.91317109034505517</v>
      </c>
      <c r="D617" cm="1">
        <f t="array" ref="D617">(PRODUCT(1+sp500_monthly!D618:D737)^(1/120)-1)*100</f>
        <v>1.6099656901825243</v>
      </c>
      <c r="E617" cm="1">
        <f t="array" ref="E617">(PRODUCT(1+sp500_monthly!E618:E737)^(1/120)-1)*100</f>
        <v>1.2507728266154317</v>
      </c>
      <c r="F617" cm="1">
        <f t="array" ref="F617">(PRODUCT(1+sp500_monthly!K618:K737)^(1/120)-1)*100</f>
        <v>0.90951653459661053</v>
      </c>
      <c r="G617" cm="1">
        <f t="array" ref="G617">(PRODUCT(1+sp500_monthly!L618:L737)^(1/120)-1)</f>
        <v>0.71871910694306451</v>
      </c>
      <c r="H617" cm="1">
        <f t="array" ref="H617">(PRODUCT(1+sp500_monthly!N618:N737)^(1/120)-1)*100</f>
        <v>0.78431519260291349</v>
      </c>
      <c r="I617" cm="1">
        <f t="array" ref="I617">(PRODUCT(1+sp500_monthly!O618:O737)^(1/120)-1)*100</f>
        <v>0.20381972568579432</v>
      </c>
    </row>
    <row r="618" spans="1:9" x14ac:dyDescent="0.35">
      <c r="A618" s="1">
        <v>31926</v>
      </c>
      <c r="B618" cm="1">
        <f t="array" ref="B618">(PRODUCT(1+sp500_monthly!B619:B738)^(1/120)-1)*100</f>
        <v>1.3088303287358549</v>
      </c>
      <c r="C618" cm="1">
        <f t="array" ref="C618">(PRODUCT(1+sp500_monthly!C619:C738)^(1/120)-1)*100</f>
        <v>0.90421388013426363</v>
      </c>
      <c r="D618" cm="1">
        <f t="array" ref="D618">(PRODUCT(1+sp500_monthly!D619:D738)^(1/120)-1)*100</f>
        <v>1.5922638523496735</v>
      </c>
      <c r="E618" cm="1">
        <f t="array" ref="E618">(PRODUCT(1+sp500_monthly!E619:E738)^(1/120)-1)*100</f>
        <v>1.2321624303003098</v>
      </c>
      <c r="F618" cm="1">
        <f t="array" ref="F618">(PRODUCT(1+sp500_monthly!K619:K738)^(1/120)-1)*100</f>
        <v>0.8996623308419327</v>
      </c>
      <c r="G618" cm="1">
        <f t="array" ref="G618">(PRODUCT(1+sp500_monthly!L619:L738)^(1/120)-1)</f>
        <v>0.71932878190543525</v>
      </c>
      <c r="H618" cm="1">
        <f t="array" ref="H618">(PRODUCT(1+sp500_monthly!N619:N738)^(1/120)-1)*100</f>
        <v>0.77802948028011798</v>
      </c>
      <c r="I618" cm="1">
        <f t="array" ref="I618">(PRODUCT(1+sp500_monthly!O619:O738)^(1/120)-1)*100</f>
        <v>0.2061913362184864</v>
      </c>
    </row>
    <row r="619" spans="1:9" x14ac:dyDescent="0.35">
      <c r="A619" s="1">
        <v>31958</v>
      </c>
      <c r="B619" cm="1">
        <f t="array" ref="B619">(PRODUCT(1+sp500_monthly!B620:B739)^(1/120)-1)*100</f>
        <v>1.3293180638446422</v>
      </c>
      <c r="C619" cm="1">
        <f t="array" ref="C619">(PRODUCT(1+sp500_monthly!C620:C739)^(1/120)-1)*100</f>
        <v>0.92860878095999411</v>
      </c>
      <c r="D619" cm="1">
        <f t="array" ref="D619">(PRODUCT(1+sp500_monthly!D620:D739)^(1/120)-1)*100</f>
        <v>1.6149448415940793</v>
      </c>
      <c r="E619" cm="1">
        <f t="array" ref="E619">(PRODUCT(1+sp500_monthly!E620:E739)^(1/120)-1)*100</f>
        <v>1.2573907037281229</v>
      </c>
      <c r="F619" cm="1">
        <f t="array" ref="F619">(PRODUCT(1+sp500_monthly!K620:K739)^(1/120)-1)*100</f>
        <v>0.92477773057195733</v>
      </c>
      <c r="G619" cm="1">
        <f t="array" ref="G619">(PRODUCT(1+sp500_monthly!L620:L739)^(1/120)-1)</f>
        <v>0.7194329872668086</v>
      </c>
      <c r="H619" cm="1">
        <f t="array" ref="H619">(PRODUCT(1+sp500_monthly!N620:N739)^(1/120)-1)*100</f>
        <v>0.79897215360551499</v>
      </c>
      <c r="I619" cm="1">
        <f t="array" ref="I619">(PRODUCT(1+sp500_monthly!O620:O739)^(1/120)-1)*100</f>
        <v>0.20683350867394257</v>
      </c>
    </row>
    <row r="620" spans="1:9" x14ac:dyDescent="0.35">
      <c r="A620" s="1">
        <v>31989</v>
      </c>
      <c r="B620" cm="1">
        <f t="array" ref="B620">(PRODUCT(1+sp500_monthly!B621:B740)^(1/120)-1)*100</f>
        <v>1.3312211020555464</v>
      </c>
      <c r="C620" cm="1">
        <f t="array" ref="C620">(PRODUCT(1+sp500_monthly!C621:C740)^(1/120)-1)*100</f>
        <v>0.93017493565497045</v>
      </c>
      <c r="D620" cm="1">
        <f t="array" ref="D620">(PRODUCT(1+sp500_monthly!D621:D740)^(1/120)-1)*100</f>
        <v>1.6079507567716034</v>
      </c>
      <c r="E620" cm="1">
        <f t="array" ref="E620">(PRODUCT(1+sp500_monthly!E621:E740)^(1/120)-1)*100</f>
        <v>1.2511099353524457</v>
      </c>
      <c r="F620" cm="1">
        <f t="array" ref="F620">(PRODUCT(1+sp500_monthly!K621:K740)^(1/120)-1)*100</f>
        <v>0.92683085751432692</v>
      </c>
      <c r="G620" cm="1">
        <f t="array" ref="G620">(PRODUCT(1+sp500_monthly!L621:L740)^(1/120)-1)</f>
        <v>0.72022941028363729</v>
      </c>
      <c r="H620" cm="1">
        <f t="array" ref="H620">(PRODUCT(1+sp500_monthly!N621:N740)^(1/120)-1)*100</f>
        <v>0.80133227201657498</v>
      </c>
      <c r="I620" cm="1">
        <f t="array" ref="I620">(PRODUCT(1+sp500_monthly!O621:O740)^(1/120)-1)*100</f>
        <v>0.20796292118663295</v>
      </c>
    </row>
    <row r="621" spans="1:9" x14ac:dyDescent="0.35">
      <c r="A621" s="1">
        <v>32020</v>
      </c>
      <c r="B621" cm="1">
        <f t="array" ref="B621">(PRODUCT(1+sp500_monthly!B622:B741)^(1/120)-1)*100</f>
        <v>1.3854598671749097</v>
      </c>
      <c r="C621" cm="1">
        <f t="array" ref="C621">(PRODUCT(1+sp500_monthly!C622:C741)^(1/120)-1)*100</f>
        <v>0.9835980181397419</v>
      </c>
      <c r="D621" cm="1">
        <f t="array" ref="D621">(PRODUCT(1+sp500_monthly!D622:D741)^(1/120)-1)*100</f>
        <v>1.6765467189314709</v>
      </c>
      <c r="E621" cm="1">
        <f t="array" ref="E621">(PRODUCT(1+sp500_monthly!E622:E741)^(1/120)-1)*100</f>
        <v>1.3188405209701548</v>
      </c>
      <c r="F621" cm="1">
        <f t="array" ref="F621">(PRODUCT(1+sp500_monthly!K622:K741)^(1/120)-1)*100</f>
        <v>0.98021198304261148</v>
      </c>
      <c r="G621" cm="1">
        <f t="array" ref="G621">(PRODUCT(1+sp500_monthly!L622:L741)^(1/120)-1)</f>
        <v>0.72062768324107873</v>
      </c>
      <c r="H621" cm="1">
        <f t="array" ref="H621">(PRODUCT(1+sp500_monthly!N622:N741)^(1/120)-1)*100</f>
        <v>0.8572261500252143</v>
      </c>
      <c r="I621" cm="1">
        <f t="array" ref="I621">(PRODUCT(1+sp500_monthly!O622:O741)^(1/120)-1)*100</f>
        <v>0.21022179018710396</v>
      </c>
    </row>
    <row r="622" spans="1:9" x14ac:dyDescent="0.35">
      <c r="A622" s="1">
        <v>32050</v>
      </c>
      <c r="B622" cm="1">
        <f t="array" ref="B622">(PRODUCT(1+sp500_monthly!B623:B742)^(1/120)-1)*100</f>
        <v>1.4283457317455062</v>
      </c>
      <c r="C622" cm="1">
        <f t="array" ref="C622">(PRODUCT(1+sp500_monthly!C623:C742)^(1/120)-1)*100</f>
        <v>1.0301080250003869</v>
      </c>
      <c r="D622" cm="1">
        <f t="array" ref="D622">(PRODUCT(1+sp500_monthly!D623:D742)^(1/120)-1)*100</f>
        <v>1.7135860450600449</v>
      </c>
      <c r="E622" cm="1">
        <f t="array" ref="E622">(PRODUCT(1+sp500_monthly!E623:E742)^(1/120)-1)*100</f>
        <v>1.3585033355236753</v>
      </c>
      <c r="F622" cm="1">
        <f t="array" ref="F622">(PRODUCT(1+sp500_monthly!K623:K742)^(1/120)-1)*100</f>
        <v>1.0270341902604896</v>
      </c>
      <c r="G622" cm="1">
        <f t="array" ref="G622">(PRODUCT(1+sp500_monthly!L623:L742)^(1/120)-1)</f>
        <v>0.72092335961274934</v>
      </c>
      <c r="H622" cm="1">
        <f t="array" ref="H622">(PRODUCT(1+sp500_monthly!N623:N742)^(1/120)-1)*100</f>
        <v>0.90034096516982132</v>
      </c>
      <c r="I622" cm="1">
        <f t="array" ref="I622">(PRODUCT(1+sp500_monthly!O623:O742)^(1/120)-1)*100</f>
        <v>0.21092048274189423</v>
      </c>
    </row>
    <row r="623" spans="1:9" x14ac:dyDescent="0.35">
      <c r="A623" s="1">
        <v>32080</v>
      </c>
      <c r="B623" cm="1">
        <f t="array" ref="B623">(PRODUCT(1+sp500_monthly!B624:B743)^(1/120)-1)*100</f>
        <v>1.4102940050928714</v>
      </c>
      <c r="C623" cm="1">
        <f t="array" ref="C623">(PRODUCT(1+sp500_monthly!C624:C743)^(1/120)-1)*100</f>
        <v>1.0121895055813068</v>
      </c>
      <c r="D623" cm="1">
        <f t="array" ref="D623">(PRODUCT(1+sp500_monthly!D624:D743)^(1/120)-1)*100</f>
        <v>1.7012356143039309</v>
      </c>
      <c r="E623" cm="1">
        <f t="array" ref="E623">(PRODUCT(1+sp500_monthly!E624:E743)^(1/120)-1)*100</f>
        <v>1.3470438857679401</v>
      </c>
      <c r="F623" cm="1">
        <f t="array" ref="F623">(PRODUCT(1+sp500_monthly!K624:K743)^(1/120)-1)*100</f>
        <v>1.0085313449825106</v>
      </c>
      <c r="G623" cm="1">
        <f t="array" ref="G623">(PRODUCT(1+sp500_monthly!L624:L743)^(1/120)-1)</f>
        <v>0.72112255528658586</v>
      </c>
      <c r="H623" cm="1">
        <f t="array" ref="H623">(PRODUCT(1+sp500_monthly!N624:N743)^(1/120)-1)*100</f>
        <v>0.88219365531669869</v>
      </c>
      <c r="I623" cm="1">
        <f t="array" ref="I623">(PRODUCT(1+sp500_monthly!O624:O743)^(1/120)-1)*100</f>
        <v>0.21089847582971277</v>
      </c>
    </row>
    <row r="624" spans="1:9" x14ac:dyDescent="0.35">
      <c r="A624" s="1">
        <v>32111</v>
      </c>
      <c r="B624" cm="1">
        <f t="array" ref="B624">(PRODUCT(1+sp500_monthly!B625:B744)^(1/120)-1)*100</f>
        <v>1.2412539329240913</v>
      </c>
      <c r="C624" cm="1">
        <f t="array" ref="C624">(PRODUCT(1+sp500_monthly!C625:C744)^(1/120)-1)*100</f>
        <v>0.8431621112116483</v>
      </c>
      <c r="D624" cm="1">
        <f t="array" ref="D624">(PRODUCT(1+sp500_monthly!D625:D744)^(1/120)-1)*100</f>
        <v>1.4829854255069774</v>
      </c>
      <c r="E624" cm="1">
        <f t="array" ref="E624">(PRODUCT(1+sp500_monthly!E625:E744)^(1/120)-1)*100</f>
        <v>1.1295194296108368</v>
      </c>
      <c r="F624" cm="1">
        <f t="array" ref="F624">(PRODUCT(1+sp500_monthly!K625:K744)^(1/120)-1)*100</f>
        <v>0.83944057601295086</v>
      </c>
      <c r="G624" cm="1">
        <f t="array" ref="G624">(PRODUCT(1+sp500_monthly!L625:L744)^(1/120)-1)</f>
        <v>0.72214445247649084</v>
      </c>
      <c r="H624" cm="1">
        <f t="array" ref="H624">(PRODUCT(1+sp500_monthly!N625:N744)^(1/120)-1)*100</f>
        <v>0.71593899724260446</v>
      </c>
      <c r="I624" cm="1">
        <f t="array" ref="I624">(PRODUCT(1+sp500_monthly!O625:O744)^(1/120)-1)*100</f>
        <v>0.21370772813589234</v>
      </c>
    </row>
    <row r="625" spans="1:9" x14ac:dyDescent="0.35">
      <c r="A625" s="1">
        <v>32142</v>
      </c>
      <c r="B625" cm="1">
        <f t="array" ref="B625">(PRODUCT(1+sp500_monthly!B626:B745)^(1/120)-1)*100</f>
        <v>1.1387877526636503</v>
      </c>
      <c r="C625" cm="1">
        <f t="array" ref="C625">(PRODUCT(1+sp500_monthly!C626:C745)^(1/120)-1)*100</f>
        <v>0.74479311680997196</v>
      </c>
      <c r="D625" cm="1">
        <f t="array" ref="D625">(PRODUCT(1+sp500_monthly!D626:D745)^(1/120)-1)*100</f>
        <v>1.3771005261569158</v>
      </c>
      <c r="E625" cm="1">
        <f t="array" ref="E625">(PRODUCT(1+sp500_monthly!E626:E745)^(1/120)-1)*100</f>
        <v>1.0258735522856055</v>
      </c>
      <c r="F625" cm="1">
        <f t="array" ref="F625">(PRODUCT(1+sp500_monthly!K626:K745)^(1/120)-1)*100</f>
        <v>0.74215937678265842</v>
      </c>
      <c r="G625" cm="1">
        <f t="array" ref="G625">(PRODUCT(1+sp500_monthly!L626:L745)^(1/120)-1)</f>
        <v>0.72063306584597697</v>
      </c>
      <c r="H625" cm="1">
        <f t="array" ref="H625">(PRODUCT(1+sp500_monthly!N626:N745)^(1/120)-1)*100</f>
        <v>0.61652011144726071</v>
      </c>
      <c r="I625" cm="1">
        <f t="array" ref="I625">(PRODUCT(1+sp500_monthly!O626:O745)^(1/120)-1)*100</f>
        <v>0.21496594964856008</v>
      </c>
    </row>
    <row r="626" spans="1:9" x14ac:dyDescent="0.35">
      <c r="A626" s="1">
        <v>32171</v>
      </c>
      <c r="B626" cm="1">
        <f t="array" ref="B626">(PRODUCT(1+sp500_monthly!B627:B746)^(1/120)-1)*100</f>
        <v>1.1942293777750468</v>
      </c>
      <c r="C626" cm="1">
        <f t="array" ref="C626">(PRODUCT(1+sp500_monthly!C627:C746)^(1/120)-1)*100</f>
        <v>0.79936600990058171</v>
      </c>
      <c r="D626" cm="1">
        <f t="array" ref="D626">(PRODUCT(1+sp500_monthly!D627:D746)^(1/120)-1)*100</f>
        <v>1.4524410071821148</v>
      </c>
      <c r="E626" cm="1">
        <f t="array" ref="E626">(PRODUCT(1+sp500_monthly!E627:E746)^(1/120)-1)*100</f>
        <v>1.1015191546157821</v>
      </c>
      <c r="F626" cm="1">
        <f t="array" ref="F626">(PRODUCT(1+sp500_monthly!K627:K746)^(1/120)-1)*100</f>
        <v>0.79883098611897019</v>
      </c>
      <c r="G626" cm="1">
        <f t="array" ref="G626">(PRODUCT(1+sp500_monthly!L627:L746)^(1/120)-1)</f>
        <v>0.71963721695849747</v>
      </c>
      <c r="H626" cm="1">
        <f t="array" ref="H626">(PRODUCT(1+sp500_monthly!N627:N746)^(1/120)-1)*100</f>
        <v>0.67427233489614213</v>
      </c>
      <c r="I626" cm="1">
        <f t="array" ref="I626">(PRODUCT(1+sp500_monthly!O627:O746)^(1/120)-1)*100</f>
        <v>0.21671957592721558</v>
      </c>
    </row>
    <row r="627" spans="1:9" x14ac:dyDescent="0.35">
      <c r="A627" s="1">
        <v>32202</v>
      </c>
      <c r="B627" cm="1">
        <f t="array" ref="B627">(PRODUCT(1+sp500_monthly!B628:B747)^(1/120)-1)*100</f>
        <v>1.2822937448708771</v>
      </c>
      <c r="C627" cm="1">
        <f t="array" ref="C627">(PRODUCT(1+sp500_monthly!C628:C747)^(1/120)-1)*100</f>
        <v>0.88753791114331015</v>
      </c>
      <c r="D627" cm="1">
        <f t="array" ref="D627">(PRODUCT(1+sp500_monthly!D628:D747)^(1/120)-1)*100</f>
        <v>1.5391154572651278</v>
      </c>
      <c r="E627" cm="1">
        <f t="array" ref="E627">(PRODUCT(1+sp500_monthly!E628:E747)^(1/120)-1)*100</f>
        <v>1.1885365766010958</v>
      </c>
      <c r="F627" cm="1">
        <f t="array" ref="F627">(PRODUCT(1+sp500_monthly!K628:K747)^(1/120)-1)*100</f>
        <v>0.88549082792348521</v>
      </c>
      <c r="G627" cm="1">
        <f t="array" ref="G627">(PRODUCT(1+sp500_monthly!L628:L747)^(1/120)-1)</f>
        <v>0.71757297339292236</v>
      </c>
      <c r="H627" cm="1">
        <f t="array" ref="H627">(PRODUCT(1+sp500_monthly!N628:N747)^(1/120)-1)*100</f>
        <v>0.76435776466474703</v>
      </c>
      <c r="I627" cm="1">
        <f t="array" ref="I627">(PRODUCT(1+sp500_monthly!O628:O747)^(1/120)-1)*100</f>
        <v>0.21751593122389945</v>
      </c>
    </row>
    <row r="628" spans="1:9" x14ac:dyDescent="0.35">
      <c r="A628" s="1">
        <v>32233</v>
      </c>
      <c r="B628" cm="1">
        <f t="array" ref="B628">(PRODUCT(1+sp500_monthly!B629:B748)^(1/120)-1)*100</f>
        <v>1.3352676913862771</v>
      </c>
      <c r="C628" cm="1">
        <f t="array" ref="C628">(PRODUCT(1+sp500_monthly!C629:C748)^(1/120)-1)*100</f>
        <v>0.94222259373435424</v>
      </c>
      <c r="D628" cm="1">
        <f t="array" ref="D628">(PRODUCT(1+sp500_monthly!D629:D748)^(1/120)-1)*100</f>
        <v>1.6092054614938567</v>
      </c>
      <c r="E628" cm="1">
        <f t="array" ref="E628">(PRODUCT(1+sp500_monthly!E629:E748)^(1/120)-1)*100</f>
        <v>1.259994359330574</v>
      </c>
      <c r="F628" cm="1">
        <f t="array" ref="F628">(PRODUCT(1+sp500_monthly!K629:K748)^(1/120)-1)*100</f>
        <v>0.94102678968170927</v>
      </c>
      <c r="G628" cm="1">
        <f t="array" ref="G628">(PRODUCT(1+sp500_monthly!L629:L748)^(1/120)-1)</f>
        <v>0.71757297339292236</v>
      </c>
      <c r="H628" cm="1">
        <f t="array" ref="H628">(PRODUCT(1+sp500_monthly!N629:N748)^(1/120)-1)*100</f>
        <v>0.81962380541824587</v>
      </c>
      <c r="I628" cm="1">
        <f t="array" ref="I628">(PRODUCT(1+sp500_monthly!O629:O748)^(1/120)-1)*100</f>
        <v>0.2200636811393597</v>
      </c>
    </row>
    <row r="629" spans="1:9" x14ac:dyDescent="0.35">
      <c r="A629" s="1">
        <v>32262</v>
      </c>
      <c r="B629" cm="1">
        <f t="array" ref="B629">(PRODUCT(1+sp500_monthly!B630:B749)^(1/120)-1)*100</f>
        <v>1.2863837964580016</v>
      </c>
      <c r="C629" cm="1">
        <f t="array" ref="C629">(PRODUCT(1+sp500_monthly!C630:C749)^(1/120)-1)*100</f>
        <v>0.89344434938758432</v>
      </c>
      <c r="D629" cm="1">
        <f t="array" ref="D629">(PRODUCT(1+sp500_monthly!D630:D749)^(1/120)-1)*100</f>
        <v>1.5591228359116194</v>
      </c>
      <c r="E629" cm="1">
        <f t="array" ref="E629">(PRODUCT(1+sp500_monthly!E630:E749)^(1/120)-1)*100</f>
        <v>1.2110963902076888</v>
      </c>
      <c r="F629" cm="1">
        <f t="array" ref="F629">(PRODUCT(1+sp500_monthly!K630:K749)^(1/120)-1)*100</f>
        <v>0.8917990538342524</v>
      </c>
      <c r="G629" cm="1">
        <f t="array" ref="G629">(PRODUCT(1+sp500_monthly!L630:L749)^(1/120)-1)</f>
        <v>0.71670546577976024</v>
      </c>
      <c r="H629" cm="1">
        <f t="array" ref="H629">(PRODUCT(1+sp500_monthly!N630:N749)^(1/120)-1)*100</f>
        <v>0.77413839176629917</v>
      </c>
      <c r="I629" cm="1">
        <f t="array" ref="I629">(PRODUCT(1+sp500_monthly!O630:O749)^(1/120)-1)*100</f>
        <v>0.2224481538922074</v>
      </c>
    </row>
    <row r="630" spans="1:9" x14ac:dyDescent="0.35">
      <c r="A630" s="1">
        <v>32294</v>
      </c>
      <c r="B630" cm="1">
        <f t="array" ref="B630">(PRODUCT(1+sp500_monthly!B631:B750)^(1/120)-1)*100</f>
        <v>1.2232972282572474</v>
      </c>
      <c r="C630" cm="1">
        <f t="array" ref="C630">(PRODUCT(1+sp500_monthly!C631:C750)^(1/120)-1)*100</f>
        <v>0.83021049400342495</v>
      </c>
      <c r="D630" cm="1">
        <f t="array" ref="D630">(PRODUCT(1+sp500_monthly!D631:D750)^(1/120)-1)*100</f>
        <v>1.4934912942685896</v>
      </c>
      <c r="E630" cm="1">
        <f t="array" ref="E630">(PRODUCT(1+sp500_monthly!E631:E750)^(1/120)-1)*100</f>
        <v>1.1459558451789587</v>
      </c>
      <c r="F630" cm="1">
        <f t="array" ref="F630">(PRODUCT(1+sp500_monthly!K631:K750)^(1/120)-1)*100</f>
        <v>0.83079271269597132</v>
      </c>
      <c r="G630" cm="1">
        <f t="array" ref="G630">(PRODUCT(1+sp500_monthly!L631:L750)^(1/120)-1)</f>
        <v>0.71594247424742274</v>
      </c>
      <c r="H630" cm="1">
        <f t="array" ref="H630">(PRODUCT(1+sp500_monthly!N631:N750)^(1/120)-1)*100</f>
        <v>0.71293602462498828</v>
      </c>
      <c r="I630" cm="1">
        <f t="array" ref="I630">(PRODUCT(1+sp500_monthly!O631:O750)^(1/120)-1)*100</f>
        <v>0.22334086916409035</v>
      </c>
    </row>
    <row r="631" spans="1:9" x14ac:dyDescent="0.35">
      <c r="A631" s="1">
        <v>32324</v>
      </c>
      <c r="B631" cm="1">
        <f t="array" ref="B631">(PRODUCT(1+sp500_monthly!B632:B751)^(1/120)-1)*100</f>
        <v>1.2185350607327061</v>
      </c>
      <c r="C631" cm="1">
        <f t="array" ref="C631">(PRODUCT(1+sp500_monthly!C632:C751)^(1/120)-1)*100</f>
        <v>0.82890951123650858</v>
      </c>
      <c r="D631" cm="1">
        <f t="array" ref="D631">(PRODUCT(1+sp500_monthly!D632:D751)^(1/120)-1)*100</f>
        <v>1.4694074381099709</v>
      </c>
      <c r="E631" cm="1">
        <f t="array" ref="E631">(PRODUCT(1+sp500_monthly!E632:E751)^(1/120)-1)*100</f>
        <v>1.1240599898046488</v>
      </c>
      <c r="F631" cm="1">
        <f t="array" ref="F631">(PRODUCT(1+sp500_monthly!K632:K751)^(1/120)-1)*100</f>
        <v>0.82990700657026295</v>
      </c>
      <c r="G631" cm="1">
        <f t="array" ref="G631">(PRODUCT(1+sp500_monthly!L632:L751)^(1/120)-1)</f>
        <v>0.71594247424742274</v>
      </c>
      <c r="H631" cm="1">
        <f t="array" ref="H631">(PRODUCT(1+sp500_monthly!N632:N751)^(1/120)-1)*100</f>
        <v>0.71389593583235378</v>
      </c>
      <c r="I631" cm="1">
        <f t="array" ref="I631">(PRODUCT(1+sp500_monthly!O632:O751)^(1/120)-1)*100</f>
        <v>0.22901150415963745</v>
      </c>
    </row>
    <row r="632" spans="1:9" x14ac:dyDescent="0.35">
      <c r="A632" s="1">
        <v>32353</v>
      </c>
      <c r="B632" cm="1">
        <f t="array" ref="B632">(PRODUCT(1+sp500_monthly!B633:B752)^(1/120)-1)*100</f>
        <v>1.2719346064779868</v>
      </c>
      <c r="C632" cm="1">
        <f t="array" ref="C632">(PRODUCT(1+sp500_monthly!C633:C752)^(1/120)-1)*100</f>
        <v>0.88204090163115367</v>
      </c>
      <c r="D632" cm="1">
        <f t="array" ref="D632">(PRODUCT(1+sp500_monthly!D633:D752)^(1/120)-1)*100</f>
        <v>1.529258532433464</v>
      </c>
      <c r="E632" cm="1">
        <f t="array" ref="E632">(PRODUCT(1+sp500_monthly!E633:E752)^(1/120)-1)*100</f>
        <v>1.1847106003022745</v>
      </c>
      <c r="F632" cm="1">
        <f t="array" ref="F632">(PRODUCT(1+sp500_monthly!K633:K752)^(1/120)-1)*100</f>
        <v>0.88040858243600972</v>
      </c>
      <c r="G632" cm="1">
        <f t="array" ref="G632">(PRODUCT(1+sp500_monthly!L633:L752)^(1/120)-1)</f>
        <v>0.71547056493341454</v>
      </c>
      <c r="H632" cm="1">
        <f t="array" ref="H632">(PRODUCT(1+sp500_monthly!N633:N752)^(1/120)-1)*100</f>
        <v>0.7699479723566105</v>
      </c>
      <c r="I632" cm="1">
        <f t="array" ref="I632">(PRODUCT(1+sp500_monthly!O633:O752)^(1/120)-1)*100</f>
        <v>0.23149914977822483</v>
      </c>
    </row>
    <row r="633" spans="1:9" x14ac:dyDescent="0.35">
      <c r="A633" s="1">
        <v>32386</v>
      </c>
      <c r="B633" cm="1">
        <f t="array" ref="B633">(PRODUCT(1+sp500_monthly!B634:B753)^(1/120)-1)*100</f>
        <v>1.2214141410268997</v>
      </c>
      <c r="C633" cm="1">
        <f t="array" ref="C633">(PRODUCT(1+sp500_monthly!C634:C753)^(1/120)-1)*100</f>
        <v>0.83070844054222714</v>
      </c>
      <c r="D633" cm="1">
        <f t="array" ref="D633">(PRODUCT(1+sp500_monthly!D634:D753)^(1/120)-1)*100</f>
        <v>1.4696853825392431</v>
      </c>
      <c r="E633" cm="1">
        <f t="array" ref="E633">(PRODUCT(1+sp500_monthly!E634:E753)^(1/120)-1)*100</f>
        <v>1.1235757543331726</v>
      </c>
      <c r="F633" cm="1">
        <f t="array" ref="F633">(PRODUCT(1+sp500_monthly!K634:K753)^(1/120)-1)*100</f>
        <v>0.83171800757135816</v>
      </c>
      <c r="G633" cm="1">
        <f t="array" ref="G633">(PRODUCT(1+sp500_monthly!L634:L753)^(1/120)-1)</f>
        <v>0.71500493262594</v>
      </c>
      <c r="H633" cm="1">
        <f t="array" ref="H633">(PRODUCT(1+sp500_monthly!N634:N753)^(1/120)-1)*100</f>
        <v>0.72256068081957281</v>
      </c>
      <c r="I633" cm="1">
        <f t="array" ref="I633">(PRODUCT(1+sp500_monthly!O634:O753)^(1/120)-1)*100</f>
        <v>0.23395251061786304</v>
      </c>
    </row>
    <row r="634" spans="1:9" x14ac:dyDescent="0.35">
      <c r="A634" s="1">
        <v>32416</v>
      </c>
      <c r="B634" cm="1">
        <f t="array" ref="B634">(PRODUCT(1+sp500_monthly!B635:B754)^(1/120)-1)*100</f>
        <v>1.1656607437403155</v>
      </c>
      <c r="C634" cm="1">
        <f t="array" ref="C634">(PRODUCT(1+sp500_monthly!C635:C754)^(1/120)-1)*100</f>
        <v>0.7775806381263628</v>
      </c>
      <c r="D634" cm="1">
        <f t="array" ref="D634">(PRODUCT(1+sp500_monthly!D635:D754)^(1/120)-1)*100</f>
        <v>1.3993504024354619</v>
      </c>
      <c r="E634" cm="1">
        <f t="array" ref="E634">(PRODUCT(1+sp500_monthly!E635:E754)^(1/120)-1)*100</f>
        <v>1.0548950012028602</v>
      </c>
      <c r="F634" cm="1">
        <f t="array" ref="F634">(PRODUCT(1+sp500_monthly!K635:K754)^(1/120)-1)*100</f>
        <v>0.77715055803746491</v>
      </c>
      <c r="G634" cm="1">
        <f t="array" ref="G634">(PRODUCT(1+sp500_monthly!L635:L754)^(1/120)-1)</f>
        <v>0.71527718546949304</v>
      </c>
      <c r="H634" cm="1">
        <f t="array" ref="H634">(PRODUCT(1+sp500_monthly!N635:N754)^(1/120)-1)*100</f>
        <v>0.66865731132048634</v>
      </c>
      <c r="I634" cm="1">
        <f t="array" ref="I634">(PRODUCT(1+sp500_monthly!O635:O754)^(1/120)-1)*100</f>
        <v>0.23577014553273212</v>
      </c>
    </row>
    <row r="635" spans="1:9" x14ac:dyDescent="0.35">
      <c r="A635" s="1">
        <v>32447</v>
      </c>
      <c r="B635" cm="1">
        <f t="array" ref="B635">(PRODUCT(1+sp500_monthly!B636:B755)^(1/120)-1)*100</f>
        <v>1.205314728214768</v>
      </c>
      <c r="C635" cm="1">
        <f t="array" ref="C635">(PRODUCT(1+sp500_monthly!C636:C755)^(1/120)-1)*100</f>
        <v>0.81690377547691817</v>
      </c>
      <c r="D635" cm="1">
        <f t="array" ref="D635">(PRODUCT(1+sp500_monthly!D636:D755)^(1/120)-1)*100</f>
        <v>1.4410190669430278</v>
      </c>
      <c r="E635" cm="1">
        <f t="array" ref="E635">(PRODUCT(1+sp500_monthly!E636:E755)^(1/120)-1)*100</f>
        <v>1.0972157387877157</v>
      </c>
      <c r="F635" cm="1">
        <f t="array" ref="F635">(PRODUCT(1+sp500_monthly!K636:K755)^(1/120)-1)*100</f>
        <v>0.81599721412051185</v>
      </c>
      <c r="G635" cm="1">
        <f t="array" ref="G635">(PRODUCT(1+sp500_monthly!L636:L755)^(1/120)-1)</f>
        <v>0.71527718546949304</v>
      </c>
      <c r="H635" cm="1">
        <f t="array" ref="H635">(PRODUCT(1+sp500_monthly!N636:N755)^(1/120)-1)*100</f>
        <v>0.71220416593067437</v>
      </c>
      <c r="I635" cm="1">
        <f t="array" ref="I635">(PRODUCT(1+sp500_monthly!O636:O755)^(1/120)-1)*100</f>
        <v>0.23983865424945794</v>
      </c>
    </row>
    <row r="636" spans="1:9" x14ac:dyDescent="0.35">
      <c r="A636" s="1">
        <v>32477</v>
      </c>
      <c r="B636" cm="1">
        <f t="array" ref="B636">(PRODUCT(1+sp500_monthly!B637:B756)^(1/120)-1)*100</f>
        <v>1.3068864478254838</v>
      </c>
      <c r="C636" cm="1">
        <f t="array" ref="C636">(PRODUCT(1+sp500_monthly!C637:C756)^(1/120)-1)*100</f>
        <v>0.91765947351500898</v>
      </c>
      <c r="D636" cm="1">
        <f t="array" ref="D636">(PRODUCT(1+sp500_monthly!D637:D756)^(1/120)-1)*100</f>
        <v>1.5730552834060108</v>
      </c>
      <c r="E636" cm="1">
        <f t="array" ref="E636">(PRODUCT(1+sp500_monthly!E637:E756)^(1/120)-1)*100</f>
        <v>1.2288601862645798</v>
      </c>
      <c r="F636" cm="1">
        <f t="array" ref="F636">(PRODUCT(1+sp500_monthly!K637:K756)^(1/120)-1)*100</f>
        <v>0.91827186159578744</v>
      </c>
      <c r="G636" cm="1">
        <f t="array" ref="G636">(PRODUCT(1+sp500_monthly!L637:L756)^(1/120)-1)</f>
        <v>0.71466894720551921</v>
      </c>
      <c r="H636" cm="1">
        <f t="array" ref="H636">(PRODUCT(1+sp500_monthly!N637:N756)^(1/120)-1)*100</f>
        <v>0.81801966608270327</v>
      </c>
      <c r="I636" cm="1">
        <f t="array" ref="I636">(PRODUCT(1+sp500_monthly!O637:O756)^(1/120)-1)*100</f>
        <v>0.24396936556725368</v>
      </c>
    </row>
    <row r="637" spans="1:9" x14ac:dyDescent="0.35">
      <c r="A637" s="1">
        <v>32507</v>
      </c>
      <c r="B637" cm="1">
        <f t="array" ref="B637">(PRODUCT(1+sp500_monthly!B638:B757)^(1/120)-1)*100</f>
        <v>1.2723821711109196</v>
      </c>
      <c r="C637" cm="1">
        <f t="array" ref="C637">(PRODUCT(1+sp500_monthly!C638:C757)^(1/120)-1)*100</f>
        <v>0.88636438314948496</v>
      </c>
      <c r="D637" cm="1">
        <f t="array" ref="D637">(PRODUCT(1+sp500_monthly!D638:D757)^(1/120)-1)*100</f>
        <v>1.5294117226311021</v>
      </c>
      <c r="E637" cm="1">
        <f t="array" ref="E637">(PRODUCT(1+sp500_monthly!E638:E757)^(1/120)-1)*100</f>
        <v>1.1867881510021938</v>
      </c>
      <c r="F637" cm="1">
        <f t="array" ref="F637">(PRODUCT(1+sp500_monthly!K638:K757)^(1/120)-1)*100</f>
        <v>0.88835841264052195</v>
      </c>
      <c r="G637" cm="1">
        <f t="array" ref="G637">(PRODUCT(1+sp500_monthly!L638:L757)^(1/120)-1)</f>
        <v>0.71353260368306204</v>
      </c>
      <c r="H637" cm="1">
        <f t="array" ref="H637">(PRODUCT(1+sp500_monthly!N638:N757)^(1/120)-1)*100</f>
        <v>0.78587647594663412</v>
      </c>
      <c r="I637" cm="1">
        <f t="array" ref="I637">(PRODUCT(1+sp500_monthly!O638:O757)^(1/120)-1)*100</f>
        <v>0.24507305414160907</v>
      </c>
    </row>
    <row r="638" spans="1:9" x14ac:dyDescent="0.35">
      <c r="A638" s="1">
        <v>32539</v>
      </c>
      <c r="B638" cm="1">
        <f t="array" ref="B638">(PRODUCT(1+sp500_monthly!B639:B758)^(1/120)-1)*100</f>
        <v>1.2739795089755646</v>
      </c>
      <c r="C638" cm="1">
        <f t="array" ref="C638">(PRODUCT(1+sp500_monthly!C639:C758)^(1/120)-1)*100</f>
        <v>0.88712662500229911</v>
      </c>
      <c r="D638" cm="1">
        <f t="array" ref="D638">(PRODUCT(1+sp500_monthly!D639:D758)^(1/120)-1)*100</f>
        <v>1.5448796413088939</v>
      </c>
      <c r="E638" cm="1">
        <f t="array" ref="E638">(PRODUCT(1+sp500_monthly!E639:E758)^(1/120)-1)*100</f>
        <v>1.2027540843179585</v>
      </c>
      <c r="F638" cm="1">
        <f t="array" ref="F638">(PRODUCT(1+sp500_monthly!K639:K758)^(1/120)-1)*100</f>
        <v>0.88819188743707311</v>
      </c>
      <c r="G638" cm="1">
        <f t="array" ref="G638">(PRODUCT(1+sp500_monthly!L639:L758)^(1/120)-1)</f>
        <v>0.7122759978815385</v>
      </c>
      <c r="H638" cm="1">
        <f t="array" ref="H638">(PRODUCT(1+sp500_monthly!N639:N758)^(1/120)-1)*100</f>
        <v>0.78964059586643653</v>
      </c>
      <c r="I638" cm="1">
        <f t="array" ref="I638">(PRODUCT(1+sp500_monthly!O639:O758)^(1/120)-1)*100</f>
        <v>0.24599149723920632</v>
      </c>
    </row>
    <row r="639" spans="1:9" x14ac:dyDescent="0.35">
      <c r="A639" s="1">
        <v>32567</v>
      </c>
      <c r="B639" cm="1">
        <f t="array" ref="B639">(PRODUCT(1+sp500_monthly!B640:B759)^(1/120)-1)*100</f>
        <v>1.2976112121029892</v>
      </c>
      <c r="C639" cm="1">
        <f t="array" ref="C639">(PRODUCT(1+sp500_monthly!C640:C759)^(1/120)-1)*100</f>
        <v>0.91061932159579584</v>
      </c>
      <c r="D639" cm="1">
        <f t="array" ref="D639">(PRODUCT(1+sp500_monthly!D640:D759)^(1/120)-1)*100</f>
        <v>1.5467612143307496</v>
      </c>
      <c r="E639" cm="1">
        <f t="array" ref="E639">(PRODUCT(1+sp500_monthly!E640:E759)^(1/120)-1)*100</f>
        <v>1.2046400713515482</v>
      </c>
      <c r="F639" cm="1">
        <f t="array" ref="F639">(PRODUCT(1+sp500_monthly!K640:K759)^(1/120)-1)*100</f>
        <v>0.91318474348256462</v>
      </c>
      <c r="G639" cm="1">
        <f t="array" ref="G639">(PRODUCT(1+sp500_monthly!L640:L759)^(1/120)-1)</f>
        <v>0.71038320171290192</v>
      </c>
      <c r="H639" cm="1">
        <f t="array" ref="H639">(PRODUCT(1+sp500_monthly!N640:N759)^(1/120)-1)*100</f>
        <v>0.81707743159662449</v>
      </c>
      <c r="I639" cm="1">
        <f t="array" ref="I639">(PRODUCT(1+sp500_monthly!O640:O759)^(1/120)-1)*100</f>
        <v>0.24806175631004734</v>
      </c>
    </row>
    <row r="640" spans="1:9" x14ac:dyDescent="0.35">
      <c r="A640" s="1">
        <v>32598</v>
      </c>
      <c r="B640" cm="1">
        <f t="array" ref="B640">(PRODUCT(1+sp500_monthly!B641:B760)^(1/120)-1)*100</f>
        <v>1.3007496207996017</v>
      </c>
      <c r="C640" cm="1">
        <f t="array" ref="C640">(PRODUCT(1+sp500_monthly!C641:C760)^(1/120)-1)*100</f>
        <v>0.91737790228858529</v>
      </c>
      <c r="D640" cm="1">
        <f t="array" ref="D640">(PRODUCT(1+sp500_monthly!D641:D760)^(1/120)-1)*100</f>
        <v>1.5635413489779593</v>
      </c>
      <c r="E640" cm="1">
        <f t="array" ref="E640">(PRODUCT(1+sp500_monthly!E641:E760)^(1/120)-1)*100</f>
        <v>1.2237283298918156</v>
      </c>
      <c r="F640" cm="1">
        <f t="array" ref="F640">(PRODUCT(1+sp500_monthly!K641:K760)^(1/120)-1)*100</f>
        <v>0.91977680697079567</v>
      </c>
      <c r="G640" cm="1">
        <f t="array" ref="G640">(PRODUCT(1+sp500_monthly!L641:L760)^(1/120)-1)</f>
        <v>0.70935888597547669</v>
      </c>
      <c r="H640" cm="1">
        <f t="array" ref="H640">(PRODUCT(1+sp500_monthly!N641:N760)^(1/120)-1)*100</f>
        <v>0.82597494060265841</v>
      </c>
      <c r="I640" cm="1">
        <f t="array" ref="I640">(PRODUCT(1+sp500_monthly!O641:O760)^(1/120)-1)*100</f>
        <v>0.25280711714614768</v>
      </c>
    </row>
    <row r="641" spans="1:9" x14ac:dyDescent="0.35">
      <c r="A641" s="1">
        <v>32626</v>
      </c>
      <c r="B641" cm="1">
        <f t="array" ref="B641">(PRODUCT(1+sp500_monthly!B642:B761)^(1/120)-1)*100</f>
        <v>1.2728961251107895</v>
      </c>
      <c r="C641" cm="1">
        <f t="array" ref="C641">(PRODUCT(1+sp500_monthly!C642:C761)^(1/120)-1)*100</f>
        <v>0.88951091930062898</v>
      </c>
      <c r="D641" cm="1">
        <f t="array" ref="D641">(PRODUCT(1+sp500_monthly!D642:D761)^(1/120)-1)*100</f>
        <v>1.5207589834334234</v>
      </c>
      <c r="E641" cm="1">
        <f t="array" ref="E641">(PRODUCT(1+sp500_monthly!E642:E761)^(1/120)-1)*100</f>
        <v>1.1817385308834361</v>
      </c>
      <c r="F641" cm="1">
        <f t="array" ref="F641">(PRODUCT(1+sp500_monthly!K642:K761)^(1/120)-1)*100</f>
        <v>0.89195006357909445</v>
      </c>
      <c r="G641" cm="1">
        <f t="array" ref="G641">(PRODUCT(1+sp500_monthly!L642:L761)^(1/120)-1)</f>
        <v>0.70821252977007809</v>
      </c>
      <c r="H641" cm="1">
        <f t="array" ref="H641">(PRODUCT(1+sp500_monthly!N642:N761)^(1/120)-1)*100</f>
        <v>0.80257188177559335</v>
      </c>
      <c r="I641" cm="1">
        <f t="array" ref="I641">(PRODUCT(1+sp500_monthly!O642:O761)^(1/120)-1)*100</f>
        <v>0.25594256694292383</v>
      </c>
    </row>
    <row r="642" spans="1:9" x14ac:dyDescent="0.35">
      <c r="A642" s="1">
        <v>32659</v>
      </c>
      <c r="B642" cm="1">
        <f t="array" ref="B642">(PRODUCT(1+sp500_monthly!B643:B762)^(1/120)-1)*100</f>
        <v>1.3119277060951395</v>
      </c>
      <c r="C642" cm="1">
        <f t="array" ref="C642">(PRODUCT(1+sp500_monthly!C643:C762)^(1/120)-1)*100</f>
        <v>0.92859503439983726</v>
      </c>
      <c r="D642" cm="1">
        <f t="array" ref="D642">(PRODUCT(1+sp500_monthly!D643:D762)^(1/120)-1)*100</f>
        <v>1.5527164697723972</v>
      </c>
      <c r="E642" cm="1">
        <f t="array" ref="E642">(PRODUCT(1+sp500_monthly!E643:E762)^(1/120)-1)*100</f>
        <v>1.2146320091722673</v>
      </c>
      <c r="F642" cm="1">
        <f t="array" ref="F642">(PRODUCT(1+sp500_monthly!K643:K762)^(1/120)-1)*100</f>
        <v>0.93164562992507083</v>
      </c>
      <c r="G642" cm="1">
        <f t="array" ref="G642">(PRODUCT(1+sp500_monthly!L643:L762)^(1/120)-1)</f>
        <v>0.70714575632726406</v>
      </c>
      <c r="H642" cm="1">
        <f t="array" ref="H642">(PRODUCT(1+sp500_monthly!N643:N762)^(1/120)-1)*100</f>
        <v>0.84362939330460129</v>
      </c>
      <c r="I642" cm="1">
        <f t="array" ref="I642">(PRODUCT(1+sp500_monthly!O643:O762)^(1/120)-1)*100</f>
        <v>0.25705875089605534</v>
      </c>
    </row>
    <row r="643" spans="1:9" x14ac:dyDescent="0.35">
      <c r="A643" s="1">
        <v>32689</v>
      </c>
      <c r="B643" cm="1">
        <f t="array" ref="B643">(PRODUCT(1+sp500_monthly!B644:B763)^(1/120)-1)*100</f>
        <v>1.3602007872794974</v>
      </c>
      <c r="C643" cm="1">
        <f t="array" ref="C643">(PRODUCT(1+sp500_monthly!C644:C763)^(1/120)-1)*100</f>
        <v>0.98032762646100835</v>
      </c>
      <c r="D643" cm="1">
        <f t="array" ref="D643">(PRODUCT(1+sp500_monthly!D644:D763)^(1/120)-1)*100</f>
        <v>1.602807369257353</v>
      </c>
      <c r="E643" cm="1">
        <f t="array" ref="E643">(PRODUCT(1+sp500_monthly!E644:E763)^(1/120)-1)*100</f>
        <v>1.2661661195417118</v>
      </c>
      <c r="F643" cm="1">
        <f t="array" ref="F643">(PRODUCT(1+sp500_monthly!K644:K763)^(1/120)-1)*100</f>
        <v>0.98315388822596272</v>
      </c>
      <c r="G643" cm="1">
        <f t="array" ref="G643">(PRODUCT(1+sp500_monthly!L644:L763)^(1/120)-1)</f>
        <v>0.70690932047778809</v>
      </c>
      <c r="H643" cm="1">
        <f t="array" ref="H643">(PRODUCT(1+sp500_monthly!N644:N763)^(1/120)-1)*100</f>
        <v>0.89706497937498408</v>
      </c>
      <c r="I643" cm="1">
        <f t="array" ref="I643">(PRODUCT(1+sp500_monthly!O644:O763)^(1/120)-1)*100</f>
        <v>0.26216186007983477</v>
      </c>
    </row>
    <row r="644" spans="1:9" x14ac:dyDescent="0.35">
      <c r="A644" s="1">
        <v>32720</v>
      </c>
      <c r="B644" cm="1">
        <f t="array" ref="B644">(PRODUCT(1+sp500_monthly!B645:B764)^(1/120)-1)*100</f>
        <v>1.3220635828744554</v>
      </c>
      <c r="C644" cm="1">
        <f t="array" ref="C644">(PRODUCT(1+sp500_monthly!C645:C764)^(1/120)-1)*100</f>
        <v>0.9424106853539671</v>
      </c>
      <c r="D644" cm="1">
        <f t="array" ref="D644">(PRODUCT(1+sp500_monthly!D645:D764)^(1/120)-1)*100</f>
        <v>1.554346563116793</v>
      </c>
      <c r="E644" cm="1">
        <f t="array" ref="E644">(PRODUCT(1+sp500_monthly!E645:E764)^(1/120)-1)*100</f>
        <v>1.2192220058108383</v>
      </c>
      <c r="F644" cm="1">
        <f t="array" ref="F644">(PRODUCT(1+sp500_monthly!K645:K764)^(1/120)-1)*100</f>
        <v>0.94454856014023481</v>
      </c>
      <c r="G644" cm="1">
        <f t="array" ref="G644">(PRODUCT(1+sp500_monthly!L645:L764)^(1/120)-1)</f>
        <v>0.70610109865322035</v>
      </c>
      <c r="H644" cm="1">
        <f t="array" ref="H644">(PRODUCT(1+sp500_monthly!N645:N764)^(1/120)-1)*100</f>
        <v>0.86575371031254456</v>
      </c>
      <c r="I644" cm="1">
        <f t="array" ref="I644">(PRODUCT(1+sp500_monthly!O645:O764)^(1/120)-1)*100</f>
        <v>0.26794490298807094</v>
      </c>
    </row>
    <row r="645" spans="1:9" x14ac:dyDescent="0.35">
      <c r="A645" s="1">
        <v>32751</v>
      </c>
      <c r="B645" cm="1">
        <f t="array" ref="B645">(PRODUCT(1+sp500_monthly!B646:B765)^(1/120)-1)*100</f>
        <v>1.3847737738887256</v>
      </c>
      <c r="C645" cm="1">
        <f t="array" ref="C645">(PRODUCT(1+sp500_monthly!C646:C765)^(1/120)-1)*100</f>
        <v>1.0053759336015711</v>
      </c>
      <c r="D645" cm="1">
        <f t="array" ref="D645">(PRODUCT(1+sp500_monthly!D646:D765)^(1/120)-1)*100</f>
        <v>1.5988899987413152</v>
      </c>
      <c r="E645" cm="1">
        <f t="array" ref="E645">(PRODUCT(1+sp500_monthly!E646:E765)^(1/120)-1)*100</f>
        <v>1.2646430516719764</v>
      </c>
      <c r="F645" cm="1">
        <f t="array" ref="F645">(PRODUCT(1+sp500_monthly!K646:K765)^(1/120)-1)*100</f>
        <v>1.0084777888873742</v>
      </c>
      <c r="G645" cm="1">
        <f t="array" ref="G645">(PRODUCT(1+sp500_monthly!L646:L765)^(1/120)-1)</f>
        <v>0.70552750018442389</v>
      </c>
      <c r="H645" cm="1">
        <f t="array" ref="H645">(PRODUCT(1+sp500_monthly!N646:N765)^(1/120)-1)*100</f>
        <v>0.9347431809516582</v>
      </c>
      <c r="I645" cm="1">
        <f t="array" ref="I645">(PRODUCT(1+sp500_monthly!O646:O765)^(1/120)-1)*100</f>
        <v>0.27388301251225489</v>
      </c>
    </row>
    <row r="646" spans="1:9" x14ac:dyDescent="0.35">
      <c r="A646" s="1">
        <v>32780</v>
      </c>
      <c r="B646" cm="1">
        <f t="array" ref="B646">(PRODUCT(1+sp500_monthly!B647:B766)^(1/120)-1)*100</f>
        <v>1.3506734212486826</v>
      </c>
      <c r="C646" cm="1">
        <f t="array" ref="C646">(PRODUCT(1+sp500_monthly!C647:C766)^(1/120)-1)*100</f>
        <v>0.97469416858961822</v>
      </c>
      <c r="D646" cm="1">
        <f t="array" ref="D646">(PRODUCT(1+sp500_monthly!D647:D766)^(1/120)-1)*100</f>
        <v>1.5644618340071137</v>
      </c>
      <c r="E646" cm="1">
        <f t="array" ref="E646">(PRODUCT(1+sp500_monthly!E647:E766)^(1/120)-1)*100</f>
        <v>1.2325753977887377</v>
      </c>
      <c r="F646" cm="1">
        <f t="array" ref="F646">(PRODUCT(1+sp500_monthly!K647:K766)^(1/120)-1)*100</f>
        <v>0.97791096835568858</v>
      </c>
      <c r="G646" cm="1">
        <f t="array" ref="G646">(PRODUCT(1+sp500_monthly!L647:L766)^(1/120)-1)</f>
        <v>0.70528455893714392</v>
      </c>
      <c r="H646" cm="1">
        <f t="array" ref="H646">(PRODUCT(1+sp500_monthly!N647:N766)^(1/120)-1)*100</f>
        <v>0.90881895006542646</v>
      </c>
      <c r="I646" cm="1">
        <f t="array" ref="I646">(PRODUCT(1+sp500_monthly!O647:O766)^(1/120)-1)*100</f>
        <v>0.28160908365642001</v>
      </c>
    </row>
    <row r="647" spans="1:9" x14ac:dyDescent="0.35">
      <c r="A647" s="1">
        <v>32812</v>
      </c>
      <c r="B647" cm="1">
        <f t="array" ref="B647">(PRODUCT(1+sp500_monthly!B648:B767)^(1/120)-1)*100</f>
        <v>1.3460899103793444</v>
      </c>
      <c r="C647" cm="1">
        <f t="array" ref="C647">(PRODUCT(1+sp500_monthly!C648:C767)^(1/120)-1)*100</f>
        <v>0.96984278570639848</v>
      </c>
      <c r="D647" cm="1">
        <f t="array" ref="D647">(PRODUCT(1+sp500_monthly!D648:D767)^(1/120)-1)*100</f>
        <v>1.5519319005701693</v>
      </c>
      <c r="E647" cm="1">
        <f t="array" ref="E647">(PRODUCT(1+sp500_monthly!E648:E767)^(1/120)-1)*100</f>
        <v>1.2192892671209821</v>
      </c>
      <c r="F647" cm="1">
        <f t="array" ref="F647">(PRODUCT(1+sp500_monthly!K648:K767)^(1/120)-1)*100</f>
        <v>0.97238636061980355</v>
      </c>
      <c r="G647" cm="1">
        <f t="array" ref="G647">(PRODUCT(1+sp500_monthly!L648:L767)^(1/120)-1)</f>
        <v>0.7038138075307232</v>
      </c>
      <c r="H647" cm="1">
        <f t="array" ref="H647">(PRODUCT(1+sp500_monthly!N648:N767)^(1/120)-1)*100</f>
        <v>0.91018069578494565</v>
      </c>
      <c r="I647" cm="1">
        <f t="array" ref="I647">(PRODUCT(1+sp500_monthly!O648:O767)^(1/120)-1)*100</f>
        <v>0.28600454321070501</v>
      </c>
    </row>
    <row r="648" spans="1:9" x14ac:dyDescent="0.35">
      <c r="A648" s="1">
        <v>32842</v>
      </c>
      <c r="B648" cm="1">
        <f t="array" ref="B648">(PRODUCT(1+sp500_monthly!B649:B768)^(1/120)-1)*100</f>
        <v>1.3831597774485616</v>
      </c>
      <c r="C648" cm="1">
        <f t="array" ref="C648">(PRODUCT(1+sp500_monthly!C649:C768)^(1/120)-1)*100</f>
        <v>1.0076918336947349</v>
      </c>
      <c r="D648" cm="1">
        <f t="array" ref="D648">(PRODUCT(1+sp500_monthly!D649:D768)^(1/120)-1)*100</f>
        <v>1.5926449069539883</v>
      </c>
      <c r="E648" cm="1">
        <f t="array" ref="E648">(PRODUCT(1+sp500_monthly!E649:E768)^(1/120)-1)*100</f>
        <v>1.261215666310167</v>
      </c>
      <c r="F648" cm="1">
        <f t="array" ref="F648">(PRODUCT(1+sp500_monthly!K649:K768)^(1/120)-1)*100</f>
        <v>1.0107426021178867</v>
      </c>
      <c r="G648" cm="1">
        <f t="array" ref="G648">(PRODUCT(1+sp500_monthly!L649:L768)^(1/120)-1)</f>
        <v>0.70229319888040198</v>
      </c>
      <c r="H648" cm="1">
        <f t="array" ref="H648">(PRODUCT(1+sp500_monthly!N649:N768)^(1/120)-1)*100</f>
        <v>0.95205372918920617</v>
      </c>
      <c r="I648" cm="1">
        <f t="array" ref="I648">(PRODUCT(1+sp500_monthly!O649:O768)^(1/120)-1)*100</f>
        <v>0.28935893889070474</v>
      </c>
    </row>
    <row r="649" spans="1:9" x14ac:dyDescent="0.35">
      <c r="A649" s="1">
        <v>32871</v>
      </c>
      <c r="B649" cm="1">
        <f t="array" ref="B649">(PRODUCT(1+sp500_monthly!B650:B769)^(1/120)-1)*100</f>
        <v>1.3568379508215545</v>
      </c>
      <c r="C649" cm="1">
        <f t="array" ref="C649">(PRODUCT(1+sp500_monthly!C650:C769)^(1/120)-1)*100</f>
        <v>0.98568846636897245</v>
      </c>
      <c r="D649" cm="1">
        <f t="array" ref="D649">(PRODUCT(1+sp500_monthly!D650:D769)^(1/120)-1)*100</f>
        <v>1.5490403927232332</v>
      </c>
      <c r="E649" cm="1">
        <f t="array" ref="E649">(PRODUCT(1+sp500_monthly!E650:E769)^(1/120)-1)*100</f>
        <v>1.2204501876804441</v>
      </c>
      <c r="F649" cm="1">
        <f t="array" ref="F649">(PRODUCT(1+sp500_monthly!K650:K769)^(1/120)-1)*100</f>
        <v>0.98941902350659916</v>
      </c>
      <c r="G649" cm="1">
        <f t="array" ref="G649">(PRODUCT(1+sp500_monthly!L650:L769)^(1/120)-1)</f>
        <v>0.69997673384584402</v>
      </c>
      <c r="H649" cm="1">
        <f t="array" ref="H649">(PRODUCT(1+sp500_monthly!N650:N769)^(1/120)-1)*100</f>
        <v>0.93139725558972764</v>
      </c>
      <c r="I649" cm="1">
        <f t="array" ref="I649">(PRODUCT(1+sp500_monthly!O650:O769)^(1/120)-1)*100</f>
        <v>0.29239088612607045</v>
      </c>
    </row>
    <row r="650" spans="1:9" x14ac:dyDescent="0.35">
      <c r="A650" s="1">
        <v>32904</v>
      </c>
      <c r="B650" cm="1">
        <f t="array" ref="B650">(PRODUCT(1+sp500_monthly!B651:B770)^(1/120)-1)*100</f>
        <v>1.3604110888070453</v>
      </c>
      <c r="C650" cm="1">
        <f t="array" ref="C650">(PRODUCT(1+sp500_monthly!C651:C770)^(1/120)-1)*100</f>
        <v>0.98907475692600055</v>
      </c>
      <c r="D650" cm="1">
        <f t="array" ref="D650">(PRODUCT(1+sp500_monthly!D651:D770)^(1/120)-1)*100</f>
        <v>1.5283861871298043</v>
      </c>
      <c r="E650" cm="1">
        <f t="array" ref="E650">(PRODUCT(1+sp500_monthly!E651:E770)^(1/120)-1)*100</f>
        <v>1.2009945360736296</v>
      </c>
      <c r="F650" cm="1">
        <f t="array" ref="F650">(PRODUCT(1+sp500_monthly!K651:K770)^(1/120)-1)*100</f>
        <v>0.99325912938370564</v>
      </c>
      <c r="G650" cm="1">
        <f t="array" ref="G650">(PRODUCT(1+sp500_monthly!L651:L770)^(1/120)-1)</f>
        <v>0.69726467140250481</v>
      </c>
      <c r="H650" cm="1">
        <f t="array" ref="H650">(PRODUCT(1+sp500_monthly!N651:N770)^(1/120)-1)*100</f>
        <v>0.94218970329074114</v>
      </c>
      <c r="I650" cm="1">
        <f t="array" ref="I650">(PRODUCT(1+sp500_monthly!O651:O770)^(1/120)-1)*100</f>
        <v>0.2967593496229437</v>
      </c>
    </row>
    <row r="651" spans="1:9" x14ac:dyDescent="0.35">
      <c r="A651" s="1">
        <v>32932</v>
      </c>
      <c r="B651" cm="1">
        <f t="array" ref="B651">(PRODUCT(1+sp500_monthly!B652:B771)^(1/120)-1)*100</f>
        <v>1.251033922665834</v>
      </c>
      <c r="C651" cm="1">
        <f t="array" ref="C651">(PRODUCT(1+sp500_monthly!C652:C771)^(1/120)-1)*100</f>
        <v>0.8804042652378552</v>
      </c>
      <c r="D651" cm="1">
        <f t="array" ref="D651">(PRODUCT(1+sp500_monthly!D652:D771)^(1/120)-1)*100</f>
        <v>1.4158241853134301</v>
      </c>
      <c r="E651" cm="1">
        <f t="array" ref="E651">(PRODUCT(1+sp500_monthly!E652:E771)^(1/120)-1)*100</f>
        <v>1.0894267977302974</v>
      </c>
      <c r="F651" cm="1">
        <f t="array" ref="F651">(PRODUCT(1+sp500_monthly!K652:K771)^(1/120)-1)*100</f>
        <v>0.88615766205299984</v>
      </c>
      <c r="G651" cm="1">
        <f t="array" ref="G651">(PRODUCT(1+sp500_monthly!L652:L771)^(1/120)-1)</f>
        <v>0.69533214886818584</v>
      </c>
      <c r="H651" cm="1">
        <f t="array" ref="H651">(PRODUCT(1+sp500_monthly!N652:N771)^(1/120)-1)*100</f>
        <v>0.83725238750984587</v>
      </c>
      <c r="I651" cm="1">
        <f t="array" ref="I651">(PRODUCT(1+sp500_monthly!O652:O771)^(1/120)-1)*100</f>
        <v>0.29881734469259236</v>
      </c>
    </row>
    <row r="652" spans="1:9" x14ac:dyDescent="0.35">
      <c r="A652" s="1">
        <v>32962</v>
      </c>
      <c r="B652" cm="1">
        <f t="array" ref="B652">(PRODUCT(1+sp500_monthly!B653:B772)^(1/120)-1)*100</f>
        <v>1.2600496045960252</v>
      </c>
      <c r="C652" cm="1">
        <f t="array" ref="C652">(PRODUCT(1+sp500_monthly!C653:C772)^(1/120)-1)*100</f>
        <v>0.89262453005154452</v>
      </c>
      <c r="D652" cm="1">
        <f t="array" ref="D652">(PRODUCT(1+sp500_monthly!D653:D772)^(1/120)-1)*100</f>
        <v>1.4547658137741726</v>
      </c>
      <c r="E652" cm="1">
        <f t="array" ref="E652">(PRODUCT(1+sp500_monthly!E653:E772)^(1/120)-1)*100</f>
        <v>1.1305067900970078</v>
      </c>
      <c r="F652" cm="1">
        <f t="array" ref="F652">(PRODUCT(1+sp500_monthly!K653:K772)^(1/120)-1)*100</f>
        <v>0.89699709096555669</v>
      </c>
      <c r="G652" cm="1">
        <f t="array" ref="G652">(PRODUCT(1+sp500_monthly!L653:L772)^(1/120)-1)</f>
        <v>0.69271345539737683</v>
      </c>
      <c r="H652" cm="1">
        <f t="array" ref="H652">(PRODUCT(1+sp500_monthly!N653:N772)^(1/120)-1)*100</f>
        <v>0.85364800406260155</v>
      </c>
      <c r="I652" cm="1">
        <f t="array" ref="I652">(PRODUCT(1+sp500_monthly!O653:O772)^(1/120)-1)*100</f>
        <v>0.3035384496643978</v>
      </c>
    </row>
    <row r="653" spans="1:9" x14ac:dyDescent="0.35">
      <c r="A653" s="1">
        <v>32993</v>
      </c>
      <c r="B653" cm="1">
        <f t="array" ref="B653">(PRODUCT(1+sp500_monthly!B654:B773)^(1/120)-1)*100</f>
        <v>1.3688336249766841</v>
      </c>
      <c r="C653" cm="1">
        <f t="array" ref="C653">(PRODUCT(1+sp500_monthly!C654:C773)^(1/120)-1)*100</f>
        <v>1.0015928983537536</v>
      </c>
      <c r="D653" cm="1">
        <f t="array" ref="D653">(PRODUCT(1+sp500_monthly!D654:D773)^(1/120)-1)*100</f>
        <v>1.5757265719839486</v>
      </c>
      <c r="E653" cm="1">
        <f t="array" ref="E653">(PRODUCT(1+sp500_monthly!E654:E773)^(1/120)-1)*100</f>
        <v>1.2531565249723986</v>
      </c>
      <c r="F653" cm="1">
        <f t="array" ref="F653">(PRODUCT(1+sp500_monthly!K654:K773)^(1/120)-1)*100</f>
        <v>1.0074745552052455</v>
      </c>
      <c r="G653" cm="1">
        <f t="array" ref="G653">(PRODUCT(1+sp500_monthly!L654:L773)^(1/120)-1)</f>
        <v>0.68851092991698049</v>
      </c>
      <c r="H653" cm="1">
        <f t="array" ref="H653">(PRODUCT(1+sp500_monthly!N654:N773)^(1/120)-1)*100</f>
        <v>0.96969529464452364</v>
      </c>
      <c r="I653" cm="1">
        <f t="array" ref="I653">(PRODUCT(1+sp500_monthly!O654:O773)^(1/120)-1)*100</f>
        <v>0.30646708866184369</v>
      </c>
    </row>
    <row r="654" spans="1:9" x14ac:dyDescent="0.35">
      <c r="A654" s="1">
        <v>33024</v>
      </c>
      <c r="B654" cm="1">
        <f t="array" ref="B654">(PRODUCT(1+sp500_monthly!B655:B774)^(1/120)-1)*100</f>
        <v>1.3128181518400117</v>
      </c>
      <c r="C654" cm="1">
        <f t="array" ref="C654">(PRODUCT(1+sp500_monthly!C655:C774)^(1/120)-1)*100</f>
        <v>0.94608412329160174</v>
      </c>
      <c r="D654" cm="1">
        <f t="array" ref="D654">(PRODUCT(1+sp500_monthly!D655:D774)^(1/120)-1)*100</f>
        <v>1.5026538400498612</v>
      </c>
      <c r="E654" cm="1">
        <f t="array" ref="E654">(PRODUCT(1+sp500_monthly!E655:E774)^(1/120)-1)*100</f>
        <v>1.181207319257993</v>
      </c>
      <c r="F654" cm="1">
        <f t="array" ref="F654">(PRODUCT(1+sp500_monthly!K655:K774)^(1/120)-1)*100</f>
        <v>0.95061381690755287</v>
      </c>
      <c r="G654" cm="1">
        <f t="array" ref="G654">(PRODUCT(1+sp500_monthly!L655:L774)^(1/120)-1)</f>
        <v>0.68442635707848631</v>
      </c>
      <c r="H654" cm="1">
        <f t="array" ref="H654">(PRODUCT(1+sp500_monthly!N655:N774)^(1/120)-1)*100</f>
        <v>0.9202984179583984</v>
      </c>
      <c r="I654" cm="1">
        <f t="array" ref="I654">(PRODUCT(1+sp500_monthly!O655:O774)^(1/120)-1)*100</f>
        <v>0.30810786113302235</v>
      </c>
    </row>
    <row r="655" spans="1:9" x14ac:dyDescent="0.35">
      <c r="A655" s="1">
        <v>33053</v>
      </c>
      <c r="B655" cm="1">
        <f t="array" ref="B655">(PRODUCT(1+sp500_monthly!B656:B775)^(1/120)-1)*100</f>
        <v>1.3456569539580521</v>
      </c>
      <c r="C655" cm="1">
        <f t="array" ref="C655">(PRODUCT(1+sp500_monthly!C656:C775)^(1/120)-1)*100</f>
        <v>0.98208529964671776</v>
      </c>
      <c r="D655" cm="1">
        <f t="array" ref="D655">(PRODUCT(1+sp500_monthly!D656:D775)^(1/120)-1)*100</f>
        <v>1.5141732143805653</v>
      </c>
      <c r="E655" cm="1">
        <f t="array" ref="E655">(PRODUCT(1+sp500_monthly!E656:E775)^(1/120)-1)*100</f>
        <v>1.1948616408436807</v>
      </c>
      <c r="F655" cm="1">
        <f t="array" ref="F655">(PRODUCT(1+sp500_monthly!K656:K775)^(1/120)-1)*100</f>
        <v>0.98635808944333991</v>
      </c>
      <c r="G655" cm="1">
        <f t="array" ref="G655">(PRODUCT(1+sp500_monthly!L656:L775)^(1/120)-1)</f>
        <v>0.683380469941687</v>
      </c>
      <c r="H655" cm="1">
        <f t="array" ref="H655">(PRODUCT(1+sp500_monthly!N656:N775)^(1/120)-1)*100</f>
        <v>0.9599842261527769</v>
      </c>
      <c r="I655" cm="1">
        <f t="array" ref="I655">(PRODUCT(1+sp500_monthly!O656:O775)^(1/120)-1)*100</f>
        <v>0.31395883910907418</v>
      </c>
    </row>
    <row r="656" spans="1:9" x14ac:dyDescent="0.35">
      <c r="A656" s="1">
        <v>33085</v>
      </c>
      <c r="B656" cm="1">
        <f t="array" ref="B656">(PRODUCT(1+sp500_monthly!B657:B776)^(1/120)-1)*100</f>
        <v>1.3152022840854372</v>
      </c>
      <c r="C656" cm="1">
        <f t="array" ref="C656">(PRODUCT(1+sp500_monthly!C657:C776)^(1/120)-1)*100</f>
        <v>0.9522152483339319</v>
      </c>
      <c r="D656" cm="1">
        <f t="array" ref="D656">(PRODUCT(1+sp500_monthly!D657:D776)^(1/120)-1)*100</f>
        <v>1.4745494237181189</v>
      </c>
      <c r="E656" cm="1">
        <f t="array" ref="E656">(PRODUCT(1+sp500_monthly!E657:E776)^(1/120)-1)*100</f>
        <v>1.1568656972095193</v>
      </c>
      <c r="F656" cm="1">
        <f t="array" ref="F656">(PRODUCT(1+sp500_monthly!K657:K776)^(1/120)-1)*100</f>
        <v>0.95645586064900812</v>
      </c>
      <c r="G656" cm="1">
        <f t="array" ref="G656">(PRODUCT(1+sp500_monthly!L657:L776)^(1/120)-1)</f>
        <v>0.68355366834193321</v>
      </c>
      <c r="H656" cm="1">
        <f t="array" ref="H656">(PRODUCT(1+sp500_monthly!N657:N776)^(1/120)-1)*100</f>
        <v>0.93264534915435959</v>
      </c>
      <c r="I656" cm="1">
        <f t="array" ref="I656">(PRODUCT(1+sp500_monthly!O657:O776)^(1/120)-1)*100</f>
        <v>0.31710660116390788</v>
      </c>
    </row>
    <row r="657" spans="1:9" x14ac:dyDescent="0.35">
      <c r="A657" s="1">
        <v>33116</v>
      </c>
      <c r="B657" cm="1">
        <f t="array" ref="B657">(PRODUCT(1+sp500_monthly!B658:B777)^(1/120)-1)*100</f>
        <v>1.2557486084759706</v>
      </c>
      <c r="C657" cm="1">
        <f t="array" ref="C657">(PRODUCT(1+sp500_monthly!C658:C777)^(1/120)-1)*100</f>
        <v>0.89326338239859027</v>
      </c>
      <c r="D657" cm="1">
        <f t="array" ref="D657">(PRODUCT(1+sp500_monthly!D658:D777)^(1/120)-1)*100</f>
        <v>1.379385367029129</v>
      </c>
      <c r="E657" cm="1">
        <f t="array" ref="E657">(PRODUCT(1+sp500_monthly!E658:E777)^(1/120)-1)*100</f>
        <v>1.0625987441541529</v>
      </c>
      <c r="F657" cm="1">
        <f t="array" ref="F657">(PRODUCT(1+sp500_monthly!K658:K777)^(1/120)-1)*100</f>
        <v>0.89905479453651349</v>
      </c>
      <c r="G657" cm="1">
        <f t="array" ref="G657">(PRODUCT(1+sp500_monthly!L658:L777)^(1/120)-1)</f>
        <v>0.68486631428673772</v>
      </c>
      <c r="H657" cm="1">
        <f t="array" ref="H657">(PRODUCT(1+sp500_monthly!N658:N777)^(1/120)-1)*100</f>
        <v>0.87056071800677426</v>
      </c>
      <c r="I657" cm="1">
        <f t="array" ref="I657">(PRODUCT(1+sp500_monthly!O658:O777)^(1/120)-1)*100</f>
        <v>0.31551329723438215</v>
      </c>
    </row>
    <row r="658" spans="1:9" x14ac:dyDescent="0.35">
      <c r="A658" s="1">
        <v>33144</v>
      </c>
      <c r="B658" cm="1">
        <f t="array" ref="B658">(PRODUCT(1+sp500_monthly!B659:B778)^(1/120)-1)*100</f>
        <v>1.1641910519583965</v>
      </c>
      <c r="C658" cm="1">
        <f t="array" ref="C658">(PRODUCT(1+sp500_monthly!C659:C778)^(1/120)-1)*100</f>
        <v>0.80441688622450158</v>
      </c>
      <c r="D658" cm="1">
        <f t="array" ref="D658">(PRODUCT(1+sp500_monthly!D659:D778)^(1/120)-1)*100</f>
        <v>1.2563261288746297</v>
      </c>
      <c r="E658" cm="1">
        <f t="array" ref="E658">(PRODUCT(1+sp500_monthly!E659:E778)^(1/120)-1)*100</f>
        <v>0.94104401243773061</v>
      </c>
      <c r="F658" cm="1">
        <f t="array" ref="F658">(PRODUCT(1+sp500_monthly!K659:K778)^(1/120)-1)*100</f>
        <v>0.81090699743826544</v>
      </c>
      <c r="G658" cm="1">
        <f t="array" ref="G658">(PRODUCT(1+sp500_monthly!L659:L778)^(1/120)-1)</f>
        <v>0.68503651348298611</v>
      </c>
      <c r="H658" cm="1">
        <f t="array" ref="H658">(PRODUCT(1+sp500_monthly!N659:N778)^(1/120)-1)*100</f>
        <v>0.77838051515848328</v>
      </c>
      <c r="I658" cm="1">
        <f t="array" ref="I658">(PRODUCT(1+sp500_monthly!O659:O778)^(1/120)-1)*100</f>
        <v>0.31471293608695827</v>
      </c>
    </row>
    <row r="659" spans="1:9" x14ac:dyDescent="0.35">
      <c r="A659" s="1">
        <v>33177</v>
      </c>
      <c r="B659" cm="1">
        <f t="array" ref="B659">(PRODUCT(1+sp500_monthly!B660:B779)^(1/120)-1)*100</f>
        <v>1.0986662821176552</v>
      </c>
      <c r="C659" cm="1">
        <f t="array" ref="C659">(PRODUCT(1+sp500_monthly!C660:C779)^(1/120)-1)*100</f>
        <v>0.7394065995258936</v>
      </c>
      <c r="D659" cm="1">
        <f t="array" ref="D659">(PRODUCT(1+sp500_monthly!D660:D779)^(1/120)-1)*100</f>
        <v>1.1680406584644976</v>
      </c>
      <c r="E659" cm="1">
        <f t="array" ref="E659">(PRODUCT(1+sp500_monthly!E660:E779)^(1/120)-1)*100</f>
        <v>0.85416891537288819</v>
      </c>
      <c r="F659" cm="1">
        <f t="array" ref="F659">(PRODUCT(1+sp500_monthly!K660:K779)^(1/120)-1)*100</f>
        <v>0.74590753962198164</v>
      </c>
      <c r="G659" cm="1">
        <f t="array" ref="G659">(PRODUCT(1+sp500_monthly!L660:L779)^(1/120)-1)</f>
        <v>0.68377865187813058</v>
      </c>
      <c r="H659" cm="1">
        <f t="array" ref="H659">(PRODUCT(1+sp500_monthly!N660:N779)^(1/120)-1)*100</f>
        <v>0.71441713141542351</v>
      </c>
      <c r="I659" cm="1">
        <f t="array" ref="I659">(PRODUCT(1+sp500_monthly!O660:O779)^(1/120)-1)*100</f>
        <v>0.31477370671648686</v>
      </c>
    </row>
    <row r="660" spans="1:9" x14ac:dyDescent="0.35">
      <c r="A660" s="1">
        <v>33207</v>
      </c>
      <c r="B660" cm="1">
        <f t="array" ref="B660">(PRODUCT(1+sp500_monthly!B661:B780)^(1/120)-1)*100</f>
        <v>1.0807601243768339</v>
      </c>
      <c r="C660" cm="1">
        <f t="array" ref="C660">(PRODUCT(1+sp500_monthly!C661:C780)^(1/120)-1)*100</f>
        <v>0.72197755789469298</v>
      </c>
      <c r="D660" cm="1">
        <f t="array" ref="D660">(PRODUCT(1+sp500_monthly!D661:D780)^(1/120)-1)*100</f>
        <v>1.129268027692687</v>
      </c>
      <c r="E660" cm="1">
        <f t="array" ref="E660">(PRODUCT(1+sp500_monthly!E661:E780)^(1/120)-1)*100</f>
        <v>0.81624049201627358</v>
      </c>
      <c r="F660" cm="1">
        <f t="array" ref="F660">(PRODUCT(1+sp500_monthly!K661:K780)^(1/120)-1)*100</f>
        <v>0.72692330005854622</v>
      </c>
      <c r="G660" cm="1">
        <f t="array" ref="G660">(PRODUCT(1+sp500_monthly!L661:L780)^(1/120)-1)</f>
        <v>0.68168875887714897</v>
      </c>
      <c r="H660" cm="1">
        <f t="array" ref="H660">(PRODUCT(1+sp500_monthly!N661:N780)^(1/120)-1)*100</f>
        <v>0.6988619315660527</v>
      </c>
      <c r="I660" cm="1">
        <f t="array" ref="I660">(PRODUCT(1+sp500_monthly!O661:O780)^(1/120)-1)*100</f>
        <v>0.31480908911261096</v>
      </c>
    </row>
    <row r="661" spans="1:9" x14ac:dyDescent="0.35">
      <c r="A661" s="1">
        <v>33238</v>
      </c>
      <c r="B661" cm="1">
        <f t="array" ref="B661">(PRODUCT(1+sp500_monthly!B662:B781)^(1/120)-1)*100</f>
        <v>1.0456268333636443</v>
      </c>
      <c r="C661" cm="1">
        <f t="array" ref="C661">(PRODUCT(1+sp500_monthly!C662:C781)^(1/120)-1)*100</f>
        <v>0.68851353587189301</v>
      </c>
      <c r="D661" cm="1">
        <f t="array" ref="D661">(PRODUCT(1+sp500_monthly!D662:D781)^(1/120)-1)*100</f>
        <v>1.1507065553558959</v>
      </c>
      <c r="E661" cm="1">
        <f t="array" ref="E661">(PRODUCT(1+sp500_monthly!E662:E781)^(1/120)-1)*100</f>
        <v>0.83845764571024439</v>
      </c>
      <c r="F661" cm="1">
        <f t="array" ref="F661">(PRODUCT(1+sp500_monthly!K662:K781)^(1/120)-1)*100</f>
        <v>0.69397242342381649</v>
      </c>
      <c r="G661" cm="1">
        <f t="array" ref="G661">(PRODUCT(1+sp500_monthly!L662:L781)^(1/120)-1)</f>
        <v>0.67858234518461202</v>
      </c>
      <c r="H661" cm="1">
        <f t="array" ref="H661">(PRODUCT(1+sp500_monthly!N662:N781)^(1/120)-1)*100</f>
        <v>0.67084377672068651</v>
      </c>
      <c r="I661" cm="1">
        <f t="array" ref="I661">(PRODUCT(1+sp500_monthly!O662:O781)^(1/120)-1)*100</f>
        <v>0.31853161882078318</v>
      </c>
    </row>
    <row r="662" spans="1:9" x14ac:dyDescent="0.35">
      <c r="A662" s="1">
        <v>33269</v>
      </c>
      <c r="B662" cm="1">
        <f t="array" ref="B662">(PRODUCT(1+sp500_monthly!B663:B782)^(1/120)-1)*100</f>
        <v>1.0950801777257047</v>
      </c>
      <c r="C662" cm="1">
        <f t="array" ref="C662">(PRODUCT(1+sp500_monthly!C663:C782)^(1/120)-1)*100</f>
        <v>0.73736830982813473</v>
      </c>
      <c r="D662" cm="1">
        <f t="array" ref="D662">(PRODUCT(1+sp500_monthly!D663:D782)^(1/120)-1)*100</f>
        <v>1.1947144113852115</v>
      </c>
      <c r="E662" cm="1">
        <f t="array" ref="E662">(PRODUCT(1+sp500_monthly!E663:E782)^(1/120)-1)*100</f>
        <v>0.88319175685165341</v>
      </c>
      <c r="F662" cm="1">
        <f t="array" ref="F662">(PRODUCT(1+sp500_monthly!K663:K782)^(1/120)-1)*100</f>
        <v>0.74348055474442454</v>
      </c>
      <c r="G662" cm="1">
        <f t="array" ref="G662">(PRODUCT(1+sp500_monthly!L663:L782)^(1/120)-1)</f>
        <v>0.67345312184600248</v>
      </c>
      <c r="H662" cm="1">
        <f t="array" ref="H662">(PRODUCT(1+sp500_monthly!N663:N782)^(1/120)-1)*100</f>
        <v>0.7247886048064478</v>
      </c>
      <c r="I662" cm="1">
        <f t="array" ref="I662">(PRODUCT(1+sp500_monthly!O663:O782)^(1/120)-1)*100</f>
        <v>0.31730839797516897</v>
      </c>
    </row>
    <row r="663" spans="1:9" x14ac:dyDescent="0.35">
      <c r="A663" s="1">
        <v>33297</v>
      </c>
      <c r="B663" cm="1">
        <f t="array" ref="B663">(PRODUCT(1+sp500_monthly!B664:B783)^(1/120)-1)*100</f>
        <v>1.169544257826427</v>
      </c>
      <c r="C663" cm="1">
        <f t="array" ref="C663">(PRODUCT(1+sp500_monthly!C664:C783)^(1/120)-1)*100</f>
        <v>0.81147379518913265</v>
      </c>
      <c r="D663" cm="1">
        <f t="array" ref="D663">(PRODUCT(1+sp500_monthly!D664:D783)^(1/120)-1)*100</f>
        <v>1.2708923590836863</v>
      </c>
      <c r="E663" cm="1">
        <f t="array" ref="E663">(PRODUCT(1+sp500_monthly!E664:E783)^(1/120)-1)*100</f>
        <v>0.95957152846279925</v>
      </c>
      <c r="F663" cm="1">
        <f t="array" ref="F663">(PRODUCT(1+sp500_monthly!K664:K783)^(1/120)-1)*100</f>
        <v>0.81696652434626316</v>
      </c>
      <c r="G663" cm="1">
        <f t="array" ref="G663">(PRODUCT(1+sp500_monthly!L664:L783)^(1/120)-1)</f>
        <v>0.66935484866776163</v>
      </c>
      <c r="H663" cm="1">
        <f t="array" ref="H663">(PRODUCT(1+sp500_monthly!N664:N783)^(1/120)-1)*100</f>
        <v>0.80359814538313312</v>
      </c>
      <c r="I663" cm="1">
        <f t="array" ref="I663">(PRODUCT(1+sp500_monthly!O664:O783)^(1/120)-1)*100</f>
        <v>0.31759098458956636</v>
      </c>
    </row>
    <row r="664" spans="1:9" x14ac:dyDescent="0.35">
      <c r="A664" s="1">
        <v>33325</v>
      </c>
      <c r="B664" cm="1">
        <f t="array" ref="B664">(PRODUCT(1+sp500_monthly!B665:B784)^(1/120)-1)*100</f>
        <v>1.2100844245495512</v>
      </c>
      <c r="C664" cm="1">
        <f t="array" ref="C664">(PRODUCT(1+sp500_monthly!C665:C784)^(1/120)-1)*100</f>
        <v>0.85499747106931867</v>
      </c>
      <c r="D664" cm="1">
        <f t="array" ref="D664">(PRODUCT(1+sp500_monthly!D665:D784)^(1/120)-1)*100</f>
        <v>1.3164380865425152</v>
      </c>
      <c r="E664" cm="1">
        <f t="array" ref="E664">(PRODUCT(1+sp500_monthly!E665:E784)^(1/120)-1)*100</f>
        <v>1.0068638272703101</v>
      </c>
      <c r="F664" cm="1">
        <f t="array" ref="F664">(PRODUCT(1+sp500_monthly!K665:K784)^(1/120)-1)*100</f>
        <v>0.8606000195902741</v>
      </c>
      <c r="G664" cm="1">
        <f t="array" ref="G664">(PRODUCT(1+sp500_monthly!L665:L784)^(1/120)-1)</f>
        <v>0.66469403862878629</v>
      </c>
      <c r="H664" cm="1">
        <f t="array" ref="H664">(PRODUCT(1+sp500_monthly!N665:N784)^(1/120)-1)*100</f>
        <v>0.85104290389810267</v>
      </c>
      <c r="I664" cm="1">
        <f t="array" ref="I664">(PRODUCT(1+sp500_monthly!O665:O784)^(1/120)-1)*100</f>
        <v>0.31971082229427239</v>
      </c>
    </row>
    <row r="665" spans="1:9" x14ac:dyDescent="0.35">
      <c r="A665" s="1">
        <v>33358</v>
      </c>
      <c r="B665" cm="1">
        <f t="array" ref="B665">(PRODUCT(1+sp500_monthly!B666:B785)^(1/120)-1)*100</f>
        <v>1.1986920628756836</v>
      </c>
      <c r="C665" cm="1">
        <f t="array" ref="C665">(PRODUCT(1+sp500_monthly!C666:C785)^(1/120)-1)*100</f>
        <v>0.84428538412364418</v>
      </c>
      <c r="D665" cm="1">
        <f t="array" ref="D665">(PRODUCT(1+sp500_monthly!D666:D785)^(1/120)-1)*100</f>
        <v>1.2755347775935677</v>
      </c>
      <c r="E665" cm="1">
        <f t="array" ref="E665">(PRODUCT(1+sp500_monthly!E666:E785)^(1/120)-1)*100</f>
        <v>0.96752436268914277</v>
      </c>
      <c r="F665" cm="1">
        <f t="array" ref="F665">(PRODUCT(1+sp500_monthly!K666:K785)^(1/120)-1)*100</f>
        <v>0.84930519410553185</v>
      </c>
      <c r="G665" cm="1">
        <f t="array" ref="G665">(PRODUCT(1+sp500_monthly!L666:L785)^(1/120)-1)</f>
        <v>0.6587623758957466</v>
      </c>
      <c r="H665" cm="1">
        <f t="array" ref="H665">(PRODUCT(1+sp500_monthly!N666:N785)^(1/120)-1)*100</f>
        <v>0.84540120190321755</v>
      </c>
      <c r="I665" cm="1">
        <f t="array" ref="I665">(PRODUCT(1+sp500_monthly!O666:O785)^(1/120)-1)*100</f>
        <v>0.31900692417388132</v>
      </c>
    </row>
    <row r="666" spans="1:9" x14ac:dyDescent="0.35">
      <c r="A666" s="1">
        <v>33389</v>
      </c>
      <c r="B666" cm="1">
        <f t="array" ref="B666">(PRODUCT(1+sp500_monthly!B667:B786)^(1/120)-1)*100</f>
        <v>1.2178233489428925</v>
      </c>
      <c r="C666" cm="1">
        <f t="array" ref="C666">(PRODUCT(1+sp500_monthly!C667:C786)^(1/120)-1)*100</f>
        <v>0.86313313056820551</v>
      </c>
      <c r="D666" cm="1">
        <f t="array" ref="D666">(PRODUCT(1+sp500_monthly!D667:D786)^(1/120)-1)*100</f>
        <v>1.2792250974204666</v>
      </c>
      <c r="E666" cm="1">
        <f t="array" ref="E666">(PRODUCT(1+sp500_monthly!E667:E786)^(1/120)-1)*100</f>
        <v>0.97154161537262862</v>
      </c>
      <c r="F666" cm="1">
        <f t="array" ref="F666">(PRODUCT(1+sp500_monthly!K667:K786)^(1/120)-1)*100</f>
        <v>0.86954550462325919</v>
      </c>
      <c r="G666" cm="1">
        <f t="array" ref="G666">(PRODUCT(1+sp500_monthly!L667:L786)^(1/120)-1)</f>
        <v>0.65452275159641116</v>
      </c>
      <c r="H666" cm="1">
        <f t="array" ref="H666">(PRODUCT(1+sp500_monthly!N667:N786)^(1/120)-1)*100</f>
        <v>0.86732729049097124</v>
      </c>
      <c r="I666" cm="1">
        <f t="array" ref="I666">(PRODUCT(1+sp500_monthly!O667:O786)^(1/120)-1)*100</f>
        <v>0.31729176661290381</v>
      </c>
    </row>
    <row r="667" spans="1:9" x14ac:dyDescent="0.35">
      <c r="A667" s="1">
        <v>33417</v>
      </c>
      <c r="B667" cm="1">
        <f t="array" ref="B667">(PRODUCT(1+sp500_monthly!B668:B787)^(1/120)-1)*100</f>
        <v>1.2477851764058911</v>
      </c>
      <c r="C667" cm="1">
        <f t="array" ref="C667">(PRODUCT(1+sp500_monthly!C668:C787)^(1/120)-1)*100</f>
        <v>0.89604624271608646</v>
      </c>
      <c r="D667" cm="1">
        <f t="array" ref="D667">(PRODUCT(1+sp500_monthly!D668:D787)^(1/120)-1)*100</f>
        <v>1.3097176207633288</v>
      </c>
      <c r="E667" cm="1">
        <f t="array" ref="E667">(PRODUCT(1+sp500_monthly!E668:E787)^(1/120)-1)*100</f>
        <v>1.003565913288651</v>
      </c>
      <c r="F667" cm="1">
        <f t="array" ref="F667">(PRODUCT(1+sp500_monthly!K668:K787)^(1/120)-1)*100</f>
        <v>0.90276217070650588</v>
      </c>
      <c r="G667" cm="1">
        <f t="array" ref="G667">(PRODUCT(1+sp500_monthly!L668:L787)^(1/120)-1)</f>
        <v>0.64928889278985702</v>
      </c>
      <c r="H667" cm="1">
        <f t="array" ref="H667">(PRODUCT(1+sp500_monthly!N668:N787)^(1/120)-1)*100</f>
        <v>0.89972237738376037</v>
      </c>
      <c r="I667" cm="1">
        <f t="array" ref="I667">(PRODUCT(1+sp500_monthly!O668:O787)^(1/120)-1)*100</f>
        <v>0.3141752208616122</v>
      </c>
    </row>
    <row r="668" spans="1:9" x14ac:dyDescent="0.35">
      <c r="A668" s="1">
        <v>33450</v>
      </c>
      <c r="B668" cm="1">
        <f t="array" ref="B668">(PRODUCT(1+sp500_monthly!B669:B788)^(1/120)-1)*100</f>
        <v>1.2156200102084069</v>
      </c>
      <c r="C668" cm="1">
        <f t="array" ref="C668">(PRODUCT(1+sp500_monthly!C669:C788)^(1/120)-1)*100</f>
        <v>0.8645883080042438</v>
      </c>
      <c r="D668" cm="1">
        <f t="array" ref="D668">(PRODUCT(1+sp500_monthly!D669:D788)^(1/120)-1)*100</f>
        <v>1.2740736472666159</v>
      </c>
      <c r="E668" cm="1">
        <f t="array" ref="E668">(PRODUCT(1+sp500_monthly!E669:E788)^(1/120)-1)*100</f>
        <v>0.96962415659831436</v>
      </c>
      <c r="F668" cm="1">
        <f t="array" ref="F668">(PRODUCT(1+sp500_monthly!K669:K788)^(1/120)-1)*100</f>
        <v>0.87029746281492848</v>
      </c>
      <c r="G668" cm="1">
        <f t="array" ref="G668">(PRODUCT(1+sp500_monthly!L669:L788)^(1/120)-1)</f>
        <v>0.64237971170473851</v>
      </c>
      <c r="H668" cm="1">
        <f t="array" ref="H668">(PRODUCT(1+sp500_monthly!N669:N788)^(1/120)-1)*100</f>
        <v>0.87265545564876312</v>
      </c>
      <c r="I668" cm="1">
        <f t="array" ref="I668">(PRODUCT(1+sp500_monthly!O669:O788)^(1/120)-1)*100</f>
        <v>0.3114292323997514</v>
      </c>
    </row>
    <row r="669" spans="1:9" x14ac:dyDescent="0.35">
      <c r="A669" s="1">
        <v>33480</v>
      </c>
      <c r="B669" cm="1">
        <f t="array" ref="B669">(PRODUCT(1+sp500_monthly!B670:B789)^(1/120)-1)*100</f>
        <v>1.2533824714438646</v>
      </c>
      <c r="C669" cm="1">
        <f t="array" ref="C669">(PRODUCT(1+sp500_monthly!C670:C789)^(1/120)-1)*100</f>
        <v>0.9022270411887634</v>
      </c>
      <c r="D669" cm="1">
        <f t="array" ref="D669">(PRODUCT(1+sp500_monthly!D670:D789)^(1/120)-1)*100</f>
        <v>1.3237635037027351</v>
      </c>
      <c r="E669" cm="1">
        <f t="array" ref="E669">(PRODUCT(1+sp500_monthly!E670:E789)^(1/120)-1)*100</f>
        <v>1.0196735110415966</v>
      </c>
      <c r="F669" cm="1">
        <f t="array" ref="F669">(PRODUCT(1+sp500_monthly!K670:K789)^(1/120)-1)*100</f>
        <v>0.90905119877711105</v>
      </c>
      <c r="G669" cm="1">
        <f t="array" ref="G669">(PRODUCT(1+sp500_monthly!L670:L789)^(1/120)-1)</f>
        <v>0.63680919837381778</v>
      </c>
      <c r="H669" cm="1">
        <f t="array" ref="H669">(PRODUCT(1+sp500_monthly!N670:N789)^(1/120)-1)*100</f>
        <v>0.91829550276276706</v>
      </c>
      <c r="I669" cm="1">
        <f t="array" ref="I669">(PRODUCT(1+sp500_monthly!O670:O789)^(1/120)-1)*100</f>
        <v>0.31317123739842412</v>
      </c>
    </row>
    <row r="670" spans="1:9" x14ac:dyDescent="0.35">
      <c r="A670" s="1">
        <v>33511</v>
      </c>
      <c r="B670" cm="1">
        <f t="array" ref="B670">(PRODUCT(1+sp500_monthly!B671:B790)^(1/120)-1)*100</f>
        <v>1.3215372467019204</v>
      </c>
      <c r="C670" cm="1">
        <f t="array" ref="C670">(PRODUCT(1+sp500_monthly!C671:C790)^(1/120)-1)*100</f>
        <v>0.97413868151896565</v>
      </c>
      <c r="D670" cm="1">
        <f t="array" ref="D670">(PRODUCT(1+sp500_monthly!D671:D790)^(1/120)-1)*100</f>
        <v>1.3972437820289896</v>
      </c>
      <c r="E670" cm="1">
        <f t="array" ref="E670">(PRODUCT(1+sp500_monthly!E671:E790)^(1/120)-1)*100</f>
        <v>1.0950313822546187</v>
      </c>
      <c r="F670" cm="1">
        <f t="array" ref="F670">(PRODUCT(1+sp500_monthly!K671:K790)^(1/120)-1)*100</f>
        <v>0.97934985571477284</v>
      </c>
      <c r="G670" cm="1">
        <f t="array" ref="G670">(PRODUCT(1+sp500_monthly!L671:L790)^(1/120)-1)</f>
        <v>0.63074056207500062</v>
      </c>
      <c r="H670" cm="1">
        <f t="array" ref="H670">(PRODUCT(1+sp500_monthly!N671:N790)^(1/120)-1)*100</f>
        <v>0.99017050854797173</v>
      </c>
      <c r="I670" cm="1">
        <f t="array" ref="I670">(PRODUCT(1+sp500_monthly!O671:O790)^(1/120)-1)*100</f>
        <v>0.31029503651225365</v>
      </c>
    </row>
    <row r="671" spans="1:9" x14ac:dyDescent="0.35">
      <c r="A671" s="1">
        <v>33542</v>
      </c>
      <c r="B671" cm="1">
        <f t="array" ref="B671">(PRODUCT(1+sp500_monthly!B672:B791)^(1/120)-1)*100</f>
        <v>1.3509071657954008</v>
      </c>
      <c r="C671" cm="1">
        <f t="array" ref="C671">(PRODUCT(1+sp500_monthly!C672:C791)^(1/120)-1)*100</f>
        <v>1.0042160401753097</v>
      </c>
      <c r="D671" cm="1">
        <f t="array" ref="D671">(PRODUCT(1+sp500_monthly!D672:D791)^(1/120)-1)*100</f>
        <v>1.4254346375738525</v>
      </c>
      <c r="E671" cm="1">
        <f t="array" ref="E671">(PRODUCT(1+sp500_monthly!E672:E791)^(1/120)-1)*100</f>
        <v>1.1252813620555857</v>
      </c>
      <c r="F671" cm="1">
        <f t="array" ref="F671">(PRODUCT(1+sp500_monthly!K672:K791)^(1/120)-1)*100</f>
        <v>1.0096528488319434</v>
      </c>
      <c r="G671" cm="1">
        <f t="array" ref="G671">(PRODUCT(1+sp500_monthly!L672:L791)^(1/120)-1)</f>
        <v>0.62493408023721542</v>
      </c>
      <c r="H671" cm="1">
        <f t="array" ref="H671">(PRODUCT(1+sp500_monthly!N672:N791)^(1/120)-1)*100</f>
        <v>1.0251606166497673</v>
      </c>
      <c r="I671" cm="1">
        <f t="array" ref="I671">(PRODUCT(1+sp500_monthly!O672:O791)^(1/120)-1)*100</f>
        <v>0.30950574611670056</v>
      </c>
    </row>
    <row r="672" spans="1:9" x14ac:dyDescent="0.35">
      <c r="A672" s="1">
        <v>33571</v>
      </c>
      <c r="B672" cm="1">
        <f t="array" ref="B672">(PRODUCT(1+sp500_monthly!B673:B792)^(1/120)-1)*100</f>
        <v>1.3192955305079357</v>
      </c>
      <c r="C672" cm="1">
        <f t="array" ref="C672">(PRODUCT(1+sp500_monthly!C673:C792)^(1/120)-1)*100</f>
        <v>0.97415760455876743</v>
      </c>
      <c r="D672" cm="1">
        <f t="array" ref="D672">(PRODUCT(1+sp500_monthly!D673:D792)^(1/120)-1)*100</f>
        <v>1.3862305901802818</v>
      </c>
      <c r="E672" cm="1">
        <f t="array" ref="E672">(PRODUCT(1+sp500_monthly!E673:E792)^(1/120)-1)*100</f>
        <v>1.0875632441744276</v>
      </c>
      <c r="F672" cm="1">
        <f t="array" ref="F672">(PRODUCT(1+sp500_monthly!K673:K792)^(1/120)-1)*100</f>
        <v>0.97919614155312917</v>
      </c>
      <c r="G672" cm="1">
        <f t="array" ref="G672">(PRODUCT(1+sp500_monthly!L673:L792)^(1/120)-1)</f>
        <v>0.6189553872718474</v>
      </c>
      <c r="H672" cm="1">
        <f t="array" ref="H672">(PRODUCT(1+sp500_monthly!N673:N792)^(1/120)-1)*100</f>
        <v>0.99513046310746311</v>
      </c>
      <c r="I672" cm="1">
        <f t="array" ref="I672">(PRODUCT(1+sp500_monthly!O673:O792)^(1/120)-1)*100</f>
        <v>0.30442536205845805</v>
      </c>
    </row>
    <row r="673" spans="1:9" x14ac:dyDescent="0.35">
      <c r="A673" s="1">
        <v>33603</v>
      </c>
      <c r="B673" cm="1">
        <f t="array" ref="B673">(PRODUCT(1+sp500_monthly!B674:B793)^(1/120)-1)*100</f>
        <v>1.248448559650206</v>
      </c>
      <c r="C673" cm="1">
        <f t="array" ref="C673">(PRODUCT(1+sp500_monthly!C674:C793)^(1/120)-1)*100</f>
        <v>0.90664772889565981</v>
      </c>
      <c r="D673" cm="1">
        <f t="array" ref="D673">(PRODUCT(1+sp500_monthly!D674:D793)^(1/120)-1)*100</f>
        <v>1.3071704528009098</v>
      </c>
      <c r="E673" cm="1">
        <f t="array" ref="E673">(PRODUCT(1+sp500_monthly!E674:E793)^(1/120)-1)*100</f>
        <v>1.0106923218771158</v>
      </c>
      <c r="F673" cm="1">
        <f t="array" ref="F673">(PRODUCT(1+sp500_monthly!K674:K793)^(1/120)-1)*100</f>
        <v>0.91117714509836301</v>
      </c>
      <c r="G673" cm="1">
        <f t="array" ref="G673">(PRODUCT(1+sp500_monthly!L674:L793)^(1/120)-1)</f>
        <v>0.61359145400877568</v>
      </c>
      <c r="H673" cm="1">
        <f t="array" ref="H673">(PRODUCT(1+sp500_monthly!N674:N793)^(1/120)-1)*100</f>
        <v>0.92443435812410435</v>
      </c>
      <c r="I673" cm="1">
        <f t="array" ref="I673">(PRODUCT(1+sp500_monthly!O674:O793)^(1/120)-1)*100</f>
        <v>0.29870743899105268</v>
      </c>
    </row>
    <row r="674" spans="1:9" x14ac:dyDescent="0.35">
      <c r="A674" s="1">
        <v>33634</v>
      </c>
      <c r="B674" cm="1">
        <f t="array" ref="B674">(PRODUCT(1+sp500_monthly!B675:B794)^(1/120)-1)*100</f>
        <v>1.3628132056624054</v>
      </c>
      <c r="C674" cm="1">
        <f t="array" ref="C674">(PRODUCT(1+sp500_monthly!C675:C794)^(1/120)-1)*100</f>
        <v>1.0209767963188732</v>
      </c>
      <c r="D674" cm="1">
        <f t="array" ref="D674">(PRODUCT(1+sp500_monthly!D675:D794)^(1/120)-1)*100</f>
        <v>1.4149531471792987</v>
      </c>
      <c r="E674" cm="1">
        <f t="array" ref="E674">(PRODUCT(1+sp500_monthly!E675:E794)^(1/120)-1)*100</f>
        <v>1.1195787210201313</v>
      </c>
      <c r="F674" cm="1">
        <f t="array" ref="F674">(PRODUCT(1+sp500_monthly!K675:K794)^(1/120)-1)*100</f>
        <v>1.0258825603738364</v>
      </c>
      <c r="G674" cm="1">
        <f t="array" ref="G674">(PRODUCT(1+sp500_monthly!L675:L794)^(1/120)-1)</f>
        <v>0.60951080819851344</v>
      </c>
      <c r="H674" cm="1">
        <f t="array" ref="H674">(PRODUCT(1+sp500_monthly!N675:N794)^(1/120)-1)*100</f>
        <v>1.0386810971259486</v>
      </c>
      <c r="I674" cm="1">
        <f t="array" ref="I674">(PRODUCT(1+sp500_monthly!O675:O794)^(1/120)-1)*100</f>
        <v>0.29488367630432499</v>
      </c>
    </row>
    <row r="675" spans="1:9" x14ac:dyDescent="0.35">
      <c r="A675" s="1">
        <v>33662</v>
      </c>
      <c r="B675" cm="1">
        <f t="array" ref="B675">(PRODUCT(1+sp500_monthly!B676:B795)^(1/120)-1)*100</f>
        <v>1.3602520394680573</v>
      </c>
      <c r="C675" cm="1">
        <f t="array" ref="C675">(PRODUCT(1+sp500_monthly!C676:C795)^(1/120)-1)*100</f>
        <v>1.0185929647727354</v>
      </c>
      <c r="D675" cm="1">
        <f t="array" ref="D675">(PRODUCT(1+sp500_monthly!D676:D795)^(1/120)-1)*100</f>
        <v>1.4465979564425968</v>
      </c>
      <c r="E675" cm="1">
        <f t="array" ref="E675">(PRODUCT(1+sp500_monthly!E676:E795)^(1/120)-1)*100</f>
        <v>1.1518093227644632</v>
      </c>
      <c r="F675" cm="1">
        <f t="array" ref="F675">(PRODUCT(1+sp500_monthly!K676:K795)^(1/120)-1)*100</f>
        <v>1.023861261681791</v>
      </c>
      <c r="G675" cm="1">
        <f t="array" ref="G675">(PRODUCT(1+sp500_monthly!L676:L795)^(1/120)-1)</f>
        <v>0.60555738750574917</v>
      </c>
      <c r="H675" cm="1">
        <f t="array" ref="H675">(PRODUCT(1+sp500_monthly!N676:N795)^(1/120)-1)*100</f>
        <v>1.0381991294869719</v>
      </c>
      <c r="I675" cm="1">
        <f t="array" ref="I675">(PRODUCT(1+sp500_monthly!O676:O795)^(1/120)-1)*100</f>
        <v>0.29311663195497051</v>
      </c>
    </row>
    <row r="676" spans="1:9" x14ac:dyDescent="0.35">
      <c r="A676" s="1">
        <v>33694</v>
      </c>
      <c r="B676" cm="1">
        <f t="array" ref="B676">(PRODUCT(1+sp500_monthly!B677:B796)^(1/120)-1)*100</f>
        <v>1.414782098873979</v>
      </c>
      <c r="C676" cm="1">
        <f t="array" ref="C676">(PRODUCT(1+sp500_monthly!C677:C796)^(1/120)-1)*100</f>
        <v>1.0782409213313526</v>
      </c>
      <c r="D676" cm="1">
        <f t="array" ref="D676">(PRODUCT(1+sp500_monthly!D677:D796)^(1/120)-1)*100</f>
        <v>1.5034594362472564</v>
      </c>
      <c r="E676" cm="1">
        <f t="array" ref="E676">(PRODUCT(1+sp500_monthly!E677:E796)^(1/120)-1)*100</f>
        <v>1.2114631116907137</v>
      </c>
      <c r="F676" cm="1">
        <f t="array" ref="F676">(PRODUCT(1+sp500_monthly!K677:K796)^(1/120)-1)*100</f>
        <v>1.0844753163036014</v>
      </c>
      <c r="G676" cm="1">
        <f t="array" ref="G676">(PRODUCT(1+sp500_monthly!L677:L796)^(1/120)-1)</f>
        <v>0.60014156319333334</v>
      </c>
      <c r="H676" cm="1">
        <f t="array" ref="H676">(PRODUCT(1+sp500_monthly!N677:N796)^(1/120)-1)*100</f>
        <v>1.0934034926692426</v>
      </c>
      <c r="I676" cm="1">
        <f t="array" ref="I676">(PRODUCT(1+sp500_monthly!O677:O796)^(1/120)-1)*100</f>
        <v>0.28864050668997443</v>
      </c>
    </row>
    <row r="677" spans="1:9" x14ac:dyDescent="0.35">
      <c r="A677" s="1">
        <v>33724</v>
      </c>
      <c r="B677" cm="1">
        <f t="array" ref="B677">(PRODUCT(1+sp500_monthly!B678:B797)^(1/120)-1)*100</f>
        <v>1.4039365558615513</v>
      </c>
      <c r="C677" cm="1">
        <f t="array" ref="C677">(PRODUCT(1+sp500_monthly!C678:C797)^(1/120)-1)*100</f>
        <v>1.0684724858875949</v>
      </c>
      <c r="D677" cm="1">
        <f t="array" ref="D677">(PRODUCT(1+sp500_monthly!D678:D797)^(1/120)-1)*100</f>
        <v>1.4888957115536394</v>
      </c>
      <c r="E677" cm="1">
        <f t="array" ref="E677">(PRODUCT(1+sp500_monthly!E678:E797)^(1/120)-1)*100</f>
        <v>1.1991934463398968</v>
      </c>
      <c r="F677" cm="1">
        <f t="array" ref="F677">(PRODUCT(1+sp500_monthly!K678:K797)^(1/120)-1)*100</f>
        <v>1.0744896678285931</v>
      </c>
      <c r="G677" cm="1">
        <f t="array" ref="G677">(PRODUCT(1+sp500_monthly!L678:L797)^(1/120)-1)</f>
        <v>0.59494386629415064</v>
      </c>
      <c r="H677" cm="1">
        <f t="array" ref="H677">(PRODUCT(1+sp500_monthly!N678:N797)^(1/120)-1)*100</f>
        <v>1.0795590337985272</v>
      </c>
      <c r="I677" cm="1">
        <f t="array" ref="I677">(PRODUCT(1+sp500_monthly!O678:O797)^(1/120)-1)*100</f>
        <v>0.28031767167688848</v>
      </c>
    </row>
    <row r="678" spans="1:9" x14ac:dyDescent="0.35">
      <c r="A678" s="1">
        <v>33753</v>
      </c>
      <c r="B678" cm="1">
        <f t="array" ref="B678">(PRODUCT(1+sp500_monthly!B679:B798)^(1/120)-1)*100</f>
        <v>1.3933761196652572</v>
      </c>
      <c r="C678" cm="1">
        <f t="array" ref="C678">(PRODUCT(1+sp500_monthly!C679:C798)^(1/120)-1)*100</f>
        <v>1.0579564402536601</v>
      </c>
      <c r="D678" cm="1">
        <f t="array" ref="D678">(PRODUCT(1+sp500_monthly!D679:D798)^(1/120)-1)*100</f>
        <v>1.4634798360379397</v>
      </c>
      <c r="E678" cm="1">
        <f t="array" ref="E678">(PRODUCT(1+sp500_monthly!E679:E798)^(1/120)-1)*100</f>
        <v>1.1744743328128582</v>
      </c>
      <c r="F678" cm="1">
        <f t="array" ref="F678">(PRODUCT(1+sp500_monthly!K679:K798)^(1/120)-1)*100</f>
        <v>1.0646159317383441</v>
      </c>
      <c r="G678" cm="1">
        <f t="array" ref="G678">(PRODUCT(1+sp500_monthly!L679:L798)^(1/120)-1)</f>
        <v>0.58859681988321988</v>
      </c>
      <c r="H678" cm="1">
        <f t="array" ref="H678">(PRODUCT(1+sp500_monthly!N679:N798)^(1/120)-1)*100</f>
        <v>1.069881776847792</v>
      </c>
      <c r="I678" cm="1">
        <f t="array" ref="I678">(PRODUCT(1+sp500_monthly!O679:O798)^(1/120)-1)*100</f>
        <v>0.27444037353243633</v>
      </c>
    </row>
    <row r="679" spans="1:9" x14ac:dyDescent="0.35">
      <c r="A679" s="1">
        <v>33785</v>
      </c>
      <c r="B679" cm="1">
        <f t="array" ref="B679">(PRODUCT(1+sp500_monthly!B680:B799)^(1/120)-1)*100</f>
        <v>1.4227737330673174</v>
      </c>
      <c r="C679" cm="1">
        <f t="array" ref="C679">(PRODUCT(1+sp500_monthly!C680:C799)^(1/120)-1)*100</f>
        <v>1.0931100912806802</v>
      </c>
      <c r="D679" cm="1">
        <f t="array" ref="D679">(PRODUCT(1+sp500_monthly!D680:D799)^(1/120)-1)*100</f>
        <v>1.5031396970126787</v>
      </c>
      <c r="E679" cm="1">
        <f t="array" ref="E679">(PRODUCT(1+sp500_monthly!E680:E799)^(1/120)-1)*100</f>
        <v>1.2175278714782412</v>
      </c>
      <c r="F679" cm="1">
        <f t="array" ref="F679">(PRODUCT(1+sp500_monthly!K680:K799)^(1/120)-1)*100</f>
        <v>1.0990789401159162</v>
      </c>
      <c r="G679" cm="1">
        <f t="array" ref="G679">(PRODUCT(1+sp500_monthly!L680:L799)^(1/120)-1)</f>
        <v>0.58230989905077601</v>
      </c>
      <c r="H679" cm="1">
        <f t="array" ref="H679">(PRODUCT(1+sp500_monthly!N680:N799)^(1/120)-1)*100</f>
        <v>1.1053185632125651</v>
      </c>
      <c r="I679" cm="1">
        <f t="array" ref="I679">(PRODUCT(1+sp500_monthly!O680:O799)^(1/120)-1)*100</f>
        <v>0.27404863195650275</v>
      </c>
    </row>
    <row r="680" spans="1:9" x14ac:dyDescent="0.35">
      <c r="A680" s="1">
        <v>33816</v>
      </c>
      <c r="B680" cm="1">
        <f t="array" ref="B680">(PRODUCT(1+sp500_monthly!B681:B800)^(1/120)-1)*100</f>
        <v>1.4234166866285758</v>
      </c>
      <c r="C680" cm="1">
        <f t="array" ref="C680">(PRODUCT(1+sp500_monthly!C681:C800)^(1/120)-1)*100</f>
        <v>1.0943019907740936</v>
      </c>
      <c r="D680" cm="1">
        <f t="array" ref="D680">(PRODUCT(1+sp500_monthly!D681:D800)^(1/120)-1)*100</f>
        <v>1.4917958404803366</v>
      </c>
      <c r="E680" cm="1">
        <f t="array" ref="E680">(PRODUCT(1+sp500_monthly!E681:E800)^(1/120)-1)*100</f>
        <v>1.2078609154113629</v>
      </c>
      <c r="F680" cm="1">
        <f t="array" ref="F680">(PRODUCT(1+sp500_monthly!K681:K800)^(1/120)-1)*100</f>
        <v>1.1015956943307925</v>
      </c>
      <c r="G680" cm="1">
        <f t="array" ref="G680">(PRODUCT(1+sp500_monthly!L681:L800)^(1/120)-1)</f>
        <v>0.57710591495854269</v>
      </c>
      <c r="H680" cm="1">
        <f t="array" ref="H680">(PRODUCT(1+sp500_monthly!N681:N800)^(1/120)-1)*100</f>
        <v>1.1131600296460764</v>
      </c>
      <c r="I680" cm="1">
        <f t="array" ref="I680">(PRODUCT(1+sp500_monthly!O681:O800)^(1/120)-1)*100</f>
        <v>0.27587571498941532</v>
      </c>
    </row>
    <row r="681" spans="1:9" x14ac:dyDescent="0.35">
      <c r="A681" s="1">
        <v>33847</v>
      </c>
      <c r="B681" cm="1">
        <f t="array" ref="B681">(PRODUCT(1+sp500_monthly!B682:B801)^(1/120)-1)*100</f>
        <v>1.4745762050152544</v>
      </c>
      <c r="C681" cm="1">
        <f t="array" ref="C681">(PRODUCT(1+sp500_monthly!C682:C801)^(1/120)-1)*100</f>
        <v>1.1457139913493064</v>
      </c>
      <c r="D681" cm="1">
        <f t="array" ref="D681">(PRODUCT(1+sp500_monthly!D682:D801)^(1/120)-1)*100</f>
        <v>1.5384870313162047</v>
      </c>
      <c r="E681" cm="1">
        <f t="array" ref="E681">(PRODUCT(1+sp500_monthly!E682:E801)^(1/120)-1)*100</f>
        <v>1.2552702400822957</v>
      </c>
      <c r="F681" cm="1">
        <f t="array" ref="F681">(PRODUCT(1+sp500_monthly!K682:K801)^(1/120)-1)*100</f>
        <v>1.1537421958558447</v>
      </c>
      <c r="G681" cm="1">
        <f t="array" ref="G681">(PRODUCT(1+sp500_monthly!L682:L801)^(1/120)-1)</f>
        <v>0.57123148289288639</v>
      </c>
      <c r="H681" cm="1">
        <f t="array" ref="H681">(PRODUCT(1+sp500_monthly!N682:N801)^(1/120)-1)*100</f>
        <v>1.1660939246374014</v>
      </c>
      <c r="I681" cm="1">
        <f t="array" ref="I681">(PRODUCT(1+sp500_monthly!O682:O801)^(1/120)-1)*100</f>
        <v>0.27164776467587526</v>
      </c>
    </row>
    <row r="682" spans="1:9" x14ac:dyDescent="0.35">
      <c r="A682" s="1">
        <v>33877</v>
      </c>
      <c r="B682" cm="1">
        <f t="array" ref="B682">(PRODUCT(1+sp500_monthly!B683:B802)^(1/120)-1)*100</f>
        <v>1.3556278602284699</v>
      </c>
      <c r="C682" cm="1">
        <f t="array" ref="C682">(PRODUCT(1+sp500_monthly!C683:C802)^(1/120)-1)*100</f>
        <v>1.0321217139628303</v>
      </c>
      <c r="D682" cm="1">
        <f t="array" ref="D682">(PRODUCT(1+sp500_monthly!D683:D802)^(1/120)-1)*100</f>
        <v>1.4121189899211739</v>
      </c>
      <c r="E682" cm="1">
        <f t="array" ref="E682">(PRODUCT(1+sp500_monthly!E683:E802)^(1/120)-1)*100</f>
        <v>1.1321603827576521</v>
      </c>
      <c r="F682" cm="1">
        <f t="array" ref="F682">(PRODUCT(1+sp500_monthly!K683:K802)^(1/120)-1)*100</f>
        <v>1.0408326307075999</v>
      </c>
      <c r="G682" cm="1">
        <f t="array" ref="G682">(PRODUCT(1+sp500_monthly!L683:L802)^(1/120)-1)</f>
        <v>0.56686166370817737</v>
      </c>
      <c r="H682" cm="1">
        <f t="array" ref="H682">(PRODUCT(1+sp500_monthly!N683:N802)^(1/120)-1)*100</f>
        <v>1.0474366394687795</v>
      </c>
      <c r="I682" cm="1">
        <f t="array" ref="I682">(PRODUCT(1+sp500_monthly!O683:O802)^(1/120)-1)*100</f>
        <v>0.26742105824362206</v>
      </c>
    </row>
    <row r="683" spans="1:9" x14ac:dyDescent="0.35">
      <c r="A683" s="1">
        <v>33907</v>
      </c>
      <c r="B683" cm="1">
        <f t="array" ref="B683">(PRODUCT(1+sp500_monthly!B684:B803)^(1/120)-1)*100</f>
        <v>1.3563330316045841</v>
      </c>
      <c r="C683" cm="1">
        <f t="array" ref="C683">(PRODUCT(1+sp500_monthly!C684:C803)^(1/120)-1)*100</f>
        <v>1.0331228722334274</v>
      </c>
      <c r="D683" cm="1">
        <f t="array" ref="D683">(PRODUCT(1+sp500_monthly!D684:D803)^(1/120)-1)*100</f>
        <v>1.4143745390050366</v>
      </c>
      <c r="E683" cm="1">
        <f t="array" ref="E683">(PRODUCT(1+sp500_monthly!E684:E803)^(1/120)-1)*100</f>
        <v>1.1358803632243175</v>
      </c>
      <c r="F683" cm="1">
        <f t="array" ref="F683">(PRODUCT(1+sp500_monthly!K684:K803)^(1/120)-1)*100</f>
        <v>1.0420784975871733</v>
      </c>
      <c r="G683" cm="1">
        <f t="array" ref="G683">(PRODUCT(1+sp500_monthly!L684:L803)^(1/120)-1)</f>
        <v>0.56450012248524573</v>
      </c>
      <c r="H683" cm="1">
        <f t="array" ref="H683">(PRODUCT(1+sp500_monthly!N684:N803)^(1/120)-1)*100</f>
        <v>1.0463474126154892</v>
      </c>
      <c r="I683" cm="1">
        <f t="array" ref="I683">(PRODUCT(1+sp500_monthly!O684:O803)^(1/120)-1)*100</f>
        <v>0.26356181580258209</v>
      </c>
    </row>
    <row r="684" spans="1:9" x14ac:dyDescent="0.35">
      <c r="A684" s="1">
        <v>33938</v>
      </c>
      <c r="B684" cm="1">
        <f t="array" ref="B684">(PRODUCT(1+sp500_monthly!B685:B804)^(1/120)-1)*100</f>
        <v>1.269330965104265</v>
      </c>
      <c r="C684" cm="1">
        <f t="array" ref="C684">(PRODUCT(1+sp500_monthly!C685:C804)^(1/120)-1)*100</f>
        <v>0.94726188752165541</v>
      </c>
      <c r="D684" cm="1">
        <f t="array" ref="D684">(PRODUCT(1+sp500_monthly!D685:D804)^(1/120)-1)*100</f>
        <v>1.3178516513499883</v>
      </c>
      <c r="E684" cm="1">
        <f t="array" ref="E684">(PRODUCT(1+sp500_monthly!E685:E804)^(1/120)-1)*100</f>
        <v>1.0406223718842256</v>
      </c>
      <c r="F684" cm="1">
        <f t="array" ref="F684">(PRODUCT(1+sp500_monthly!K685:K804)^(1/120)-1)*100</f>
        <v>0.9557378153560725</v>
      </c>
      <c r="G684" cm="1">
        <f t="array" ref="G684">(PRODUCT(1+sp500_monthly!L685:L804)^(1/120)-1)</f>
        <v>0.5611567148246841</v>
      </c>
      <c r="H684" cm="1">
        <f t="array" ref="H684">(PRODUCT(1+sp500_monthly!N685:N804)^(1/120)-1)*100</f>
        <v>0.95947893817045493</v>
      </c>
      <c r="I684" cm="1">
        <f t="array" ref="I684">(PRODUCT(1+sp500_monthly!O685:O804)^(1/120)-1)*100</f>
        <v>0.26043465709120195</v>
      </c>
    </row>
    <row r="685" spans="1:9" x14ac:dyDescent="0.35">
      <c r="A685" s="1">
        <v>33969</v>
      </c>
      <c r="B685" cm="1">
        <f t="array" ref="B685">(PRODUCT(1+sp500_monthly!B686:B805)^(1/120)-1)*100</f>
        <v>1.2596242363276833</v>
      </c>
      <c r="C685" cm="1">
        <f t="array" ref="C685">(PRODUCT(1+sp500_monthly!C686:C805)^(1/120)-1)*100</f>
        <v>0.94117139325238242</v>
      </c>
      <c r="D685" cm="1">
        <f t="array" ref="D685">(PRODUCT(1+sp500_monthly!D686:D805)^(1/120)-1)*100</f>
        <v>1.3051474936161211</v>
      </c>
      <c r="E685" cm="1">
        <f t="array" ref="E685">(PRODUCT(1+sp500_monthly!E686:E805)^(1/120)-1)*100</f>
        <v>1.0295455855669156</v>
      </c>
      <c r="F685" cm="1">
        <f t="array" ref="F685">(PRODUCT(1+sp500_monthly!K686:K805)^(1/120)-1)*100</f>
        <v>0.95096547799244924</v>
      </c>
      <c r="G685" cm="1">
        <f t="array" ref="G685">(PRODUCT(1+sp500_monthly!L686:L805)^(1/120)-1)</f>
        <v>0.55749793886087451</v>
      </c>
      <c r="H685" cm="1">
        <f t="array" ref="H685">(PRODUCT(1+sp500_monthly!N686:N805)^(1/120)-1)*100</f>
        <v>0.94657259632597857</v>
      </c>
      <c r="I685" cm="1">
        <f t="array" ref="I685">(PRODUCT(1+sp500_monthly!O686:O805)^(1/120)-1)*100</f>
        <v>0.25389984880062055</v>
      </c>
    </row>
    <row r="686" spans="1:9" x14ac:dyDescent="0.35">
      <c r="A686" s="1">
        <v>33998</v>
      </c>
      <c r="B686" cm="1">
        <f t="array" ref="B686">(PRODUCT(1+sp500_monthly!B687:B806)^(1/120)-1)*100</f>
        <v>1.2567522303410295</v>
      </c>
      <c r="C686" cm="1">
        <f t="array" ref="C686">(PRODUCT(1+sp500_monthly!C687:C806)^(1/120)-1)*100</f>
        <v>0.93828235352337863</v>
      </c>
      <c r="D686" cm="1">
        <f t="array" ref="D686">(PRODUCT(1+sp500_monthly!D687:D806)^(1/120)-1)*100</f>
        <v>1.3109966631119851</v>
      </c>
      <c r="E686" cm="1">
        <f t="array" ref="E686">(PRODUCT(1+sp500_monthly!E687:E806)^(1/120)-1)*100</f>
        <v>1.0363988845366601</v>
      </c>
      <c r="F686" cm="1">
        <f t="array" ref="F686">(PRODUCT(1+sp500_monthly!K687:K806)^(1/120)-1)*100</f>
        <v>0.94677020323943317</v>
      </c>
      <c r="G686" cm="1">
        <f t="array" ref="G686">(PRODUCT(1+sp500_monthly!L687:L806)^(1/120)-1)</f>
        <v>0.55404978080223088</v>
      </c>
      <c r="H686" cm="1">
        <f t="array" ref="H686">(PRODUCT(1+sp500_monthly!N687:N806)^(1/120)-1)*100</f>
        <v>0.93994737614999657</v>
      </c>
      <c r="I686" cm="1">
        <f t="array" ref="I686">(PRODUCT(1+sp500_monthly!O687:O806)^(1/120)-1)*100</f>
        <v>0.24692078527326355</v>
      </c>
    </row>
    <row r="687" spans="1:9" x14ac:dyDescent="0.35">
      <c r="A687" s="1">
        <v>34026</v>
      </c>
      <c r="B687" cm="1">
        <f t="array" ref="B687">(PRODUCT(1+sp500_monthly!B688:B807)^(1/120)-1)*100</f>
        <v>1.2336102277288763</v>
      </c>
      <c r="C687" cm="1">
        <f t="array" ref="C687">(PRODUCT(1+sp500_monthly!C688:C807)^(1/120)-1)*100</f>
        <v>0.91571866720392414</v>
      </c>
      <c r="D687" cm="1">
        <f t="array" ref="D687">(PRODUCT(1+sp500_monthly!D688:D807)^(1/120)-1)*100</f>
        <v>1.3006951425228452</v>
      </c>
      <c r="E687" cm="1">
        <f t="array" ref="E687">(PRODUCT(1+sp500_monthly!E688:E807)^(1/120)-1)*100</f>
        <v>1.0270285258126233</v>
      </c>
      <c r="F687" cm="1">
        <f t="array" ref="F687">(PRODUCT(1+sp500_monthly!K688:K807)^(1/120)-1)*100</f>
        <v>0.92525770388949269</v>
      </c>
      <c r="G687" cm="1">
        <f t="array" ref="G687">(PRODUCT(1+sp500_monthly!L688:L807)^(1/120)-1)</f>
        <v>0.54994069010044422</v>
      </c>
      <c r="H687" cm="1">
        <f t="array" ref="H687">(PRODUCT(1+sp500_monthly!N688:N807)^(1/120)-1)*100</f>
        <v>0.9156478159376924</v>
      </c>
      <c r="I687" cm="1">
        <f t="array" ref="I687">(PRODUCT(1+sp500_monthly!O688:O807)^(1/120)-1)*100</f>
        <v>0.2418738982108426</v>
      </c>
    </row>
    <row r="688" spans="1:9" x14ac:dyDescent="0.35">
      <c r="A688" s="1">
        <v>34059</v>
      </c>
      <c r="B688" cm="1">
        <f t="array" ref="B688">(PRODUCT(1+sp500_monthly!B689:B808)^(1/120)-1)*100</f>
        <v>1.2235108746699419</v>
      </c>
      <c r="C688" cm="1">
        <f t="array" ref="C688">(PRODUCT(1+sp500_monthly!C689:C808)^(1/120)-1)*100</f>
        <v>0.90893941493284114</v>
      </c>
      <c r="D688" cm="1">
        <f t="array" ref="D688">(PRODUCT(1+sp500_monthly!D689:D808)^(1/120)-1)*100</f>
        <v>1.2759243009721866</v>
      </c>
      <c r="E688" cm="1">
        <f t="array" ref="E688">(PRODUCT(1+sp500_monthly!E689:E808)^(1/120)-1)*100</f>
        <v>1.0038622298262689</v>
      </c>
      <c r="F688" cm="1">
        <f t="array" ref="F688">(PRODUCT(1+sp500_monthly!K689:K808)^(1/120)-1)*100</f>
        <v>0.91820375978703961</v>
      </c>
      <c r="G688" cm="1">
        <f t="array" ref="G688">(PRODUCT(1+sp500_monthly!L689:L808)^(1/120)-1)</f>
        <v>0.54628230707012171</v>
      </c>
      <c r="H688" cm="1">
        <f t="array" ref="H688">(PRODUCT(1+sp500_monthly!N689:N808)^(1/120)-1)*100</f>
        <v>0.90467396525937271</v>
      </c>
      <c r="I688" cm="1">
        <f t="array" ref="I688">(PRODUCT(1+sp500_monthly!O689:O808)^(1/120)-1)*100</f>
        <v>0.237646300484462</v>
      </c>
    </row>
    <row r="689" spans="1:9" x14ac:dyDescent="0.35">
      <c r="A689" s="1">
        <v>34089</v>
      </c>
      <c r="B689" cm="1">
        <f t="array" ref="B689">(PRODUCT(1+sp500_monthly!B690:B809)^(1/120)-1)*100</f>
        <v>1.2118075279618612</v>
      </c>
      <c r="C689" cm="1">
        <f t="array" ref="C689">(PRODUCT(1+sp500_monthly!C690:C809)^(1/120)-1)*100</f>
        <v>0.89755769780783812</v>
      </c>
      <c r="D689" cm="1">
        <f t="array" ref="D689">(PRODUCT(1+sp500_monthly!D690:D809)^(1/120)-1)*100</f>
        <v>1.2564605334854484</v>
      </c>
      <c r="E689" cm="1">
        <f t="array" ref="E689">(PRODUCT(1+sp500_monthly!E690:E809)^(1/120)-1)*100</f>
        <v>0.98523429662378259</v>
      </c>
      <c r="F689" cm="1">
        <f t="array" ref="F689">(PRODUCT(1+sp500_monthly!K690:K809)^(1/120)-1)*100</f>
        <v>0.90640140051454487</v>
      </c>
      <c r="G689" cm="1">
        <f t="array" ref="G689">(PRODUCT(1+sp500_monthly!L690:L809)^(1/120)-1)</f>
        <v>0.542865756224989</v>
      </c>
      <c r="H689" cm="1">
        <f t="array" ref="H689">(PRODUCT(1+sp500_monthly!N690:N809)^(1/120)-1)*100</f>
        <v>0.89269071188344817</v>
      </c>
      <c r="I689" cm="1">
        <f t="array" ref="I689">(PRODUCT(1+sp500_monthly!O690:O809)^(1/120)-1)*100</f>
        <v>0.23417135697190172</v>
      </c>
    </row>
    <row r="690" spans="1:9" x14ac:dyDescent="0.35">
      <c r="A690" s="1">
        <v>34117</v>
      </c>
      <c r="B690" cm="1">
        <f t="array" ref="B690">(PRODUCT(1+sp500_monthly!B691:B810)^(1/120)-1)*100</f>
        <v>1.1293418192577231</v>
      </c>
      <c r="C690" cm="1">
        <f t="array" ref="C690">(PRODUCT(1+sp500_monthly!C691:C810)^(1/120)-1)*100</f>
        <v>0.81509268948356528</v>
      </c>
      <c r="D690" cm="1">
        <f t="array" ref="D690">(PRODUCT(1+sp500_monthly!D691:D810)^(1/120)-1)*100</f>
        <v>1.1816753880613318</v>
      </c>
      <c r="E690" cm="1">
        <f t="array" ref="E690">(PRODUCT(1+sp500_monthly!E691:E810)^(1/120)-1)*100</f>
        <v>0.91082946631699802</v>
      </c>
      <c r="F690" cm="1">
        <f t="array" ref="F690">(PRODUCT(1+sp500_monthly!K691:K810)^(1/120)-1)*100</f>
        <v>0.82403344585191274</v>
      </c>
      <c r="G690" cm="1">
        <f t="array" ref="G690">(PRODUCT(1+sp500_monthly!L691:L810)^(1/120)-1)</f>
        <v>0.53873920728180269</v>
      </c>
      <c r="H690" cm="1">
        <f t="array" ref="H690">(PRODUCT(1+sp500_monthly!N691:N810)^(1/120)-1)*100</f>
        <v>0.81353216455417598</v>
      </c>
      <c r="I690" cm="1">
        <f t="array" ref="I690">(PRODUCT(1+sp500_monthly!O691:O810)^(1/120)-1)*100</f>
        <v>0.23329375940508434</v>
      </c>
    </row>
    <row r="691" spans="1:9" x14ac:dyDescent="0.35">
      <c r="A691" s="1">
        <v>34150</v>
      </c>
      <c r="B691" cm="1">
        <f t="array" ref="B691">(PRODUCT(1+sp500_monthly!B692:B811)^(1/120)-1)*100</f>
        <v>1.1559957646341212</v>
      </c>
      <c r="C691" cm="1">
        <f t="array" ref="C691">(PRODUCT(1+sp500_monthly!C692:C811)^(1/120)-1)*100</f>
        <v>0.84405794297044423</v>
      </c>
      <c r="D691" cm="1">
        <f t="array" ref="D691">(PRODUCT(1+sp500_monthly!D692:D811)^(1/120)-1)*100</f>
        <v>1.1864639055416015</v>
      </c>
      <c r="E691" cm="1">
        <f t="array" ref="E691">(PRODUCT(1+sp500_monthly!E692:E811)^(1/120)-1)*100</f>
        <v>0.9170533788971813</v>
      </c>
      <c r="F691" cm="1">
        <f t="array" ref="F691">(PRODUCT(1+sp500_monthly!K692:K811)^(1/120)-1)*100</f>
        <v>0.85334864500525853</v>
      </c>
      <c r="G691" cm="1">
        <f t="array" ref="G691">(PRODUCT(1+sp500_monthly!L692:L811)^(1/120)-1)</f>
        <v>0.53456620315081427</v>
      </c>
      <c r="H691" cm="1">
        <f t="array" ref="H691">(PRODUCT(1+sp500_monthly!N692:N811)^(1/120)-1)*100</f>
        <v>0.84116391093205234</v>
      </c>
      <c r="I691" cm="1">
        <f t="array" ref="I691">(PRODUCT(1+sp500_monthly!O692:O811)^(1/120)-1)*100</f>
        <v>0.23044041672841686</v>
      </c>
    </row>
    <row r="692" spans="1:9" x14ac:dyDescent="0.35">
      <c r="A692" s="1">
        <v>34180</v>
      </c>
      <c r="B692" cm="1">
        <f t="array" ref="B692">(PRODUCT(1+sp500_monthly!B693:B812)^(1/120)-1)*100</f>
        <v>1.1283140066433051</v>
      </c>
      <c r="C692" cm="1">
        <f t="array" ref="C692">(PRODUCT(1+sp500_monthly!C693:C812)^(1/120)-1)*100</f>
        <v>0.81711216405617737</v>
      </c>
      <c r="D692" cm="1">
        <f t="array" ref="D692">(PRODUCT(1+sp500_monthly!D693:D812)^(1/120)-1)*100</f>
        <v>1.1631329849440375</v>
      </c>
      <c r="E692" cm="1">
        <f t="array" ref="E692">(PRODUCT(1+sp500_monthly!E693:E812)^(1/120)-1)*100</f>
        <v>0.89432525371304639</v>
      </c>
      <c r="F692" cm="1">
        <f t="array" ref="F692">(PRODUCT(1+sp500_monthly!K693:K812)^(1/120)-1)*100</f>
        <v>0.82489259048066366</v>
      </c>
      <c r="G692" cm="1">
        <f t="array" ref="G692">(PRODUCT(1+sp500_monthly!L693:L812)^(1/120)-1)</f>
        <v>0.53086622704492803</v>
      </c>
      <c r="H692" cm="1">
        <f t="array" ref="H692">(PRODUCT(1+sp500_monthly!N693:N812)^(1/120)-1)*100</f>
        <v>0.81467798453194185</v>
      </c>
      <c r="I692" cm="1">
        <f t="array" ref="I692">(PRODUCT(1+sp500_monthly!O693:O812)^(1/120)-1)*100</f>
        <v>0.22805168976458567</v>
      </c>
    </row>
    <row r="693" spans="1:9" x14ac:dyDescent="0.35">
      <c r="A693" s="1">
        <v>34212</v>
      </c>
      <c r="B693" cm="1">
        <f t="array" ref="B693">(PRODUCT(1+sp500_monthly!B694:B813)^(1/120)-1)*100</f>
        <v>1.1511823197665638</v>
      </c>
      <c r="C693" cm="1">
        <f t="array" ref="C693">(PRODUCT(1+sp500_monthly!C694:C813)^(1/120)-1)*100</f>
        <v>0.83973834074904108</v>
      </c>
      <c r="D693" cm="1">
        <f t="array" ref="D693">(PRODUCT(1+sp500_monthly!D694:D813)^(1/120)-1)*100</f>
        <v>1.1851766741035163</v>
      </c>
      <c r="E693" cm="1">
        <f t="array" ref="E693">(PRODUCT(1+sp500_monthly!E694:E813)^(1/120)-1)*100</f>
        <v>0.91660407138605127</v>
      </c>
      <c r="F693" cm="1">
        <f t="array" ref="F693">(PRODUCT(1+sp500_monthly!K694:K813)^(1/120)-1)*100</f>
        <v>0.84861445541442038</v>
      </c>
      <c r="G693" cm="1">
        <f t="array" ref="G693">(PRODUCT(1+sp500_monthly!L694:L813)^(1/120)-1)</f>
        <v>0.52655051122950081</v>
      </c>
      <c r="H693" cm="1">
        <f t="array" ref="H693">(PRODUCT(1+sp500_monthly!N694:N813)^(1/120)-1)*100</f>
        <v>0.83968628393673583</v>
      </c>
      <c r="I693" cm="1">
        <f t="array" ref="I693">(PRODUCT(1+sp500_monthly!O694:O813)^(1/120)-1)*100</f>
        <v>0.2260934182690244</v>
      </c>
    </row>
    <row r="694" spans="1:9" x14ac:dyDescent="0.35">
      <c r="A694" s="1">
        <v>34242</v>
      </c>
      <c r="B694" cm="1">
        <f t="array" ref="B694">(PRODUCT(1+sp500_monthly!B695:B814)^(1/120)-1)*100</f>
        <v>1.1688920558654781</v>
      </c>
      <c r="C694" cm="1">
        <f t="array" ref="C694">(PRODUCT(1+sp500_monthly!C695:C814)^(1/120)-1)*100</f>
        <v>0.85986954147303507</v>
      </c>
      <c r="D694" cm="1">
        <f t="array" ref="D694">(PRODUCT(1+sp500_monthly!D695:D814)^(1/120)-1)*100</f>
        <v>1.2144656396577691</v>
      </c>
      <c r="E694" cm="1">
        <f t="array" ref="E694">(PRODUCT(1+sp500_monthly!E695:E814)^(1/120)-1)*100</f>
        <v>0.94722610536059904</v>
      </c>
      <c r="F694" cm="1">
        <f t="array" ref="F694">(PRODUCT(1+sp500_monthly!K695:K814)^(1/120)-1)*100</f>
        <v>0.8676069321770008</v>
      </c>
      <c r="G694" cm="1">
        <f t="array" ref="G694">(PRODUCT(1+sp500_monthly!L695:L814)^(1/120)-1)</f>
        <v>0.52220387636382526</v>
      </c>
      <c r="H694" cm="1">
        <f t="array" ref="H694">(PRODUCT(1+sp500_monthly!N695:N814)^(1/120)-1)*100</f>
        <v>0.85812105467071298</v>
      </c>
      <c r="I694" cm="1">
        <f t="array" ref="I694">(PRODUCT(1+sp500_monthly!O695:O814)^(1/120)-1)*100</f>
        <v>0.22262995273087949</v>
      </c>
    </row>
    <row r="695" spans="1:9" x14ac:dyDescent="0.35">
      <c r="A695" s="1">
        <v>34271</v>
      </c>
      <c r="B695" cm="1">
        <f t="array" ref="B695">(PRODUCT(1+sp500_monthly!B696:B815)^(1/120)-1)*100</f>
        <v>1.1506686782100761</v>
      </c>
      <c r="C695" cm="1">
        <f t="array" ref="C695">(PRODUCT(1+sp500_monthly!C696:C815)^(1/120)-1)*100</f>
        <v>0.84249755331313736</v>
      </c>
      <c r="D695" cm="1">
        <f t="array" ref="D695">(PRODUCT(1+sp500_monthly!D696:D815)^(1/120)-1)*100</f>
        <v>1.1875360166402116</v>
      </c>
      <c r="E695" cm="1">
        <f t="array" ref="E695">(PRODUCT(1+sp500_monthly!E696:E815)^(1/120)-1)*100</f>
        <v>0.92116586473927065</v>
      </c>
      <c r="F695" cm="1">
        <f t="array" ref="F695">(PRODUCT(1+sp500_monthly!K696:K815)^(1/120)-1)*100</f>
        <v>0.85067522998254486</v>
      </c>
      <c r="G695" cm="1">
        <f t="array" ref="G695">(PRODUCT(1+sp500_monthly!L696:L815)^(1/120)-1)</f>
        <v>0.51797040995585464</v>
      </c>
      <c r="H695" cm="1">
        <f t="array" ref="H695">(PRODUCT(1+sp500_monthly!N696:N815)^(1/120)-1)*100</f>
        <v>0.84130849866959068</v>
      </c>
      <c r="I695" cm="1">
        <f t="array" ref="I695">(PRODUCT(1+sp500_monthly!O696:O815)^(1/120)-1)*100</f>
        <v>0.21982176969914669</v>
      </c>
    </row>
    <row r="696" spans="1:9" x14ac:dyDescent="0.35">
      <c r="A696" s="1">
        <v>34303</v>
      </c>
      <c r="B696" cm="1">
        <f t="array" ref="B696">(PRODUCT(1+sp500_monthly!B697:B816)^(1/120)-1)*100</f>
        <v>1.1783907632328727</v>
      </c>
      <c r="C696" cm="1">
        <f t="array" ref="C696">(PRODUCT(1+sp500_monthly!C697:C816)^(1/120)-1)*100</f>
        <v>0.87042080613688455</v>
      </c>
      <c r="D696" cm="1">
        <f t="array" ref="D696">(PRODUCT(1+sp500_monthly!D697:D816)^(1/120)-1)*100</f>
        <v>1.2199814157366484</v>
      </c>
      <c r="E696" cm="1">
        <f t="array" ref="E696">(PRODUCT(1+sp500_monthly!E697:E816)^(1/120)-1)*100</f>
        <v>0.95425893488341185</v>
      </c>
      <c r="F696" cm="1">
        <f t="array" ref="F696">(PRODUCT(1+sp500_monthly!K697:K816)^(1/120)-1)*100</f>
        <v>0.87967199635543558</v>
      </c>
      <c r="G696" cm="1">
        <f t="array" ref="G696">(PRODUCT(1+sp500_monthly!L697:L816)^(1/120)-1)</f>
        <v>0.51334181513097632</v>
      </c>
      <c r="H696" cm="1">
        <f t="array" ref="H696">(PRODUCT(1+sp500_monthly!N697:N816)^(1/120)-1)*100</f>
        <v>0.86881698446770184</v>
      </c>
      <c r="I696" cm="1">
        <f t="array" ref="I696">(PRODUCT(1+sp500_monthly!O697:O816)^(1/120)-1)*100</f>
        <v>0.21520597907658257</v>
      </c>
    </row>
    <row r="697" spans="1:9" x14ac:dyDescent="0.35">
      <c r="A697" s="1">
        <v>34334</v>
      </c>
      <c r="B697" cm="1">
        <f t="array" ref="B697">(PRODUCT(1+sp500_monthly!B698:B817)^(1/120)-1)*100</f>
        <v>1.151195309281694</v>
      </c>
      <c r="C697" cm="1">
        <f t="array" ref="C697">(PRODUCT(1+sp500_monthly!C698:C817)^(1/120)-1)*100</f>
        <v>0.84573445486413323</v>
      </c>
      <c r="D697" cm="1">
        <f t="array" ref="D697">(PRODUCT(1+sp500_monthly!D698:D817)^(1/120)-1)*100</f>
        <v>1.1738547936014143</v>
      </c>
      <c r="E697" cm="1">
        <f t="array" ref="E697">(PRODUCT(1+sp500_monthly!E698:E817)^(1/120)-1)*100</f>
        <v>0.9093354820444377</v>
      </c>
      <c r="F697" cm="1">
        <f t="array" ref="F697">(PRODUCT(1+sp500_monthly!K698:K817)^(1/120)-1)*100</f>
        <v>0.85422748484642597</v>
      </c>
      <c r="G697" cm="1">
        <f t="array" ref="G697">(PRODUCT(1+sp500_monthly!L698:L817)^(1/120)-1)</f>
        <v>0.50946903355743722</v>
      </c>
      <c r="H697" cm="1">
        <f t="array" ref="H697">(PRODUCT(1+sp500_monthly!N698:N817)^(1/120)-1)*100</f>
        <v>0.84189657843116716</v>
      </c>
      <c r="I697" cm="1">
        <f t="array" ref="I697">(PRODUCT(1+sp500_monthly!O698:O817)^(1/120)-1)*100</f>
        <v>0.21165637834525963</v>
      </c>
    </row>
    <row r="698" spans="1:9" x14ac:dyDescent="0.35">
      <c r="A698" s="1">
        <v>34365</v>
      </c>
      <c r="B698" cm="1">
        <f t="array" ref="B698">(PRODUCT(1+sp500_monthly!B699:B818)^(1/120)-1)*100</f>
        <v>1.1666492703457765</v>
      </c>
      <c r="C698" cm="1">
        <f t="array" ref="C698">(PRODUCT(1+sp500_monthly!C699:C818)^(1/120)-1)*100</f>
        <v>0.86195351165767597</v>
      </c>
      <c r="D698" cm="1">
        <f t="array" ref="D698">(PRODUCT(1+sp500_monthly!D699:D818)^(1/120)-1)*100</f>
        <v>1.2006346865529371</v>
      </c>
      <c r="E698" cm="1">
        <f t="array" ref="E698">(PRODUCT(1+sp500_monthly!E699:E818)^(1/120)-1)*100</f>
        <v>0.93696066096391473</v>
      </c>
      <c r="F698" cm="1">
        <f t="array" ref="F698">(PRODUCT(1+sp500_monthly!K699:K818)^(1/120)-1)*100</f>
        <v>0.87012477324996951</v>
      </c>
      <c r="G698" cm="1">
        <f t="array" ref="G698">(PRODUCT(1+sp500_monthly!L699:L818)^(1/120)-1)</f>
        <v>0.50518436936253952</v>
      </c>
      <c r="H698" cm="1">
        <f t="array" ref="H698">(PRODUCT(1+sp500_monthly!N699:N818)^(1/120)-1)*100</f>
        <v>0.85806835637378676</v>
      </c>
      <c r="I698" cm="1">
        <f t="array" ref="I698">(PRODUCT(1+sp500_monthly!O699:O818)^(1/120)-1)*100</f>
        <v>0.20826105942617357</v>
      </c>
    </row>
    <row r="699" spans="1:9" x14ac:dyDescent="0.35">
      <c r="A699" s="1">
        <v>34393</v>
      </c>
      <c r="B699" cm="1">
        <f t="array" ref="B699">(PRODUCT(1+sp500_monthly!B700:B819)^(1/120)-1)*100</f>
        <v>1.1976683609042915</v>
      </c>
      <c r="C699" cm="1">
        <f t="array" ref="C699">(PRODUCT(1+sp500_monthly!C700:C819)^(1/120)-1)*100</f>
        <v>0.89316431682275876</v>
      </c>
      <c r="D699" cm="1">
        <f t="array" ref="D699">(PRODUCT(1+sp500_monthly!D700:D819)^(1/120)-1)*100</f>
        <v>1.2431106511491929</v>
      </c>
      <c r="E699" cm="1">
        <f t="array" ref="E699">(PRODUCT(1+sp500_monthly!E700:E819)^(1/120)-1)*100</f>
        <v>0.9797907026995567</v>
      </c>
      <c r="F699" cm="1">
        <f t="array" ref="F699">(PRODUCT(1+sp500_monthly!K700:K819)^(1/120)-1)*100</f>
        <v>0.9047987379283029</v>
      </c>
      <c r="G699" cm="1">
        <f t="array" ref="G699">(PRODUCT(1+sp500_monthly!L700:L819)^(1/120)-1)</f>
        <v>0.50089857153861295</v>
      </c>
      <c r="H699" cm="1">
        <f t="array" ref="H699">(PRODUCT(1+sp500_monthly!N700:N819)^(1/120)-1)*100</f>
        <v>0.89477699212412443</v>
      </c>
      <c r="I699" cm="1">
        <f t="array" ref="I699">(PRODUCT(1+sp500_monthly!O700:O819)^(1/120)-1)*100</f>
        <v>0.20976857772041502</v>
      </c>
    </row>
    <row r="700" spans="1:9" x14ac:dyDescent="0.35">
      <c r="A700" s="1">
        <v>34424</v>
      </c>
      <c r="B700" cm="1">
        <f t="array" ref="B700">(PRODUCT(1+sp500_monthly!B701:B820)^(1/120)-1)*100</f>
        <v>1.2036476027203369</v>
      </c>
      <c r="C700" cm="1">
        <f t="array" ref="C700">(PRODUCT(1+sp500_monthly!C701:C820)^(1/120)-1)*100</f>
        <v>0.90133913396583942</v>
      </c>
      <c r="D700" cm="1">
        <f t="array" ref="D700">(PRODUCT(1+sp500_monthly!D701:D820)^(1/120)-1)*100</f>
        <v>1.2693066441414436</v>
      </c>
      <c r="E700" cm="1">
        <f t="array" ref="E700">(PRODUCT(1+sp500_monthly!E701:E820)^(1/120)-1)*100</f>
        <v>1.0073563573252509</v>
      </c>
      <c r="F700" cm="1">
        <f t="array" ref="F700">(PRODUCT(1+sp500_monthly!K701:K820)^(1/120)-1)*100</f>
        <v>0.91247499104338825</v>
      </c>
      <c r="G700" cm="1">
        <f t="array" ref="G700">(PRODUCT(1+sp500_monthly!L701:L820)^(1/120)-1)</f>
        <v>0.49657879735124189</v>
      </c>
      <c r="H700" cm="1">
        <f t="array" ref="H700">(PRODUCT(1+sp500_monthly!N701:N820)^(1/120)-1)*100</f>
        <v>0.90255022046119571</v>
      </c>
      <c r="I700" cm="1">
        <f t="array" ref="I700">(PRODUCT(1+sp500_monthly!O701:O820)^(1/120)-1)*100</f>
        <v>0.20741176759044855</v>
      </c>
    </row>
    <row r="701" spans="1:9" x14ac:dyDescent="0.35">
      <c r="A701" s="1">
        <v>34453</v>
      </c>
      <c r="B701" cm="1">
        <f t="array" ref="B701">(PRODUCT(1+sp500_monthly!B702:B821)^(1/120)-1)*100</f>
        <v>1.151730267712292</v>
      </c>
      <c r="C701" cm="1">
        <f t="array" ref="C701">(PRODUCT(1+sp500_monthly!C702:C821)^(1/120)-1)*100</f>
        <v>0.8505419228785227</v>
      </c>
      <c r="D701" cm="1">
        <f t="array" ref="D701">(PRODUCT(1+sp500_monthly!D702:D821)^(1/120)-1)*100</f>
        <v>1.212799325963565</v>
      </c>
      <c r="E701" cm="1">
        <f t="array" ref="E701">(PRODUCT(1+sp500_monthly!E702:E821)^(1/120)-1)*100</f>
        <v>0.95199647608787963</v>
      </c>
      <c r="F701" cm="1">
        <f t="array" ref="F701">(PRODUCT(1+sp500_monthly!K702:K821)^(1/120)-1)*100</f>
        <v>0.86183543351698866</v>
      </c>
      <c r="G701" cm="1">
        <f t="array" ref="G701">(PRODUCT(1+sp500_monthly!L702:L821)^(1/120)-1)</f>
        <v>0.49272876429993295</v>
      </c>
      <c r="H701" cm="1">
        <f t="array" ref="H701">(PRODUCT(1+sp500_monthly!N702:N821)^(1/120)-1)*100</f>
        <v>0.85095271623982782</v>
      </c>
      <c r="I701" cm="1">
        <f t="array" ref="I701">(PRODUCT(1+sp500_monthly!O702:O821)^(1/120)-1)*100</f>
        <v>0.2037539675634914</v>
      </c>
    </row>
    <row r="702" spans="1:9" x14ac:dyDescent="0.35">
      <c r="A702" s="1">
        <v>34485</v>
      </c>
      <c r="B702" cm="1">
        <f t="array" ref="B702">(PRODUCT(1+sp500_monthly!B703:B822)^(1/120)-1)*100</f>
        <v>1.1567689673983805</v>
      </c>
      <c r="C702" cm="1">
        <f t="array" ref="C702">(PRODUCT(1+sp500_monthly!C703:C822)^(1/120)-1)*100</f>
        <v>0.85574952767595303</v>
      </c>
      <c r="D702" cm="1">
        <f t="array" ref="D702">(PRODUCT(1+sp500_monthly!D703:D822)^(1/120)-1)*100</f>
        <v>1.2241573673837491</v>
      </c>
      <c r="E702" cm="1">
        <f t="array" ref="E702">(PRODUCT(1+sp500_monthly!E703:E822)^(1/120)-1)*100</f>
        <v>0.96393318832970198</v>
      </c>
      <c r="F702" cm="1">
        <f t="array" ref="F702">(PRODUCT(1+sp500_monthly!K703:K822)^(1/120)-1)*100</f>
        <v>0.8668903427420549</v>
      </c>
      <c r="G702" cm="1">
        <f t="array" ref="G702">(PRODUCT(1+sp500_monthly!L703:L822)^(1/120)-1)</f>
        <v>0.48832785913161647</v>
      </c>
      <c r="H702" cm="1">
        <f t="array" ref="H702">(PRODUCT(1+sp500_monthly!N703:N822)^(1/120)-1)*100</f>
        <v>0.85866609171205699</v>
      </c>
      <c r="I702" cm="1">
        <f t="array" ref="I702">(PRODUCT(1+sp500_monthly!O703:O822)^(1/120)-1)*100</f>
        <v>0.20194125218091497</v>
      </c>
    </row>
    <row r="703" spans="1:9" x14ac:dyDescent="0.35">
      <c r="A703" s="1">
        <v>34515</v>
      </c>
      <c r="B703" cm="1">
        <f t="array" ref="B703">(PRODUCT(1+sp500_monthly!B704:B823)^(1/120)-1)*100</f>
        <v>1.216445423107837</v>
      </c>
      <c r="C703" cm="1">
        <f t="array" ref="C703">(PRODUCT(1+sp500_monthly!C704:C823)^(1/120)-1)*100</f>
        <v>0.91785477263139903</v>
      </c>
      <c r="D703" cm="1">
        <f t="array" ref="D703">(PRODUCT(1+sp500_monthly!D704:D823)^(1/120)-1)*100</f>
        <v>1.2854194936256835</v>
      </c>
      <c r="E703" cm="1">
        <f t="array" ref="E703">(PRODUCT(1+sp500_monthly!E704:E823)^(1/120)-1)*100</f>
        <v>1.0263795714620327</v>
      </c>
      <c r="F703" cm="1">
        <f t="array" ref="F703">(PRODUCT(1+sp500_monthly!K704:K823)^(1/120)-1)*100</f>
        <v>0.9287180337264056</v>
      </c>
      <c r="G703" cm="1">
        <f t="array" ref="G703">(PRODUCT(1+sp500_monthly!L704:L823)^(1/120)-1)</f>
        <v>0.48453020562340332</v>
      </c>
      <c r="H703" cm="1">
        <f t="array" ref="H703">(PRODUCT(1+sp500_monthly!N704:N823)^(1/120)-1)*100</f>
        <v>0.91808112873559278</v>
      </c>
      <c r="I703" cm="1">
        <f t="array" ref="I703">(PRODUCT(1+sp500_monthly!O704:O823)^(1/120)-1)*100</f>
        <v>0.1979530727904466</v>
      </c>
    </row>
    <row r="704" spans="1:9" x14ac:dyDescent="0.35">
      <c r="A704" s="1">
        <v>34544</v>
      </c>
      <c r="B704" cm="1">
        <f t="array" ref="B704">(PRODUCT(1+sp500_monthly!B705:B824)^(1/120)-1)*100</f>
        <v>1.1761763446967555</v>
      </c>
      <c r="C704" cm="1">
        <f t="array" ref="C704">(PRODUCT(1+sp500_monthly!C705:C824)^(1/120)-1)*100</f>
        <v>0.87915727119405318</v>
      </c>
      <c r="D704" cm="1">
        <f t="array" ref="D704">(PRODUCT(1+sp500_monthly!D705:D824)^(1/120)-1)*100</f>
        <v>1.2404821765208407</v>
      </c>
      <c r="E704" cm="1">
        <f t="array" ref="E704">(PRODUCT(1+sp500_monthly!E705:E824)^(1/120)-1)*100</f>
        <v>0.98299647808972601</v>
      </c>
      <c r="F704" cm="1">
        <f t="array" ref="F704">(PRODUCT(1+sp500_monthly!K705:K824)^(1/120)-1)*100</f>
        <v>0.89130046006902219</v>
      </c>
      <c r="G704" cm="1">
        <f t="array" ref="G704">(PRODUCT(1+sp500_monthly!L705:L824)^(1/120)-1)</f>
        <v>0.48095199906662067</v>
      </c>
      <c r="H704" cm="1">
        <f t="array" ref="H704">(PRODUCT(1+sp500_monthly!N705:N824)^(1/120)-1)*100</f>
        <v>0.87727699118587132</v>
      </c>
      <c r="I704" cm="1">
        <f t="array" ref="I704">(PRODUCT(1+sp500_monthly!O705:O824)^(1/120)-1)*100</f>
        <v>0.19364924453146859</v>
      </c>
    </row>
    <row r="705" spans="1:9" x14ac:dyDescent="0.35">
      <c r="A705" s="1">
        <v>34577</v>
      </c>
      <c r="B705" cm="1">
        <f t="array" ref="B705">(PRODUCT(1+sp500_monthly!B706:B825)^(1/120)-1)*100</f>
        <v>1.2150109159216882</v>
      </c>
      <c r="C705" cm="1">
        <f t="array" ref="C705">(PRODUCT(1+sp500_monthly!C706:C825)^(1/120)-1)*100</f>
        <v>0.91839284569990021</v>
      </c>
      <c r="D705" cm="1">
        <f t="array" ref="D705">(PRODUCT(1+sp500_monthly!D706:D825)^(1/120)-1)*100</f>
        <v>1.2937124507316877</v>
      </c>
      <c r="E705" cm="1">
        <f t="array" ref="E705">(PRODUCT(1+sp500_monthly!E706:E825)^(1/120)-1)*100</f>
        <v>1.0368490687077792</v>
      </c>
      <c r="F705" cm="1">
        <f t="array" ref="F705">(PRODUCT(1+sp500_monthly!K706:K825)^(1/120)-1)*100</f>
        <v>0.93130328147814634</v>
      </c>
      <c r="G705" cm="1">
        <f t="array" ref="G705">(PRODUCT(1+sp500_monthly!L706:L825)^(1/120)-1)</f>
        <v>0.47661452847793684</v>
      </c>
      <c r="H705" cm="1">
        <f t="array" ref="H705">(PRODUCT(1+sp500_monthly!N706:N825)^(1/120)-1)*100</f>
        <v>0.91639621083603462</v>
      </c>
      <c r="I705" cm="1">
        <f t="array" ref="I705">(PRODUCT(1+sp500_monthly!O706:O825)^(1/120)-1)*100</f>
        <v>0.18956178104123644</v>
      </c>
    </row>
    <row r="706" spans="1:9" x14ac:dyDescent="0.35">
      <c r="A706" s="1">
        <v>34607</v>
      </c>
      <c r="B706" cm="1">
        <f t="array" ref="B706">(PRODUCT(1+sp500_monthly!B707:B826)^(1/120)-1)*100</f>
        <v>1.1593202861104768</v>
      </c>
      <c r="C706" cm="1">
        <f t="array" ref="C706">(PRODUCT(1+sp500_monthly!C707:C826)^(1/120)-1)*100</f>
        <v>0.86522252791687571</v>
      </c>
      <c r="D706" cm="1">
        <f t="array" ref="D706">(PRODUCT(1+sp500_monthly!D707:D826)^(1/120)-1)*100</f>
        <v>1.2348438636850201</v>
      </c>
      <c r="E706" cm="1">
        <f t="array" ref="E706">(PRODUCT(1+sp500_monthly!E707:E826)^(1/120)-1)*100</f>
        <v>0.9793734006477095</v>
      </c>
      <c r="F706" cm="1">
        <f t="array" ref="F706">(PRODUCT(1+sp500_monthly!K707:K826)^(1/120)-1)*100</f>
        <v>0.87740501687203487</v>
      </c>
      <c r="G706" cm="1">
        <f t="array" ref="G706">(PRODUCT(1+sp500_monthly!L707:L826)^(1/120)-1)</f>
        <v>0.47305642537410253</v>
      </c>
      <c r="H706" cm="1">
        <f t="array" ref="H706">(PRODUCT(1+sp500_monthly!N707:N826)^(1/120)-1)*100</f>
        <v>0.85989719146253307</v>
      </c>
      <c r="I706" cm="1">
        <f t="array" ref="I706">(PRODUCT(1+sp500_monthly!O707:O826)^(1/120)-1)*100</f>
        <v>0.1847779706144026</v>
      </c>
    </row>
    <row r="707" spans="1:9" x14ac:dyDescent="0.35">
      <c r="A707" s="1">
        <v>34638</v>
      </c>
      <c r="B707" cm="1">
        <f t="array" ref="B707">(PRODUCT(1+sp500_monthly!B708:B827)^(1/120)-1)*100</f>
        <v>1.1389495104083602</v>
      </c>
      <c r="C707" cm="1">
        <f t="array" ref="C707">(PRODUCT(1+sp500_monthly!C708:C827)^(1/120)-1)*100</f>
        <v>0.8456473891727212</v>
      </c>
      <c r="D707" cm="1">
        <f t="array" ref="D707">(PRODUCT(1+sp500_monthly!D708:D827)^(1/120)-1)*100</f>
        <v>1.2096834679820256</v>
      </c>
      <c r="E707" cm="1">
        <f t="array" ref="E707">(PRODUCT(1+sp500_monthly!E708:E827)^(1/120)-1)*100</f>
        <v>0.95518612603227027</v>
      </c>
      <c r="F707" cm="1">
        <f t="array" ref="F707">(PRODUCT(1+sp500_monthly!K708:K827)^(1/120)-1)*100</f>
        <v>0.85741620406072361</v>
      </c>
      <c r="G707" cm="1">
        <f t="array" ref="G707">(PRODUCT(1+sp500_monthly!L708:L827)^(1/120)-1)</f>
        <v>0.46930778493014658</v>
      </c>
      <c r="H707" cm="1">
        <f t="array" ref="H707">(PRODUCT(1+sp500_monthly!N708:N827)^(1/120)-1)*100</f>
        <v>0.84030775399919211</v>
      </c>
      <c r="I707" cm="1">
        <f t="array" ref="I707">(PRODUCT(1+sp500_monthly!O708:O827)^(1/120)-1)*100</f>
        <v>0.1814285030114382</v>
      </c>
    </row>
    <row r="708" spans="1:9" x14ac:dyDescent="0.35">
      <c r="A708" s="1">
        <v>34668</v>
      </c>
      <c r="B708" cm="1">
        <f t="array" ref="B708">(PRODUCT(1+sp500_monthly!B709:B828)^(1/120)-1)*100</f>
        <v>1.1550019170076364</v>
      </c>
      <c r="C708" cm="1">
        <f t="array" ref="C708">(PRODUCT(1+sp500_monthly!C709:C828)^(1/120)-1)*100</f>
        <v>0.86296800472080992</v>
      </c>
      <c r="D708" cm="1">
        <f t="array" ref="D708">(PRODUCT(1+sp500_monthly!D709:D828)^(1/120)-1)*100</f>
        <v>1.2192353174621973</v>
      </c>
      <c r="E708" cm="1">
        <f t="array" ref="E708">(PRODUCT(1+sp500_monthly!E709:E828)^(1/120)-1)*100</f>
        <v>0.96540475921251812</v>
      </c>
      <c r="F708" cm="1">
        <f t="array" ref="F708">(PRODUCT(1+sp500_monthly!K709:K828)^(1/120)-1)*100</f>
        <v>0.87479874784108791</v>
      </c>
      <c r="G708" cm="1">
        <f t="array" ref="G708">(PRODUCT(1+sp500_monthly!L709:L828)^(1/120)-1)</f>
        <v>0.46477141259257171</v>
      </c>
      <c r="H708" cm="1">
        <f t="array" ref="H708">(PRODUCT(1+sp500_monthly!N709:N828)^(1/120)-1)*100</f>
        <v>0.8589548882303788</v>
      </c>
      <c r="I708" cm="1">
        <f t="array" ref="I708">(PRODUCT(1+sp500_monthly!O709:O828)^(1/120)-1)*100</f>
        <v>0.17891236051847947</v>
      </c>
    </row>
    <row r="709" spans="1:9" x14ac:dyDescent="0.35">
      <c r="A709" s="1">
        <v>34698</v>
      </c>
      <c r="B709" cm="1">
        <f t="array" ref="B709">(PRODUCT(1+sp500_monthly!B710:B829)^(1/120)-1)*100</f>
        <v>1.1322180241588375</v>
      </c>
      <c r="C709" cm="1">
        <f t="array" ref="C709">(PRODUCT(1+sp500_monthly!C710:C829)^(1/120)-1)*100</f>
        <v>0.84182408504280826</v>
      </c>
      <c r="D709" cm="1">
        <f t="array" ref="D709">(PRODUCT(1+sp500_monthly!D710:D829)^(1/120)-1)*100</f>
        <v>1.1843501565403258</v>
      </c>
      <c r="E709" cm="1">
        <f t="array" ref="E709">(PRODUCT(1+sp500_monthly!E710:E829)^(1/120)-1)*100</f>
        <v>0.93157325356434395</v>
      </c>
      <c r="F709" cm="1">
        <f t="array" ref="F709">(PRODUCT(1+sp500_monthly!K710:K829)^(1/120)-1)*100</f>
        <v>0.85371883014240257</v>
      </c>
      <c r="G709" cm="1">
        <f t="array" ref="G709">(PRODUCT(1+sp500_monthly!L710:L829)^(1/120)-1)</f>
        <v>0.46192628933119217</v>
      </c>
      <c r="H709" cm="1">
        <f t="array" ref="H709">(PRODUCT(1+sp500_monthly!N710:N829)^(1/120)-1)*100</f>
        <v>0.83558841302977527</v>
      </c>
      <c r="I709" cm="1">
        <f t="array" ref="I709">(PRODUCT(1+sp500_monthly!O710:O829)^(1/120)-1)*100</f>
        <v>0.17527846204798969</v>
      </c>
    </row>
    <row r="710" spans="1:9" x14ac:dyDescent="0.35">
      <c r="A710" s="1">
        <v>34730</v>
      </c>
      <c r="B710" cm="1">
        <f t="array" ref="B710">(PRODUCT(1+sp500_monthly!B711:B830)^(1/120)-1)*100</f>
        <v>1.1234615094584122</v>
      </c>
      <c r="C710" cm="1">
        <f t="array" ref="C710">(PRODUCT(1+sp500_monthly!C711:C830)^(1/120)-1)*100</f>
        <v>0.83403826835812822</v>
      </c>
      <c r="D710" cm="1">
        <f t="array" ref="D710">(PRODUCT(1+sp500_monthly!D711:D830)^(1/120)-1)*100</f>
        <v>1.1775981759458043</v>
      </c>
      <c r="E710" cm="1">
        <f t="array" ref="E710">(PRODUCT(1+sp500_monthly!E711:E830)^(1/120)-1)*100</f>
        <v>0.9257892513163446</v>
      </c>
      <c r="F710" cm="1">
        <f t="array" ref="F710">(PRODUCT(1+sp500_monthly!K711:K830)^(1/120)-1)*100</f>
        <v>0.84539589082841538</v>
      </c>
      <c r="G710" cm="1">
        <f t="array" ref="G710">(PRODUCT(1+sp500_monthly!L711:L830)^(1/120)-1)</f>
        <v>0.46034274686227472</v>
      </c>
      <c r="H710" cm="1">
        <f t="array" ref="H710">(PRODUCT(1+sp500_monthly!N711:N830)^(1/120)-1)*100</f>
        <v>0.82677092652951867</v>
      </c>
      <c r="I710" cm="1">
        <f t="array" ref="I710">(PRODUCT(1+sp500_monthly!O711:O830)^(1/120)-1)*100</f>
        <v>0.17353176064618392</v>
      </c>
    </row>
    <row r="711" spans="1:9" x14ac:dyDescent="0.35">
      <c r="A711" s="1">
        <v>34758</v>
      </c>
      <c r="B711" cm="1">
        <f t="array" ref="B711">(PRODUCT(1+sp500_monthly!B712:B831)^(1/120)-1)*100</f>
        <v>1.0826924682937999</v>
      </c>
      <c r="C711" cm="1">
        <f t="array" ref="C711">(PRODUCT(1+sp500_monthly!C712:C831)^(1/120)-1)*100</f>
        <v>0.79369619873508324</v>
      </c>
      <c r="D711" cm="1">
        <f t="array" ref="D711">(PRODUCT(1+sp500_monthly!D712:D831)^(1/120)-1)*100</f>
        <v>1.1189614556301297</v>
      </c>
      <c r="E711" cm="1">
        <f t="array" ref="E711">(PRODUCT(1+sp500_monthly!E712:E831)^(1/120)-1)*100</f>
        <v>0.86758232992907303</v>
      </c>
      <c r="F711" cm="1">
        <f t="array" ref="F711">(PRODUCT(1+sp500_monthly!K712:K831)^(1/120)-1)*100</f>
        <v>0.80550164562755988</v>
      </c>
      <c r="G711" cm="1">
        <f t="array" ref="G711">(PRODUCT(1+sp500_monthly!L712:L831)^(1/120)-1)</f>
        <v>0.4585170195773014</v>
      </c>
      <c r="H711" cm="1">
        <f t="array" ref="H711">(PRODUCT(1+sp500_monthly!N712:N831)^(1/120)-1)*100</f>
        <v>0.78547696957198543</v>
      </c>
      <c r="I711" cm="1">
        <f t="array" ref="I711">(PRODUCT(1+sp500_monthly!O712:O831)^(1/120)-1)*100</f>
        <v>0.17098140248379412</v>
      </c>
    </row>
    <row r="712" spans="1:9" x14ac:dyDescent="0.35">
      <c r="A712" s="1">
        <v>34789</v>
      </c>
      <c r="B712" cm="1">
        <f t="array" ref="B712">(PRODUCT(1+sp500_monthly!B713:B832)^(1/120)-1)*100</f>
        <v>1.1032577531426391</v>
      </c>
      <c r="C712" cm="1">
        <f t="array" ref="C712">(PRODUCT(1+sp500_monthly!C713:C832)^(1/120)-1)*100</f>
        <v>0.81624034288689806</v>
      </c>
      <c r="D712" cm="1">
        <f t="array" ref="D712">(PRODUCT(1+sp500_monthly!D713:D832)^(1/120)-1)*100</f>
        <v>1.1474834049013394</v>
      </c>
      <c r="E712" cm="1">
        <f t="array" ref="E712">(PRODUCT(1+sp500_monthly!E713:E832)^(1/120)-1)*100</f>
        <v>0.8969828876989494</v>
      </c>
      <c r="F712" cm="1">
        <f t="array" ref="F712">(PRODUCT(1+sp500_monthly!K713:K832)^(1/120)-1)*100</f>
        <v>0.82800988312037305</v>
      </c>
      <c r="G712" cm="1">
        <f t="array" ref="G712">(PRODUCT(1+sp500_monthly!L713:L832)^(1/120)-1)</f>
        <v>0.45704766487075954</v>
      </c>
      <c r="H712" cm="1">
        <f t="array" ref="H712">(PRODUCT(1+sp500_monthly!N713:N832)^(1/120)-1)*100</f>
        <v>0.80850710051987296</v>
      </c>
      <c r="I712" cm="1">
        <f t="array" ref="I712">(PRODUCT(1+sp500_monthly!O713:O832)^(1/120)-1)*100</f>
        <v>0.17199554481086565</v>
      </c>
    </row>
    <row r="713" spans="1:9" x14ac:dyDescent="0.35">
      <c r="A713" s="1">
        <v>34817</v>
      </c>
      <c r="B713" cm="1">
        <f t="array" ref="B713">(PRODUCT(1+sp500_monthly!B714:B833)^(1/120)-1)*100</f>
        <v>1.1281559736161961</v>
      </c>
      <c r="C713" cm="1">
        <f t="array" ref="C713">(PRODUCT(1+sp500_monthly!C714:C833)^(1/120)-1)*100</f>
        <v>0.84212332067938878</v>
      </c>
      <c r="D713" cm="1">
        <f t="array" ref="D713">(PRODUCT(1+sp500_monthly!D714:D833)^(1/120)-1)*100</f>
        <v>1.174991631328548</v>
      </c>
      <c r="E713" cm="1">
        <f t="array" ref="E713">(PRODUCT(1+sp500_monthly!E714:E833)^(1/120)-1)*100</f>
        <v>0.92548569008943371</v>
      </c>
      <c r="F713" cm="1">
        <f t="array" ref="F713">(PRODUCT(1+sp500_monthly!K714:K833)^(1/120)-1)*100</f>
        <v>0.85312886239448105</v>
      </c>
      <c r="G713" cm="1">
        <f t="array" ref="G713">(PRODUCT(1+sp500_monthly!L714:L833)^(1/120)-1)</f>
        <v>0.4557855620630249</v>
      </c>
      <c r="H713" cm="1">
        <f t="array" ref="H713">(PRODUCT(1+sp500_monthly!N714:N833)^(1/120)-1)*100</f>
        <v>0.83560700789118147</v>
      </c>
      <c r="I713" cm="1">
        <f t="array" ref="I713">(PRODUCT(1+sp500_monthly!O714:O833)^(1/120)-1)*100</f>
        <v>0.17292642784472179</v>
      </c>
    </row>
    <row r="714" spans="1:9" x14ac:dyDescent="0.35">
      <c r="A714" s="1">
        <v>34850</v>
      </c>
      <c r="B714" cm="1">
        <f t="array" ref="B714">(PRODUCT(1+sp500_monthly!B715:B834)^(1/120)-1)*100</f>
        <v>1.1557020855507361</v>
      </c>
      <c r="C714" cm="1">
        <f t="array" ref="C714">(PRODUCT(1+sp500_monthly!C715:C834)^(1/120)-1)*100</f>
        <v>0.86982443011796029</v>
      </c>
      <c r="D714" cm="1">
        <f t="array" ref="D714">(PRODUCT(1+sp500_monthly!D715:D834)^(1/120)-1)*100</f>
        <v>1.2046843303443966</v>
      </c>
      <c r="E714" cm="1">
        <f t="array" ref="E714">(PRODUCT(1+sp500_monthly!E715:E834)^(1/120)-1)*100</f>
        <v>0.95547708730301384</v>
      </c>
      <c r="F714" cm="1">
        <f t="array" ref="F714">(PRODUCT(1+sp500_monthly!K715:K834)^(1/120)-1)*100</f>
        <v>0.88017864313343352</v>
      </c>
      <c r="G714" cm="1">
        <f t="array" ref="G714">(PRODUCT(1+sp500_monthly!L715:L834)^(1/120)-1)</f>
        <v>0.45363160967259897</v>
      </c>
      <c r="H714" cm="1">
        <f t="array" ref="H714">(PRODUCT(1+sp500_monthly!N715:N834)^(1/120)-1)*100</f>
        <v>0.86131717562472065</v>
      </c>
      <c r="I714" cm="1">
        <f t="array" ref="I714">(PRODUCT(1+sp500_monthly!O715:O834)^(1/120)-1)*100</f>
        <v>0.16885836375413188</v>
      </c>
    </row>
    <row r="715" spans="1:9" x14ac:dyDescent="0.35">
      <c r="A715" s="1">
        <v>34880</v>
      </c>
      <c r="B715" cm="1">
        <f t="array" ref="B715">(PRODUCT(1+sp500_monthly!B716:B835)^(1/120)-1)*100</f>
        <v>1.1373158112519155</v>
      </c>
      <c r="C715" cm="1">
        <f t="array" ref="C715">(PRODUCT(1+sp500_monthly!C716:C835)^(1/120)-1)*100</f>
        <v>0.85344729491443339</v>
      </c>
      <c r="D715" cm="1">
        <f t="array" ref="D715">(PRODUCT(1+sp500_monthly!D716:D835)^(1/120)-1)*100</f>
        <v>1.1798257219631347</v>
      </c>
      <c r="E715" cm="1">
        <f t="array" ref="E715">(PRODUCT(1+sp500_monthly!E716:E835)^(1/120)-1)*100</f>
        <v>0.93139909837103296</v>
      </c>
      <c r="F715" cm="1">
        <f t="array" ref="F715">(PRODUCT(1+sp500_monthly!K716:K835)^(1/120)-1)*100</f>
        <v>0.86591134524103275</v>
      </c>
      <c r="G715" cm="1">
        <f t="array" ref="G715">(PRODUCT(1+sp500_monthly!L716:L835)^(1/120)-1)</f>
        <v>0.45272294780788647</v>
      </c>
      <c r="H715" cm="1">
        <f t="array" ref="H715">(PRODUCT(1+sp500_monthly!N716:N835)^(1/120)-1)*100</f>
        <v>0.8428945581821834</v>
      </c>
      <c r="I715" cm="1">
        <f t="array" ref="I715">(PRODUCT(1+sp500_monthly!O716:O835)^(1/120)-1)*100</f>
        <v>0.16777340465359281</v>
      </c>
    </row>
    <row r="716" spans="1:9" x14ac:dyDescent="0.35">
      <c r="A716" s="1">
        <v>34911</v>
      </c>
      <c r="B716" cm="1">
        <f t="array" ref="B716">(PRODUCT(1+sp500_monthly!B717:B836)^(1/120)-1)*100</f>
        <v>1.143999994089917</v>
      </c>
      <c r="C716" cm="1">
        <f t="array" ref="C716">(PRODUCT(1+sp500_monthly!C717:C836)^(1/120)-1)*100</f>
        <v>0.86110658627833736</v>
      </c>
      <c r="D716" cm="1">
        <f t="array" ref="D716">(PRODUCT(1+sp500_monthly!D717:D836)^(1/120)-1)*100</f>
        <v>1.1891649643728019</v>
      </c>
      <c r="E716" cm="1">
        <f t="array" ref="E716">(PRODUCT(1+sp500_monthly!E717:E836)^(1/120)-1)*100</f>
        <v>0.94176441541329314</v>
      </c>
      <c r="F716" cm="1">
        <f t="array" ref="F716">(PRODUCT(1+sp500_monthly!K717:K836)^(1/120)-1)*100</f>
        <v>0.87347219285816013</v>
      </c>
      <c r="G716" cm="1">
        <f t="array" ref="G716">(PRODUCT(1+sp500_monthly!L717:L836)^(1/120)-1)</f>
        <v>0.45208156056638349</v>
      </c>
      <c r="H716" cm="1">
        <f t="array" ref="H716">(PRODUCT(1+sp500_monthly!N717:N836)^(1/120)-1)*100</f>
        <v>0.85025191557048796</v>
      </c>
      <c r="I716" cm="1">
        <f t="array" ref="I716">(PRODUCT(1+sp500_monthly!O717:O836)^(1/120)-1)*100</f>
        <v>0.1677969559356951</v>
      </c>
    </row>
    <row r="717" spans="1:9" x14ac:dyDescent="0.35">
      <c r="A717" s="1">
        <v>34942</v>
      </c>
      <c r="B717" cm="1">
        <f t="array" ref="B717">(PRODUCT(1+sp500_monthly!B718:B837)^(1/120)-1)*100</f>
        <v>1.1745043151480949</v>
      </c>
      <c r="C717" cm="1">
        <f t="array" ref="C717">(PRODUCT(1+sp500_monthly!C718:C837)^(1/120)-1)*100</f>
        <v>0.89201659717048631</v>
      </c>
      <c r="D717" cm="1">
        <f t="array" ref="D717">(PRODUCT(1+sp500_monthly!D718:D837)^(1/120)-1)*100</f>
        <v>1.2090075359643571</v>
      </c>
      <c r="E717" cm="1">
        <f t="array" ref="E717">(PRODUCT(1+sp500_monthly!E718:E837)^(1/120)-1)*100</f>
        <v>0.96205143703991247</v>
      </c>
      <c r="F717" cm="1">
        <f t="array" ref="F717">(PRODUCT(1+sp500_monthly!K718:K837)^(1/120)-1)*100</f>
        <v>0.90385765484941594</v>
      </c>
      <c r="G717" cm="1">
        <f t="array" ref="G717">(PRODUCT(1+sp500_monthly!L718:L837)^(1/120)-1)</f>
        <v>0.45074066733401885</v>
      </c>
      <c r="H717" cm="1">
        <f t="array" ref="H717">(PRODUCT(1+sp500_monthly!N718:N837)^(1/120)-1)*100</f>
        <v>0.88112771244015509</v>
      </c>
      <c r="I717" cm="1">
        <f t="array" ref="I717">(PRODUCT(1+sp500_monthly!O718:O837)^(1/120)-1)*100</f>
        <v>0.16684228391248279</v>
      </c>
    </row>
    <row r="718" spans="1:9" x14ac:dyDescent="0.35">
      <c r="A718" s="1">
        <v>34971</v>
      </c>
      <c r="B718" cm="1">
        <f t="array" ref="B718">(PRODUCT(1+sp500_monthly!B719:B838)^(1/120)-1)*100</f>
        <v>1.1829273783043659</v>
      </c>
      <c r="C718" cm="1">
        <f t="array" ref="C718">(PRODUCT(1+sp500_monthly!C719:C838)^(1/120)-1)*100</f>
        <v>0.90259720751086903</v>
      </c>
      <c r="D718" cm="1">
        <f t="array" ref="D718">(PRODUCT(1+sp500_monthly!D719:D838)^(1/120)-1)*100</f>
        <v>1.2225929495155441</v>
      </c>
      <c r="E718" cm="1">
        <f t="array" ref="E718">(PRODUCT(1+sp500_monthly!E719:E838)^(1/120)-1)*100</f>
        <v>0.97660074732222046</v>
      </c>
      <c r="F718" cm="1">
        <f t="array" ref="F718">(PRODUCT(1+sp500_monthly!K719:K838)^(1/120)-1)*100</f>
        <v>0.913736179796798</v>
      </c>
      <c r="G718" cm="1">
        <f t="array" ref="G718">(PRODUCT(1+sp500_monthly!L719:L838)^(1/120)-1)</f>
        <v>0.45010015528307235</v>
      </c>
      <c r="H718" cm="1">
        <f t="array" ref="H718">(PRODUCT(1+sp500_monthly!N719:N838)^(1/120)-1)*100</f>
        <v>0.88943495708120324</v>
      </c>
      <c r="I718" cm="1">
        <f t="array" ref="I718">(PRODUCT(1+sp500_monthly!O719:O838)^(1/120)-1)*100</f>
        <v>0.16608715670833885</v>
      </c>
    </row>
    <row r="719" spans="1:9" x14ac:dyDescent="0.35">
      <c r="A719" s="1">
        <v>35003</v>
      </c>
      <c r="B719" cm="1">
        <f t="array" ref="B719">(PRODUCT(1+sp500_monthly!B720:B839)^(1/120)-1)*100</f>
        <v>1.2462312816148735</v>
      </c>
      <c r="C719" cm="1">
        <f t="array" ref="C719">(PRODUCT(1+sp500_monthly!C720:C839)^(1/120)-1)*100</f>
        <v>0.96674460362178305</v>
      </c>
      <c r="D719" cm="1">
        <f t="array" ref="D719">(PRODUCT(1+sp500_monthly!D720:D839)^(1/120)-1)*100</f>
        <v>1.2820732288031156</v>
      </c>
      <c r="E719" cm="1">
        <f t="array" ref="E719">(PRODUCT(1+sp500_monthly!E720:E839)^(1/120)-1)*100</f>
        <v>1.0368572819957178</v>
      </c>
      <c r="F719" cm="1">
        <f t="array" ref="F719">(PRODUCT(1+sp500_monthly!K720:K839)^(1/120)-1)*100</f>
        <v>0.97653763648986036</v>
      </c>
      <c r="G719" cm="1">
        <f t="array" ref="G719">(PRODUCT(1+sp500_monthly!L720:L839)^(1/120)-1)</f>
        <v>0.44874338566413718</v>
      </c>
      <c r="H719" cm="1">
        <f t="array" ref="H719">(PRODUCT(1+sp500_monthly!N720:N839)^(1/120)-1)*100</f>
        <v>0.95301345041931551</v>
      </c>
      <c r="I719" cm="1">
        <f t="array" ref="I719">(PRODUCT(1+sp500_monthly!O720:O839)^(1/120)-1)*100</f>
        <v>0.16513005127340996</v>
      </c>
    </row>
    <row r="720" spans="1:9" x14ac:dyDescent="0.35">
      <c r="A720" s="1">
        <v>35033</v>
      </c>
      <c r="B720" cm="1">
        <f t="array" ref="B720">(PRODUCT(1+sp500_monthly!B721:B840)^(1/120)-1)*100</f>
        <v>1.2061284913073234</v>
      </c>
      <c r="C720" cm="1">
        <f t="array" ref="C720">(PRODUCT(1+sp500_monthly!C721:C840)^(1/120)-1)*100</f>
        <v>0.92750620893211622</v>
      </c>
      <c r="D720" cm="1">
        <f t="array" ref="D720">(PRODUCT(1+sp500_monthly!D721:D840)^(1/120)-1)*100</f>
        <v>1.2262953342424998</v>
      </c>
      <c r="E720" cm="1">
        <f t="array" ref="E720">(PRODUCT(1+sp500_monthly!E721:E840)^(1/120)-1)*100</f>
        <v>0.98169840081880899</v>
      </c>
      <c r="F720" cm="1">
        <f t="array" ref="F720">(PRODUCT(1+sp500_monthly!K721:K840)^(1/120)-1)*100</f>
        <v>0.93731440376021435</v>
      </c>
      <c r="G720" cm="1">
        <f t="array" ref="G720">(PRODUCT(1+sp500_monthly!L721:L840)^(1/120)-1)</f>
        <v>0.44734948556790011</v>
      </c>
      <c r="H720" cm="1">
        <f t="array" ref="H720">(PRODUCT(1+sp500_monthly!N721:N840)^(1/120)-1)*100</f>
        <v>0.91393854109349526</v>
      </c>
      <c r="I720" cm="1">
        <f t="array" ref="I720">(PRODUCT(1+sp500_monthly!O721:O840)^(1/120)-1)*100</f>
        <v>0.1645409212429394</v>
      </c>
    </row>
    <row r="721" spans="1:9" x14ac:dyDescent="0.35">
      <c r="A721" s="1">
        <v>35062</v>
      </c>
      <c r="B721" cm="1">
        <f t="array" ref="B721">(PRODUCT(1+sp500_monthly!B722:B841)^(1/120)-1)*100</f>
        <v>1.1840429034850386</v>
      </c>
      <c r="C721" cm="1">
        <f t="array" ref="C721">(PRODUCT(1+sp500_monthly!C722:C841)^(1/120)-1)*100</f>
        <v>0.90732464266105595</v>
      </c>
      <c r="D721" cm="1">
        <f t="array" ref="D721">(PRODUCT(1+sp500_monthly!D722:D841)^(1/120)-1)*100</f>
        <v>1.2077145071033524</v>
      </c>
      <c r="E721" cm="1">
        <f t="array" ref="E721">(PRODUCT(1+sp500_monthly!E722:E841)^(1/120)-1)*100</f>
        <v>0.96397816232740574</v>
      </c>
      <c r="F721" cm="1">
        <f t="array" ref="F721">(PRODUCT(1+sp500_monthly!K722:K841)^(1/120)-1)*100</f>
        <v>0.91813464172167958</v>
      </c>
      <c r="G721" cm="1">
        <f t="array" ref="G721">(PRODUCT(1+sp500_monthly!L722:L841)^(1/120)-1)</f>
        <v>0.44583565903846489</v>
      </c>
      <c r="H721" cm="1">
        <f t="array" ref="H721">(PRODUCT(1+sp500_monthly!N722:N841)^(1/120)-1)*100</f>
        <v>0.89468760410036374</v>
      </c>
      <c r="I721" cm="1">
        <f t="array" ref="I721">(PRODUCT(1+sp500_monthly!O722:O841)^(1/120)-1)*100</f>
        <v>0.16571398846725316</v>
      </c>
    </row>
    <row r="722" spans="1:9" x14ac:dyDescent="0.35">
      <c r="A722" s="1">
        <v>35095</v>
      </c>
      <c r="B722" cm="1">
        <f t="array" ref="B722">(PRODUCT(1+sp500_monthly!B723:B842)^(1/120)-1)*100</f>
        <v>1.1591350816325008</v>
      </c>
      <c r="C722" cm="1">
        <f t="array" ref="C722">(PRODUCT(1+sp500_monthly!C723:C842)^(1/120)-1)*100</f>
        <v>0.88337812560221884</v>
      </c>
      <c r="D722" cm="1">
        <f t="array" ref="D722">(PRODUCT(1+sp500_monthly!D723:D842)^(1/120)-1)*100</f>
        <v>1.1840354039554191</v>
      </c>
      <c r="E722" cm="1">
        <f t="array" ref="E722">(PRODUCT(1+sp500_monthly!E723:E842)^(1/120)-1)*100</f>
        <v>0.94098808654590194</v>
      </c>
      <c r="F722" cm="1">
        <f t="array" ref="F722">(PRODUCT(1+sp500_monthly!K723:K842)^(1/120)-1)*100</f>
        <v>0.89561419769019768</v>
      </c>
      <c r="G722" cm="1">
        <f t="array" ref="G722">(PRODUCT(1+sp500_monthly!L723:L842)^(1/120)-1)</f>
        <v>0.44460723090494181</v>
      </c>
      <c r="H722" cm="1">
        <f t="array" ref="H722">(PRODUCT(1+sp500_monthly!N723:N842)^(1/120)-1)*100</f>
        <v>0.87260502811148388</v>
      </c>
      <c r="I722" cm="1">
        <f t="array" ref="I722">(PRODUCT(1+sp500_monthly!O723:O842)^(1/120)-1)*100</f>
        <v>0.16712077964118333</v>
      </c>
    </row>
    <row r="723" spans="1:9" x14ac:dyDescent="0.35">
      <c r="A723" s="1">
        <v>35124</v>
      </c>
      <c r="B723" cm="1">
        <f t="array" ref="B723">(PRODUCT(1+sp500_monthly!B724:B843)^(1/120)-1)*100</f>
        <v>1.1840672686043163</v>
      </c>
      <c r="C723" cm="1">
        <f t="array" ref="C723">(PRODUCT(1+sp500_monthly!C724:C843)^(1/120)-1)*100</f>
        <v>0.90852747592227168</v>
      </c>
      <c r="D723" cm="1">
        <f t="array" ref="D723">(PRODUCT(1+sp500_monthly!D724:D843)^(1/120)-1)*100</f>
        <v>1.1953979846475393</v>
      </c>
      <c r="E723" cm="1">
        <f t="array" ref="E723">(PRODUCT(1+sp500_monthly!E724:E843)^(1/120)-1)*100</f>
        <v>0.9524508007638266</v>
      </c>
      <c r="F723" cm="1">
        <f t="array" ref="F723">(PRODUCT(1+sp500_monthly!K724:K843)^(1/120)-1)*100</f>
        <v>0.92061599400479199</v>
      </c>
      <c r="G723" cm="1">
        <f t="array" ref="G723">(PRODUCT(1+sp500_monthly!L724:L843)^(1/120)-1)</f>
        <v>0.44356013337022682</v>
      </c>
      <c r="H723" cm="1">
        <f t="array" ref="H723">(PRODUCT(1+sp500_monthly!N724:N843)^(1/120)-1)*100</f>
        <v>0.89617309436926806</v>
      </c>
      <c r="I723" cm="1">
        <f t="array" ref="I723">(PRODUCT(1+sp500_monthly!O724:O843)^(1/120)-1)*100</f>
        <v>0.16475686226817832</v>
      </c>
    </row>
    <row r="724" spans="1:9" x14ac:dyDescent="0.35">
      <c r="A724" s="1">
        <v>35153</v>
      </c>
      <c r="B724" cm="1">
        <f t="array" ref="B724">(PRODUCT(1+sp500_monthly!B725:B844)^(1/120)-1)*100</f>
        <v>1.1303689678233031</v>
      </c>
      <c r="C724" cm="1">
        <f t="array" ref="C724">(PRODUCT(1+sp500_monthly!C725:C844)^(1/120)-1)*100</f>
        <v>0.85686527383603828</v>
      </c>
      <c r="D724" cm="1">
        <f t="array" ref="D724">(PRODUCT(1+sp500_monthly!D725:D844)^(1/120)-1)*100</f>
        <v>1.1405445108386703</v>
      </c>
      <c r="E724" cm="1">
        <f t="array" ref="E724">(PRODUCT(1+sp500_monthly!E725:E844)^(1/120)-1)*100</f>
        <v>0.89840683394810661</v>
      </c>
      <c r="F724" cm="1">
        <f t="array" ref="F724">(PRODUCT(1+sp500_monthly!K725:K844)^(1/120)-1)*100</f>
        <v>0.86837013654719186</v>
      </c>
      <c r="G724" cm="1">
        <f t="array" ref="G724">(PRODUCT(1+sp500_monthly!L725:L844)^(1/120)-1)</f>
        <v>0.44240617994249765</v>
      </c>
      <c r="H724" cm="1">
        <f t="array" ref="H724">(PRODUCT(1+sp500_monthly!N725:N844)^(1/120)-1)*100</f>
        <v>0.83946885608965349</v>
      </c>
      <c r="I724" cm="1">
        <f t="array" ref="I724">(PRODUCT(1+sp500_monthly!O725:O844)^(1/120)-1)*100</f>
        <v>0.1604561777762914</v>
      </c>
    </row>
    <row r="725" spans="1:9" x14ac:dyDescent="0.35">
      <c r="A725" s="1">
        <v>35185</v>
      </c>
      <c r="B725" cm="1">
        <f t="array" ref="B725">(PRODUCT(1+sp500_monthly!B726:B845)^(1/120)-1)*100</f>
        <v>1.0926293317434776</v>
      </c>
      <c r="C725" cm="1">
        <f t="array" ref="C725">(PRODUCT(1+sp500_monthly!C726:C845)^(1/120)-1)*100</f>
        <v>0.81979222276309383</v>
      </c>
      <c r="D725" cm="1">
        <f t="array" ref="D725">(PRODUCT(1+sp500_monthly!D726:D845)^(1/120)-1)*100</f>
        <v>1.1074951805377209</v>
      </c>
      <c r="E725" cm="1">
        <f t="array" ref="E725">(PRODUCT(1+sp500_monthly!E726:E845)^(1/120)-1)*100</f>
        <v>0.86593370102956424</v>
      </c>
      <c r="F725" cm="1">
        <f t="array" ref="F725">(PRODUCT(1+sp500_monthly!K726:K845)^(1/120)-1)*100</f>
        <v>0.83176008628438325</v>
      </c>
      <c r="G725" cm="1">
        <f t="array" ref="G725">(PRODUCT(1+sp500_monthly!L726:L845)^(1/120)-1)</f>
        <v>0.44071595120304696</v>
      </c>
      <c r="H725" cm="1">
        <f t="array" ref="H725">(PRODUCT(1+sp500_monthly!N726:N845)^(1/120)-1)*100</f>
        <v>0.79452563457977909</v>
      </c>
      <c r="I725" cm="1">
        <f t="array" ref="I725">(PRODUCT(1+sp500_monthly!O726:O845)^(1/120)-1)*100</f>
        <v>0.15144652723488861</v>
      </c>
    </row>
    <row r="726" spans="1:9" x14ac:dyDescent="0.35">
      <c r="A726" s="1">
        <v>35216</v>
      </c>
      <c r="B726" cm="1">
        <f t="array" ref="B726">(PRODUCT(1+sp500_monthly!B727:B846)^(1/120)-1)*100</f>
        <v>1.1166058903962606</v>
      </c>
      <c r="C726" cm="1">
        <f t="array" ref="C726">(PRODUCT(1+sp500_monthly!C727:C846)^(1/120)-1)*100</f>
        <v>0.84410140281150348</v>
      </c>
      <c r="D726" cm="1">
        <f t="array" ref="D726">(PRODUCT(1+sp500_monthly!D727:D846)^(1/120)-1)*100</f>
        <v>1.148062638376679</v>
      </c>
      <c r="E726" cm="1">
        <f t="array" ref="E726">(PRODUCT(1+sp500_monthly!E727:E846)^(1/120)-1)*100</f>
        <v>0.90676516309933231</v>
      </c>
      <c r="F726" cm="1">
        <f t="array" ref="F726">(PRODUCT(1+sp500_monthly!K727:K846)^(1/120)-1)*100</f>
        <v>0.85494619225325863</v>
      </c>
      <c r="G726" cm="1">
        <f t="array" ref="G726">(PRODUCT(1+sp500_monthly!L727:L846)^(1/120)-1)</f>
        <v>0.44023250525943003</v>
      </c>
      <c r="H726" cm="1">
        <f t="array" ref="H726">(PRODUCT(1+sp500_monthly!N727:N846)^(1/120)-1)*100</f>
        <v>0.81211020976019732</v>
      </c>
      <c r="I726" cm="1">
        <f t="array" ref="I726">(PRODUCT(1+sp500_monthly!O727:O846)^(1/120)-1)*100</f>
        <v>0.14466878296428565</v>
      </c>
    </row>
    <row r="727" spans="1:9" x14ac:dyDescent="0.35">
      <c r="A727" s="1">
        <v>35244</v>
      </c>
      <c r="B727" cm="1">
        <f t="array" ref="B727">(PRODUCT(1+sp500_monthly!B728:B847)^(1/120)-1)*100</f>
        <v>1.0922511724167805</v>
      </c>
      <c r="C727" cm="1">
        <f t="array" ref="C727">(PRODUCT(1+sp500_monthly!C728:C847)^(1/120)-1)*100</f>
        <v>0.82118244834545884</v>
      </c>
      <c r="D727" cm="1">
        <f t="array" ref="D727">(PRODUCT(1+sp500_monthly!D728:D847)^(1/120)-1)*100</f>
        <v>1.1116065960114607</v>
      </c>
      <c r="E727" cm="1">
        <f t="array" ref="E727">(PRODUCT(1+sp500_monthly!E728:E847)^(1/120)-1)*100</f>
        <v>0.87090093713828587</v>
      </c>
      <c r="F727" cm="1">
        <f t="array" ref="F727">(PRODUCT(1+sp500_monthly!K728:K847)^(1/120)-1)*100</f>
        <v>0.83275007984346949</v>
      </c>
      <c r="G727" cm="1">
        <f t="array" ref="G727">(PRODUCT(1+sp500_monthly!L728:L847)^(1/120)-1)</f>
        <v>0.43965509682246728</v>
      </c>
      <c r="H727" cm="1">
        <f t="array" ref="H727">(PRODUCT(1+sp500_monthly!N728:N847)^(1/120)-1)*100</f>
        <v>0.78853106307985588</v>
      </c>
      <c r="I727" cm="1">
        <f t="array" ref="I727">(PRODUCT(1+sp500_monthly!O728:O847)^(1/120)-1)*100</f>
        <v>0.14478499929904132</v>
      </c>
    </row>
    <row r="728" spans="1:9" x14ac:dyDescent="0.35">
      <c r="A728" s="1">
        <v>35277</v>
      </c>
      <c r="B728" cm="1">
        <f t="array" ref="B728">(PRODUCT(1+sp500_monthly!B729:B848)^(1/120)-1)*100</f>
        <v>1.0825620744642661</v>
      </c>
      <c r="C728" cm="1">
        <f t="array" ref="C728">(PRODUCT(1+sp500_monthly!C729:C848)^(1/120)-1)*100</f>
        <v>0.81222364382325107</v>
      </c>
      <c r="D728" cm="1">
        <f t="array" ref="D728">(PRODUCT(1+sp500_monthly!D729:D848)^(1/120)-1)*100</f>
        <v>1.1020462203750192</v>
      </c>
      <c r="E728" cm="1">
        <f t="array" ref="E728">(PRODUCT(1+sp500_monthly!E729:E848)^(1/120)-1)*100</f>
        <v>0.861815562070678</v>
      </c>
      <c r="F728" cm="1">
        <f t="array" ref="F728">(PRODUCT(1+sp500_monthly!K729:K848)^(1/120)-1)*100</f>
        <v>0.82287153915816535</v>
      </c>
      <c r="G728" cm="1">
        <f t="array" ref="G728">(PRODUCT(1+sp500_monthly!L729:L848)^(1/120)-1)</f>
        <v>0.43866881400883218</v>
      </c>
      <c r="H728" cm="1">
        <f t="array" ref="H728">(PRODUCT(1+sp500_monthly!N729:N848)^(1/120)-1)*100</f>
        <v>0.78033799471022292</v>
      </c>
      <c r="I728" cm="1">
        <f t="array" ref="I728">(PRODUCT(1+sp500_monthly!O729:O848)^(1/120)-1)*100</f>
        <v>0.14524581749726373</v>
      </c>
    </row>
    <row r="729" spans="1:9" x14ac:dyDescent="0.35">
      <c r="A729" s="1">
        <v>35307</v>
      </c>
      <c r="B729" cm="1">
        <f t="array" ref="B729">(PRODUCT(1+sp500_monthly!B730:B849)^(1/120)-1)*100</f>
        <v>1.094188040369537</v>
      </c>
      <c r="C729" cm="1">
        <f t="array" ref="C729">(PRODUCT(1+sp500_monthly!C730:C849)^(1/120)-1)*100</f>
        <v>0.82404624804301996</v>
      </c>
      <c r="D729" cm="1">
        <f t="array" ref="D729">(PRODUCT(1+sp500_monthly!D730:D849)^(1/120)-1)*100</f>
        <v>1.1195573178530926</v>
      </c>
      <c r="E729" cm="1">
        <f t="array" ref="E729">(PRODUCT(1+sp500_monthly!E730:E849)^(1/120)-1)*100</f>
        <v>0.87953852892550533</v>
      </c>
      <c r="F729" cm="1">
        <f t="array" ref="F729">(PRODUCT(1+sp500_monthly!K730:K849)^(1/120)-1)*100</f>
        <v>0.83433896882776359</v>
      </c>
      <c r="G729" cm="1">
        <f t="array" ref="G729">(PRODUCT(1+sp500_monthly!L730:L849)^(1/120)-1)</f>
        <v>0.43810368670080124</v>
      </c>
      <c r="H729" cm="1">
        <f t="array" ref="H729">(PRODUCT(1+sp500_monthly!N730:N849)^(1/120)-1)*100</f>
        <v>0.79109011388645012</v>
      </c>
      <c r="I729" cm="1">
        <f t="array" ref="I729">(PRODUCT(1+sp500_monthly!O730:O849)^(1/120)-1)*100</f>
        <v>0.14383076003934292</v>
      </c>
    </row>
    <row r="730" spans="1:9" x14ac:dyDescent="0.35">
      <c r="A730" s="1">
        <v>35338</v>
      </c>
      <c r="B730" cm="1">
        <f t="array" ref="B730">(PRODUCT(1+sp500_monthly!B731:B850)^(1/120)-1)*100</f>
        <v>1.0520008475611853</v>
      </c>
      <c r="C730" cm="1">
        <f t="array" ref="C730">(PRODUCT(1+sp500_monthly!C731:C850)^(1/120)-1)*100</f>
        <v>0.78344748151961685</v>
      </c>
      <c r="D730" cm="1">
        <f t="array" ref="D730">(PRODUCT(1+sp500_monthly!D731:D850)^(1/120)-1)*100</f>
        <v>1.0836799127863284</v>
      </c>
      <c r="E730" cm="1">
        <f t="array" ref="E730">(PRODUCT(1+sp500_monthly!E731:E850)^(1/120)-1)*100</f>
        <v>0.84438956312244962</v>
      </c>
      <c r="F730" cm="1">
        <f t="array" ref="F730">(PRODUCT(1+sp500_monthly!K731:K850)^(1/120)-1)*100</f>
        <v>0.79222105033180945</v>
      </c>
      <c r="G730" cm="1">
        <f t="array" ref="G730">(PRODUCT(1+sp500_monthly!L731:L850)^(1/120)-1)</f>
        <v>0.43768613722308403</v>
      </c>
      <c r="H730" cm="1">
        <f t="array" ref="H730">(PRODUCT(1+sp500_monthly!N731:N850)^(1/120)-1)*100</f>
        <v>0.74872694959073893</v>
      </c>
      <c r="I730" cm="1">
        <f t="array" ref="I730">(PRODUCT(1+sp500_monthly!O731:O850)^(1/120)-1)*100</f>
        <v>0.14311466425924735</v>
      </c>
    </row>
    <row r="731" spans="1:9" x14ac:dyDescent="0.35">
      <c r="A731" s="1">
        <v>35369</v>
      </c>
      <c r="B731" cm="1">
        <f t="array" ref="B731">(PRODUCT(1+sp500_monthly!B732:B851)^(1/120)-1)*100</f>
        <v>1.1711727742569344</v>
      </c>
      <c r="C731" cm="1">
        <f t="array" ref="C731">(PRODUCT(1+sp500_monthly!C732:C851)^(1/120)-1)*100</f>
        <v>0.90299363189052517</v>
      </c>
      <c r="D731" cm="1">
        <f t="array" ref="D731">(PRODUCT(1+sp500_monthly!D732:D851)^(1/120)-1)*100</f>
        <v>1.1869694300522093</v>
      </c>
      <c r="E731" cm="1">
        <f t="array" ref="E731">(PRODUCT(1+sp500_monthly!E732:E851)^(1/120)-1)*100</f>
        <v>0.94780012588755458</v>
      </c>
      <c r="F731" cm="1">
        <f t="array" ref="F731">(PRODUCT(1+sp500_monthly!K732:K851)^(1/120)-1)*100</f>
        <v>0.91161935874601863</v>
      </c>
      <c r="G731" cm="1">
        <f t="array" ref="G731">(PRODUCT(1+sp500_monthly!L732:L851)^(1/120)-1)</f>
        <v>0.43760322774097449</v>
      </c>
      <c r="H731" cm="1">
        <f t="array" ref="H731">(PRODUCT(1+sp500_monthly!N732:N851)^(1/120)-1)*100</f>
        <v>0.86793408223204693</v>
      </c>
      <c r="I731" cm="1">
        <f t="array" ref="I731">(PRODUCT(1+sp500_monthly!O732:O851)^(1/120)-1)*100</f>
        <v>0.14342162034457484</v>
      </c>
    </row>
    <row r="732" spans="1:9" x14ac:dyDescent="0.35">
      <c r="A732" s="1">
        <v>35398</v>
      </c>
      <c r="B732" cm="1">
        <f t="array" ref="B732">(PRODUCT(1+sp500_monthly!B733:B852)^(1/120)-1)*100</f>
        <v>1.1471033879963954</v>
      </c>
      <c r="C732" cm="1">
        <f t="array" ref="C732">(PRODUCT(1+sp500_monthly!C733:C852)^(1/120)-1)*100</f>
        <v>0.8799710803169658</v>
      </c>
      <c r="D732" cm="1">
        <f t="array" ref="D732">(PRODUCT(1+sp500_monthly!D733:D852)^(1/120)-1)*100</f>
        <v>1.1468508072938643</v>
      </c>
      <c r="E732" cm="1">
        <f t="array" ref="E732">(PRODUCT(1+sp500_monthly!E733:E852)^(1/120)-1)*100</f>
        <v>0.9092359506122305</v>
      </c>
      <c r="F732" cm="1">
        <f t="array" ref="F732">(PRODUCT(1+sp500_monthly!K733:K852)^(1/120)-1)*100</f>
        <v>0.88850614533106942</v>
      </c>
      <c r="G732" cm="1">
        <f t="array" ref="G732">(PRODUCT(1+sp500_monthly!L733:L852)^(1/120)-1)</f>
        <v>0.43727046633377609</v>
      </c>
      <c r="H732" cm="1">
        <f t="array" ref="H732">(PRODUCT(1+sp500_monthly!N733:N852)^(1/120)-1)*100</f>
        <v>0.84280316561686774</v>
      </c>
      <c r="I732" cm="1">
        <f t="array" ref="I732">(PRODUCT(1+sp500_monthly!O733:O852)^(1/120)-1)*100</f>
        <v>0.14196347752024607</v>
      </c>
    </row>
    <row r="733" spans="1:9" x14ac:dyDescent="0.35">
      <c r="A733" s="1">
        <v>35430</v>
      </c>
      <c r="B733" cm="1">
        <f t="array" ref="B733">(PRODUCT(1+sp500_monthly!B734:B853)^(1/120)-1)*100</f>
        <v>1.1884882657755558</v>
      </c>
      <c r="C733" cm="1">
        <f t="array" ref="C733">(PRODUCT(1+sp500_monthly!C734:C853)^(1/120)-1)*100</f>
        <v>0.92375224368612674</v>
      </c>
      <c r="D733" cm="1">
        <f t="array" ref="D733">(PRODUCT(1+sp500_monthly!D734:D853)^(1/120)-1)*100</f>
        <v>1.1852387493302974</v>
      </c>
      <c r="E733" cm="1">
        <f t="array" ref="E733">(PRODUCT(1+sp500_monthly!E734:E853)^(1/120)-1)*100</f>
        <v>0.94923346454074409</v>
      </c>
      <c r="F733" cm="1">
        <f t="array" ref="F733">(PRODUCT(1+sp500_monthly!K734:K853)^(1/120)-1)*100</f>
        <v>0.93018103304536304</v>
      </c>
      <c r="G733" cm="1">
        <f t="array" ref="G733">(PRODUCT(1+sp500_monthly!L734:L853)^(1/120)-1)</f>
        <v>0.43744158305622549</v>
      </c>
      <c r="H733" cm="1">
        <f t="array" ref="H733">(PRODUCT(1+sp500_monthly!N734:N853)^(1/120)-1)*100</f>
        <v>0.88293504183796223</v>
      </c>
      <c r="I733" cm="1">
        <f t="array" ref="I733">(PRODUCT(1+sp500_monthly!O734:O853)^(1/120)-1)*100</f>
        <v>0.14100951980025034</v>
      </c>
    </row>
    <row r="734" spans="1:9" x14ac:dyDescent="0.35">
      <c r="A734" s="1">
        <v>35461</v>
      </c>
      <c r="B734" cm="1">
        <f t="array" ref="B734">(PRODUCT(1+sp500_monthly!B735:B854)^(1/120)-1)*100</f>
        <v>1.1951517176721937</v>
      </c>
      <c r="C734" cm="1">
        <f t="array" ref="C734">(PRODUCT(1+sp500_monthly!C735:C854)^(1/120)-1)*100</f>
        <v>0.93122568638834835</v>
      </c>
      <c r="D734" cm="1">
        <f t="array" ref="D734">(PRODUCT(1+sp500_monthly!D735:D854)^(1/120)-1)*100</f>
        <v>1.1986813472058877</v>
      </c>
      <c r="E734" cm="1">
        <f t="array" ref="E734">(PRODUCT(1+sp500_monthly!E735:E854)^(1/120)-1)*100</f>
        <v>0.96324943872017066</v>
      </c>
      <c r="F734" cm="1">
        <f t="array" ref="F734">(PRODUCT(1+sp500_monthly!K735:K854)^(1/120)-1)*100</f>
        <v>0.93603196768889951</v>
      </c>
      <c r="G734" cm="1">
        <f t="array" ref="G734">(PRODUCT(1+sp500_monthly!L735:L854)^(1/120)-1)</f>
        <v>0.43719796113754028</v>
      </c>
      <c r="H734" cm="1">
        <f t="array" ref="H734">(PRODUCT(1+sp500_monthly!N735:N854)^(1/120)-1)*100</f>
        <v>0.89050263678518427</v>
      </c>
      <c r="I734" cm="1">
        <f t="array" ref="I734">(PRODUCT(1+sp500_monthly!O735:O854)^(1/120)-1)*100</f>
        <v>0.1416777554088533</v>
      </c>
    </row>
    <row r="735" spans="1:9" x14ac:dyDescent="0.35">
      <c r="A735" s="1">
        <v>35489</v>
      </c>
      <c r="B735" cm="1">
        <f t="array" ref="B735">(PRODUCT(1+sp500_monthly!B736:B855)^(1/120)-1)*100</f>
        <v>1.1396263919301042</v>
      </c>
      <c r="C735" cm="1">
        <f t="array" ref="C735">(PRODUCT(1+sp500_monthly!C736:C855)^(1/120)-1)*100</f>
        <v>0.87602572598615147</v>
      </c>
      <c r="D735" cm="1">
        <f t="array" ref="D735">(PRODUCT(1+sp500_monthly!D736:D855)^(1/120)-1)*100</f>
        <v>1.1198034624667619</v>
      </c>
      <c r="E735" cm="1">
        <f t="array" ref="E735">(PRODUCT(1+sp500_monthly!E736:E855)^(1/120)-1)*100</f>
        <v>0.88467527285382985</v>
      </c>
      <c r="F735" cm="1">
        <f t="array" ref="F735">(PRODUCT(1+sp500_monthly!K736:K855)^(1/120)-1)*100</f>
        <v>0.88198717338623389</v>
      </c>
      <c r="G735" cm="1">
        <f t="array" ref="G735">(PRODUCT(1+sp500_monthly!L736:L855)^(1/120)-1)</f>
        <v>0.43744837499072542</v>
      </c>
      <c r="H735" cm="1">
        <f t="array" ref="H735">(PRODUCT(1+sp500_monthly!N736:N855)^(1/120)-1)*100</f>
        <v>0.8380995904934796</v>
      </c>
      <c r="I735" cm="1">
        <f t="array" ref="I735">(PRODUCT(1+sp500_monthly!O736:O855)^(1/120)-1)*100</f>
        <v>0.14486182971722439</v>
      </c>
    </row>
    <row r="736" spans="1:9" x14ac:dyDescent="0.35">
      <c r="A736" s="1">
        <v>35520</v>
      </c>
      <c r="B736" cm="1">
        <f t="array" ref="B736">(PRODUCT(1+sp500_monthly!B737:B856)^(1/120)-1)*100</f>
        <v>1.1116426021621884</v>
      </c>
      <c r="C736" cm="1">
        <f t="array" ref="C736">(PRODUCT(1+sp500_monthly!C737:C856)^(1/120)-1)*100</f>
        <v>0.84966421027592443</v>
      </c>
      <c r="D736" cm="1">
        <f t="array" ref="D736">(PRODUCT(1+sp500_monthly!D737:D856)^(1/120)-1)*100</f>
        <v>1.0825498251056498</v>
      </c>
      <c r="E736" cm="1">
        <f t="array" ref="E736">(PRODUCT(1+sp500_monthly!E737:E856)^(1/120)-1)*100</f>
        <v>0.84791984507044393</v>
      </c>
      <c r="F736" cm="1">
        <f t="array" ref="F736">(PRODUCT(1+sp500_monthly!K737:K856)^(1/120)-1)*100</f>
        <v>0.85647722727835163</v>
      </c>
      <c r="G736" cm="1">
        <f t="array" ref="G736">(PRODUCT(1+sp500_monthly!L737:L856)^(1/120)-1)</f>
        <v>0.43710857005702208</v>
      </c>
      <c r="H736" cm="1">
        <f t="array" ref="H736">(PRODUCT(1+sp500_monthly!N737:N856)^(1/120)-1)*100</f>
        <v>0.81163069683813927</v>
      </c>
      <c r="I736" cm="1">
        <f t="array" ref="I736">(PRODUCT(1+sp500_monthly!O737:O856)^(1/120)-1)*100</f>
        <v>0.14595139309836469</v>
      </c>
    </row>
    <row r="737" spans="1:9" x14ac:dyDescent="0.35">
      <c r="A737" s="1">
        <v>35550</v>
      </c>
      <c r="B737" cm="1">
        <f t="array" ref="B737">(PRODUCT(1+sp500_monthly!B738:B857)^(1/120)-1)*100</f>
        <v>1.0538762882483343</v>
      </c>
      <c r="C737" cm="1">
        <f t="array" ref="C737">(PRODUCT(1+sp500_monthly!C738:C857)^(1/120)-1)*100</f>
        <v>0.79267645708807066</v>
      </c>
      <c r="D737" cm="1">
        <f t="array" ref="D737">(PRODUCT(1+sp500_monthly!D738:D857)^(1/120)-1)*100</f>
        <v>1.0358185742163961</v>
      </c>
      <c r="E737" cm="1">
        <f t="array" ref="E737">(PRODUCT(1+sp500_monthly!E738:E857)^(1/120)-1)*100</f>
        <v>0.80175513470144288</v>
      </c>
      <c r="F737" cm="1">
        <f t="array" ref="F737">(PRODUCT(1+sp500_monthly!K738:K857)^(1/120)-1)*100</f>
        <v>0.79800044130562409</v>
      </c>
      <c r="G737" cm="1">
        <f t="array" ref="G737">(PRODUCT(1+sp500_monthly!L738:L857)^(1/120)-1)</f>
        <v>0.43677821729293775</v>
      </c>
      <c r="H737" cm="1">
        <f t="array" ref="H737">(PRODUCT(1+sp500_monthly!N738:N857)^(1/120)-1)*100</f>
        <v>0.75650886709699439</v>
      </c>
      <c r="I737" cm="1">
        <f t="array" ref="I737">(PRODUCT(1+sp500_monthly!O738:O857)^(1/120)-1)*100</f>
        <v>0.14807721893472792</v>
      </c>
    </row>
    <row r="738" spans="1:9" x14ac:dyDescent="0.35">
      <c r="A738" s="1">
        <v>35580</v>
      </c>
      <c r="B738" cm="1">
        <f t="array" ref="B738">(PRODUCT(1+sp500_monthly!B739:B858)^(1/120)-1)*100</f>
        <v>1.1108307342017953</v>
      </c>
      <c r="C738" cm="1">
        <f t="array" ref="C738">(PRODUCT(1+sp500_monthly!C739:C858)^(1/120)-1)*100</f>
        <v>0.85022463480337596</v>
      </c>
      <c r="D738" cm="1">
        <f t="array" ref="D738">(PRODUCT(1+sp500_monthly!D739:D858)^(1/120)-1)*100</f>
        <v>1.0731486360546993</v>
      </c>
      <c r="E738" cm="1">
        <f t="array" ref="E738">(PRODUCT(1+sp500_monthly!E739:E858)^(1/120)-1)*100</f>
        <v>0.84027101723187503</v>
      </c>
      <c r="F738" cm="1">
        <f t="array" ref="F738">(PRODUCT(1+sp500_monthly!K739:K858)^(1/120)-1)*100</f>
        <v>0.85537087321612137</v>
      </c>
      <c r="G738" cm="1">
        <f t="array" ref="G738">(PRODUCT(1+sp500_monthly!L739:L858)^(1/120)-1)</f>
        <v>0.43669478277993523</v>
      </c>
      <c r="H738" cm="1">
        <f t="array" ref="H738">(PRODUCT(1+sp500_monthly!N739:N858)^(1/120)-1)*100</f>
        <v>0.81650569661653183</v>
      </c>
      <c r="I738" cm="1">
        <f t="array" ref="I738">(PRODUCT(1+sp500_monthly!O739:O858)^(1/120)-1)*100</f>
        <v>0.15118292119364884</v>
      </c>
    </row>
    <row r="739" spans="1:9" x14ac:dyDescent="0.35">
      <c r="A739" s="1">
        <v>35611</v>
      </c>
      <c r="B739" cm="1">
        <f t="array" ref="B739">(PRODUCT(1+sp500_monthly!B740:B859)^(1/120)-1)*100</f>
        <v>1.1533931452919255</v>
      </c>
      <c r="C739" cm="1">
        <f t="array" ref="C739">(PRODUCT(1+sp500_monthly!C740:C859)^(1/120)-1)*100</f>
        <v>0.89426911190966241</v>
      </c>
      <c r="D739" cm="1">
        <f t="array" ref="D739">(PRODUCT(1+sp500_monthly!D740:D859)^(1/120)-1)*100</f>
        <v>1.1225080926134057</v>
      </c>
      <c r="E739" cm="1">
        <f t="array" ref="E739">(PRODUCT(1+sp500_monthly!E740:E859)^(1/120)-1)*100</f>
        <v>0.89012062325877217</v>
      </c>
      <c r="F739" cm="1">
        <f t="array" ref="F739">(PRODUCT(1+sp500_monthly!K740:K859)^(1/120)-1)*100</f>
        <v>0.89816757717837703</v>
      </c>
      <c r="G739" cm="1">
        <f t="array" ref="G739">(PRODUCT(1+sp500_monthly!L740:L859)^(1/120)-1)</f>
        <v>0.4376132753233748</v>
      </c>
      <c r="H739" cm="1">
        <f t="array" ref="H739">(PRODUCT(1+sp500_monthly!N740:N859)^(1/120)-1)*100</f>
        <v>0.86117859674321728</v>
      </c>
      <c r="I739" cm="1">
        <f t="array" ref="I739">(PRODUCT(1+sp500_monthly!O740:O859)^(1/120)-1)*100</f>
        <v>0.15431572715212116</v>
      </c>
    </row>
    <row r="740" spans="1:9" x14ac:dyDescent="0.35">
      <c r="A740" s="1">
        <v>35642</v>
      </c>
      <c r="B740" cm="1">
        <f t="array" ref="B740">(PRODUCT(1+sp500_monthly!B741:B860)^(1/120)-1)*100</f>
        <v>1.1485333936092301</v>
      </c>
      <c r="C740" cm="1">
        <f t="array" ref="C740">(PRODUCT(1+sp500_monthly!C741:C860)^(1/120)-1)*100</f>
        <v>0.89033396184008406</v>
      </c>
      <c r="D740" cm="1">
        <f t="array" ref="D740">(PRODUCT(1+sp500_monthly!D741:D860)^(1/120)-1)*100</f>
        <v>1.1183109713570838</v>
      </c>
      <c r="E740" cm="1">
        <f t="array" ref="E740">(PRODUCT(1+sp500_monthly!E741:E860)^(1/120)-1)*100</f>
        <v>0.88655227184986085</v>
      </c>
      <c r="F740" cm="1">
        <f t="array" ref="F740">(PRODUCT(1+sp500_monthly!K741:K860)^(1/120)-1)*100</f>
        <v>0.89457981147926802</v>
      </c>
      <c r="G740" cm="1">
        <f t="array" ref="G740">(PRODUCT(1+sp500_monthly!L741:L860)^(1/120)-1)</f>
        <v>0.43668833290705922</v>
      </c>
      <c r="H740" cm="1">
        <f t="array" ref="H740">(PRODUCT(1+sp500_monthly!N741:N860)^(1/120)-1)*100</f>
        <v>0.85846820617250241</v>
      </c>
      <c r="I740" cm="1">
        <f t="array" ref="I740">(PRODUCT(1+sp500_monthly!O741:O860)^(1/120)-1)*100</f>
        <v>0.15552197506751853</v>
      </c>
    </row>
    <row r="741" spans="1:9" x14ac:dyDescent="0.35">
      <c r="A741" s="1">
        <v>35671</v>
      </c>
      <c r="B741" cm="1">
        <f t="array" ref="B741">(PRODUCT(1+sp500_monthly!B742:B861)^(1/120)-1)*100</f>
        <v>1.1727104505771635</v>
      </c>
      <c r="C741" cm="1">
        <f t="array" ref="C741">(PRODUCT(1+sp500_monthly!C742:C861)^(1/120)-1)*100</f>
        <v>0.91492177245209305</v>
      </c>
      <c r="D741" cm="1">
        <f t="array" ref="D741">(PRODUCT(1+sp500_monthly!D742:D861)^(1/120)-1)*100</f>
        <v>1.1297128249283972</v>
      </c>
      <c r="E741" cm="1">
        <f t="array" ref="E741">(PRODUCT(1+sp500_monthly!E742:E861)^(1/120)-1)*100</f>
        <v>0.89897572881147969</v>
      </c>
      <c r="F741" cm="1">
        <f t="array" ref="F741">(PRODUCT(1+sp500_monthly!K742:K861)^(1/120)-1)*100</f>
        <v>0.91822912988746008</v>
      </c>
      <c r="G741" cm="1">
        <f t="array" ref="G741">(PRODUCT(1+sp500_monthly!L742:L861)^(1/120)-1)</f>
        <v>0.43643978348525092</v>
      </c>
      <c r="H741" cm="1">
        <f t="array" ref="H741">(PRODUCT(1+sp500_monthly!N742:N861)^(1/120)-1)*100</f>
        <v>0.88374619504842933</v>
      </c>
      <c r="I741" cm="1">
        <f t="array" ref="I741">(PRODUCT(1+sp500_monthly!O742:O861)^(1/120)-1)*100</f>
        <v>0.15643452377493983</v>
      </c>
    </row>
    <row r="742" spans="1:9" x14ac:dyDescent="0.35">
      <c r="A742" s="1">
        <v>35703</v>
      </c>
      <c r="B742" cm="1">
        <f t="array" ref="B742">(PRODUCT(1+sp500_monthly!B743:B862)^(1/120)-1)*100</f>
        <v>1.0927258103100579</v>
      </c>
      <c r="C742" cm="1">
        <f t="array" ref="C742">(PRODUCT(1+sp500_monthly!C743:C862)^(1/120)-1)*100</f>
        <v>0.8367918927806528</v>
      </c>
      <c r="D742" cm="1">
        <f t="array" ref="D742">(PRODUCT(1+sp500_monthly!D743:D862)^(1/120)-1)*100</f>
        <v>1.0813504038913235</v>
      </c>
      <c r="E742" cm="1">
        <f t="array" ref="E742">(PRODUCT(1+sp500_monthly!E743:E862)^(1/120)-1)*100</f>
        <v>0.85149147464587127</v>
      </c>
      <c r="F742" cm="1">
        <f t="array" ref="F742">(PRODUCT(1+sp500_monthly!K743:K862)^(1/120)-1)*100</f>
        <v>0.83960756902232703</v>
      </c>
      <c r="G742" cm="1">
        <f t="array" ref="G742">(PRODUCT(1+sp500_monthly!L743:L862)^(1/120)-1)</f>
        <v>0.43594103409960483</v>
      </c>
      <c r="H742" cm="1">
        <f t="array" ref="H742">(PRODUCT(1+sp500_monthly!N743:N862)^(1/120)-1)*100</f>
        <v>0.80558052401986657</v>
      </c>
      <c r="I742" cm="1">
        <f t="array" ref="I742">(PRODUCT(1+sp500_monthly!O743:O862)^(1/120)-1)*100</f>
        <v>0.15751623264124159</v>
      </c>
    </row>
    <row r="743" spans="1:9" x14ac:dyDescent="0.35">
      <c r="A743" s="1">
        <v>35734</v>
      </c>
      <c r="B743" cm="1">
        <f t="array" ref="B743">(PRODUCT(1+sp500_monthly!B744:B863)^(1/120)-1)*100</f>
        <v>1.1556491086490706</v>
      </c>
      <c r="C743" cm="1">
        <f t="array" ref="C743">(PRODUCT(1+sp500_monthly!C744:C863)^(1/120)-1)*100</f>
        <v>0.90021675400728807</v>
      </c>
      <c r="D743" cm="1">
        <f t="array" ref="D743">(PRODUCT(1+sp500_monthly!D744:D863)^(1/120)-1)*100</f>
        <v>1.1377090435537474</v>
      </c>
      <c r="E743" cm="1">
        <f t="array" ref="E743">(PRODUCT(1+sp500_monthly!E744:E863)^(1/120)-1)*100</f>
        <v>0.90845381185706842</v>
      </c>
      <c r="F743" cm="1">
        <f t="array" ref="F743">(PRODUCT(1+sp500_monthly!K744:K863)^(1/120)-1)*100</f>
        <v>0.90370499844174557</v>
      </c>
      <c r="G743" cm="1">
        <f t="array" ref="G743">(PRODUCT(1+sp500_monthly!L744:L863)^(1/120)-1)</f>
        <v>0.43585822525531359</v>
      </c>
      <c r="H743" cm="1">
        <f t="array" ref="H743">(PRODUCT(1+sp500_monthly!N744:N863)^(1/120)-1)*100</f>
        <v>0.86917321534385472</v>
      </c>
      <c r="I743" cm="1">
        <f t="array" ref="I743">(PRODUCT(1+sp500_monthly!O744:O863)^(1/120)-1)*100</f>
        <v>0.15827528178766759</v>
      </c>
    </row>
    <row r="744" spans="1:9" x14ac:dyDescent="0.35">
      <c r="A744" s="1">
        <v>35762</v>
      </c>
      <c r="B744" cm="1">
        <f t="array" ref="B744">(PRODUCT(1+sp500_monthly!B745:B864)^(1/120)-1)*100</f>
        <v>1.3327727952447965</v>
      </c>
      <c r="C744" cm="1">
        <f t="array" ref="C744">(PRODUCT(1+sp500_monthly!C745:C864)^(1/120)-1)*100</f>
        <v>1.0782244731619484</v>
      </c>
      <c r="D744" cm="1">
        <f t="array" ref="D744">(PRODUCT(1+sp500_monthly!D745:D864)^(1/120)-1)*100</f>
        <v>1.3500289258556952</v>
      </c>
      <c r="E744" cm="1">
        <f t="array" ref="E744">(PRODUCT(1+sp500_monthly!E745:E864)^(1/120)-1)*100</f>
        <v>1.1213101385495694</v>
      </c>
      <c r="F744" cm="1">
        <f t="array" ref="F744">(PRODUCT(1+sp500_monthly!K745:K864)^(1/120)-1)*100</f>
        <v>1.0807284139246143</v>
      </c>
      <c r="G744" cm="1">
        <f t="array" ref="G744">(PRODUCT(1+sp500_monthly!L745:L864)^(1/120)-1)</f>
        <v>0.4344308932906058</v>
      </c>
      <c r="H744" cm="1">
        <f t="array" ref="H744">(PRODUCT(1+sp500_monthly!N745:N864)^(1/120)-1)*100</f>
        <v>1.0464291711423268</v>
      </c>
      <c r="I744" cm="1">
        <f t="array" ref="I744">(PRODUCT(1+sp500_monthly!O745:O864)^(1/120)-1)*100</f>
        <v>0.15740885350348233</v>
      </c>
    </row>
    <row r="745" spans="1:9" x14ac:dyDescent="0.35">
      <c r="A745" s="1">
        <v>35795</v>
      </c>
      <c r="B745" cm="1">
        <f t="array" ref="B745">(PRODUCT(1+sp500_monthly!B746:B865)^(1/120)-1)*100</f>
        <v>1.4432019143326702</v>
      </c>
      <c r="C745" cm="1">
        <f t="array" ref="C745">(PRODUCT(1+sp500_monthly!C746:C865)^(1/120)-1)*100</f>
        <v>1.1913055647349235</v>
      </c>
      <c r="D745" cm="1">
        <f t="array" ref="D745">(PRODUCT(1+sp500_monthly!D746:D865)^(1/120)-1)*100</f>
        <v>1.4304380922811166</v>
      </c>
      <c r="E745" cm="1">
        <f t="array" ref="E745">(PRODUCT(1+sp500_monthly!E746:E865)^(1/120)-1)*100</f>
        <v>1.2033472934565914</v>
      </c>
      <c r="F745" cm="1">
        <f t="array" ref="F745">(PRODUCT(1+sp500_monthly!K746:K865)^(1/120)-1)*100</f>
        <v>1.1926819304664216</v>
      </c>
      <c r="G745" cm="1">
        <f t="array" ref="G745">(PRODUCT(1+sp500_monthly!L746:L865)^(1/120)-1)</f>
        <v>0.43477997050495309</v>
      </c>
      <c r="H745" cm="1">
        <f t="array" ref="H745">(PRODUCT(1+sp500_monthly!N746:N865)^(1/120)-1)*100</f>
        <v>1.1584299649109564</v>
      </c>
      <c r="I745" cm="1">
        <f t="array" ref="I745">(PRODUCT(1+sp500_monthly!O746:O865)^(1/120)-1)*100</f>
        <v>0.15960660430478502</v>
      </c>
    </row>
    <row r="746" spans="1:9" x14ac:dyDescent="0.35">
      <c r="A746" s="1">
        <v>35825</v>
      </c>
      <c r="B746" cm="1">
        <f t="array" ref="B746">(PRODUCT(1+sp500_monthly!B747:B866)^(1/120)-1)*100</f>
        <v>1.3972959678065999</v>
      </c>
      <c r="C746" cm="1">
        <f t="array" ref="C746">(PRODUCT(1+sp500_monthly!C747:C866)^(1/120)-1)*100</f>
        <v>1.1465904889884415</v>
      </c>
      <c r="D746" cm="1">
        <f t="array" ref="D746">(PRODUCT(1+sp500_monthly!D747:D866)^(1/120)-1)*100</f>
        <v>1.3668394917748738</v>
      </c>
      <c r="E746" cm="1">
        <f t="array" ref="E746">(PRODUCT(1+sp500_monthly!E747:E866)^(1/120)-1)*100</f>
        <v>1.1407337881912394</v>
      </c>
      <c r="F746" cm="1">
        <f t="array" ref="F746">(PRODUCT(1+sp500_monthly!K747:K866)^(1/120)-1)*100</f>
        <v>1.1465491117530036</v>
      </c>
      <c r="G746" cm="1">
        <f t="array" ref="G746">(PRODUCT(1+sp500_monthly!L747:L866)^(1/120)-1)</f>
        <v>0.43553029758504125</v>
      </c>
      <c r="H746" cm="1">
        <f t="array" ref="H746">(PRODUCT(1+sp500_monthly!N747:N866)^(1/120)-1)*100</f>
        <v>1.1135910168458274</v>
      </c>
      <c r="I746" cm="1">
        <f t="array" ref="I746">(PRODUCT(1+sp500_monthly!O747:O866)^(1/120)-1)*100</f>
        <v>0.16128384616465041</v>
      </c>
    </row>
    <row r="747" spans="1:9" x14ac:dyDescent="0.35">
      <c r="A747" s="1">
        <v>35853</v>
      </c>
      <c r="B747" cm="1">
        <f t="array" ref="B747">(PRODUCT(1+sp500_monthly!B748:B867)^(1/120)-1)*100</f>
        <v>1.372032287338798</v>
      </c>
      <c r="C747" cm="1">
        <f t="array" ref="C747">(PRODUCT(1+sp500_monthly!C748:C867)^(1/120)-1)*100</f>
        <v>1.1219429452067109</v>
      </c>
      <c r="D747" cm="1">
        <f t="array" ref="D747">(PRODUCT(1+sp500_monthly!D748:D867)^(1/120)-1)*100</f>
        <v>1.3236070563026558</v>
      </c>
      <c r="E747" cm="1">
        <f t="array" ref="E747">(PRODUCT(1+sp500_monthly!E748:E867)^(1/120)-1)*100</f>
        <v>1.0980311930430364</v>
      </c>
      <c r="F747" cm="1">
        <f t="array" ref="F747">(PRODUCT(1+sp500_monthly!K748:K867)^(1/120)-1)*100</f>
        <v>1.1216556463218508</v>
      </c>
      <c r="G747" cm="1">
        <f t="array" ref="G747">(PRODUCT(1+sp500_monthly!L748:L867)^(1/120)-1)</f>
        <v>0.43676337588683611</v>
      </c>
      <c r="H747" cm="1">
        <f t="array" ref="H747">(PRODUCT(1+sp500_monthly!N748:N867)^(1/120)-1)*100</f>
        <v>1.0902672525794133</v>
      </c>
      <c r="I747" cm="1">
        <f t="array" ref="I747">(PRODUCT(1+sp500_monthly!O748:O867)^(1/120)-1)*100</f>
        <v>0.1643003175643365</v>
      </c>
    </row>
    <row r="748" spans="1:9" x14ac:dyDescent="0.35">
      <c r="A748" s="1">
        <v>35885</v>
      </c>
      <c r="B748" cm="1">
        <f t="array" ref="B748">(PRODUCT(1+sp500_monthly!B749:B868)^(1/120)-1)*100</f>
        <v>1.3915746027868048</v>
      </c>
      <c r="C748" cm="1">
        <f t="array" ref="C748">(PRODUCT(1+sp500_monthly!C749:C868)^(1/120)-1)*100</f>
        <v>1.14568351947546</v>
      </c>
      <c r="D748" cm="1">
        <f t="array" ref="D748">(PRODUCT(1+sp500_monthly!D749:D868)^(1/120)-1)*100</f>
        <v>1.3263617809219808</v>
      </c>
      <c r="E748" cm="1">
        <f t="array" ref="E748">(PRODUCT(1+sp500_monthly!E749:E868)^(1/120)-1)*100</f>
        <v>1.103117017240085</v>
      </c>
      <c r="F748" cm="1">
        <f t="array" ref="F748">(PRODUCT(1+sp500_monthly!K749:K868)^(1/120)-1)*100</f>
        <v>1.1445048811466352</v>
      </c>
      <c r="G748" cm="1">
        <f t="array" ref="G748">(PRODUCT(1+sp500_monthly!L749:L868)^(1/120)-1)</f>
        <v>0.43617522923760155</v>
      </c>
      <c r="H748" cm="1">
        <f t="array" ref="H748">(PRODUCT(1+sp500_monthly!N749:N868)^(1/120)-1)*100</f>
        <v>1.1112067357522237</v>
      </c>
      <c r="I748" cm="1">
        <f t="array" ref="I748">(PRODUCT(1+sp500_monthly!O749:O868)^(1/120)-1)*100</f>
        <v>0.16515640520842201</v>
      </c>
    </row>
    <row r="749" spans="1:9" x14ac:dyDescent="0.35">
      <c r="A749" s="1">
        <v>35915</v>
      </c>
      <c r="B749" cm="1">
        <f t="array" ref="B749">(PRODUCT(1+sp500_monthly!B750:B869)^(1/120)-1)*100</f>
        <v>1.4603705874119077</v>
      </c>
      <c r="C749" cm="1">
        <f t="array" ref="C749">(PRODUCT(1+sp500_monthly!C750:C869)^(1/120)-1)*100</f>
        <v>1.215520578418805</v>
      </c>
      <c r="D749" cm="1">
        <f t="array" ref="D749">(PRODUCT(1+sp500_monthly!D750:D869)^(1/120)-1)*100</f>
        <v>1.3741821180336844</v>
      </c>
      <c r="E749" cm="1">
        <f t="array" ref="E749">(PRODUCT(1+sp500_monthly!E750:E869)^(1/120)-1)*100</f>
        <v>1.1516735418796831</v>
      </c>
      <c r="F749" cm="1">
        <f t="array" ref="F749">(PRODUCT(1+sp500_monthly!K750:K869)^(1/120)-1)*100</f>
        <v>1.2141923959116951</v>
      </c>
      <c r="G749" cm="1">
        <f t="array" ref="G749">(PRODUCT(1+sp500_monthly!L750:L869)^(1/120)-1)</f>
        <v>0.43575234548662634</v>
      </c>
      <c r="H749" cm="1">
        <f t="array" ref="H749">(PRODUCT(1+sp500_monthly!N750:N869)^(1/120)-1)*100</f>
        <v>1.1819865501642157</v>
      </c>
      <c r="I749" cm="1">
        <f t="array" ref="I749">(PRODUCT(1+sp500_monthly!O750:O869)^(1/120)-1)*100</f>
        <v>0.16689302949000062</v>
      </c>
    </row>
    <row r="750" spans="1:9" x14ac:dyDescent="0.35">
      <c r="A750" s="1">
        <v>35944</v>
      </c>
      <c r="B750" cm="1">
        <f t="array" ref="B750">(PRODUCT(1+sp500_monthly!B751:B870)^(1/120)-1)*100</f>
        <v>1.4610054095886227</v>
      </c>
      <c r="C750" cm="1">
        <f t="array" ref="C750">(PRODUCT(1+sp500_monthly!C751:C870)^(1/120)-1)*100</f>
        <v>1.2167396141939735</v>
      </c>
      <c r="D750" cm="1">
        <f t="array" ref="D750">(PRODUCT(1+sp500_monthly!D751:D870)^(1/120)-1)*100</f>
        <v>1.3748553837254374</v>
      </c>
      <c r="E750" cm="1">
        <f t="array" ref="E750">(PRODUCT(1+sp500_monthly!E751:E870)^(1/120)-1)*100</f>
        <v>1.1526167998100689</v>
      </c>
      <c r="F750" cm="1">
        <f t="array" ref="F750">(PRODUCT(1+sp500_monthly!K751:K870)^(1/120)-1)*100</f>
        <v>1.2139007297808702</v>
      </c>
      <c r="G750" cm="1">
        <f t="array" ref="G750">(PRODUCT(1+sp500_monthly!L751:L870)^(1/120)-1)</f>
        <v>0.43550395799216646</v>
      </c>
      <c r="H750" cm="1">
        <f t="array" ref="H750">(PRODUCT(1+sp500_monthly!N751:N870)^(1/120)-1)*100</f>
        <v>1.1866305871236493</v>
      </c>
      <c r="I750" cm="1">
        <f t="array" ref="I750">(PRODUCT(1+sp500_monthly!O751:O870)^(1/120)-1)*100</f>
        <v>0.17061440451140442</v>
      </c>
    </row>
    <row r="751" spans="1:9" x14ac:dyDescent="0.35">
      <c r="A751" s="1">
        <v>35976</v>
      </c>
      <c r="B751" cm="1">
        <f t="array" ref="B751">(PRODUCT(1+sp500_monthly!B752:B871)^(1/120)-1)*100</f>
        <v>1.4391833891133965</v>
      </c>
      <c r="C751" cm="1">
        <f t="array" ref="C751">(PRODUCT(1+sp500_monthly!C752:C871)^(1/120)-1)*100</f>
        <v>1.1979566384249685</v>
      </c>
      <c r="D751" cm="1">
        <f t="array" ref="D751">(PRODUCT(1+sp500_monthly!D752:D871)^(1/120)-1)*100</f>
        <v>1.3496814911021504</v>
      </c>
      <c r="E751" cm="1">
        <f t="array" ref="E751">(PRODUCT(1+sp500_monthly!E752:E871)^(1/120)-1)*100</f>
        <v>1.1293506124096186</v>
      </c>
      <c r="F751" cm="1">
        <f t="array" ref="F751">(PRODUCT(1+sp500_monthly!K752:K871)^(1/120)-1)*100</f>
        <v>1.1951977645608958</v>
      </c>
      <c r="G751" cm="1">
        <f t="array" ref="G751">(PRODUCT(1+sp500_monthly!L752:L871)^(1/120)-1)</f>
        <v>0.43459942802785778</v>
      </c>
      <c r="H751" cm="1">
        <f t="array" ref="H751">(PRODUCT(1+sp500_monthly!N752:N871)^(1/120)-1)*100</f>
        <v>1.164946319480209</v>
      </c>
      <c r="I751" cm="1">
        <f t="array" ref="I751">(PRODUCT(1+sp500_monthly!O752:O871)^(1/120)-1)*100</f>
        <v>0.16977830327362664</v>
      </c>
    </row>
    <row r="752" spans="1:9" x14ac:dyDescent="0.35">
      <c r="A752" s="1">
        <v>36007</v>
      </c>
      <c r="B752" cm="1">
        <f t="array" ref="B752">(PRODUCT(1+sp500_monthly!B753:B872)^(1/120)-1)*100</f>
        <v>1.4337553486440946</v>
      </c>
      <c r="C752" cm="1">
        <f t="array" ref="C752">(PRODUCT(1+sp500_monthly!C753:C872)^(1/120)-1)*100</f>
        <v>1.19369497178059</v>
      </c>
      <c r="D752" cm="1">
        <f t="array" ref="D752">(PRODUCT(1+sp500_monthly!D753:D872)^(1/120)-1)*100</f>
        <v>1.3093435610787019</v>
      </c>
      <c r="E752" cm="1">
        <f t="array" ref="E752">(PRODUCT(1+sp500_monthly!E753:E872)^(1/120)-1)*100</f>
        <v>1.0897669297121659</v>
      </c>
      <c r="F752" cm="1">
        <f t="array" ref="F752">(PRODUCT(1+sp500_monthly!K753:K872)^(1/120)-1)*100</f>
        <v>1.1921059533813283</v>
      </c>
      <c r="G752" cm="1">
        <f t="array" ref="G752">(PRODUCT(1+sp500_monthly!L753:L872)^(1/120)-1)</f>
        <v>0.43393982637546391</v>
      </c>
      <c r="H752" cm="1">
        <f t="array" ref="H752">(PRODUCT(1+sp500_monthly!N753:N872)^(1/120)-1)*100</f>
        <v>1.1620763337688578</v>
      </c>
      <c r="I752" cm="1">
        <f t="array" ref="I752">(PRODUCT(1+sp500_monthly!O753:O872)^(1/120)-1)*100</f>
        <v>0.1716319774125008</v>
      </c>
    </row>
    <row r="753" spans="1:9" x14ac:dyDescent="0.35">
      <c r="A753" s="1">
        <v>36038</v>
      </c>
      <c r="B753" cm="1">
        <f t="array" ref="B753">(PRODUCT(1+sp500_monthly!B754:B873)^(1/120)-1)*100</f>
        <v>1.4289437189398013</v>
      </c>
      <c r="C753" cm="1">
        <f t="array" ref="C753">(PRODUCT(1+sp500_monthly!C754:C873)^(1/120)-1)*100</f>
        <v>1.1905295679870198</v>
      </c>
      <c r="D753" cm="1">
        <f t="array" ref="D753">(PRODUCT(1+sp500_monthly!D754:D873)^(1/120)-1)*100</f>
        <v>1.2800257070858301</v>
      </c>
      <c r="E753" cm="1">
        <f t="array" ref="E753">(PRODUCT(1+sp500_monthly!E754:E873)^(1/120)-1)*100</f>
        <v>1.0631688394358241</v>
      </c>
      <c r="F753" cm="1">
        <f t="array" ref="F753">(PRODUCT(1+sp500_monthly!K754:K873)^(1/120)-1)*100</f>
        <v>1.186829522575672</v>
      </c>
      <c r="G753" cm="1">
        <f t="array" ref="G753">(PRODUCT(1+sp500_monthly!L754:L873)^(1/120)-1)</f>
        <v>0.43303628199110267</v>
      </c>
      <c r="H753" cm="1">
        <f t="array" ref="H753">(PRODUCT(1+sp500_monthly!N754:N873)^(1/120)-1)*100</f>
        <v>1.1587733369285314</v>
      </c>
      <c r="I753" cm="1">
        <f t="array" ref="I753">(PRODUCT(1+sp500_monthly!O754:O873)^(1/120)-1)*100</f>
        <v>0.17219905844712002</v>
      </c>
    </row>
    <row r="754" spans="1:9" x14ac:dyDescent="0.35">
      <c r="A754" s="1">
        <v>36068</v>
      </c>
      <c r="B754" cm="1">
        <f t="array" ref="B754">(PRODUCT(1+sp500_monthly!B755:B874)^(1/120)-1)*100</f>
        <v>1.3263541000537726</v>
      </c>
      <c r="C754" cm="1">
        <f t="array" ref="C754">(PRODUCT(1+sp500_monthly!C755:C874)^(1/120)-1)*100</f>
        <v>1.0910148048407509</v>
      </c>
      <c r="D754" cm="1">
        <f t="array" ref="D754">(PRODUCT(1+sp500_monthly!D755:D874)^(1/120)-1)*100</f>
        <v>1.173050090839145</v>
      </c>
      <c r="E754" cm="1">
        <f t="array" ref="E754">(PRODUCT(1+sp500_monthly!E755:E874)^(1/120)-1)*100</f>
        <v>0.95787341775797064</v>
      </c>
      <c r="F754" cm="1">
        <f t="array" ref="F754">(PRODUCT(1+sp500_monthly!K755:K874)^(1/120)-1)*100</f>
        <v>1.0871912990788379</v>
      </c>
      <c r="G754" cm="1">
        <f t="array" ref="G754">(PRODUCT(1+sp500_monthly!L755:L874)^(1/120)-1)</f>
        <v>0.43177028141574758</v>
      </c>
      <c r="H754" cm="1">
        <f t="array" ref="H754">(PRODUCT(1+sp500_monthly!N755:N874)^(1/120)-1)*100</f>
        <v>1.058971458208835</v>
      </c>
      <c r="I754" cm="1">
        <f t="array" ref="I754">(PRODUCT(1+sp500_monthly!O755:O874)^(1/120)-1)*100</f>
        <v>0.17336265787264438</v>
      </c>
    </row>
    <row r="755" spans="1:9" x14ac:dyDescent="0.35">
      <c r="A755" s="1">
        <v>36098</v>
      </c>
      <c r="B755" cm="1">
        <f t="array" ref="B755">(PRODUCT(1+sp500_monthly!B756:B875)^(1/120)-1)*100</f>
        <v>1.3427447520953928</v>
      </c>
      <c r="C755" cm="1">
        <f t="array" ref="C755">(PRODUCT(1+sp500_monthly!C756:C875)^(1/120)-1)*100</f>
        <v>1.1082734455345689</v>
      </c>
      <c r="D755" cm="1">
        <f t="array" ref="D755">(PRODUCT(1+sp500_monthly!D756:D875)^(1/120)-1)*100</f>
        <v>1.1880325680893478</v>
      </c>
      <c r="E755" cm="1">
        <f t="array" ref="E755">(PRODUCT(1+sp500_monthly!E756:E875)^(1/120)-1)*100</f>
        <v>0.97324788334613999</v>
      </c>
      <c r="F755" cm="1">
        <f t="array" ref="F755">(PRODUCT(1+sp500_monthly!K756:K875)^(1/120)-1)*100</f>
        <v>1.105360517524745</v>
      </c>
      <c r="G755" cm="1">
        <f t="array" ref="G755">(PRODUCT(1+sp500_monthly!L756:L875)^(1/120)-1)</f>
        <v>0.43053007401843746</v>
      </c>
      <c r="H755" cm="1">
        <f t="array" ref="H755">(PRODUCT(1+sp500_monthly!N756:N875)^(1/120)-1)*100</f>
        <v>1.0783352184028816</v>
      </c>
      <c r="I755" cm="1">
        <f t="array" ref="I755">(PRODUCT(1+sp500_monthly!O756:O875)^(1/120)-1)*100</f>
        <v>0.17502359909316034</v>
      </c>
    </row>
    <row r="756" spans="1:9" x14ac:dyDescent="0.35">
      <c r="A756" s="1">
        <v>36129</v>
      </c>
      <c r="B756" cm="1">
        <f t="array" ref="B756">(PRODUCT(1+sp500_monthly!B757:B876)^(1/120)-1)*100</f>
        <v>1.3854258081403392</v>
      </c>
      <c r="C756" cm="1">
        <f t="array" ref="C756">(PRODUCT(1+sp500_monthly!C757:C876)^(1/120)-1)*100</f>
        <v>1.1530305619518844</v>
      </c>
      <c r="D756" cm="1">
        <f t="array" ref="D756">(PRODUCT(1+sp500_monthly!D757:D876)^(1/120)-1)*100</f>
        <v>1.2482584965537669</v>
      </c>
      <c r="E756" cm="1">
        <f t="array" ref="E756">(PRODUCT(1+sp500_monthly!E757:E876)^(1/120)-1)*100</f>
        <v>1.0350113631806934</v>
      </c>
      <c r="F756" cm="1">
        <f t="array" ref="F756">(PRODUCT(1+sp500_monthly!K757:K876)^(1/120)-1)*100</f>
        <v>1.1488456497637634</v>
      </c>
      <c r="G756" cm="1">
        <f t="array" ref="G756">(PRODUCT(1+sp500_monthly!L757:L876)^(1/120)-1)</f>
        <v>0.42816447572653082</v>
      </c>
      <c r="H756" cm="1">
        <f t="array" ref="H756">(PRODUCT(1+sp500_monthly!N757:N876)^(1/120)-1)*100</f>
        <v>1.1216618057167782</v>
      </c>
      <c r="I756" cm="1">
        <f t="array" ref="I756">(PRODUCT(1+sp500_monthly!O757:O876)^(1/120)-1)*100</f>
        <v>0.17336372591891802</v>
      </c>
    </row>
    <row r="757" spans="1:9" x14ac:dyDescent="0.35">
      <c r="A757" s="1">
        <v>36160</v>
      </c>
      <c r="B757" cm="1">
        <f t="array" ref="B757">(PRODUCT(1+sp500_monthly!B758:B877)^(1/120)-1)*100</f>
        <v>1.4486148353139328</v>
      </c>
      <c r="C757" cm="1">
        <f t="array" ref="C757">(PRODUCT(1+sp500_monthly!C758:C877)^(1/120)-1)*100</f>
        <v>1.2195461814427988</v>
      </c>
      <c r="D757" cm="1">
        <f t="array" ref="D757">(PRODUCT(1+sp500_monthly!D758:D877)^(1/120)-1)*100</f>
        <v>1.3096295730432139</v>
      </c>
      <c r="E757" cm="1">
        <f t="array" ref="E757">(PRODUCT(1+sp500_monthly!E758:E877)^(1/120)-1)*100</f>
        <v>1.098841431830877</v>
      </c>
      <c r="F757" cm="1">
        <f t="array" ref="F757">(PRODUCT(1+sp500_monthly!K758:K877)^(1/120)-1)*100</f>
        <v>1.2133618847820493</v>
      </c>
      <c r="G757" cm="1">
        <f t="array" ref="G757">(PRODUCT(1+sp500_monthly!L758:L877)^(1/120)-1)</f>
        <v>0.42601137527826438</v>
      </c>
      <c r="H757" cm="1">
        <f t="array" ref="H757">(PRODUCT(1+sp500_monthly!N758:N877)^(1/120)-1)*100</f>
        <v>1.1864665044311939</v>
      </c>
      <c r="I757" cm="1">
        <f t="array" ref="I757">(PRODUCT(1+sp500_monthly!O758:O877)^(1/120)-1)*100</f>
        <v>0.17296506764465924</v>
      </c>
    </row>
    <row r="758" spans="1:9" x14ac:dyDescent="0.35">
      <c r="A758" s="1">
        <v>36189</v>
      </c>
      <c r="B758" cm="1">
        <f t="array" ref="B758">(PRODUCT(1+sp500_monthly!B759:B878)^(1/120)-1)*100</f>
        <v>1.4820792710578123</v>
      </c>
      <c r="C758" cm="1">
        <f t="array" ref="C758">(PRODUCT(1+sp500_monthly!C759:C878)^(1/120)-1)*100</f>
        <v>1.2547593953918135</v>
      </c>
      <c r="D758" cm="1">
        <f t="array" ref="D758">(PRODUCT(1+sp500_monthly!D759:D878)^(1/120)-1)*100</f>
        <v>1.3107731546741386</v>
      </c>
      <c r="E758" cm="1">
        <f t="array" ref="E758">(PRODUCT(1+sp500_monthly!E759:E878)^(1/120)-1)*100</f>
        <v>1.1012982373404201</v>
      </c>
      <c r="F758" cm="1">
        <f t="array" ref="F758">(PRODUCT(1+sp500_monthly!K759:K878)^(1/120)-1)*100</f>
        <v>1.2473264025467445</v>
      </c>
      <c r="G758" cm="1">
        <f t="array" ref="G758">(PRODUCT(1+sp500_monthly!L759:L878)^(1/120)-1)</f>
        <v>0.42403419785640994</v>
      </c>
      <c r="H758" cm="1">
        <f t="array" ref="H758">(PRODUCT(1+sp500_monthly!N759:N878)^(1/120)-1)*100</f>
        <v>1.2211038351601866</v>
      </c>
      <c r="I758" cm="1">
        <f t="array" ref="I758">(PRODUCT(1+sp500_monthly!O759:O878)^(1/120)-1)*100</f>
        <v>0.17213495515135957</v>
      </c>
    </row>
    <row r="759" spans="1:9" x14ac:dyDescent="0.35">
      <c r="A759" s="1">
        <v>36217</v>
      </c>
      <c r="B759" cm="1">
        <f t="array" ref="B759">(PRODUCT(1+sp500_monthly!B760:B879)^(1/120)-1)*100</f>
        <v>1.4584880484315832</v>
      </c>
      <c r="C759" cm="1">
        <f t="array" ref="C759">(PRODUCT(1+sp500_monthly!C760:C879)^(1/120)-1)*100</f>
        <v>1.2326767436972697</v>
      </c>
      <c r="D759" cm="1">
        <f t="array" ref="D759">(PRODUCT(1+sp500_monthly!D760:D879)^(1/120)-1)*100</f>
        <v>1.2618911597298998</v>
      </c>
      <c r="E759" cm="1">
        <f t="array" ref="E759">(PRODUCT(1+sp500_monthly!E760:E879)^(1/120)-1)*100</f>
        <v>1.0538308538434293</v>
      </c>
      <c r="F759" cm="1">
        <f t="array" ref="F759">(PRODUCT(1+sp500_monthly!K760:K879)^(1/120)-1)*100</f>
        <v>1.223274812921904</v>
      </c>
      <c r="G759" cm="1">
        <f t="array" ref="G759">(PRODUCT(1+sp500_monthly!L760:L879)^(1/120)-1)</f>
        <v>0.42239571780275176</v>
      </c>
      <c r="H759" cm="1">
        <f t="array" ref="H759">(PRODUCT(1+sp500_monthly!N760:N879)^(1/120)-1)*100</f>
        <v>1.1995220197641876</v>
      </c>
      <c r="I759" cm="1">
        <f t="array" ref="I759">(PRODUCT(1+sp500_monthly!O760:O879)^(1/120)-1)*100</f>
        <v>0.17240187250315842</v>
      </c>
    </row>
    <row r="760" spans="1:9" x14ac:dyDescent="0.35">
      <c r="A760" s="1">
        <v>36250</v>
      </c>
      <c r="B760" cm="1">
        <f t="array" ref="B760">(PRODUCT(1+sp500_monthly!B761:B880)^(1/120)-1)*100</f>
        <v>1.452479819302277</v>
      </c>
      <c r="C760" cm="1">
        <f t="array" ref="C760">(PRODUCT(1+sp500_monthly!C761:C880)^(1/120)-1)*100</f>
        <v>1.2292207983849224</v>
      </c>
      <c r="D760" cm="1">
        <f t="array" ref="D760">(PRODUCT(1+sp500_monthly!D761:D880)^(1/120)-1)*100</f>
        <v>1.2548738796430259</v>
      </c>
      <c r="E760" cm="1">
        <f t="array" ref="E760">(PRODUCT(1+sp500_monthly!E761:E880)^(1/120)-1)*100</f>
        <v>1.0482718077867714</v>
      </c>
      <c r="F760" cm="1">
        <f t="array" ref="F760">(PRODUCT(1+sp500_monthly!K761:K880)^(1/120)-1)*100</f>
        <v>1.2203693670712612</v>
      </c>
      <c r="G760" cm="1">
        <f t="array" ref="G760">(PRODUCT(1+sp500_monthly!L761:L880)^(1/120)-1)</f>
        <v>0.42030953275871386</v>
      </c>
      <c r="H760" cm="1">
        <f t="array" ref="H760">(PRODUCT(1+sp500_monthly!N761:N880)^(1/120)-1)*100</f>
        <v>1.1963076822510521</v>
      </c>
      <c r="I760" cm="1">
        <f t="array" ref="I760">(PRODUCT(1+sp500_monthly!O761:O880)^(1/120)-1)*100</f>
        <v>0.1729923194593308</v>
      </c>
    </row>
    <row r="761" spans="1:9" x14ac:dyDescent="0.35">
      <c r="A761" s="1">
        <v>36280</v>
      </c>
      <c r="B761" cm="1">
        <f t="array" ref="B761">(PRODUCT(1+sp500_monthly!B762:B881)^(1/120)-1)*100</f>
        <v>1.4655527021283365</v>
      </c>
      <c r="C761" cm="1">
        <f t="array" ref="C761">(PRODUCT(1+sp500_monthly!C762:C881)^(1/120)-1)*100</f>
        <v>1.2434311118067365</v>
      </c>
      <c r="D761" cm="1">
        <f t="array" ref="D761">(PRODUCT(1+sp500_monthly!D762:D881)^(1/120)-1)*100</f>
        <v>1.2563631947996479</v>
      </c>
      <c r="E761" cm="1">
        <f t="array" ref="E761">(PRODUCT(1+sp500_monthly!E762:E881)^(1/120)-1)*100</f>
        <v>1.0507797991448076</v>
      </c>
      <c r="F761" cm="1">
        <f t="array" ref="F761">(PRODUCT(1+sp500_monthly!K762:K881)^(1/120)-1)*100</f>
        <v>1.2351046783805275</v>
      </c>
      <c r="G761" cm="1">
        <f t="array" ref="G761">(PRODUCT(1+sp500_monthly!L762:L881)^(1/120)-1)</f>
        <v>0.41847438716645047</v>
      </c>
      <c r="H761" cm="1">
        <f t="array" ref="H761">(PRODUCT(1+sp500_monthly!N762:N881)^(1/120)-1)*100</f>
        <v>1.212987022081502</v>
      </c>
      <c r="I761" cm="1">
        <f t="array" ref="I761">(PRODUCT(1+sp500_monthly!O762:O881)^(1/120)-1)*100</f>
        <v>0.17460196510517001</v>
      </c>
    </row>
    <row r="762" spans="1:9" x14ac:dyDescent="0.35">
      <c r="A762" s="1">
        <v>36308</v>
      </c>
      <c r="B762" cm="1">
        <f t="array" ref="B762">(PRODUCT(1+sp500_monthly!B763:B882)^(1/120)-1)*100</f>
        <v>1.4541015068706864</v>
      </c>
      <c r="C762" cm="1">
        <f t="array" ref="C762">(PRODUCT(1+sp500_monthly!C763:C882)^(1/120)-1)*100</f>
        <v>1.2328155407658192</v>
      </c>
      <c r="D762" cm="1">
        <f t="array" ref="D762">(PRODUCT(1+sp500_monthly!D763:D882)^(1/120)-1)*100</f>
        <v>1.2935603276376328</v>
      </c>
      <c r="E762" cm="1">
        <f t="array" ref="E762">(PRODUCT(1+sp500_monthly!E763:E882)^(1/120)-1)*100</f>
        <v>1.0881552804673067</v>
      </c>
      <c r="F762" cm="1">
        <f t="array" ref="F762">(PRODUCT(1+sp500_monthly!K763:K882)^(1/120)-1)*100</f>
        <v>1.2252903758159128</v>
      </c>
      <c r="G762" cm="1">
        <f t="array" ref="G762">(PRODUCT(1+sp500_monthly!L763:L882)^(1/120)-1)</f>
        <v>0.41613568218800467</v>
      </c>
      <c r="H762" cm="1">
        <f t="array" ref="H762">(PRODUCT(1+sp500_monthly!N763:N882)^(1/120)-1)*100</f>
        <v>1.202142367800918</v>
      </c>
      <c r="I762" cm="1">
        <f t="array" ref="I762">(PRODUCT(1+sp500_monthly!O763:O882)^(1/120)-1)*100</f>
        <v>0.17268274147712592</v>
      </c>
    </row>
    <row r="763" spans="1:9" x14ac:dyDescent="0.35">
      <c r="A763" s="1">
        <v>36341</v>
      </c>
      <c r="B763" cm="1">
        <f t="array" ref="B763">(PRODUCT(1+sp500_monthly!B764:B883)^(1/120)-1)*100</f>
        <v>1.400316090942022</v>
      </c>
      <c r="C763" cm="1">
        <f t="array" ref="C763">(PRODUCT(1+sp500_monthly!C764:C883)^(1/120)-1)*100</f>
        <v>1.1822255953506833</v>
      </c>
      <c r="D763" cm="1">
        <f t="array" ref="D763">(PRODUCT(1+sp500_monthly!D764:D883)^(1/120)-1)*100</f>
        <v>1.2536655246908168</v>
      </c>
      <c r="E763" cm="1">
        <f t="array" ref="E763">(PRODUCT(1+sp500_monthly!E764:E883)^(1/120)-1)*100</f>
        <v>1.050684264059365</v>
      </c>
      <c r="F763" cm="1">
        <f t="array" ref="F763">(PRODUCT(1+sp500_monthly!K764:K883)^(1/120)-1)*100</f>
        <v>1.1748406343103479</v>
      </c>
      <c r="G763" cm="1">
        <f t="array" ref="G763">(PRODUCT(1+sp500_monthly!L764:L883)^(1/120)-1)</f>
        <v>0.41272283099497598</v>
      </c>
      <c r="H763" cm="1">
        <f t="array" ref="H763">(PRODUCT(1+sp500_monthly!N764:N883)^(1/120)-1)*100</f>
        <v>1.1520810712065233</v>
      </c>
      <c r="I763" cm="1">
        <f t="array" ref="I763">(PRODUCT(1+sp500_monthly!O764:O883)^(1/120)-1)*100</f>
        <v>0.17250320692798748</v>
      </c>
    </row>
    <row r="764" spans="1:9" x14ac:dyDescent="0.35">
      <c r="A764" s="1">
        <v>36371</v>
      </c>
      <c r="B764" cm="1">
        <f t="array" ref="B764">(PRODUCT(1+sp500_monthly!B765:B884)^(1/120)-1)*100</f>
        <v>1.44986908182132</v>
      </c>
      <c r="C764" cm="1">
        <f t="array" ref="C764">(PRODUCT(1+sp500_monthly!C765:C884)^(1/120)-1)*100</f>
        <v>1.2328233001837496</v>
      </c>
      <c r="D764" cm="1">
        <f t="array" ref="D764">(PRODUCT(1+sp500_monthly!D765:D884)^(1/120)-1)*100</f>
        <v>1.2934945989424573</v>
      </c>
      <c r="E764" cm="1">
        <f t="array" ref="E764">(PRODUCT(1+sp500_monthly!E765:E884)^(1/120)-1)*100</f>
        <v>1.09111548878007</v>
      </c>
      <c r="F764" cm="1">
        <f t="array" ref="F764">(PRODUCT(1+sp500_monthly!K765:K884)^(1/120)-1)*100</f>
        <v>1.2262543006771098</v>
      </c>
      <c r="G764" cm="1">
        <f t="array" ref="G764">(PRODUCT(1+sp500_monthly!L765:L884)^(1/120)-1)</f>
        <v>0.41037000558031833</v>
      </c>
      <c r="H764" cm="1">
        <f t="array" ref="H764">(PRODUCT(1+sp500_monthly!N765:N884)^(1/120)-1)*100</f>
        <v>1.2042354583822412</v>
      </c>
      <c r="I764" cm="1">
        <f t="array" ref="I764">(PRODUCT(1+sp500_monthly!O765:O884)^(1/120)-1)*100</f>
        <v>0.17262468319920732</v>
      </c>
    </row>
    <row r="765" spans="1:9" x14ac:dyDescent="0.35">
      <c r="A765" s="1">
        <v>36403</v>
      </c>
      <c r="B765" cm="1">
        <f t="array" ref="B765">(PRODUCT(1+sp500_monthly!B766:B885)^(1/120)-1)*100</f>
        <v>1.3510776874048336</v>
      </c>
      <c r="C765" cm="1">
        <f t="array" ref="C765">(PRODUCT(1+sp500_monthly!C766:C885)^(1/120)-1)*100</f>
        <v>1.134930605511042</v>
      </c>
      <c r="D765" cm="1">
        <f t="array" ref="D765">(PRODUCT(1+sp500_monthly!D766:D885)^(1/120)-1)*100</f>
        <v>1.1966823860640519</v>
      </c>
      <c r="E765" cm="1">
        <f t="array" ref="E765">(PRODUCT(1+sp500_monthly!E766:E885)^(1/120)-1)*100</f>
        <v>0.99478980619702728</v>
      </c>
      <c r="F765" cm="1">
        <f t="array" ref="F765">(PRODUCT(1+sp500_monthly!K766:K885)^(1/120)-1)*100</f>
        <v>1.1273945365636084</v>
      </c>
      <c r="G765" cm="1">
        <f t="array" ref="G765">(PRODUCT(1+sp500_monthly!L766:L885)^(1/120)-1)</f>
        <v>0.40792109029104129</v>
      </c>
      <c r="H765" cm="1">
        <f t="array" ref="H765">(PRODUCT(1+sp500_monthly!N766:N885)^(1/120)-1)*100</f>
        <v>1.1048491611439282</v>
      </c>
      <c r="I765" cm="1">
        <f t="array" ref="I765">(PRODUCT(1+sp500_monthly!O766:O885)^(1/120)-1)*100</f>
        <v>0.16914141336625832</v>
      </c>
    </row>
    <row r="766" spans="1:9" x14ac:dyDescent="0.35">
      <c r="A766" s="1">
        <v>36433</v>
      </c>
      <c r="B766" cm="1">
        <f t="array" ref="B766">(PRODUCT(1+sp500_monthly!B767:B886)^(1/120)-1)*100</f>
        <v>1.3302394628789793</v>
      </c>
      <c r="C766" cm="1">
        <f t="array" ref="C766">(PRODUCT(1+sp500_monthly!C767:C886)^(1/120)-1)*100</f>
        <v>1.1166710975243799</v>
      </c>
      <c r="D766" cm="1">
        <f t="array" ref="D766">(PRODUCT(1+sp500_monthly!D767:D886)^(1/120)-1)*100</f>
        <v>1.1534778179175476</v>
      </c>
      <c r="E766" cm="1">
        <f t="array" ref="E766">(PRODUCT(1+sp500_monthly!E767:E886)^(1/120)-1)*100</f>
        <v>0.9530358345134271</v>
      </c>
      <c r="F766" cm="1">
        <f t="array" ref="F766">(PRODUCT(1+sp500_monthly!K767:K886)^(1/120)-1)*100</f>
        <v>1.1091330158496282</v>
      </c>
      <c r="G766" cm="1">
        <f t="array" ref="G766">(PRODUCT(1+sp500_monthly!L767:L886)^(1/120)-1)</f>
        <v>0.40528861406572081</v>
      </c>
      <c r="H766" cm="1">
        <f t="array" ref="H766">(PRODUCT(1+sp500_monthly!N767:N886)^(1/120)-1)*100</f>
        <v>1.0820427266385879</v>
      </c>
      <c r="I766" cm="1">
        <f t="array" ref="I766">(PRODUCT(1+sp500_monthly!O767:O886)^(1/120)-1)*100</f>
        <v>0.16423576193163036</v>
      </c>
    </row>
    <row r="767" spans="1:9" x14ac:dyDescent="0.35">
      <c r="A767" s="1">
        <v>36462</v>
      </c>
      <c r="B767" cm="1">
        <f t="array" ref="B767">(PRODUCT(1+sp500_monthly!B768:B887)^(1/120)-1)*100</f>
        <v>1.3095797287784761</v>
      </c>
      <c r="C767" cm="1">
        <f t="array" ref="C767">(PRODUCT(1+sp500_monthly!C768:C887)^(1/120)-1)*100</f>
        <v>1.0972454694427647</v>
      </c>
      <c r="D767" cm="1">
        <f t="array" ref="D767">(PRODUCT(1+sp500_monthly!D768:D887)^(1/120)-1)*100</f>
        <v>1.1328862273576545</v>
      </c>
      <c r="E767" cm="1">
        <f t="array" ref="E767">(PRODUCT(1+sp500_monthly!E768:E887)^(1/120)-1)*100</f>
        <v>0.9344481614741218</v>
      </c>
      <c r="F767" cm="1">
        <f t="array" ref="F767">(PRODUCT(1+sp500_monthly!K768:K887)^(1/120)-1)*100</f>
        <v>1.0902593613088651</v>
      </c>
      <c r="G767" cm="1">
        <f t="array" ref="G767">(PRODUCT(1+sp500_monthly!L768:L887)^(1/120)-1)</f>
        <v>0.40328198970386531</v>
      </c>
      <c r="H767" cm="1">
        <f t="array" ref="H767">(PRODUCT(1+sp500_monthly!N768:N887)^(1/120)-1)*100</f>
        <v>1.0599399037271917</v>
      </c>
      <c r="I767" cm="1">
        <f t="array" ref="I767">(PRODUCT(1+sp500_monthly!O768:O887)^(1/120)-1)*100</f>
        <v>0.16059638576526591</v>
      </c>
    </row>
    <row r="768" spans="1:9" x14ac:dyDescent="0.35">
      <c r="A768" s="1">
        <v>36494</v>
      </c>
      <c r="B768" cm="1">
        <f t="array" ref="B768">(PRODUCT(1+sp500_monthly!B769:B888)^(1/120)-1)*100</f>
        <v>1.3823646580596982</v>
      </c>
      <c r="C768" cm="1">
        <f t="array" ref="C768">(PRODUCT(1+sp500_monthly!C769:C888)^(1/120)-1)*100</f>
        <v>1.1710563805961582</v>
      </c>
      <c r="D768" cm="1">
        <f t="array" ref="D768">(PRODUCT(1+sp500_monthly!D769:D888)^(1/120)-1)*100</f>
        <v>1.1988965575571608</v>
      </c>
      <c r="E768" cm="1">
        <f t="array" ref="E768">(PRODUCT(1+sp500_monthly!E769:E888)^(1/120)-1)*100</f>
        <v>1.0008792002582645</v>
      </c>
      <c r="F768" cm="1">
        <f t="array" ref="F768">(PRODUCT(1+sp500_monthly!K769:K888)^(1/120)-1)*100</f>
        <v>1.1628670830484245</v>
      </c>
      <c r="G768" cm="1">
        <f t="array" ref="G768">(PRODUCT(1+sp500_monthly!L769:L888)^(1/120)-1)</f>
        <v>0.40106783858591877</v>
      </c>
      <c r="H768" cm="1">
        <f t="array" ref="H768">(PRODUCT(1+sp500_monthly!N769:N888)^(1/120)-1)*100</f>
        <v>1.1350821922864851</v>
      </c>
      <c r="I768" cm="1">
        <f t="array" ref="I768">(PRODUCT(1+sp500_monthly!O769:O888)^(1/120)-1)*100</f>
        <v>0.16070101718330676</v>
      </c>
    </row>
    <row r="769" spans="1:9" x14ac:dyDescent="0.35">
      <c r="A769" s="1">
        <v>36525</v>
      </c>
      <c r="B769" cm="1">
        <f t="array" ref="B769">(PRODUCT(1+sp500_monthly!B770:B889)^(1/120)-1)*100</f>
        <v>1.3826485799318888</v>
      </c>
      <c r="C769" cm="1">
        <f t="array" ref="C769">(PRODUCT(1+sp500_monthly!C770:C889)^(1/120)-1)*100</f>
        <v>1.1734628936989733</v>
      </c>
      <c r="D769" cm="1">
        <f t="array" ref="D769">(PRODUCT(1+sp500_monthly!D770:D889)^(1/120)-1)*100</f>
        <v>1.1871332232723741</v>
      </c>
      <c r="E769" cm="1">
        <f t="array" ref="E769">(PRODUCT(1+sp500_monthly!E770:E889)^(1/120)-1)*100</f>
        <v>0.99033517776105917</v>
      </c>
      <c r="F769" cm="1">
        <f t="array" ref="F769">(PRODUCT(1+sp500_monthly!K770:K889)^(1/120)-1)*100</f>
        <v>1.1649551977279904</v>
      </c>
      <c r="G769" cm="1">
        <f t="array" ref="G769">(PRODUCT(1+sp500_monthly!L770:L889)^(1/120)-1)</f>
        <v>0.39853368862816785</v>
      </c>
      <c r="H769" cm="1">
        <f t="array" ref="H769">(PRODUCT(1+sp500_monthly!N770:N889)^(1/120)-1)*100</f>
        <v>1.1372164276958863</v>
      </c>
      <c r="I769" cm="1">
        <f t="array" ref="I769">(PRODUCT(1+sp500_monthly!O770:O889)^(1/120)-1)*100</f>
        <v>0.15979413544280341</v>
      </c>
    </row>
    <row r="770" spans="1:9" x14ac:dyDescent="0.35">
      <c r="A770" s="1">
        <v>36556</v>
      </c>
      <c r="B770" cm="1">
        <f t="array" ref="B770">(PRODUCT(1+sp500_monthly!B771:B890)^(1/120)-1)*100</f>
        <v>1.4150073366544058</v>
      </c>
      <c r="C770" cm="1">
        <f t="array" ref="C770">(PRODUCT(1+sp500_monthly!C771:C890)^(1/120)-1)*100</f>
        <v>1.2071409650705966</v>
      </c>
      <c r="D770" cm="1">
        <f t="array" ref="D770">(PRODUCT(1+sp500_monthly!D771:D890)^(1/120)-1)*100</f>
        <v>1.2108358538200248</v>
      </c>
      <c r="E770" cm="1">
        <f t="array" ref="E770">(PRODUCT(1+sp500_monthly!E771:E890)^(1/120)-1)*100</f>
        <v>1.0147396179905011</v>
      </c>
      <c r="F770" cm="1">
        <f t="array" ref="F770">(PRODUCT(1+sp500_monthly!K771:K890)^(1/120)-1)*100</f>
        <v>1.1945013608234412</v>
      </c>
      <c r="G770" cm="1">
        <f t="array" ref="G770">(PRODUCT(1+sp500_monthly!L771:L890)^(1/120)-1)</f>
        <v>0.39723376093713147</v>
      </c>
      <c r="H770" cm="1">
        <f t="array" ref="H770">(PRODUCT(1+sp500_monthly!N771:N890)^(1/120)-1)*100</f>
        <v>1.170170983763863</v>
      </c>
      <c r="I770" cm="1">
        <f t="array" ref="I770">(PRODUCT(1+sp500_monthly!O771:O890)^(1/120)-1)*100</f>
        <v>0.15905002266589641</v>
      </c>
    </row>
    <row r="771" spans="1:9" x14ac:dyDescent="0.35">
      <c r="A771" s="1">
        <v>36585</v>
      </c>
      <c r="B771" cm="1">
        <f t="array" ref="B771">(PRODUCT(1+sp500_monthly!B772:B891)^(1/120)-1)*100</f>
        <v>1.4311969147755566</v>
      </c>
      <c r="C771" cm="1">
        <f t="array" ref="C771">(PRODUCT(1+sp500_monthly!C772:C891)^(1/120)-1)*100</f>
        <v>1.2242871935556732</v>
      </c>
      <c r="D771" cm="1">
        <f t="array" ref="D771">(PRODUCT(1+sp500_monthly!D772:D891)^(1/120)-1)*100</f>
        <v>1.2252157466543734</v>
      </c>
      <c r="E771" cm="1">
        <f t="array" ref="E771">(PRODUCT(1+sp500_monthly!E772:E891)^(1/120)-1)*100</f>
        <v>1.0295386465206002</v>
      </c>
      <c r="F771" cm="1">
        <f t="array" ref="F771">(PRODUCT(1+sp500_monthly!K772:K891)^(1/120)-1)*100</f>
        <v>1.2105707479702188</v>
      </c>
      <c r="G771" cm="1">
        <f t="array" ref="G771">(PRODUCT(1+sp500_monthly!L772:L891)^(1/120)-1)</f>
        <v>0.39598279669823966</v>
      </c>
      <c r="H771" cm="1">
        <f t="array" ref="H771">(PRODUCT(1+sp500_monthly!N772:N891)^(1/120)-1)*100</f>
        <v>1.1918013944216321</v>
      </c>
      <c r="I771" cm="1">
        <f t="array" ref="I771">(PRODUCT(1+sp500_monthly!O772:O891)^(1/120)-1)*100</f>
        <v>0.16314530086805057</v>
      </c>
    </row>
    <row r="772" spans="1:9" x14ac:dyDescent="0.35">
      <c r="A772" s="1">
        <v>36616</v>
      </c>
      <c r="B772" cm="1">
        <f t="array" ref="B772">(PRODUCT(1+sp500_monthly!B773:B892)^(1/120)-1)*100</f>
        <v>1.4050779809184455</v>
      </c>
      <c r="C772" cm="1">
        <f t="array" ref="C772">(PRODUCT(1+sp500_monthly!C773:C892)^(1/120)-1)*100</f>
        <v>1.2008495049705026</v>
      </c>
      <c r="D772" cm="1">
        <f t="array" ref="D772">(PRODUCT(1+sp500_monthly!D773:D892)^(1/120)-1)*100</f>
        <v>1.1745549080323991</v>
      </c>
      <c r="E772" cm="1">
        <f t="array" ref="E772">(PRODUCT(1+sp500_monthly!E773:E892)^(1/120)-1)*100</f>
        <v>0.98027984409008173</v>
      </c>
      <c r="F772" cm="1">
        <f t="array" ref="F772">(PRODUCT(1+sp500_monthly!K773:K892)^(1/120)-1)*100</f>
        <v>1.1862699153905698</v>
      </c>
      <c r="G772" cm="1">
        <f t="array" ref="G772">(PRODUCT(1+sp500_monthly!L773:L892)^(1/120)-1)</f>
        <v>0.39489666583086325</v>
      </c>
      <c r="H772" cm="1">
        <f t="array" ref="H772">(PRODUCT(1+sp500_monthly!N773:N892)^(1/120)-1)*100</f>
        <v>1.1655651702936698</v>
      </c>
      <c r="I772" cm="1">
        <f t="array" ref="I772">(PRODUCT(1+sp500_monthly!O773:O892)^(1/120)-1)*100</f>
        <v>0.16180539100862923</v>
      </c>
    </row>
    <row r="773" spans="1:9" x14ac:dyDescent="0.35">
      <c r="A773" s="1">
        <v>36644</v>
      </c>
      <c r="B773" cm="1">
        <f t="array" ref="B773">(PRODUCT(1+sp500_monthly!B774:B893)^(1/120)-1)*100</f>
        <v>1.4622984192161015</v>
      </c>
      <c r="C773" cm="1">
        <f t="array" ref="C773">(PRODUCT(1+sp500_monthly!C774:C893)^(1/120)-1)*100</f>
        <v>1.2589756909251681</v>
      </c>
      <c r="D773" cm="1">
        <f t="array" ref="D773">(PRODUCT(1+sp500_monthly!D774:D893)^(1/120)-1)*100</f>
        <v>1.2361657013882699</v>
      </c>
      <c r="E773" cm="1">
        <f t="array" ref="E773">(PRODUCT(1+sp500_monthly!E774:E893)^(1/120)-1)*100</f>
        <v>1.0421493198293996</v>
      </c>
      <c r="F773" cm="1">
        <f t="array" ref="F773">(PRODUCT(1+sp500_monthly!K774:K893)^(1/120)-1)*100</f>
        <v>1.2439274221277108</v>
      </c>
      <c r="G773" cm="1">
        <f t="array" ref="G773">(PRODUCT(1+sp500_monthly!L774:L893)^(1/120)-1)</f>
        <v>0.39362517152106413</v>
      </c>
      <c r="H773" cm="1">
        <f t="array" ref="H773">(PRODUCT(1+sp500_monthly!N774:N893)^(1/120)-1)*100</f>
        <v>1.2216478758874327</v>
      </c>
      <c r="I773" cm="1">
        <f t="array" ref="I773">(PRODUCT(1+sp500_monthly!O774:O893)^(1/120)-1)*100</f>
        <v>0.15940221339751925</v>
      </c>
    </row>
    <row r="774" spans="1:9" x14ac:dyDescent="0.35">
      <c r="A774" s="1">
        <v>36677</v>
      </c>
      <c r="B774" cm="1">
        <f t="array" ref="B774">(PRODUCT(1+sp500_monthly!B775:B894)^(1/120)-1)*100</f>
        <v>1.4561404533922628</v>
      </c>
      <c r="C774" cm="1">
        <f t="array" ref="C774">(PRODUCT(1+sp500_monthly!C775:C894)^(1/120)-1)*100</f>
        <v>1.2539333286033072</v>
      </c>
      <c r="D774" cm="1">
        <f t="array" ref="D774">(PRODUCT(1+sp500_monthly!D775:D894)^(1/120)-1)*100</f>
        <v>1.2779212368296822</v>
      </c>
      <c r="E774" cm="1">
        <f t="array" ref="E774">(PRODUCT(1+sp500_monthly!E775:E894)^(1/120)-1)*100</f>
        <v>1.0843202086704862</v>
      </c>
      <c r="F774" cm="1">
        <f t="array" ref="F774">(PRODUCT(1+sp500_monthly!K775:K894)^(1/120)-1)*100</f>
        <v>1.2405315088167779</v>
      </c>
      <c r="G774" cm="1">
        <f t="array" ref="G774">(PRODUCT(1+sp500_monthly!L775:L894)^(1/120)-1)</f>
        <v>0.39192723717873723</v>
      </c>
      <c r="H774" cm="1">
        <f t="array" ref="H774">(PRODUCT(1+sp500_monthly!N775:N894)^(1/120)-1)*100</f>
        <v>1.2179632932484807</v>
      </c>
      <c r="I774" cm="1">
        <f t="array" ref="I774">(PRODUCT(1+sp500_monthly!O775:O894)^(1/120)-1)*100</f>
        <v>0.15992656002201677</v>
      </c>
    </row>
    <row r="775" spans="1:9" x14ac:dyDescent="0.35">
      <c r="A775" s="1">
        <v>36707</v>
      </c>
      <c r="B775" cm="1">
        <f t="array" ref="B775">(PRODUCT(1+sp500_monthly!B776:B895)^(1/120)-1)*100</f>
        <v>1.358521070146268</v>
      </c>
      <c r="C775" cm="1">
        <f t="array" ref="C775">(PRODUCT(1+sp500_monthly!C776:C895)^(1/120)-1)*100</f>
        <v>1.1592336729109087</v>
      </c>
      <c r="D775" cm="1">
        <f t="array" ref="D775">(PRODUCT(1+sp500_monthly!D776:D895)^(1/120)-1)*100</f>
        <v>1.2143463942630772</v>
      </c>
      <c r="E775" cm="1">
        <f t="array" ref="E775">(PRODUCT(1+sp500_monthly!E776:E895)^(1/120)-1)*100</f>
        <v>1.0221366534469922</v>
      </c>
      <c r="F775" cm="1">
        <f t="array" ref="F775">(PRODUCT(1+sp500_monthly!K776:K895)^(1/120)-1)*100</f>
        <v>1.1476357642656865</v>
      </c>
      <c r="G775" cm="1">
        <f t="array" ref="G775">(PRODUCT(1+sp500_monthly!L776:L895)^(1/120)-1)</f>
        <v>0.39061331368288421</v>
      </c>
      <c r="H775" cm="1">
        <f t="array" ref="H775">(PRODUCT(1+sp500_monthly!N776:N895)^(1/120)-1)*100</f>
        <v>1.1204016086147073</v>
      </c>
      <c r="I775" cm="1">
        <f t="array" ref="I775">(PRODUCT(1+sp500_monthly!O776:O895)^(1/120)-1)*100</f>
        <v>0.15826314411107045</v>
      </c>
    </row>
    <row r="776" spans="1:9" x14ac:dyDescent="0.35">
      <c r="A776" s="1">
        <v>36738</v>
      </c>
      <c r="B776" cm="1">
        <f t="array" ref="B776">(PRODUCT(1+sp500_monthly!B777:B896)^(1/120)-1)*100</f>
        <v>1.3861096180296961</v>
      </c>
      <c r="C776" cm="1">
        <f t="array" ref="C776">(PRODUCT(1+sp500_monthly!C777:C896)^(1/120)-1)*100</f>
        <v>1.1880162229803926</v>
      </c>
      <c r="D776" cm="1">
        <f t="array" ref="D776">(PRODUCT(1+sp500_monthly!D777:D896)^(1/120)-1)*100</f>
        <v>1.2099967636038045</v>
      </c>
      <c r="E776" cm="1">
        <f t="array" ref="E776">(PRODUCT(1+sp500_monthly!E777:E896)^(1/120)-1)*100</f>
        <v>1.0185190915966036</v>
      </c>
      <c r="F776" cm="1">
        <f t="array" ref="F776">(PRODUCT(1+sp500_monthly!K777:K896)^(1/120)-1)*100</f>
        <v>1.1750992100936664</v>
      </c>
      <c r="G776" cm="1">
        <f t="array" ref="G776">(PRODUCT(1+sp500_monthly!L777:L896)^(1/120)-1)</f>
        <v>0.38885173786221405</v>
      </c>
      <c r="H776" cm="1">
        <f t="array" ref="H776">(PRODUCT(1+sp500_monthly!N777:N896)^(1/120)-1)*100</f>
        <v>1.1482233065911673</v>
      </c>
      <c r="I776" cm="1">
        <f t="array" ref="I776">(PRODUCT(1+sp500_monthly!O777:O896)^(1/120)-1)*100</f>
        <v>0.15664833954773805</v>
      </c>
    </row>
    <row r="777" spans="1:9" x14ac:dyDescent="0.35">
      <c r="A777" s="1">
        <v>36769</v>
      </c>
      <c r="B777" cm="1">
        <f t="array" ref="B777">(PRODUCT(1+sp500_monthly!B778:B897)^(1/120)-1)*100</f>
        <v>1.3790013386463684</v>
      </c>
      <c r="C777" cm="1">
        <f t="array" ref="C777">(PRODUCT(1+sp500_monthly!C778:C897)^(1/120)-1)*100</f>
        <v>1.1820104764471706</v>
      </c>
      <c r="D777" cm="1">
        <f t="array" ref="D777">(PRODUCT(1+sp500_monthly!D778:D897)^(1/120)-1)*100</f>
        <v>1.234265872832907</v>
      </c>
      <c r="E777" cm="1">
        <f t="array" ref="E777">(PRODUCT(1+sp500_monthly!E778:E897)^(1/120)-1)*100</f>
        <v>1.0432321723951254</v>
      </c>
      <c r="F777" cm="1">
        <f t="array" ref="F777">(PRODUCT(1+sp500_monthly!K778:K897)^(1/120)-1)*100</f>
        <v>1.1656235104547275</v>
      </c>
      <c r="G777" cm="1">
        <f t="array" ref="G777">(PRODUCT(1+sp500_monthly!L778:L897)^(1/120)-1)</f>
        <v>0.38738551796755449</v>
      </c>
      <c r="H777" cm="1">
        <f t="array" ref="H777">(PRODUCT(1+sp500_monthly!N778:N897)^(1/120)-1)*100</f>
        <v>1.1425720582727283</v>
      </c>
      <c r="I777" cm="1">
        <f t="array" ref="I777">(PRODUCT(1+sp500_monthly!O778:O897)^(1/120)-1)*100</f>
        <v>0.15641501020084991</v>
      </c>
    </row>
    <row r="778" spans="1:9" x14ac:dyDescent="0.35">
      <c r="A778" s="1">
        <v>36798</v>
      </c>
      <c r="B778" cm="1">
        <f t="array" ref="B778">(PRODUCT(1+sp500_monthly!B779:B898)^(1/120)-1)*100</f>
        <v>1.5107988516340543</v>
      </c>
      <c r="C778" cm="1">
        <f t="array" ref="C778">(PRODUCT(1+sp500_monthly!C779:C898)^(1/120)-1)*100</f>
        <v>1.3163154000833455</v>
      </c>
      <c r="D778" cm="1">
        <f t="array" ref="D778">(PRODUCT(1+sp500_monthly!D779:D898)^(1/120)-1)*100</f>
        <v>1.3952962790691137</v>
      </c>
      <c r="E778" cm="1">
        <f t="array" ref="E778">(PRODUCT(1+sp500_monthly!E779:E898)^(1/120)-1)*100</f>
        <v>1.2057995947082345</v>
      </c>
      <c r="F778" cm="1">
        <f t="array" ref="F778">(PRODUCT(1+sp500_monthly!K779:K898)^(1/120)-1)*100</f>
        <v>1.2989048240037215</v>
      </c>
      <c r="G778" cm="1">
        <f t="array" ref="G778">(PRODUCT(1+sp500_monthly!L779:L898)^(1/120)-1)</f>
        <v>0.38621422115535142</v>
      </c>
      <c r="H778" cm="1">
        <f t="array" ref="H778">(PRODUCT(1+sp500_monthly!N779:N898)^(1/120)-1)*100</f>
        <v>1.2811463949538249</v>
      </c>
      <c r="I778" cm="1">
        <f t="array" ref="I778">(PRODUCT(1+sp500_monthly!O779:O898)^(1/120)-1)*100</f>
        <v>0.1620932205043113</v>
      </c>
    </row>
    <row r="779" spans="1:9" x14ac:dyDescent="0.35">
      <c r="A779" s="1">
        <v>36830</v>
      </c>
      <c r="B779" cm="1">
        <f t="array" ref="B779">(PRODUCT(1+sp500_monthly!B780:B899)^(1/120)-1)*100</f>
        <v>1.5080111469034208</v>
      </c>
      <c r="C779" cm="1">
        <f t="array" ref="C779">(PRODUCT(1+sp500_monthly!C780:C899)^(1/120)-1)*100</f>
        <v>1.3149064513318098</v>
      </c>
      <c r="D779" cm="1">
        <f t="array" ref="D779">(PRODUCT(1+sp500_monthly!D780:D899)^(1/120)-1)*100</f>
        <v>1.4481757048958599</v>
      </c>
      <c r="E779" cm="1">
        <f t="array" ref="E779">(PRODUCT(1+sp500_monthly!E780:E899)^(1/120)-1)*100</f>
        <v>1.2593879890914206</v>
      </c>
      <c r="F779" cm="1">
        <f t="array" ref="F779">(PRODUCT(1+sp500_monthly!K780:K899)^(1/120)-1)*100</f>
        <v>1.2968569521841111</v>
      </c>
      <c r="G779" cm="1">
        <f t="array" ref="G779">(PRODUCT(1+sp500_monthly!L780:L899)^(1/120)-1)</f>
        <v>0.38554560365382073</v>
      </c>
      <c r="H779" cm="1">
        <f t="array" ref="H779">(PRODUCT(1+sp500_monthly!N780:N899)^(1/120)-1)*100</f>
        <v>1.2797304153201461</v>
      </c>
      <c r="I779" cm="1">
        <f t="array" ref="I779">(PRODUCT(1+sp500_monthly!O780:O899)^(1/120)-1)*100</f>
        <v>0.16269651265841123</v>
      </c>
    </row>
    <row r="780" spans="1:9" x14ac:dyDescent="0.35">
      <c r="A780" s="1">
        <v>36860</v>
      </c>
      <c r="B780" cm="1">
        <f t="array" ref="B780">(PRODUCT(1+sp500_monthly!B781:B900)^(1/120)-1)*100</f>
        <v>1.5075670284815601</v>
      </c>
      <c r="C780" cm="1">
        <f t="array" ref="C780">(PRODUCT(1+sp500_monthly!C781:C900)^(1/120)-1)*100</f>
        <v>1.3159939419420619</v>
      </c>
      <c r="D780" cm="1">
        <f t="array" ref="D780">(PRODUCT(1+sp500_monthly!D781:D900)^(1/120)-1)*100</f>
        <v>1.4971595122111436</v>
      </c>
      <c r="E780" cm="1">
        <f t="array" ref="E780">(PRODUCT(1+sp500_monthly!E781:E900)^(1/120)-1)*100</f>
        <v>1.3093465788065695</v>
      </c>
      <c r="F780" cm="1">
        <f t="array" ref="F780">(PRODUCT(1+sp500_monthly!K781:K900)^(1/120)-1)*100</f>
        <v>1.2983420133308998</v>
      </c>
      <c r="G780" cm="1">
        <f t="array" ref="G780">(PRODUCT(1+sp500_monthly!L781:L900)^(1/120)-1)</f>
        <v>0.38469020135643683</v>
      </c>
      <c r="H780" cm="1">
        <f t="array" ref="H780">(PRODUCT(1+sp500_monthly!N781:N900)^(1/120)-1)*100</f>
        <v>1.283543536523668</v>
      </c>
      <c r="I780" cm="1">
        <f t="array" ref="I780">(PRODUCT(1+sp500_monthly!O781:O900)^(1/120)-1)*100</f>
        <v>0.1659103368664594</v>
      </c>
    </row>
    <row r="781" spans="1:9" x14ac:dyDescent="0.35">
      <c r="A781" s="1">
        <v>36889</v>
      </c>
      <c r="B781" cm="1">
        <f t="array" ref="B781">(PRODUCT(1+sp500_monthly!B782:B901)^(1/120)-1)*100</f>
        <v>1.3857775420669682</v>
      </c>
      <c r="C781" cm="1">
        <f t="array" ref="C781">(PRODUCT(1+sp500_monthly!C782:C901)^(1/120)-1)*100</f>
        <v>1.1969568965735089</v>
      </c>
      <c r="D781" cm="1">
        <f t="array" ref="D781">(PRODUCT(1+sp500_monthly!D782:D901)^(1/120)-1)*100</f>
        <v>1.383348141309515</v>
      </c>
      <c r="E781" cm="1">
        <f t="array" ref="E781">(PRODUCT(1+sp500_monthly!E782:E901)^(1/120)-1)*100</f>
        <v>1.1972084666014515</v>
      </c>
      <c r="F781" cm="1">
        <f t="array" ref="F781">(PRODUCT(1+sp500_monthly!K782:K901)^(1/120)-1)*100</f>
        <v>1.1788271330497535</v>
      </c>
      <c r="G781" cm="1">
        <f t="array" ref="G781">(PRODUCT(1+sp500_monthly!L782:L901)^(1/120)-1)</f>
        <v>0.38424064272646352</v>
      </c>
      <c r="H781" cm="1">
        <f t="array" ref="H781">(PRODUCT(1+sp500_monthly!N782:N901)^(1/120)-1)*100</f>
        <v>1.1624634873071304</v>
      </c>
      <c r="I781" cm="1">
        <f t="array" ref="I781">(PRODUCT(1+sp500_monthly!O782:O901)^(1/120)-1)*100</f>
        <v>0.16584850960132957</v>
      </c>
    </row>
    <row r="782" spans="1:9" x14ac:dyDescent="0.35">
      <c r="A782" s="1">
        <v>36922</v>
      </c>
      <c r="B782" cm="1">
        <f t="array" ref="B782">(PRODUCT(1+sp500_monthly!B783:B902)^(1/120)-1)*100</f>
        <v>1.3672773243175396</v>
      </c>
      <c r="C782" cm="1">
        <f t="array" ref="C782">(PRODUCT(1+sp500_monthly!C783:C902)^(1/120)-1)*100</f>
        <v>1.180262032435575</v>
      </c>
      <c r="D782" cm="1">
        <f t="array" ref="D782">(PRODUCT(1+sp500_monthly!D783:D902)^(1/120)-1)*100</f>
        <v>1.4032551053212439</v>
      </c>
      <c r="E782" cm="1">
        <f t="array" ref="E782">(PRODUCT(1+sp500_monthly!E783:E902)^(1/120)-1)*100</f>
        <v>1.218629362217416</v>
      </c>
      <c r="F782" cm="1">
        <f t="array" ref="F782">(PRODUCT(1+sp500_monthly!K783:K902)^(1/120)-1)*100</f>
        <v>1.1615607660458993</v>
      </c>
      <c r="G782" cm="1">
        <f t="array" ref="G782">(PRODUCT(1+sp500_monthly!L783:L902)^(1/120)-1)</f>
        <v>0.3834963691875426</v>
      </c>
      <c r="H782" cm="1">
        <f t="array" ref="H782">(PRODUCT(1+sp500_monthly!N783:N902)^(1/120)-1)*100</f>
        <v>1.1452170469850254</v>
      </c>
      <c r="I782" cm="1">
        <f t="array" ref="I782">(PRODUCT(1+sp500_monthly!O783:O902)^(1/120)-1)*100</f>
        <v>0.16621965086425217</v>
      </c>
    </row>
    <row r="783" spans="1:9" x14ac:dyDescent="0.35">
      <c r="A783" s="1">
        <v>36950</v>
      </c>
      <c r="B783" cm="1">
        <f t="array" ref="B783">(PRODUCT(1+sp500_monthly!B784:B903)^(1/120)-1)*100</f>
        <v>1.3570069952158592</v>
      </c>
      <c r="C783" cm="1">
        <f t="array" ref="C783">(PRODUCT(1+sp500_monthly!C784:C903)^(1/120)-1)*100</f>
        <v>1.1709081772937724</v>
      </c>
      <c r="D783" cm="1">
        <f t="array" ref="D783">(PRODUCT(1+sp500_monthly!D784:D903)^(1/120)-1)*100</f>
        <v>1.3805805912255664</v>
      </c>
      <c r="E783" cm="1">
        <f t="array" ref="E783">(PRODUCT(1+sp500_monthly!E784:E903)^(1/120)-1)*100</f>
        <v>1.1966355370601089</v>
      </c>
      <c r="F783" cm="1">
        <f t="array" ref="F783">(PRODUCT(1+sp500_monthly!K784:K903)^(1/120)-1)*100</f>
        <v>1.1559729043245426</v>
      </c>
      <c r="G783" cm="1">
        <f t="array" ref="G783">(PRODUCT(1+sp500_monthly!L784:L903)^(1/120)-1)</f>
        <v>0.38364708720810436</v>
      </c>
      <c r="H783" cm="1">
        <f t="array" ref="H783">(PRODUCT(1+sp500_monthly!N784:N903)^(1/120)-1)*100</f>
        <v>1.1332902392432675</v>
      </c>
      <c r="I783" cm="1">
        <f t="array" ref="I783">(PRODUCT(1+sp500_monthly!O784:O903)^(1/120)-1)*100</f>
        <v>0.16472281702006875</v>
      </c>
    </row>
    <row r="784" spans="1:9" x14ac:dyDescent="0.35">
      <c r="A784" s="1">
        <v>36980</v>
      </c>
      <c r="B784" cm="1">
        <f t="array" ref="B784">(PRODUCT(1+sp500_monthly!B785:B904)^(1/120)-1)*100</f>
        <v>1.2181775351171931</v>
      </c>
      <c r="C784" cm="1">
        <f t="array" ref="C784">(PRODUCT(1+sp500_monthly!C785:C904)^(1/120)-1)*100</f>
        <v>1.0345426957478976</v>
      </c>
      <c r="D784" cm="1">
        <f t="array" ref="D784">(PRODUCT(1+sp500_monthly!D785:D904)^(1/120)-1)*100</f>
        <v>1.2728872396811086</v>
      </c>
      <c r="E784" cm="1">
        <f t="array" ref="E784">(PRODUCT(1+sp500_monthly!E785:E904)^(1/120)-1)*100</f>
        <v>1.0905092049315002</v>
      </c>
      <c r="F784" cm="1">
        <f t="array" ref="F784">(PRODUCT(1+sp500_monthly!K785:K904)^(1/120)-1)*100</f>
        <v>1.0195501645911875</v>
      </c>
      <c r="G784" cm="1">
        <f t="array" ref="G784">(PRODUCT(1+sp500_monthly!L785:L904)^(1/120)-1)</f>
        <v>0.38284067231821628</v>
      </c>
      <c r="H784" cm="1">
        <f t="array" ref="H784">(PRODUCT(1+sp500_monthly!N785:N904)^(1/120)-1)*100</f>
        <v>0.99347683847799129</v>
      </c>
      <c r="I784" cm="1">
        <f t="array" ref="I784">(PRODUCT(1+sp500_monthly!O785:O904)^(1/120)-1)*100</f>
        <v>0.16261193678606123</v>
      </c>
    </row>
    <row r="785" spans="1:9" x14ac:dyDescent="0.35">
      <c r="A785" s="1">
        <v>37011</v>
      </c>
      <c r="B785" cm="1">
        <f t="array" ref="B785">(PRODUCT(1+sp500_monthly!B786:B905)^(1/120)-1)*100</f>
        <v>1.142386830030695</v>
      </c>
      <c r="C785" cm="1">
        <f t="array" ref="C785">(PRODUCT(1+sp500_monthly!C786:C905)^(1/120)-1)*100</f>
        <v>0.95977629894605787</v>
      </c>
      <c r="D785" cm="1">
        <f t="array" ref="D785">(PRODUCT(1+sp500_monthly!D786:D905)^(1/120)-1)*100</f>
        <v>1.2041232717749928</v>
      </c>
      <c r="E785" cm="1">
        <f t="array" ref="E785">(PRODUCT(1+sp500_monthly!E786:E905)^(1/120)-1)*100</f>
        <v>1.0226299485198487</v>
      </c>
      <c r="F785" cm="1">
        <f t="array" ref="F785">(PRODUCT(1+sp500_monthly!K786:K905)^(1/120)-1)*100</f>
        <v>0.94522801672212164</v>
      </c>
      <c r="G785" cm="1">
        <f t="array" ref="G785">(PRODUCT(1+sp500_monthly!L786:L905)^(1/120)-1)</f>
        <v>0.38267950884156643</v>
      </c>
      <c r="H785" cm="1">
        <f t="array" ref="H785">(PRODUCT(1+sp500_monthly!N786:N905)^(1/120)-1)*100</f>
        <v>0.91737669209472905</v>
      </c>
      <c r="I785" cm="1">
        <f t="array" ref="I785">(PRODUCT(1+sp500_monthly!O786:O905)^(1/120)-1)*100</f>
        <v>0.16197159579349751</v>
      </c>
    </row>
    <row r="786" spans="1:9" x14ac:dyDescent="0.35">
      <c r="A786" s="1">
        <v>37042</v>
      </c>
      <c r="B786" cm="1">
        <f t="array" ref="B786">(PRODUCT(1+sp500_monthly!B787:B906)^(1/120)-1)*100</f>
        <v>1.2036629130196763</v>
      </c>
      <c r="C786" cm="1">
        <f t="array" ref="C786">(PRODUCT(1+sp500_monthly!C787:C906)^(1/120)-1)*100</f>
        <v>1.0220100659934728</v>
      </c>
      <c r="D786" cm="1">
        <f t="array" ref="D786">(PRODUCT(1+sp500_monthly!D787:D906)^(1/120)-1)*100</f>
        <v>1.2684783813558864</v>
      </c>
      <c r="E786" cm="1">
        <f t="array" ref="E786">(PRODUCT(1+sp500_monthly!E787:E906)^(1/120)-1)*100</f>
        <v>1.087736018207841</v>
      </c>
      <c r="F786" cm="1">
        <f t="array" ref="F786">(PRODUCT(1+sp500_monthly!K787:K906)^(1/120)-1)*100</f>
        <v>1.0072112079055451</v>
      </c>
      <c r="G786" cm="1">
        <f t="array" ref="G786">(PRODUCT(1+sp500_monthly!L787:L906)^(1/120)-1)</f>
        <v>0.38157422218131942</v>
      </c>
      <c r="H786" cm="1">
        <f t="array" ref="H786">(PRODUCT(1+sp500_monthly!N787:N906)^(1/120)-1)*100</f>
        <v>0.97895480234730936</v>
      </c>
      <c r="I786" cm="1">
        <f t="array" ref="I786">(PRODUCT(1+sp500_monthly!O787:O906)^(1/120)-1)*100</f>
        <v>0.16124319446197966</v>
      </c>
    </row>
    <row r="787" spans="1:9" x14ac:dyDescent="0.35">
      <c r="A787" s="1">
        <v>37071</v>
      </c>
      <c r="B787" cm="1">
        <f t="array" ref="B787">(PRODUCT(1+sp500_monthly!B788:B907)^(1/120)-1)*100</f>
        <v>1.1739821440588827</v>
      </c>
      <c r="C787" cm="1">
        <f t="array" ref="C787">(PRODUCT(1+sp500_monthly!C788:C907)^(1/120)-1)*100</f>
        <v>0.9944761571320182</v>
      </c>
      <c r="D787" cm="1">
        <f t="array" ref="D787">(PRODUCT(1+sp500_monthly!D788:D907)^(1/120)-1)*100</f>
        <v>1.2385165537249554</v>
      </c>
      <c r="E787" cm="1">
        <f t="array" ref="E787">(PRODUCT(1+sp500_monthly!E788:E907)^(1/120)-1)*100</f>
        <v>1.0591515602357493</v>
      </c>
      <c r="F787" cm="1">
        <f t="array" ref="F787">(PRODUCT(1+sp500_monthly!K788:K907)^(1/120)-1)*100</f>
        <v>0.97962787081702363</v>
      </c>
      <c r="G787" cm="1">
        <f t="array" ref="G787">(PRODUCT(1+sp500_monthly!L788:L907)^(1/120)-1)</f>
        <v>0.38033561313929209</v>
      </c>
      <c r="H787" cm="1">
        <f t="array" ref="H787">(PRODUCT(1+sp500_monthly!N788:N907)^(1/120)-1)*100</f>
        <v>0.94816645733266647</v>
      </c>
      <c r="I787" cm="1">
        <f t="array" ref="I787">(PRODUCT(1+sp500_monthly!O788:O907)^(1/120)-1)*100</f>
        <v>0.15883181021170145</v>
      </c>
    </row>
    <row r="788" spans="1:9" x14ac:dyDescent="0.35">
      <c r="A788" s="1">
        <v>37103</v>
      </c>
      <c r="B788" cm="1">
        <f t="array" ref="B788">(PRODUCT(1+sp500_monthly!B789:B908)^(1/120)-1)*100</f>
        <v>1.1922014968864136</v>
      </c>
      <c r="C788" cm="1">
        <f t="array" ref="C788">(PRODUCT(1+sp500_monthly!C789:C908)^(1/120)-1)*100</f>
        <v>1.0139679134057333</v>
      </c>
      <c r="D788" cm="1">
        <f t="array" ref="D788">(PRODUCT(1+sp500_monthly!D789:D908)^(1/120)-1)*100</f>
        <v>1.2681277550802506</v>
      </c>
      <c r="E788" cm="1">
        <f t="array" ref="E788">(PRODUCT(1+sp500_monthly!E789:E908)^(1/120)-1)*100</f>
        <v>1.0896534927390178</v>
      </c>
      <c r="F788" cm="1">
        <f t="array" ref="F788">(PRODUCT(1+sp500_monthly!K789:K908)^(1/120)-1)*100</f>
        <v>0.99962040371630589</v>
      </c>
      <c r="G788" cm="1">
        <f t="array" ref="G788">(PRODUCT(1+sp500_monthly!L789:L908)^(1/120)-1)</f>
        <v>0.37914217593561039</v>
      </c>
      <c r="H788" cm="1">
        <f t="array" ref="H788">(PRODUCT(1+sp500_monthly!N789:N908)^(1/120)-1)*100</f>
        <v>0.96692737636523418</v>
      </c>
      <c r="I788" cm="1">
        <f t="array" ref="I788">(PRODUCT(1+sp500_monthly!O789:O908)^(1/120)-1)*100</f>
        <v>0.15824494029776925</v>
      </c>
    </row>
    <row r="789" spans="1:9" x14ac:dyDescent="0.35">
      <c r="A789" s="1">
        <v>37134</v>
      </c>
      <c r="B789" cm="1">
        <f t="array" ref="B789">(PRODUCT(1+sp500_monthly!B790:B909)^(1/120)-1)*100</f>
        <v>1.1459699384931854</v>
      </c>
      <c r="C789" cm="1">
        <f t="array" ref="C789">(PRODUCT(1+sp500_monthly!C790:C909)^(1/120)-1)*100</f>
        <v>0.96841634638065166</v>
      </c>
      <c r="D789" cm="1">
        <f t="array" ref="D789">(PRODUCT(1+sp500_monthly!D790:D909)^(1/120)-1)*100</f>
        <v>1.2256794893873879</v>
      </c>
      <c r="E789" cm="1">
        <f t="array" ref="E789">(PRODUCT(1+sp500_monthly!E790:E909)^(1/120)-1)*100</f>
        <v>1.0478690859953455</v>
      </c>
      <c r="F789" cm="1">
        <f t="array" ref="F789">(PRODUCT(1+sp500_monthly!K790:K909)^(1/120)-1)*100</f>
        <v>0.95358148135060716</v>
      </c>
      <c r="G789" cm="1">
        <f t="array" ref="G789">(PRODUCT(1+sp500_monthly!L790:L909)^(1/120)-1)</f>
        <v>0.37757530549307816</v>
      </c>
      <c r="H789" cm="1">
        <f t="array" ref="H789">(PRODUCT(1+sp500_monthly!N790:N909)^(1/120)-1)*100</f>
        <v>0.92345565940317176</v>
      </c>
      <c r="I789" cm="1">
        <f t="array" ref="I789">(PRODUCT(1+sp500_monthly!O790:O909)^(1/120)-1)*100</f>
        <v>0.15930215635922007</v>
      </c>
    </row>
    <row r="790" spans="1:9" x14ac:dyDescent="0.35">
      <c r="A790" s="1">
        <v>37162</v>
      </c>
      <c r="B790" cm="1">
        <f t="array" ref="B790">(PRODUCT(1+sp500_monthly!B791:B910)^(1/120)-1)*100</f>
        <v>1.0708627616223598</v>
      </c>
      <c r="C790" cm="1">
        <f t="array" ref="C790">(PRODUCT(1+sp500_monthly!C791:C910)^(1/120)-1)*100</f>
        <v>0.89536399767309316</v>
      </c>
      <c r="D790" cm="1">
        <f t="array" ref="D790">(PRODUCT(1+sp500_monthly!D791:D910)^(1/120)-1)*100</f>
        <v>1.1691595440021185</v>
      </c>
      <c r="E790" cm="1">
        <f t="array" ref="E790">(PRODUCT(1+sp500_monthly!E791:E910)^(1/120)-1)*100</f>
        <v>0.99297662872088743</v>
      </c>
      <c r="F790" cm="1">
        <f t="array" ref="F790">(PRODUCT(1+sp500_monthly!K791:K910)^(1/120)-1)*100</f>
        <v>0.88149806693054167</v>
      </c>
      <c r="G790" cm="1">
        <f t="array" ref="G790">(PRODUCT(1+sp500_monthly!L791:L910)^(1/120)-1)</f>
        <v>0.3763313510410613</v>
      </c>
      <c r="H790" cm="1">
        <f t="array" ref="H790">(PRODUCT(1+sp500_monthly!N791:N910)^(1/120)-1)*100</f>
        <v>0.85097827379494451</v>
      </c>
      <c r="I790" cm="1">
        <f t="array" ref="I790">(PRODUCT(1+sp500_monthly!O791:O910)^(1/120)-1)*100</f>
        <v>0.16050266125979817</v>
      </c>
    </row>
    <row r="791" spans="1:9" x14ac:dyDescent="0.35">
      <c r="A791" s="1">
        <v>37195</v>
      </c>
      <c r="B791" cm="1">
        <f t="array" ref="B791">(PRODUCT(1+sp500_monthly!B792:B911)^(1/120)-1)*100</f>
        <v>1.0146414708228191</v>
      </c>
      <c r="C791" cm="1">
        <f t="array" ref="C791">(PRODUCT(1+sp500_monthly!C792:C911)^(1/120)-1)*100</f>
        <v>0.84021684431412336</v>
      </c>
      <c r="D791" cm="1">
        <f t="array" ref="D791">(PRODUCT(1+sp500_monthly!D792:D911)^(1/120)-1)*100</f>
        <v>1.0734824393585862</v>
      </c>
      <c r="E791" cm="1">
        <f t="array" ref="E791">(PRODUCT(1+sp500_monthly!E792:E911)^(1/120)-1)*100</f>
        <v>0.89804593420221845</v>
      </c>
      <c r="F791" cm="1">
        <f t="array" ref="F791">(PRODUCT(1+sp500_monthly!K792:K911)^(1/120)-1)*100</f>
        <v>0.82609019417783092</v>
      </c>
      <c r="G791" cm="1">
        <f t="array" ref="G791">(PRODUCT(1+sp500_monthly!L792:L911)^(1/120)-1)</f>
        <v>0.37482307253063851</v>
      </c>
      <c r="H791" cm="1">
        <f t="array" ref="H791">(PRODUCT(1+sp500_monthly!N792:N911)^(1/120)-1)*100</f>
        <v>0.79402746292138726</v>
      </c>
      <c r="I791" cm="1">
        <f t="array" ref="I791">(PRODUCT(1+sp500_monthly!O792:O911)^(1/120)-1)*100</f>
        <v>0.15815934460223779</v>
      </c>
    </row>
    <row r="792" spans="1:9" x14ac:dyDescent="0.35">
      <c r="A792" s="1">
        <v>37225</v>
      </c>
      <c r="B792" cm="1">
        <f t="array" ref="B792">(PRODUCT(1+sp500_monthly!B793:B912)^(1/120)-1)*100</f>
        <v>1.0196782703271179</v>
      </c>
      <c r="C792" cm="1">
        <f t="array" ref="C792">(PRODUCT(1+sp500_monthly!C793:C912)^(1/120)-1)*100</f>
        <v>0.84571896824956472</v>
      </c>
      <c r="D792" cm="1">
        <f t="array" ref="D792">(PRODUCT(1+sp500_monthly!D793:D912)^(1/120)-1)*100</f>
        <v>1.0991937642835792</v>
      </c>
      <c r="E792" cm="1">
        <f t="array" ref="E792">(PRODUCT(1+sp500_monthly!E793:E912)^(1/120)-1)*100</f>
        <v>0.92418499297948209</v>
      </c>
      <c r="F792" cm="1">
        <f t="array" ref="F792">(PRODUCT(1+sp500_monthly!K793:K912)^(1/120)-1)*100</f>
        <v>0.83125509380770346</v>
      </c>
      <c r="G792" cm="1">
        <f t="array" ref="G792">(PRODUCT(1+sp500_monthly!L793:L912)^(1/120)-1)</f>
        <v>0.3730849520918309</v>
      </c>
      <c r="H792" cm="1">
        <f t="array" ref="H792">(PRODUCT(1+sp500_monthly!N793:N912)^(1/120)-1)*100</f>
        <v>0.80264021761324855</v>
      </c>
      <c r="I792" cm="1">
        <f t="array" ref="I792">(PRODUCT(1+sp500_monthly!O793:O912)^(1/120)-1)*100</f>
        <v>0.16005946984938291</v>
      </c>
    </row>
    <row r="793" spans="1:9" x14ac:dyDescent="0.35">
      <c r="A793" s="1">
        <v>37256</v>
      </c>
      <c r="B793" cm="1">
        <f t="array" ref="B793">(PRODUCT(1+sp500_monthly!B794:B913)^(1/120)-1)*100</f>
        <v>1.118121221991597</v>
      </c>
      <c r="C793" cm="1">
        <f t="array" ref="C793">(PRODUCT(1+sp500_monthly!C794:C913)^(1/120)-1)*100</f>
        <v>0.94610112127204715</v>
      </c>
      <c r="D793" cm="1">
        <f t="array" ref="D793">(PRODUCT(1+sp500_monthly!D794:D913)^(1/120)-1)*100</f>
        <v>1.2252415740970468</v>
      </c>
      <c r="E793" cm="1">
        <f t="array" ref="E793">(PRODUCT(1+sp500_monthly!E794:E913)^(1/120)-1)*100</f>
        <v>1.0516914998004889</v>
      </c>
      <c r="F793" cm="1">
        <f t="array" ref="F793">(PRODUCT(1+sp500_monthly!K794:K913)^(1/120)-1)*100</f>
        <v>0.92995534523987455</v>
      </c>
      <c r="G793" cm="1">
        <f t="array" ref="G793">(PRODUCT(1+sp500_monthly!L794:L913)^(1/120)-1)</f>
        <v>0.37111484567787723</v>
      </c>
      <c r="H793" cm="1">
        <f t="array" ref="H793">(PRODUCT(1+sp500_monthly!N794:N913)^(1/120)-1)*100</f>
        <v>0.9050144603482968</v>
      </c>
      <c r="I793" cm="1">
        <f t="array" ref="I793">(PRODUCT(1+sp500_monthly!O794:O913)^(1/120)-1)*100</f>
        <v>0.16234064689866212</v>
      </c>
    </row>
    <row r="794" spans="1:9" x14ac:dyDescent="0.35">
      <c r="A794" s="1">
        <v>37287</v>
      </c>
      <c r="B794" cm="1">
        <f t="array" ref="B794">(PRODUCT(1+sp500_monthly!B795:B914)^(1/120)-1)*100</f>
        <v>1.0347106558275865</v>
      </c>
      <c r="C794" cm="1">
        <f t="array" ref="C794">(PRODUCT(1+sp500_monthly!C795:C914)^(1/120)-1)*100</f>
        <v>0.86380430358836691</v>
      </c>
      <c r="D794" cm="1">
        <f t="array" ref="D794">(PRODUCT(1+sp500_monthly!D795:D914)^(1/120)-1)*100</f>
        <v>1.1598871308392988</v>
      </c>
      <c r="E794" cm="1">
        <f t="array" ref="E794">(PRODUCT(1+sp500_monthly!E795:E914)^(1/120)-1)*100</f>
        <v>0.98720264736114061</v>
      </c>
      <c r="F794" cm="1">
        <f t="array" ref="F794">(PRODUCT(1+sp500_monthly!K795:K914)^(1/120)-1)*100</f>
        <v>0.84735767031449694</v>
      </c>
      <c r="G794" cm="1">
        <f t="array" ref="G794">(PRODUCT(1+sp500_monthly!L795:L914)^(1/120)-1)</f>
        <v>0.36903322914977776</v>
      </c>
      <c r="H794" cm="1">
        <f t="array" ref="H794">(PRODUCT(1+sp500_monthly!N795:N914)^(1/120)-1)*100</f>
        <v>0.82468850964561025</v>
      </c>
      <c r="I794" cm="1">
        <f t="array" ref="I794">(PRODUCT(1+sp500_monthly!O795:O914)^(1/120)-1)*100</f>
        <v>0.16331570672234452</v>
      </c>
    </row>
    <row r="795" spans="1:9" x14ac:dyDescent="0.35">
      <c r="A795" s="1">
        <v>37315</v>
      </c>
      <c r="B795" cm="1">
        <f t="array" ref="B795">(PRODUCT(1+sp500_monthly!B796:B915)^(1/120)-1)*100</f>
        <v>1.0381550160011077</v>
      </c>
      <c r="C795" cm="1">
        <f t="array" ref="C795">(PRODUCT(1+sp500_monthly!C796:C915)^(1/120)-1)*100</f>
        <v>0.86751207871365033</v>
      </c>
      <c r="D795" cm="1">
        <f t="array" ref="D795">(PRODUCT(1+sp500_monthly!D796:D915)^(1/120)-1)*100</f>
        <v>1.1428383172135792</v>
      </c>
      <c r="E795" cm="1">
        <f t="array" ref="E795">(PRODUCT(1+sp500_monthly!E796:E915)^(1/120)-1)*100</f>
        <v>0.97053744966790756</v>
      </c>
      <c r="F795" cm="1">
        <f t="array" ref="F795">(PRODUCT(1+sp500_monthly!K796:K915)^(1/120)-1)*100</f>
        <v>0.85105893956258782</v>
      </c>
      <c r="G795" cm="1">
        <f t="array" ref="G795">(PRODUCT(1+sp500_monthly!L796:L915)^(1/120)-1)</f>
        <v>0.36719036742712752</v>
      </c>
      <c r="H795" cm="1">
        <f t="array" ref="H795">(PRODUCT(1+sp500_monthly!N796:N915)^(1/120)-1)*100</f>
        <v>0.82731376288529557</v>
      </c>
      <c r="I795" cm="1">
        <f t="array" ref="I795">(PRODUCT(1+sp500_monthly!O796:O915)^(1/120)-1)*100</f>
        <v>0.16084374824361092</v>
      </c>
    </row>
    <row r="796" spans="1:9" x14ac:dyDescent="0.35">
      <c r="A796" s="1">
        <v>37343</v>
      </c>
      <c r="B796" cm="1">
        <f t="array" ref="B796">(PRODUCT(1+sp500_monthly!B797:B916)^(1/120)-1)*100</f>
        <v>1.0108310860939218</v>
      </c>
      <c r="C796" cm="1">
        <f t="array" ref="C796">(PRODUCT(1+sp500_monthly!C797:C916)^(1/120)-1)*100</f>
        <v>0.84179938557529255</v>
      </c>
      <c r="D796" cm="1">
        <f t="array" ref="D796">(PRODUCT(1+sp500_monthly!D797:D916)^(1/120)-1)*100</f>
        <v>1.1080429336051356</v>
      </c>
      <c r="E796" cm="1">
        <f t="array" ref="E796">(PRODUCT(1+sp500_monthly!E797:E916)^(1/120)-1)*100</f>
        <v>0.93709056999164986</v>
      </c>
      <c r="F796" cm="1">
        <f t="array" ref="F796">(PRODUCT(1+sp500_monthly!K797:K916)^(1/120)-1)*100</f>
        <v>0.82542569832697588</v>
      </c>
      <c r="G796" cm="1">
        <f t="array" ref="G796">(PRODUCT(1+sp500_monthly!L797:L916)^(1/120)-1)</f>
        <v>0.36577102176221143</v>
      </c>
      <c r="H796" cm="1">
        <f t="array" ref="H796">(PRODUCT(1+sp500_monthly!N797:N916)^(1/120)-1)*100</f>
        <v>0.80045007983220451</v>
      </c>
      <c r="I796" cm="1">
        <f t="array" ref="I796">(PRODUCT(1+sp500_monthly!O797:O916)^(1/120)-1)*100</f>
        <v>0.15999497331109502</v>
      </c>
    </row>
    <row r="797" spans="1:9" x14ac:dyDescent="0.35">
      <c r="A797" s="1">
        <v>37376</v>
      </c>
      <c r="B797" cm="1">
        <f t="array" ref="B797">(PRODUCT(1+sp500_monthly!B798:B917)^(1/120)-1)*100</f>
        <v>1.0584397887863251</v>
      </c>
      <c r="C797" cm="1">
        <f t="array" ref="C797">(PRODUCT(1+sp500_monthly!C798:C917)^(1/120)-1)*100</f>
        <v>0.89067639458400016</v>
      </c>
      <c r="D797" cm="1">
        <f t="array" ref="D797">(PRODUCT(1+sp500_monthly!D798:D917)^(1/120)-1)*100</f>
        <v>1.1802473131607094</v>
      </c>
      <c r="E797" cm="1">
        <f t="array" ref="E797">(PRODUCT(1+sp500_monthly!E798:E917)^(1/120)-1)*100</f>
        <v>1.0101318323414654</v>
      </c>
      <c r="F797" cm="1">
        <f t="array" ref="F797">(PRODUCT(1+sp500_monthly!K798:K917)^(1/120)-1)*100</f>
        <v>0.8742992674197092</v>
      </c>
      <c r="G797" cm="1">
        <f t="array" ref="G797">(PRODUCT(1+sp500_monthly!L798:L917)^(1/120)-1)</f>
        <v>0.36383241244917408</v>
      </c>
      <c r="H797" cm="1">
        <f t="array" ref="H797">(PRODUCT(1+sp500_monthly!N798:N917)^(1/120)-1)*100</f>
        <v>0.84862855295200212</v>
      </c>
      <c r="I797" cm="1">
        <f t="array" ref="I797">(PRODUCT(1+sp500_monthly!O798:O917)^(1/120)-1)*100</f>
        <v>0.15891065033815099</v>
      </c>
    </row>
    <row r="798" spans="1:9" x14ac:dyDescent="0.35">
      <c r="A798" s="1">
        <v>37407</v>
      </c>
      <c r="B798" cm="1">
        <f t="array" ref="B798">(PRODUCT(1+sp500_monthly!B799:B918)^(1/120)-1)*100</f>
        <v>0.98170399481676274</v>
      </c>
      <c r="C798" cm="1">
        <f t="array" ref="C798">(PRODUCT(1+sp500_monthly!C799:C918)^(1/120)-1)*100</f>
        <v>0.81452038423417417</v>
      </c>
      <c r="D798" cm="1">
        <f t="array" ref="D798">(PRODUCT(1+sp500_monthly!D799:D918)^(1/120)-1)*100</f>
        <v>1.1351650383408796</v>
      </c>
      <c r="E798" cm="1">
        <f t="array" ref="E798">(PRODUCT(1+sp500_monthly!E799:E918)^(1/120)-1)*100</f>
        <v>0.96563776037830173</v>
      </c>
      <c r="F798" cm="1">
        <f t="array" ref="F798">(PRODUCT(1+sp500_monthly!K799:K918)^(1/120)-1)*100</f>
        <v>0.7979191708768818</v>
      </c>
      <c r="G798" cm="1">
        <f t="array" ref="G798">(PRODUCT(1+sp500_monthly!L799:L918)^(1/120)-1)</f>
        <v>0.36226638478724249</v>
      </c>
      <c r="H798" cm="1">
        <f t="array" ref="H798">(PRODUCT(1+sp500_monthly!N799:N918)^(1/120)-1)*100</f>
        <v>0.77010603236820074</v>
      </c>
      <c r="I798" cm="1">
        <f t="array" ref="I798">(PRODUCT(1+sp500_monthly!O799:O918)^(1/120)-1)*100</f>
        <v>0.15556089595558653</v>
      </c>
    </row>
    <row r="799" spans="1:9" x14ac:dyDescent="0.35">
      <c r="A799" s="1">
        <v>37435</v>
      </c>
      <c r="B799" cm="1">
        <f t="array" ref="B799">(PRODUCT(1+sp500_monthly!B800:B919)^(1/120)-1)*100</f>
        <v>0.97104353554384737</v>
      </c>
      <c r="C799" cm="1">
        <f t="array" ref="C799">(PRODUCT(1+sp500_monthly!C800:C919)^(1/120)-1)*100</f>
        <v>0.80564134331939652</v>
      </c>
      <c r="D799" cm="1">
        <f t="array" ref="D799">(PRODUCT(1+sp500_monthly!D800:D919)^(1/120)-1)*100</f>
        <v>1.1231476381696748</v>
      </c>
      <c r="E799" cm="1">
        <f t="array" ref="E799">(PRODUCT(1+sp500_monthly!E800:E919)^(1/120)-1)*100</f>
        <v>0.95501028794158227</v>
      </c>
      <c r="F799" cm="1">
        <f t="array" ref="F799">(PRODUCT(1+sp500_monthly!K800:K919)^(1/120)-1)*100</f>
        <v>0.789447445619329</v>
      </c>
      <c r="G799" cm="1">
        <f t="array" ref="G799">(PRODUCT(1+sp500_monthly!L800:L919)^(1/120)-1)</f>
        <v>0.36095207098177862</v>
      </c>
      <c r="H799" cm="1">
        <f t="array" ref="H799">(PRODUCT(1+sp500_monthly!N800:N919)^(1/120)-1)*100</f>
        <v>0.76033691541494974</v>
      </c>
      <c r="I799" cm="1">
        <f t="array" ref="I799">(PRODUCT(1+sp500_monthly!O800:O919)^(1/120)-1)*100</f>
        <v>0.15525865549901319</v>
      </c>
    </row>
    <row r="800" spans="1:9" x14ac:dyDescent="0.35">
      <c r="A800" s="1">
        <v>37468</v>
      </c>
      <c r="B800" cm="1">
        <f t="array" ref="B800">(PRODUCT(1+sp500_monthly!B801:B920)^(1/120)-1)*100</f>
        <v>0.92151408636100829</v>
      </c>
      <c r="C800" cm="1">
        <f t="array" ref="C800">(PRODUCT(1+sp500_monthly!C801:C920)^(1/120)-1)*100</f>
        <v>0.75719787391421711</v>
      </c>
      <c r="D800" cm="1">
        <f t="array" ref="D800">(PRODUCT(1+sp500_monthly!D801:D920)^(1/120)-1)*100</f>
        <v>1.069690753946495</v>
      </c>
      <c r="E800" cm="1">
        <f t="array" ref="E800">(PRODUCT(1+sp500_monthly!E801:E920)^(1/120)-1)*100</f>
        <v>0.90246120626253923</v>
      </c>
      <c r="F800" cm="1">
        <f t="array" ref="F800">(PRODUCT(1+sp500_monthly!K801:K920)^(1/120)-1)*100</f>
        <v>0.74098499078103508</v>
      </c>
      <c r="G800" cm="1">
        <f t="array" ref="G800">(PRODUCT(1+sp500_monthly!L801:L920)^(1/120)-1)</f>
        <v>0.359190618983946</v>
      </c>
      <c r="H800" cm="1">
        <f t="array" ref="H800">(PRODUCT(1+sp500_monthly!N801:N920)^(1/120)-1)*100</f>
        <v>0.71284301461531641</v>
      </c>
      <c r="I800" cm="1">
        <f t="array" ref="I800">(PRODUCT(1+sp500_monthly!O801:O920)^(1/120)-1)*100</f>
        <v>0.15559793533033162</v>
      </c>
    </row>
    <row r="801" spans="1:9" x14ac:dyDescent="0.35">
      <c r="A801" s="1">
        <v>37498</v>
      </c>
      <c r="B801" cm="1">
        <f t="array" ref="B801">(PRODUCT(1+sp500_monthly!B802:B921)^(1/120)-1)*100</f>
        <v>0.82318390840101507</v>
      </c>
      <c r="C801" cm="1">
        <f t="array" ref="C801">(PRODUCT(1+sp500_monthly!C802:C921)^(1/120)-1)*100</f>
        <v>0.65921911536679367</v>
      </c>
      <c r="D801" cm="1">
        <f t="array" ref="D801">(PRODUCT(1+sp500_monthly!D802:D921)^(1/120)-1)*100</f>
        <v>0.94245047799121906</v>
      </c>
      <c r="E801" cm="1">
        <f t="array" ref="E801">(PRODUCT(1+sp500_monthly!E802:E921)^(1/120)-1)*100</f>
        <v>0.7756155356071659</v>
      </c>
      <c r="F801" cm="1">
        <f t="array" ref="F801">(PRODUCT(1+sp500_monthly!K802:K921)^(1/120)-1)*100</f>
        <v>0.63953249630783748</v>
      </c>
      <c r="G801" cm="1">
        <f t="array" ref="G801">(PRODUCT(1+sp500_monthly!L802:L921)^(1/120)-1)</f>
        <v>0.35771595927553568</v>
      </c>
      <c r="H801" cm="1">
        <f t="array" ref="H801">(PRODUCT(1+sp500_monthly!N802:N921)^(1/120)-1)*100</f>
        <v>0.61524130995707083</v>
      </c>
      <c r="I801" cm="1">
        <f t="array" ref="I801">(PRODUCT(1+sp500_monthly!O802:O921)^(1/120)-1)*100</f>
        <v>0.15478835722173567</v>
      </c>
    </row>
    <row r="802" spans="1:9" x14ac:dyDescent="0.35">
      <c r="A802" s="1">
        <v>37529</v>
      </c>
      <c r="B802" cm="1">
        <f t="array" ref="B802">(PRODUCT(1+sp500_monthly!B803:B922)^(1/120)-1)*100</f>
        <v>0.84659999126350804</v>
      </c>
      <c r="C802" cm="1">
        <f t="array" ref="C802">(PRODUCT(1+sp500_monthly!C803:C922)^(1/120)-1)*100</f>
        <v>0.68430185836669821</v>
      </c>
      <c r="D802" cm="1">
        <f t="array" ref="D802">(PRODUCT(1+sp500_monthly!D803:D922)^(1/120)-1)*100</f>
        <v>0.97608753136166904</v>
      </c>
      <c r="E802" cm="1">
        <f t="array" ref="E802">(PRODUCT(1+sp500_monthly!E803:E922)^(1/120)-1)*100</f>
        <v>0.81065105315158981</v>
      </c>
      <c r="F802" cm="1">
        <f t="array" ref="F802">(PRODUCT(1+sp500_monthly!K803:K922)^(1/120)-1)*100</f>
        <v>0.66399068127971361</v>
      </c>
      <c r="G802" cm="1">
        <f t="array" ref="G802">(PRODUCT(1+sp500_monthly!L803:L922)^(1/120)-1)</f>
        <v>0.35658405711947339</v>
      </c>
      <c r="H802" cm="1">
        <f t="array" ref="H802">(PRODUCT(1+sp500_monthly!N803:N922)^(1/120)-1)*100</f>
        <v>0.63807154543153999</v>
      </c>
      <c r="I802" cm="1">
        <f t="array" ref="I802">(PRODUCT(1+sp500_monthly!O803:O922)^(1/120)-1)*100</f>
        <v>0.15325385000299896</v>
      </c>
    </row>
    <row r="803" spans="1:9" x14ac:dyDescent="0.35">
      <c r="A803" s="1">
        <v>37560</v>
      </c>
      <c r="B803" cm="1">
        <f t="array" ref="B803">(PRODUCT(1+sp500_monthly!B804:B923)^(1/120)-1)*100</f>
        <v>0.74022284070793809</v>
      </c>
      <c r="C803" cm="1">
        <f t="array" ref="C803">(PRODUCT(1+sp500_monthly!C804:C923)^(1/120)-1)*100</f>
        <v>0.5787365120693444</v>
      </c>
      <c r="D803" cm="1">
        <f t="array" ref="D803">(PRODUCT(1+sp500_monthly!D804:D923)^(1/120)-1)*100</f>
        <v>0.85723314223451474</v>
      </c>
      <c r="E803" cm="1">
        <f t="array" ref="E803">(PRODUCT(1+sp500_monthly!E804:E923)^(1/120)-1)*100</f>
        <v>0.69237677533002806</v>
      </c>
      <c r="F803" cm="1">
        <f t="array" ref="F803">(PRODUCT(1+sp500_monthly!K804:K923)^(1/120)-1)*100</f>
        <v>0.55867308498762647</v>
      </c>
      <c r="G803" cm="1">
        <f t="array" ref="G803">(PRODUCT(1+sp500_monthly!L804:L923)^(1/120)-1)</f>
        <v>0.35545309860886354</v>
      </c>
      <c r="H803" cm="1">
        <f t="array" ref="H803">(PRODUCT(1+sp500_monthly!N804:N923)^(1/120)-1)*100</f>
        <v>0.53230622083340062</v>
      </c>
      <c r="I803" cm="1">
        <f t="array" ref="I803">(PRODUCT(1+sp500_monthly!O804:O923)^(1/120)-1)*100</f>
        <v>0.15264470308680167</v>
      </c>
    </row>
    <row r="804" spans="1:9" x14ac:dyDescent="0.35">
      <c r="A804" s="1">
        <v>37589</v>
      </c>
      <c r="B804" cm="1">
        <f t="array" ref="B804">(PRODUCT(1+sp500_monthly!B805:B924)^(1/120)-1)*100</f>
        <v>0.8074952781666811</v>
      </c>
      <c r="C804" cm="1">
        <f t="array" ref="C804">(PRODUCT(1+sp500_monthly!C805:C924)^(1/120)-1)*100</f>
        <v>0.64586781671291948</v>
      </c>
      <c r="D804" cm="1">
        <f t="array" ref="D804">(PRODUCT(1+sp500_monthly!D805:D924)^(1/120)-1)*100</f>
        <v>0.89953853427855446</v>
      </c>
      <c r="E804" cm="1">
        <f t="array" ref="E804">(PRODUCT(1+sp500_monthly!E805:E924)^(1/120)-1)*100</f>
        <v>0.73454752978998616</v>
      </c>
      <c r="F804" cm="1">
        <f t="array" ref="F804">(PRODUCT(1+sp500_monthly!K805:K924)^(1/120)-1)*100</f>
        <v>0.62640441002590475</v>
      </c>
      <c r="G804" cm="1">
        <f t="array" ref="G804">(PRODUCT(1+sp500_monthly!L805:L924)^(1/120)-1)</f>
        <v>0.35459507585215699</v>
      </c>
      <c r="H804" cm="1">
        <f t="array" ref="H804">(PRODUCT(1+sp500_monthly!N805:N924)^(1/120)-1)*100</f>
        <v>0.60114443894383474</v>
      </c>
      <c r="I804" cm="1">
        <f t="array" ref="I804">(PRODUCT(1+sp500_monthly!O805:O924)^(1/120)-1)*100</f>
        <v>0.15359198804638652</v>
      </c>
    </row>
    <row r="805" spans="1:9" x14ac:dyDescent="0.35">
      <c r="A805" s="1">
        <v>37621</v>
      </c>
      <c r="B805" cm="1">
        <f t="array" ref="B805">(PRODUCT(1+sp500_monthly!B806:B925)^(1/120)-1)*100</f>
        <v>0.82774909982294975</v>
      </c>
      <c r="C805" cm="1">
        <f t="array" ref="C805">(PRODUCT(1+sp500_monthly!C806:C925)^(1/120)-1)*100</f>
        <v>0.66774502722020124</v>
      </c>
      <c r="D805" cm="1">
        <f t="array" ref="D805">(PRODUCT(1+sp500_monthly!D806:D925)^(1/120)-1)*100</f>
        <v>0.95110069174837442</v>
      </c>
      <c r="E805" cm="1">
        <f t="array" ref="E805">(PRODUCT(1+sp500_monthly!E806:E925)^(1/120)-1)*100</f>
        <v>0.78736297321790882</v>
      </c>
      <c r="F805" cm="1">
        <f t="array" ref="F805">(PRODUCT(1+sp500_monthly!K806:K925)^(1/120)-1)*100</f>
        <v>0.6479472994733726</v>
      </c>
      <c r="G805" cm="1">
        <f t="array" ref="G805">(PRODUCT(1+sp500_monthly!L806:L925)^(1/120)-1)</f>
        <v>0.35353793943717182</v>
      </c>
      <c r="H805" cm="1">
        <f t="array" ref="H805">(PRODUCT(1+sp500_monthly!N806:N925)^(1/120)-1)*100</f>
        <v>0.62233336019501539</v>
      </c>
      <c r="I805" cm="1">
        <f t="array" ref="I805">(PRODUCT(1+sp500_monthly!O806:O925)^(1/120)-1)*100</f>
        <v>0.15364753143880527</v>
      </c>
    </row>
    <row r="806" spans="1:9" x14ac:dyDescent="0.35">
      <c r="A806" s="1">
        <v>37652</v>
      </c>
      <c r="B806" cm="1">
        <f t="array" ref="B806">(PRODUCT(1+sp500_monthly!B807:B926)^(1/120)-1)*100</f>
        <v>0.76565243314030695</v>
      </c>
      <c r="C806" cm="1">
        <f t="array" ref="C806">(PRODUCT(1+sp500_monthly!C807:C926)^(1/120)-1)*100</f>
        <v>0.60610162593404127</v>
      </c>
      <c r="D806" cm="1">
        <f t="array" ref="D806">(PRODUCT(1+sp500_monthly!D807:D926)^(1/120)-1)*100</f>
        <v>0.88803358611833083</v>
      </c>
      <c r="E806" cm="1">
        <f t="array" ref="E806">(PRODUCT(1+sp500_monthly!E807:E926)^(1/120)-1)*100</f>
        <v>0.72450706382785057</v>
      </c>
      <c r="F806" cm="1">
        <f t="array" ref="F806">(PRODUCT(1+sp500_monthly!K807:K926)^(1/120)-1)*100</f>
        <v>0.58733609118608587</v>
      </c>
      <c r="G806" cm="1">
        <f t="array" ref="G806">(PRODUCT(1+sp500_monthly!L807:L926)^(1/120)-1)</f>
        <v>0.35193156640109158</v>
      </c>
      <c r="H806" cm="1">
        <f t="array" ref="H806">(PRODUCT(1+sp500_monthly!N807:N926)^(1/120)-1)*100</f>
        <v>0.5601578434868415</v>
      </c>
      <c r="I806" cm="1">
        <f t="array" ref="I806">(PRODUCT(1+sp500_monthly!O807:O926)^(1/120)-1)*100</f>
        <v>0.15202693342113438</v>
      </c>
    </row>
    <row r="807" spans="1:9" x14ac:dyDescent="0.35">
      <c r="A807" s="1">
        <v>37680</v>
      </c>
      <c r="B807" cm="1">
        <f t="array" ref="B807">(PRODUCT(1+sp500_monthly!B808:B927)^(1/120)-1)*100</f>
        <v>0.7369431644645541</v>
      </c>
      <c r="C807" cm="1">
        <f t="array" ref="C807">(PRODUCT(1+sp500_monthly!C808:C927)^(1/120)-1)*100</f>
        <v>0.577431515985527</v>
      </c>
      <c r="D807" cm="1">
        <f t="array" ref="D807">(PRODUCT(1+sp500_monthly!D808:D927)^(1/120)-1)*100</f>
        <v>0.84742720544968009</v>
      </c>
      <c r="E807" cm="1">
        <f t="array" ref="E807">(PRODUCT(1+sp500_monthly!E808:E927)^(1/120)-1)*100</f>
        <v>0.68403123318390158</v>
      </c>
      <c r="F807" cm="1">
        <f t="array" ref="F807">(PRODUCT(1+sp500_monthly!K808:K927)^(1/120)-1)*100</f>
        <v>0.55815399031522439</v>
      </c>
      <c r="G807" cm="1">
        <f t="array" ref="G807">(PRODUCT(1+sp500_monthly!L808:L927)^(1/120)-1)</f>
        <v>0.35067368403886423</v>
      </c>
      <c r="H807" cm="1">
        <f t="array" ref="H807">(PRODUCT(1+sp500_monthly!N808:N927)^(1/120)-1)*100</f>
        <v>0.53076717850613075</v>
      </c>
      <c r="I807" cm="1">
        <f t="array" ref="I807">(PRODUCT(1+sp500_monthly!O808:O927)^(1/120)-1)*100</f>
        <v>0.15020660314475354</v>
      </c>
    </row>
    <row r="808" spans="1:9" x14ac:dyDescent="0.35">
      <c r="A808" s="1">
        <v>37711</v>
      </c>
      <c r="B808" cm="1">
        <f t="array" ref="B808">(PRODUCT(1+sp500_monthly!B809:B928)^(1/120)-1)*100</f>
        <v>0.71277024361346975</v>
      </c>
      <c r="C808" cm="1">
        <f t="array" ref="C808">(PRODUCT(1+sp500_monthly!C809:C928)^(1/120)-1)*100</f>
        <v>0.55423201040678549</v>
      </c>
      <c r="D808" cm="1">
        <f t="array" ref="D808">(PRODUCT(1+sp500_monthly!D809:D928)^(1/120)-1)*100</f>
        <v>0.81937649018546388</v>
      </c>
      <c r="E808" cm="1">
        <f t="array" ref="E808">(PRODUCT(1+sp500_monthly!E809:E928)^(1/120)-1)*100</f>
        <v>0.65691842699393543</v>
      </c>
      <c r="F808" cm="1">
        <f t="array" ref="F808">(PRODUCT(1+sp500_monthly!K809:K928)^(1/120)-1)*100</f>
        <v>0.53504532183961118</v>
      </c>
      <c r="G808" cm="1">
        <f t="array" ref="G808">(PRODUCT(1+sp500_monthly!L809:L928)^(1/120)-1)</f>
        <v>0.34940607360987763</v>
      </c>
      <c r="H808" cm="1">
        <f t="array" ref="H808">(PRODUCT(1+sp500_monthly!N809:N928)^(1/120)-1)*100</f>
        <v>0.50382717865236071</v>
      </c>
      <c r="I808" cm="1">
        <f t="array" ref="I808">(PRODUCT(1+sp500_monthly!O809:O928)^(1/120)-1)*100</f>
        <v>0.14631679319363489</v>
      </c>
    </row>
    <row r="809" spans="1:9" x14ac:dyDescent="0.35">
      <c r="A809" s="1">
        <v>37741</v>
      </c>
      <c r="B809" cm="1">
        <f t="array" ref="B809">(PRODUCT(1+sp500_monthly!B810:B929)^(1/120)-1)*100</f>
        <v>0.70376933290379196</v>
      </c>
      <c r="C809" cm="1">
        <f t="array" ref="C809">(PRODUCT(1+sp500_monthly!C810:C929)^(1/120)-1)*100</f>
        <v>0.54628811941863642</v>
      </c>
      <c r="D809" cm="1">
        <f t="array" ref="D809">(PRODUCT(1+sp500_monthly!D810:D929)^(1/120)-1)*100</f>
        <v>0.80088800493447465</v>
      </c>
      <c r="E809" cm="1">
        <f t="array" ref="E809">(PRODUCT(1+sp500_monthly!E810:E929)^(1/120)-1)*100</f>
        <v>0.63916028973292072</v>
      </c>
      <c r="F809" cm="1">
        <f t="array" ref="F809">(PRODUCT(1+sp500_monthly!K810:K929)^(1/120)-1)*100</f>
        <v>0.52649928939640933</v>
      </c>
      <c r="G809" cm="1">
        <f t="array" ref="G809">(PRODUCT(1+sp500_monthly!L810:L929)^(1/120)-1)</f>
        <v>0.34796934627011655</v>
      </c>
      <c r="H809" cm="1">
        <f t="array" ref="H809">(PRODUCT(1+sp500_monthly!N810:N929)^(1/120)-1)*100</f>
        <v>0.49464729763890602</v>
      </c>
      <c r="I809" cm="1">
        <f t="array" ref="I809">(PRODUCT(1+sp500_monthly!O810:O929)^(1/120)-1)*100</f>
        <v>0.1448702025990567</v>
      </c>
    </row>
    <row r="810" spans="1:9" x14ac:dyDescent="0.35">
      <c r="A810" s="1">
        <v>37771</v>
      </c>
      <c r="B810" cm="1">
        <f t="array" ref="B810">(PRODUCT(1+sp500_monthly!B811:B930)^(1/120)-1)*100</f>
        <v>0.79137846301808867</v>
      </c>
      <c r="C810" cm="1">
        <f t="array" ref="C810">(PRODUCT(1+sp500_monthly!C811:C930)^(1/120)-1)*100</f>
        <v>0.63382825295923428</v>
      </c>
      <c r="D810" cm="1">
        <f t="array" ref="D810">(PRODUCT(1+sp500_monthly!D811:D930)^(1/120)-1)*100</f>
        <v>0.90231485186813565</v>
      </c>
      <c r="E810" cm="1">
        <f t="array" ref="E810">(PRODUCT(1+sp500_monthly!E811:E930)^(1/120)-1)*100</f>
        <v>0.74046288423046391</v>
      </c>
      <c r="F810" cm="1">
        <f t="array" ref="F810">(PRODUCT(1+sp500_monthly!K811:K930)^(1/120)-1)*100</f>
        <v>0.61338570748590282</v>
      </c>
      <c r="G810" cm="1">
        <f t="array" ref="G810">(PRODUCT(1+sp500_monthly!L811:L930)^(1/120)-1)</f>
        <v>0.34662428159172887</v>
      </c>
      <c r="H810" cm="1">
        <f t="array" ref="H810">(PRODUCT(1+sp500_monthly!N811:N930)^(1/120)-1)*100</f>
        <v>0.58819073622056184</v>
      </c>
      <c r="I810" cm="1">
        <f t="array" ref="I810">(PRODUCT(1+sp500_monthly!O811:O930)^(1/120)-1)*100</f>
        <v>0.14979341668455159</v>
      </c>
    </row>
    <row r="811" spans="1:9" x14ac:dyDescent="0.35">
      <c r="A811" s="1">
        <v>37802</v>
      </c>
      <c r="B811" cm="1">
        <f t="array" ref="B811">(PRODUCT(1+sp500_monthly!B812:B931)^(1/120)-1)*100</f>
        <v>0.81318654935720325</v>
      </c>
      <c r="C811" cm="1">
        <f t="array" ref="C811">(PRODUCT(1+sp500_monthly!C812:C931)^(1/120)-1)*100</f>
        <v>0.65725081390692885</v>
      </c>
      <c r="D811" cm="1">
        <f t="array" ref="D811">(PRODUCT(1+sp500_monthly!D812:D931)^(1/120)-1)*100</f>
        <v>0.95327810317957784</v>
      </c>
      <c r="E811" cm="1">
        <f t="array" ref="E811">(PRODUCT(1+sp500_monthly!E812:E931)^(1/120)-1)*100</f>
        <v>0.79274310082426691</v>
      </c>
      <c r="F811" cm="1">
        <f t="array" ref="F811">(PRODUCT(1+sp500_monthly!K812:K931)^(1/120)-1)*100</f>
        <v>0.63617988470474618</v>
      </c>
      <c r="G811" cm="1">
        <f t="array" ref="G811">(PRODUCT(1+sp500_monthly!L812:L931)^(1/120)-1)</f>
        <v>0.34536047153646221</v>
      </c>
      <c r="H811" cm="1">
        <f t="array" ref="H811">(PRODUCT(1+sp500_monthly!N812:N931)^(1/120)-1)*100</f>
        <v>0.61365794071823743</v>
      </c>
      <c r="I811" cm="1">
        <f t="array" ref="I811">(PRODUCT(1+sp500_monthly!O812:O931)^(1/120)-1)*100</f>
        <v>0.15239625025362802</v>
      </c>
    </row>
    <row r="812" spans="1:9" x14ac:dyDescent="0.35">
      <c r="A812" s="1">
        <v>37833</v>
      </c>
      <c r="B812" cm="1">
        <f t="array" ref="B812">(PRODUCT(1+sp500_monthly!B813:B932)^(1/120)-1)*100</f>
        <v>0.82097850238509462</v>
      </c>
      <c r="C812" cm="1">
        <f t="array" ref="C812">(PRODUCT(1+sp500_monthly!C813:C932)^(1/120)-1)*100</f>
        <v>0.66580088635923573</v>
      </c>
      <c r="D812" cm="1">
        <f t="array" ref="D812">(PRODUCT(1+sp500_monthly!D813:D932)^(1/120)-1)*100</f>
        <v>0.956768560444754</v>
      </c>
      <c r="E812" cm="1">
        <f t="array" ref="E812">(PRODUCT(1+sp500_monthly!E813:E932)^(1/120)-1)*100</f>
        <v>0.79679816884243859</v>
      </c>
      <c r="F812" cm="1">
        <f t="array" ref="F812">(PRODUCT(1+sp500_monthly!K813:K932)^(1/120)-1)*100</f>
        <v>0.64498901438050371</v>
      </c>
      <c r="G812" cm="1">
        <f t="array" ref="G812">(PRODUCT(1+sp500_monthly!L813:L932)^(1/120)-1)</f>
        <v>0.34392805159327966</v>
      </c>
      <c r="H812" cm="1">
        <f t="array" ref="H812">(PRODUCT(1+sp500_monthly!N813:N932)^(1/120)-1)*100</f>
        <v>0.62109935674410366</v>
      </c>
      <c r="I812" cm="1">
        <f t="array" ref="I812">(PRODUCT(1+sp500_monthly!O813:O932)^(1/120)-1)*100</f>
        <v>0.15081299090931033</v>
      </c>
    </row>
    <row r="813" spans="1:9" x14ac:dyDescent="0.35">
      <c r="A813" s="1">
        <v>37862</v>
      </c>
      <c r="B813" cm="1">
        <f t="array" ref="B813">(PRODUCT(1+sp500_monthly!B814:B933)^(1/120)-1)*100</f>
        <v>0.83978059401081939</v>
      </c>
      <c r="C813" cm="1">
        <f t="array" ref="C813">(PRODUCT(1+sp500_monthly!C814:C933)^(1/120)-1)*100</f>
        <v>0.68450700118785068</v>
      </c>
      <c r="D813" cm="1">
        <f t="array" ref="D813">(PRODUCT(1+sp500_monthly!D814:D933)^(1/120)-1)*100</f>
        <v>0.98091381526688171</v>
      </c>
      <c r="E813" cm="1">
        <f t="array" ref="E813">(PRODUCT(1+sp500_monthly!E814:E933)^(1/120)-1)*100</f>
        <v>0.82093059297196902</v>
      </c>
      <c r="F813" cm="1">
        <f t="array" ref="F813">(PRODUCT(1+sp500_monthly!K814:K933)^(1/120)-1)*100</f>
        <v>0.66296836176680252</v>
      </c>
      <c r="G813" cm="1">
        <f t="array" ref="G813">(PRODUCT(1+sp500_monthly!L814:L933)^(1/120)-1)</f>
        <v>0.34227768358400068</v>
      </c>
      <c r="H813" cm="1">
        <f t="array" ref="H813">(PRODUCT(1+sp500_monthly!N814:N933)^(1/120)-1)*100</f>
        <v>0.63828204387119669</v>
      </c>
      <c r="I813" cm="1">
        <f t="array" ref="I813">(PRODUCT(1+sp500_monthly!O814:O933)^(1/120)-1)*100</f>
        <v>0.14782197458014235</v>
      </c>
    </row>
    <row r="814" spans="1:9" x14ac:dyDescent="0.35">
      <c r="A814" s="1">
        <v>37894</v>
      </c>
      <c r="B814" cm="1">
        <f t="array" ref="B814">(PRODUCT(1+sp500_monthly!B815:B934)^(1/120)-1)*100</f>
        <v>0.82521028693178788</v>
      </c>
      <c r="C814" cm="1">
        <f t="array" ref="C814">(PRODUCT(1+sp500_monthly!C815:C934)^(1/120)-1)*100</f>
        <v>0.67146960555828361</v>
      </c>
      <c r="D814" cm="1">
        <f t="array" ref="D814">(PRODUCT(1+sp500_monthly!D815:D934)^(1/120)-1)*100</f>
        <v>0.9846131500425459</v>
      </c>
      <c r="E814" cm="1">
        <f t="array" ref="E814">(PRODUCT(1+sp500_monthly!E815:E934)^(1/120)-1)*100</f>
        <v>0.82604508745183214</v>
      </c>
      <c r="F814" cm="1">
        <f t="array" ref="F814">(PRODUCT(1+sp500_monthly!K815:K934)^(1/120)-1)*100</f>
        <v>0.64943234421861451</v>
      </c>
      <c r="G814" cm="1">
        <f t="array" ref="G814">(PRODUCT(1+sp500_monthly!L815:L934)^(1/120)-1)</f>
        <v>0.34053961055084425</v>
      </c>
      <c r="H814" cm="1">
        <f t="array" ref="H814">(PRODUCT(1+sp500_monthly!N815:N934)^(1/120)-1)*100</f>
        <v>0.62183614667377096</v>
      </c>
      <c r="I814" cm="1">
        <f t="array" ref="I814">(PRODUCT(1+sp500_monthly!O815:O934)^(1/120)-1)*100</f>
        <v>0.14442650025514592</v>
      </c>
    </row>
    <row r="815" spans="1:9" x14ac:dyDescent="0.35">
      <c r="A815" s="1">
        <v>37925</v>
      </c>
      <c r="B815" cm="1">
        <f t="array" ref="B815">(PRODUCT(1+sp500_monthly!B816:B935)^(1/120)-1)*100</f>
        <v>0.82253495231383589</v>
      </c>
      <c r="C815" cm="1">
        <f t="array" ref="C815">(PRODUCT(1+sp500_monthly!C816:C935)^(1/120)-1)*100</f>
        <v>0.6695483642075617</v>
      </c>
      <c r="D815" cm="1">
        <f t="array" ref="D815">(PRODUCT(1+sp500_monthly!D816:D935)^(1/120)-1)*100</f>
        <v>0.975824386019708</v>
      </c>
      <c r="E815" cm="1">
        <f t="array" ref="E815">(PRODUCT(1+sp500_monthly!E816:E935)^(1/120)-1)*100</f>
        <v>0.8176494491910935</v>
      </c>
      <c r="F815" cm="1">
        <f t="array" ref="F815">(PRODUCT(1+sp500_monthly!K816:K935)^(1/120)-1)*100</f>
        <v>0.64777358146326236</v>
      </c>
      <c r="G815" cm="1">
        <f t="array" ref="G815">(PRODUCT(1+sp500_monthly!L816:L935)^(1/120)-1)</f>
        <v>0.33881867369992191</v>
      </c>
      <c r="H815" cm="1">
        <f t="array" ref="H815">(PRODUCT(1+sp500_monthly!N816:N935)^(1/120)-1)*100</f>
        <v>0.61760117869447129</v>
      </c>
      <c r="I815" cm="1">
        <f t="array" ref="I815">(PRODUCT(1+sp500_monthly!O816:O935)^(1/120)-1)*100</f>
        <v>0.14136927168542091</v>
      </c>
    </row>
    <row r="816" spans="1:9" x14ac:dyDescent="0.35">
      <c r="A816" s="1">
        <v>37953</v>
      </c>
      <c r="B816" cm="1">
        <f t="array" ref="B816">(PRODUCT(1+sp500_monthly!B817:B936)^(1/120)-1)*100</f>
        <v>0.85142687854726784</v>
      </c>
      <c r="C816" cm="1">
        <f t="array" ref="C816">(PRODUCT(1+sp500_monthly!C817:C936)^(1/120)-1)*100</f>
        <v>0.69819684295344686</v>
      </c>
      <c r="D816" cm="1">
        <f t="array" ref="D816">(PRODUCT(1+sp500_monthly!D817:D936)^(1/120)-1)*100</f>
        <v>1.0171533972801905</v>
      </c>
      <c r="E816" cm="1">
        <f t="array" ref="E816">(PRODUCT(1+sp500_monthly!E817:E936)^(1/120)-1)*100</f>
        <v>0.85895251089485036</v>
      </c>
      <c r="F816" cm="1">
        <f t="array" ref="F816">(PRODUCT(1+sp500_monthly!K817:K936)^(1/120)-1)*100</f>
        <v>0.67654399661982723</v>
      </c>
      <c r="G816" cm="1">
        <f t="array" ref="G816">(PRODUCT(1+sp500_monthly!L817:L936)^(1/120)-1)</f>
        <v>0.33735578533582755</v>
      </c>
      <c r="H816" cm="1">
        <f t="array" ref="H816">(PRODUCT(1+sp500_monthly!N817:N936)^(1/120)-1)*100</f>
        <v>0.65080460422475284</v>
      </c>
      <c r="I816" cm="1">
        <f t="array" ref="I816">(PRODUCT(1+sp500_monthly!O817:O936)^(1/120)-1)*100</f>
        <v>0.14446756514705505</v>
      </c>
    </row>
    <row r="817" spans="1:9" x14ac:dyDescent="0.35">
      <c r="A817" s="1">
        <v>37986</v>
      </c>
      <c r="B817" cm="1">
        <f t="array" ref="B817">(PRODUCT(1+sp500_monthly!B818:B937)^(1/120)-1)*100</f>
        <v>0.86647929583074657</v>
      </c>
      <c r="C817" cm="1">
        <f t="array" ref="C817">(PRODUCT(1+sp500_monthly!C818:C937)^(1/120)-1)*100</f>
        <v>0.71475871580761741</v>
      </c>
      <c r="D817" cm="1">
        <f t="array" ref="D817">(PRODUCT(1+sp500_monthly!D818:D937)^(1/120)-1)*100</f>
        <v>1.0421169334134506</v>
      </c>
      <c r="E817" cm="1">
        <f t="array" ref="E817">(PRODUCT(1+sp500_monthly!E818:E937)^(1/120)-1)*100</f>
        <v>0.88525777830630314</v>
      </c>
      <c r="F817" cm="1">
        <f t="array" ref="F817">(PRODUCT(1+sp500_monthly!K818:K937)^(1/120)-1)*100</f>
        <v>0.69340770655916817</v>
      </c>
      <c r="G817" cm="1">
        <f t="array" ref="G817">(PRODUCT(1+sp500_monthly!L818:L937)^(1/120)-1)</f>
        <v>0.33562408551346179</v>
      </c>
      <c r="H817" cm="1">
        <f t="array" ref="H817">(PRODUCT(1+sp500_monthly!N818:N937)^(1/120)-1)*100</f>
        <v>0.66767498332649389</v>
      </c>
      <c r="I817" cm="1">
        <f t="array" ref="I817">(PRODUCT(1+sp500_monthly!O818:O937)^(1/120)-1)*100</f>
        <v>0.14480611592246895</v>
      </c>
    </row>
    <row r="818" spans="1:9" x14ac:dyDescent="0.35">
      <c r="A818" s="1">
        <v>38016</v>
      </c>
      <c r="B818" cm="1">
        <f t="array" ref="B818">(PRODUCT(1+sp500_monthly!B819:B938)^(1/120)-1)*100</f>
        <v>0.8983558358970356</v>
      </c>
      <c r="C818" cm="1">
        <f t="array" ref="C818">(PRODUCT(1+sp500_monthly!C819:C938)^(1/120)-1)*100</f>
        <v>0.74693469001048118</v>
      </c>
      <c r="D818" cm="1">
        <f t="array" ref="D818">(PRODUCT(1+sp500_monthly!D819:D938)^(1/120)-1)*100</f>
        <v>1.0662945827708326</v>
      </c>
      <c r="E818" cm="1">
        <f t="array" ref="E818">(PRODUCT(1+sp500_monthly!E819:E938)^(1/120)-1)*100</f>
        <v>0.90949518742138302</v>
      </c>
      <c r="F818" cm="1">
        <f t="array" ref="F818">(PRODUCT(1+sp500_monthly!K819:K938)^(1/120)-1)*100</f>
        <v>0.72653964645894575</v>
      </c>
      <c r="G818" cm="1">
        <f t="array" ref="G818">(PRODUCT(1+sp500_monthly!L819:L938)^(1/120)-1)</f>
        <v>0.33417735220183431</v>
      </c>
      <c r="H818" cm="1">
        <f t="array" ref="H818">(PRODUCT(1+sp500_monthly!N819:N938)^(1/120)-1)*100</f>
        <v>0.69894628735407416</v>
      </c>
      <c r="I818" cm="1">
        <f t="array" ref="I818">(PRODUCT(1+sp500_monthly!O819:O938)^(1/120)-1)*100</f>
        <v>0.14301683670345788</v>
      </c>
    </row>
    <row r="819" spans="1:9" x14ac:dyDescent="0.35">
      <c r="A819" s="1">
        <v>38044</v>
      </c>
      <c r="B819" cm="1">
        <f t="array" ref="B819">(PRODUCT(1+sp500_monthly!B820:B939)^(1/120)-1)*100</f>
        <v>0.8865984132834237</v>
      </c>
      <c r="C819" cm="1">
        <f t="array" ref="C819">(PRODUCT(1+sp500_monthly!C820:C939)^(1/120)-1)*100</f>
        <v>0.73549803067682884</v>
      </c>
      <c r="D819" cm="1">
        <f t="array" ref="D819">(PRODUCT(1+sp500_monthly!D820:D939)^(1/120)-1)*100</f>
        <v>1.0558282856791168</v>
      </c>
      <c r="E819" cm="1">
        <f t="array" ref="E819">(PRODUCT(1+sp500_monthly!E820:E939)^(1/120)-1)*100</f>
        <v>0.89939926400339765</v>
      </c>
      <c r="F819" cm="1">
        <f t="array" ref="F819">(PRODUCT(1+sp500_monthly!K820:K939)^(1/120)-1)*100</f>
        <v>0.71407085231904865</v>
      </c>
      <c r="G819" cm="1">
        <f t="array" ref="G819">(PRODUCT(1+sp500_monthly!L820:L939)^(1/120)-1)</f>
        <v>0.33244976803227666</v>
      </c>
      <c r="H819" cm="1">
        <f t="array" ref="H819">(PRODUCT(1+sp500_monthly!N820:N939)^(1/120)-1)*100</f>
        <v>0.68360135864715676</v>
      </c>
      <c r="I819" cm="1">
        <f t="array" ref="I819">(PRODUCT(1+sp500_monthly!O820:O939)^(1/120)-1)*100</f>
        <v>0.13792592826284977</v>
      </c>
    </row>
    <row r="820" spans="1:9" x14ac:dyDescent="0.35">
      <c r="A820" s="1">
        <v>38077</v>
      </c>
      <c r="B820" cm="1">
        <f t="array" ref="B820">(PRODUCT(1+sp500_monthly!B821:B940)^(1/120)-1)*100</f>
        <v>0.9217777669718874</v>
      </c>
      <c r="C820" cm="1">
        <f t="array" ref="C820">(PRODUCT(1+sp500_monthly!C821:C940)^(1/120)-1)*100</f>
        <v>0.77178595577280795</v>
      </c>
      <c r="D820" cm="1">
        <f t="array" ref="D820">(PRODUCT(1+sp500_monthly!D821:D940)^(1/120)-1)*100</f>
        <v>1.0880182930039561</v>
      </c>
      <c r="E820" cm="1">
        <f t="array" ref="E820">(PRODUCT(1+sp500_monthly!E821:E940)^(1/120)-1)*100</f>
        <v>0.93266321034657373</v>
      </c>
      <c r="F820" cm="1">
        <f t="array" ref="F820">(PRODUCT(1+sp500_monthly!K821:K940)^(1/120)-1)*100</f>
        <v>0.74986484160985967</v>
      </c>
      <c r="G820" cm="1">
        <f t="array" ref="G820">(PRODUCT(1+sp500_monthly!L821:L940)^(1/120)-1)</f>
        <v>0.33098098099132667</v>
      </c>
      <c r="H820" cm="1">
        <f t="array" ref="H820">(PRODUCT(1+sp500_monthly!N821:N940)^(1/120)-1)*100</f>
        <v>0.71920143888104526</v>
      </c>
      <c r="I820" cm="1">
        <f t="array" ref="I820">(PRODUCT(1+sp500_monthly!O821:O940)^(1/120)-1)*100</f>
        <v>0.13716457096759616</v>
      </c>
    </row>
    <row r="821" spans="1:9" x14ac:dyDescent="0.35">
      <c r="A821" s="1">
        <v>38107</v>
      </c>
      <c r="B821" cm="1">
        <f t="array" ref="B821">(PRODUCT(1+sp500_monthly!B822:B941)^(1/120)-1)*100</f>
        <v>0.94645037610650018</v>
      </c>
      <c r="C821" cm="1">
        <f t="array" ref="C821">(PRODUCT(1+sp500_monthly!C822:C941)^(1/120)-1)*100</f>
        <v>0.79732289104350595</v>
      </c>
      <c r="D821" cm="1">
        <f t="array" ref="D821">(PRODUCT(1+sp500_monthly!D822:D941)^(1/120)-1)*100</f>
        <v>1.1207731953212008</v>
      </c>
      <c r="E821" cm="1">
        <f t="array" ref="E821">(PRODUCT(1+sp500_monthly!E822:E941)^(1/120)-1)*100</f>
        <v>0.96591862255692718</v>
      </c>
      <c r="F821" cm="1">
        <f t="array" ref="F821">(PRODUCT(1+sp500_monthly!K822:K941)^(1/120)-1)*100</f>
        <v>0.7753335202146161</v>
      </c>
      <c r="G821" cm="1">
        <f t="array" ref="G821">(PRODUCT(1+sp500_monthly!L822:L941)^(1/120)-1)</f>
        <v>0.32928684281523157</v>
      </c>
      <c r="H821" cm="1">
        <f t="array" ref="H821">(PRODUCT(1+sp500_monthly!N822:N941)^(1/120)-1)*100</f>
        <v>0.74431377020574008</v>
      </c>
      <c r="I821" cm="1">
        <f t="array" ref="I821">(PRODUCT(1+sp500_monthly!O822:O941)^(1/120)-1)*100</f>
        <v>0.13615151628720845</v>
      </c>
    </row>
    <row r="822" spans="1:9" x14ac:dyDescent="0.35">
      <c r="A822" s="1">
        <v>38135</v>
      </c>
      <c r="B822" cm="1">
        <f t="array" ref="B822">(PRODUCT(1+sp500_monthly!B823:B942)^(1/120)-1)*100</f>
        <v>0.92252699771639968</v>
      </c>
      <c r="C822" cm="1">
        <f t="array" ref="C822">(PRODUCT(1+sp500_monthly!C823:C942)^(1/120)-1)*100</f>
        <v>0.77357785674014856</v>
      </c>
      <c r="D822" cm="1">
        <f t="array" ref="D822">(PRODUCT(1+sp500_monthly!D823:D942)^(1/120)-1)*100</f>
        <v>1.0960822223907929</v>
      </c>
      <c r="E822" cm="1">
        <f t="array" ref="E822">(PRODUCT(1+sp500_monthly!E823:E942)^(1/120)-1)*100</f>
        <v>0.94142136580970259</v>
      </c>
      <c r="F822" cm="1">
        <f t="array" ref="F822">(PRODUCT(1+sp500_monthly!K823:K942)^(1/120)-1)*100</f>
        <v>0.75148736239922798</v>
      </c>
      <c r="G822" cm="1">
        <f t="array" ref="G822">(PRODUCT(1+sp500_monthly!L823:L942)^(1/120)-1)</f>
        <v>0.32749289840443518</v>
      </c>
      <c r="H822" cm="1">
        <f t="array" ref="H822">(PRODUCT(1+sp500_monthly!N823:N942)^(1/120)-1)*100</f>
        <v>0.7196639623907819</v>
      </c>
      <c r="I822" cm="1">
        <f t="array" ref="I822">(PRODUCT(1+sp500_monthly!O823:O942)^(1/120)-1)*100</f>
        <v>0.13379897921299566</v>
      </c>
    </row>
    <row r="823" spans="1:9" x14ac:dyDescent="0.35">
      <c r="A823" s="1">
        <v>38168</v>
      </c>
      <c r="B823" cm="1">
        <f t="array" ref="B823">(PRODUCT(1+sp500_monthly!B824:B943)^(1/120)-1)*100</f>
        <v>0.92030632600303974</v>
      </c>
      <c r="C823" cm="1">
        <f t="array" ref="C823">(PRODUCT(1+sp500_monthly!C824:C943)^(1/120)-1)*100</f>
        <v>0.77313403080427889</v>
      </c>
      <c r="D823" cm="1">
        <f t="array" ref="D823">(PRODUCT(1+sp500_monthly!D824:D943)^(1/120)-1)*100</f>
        <v>1.1021264136792386</v>
      </c>
      <c r="E823" cm="1">
        <f t="array" ref="E823">(PRODUCT(1+sp500_monthly!E824:E943)^(1/120)-1)*100</f>
        <v>0.94912072913924117</v>
      </c>
      <c r="F823" cm="1">
        <f t="array" ref="F823">(PRODUCT(1+sp500_monthly!K824:K943)^(1/120)-1)*100</f>
        <v>0.75120867284788062</v>
      </c>
      <c r="G823" cm="1">
        <f t="array" ref="G823">(PRODUCT(1+sp500_monthly!L824:L943)^(1/120)-1)</f>
        <v>0.32515240121575562</v>
      </c>
      <c r="H823" cm="1">
        <f t="array" ref="H823">(PRODUCT(1+sp500_monthly!N824:N943)^(1/120)-1)*100</f>
        <v>0.71558123580299782</v>
      </c>
      <c r="I823" cm="1">
        <f t="array" ref="I823">(PRODUCT(1+sp500_monthly!O824:O943)^(1/120)-1)*100</f>
        <v>0.12986106745060955</v>
      </c>
    </row>
    <row r="824" spans="1:9" x14ac:dyDescent="0.35">
      <c r="A824" s="1">
        <v>38198</v>
      </c>
      <c r="B824" cm="1">
        <f t="array" ref="B824">(PRODUCT(1+sp500_monthly!B825:B944)^(1/120)-1)*100</f>
        <v>0.95763210598134307</v>
      </c>
      <c r="C824" cm="1">
        <f t="array" ref="C824">(PRODUCT(1+sp500_monthly!C825:C944)^(1/120)-1)*100</f>
        <v>0.81122164830398358</v>
      </c>
      <c r="D824" cm="1">
        <f t="array" ref="D824">(PRODUCT(1+sp500_monthly!D825:D944)^(1/120)-1)*100</f>
        <v>1.145986054733994</v>
      </c>
      <c r="E824" cm="1">
        <f t="array" ref="E824">(PRODUCT(1+sp500_monthly!E825:E944)^(1/120)-1)*100</f>
        <v>0.99337966037511549</v>
      </c>
      <c r="F824" cm="1">
        <f t="array" ref="F824">(PRODUCT(1+sp500_monthly!K825:K944)^(1/120)-1)*100</f>
        <v>0.78900343378947024</v>
      </c>
      <c r="G824" cm="1">
        <f t="array" ref="G824">(PRODUCT(1+sp500_monthly!L825:L944)^(1/120)-1)</f>
        <v>0.32302209870682064</v>
      </c>
      <c r="H824" cm="1">
        <f t="array" ref="H824">(PRODUCT(1+sp500_monthly!N825:N944)^(1/120)-1)*100</f>
        <v>0.75198803882614573</v>
      </c>
      <c r="I824" cm="1">
        <f t="array" ref="I824">(PRODUCT(1+sp500_monthly!O825:O944)^(1/120)-1)*100</f>
        <v>0.12710763579819595</v>
      </c>
    </row>
    <row r="825" spans="1:9" x14ac:dyDescent="0.35">
      <c r="A825" s="1">
        <v>38230</v>
      </c>
      <c r="B825" cm="1">
        <f t="array" ref="B825">(PRODUCT(1+sp500_monthly!B826:B945)^(1/120)-1)*100</f>
        <v>0.90237334875555852</v>
      </c>
      <c r="C825" cm="1">
        <f t="array" ref="C825">(PRODUCT(1+sp500_monthly!C826:C945)^(1/120)-1)*100</f>
        <v>0.75612234348829688</v>
      </c>
      <c r="D825" cm="1">
        <f t="array" ref="D825">(PRODUCT(1+sp500_monthly!D826:D945)^(1/120)-1)*100</f>
        <v>1.080856091160598</v>
      </c>
      <c r="E825" cm="1">
        <f t="array" ref="E825">(PRODUCT(1+sp500_monthly!E826:E945)^(1/120)-1)*100</f>
        <v>0.92852460409527104</v>
      </c>
      <c r="F825" cm="1">
        <f t="array" ref="F825">(PRODUCT(1+sp500_monthly!K826:K945)^(1/120)-1)*100</f>
        <v>0.73368982794552728</v>
      </c>
      <c r="G825" cm="1">
        <f t="array" ref="G825">(PRODUCT(1+sp500_monthly!L826:L945)^(1/120)-1)</f>
        <v>0.32135228780839942</v>
      </c>
      <c r="H825" cm="1">
        <f t="array" ref="H825">(PRODUCT(1+sp500_monthly!N826:N945)^(1/120)-1)*100</f>
        <v>0.69878594550327744</v>
      </c>
      <c r="I825" cm="1">
        <f t="array" ref="I825">(PRODUCT(1+sp500_monthly!O826:O945)^(1/120)-1)*100</f>
        <v>0.12754166513067045</v>
      </c>
    </row>
    <row r="826" spans="1:9" x14ac:dyDescent="0.35">
      <c r="A826" s="1">
        <v>38260</v>
      </c>
      <c r="B826" cm="1">
        <f t="array" ref="B826">(PRODUCT(1+sp500_monthly!B827:B946)^(1/120)-1)*100</f>
        <v>0.87151074381752736</v>
      </c>
      <c r="C826" cm="1">
        <f t="array" ref="C826">(PRODUCT(1+sp500_monthly!C827:C946)^(1/120)-1)*100</f>
        <v>0.72651347451724302</v>
      </c>
      <c r="D826" cm="1">
        <f t="array" ref="D826">(PRODUCT(1+sp500_monthly!D827:D946)^(1/120)-1)*100</f>
        <v>1.0354927817367576</v>
      </c>
      <c r="E826" cm="1">
        <f t="array" ref="E826">(PRODUCT(1+sp500_monthly!E827:E946)^(1/120)-1)*100</f>
        <v>0.88432705102077236</v>
      </c>
      <c r="F826" cm="1">
        <f t="array" ref="F826">(PRODUCT(1+sp500_monthly!K827:K946)^(1/120)-1)*100</f>
        <v>0.70459256668631287</v>
      </c>
      <c r="G826" cm="1">
        <f t="array" ref="G826">(PRODUCT(1+sp500_monthly!L827:L946)^(1/120)-1)</f>
        <v>0.31903698908379852</v>
      </c>
      <c r="H826" cm="1">
        <f t="array" ref="H826">(PRODUCT(1+sp500_monthly!N827:N946)^(1/120)-1)*100</f>
        <v>0.67092708383584831</v>
      </c>
      <c r="I826" cm="1">
        <f t="array" ref="I826">(PRODUCT(1+sp500_monthly!O827:O946)^(1/120)-1)*100</f>
        <v>0.12830306944646708</v>
      </c>
    </row>
    <row r="827" spans="1:9" x14ac:dyDescent="0.35">
      <c r="A827" s="1">
        <v>38289</v>
      </c>
      <c r="B827" cm="1">
        <f t="array" ref="B827">(PRODUCT(1+sp500_monthly!B828:B947)^(1/120)-1)*100</f>
        <v>0.90092759617097506</v>
      </c>
      <c r="C827" cm="1">
        <f t="array" ref="C827">(PRODUCT(1+sp500_monthly!C828:C947)^(1/120)-1)*100</f>
        <v>0.75664523491363322</v>
      </c>
      <c r="D827" cm="1">
        <f t="array" ref="D827">(PRODUCT(1+sp500_monthly!D828:D947)^(1/120)-1)*100</f>
        <v>1.0805821545744942</v>
      </c>
      <c r="E827" cm="1">
        <f t="array" ref="E827">(PRODUCT(1+sp500_monthly!E828:E947)^(1/120)-1)*100</f>
        <v>0.92983851435313181</v>
      </c>
      <c r="F827" cm="1">
        <f t="array" ref="F827">(PRODUCT(1+sp500_monthly!K828:K947)^(1/120)-1)*100</f>
        <v>0.73530107221411178</v>
      </c>
      <c r="G827" cm="1">
        <f t="array" ref="G827">(PRODUCT(1+sp500_monthly!L828:L947)^(1/120)-1)</f>
        <v>0.31672574726985903</v>
      </c>
      <c r="H827" cm="1">
        <f t="array" ref="H827">(PRODUCT(1+sp500_monthly!N828:N947)^(1/120)-1)*100</f>
        <v>0.69931634685591604</v>
      </c>
      <c r="I827" cm="1">
        <f t="array" ref="I827">(PRODUCT(1+sp500_monthly!O828:O947)^(1/120)-1)*100</f>
        <v>0.12517527085793567</v>
      </c>
    </row>
    <row r="828" spans="1:9" x14ac:dyDescent="0.35">
      <c r="A828" s="1">
        <v>38321</v>
      </c>
      <c r="B828" cm="1">
        <f t="array" ref="B828">(PRODUCT(1+sp500_monthly!B829:B948)^(1/120)-1)*100</f>
        <v>0.89461483793498164</v>
      </c>
      <c r="C828" cm="1">
        <f t="array" ref="C828">(PRODUCT(1+sp500_monthly!C829:C948)^(1/120)-1)*100</f>
        <v>0.75058437019490665</v>
      </c>
      <c r="D828" cm="1">
        <f t="array" ref="D828">(PRODUCT(1+sp500_monthly!D829:D948)^(1/120)-1)*100</f>
        <v>1.0909240876639581</v>
      </c>
      <c r="E828" cm="1">
        <f t="array" ref="E828">(PRODUCT(1+sp500_monthly!E829:E948)^(1/120)-1)*100</f>
        <v>0.94059624521964924</v>
      </c>
      <c r="F828" cm="1">
        <f t="array" ref="F828">(PRODUCT(1+sp500_monthly!K829:K948)^(1/120)-1)*100</f>
        <v>0.72967413154765293</v>
      </c>
      <c r="G828" cm="1">
        <f t="array" ref="G828">(PRODUCT(1+sp500_monthly!L829:L948)^(1/120)-1)</f>
        <v>0.31433889559019867</v>
      </c>
      <c r="H828" cm="1">
        <f t="array" ref="H828">(PRODUCT(1+sp500_monthly!N829:N948)^(1/120)-1)*100</f>
        <v>0.68916870772888217</v>
      </c>
      <c r="I828" cm="1">
        <f t="array" ref="I828">(PRODUCT(1+sp500_monthly!O829:O948)^(1/120)-1)*100</f>
        <v>0.11910227285638619</v>
      </c>
    </row>
    <row r="829" spans="1:9" x14ac:dyDescent="0.35">
      <c r="A829" s="1">
        <v>38352</v>
      </c>
      <c r="B829" cm="1">
        <f t="array" ref="B829">(PRODUCT(1+sp500_monthly!B830:B949)^(1/120)-1)*100</f>
        <v>0.95910655104529674</v>
      </c>
      <c r="C829" cm="1">
        <f t="array" ref="C829">(PRODUCT(1+sp500_monthly!C830:C949)^(1/120)-1)*100</f>
        <v>0.81372024143882005</v>
      </c>
      <c r="D829" cm="1">
        <f t="array" ref="D829">(PRODUCT(1+sp500_monthly!D830:D949)^(1/120)-1)*100</f>
        <v>1.176418633513987</v>
      </c>
      <c r="E829" cm="1">
        <f t="array" ref="E829">(PRODUCT(1+sp500_monthly!E830:E949)^(1/120)-1)*100</f>
        <v>1.027115111855692</v>
      </c>
      <c r="F829" cm="1">
        <f t="array" ref="F829">(PRODUCT(1+sp500_monthly!K830:K949)^(1/120)-1)*100</f>
        <v>0.79531698268602291</v>
      </c>
      <c r="G829" cm="1">
        <f t="array" ref="G829">(PRODUCT(1+sp500_monthly!L830:L949)^(1/120)-1)</f>
        <v>0.31242301462322986</v>
      </c>
      <c r="H829" cm="1">
        <f t="array" ref="H829">(PRODUCT(1+sp500_monthly!N830:N949)^(1/120)-1)*100</f>
        <v>0.75182294348743461</v>
      </c>
      <c r="I829" cm="1">
        <f t="array" ref="I829">(PRODUCT(1+sp500_monthly!O830:O949)^(1/120)-1)*100</f>
        <v>0.11557614987536269</v>
      </c>
    </row>
    <row r="830" spans="1:9" x14ac:dyDescent="0.35">
      <c r="A830" s="1">
        <v>38383</v>
      </c>
      <c r="B830" cm="1">
        <f t="array" ref="B830">(PRODUCT(1+sp500_monthly!B831:B950)^(1/120)-1)*100</f>
        <v>0.97453193610059774</v>
      </c>
      <c r="C830" cm="1">
        <f t="array" ref="C830">(PRODUCT(1+sp500_monthly!C831:C950)^(1/120)-1)*100</f>
        <v>0.82988490029132223</v>
      </c>
      <c r="D830" cm="1">
        <f t="array" ref="D830">(PRODUCT(1+sp500_monthly!D831:D950)^(1/120)-1)*100</f>
        <v>1.1936846628120001</v>
      </c>
      <c r="E830" cm="1">
        <f t="array" ref="E830">(PRODUCT(1+sp500_monthly!E831:E950)^(1/120)-1)*100</f>
        <v>1.044921954860345</v>
      </c>
      <c r="F830" cm="1">
        <f t="array" ref="F830">(PRODUCT(1+sp500_monthly!K831:K950)^(1/120)-1)*100</f>
        <v>0.811881017677063</v>
      </c>
      <c r="G830" cm="1">
        <f t="array" ref="G830">(PRODUCT(1+sp500_monthly!L831:L950)^(1/120)-1)</f>
        <v>0.31006034233184199</v>
      </c>
      <c r="H830" cm="1">
        <f t="array" ref="H830">(PRODUCT(1+sp500_monthly!N831:N950)^(1/120)-1)*100</f>
        <v>0.76889668618309592</v>
      </c>
      <c r="I830" cm="1">
        <f t="array" ref="I830">(PRODUCT(1+sp500_monthly!O831:O950)^(1/120)-1)*100</f>
        <v>0.11491625743205169</v>
      </c>
    </row>
    <row r="831" spans="1:9" x14ac:dyDescent="0.35">
      <c r="A831" s="1">
        <v>38411</v>
      </c>
      <c r="B831" cm="1">
        <f t="array" ref="B831">(PRODUCT(1+sp500_monthly!B832:B951)^(1/120)-1)*100</f>
        <v>0.93265291400710382</v>
      </c>
      <c r="C831" cm="1">
        <f t="array" ref="C831">(PRODUCT(1+sp500_monthly!C832:C951)^(1/120)-1)*100</f>
        <v>0.78862307016076549</v>
      </c>
      <c r="D831" cm="1">
        <f t="array" ref="D831">(PRODUCT(1+sp500_monthly!D832:D951)^(1/120)-1)*100</f>
        <v>1.1508134149790017</v>
      </c>
      <c r="E831" cm="1">
        <f t="array" ref="E831">(PRODUCT(1+sp500_monthly!E832:E951)^(1/120)-1)*100</f>
        <v>1.0027108758263292</v>
      </c>
      <c r="F831" cm="1">
        <f t="array" ref="F831">(PRODUCT(1+sp500_monthly!K832:K951)^(1/120)-1)*100</f>
        <v>0.77021797774639023</v>
      </c>
      <c r="G831" cm="1">
        <f t="array" ref="G831">(PRODUCT(1+sp500_monthly!L832:L951)^(1/120)-1)</f>
        <v>0.30785434758880648</v>
      </c>
      <c r="H831" cm="1">
        <f t="array" ref="H831">(PRODUCT(1+sp500_monthly!N832:N951)^(1/120)-1)*100</f>
        <v>0.72977488199201801</v>
      </c>
      <c r="I831" cm="1">
        <f t="array" ref="I831">(PRODUCT(1+sp500_monthly!O832:O951)^(1/120)-1)*100</f>
        <v>0.11540902994378044</v>
      </c>
    </row>
    <row r="832" spans="1:9" x14ac:dyDescent="0.35">
      <c r="A832" s="1">
        <v>38442</v>
      </c>
      <c r="B832" cm="1">
        <f t="array" ref="B832">(PRODUCT(1+sp500_monthly!B833:B952)^(1/120)-1)*100</f>
        <v>0.91789534453821098</v>
      </c>
      <c r="C832" cm="1">
        <f t="array" ref="C832">(PRODUCT(1+sp500_monthly!C833:C952)^(1/120)-1)*100</f>
        <v>0.77447399450665255</v>
      </c>
      <c r="D832" cm="1">
        <f t="array" ref="D832">(PRODUCT(1+sp500_monthly!D833:D952)^(1/120)-1)*100</f>
        <v>1.1310386368891256</v>
      </c>
      <c r="E832" cm="1">
        <f t="array" ref="E832">(PRODUCT(1+sp500_monthly!E833:E952)^(1/120)-1)*100</f>
        <v>0.98398532945065398</v>
      </c>
      <c r="F832" cm="1">
        <f t="array" ref="F832">(PRODUCT(1+sp500_monthly!K833:K952)^(1/120)-1)*100</f>
        <v>0.75618501290735107</v>
      </c>
      <c r="G832" cm="1">
        <f t="array" ref="G832">(PRODUCT(1+sp500_monthly!L833:L952)^(1/120)-1)</f>
        <v>0.30580641159893074</v>
      </c>
      <c r="H832" cm="1">
        <f t="array" ref="H832">(PRODUCT(1+sp500_monthly!N833:N952)^(1/120)-1)*100</f>
        <v>0.71377764588629322</v>
      </c>
      <c r="I832" cm="1">
        <f t="array" ref="I832">(PRODUCT(1+sp500_monthly!O833:O952)^(1/120)-1)*100</f>
        <v>0.11215058419113966</v>
      </c>
    </row>
    <row r="833" spans="1:9" x14ac:dyDescent="0.35">
      <c r="A833" s="1">
        <v>38471</v>
      </c>
      <c r="B833" cm="1">
        <f t="array" ref="B833">(PRODUCT(1+sp500_monthly!B834:B953)^(1/120)-1)*100</f>
        <v>0.87896340826734143</v>
      </c>
      <c r="C833" cm="1">
        <f t="array" ref="C833">(PRODUCT(1+sp500_monthly!C834:C953)^(1/120)-1)*100</f>
        <v>0.73608386707453288</v>
      </c>
      <c r="D833" cm="1">
        <f t="array" ref="D833">(PRODUCT(1+sp500_monthly!D834:D953)^(1/120)-1)*100</f>
        <v>1.0957238908683609</v>
      </c>
      <c r="E833" cm="1">
        <f t="array" ref="E833">(PRODUCT(1+sp500_monthly!E834:E953)^(1/120)-1)*100</f>
        <v>0.94896039591394477</v>
      </c>
      <c r="F833" cm="1">
        <f t="array" ref="F833">(PRODUCT(1+sp500_monthly!K834:K953)^(1/120)-1)*100</f>
        <v>0.71734650550887569</v>
      </c>
      <c r="G833" cm="1">
        <f t="array" ref="G833">(PRODUCT(1+sp500_monthly!L834:L953)^(1/120)-1)</f>
        <v>0.30376424817558356</v>
      </c>
      <c r="H833" cm="1">
        <f t="array" ref="H833">(PRODUCT(1+sp500_monthly!N834:N953)^(1/120)-1)*100</f>
        <v>0.67354391370393341</v>
      </c>
      <c r="I833" cm="1">
        <f t="array" ref="I833">(PRODUCT(1+sp500_monthly!O834:O953)^(1/120)-1)*100</f>
        <v>0.1086991042016372</v>
      </c>
    </row>
    <row r="834" spans="1:9" x14ac:dyDescent="0.35">
      <c r="A834" s="1">
        <v>38503</v>
      </c>
      <c r="B834" cm="1">
        <f t="array" ref="B834">(PRODUCT(1+sp500_monthly!B835:B954)^(1/120)-1)*100</f>
        <v>0.83855380921029621</v>
      </c>
      <c r="C834" cm="1">
        <f t="array" ref="C834">(PRODUCT(1+sp500_monthly!C835:C954)^(1/120)-1)*100</f>
        <v>0.69595544348670657</v>
      </c>
      <c r="D834" cm="1">
        <f t="array" ref="D834">(PRODUCT(1+sp500_monthly!D835:D954)^(1/120)-1)*100</f>
        <v>1.0494228698641361</v>
      </c>
      <c r="E834" cm="1">
        <f t="array" ref="E834">(PRODUCT(1+sp500_monthly!E835:E954)^(1/120)-1)*100</f>
        <v>0.90310617249922398</v>
      </c>
      <c r="F834" cm="1">
        <f t="array" ref="F834">(PRODUCT(1+sp500_monthly!K835:K954)^(1/120)-1)*100</f>
        <v>0.67715974801161316</v>
      </c>
      <c r="G834" cm="1">
        <f t="array" ref="G834">(PRODUCT(1+sp500_monthly!L835:L954)^(1/120)-1)</f>
        <v>0.30187491307870706</v>
      </c>
      <c r="H834" cm="1">
        <f t="array" ref="H834">(PRODUCT(1+sp500_monthly!N835:N954)^(1/120)-1)*100</f>
        <v>0.6339361476203953</v>
      </c>
      <c r="I834" cm="1">
        <f t="array" ref="I834">(PRODUCT(1+sp500_monthly!O835:O954)^(1/120)-1)*100</f>
        <v>0.10750237026913023</v>
      </c>
    </row>
    <row r="835" spans="1:9" x14ac:dyDescent="0.35">
      <c r="A835" s="1">
        <v>38533</v>
      </c>
      <c r="B835" cm="1">
        <f t="array" ref="B835">(PRODUCT(1+sp500_monthly!B836:B955)^(1/120)-1)*100</f>
        <v>0.83221446561834167</v>
      </c>
      <c r="C835" cm="1">
        <f t="array" ref="C835">(PRODUCT(1+sp500_monthly!C836:C955)^(1/120)-1)*100</f>
        <v>0.6908410372431284</v>
      </c>
      <c r="D835" cm="1">
        <f t="array" ref="D835">(PRODUCT(1+sp500_monthly!D836:D955)^(1/120)-1)*100</f>
        <v>1.0598099699059338</v>
      </c>
      <c r="E835" cm="1">
        <f t="array" ref="E835">(PRODUCT(1+sp500_monthly!E836:E955)^(1/120)-1)*100</f>
        <v>0.91482409460081904</v>
      </c>
      <c r="F835" cm="1">
        <f t="array" ref="F835">(PRODUCT(1+sp500_monthly!K836:K955)^(1/120)-1)*100</f>
        <v>0.67199509387942946</v>
      </c>
      <c r="G835" cm="1">
        <f t="array" ref="G835">(PRODUCT(1+sp500_monthly!L836:L955)^(1/120)-1)</f>
        <v>0.29952637907040236</v>
      </c>
      <c r="H835" cm="1">
        <f t="array" ref="H835">(PRODUCT(1+sp500_monthly!N836:N955)^(1/120)-1)*100</f>
        <v>0.62969832419976779</v>
      </c>
      <c r="I835" cm="1">
        <f t="array" ref="I835">(PRODUCT(1+sp500_monthly!O836:O955)^(1/120)-1)*100</f>
        <v>0.10708724383539092</v>
      </c>
    </row>
    <row r="836" spans="1:9" x14ac:dyDescent="0.35">
      <c r="A836" s="1">
        <v>38562</v>
      </c>
      <c r="B836" cm="1">
        <f t="array" ref="B836">(PRODUCT(1+sp500_monthly!B837:B956)^(1/120)-1)*100</f>
        <v>0.81360225876399017</v>
      </c>
      <c r="C836" cm="1">
        <f t="array" ref="C836">(PRODUCT(1+sp500_monthly!C837:C956)^(1/120)-1)*100</f>
        <v>0.67253692128028675</v>
      </c>
      <c r="D836" cm="1">
        <f t="array" ref="D836">(PRODUCT(1+sp500_monthly!D837:D956)^(1/120)-1)*100</f>
        <v>1.0504785160488916</v>
      </c>
      <c r="E836" cm="1">
        <f t="array" ref="E836">(PRODUCT(1+sp500_monthly!E837:E956)^(1/120)-1)*100</f>
        <v>0.90571992430354964</v>
      </c>
      <c r="F836" cm="1">
        <f t="array" ref="F836">(PRODUCT(1+sp500_monthly!K837:K956)^(1/120)-1)*100</f>
        <v>0.65421230772617633</v>
      </c>
      <c r="G836" cm="1">
        <f t="array" ref="G836">(PRODUCT(1+sp500_monthly!L837:L956)^(1/120)-1)</f>
        <v>0.29759749302113225</v>
      </c>
      <c r="H836" cm="1">
        <f t="array" ref="H836">(PRODUCT(1+sp500_monthly!N837:N956)^(1/120)-1)*100</f>
        <v>0.61234261839964166</v>
      </c>
      <c r="I836" cm="1">
        <f t="array" ref="I836">(PRODUCT(1+sp500_monthly!O837:O956)^(1/120)-1)*100</f>
        <v>0.10630509184814674</v>
      </c>
    </row>
    <row r="837" spans="1:9" x14ac:dyDescent="0.35">
      <c r="A837" s="1">
        <v>38595</v>
      </c>
      <c r="B837" cm="1">
        <f t="array" ref="B837">(PRODUCT(1+sp500_monthly!B838:B957)^(1/120)-1)*100</f>
        <v>0.81681465551564081</v>
      </c>
      <c r="C837" cm="1">
        <f t="array" ref="C837">(PRODUCT(1+sp500_monthly!C838:C957)^(1/120)-1)*100</f>
        <v>0.67589567634500636</v>
      </c>
      <c r="D837" cm="1">
        <f t="array" ref="D837">(PRODUCT(1+sp500_monthly!D838:D957)^(1/120)-1)*100</f>
        <v>1.065112478057717</v>
      </c>
      <c r="E837" cm="1">
        <f t="array" ref="E837">(PRODUCT(1+sp500_monthly!E838:E957)^(1/120)-1)*100</f>
        <v>0.9206535666246296</v>
      </c>
      <c r="F837" cm="1">
        <f t="array" ref="F837">(PRODUCT(1+sp500_monthly!K838:K957)^(1/120)-1)*100</f>
        <v>0.65761335869960469</v>
      </c>
      <c r="G837" cm="1">
        <f t="array" ref="G837">(PRODUCT(1+sp500_monthly!L838:L957)^(1/120)-1)</f>
        <v>0.29590682910737676</v>
      </c>
      <c r="H837" cm="1">
        <f t="array" ref="H837">(PRODUCT(1+sp500_monthly!N838:N957)^(1/120)-1)*100</f>
        <v>0.61146993121048432</v>
      </c>
      <c r="I837" cm="1">
        <f t="array" ref="I837">(PRODUCT(1+sp500_monthly!O838:O957)^(1/120)-1)*100</f>
        <v>0.10050131244190297</v>
      </c>
    </row>
    <row r="838" spans="1:9" x14ac:dyDescent="0.35">
      <c r="A838" s="1">
        <v>38625</v>
      </c>
      <c r="B838" cm="1">
        <f t="array" ref="B838">(PRODUCT(1+sp500_monthly!B839:B958)^(1/120)-1)*100</f>
        <v>0.80614789031348</v>
      </c>
      <c r="C838" cm="1">
        <f t="array" ref="C838">(PRODUCT(1+sp500_monthly!C839:C958)^(1/120)-1)*100</f>
        <v>0.66585314866958178</v>
      </c>
      <c r="D838" cm="1">
        <f t="array" ref="D838">(PRODUCT(1+sp500_monthly!D839:D958)^(1/120)-1)*100</f>
        <v>1.0503516652720313</v>
      </c>
      <c r="E838" cm="1">
        <f t="array" ref="E838">(PRODUCT(1+sp500_monthly!E839:E958)^(1/120)-1)*100</f>
        <v>0.90700419315092873</v>
      </c>
      <c r="F838" cm="1">
        <f t="array" ref="F838">(PRODUCT(1+sp500_monthly!K839:K958)^(1/120)-1)*100</f>
        <v>0.64841586194905876</v>
      </c>
      <c r="G838" cm="1">
        <f t="array" ref="G838">(PRODUCT(1+sp500_monthly!L839:L958)^(1/120)-1)</f>
        <v>0.29458030405318048</v>
      </c>
      <c r="H838" cm="1">
        <f t="array" ref="H838">(PRODUCT(1+sp500_monthly!N839:N958)^(1/120)-1)*100</f>
        <v>0.59732560985277239</v>
      </c>
      <c r="I838" cm="1">
        <f t="array" ref="I838">(PRODUCT(1+sp500_monthly!O839:O958)^(1/120)-1)*100</f>
        <v>9.5606840322615128E-2</v>
      </c>
    </row>
    <row r="839" spans="1:9" x14ac:dyDescent="0.35">
      <c r="A839" s="1">
        <v>38656</v>
      </c>
      <c r="B839" cm="1">
        <f t="array" ref="B839">(PRODUCT(1+sp500_monthly!B840:B959)^(1/120)-1)*100</f>
        <v>0.77825768717891819</v>
      </c>
      <c r="C839" cm="1">
        <f t="array" ref="C839">(PRODUCT(1+sp500_monthly!C840:C959)^(1/120)-1)*100</f>
        <v>0.63859023335781639</v>
      </c>
      <c r="D839" cm="1">
        <f t="array" ref="D839">(PRODUCT(1+sp500_monthly!D840:D959)^(1/120)-1)*100</f>
        <v>1.0367076467946656</v>
      </c>
      <c r="E839" cm="1">
        <f t="array" ref="E839">(PRODUCT(1+sp500_monthly!E840:E959)^(1/120)-1)*100</f>
        <v>0.89369181542011678</v>
      </c>
      <c r="F839" cm="1">
        <f t="array" ref="F839">(PRODUCT(1+sp500_monthly!K840:K959)^(1/120)-1)*100</f>
        <v>0.62125286612497721</v>
      </c>
      <c r="G839" cm="1">
        <f t="array" ref="G839">(PRODUCT(1+sp500_monthly!L840:L959)^(1/120)-1)</f>
        <v>0.29346925201103491</v>
      </c>
      <c r="H839" cm="1">
        <f t="array" ref="H839">(PRODUCT(1+sp500_monthly!N840:N959)^(1/120)-1)*100</f>
        <v>0.55912888048863518</v>
      </c>
      <c r="I839" cm="1">
        <f t="array" ref="I839">(PRODUCT(1+sp500_monthly!O840:O959)^(1/120)-1)*100</f>
        <v>8.4127909119402489E-2</v>
      </c>
    </row>
    <row r="840" spans="1:9" x14ac:dyDescent="0.35">
      <c r="A840" s="1">
        <v>38686</v>
      </c>
      <c r="B840" cm="1">
        <f t="array" ref="B840">(PRODUCT(1+sp500_monthly!B841:B960)^(1/120)-1)*100</f>
        <v>0.7678879978930464</v>
      </c>
      <c r="C840" cm="1">
        <f t="array" ref="C840">(PRODUCT(1+sp500_monthly!C841:C960)^(1/120)-1)*100</f>
        <v>0.62855866061406473</v>
      </c>
      <c r="D840" cm="1">
        <f t="array" ref="D840">(PRODUCT(1+sp500_monthly!D841:D960)^(1/120)-1)*100</f>
        <v>1.0372699943906882</v>
      </c>
      <c r="E840" cm="1">
        <f t="array" ref="E840">(PRODUCT(1+sp500_monthly!E841:E960)^(1/120)-1)*100</f>
        <v>0.89457126375127594</v>
      </c>
      <c r="F840" cm="1">
        <f t="array" ref="F840">(PRODUCT(1+sp500_monthly!K841:K960)^(1/120)-1)*100</f>
        <v>0.61042926675736187</v>
      </c>
      <c r="G840" cm="1">
        <f t="array" ref="G840">(PRODUCT(1+sp500_monthly!L841:L960)^(1/120)-1)</f>
        <v>0.29189384504086902</v>
      </c>
      <c r="H840" cm="1">
        <f t="array" ref="H840">(PRODUCT(1+sp500_monthly!N841:N960)^(1/120)-1)*100</f>
        <v>0.54970456919465338</v>
      </c>
      <c r="I840" cm="1">
        <f t="array" ref="I840">(PRODUCT(1+sp500_monthly!O841:O960)^(1/120)-1)*100</f>
        <v>8.3384553348286872E-2</v>
      </c>
    </row>
    <row r="841" spans="1:9" x14ac:dyDescent="0.35">
      <c r="A841" s="1">
        <v>38716</v>
      </c>
      <c r="B841" cm="1">
        <f t="array" ref="B841">(PRODUCT(1+sp500_monthly!B842:B961)^(1/120)-1)*100</f>
        <v>0.76313794127818024</v>
      </c>
      <c r="C841" cm="1">
        <f t="array" ref="C841">(PRODUCT(1+sp500_monthly!C842:C961)^(1/120)-1)*100</f>
        <v>0.62398600433490881</v>
      </c>
      <c r="D841" cm="1">
        <f t="array" ref="D841">(PRODUCT(1+sp500_monthly!D842:D961)^(1/120)-1)*100</f>
        <v>1.0314466893151408</v>
      </c>
      <c r="E841" cm="1">
        <f t="array" ref="E841">(PRODUCT(1+sp500_monthly!E842:E961)^(1/120)-1)*100</f>
        <v>0.88943034160129386</v>
      </c>
      <c r="F841" cm="1">
        <f t="array" ref="F841">(PRODUCT(1+sp500_monthly!K842:K961)^(1/120)-1)*100</f>
        <v>0.60569420036922228</v>
      </c>
      <c r="G841" cm="1">
        <f t="array" ref="G841">(PRODUCT(1+sp500_monthly!L842:L961)^(1/120)-1)</f>
        <v>0.29102609445394001</v>
      </c>
      <c r="H841" cm="1">
        <f t="array" ref="H841">(PRODUCT(1+sp500_monthly!N842:N961)^(1/120)-1)*100</f>
        <v>0.55027483528660159</v>
      </c>
      <c r="I841" cm="1">
        <f t="array" ref="I841">(PRODUCT(1+sp500_monthly!O842:O961)^(1/120)-1)*100</f>
        <v>8.7756075184164395E-2</v>
      </c>
    </row>
    <row r="842" spans="1:9" x14ac:dyDescent="0.35">
      <c r="A842" s="1">
        <v>38748</v>
      </c>
      <c r="B842" cm="1">
        <f t="array" ref="B842">(PRODUCT(1+sp500_monthly!B843:B962)^(1/120)-1)*100</f>
        <v>0.74840310608743632</v>
      </c>
      <c r="C842" cm="1">
        <f t="array" ref="C842">(PRODUCT(1+sp500_monthly!C843:C962)^(1/120)-1)*100</f>
        <v>0.60966293555051454</v>
      </c>
      <c r="D842" cm="1">
        <f t="array" ref="D842">(PRODUCT(1+sp500_monthly!D843:D962)^(1/120)-1)*100</f>
        <v>1.025936533507088</v>
      </c>
      <c r="E842" cm="1">
        <f t="array" ref="E842">(PRODUCT(1+sp500_monthly!E843:E962)^(1/120)-1)*100</f>
        <v>0.88428021180508853</v>
      </c>
      <c r="F842" cm="1">
        <f t="array" ref="F842">(PRODUCT(1+sp500_monthly!K843:K962)^(1/120)-1)*100</f>
        <v>0.59039822270205988</v>
      </c>
      <c r="G842" cm="1">
        <f t="array" ref="G842">(PRODUCT(1+sp500_monthly!L843:L962)^(1/120)-1)</f>
        <v>0.28972341411532754</v>
      </c>
      <c r="H842" cm="1">
        <f t="array" ref="H842">(PRODUCT(1+sp500_monthly!N843:N962)^(1/120)-1)*100</f>
        <v>0.53666059582719861</v>
      </c>
      <c r="I842" cm="1">
        <f t="array" ref="I842">(PRODUCT(1+sp500_monthly!O843:O962)^(1/120)-1)*100</f>
        <v>8.7428494436503357E-2</v>
      </c>
    </row>
    <row r="843" spans="1:9" x14ac:dyDescent="0.35">
      <c r="A843" s="1">
        <v>38776</v>
      </c>
      <c r="B843" cm="1">
        <f t="array" ref="B843">(PRODUCT(1+sp500_monthly!B844:B963)^(1/120)-1)*100</f>
        <v>0.74154517323876679</v>
      </c>
      <c r="C843" cm="1">
        <f t="array" ref="C843">(PRODUCT(1+sp500_monthly!C844:C963)^(1/120)-1)*100</f>
        <v>0.60315481900088397</v>
      </c>
      <c r="D843" cm="1">
        <f t="array" ref="D843">(PRODUCT(1+sp500_monthly!D844:D963)^(1/120)-1)*100</f>
        <v>1.034632688506365</v>
      </c>
      <c r="E843" cm="1">
        <f t="array" ref="E843">(PRODUCT(1+sp500_monthly!E844:E963)^(1/120)-1)*100</f>
        <v>0.89341322980402982</v>
      </c>
      <c r="F843" cm="1">
        <f t="array" ref="F843">(PRODUCT(1+sp500_monthly!K844:K963)^(1/120)-1)*100</f>
        <v>0.58457400772846668</v>
      </c>
      <c r="G843" cm="1">
        <f t="array" ref="G843">(PRODUCT(1+sp500_monthly!L844:L963)^(1/120)-1)</f>
        <v>0.28910481929689813</v>
      </c>
      <c r="H843" cm="1">
        <f t="array" ref="H843">(PRODUCT(1+sp500_monthly!N844:N963)^(1/120)-1)*100</f>
        <v>0.52910117517743771</v>
      </c>
      <c r="I843" cm="1">
        <f t="array" ref="I843">(PRODUCT(1+sp500_monthly!O844:O963)^(1/120)-1)*100</f>
        <v>8.6051093264560841E-2</v>
      </c>
    </row>
    <row r="844" spans="1:9" x14ac:dyDescent="0.35">
      <c r="A844" s="1">
        <v>38807</v>
      </c>
      <c r="B844" cm="1">
        <f t="array" ref="B844">(PRODUCT(1+sp500_monthly!B845:B964)^(1/120)-1)*100</f>
        <v>0.73515215700885594</v>
      </c>
      <c r="C844" cm="1">
        <f t="array" ref="C844">(PRODUCT(1+sp500_monthly!C845:C964)^(1/120)-1)*100</f>
        <v>0.59687351823007884</v>
      </c>
      <c r="D844" cm="1">
        <f t="array" ref="D844">(PRODUCT(1+sp500_monthly!D845:D964)^(1/120)-1)*100</f>
        <v>1.0263446583732794</v>
      </c>
      <c r="E844" cm="1">
        <f t="array" ref="E844">(PRODUCT(1+sp500_monthly!E845:E964)^(1/120)-1)*100</f>
        <v>0.88582823162159929</v>
      </c>
      <c r="F844" cm="1">
        <f t="array" ref="F844">(PRODUCT(1+sp500_monthly!K845:K964)^(1/120)-1)*100</f>
        <v>0.57916172009240263</v>
      </c>
      <c r="G844" cm="1">
        <f t="array" ref="G844">(PRODUCT(1+sp500_monthly!L845:L964)^(1/120)-1)</f>
        <v>0.28871133571522201</v>
      </c>
      <c r="H844" cm="1">
        <f t="array" ref="H844">(PRODUCT(1+sp500_monthly!N845:N964)^(1/120)-1)*100</f>
        <v>0.52392434266403942</v>
      </c>
      <c r="I844" cm="1">
        <f t="array" ref="I844">(PRODUCT(1+sp500_monthly!O845:O964)^(1/120)-1)*100</f>
        <v>8.683305811398867E-2</v>
      </c>
    </row>
    <row r="845" spans="1:9" x14ac:dyDescent="0.35">
      <c r="A845" s="1">
        <v>38835</v>
      </c>
      <c r="B845" cm="1">
        <f t="array" ref="B845">(PRODUCT(1+sp500_monthly!B846:B965)^(1/120)-1)*100</f>
        <v>0.73791152682085581</v>
      </c>
      <c r="C845" cm="1">
        <f t="array" ref="C845">(PRODUCT(1+sp500_monthly!C846:C965)^(1/120)-1)*100</f>
        <v>0.59990486742340643</v>
      </c>
      <c r="D845" cm="1">
        <f t="array" ref="D845">(PRODUCT(1+sp500_monthly!D846:D965)^(1/120)-1)*100</f>
        <v>1.0249423002153923</v>
      </c>
      <c r="E845" cm="1">
        <f t="array" ref="E845">(PRODUCT(1+sp500_monthly!E846:E965)^(1/120)-1)*100</f>
        <v>0.88462489207408179</v>
      </c>
      <c r="F845" cm="1">
        <f t="array" ref="F845">(PRODUCT(1+sp500_monthly!K846:K965)^(1/120)-1)*100</f>
        <v>0.58177547603239788</v>
      </c>
      <c r="G845" cm="1">
        <f t="array" ref="G845">(PRODUCT(1+sp500_monthly!L846:L965)^(1/120)-1)</f>
        <v>0.28855570092381666</v>
      </c>
      <c r="H845" cm="1">
        <f t="array" ref="H845">(PRODUCT(1+sp500_monthly!N846:N965)^(1/120)-1)*100</f>
        <v>0.52811650015445188</v>
      </c>
      <c r="I845" cm="1">
        <f t="array" ref="I845">(PRODUCT(1+sp500_monthly!O846:O965)^(1/120)-1)*100</f>
        <v>8.8099155325727097E-2</v>
      </c>
    </row>
    <row r="846" spans="1:9" x14ac:dyDescent="0.35">
      <c r="A846" s="1">
        <v>38868</v>
      </c>
      <c r="B846" cm="1">
        <f t="array" ref="B846">(PRODUCT(1+sp500_monthly!B847:B966)^(1/120)-1)*100</f>
        <v>0.73536974962560286</v>
      </c>
      <c r="C846" cm="1">
        <f t="array" ref="C846">(PRODUCT(1+sp500_monthly!C847:C966)^(1/120)-1)*100</f>
        <v>0.59741479196639968</v>
      </c>
      <c r="D846" cm="1">
        <f t="array" ref="D846">(PRODUCT(1+sp500_monthly!D847:D966)^(1/120)-1)*100</f>
        <v>1.0101844273022742</v>
      </c>
      <c r="E846" cm="1">
        <f t="array" ref="E846">(PRODUCT(1+sp500_monthly!E847:E966)^(1/120)-1)*100</f>
        <v>0.87007243260897038</v>
      </c>
      <c r="F846" cm="1">
        <f t="array" ref="F846">(PRODUCT(1+sp500_monthly!K847:K966)^(1/120)-1)*100</f>
        <v>0.58074597043569209</v>
      </c>
      <c r="G846" cm="1">
        <f t="array" ref="G846">(PRODUCT(1+sp500_monthly!L847:L966)^(1/120)-1)</f>
        <v>0.28779404891591032</v>
      </c>
      <c r="H846" cm="1">
        <f t="array" ref="H846">(PRODUCT(1+sp500_monthly!N847:N966)^(1/120)-1)*100</f>
        <v>0.52462174457887922</v>
      </c>
      <c r="I846" cm="1">
        <f t="array" ref="I846">(PRODUCT(1+sp500_monthly!O847:O966)^(1/120)-1)*100</f>
        <v>8.6314403338749734E-2</v>
      </c>
    </row>
    <row r="847" spans="1:9" x14ac:dyDescent="0.35">
      <c r="A847" s="1">
        <v>38898</v>
      </c>
      <c r="B847" cm="1">
        <f t="array" ref="B847">(PRODUCT(1+sp500_monthly!B848:B967)^(1/120)-1)*100</f>
        <v>0.69032506445365627</v>
      </c>
      <c r="C847" cm="1">
        <f t="array" ref="C847">(PRODUCT(1+sp500_monthly!C848:C967)^(1/120)-1)*100</f>
        <v>0.55276418789060866</v>
      </c>
      <c r="D847" cm="1">
        <f t="array" ref="D847">(PRODUCT(1+sp500_monthly!D848:D967)^(1/120)-1)*100</f>
        <v>0.97506492256331789</v>
      </c>
      <c r="E847" cm="1">
        <f t="array" ref="E847">(PRODUCT(1+sp500_monthly!E848:E967)^(1/120)-1)*100</f>
        <v>0.8357532834706749</v>
      </c>
      <c r="F847" cm="1">
        <f t="array" ref="F847">(PRODUCT(1+sp500_monthly!K848:K967)^(1/120)-1)*100</f>
        <v>0.53549414923643734</v>
      </c>
      <c r="G847" cm="1">
        <f t="array" ref="G847">(PRODUCT(1+sp500_monthly!L848:L967)^(1/120)-1)</f>
        <v>0.28786936102057004</v>
      </c>
      <c r="H847" cm="1">
        <f t="array" ref="H847">(PRODUCT(1+sp500_monthly!N848:N967)^(1/120)-1)*100</f>
        <v>0.47877948021164407</v>
      </c>
      <c r="I847" cm="1">
        <f t="array" ref="I847">(PRODUCT(1+sp500_monthly!O848:O967)^(1/120)-1)*100</f>
        <v>8.5509129228267255E-2</v>
      </c>
    </row>
    <row r="848" spans="1:9" x14ac:dyDescent="0.35">
      <c r="A848" s="1">
        <v>38929</v>
      </c>
      <c r="B848" cm="1">
        <f t="array" ref="B848">(PRODUCT(1+sp500_monthly!B849:B968)^(1/120)-1)*100</f>
        <v>0.68819904329453507</v>
      </c>
      <c r="C848" cm="1">
        <f t="array" ref="C848">(PRODUCT(1+sp500_monthly!C849:C968)^(1/120)-1)*100</f>
        <v>0.5509117010932707</v>
      </c>
      <c r="D848" cm="1">
        <f t="array" ref="D848">(PRODUCT(1+sp500_monthly!D849:D968)^(1/120)-1)*100</f>
        <v>0.9813027515702677</v>
      </c>
      <c r="E848" cm="1">
        <f t="array" ref="E848">(PRODUCT(1+sp500_monthly!E849:E968)^(1/120)-1)*100</f>
        <v>0.84220904551608466</v>
      </c>
      <c r="F848" cm="1">
        <f t="array" ref="F848">(PRODUCT(1+sp500_monthly!K849:K968)^(1/120)-1)*100</f>
        <v>0.53367827629382525</v>
      </c>
      <c r="G848" cm="1">
        <f t="array" ref="G848">(PRODUCT(1+sp500_monthly!L849:L968)^(1/120)-1)</f>
        <v>0.28786936102057004</v>
      </c>
      <c r="H848" cm="1">
        <f t="array" ref="H848">(PRODUCT(1+sp500_monthly!N849:N968)^(1/120)-1)*100</f>
        <v>0.47618530638524614</v>
      </c>
      <c r="I848" cm="1">
        <f t="array" ref="I848">(PRODUCT(1+sp500_monthly!O849:O968)^(1/120)-1)*100</f>
        <v>8.5038349766564103E-2</v>
      </c>
    </row>
    <row r="849" spans="1:9" x14ac:dyDescent="0.35">
      <c r="A849" s="1">
        <v>38960</v>
      </c>
      <c r="B849" cm="1">
        <f t="array" ref="B849">(PRODUCT(1+sp500_monthly!B850:B969)^(1/120)-1)*100</f>
        <v>0.7310152691484495</v>
      </c>
      <c r="C849" cm="1">
        <f t="array" ref="C849">(PRODUCT(1+sp500_monthly!C850:C969)^(1/120)-1)*100</f>
        <v>0.59419291702105248</v>
      </c>
      <c r="D849" cm="1">
        <f t="array" ref="D849">(PRODUCT(1+sp500_monthly!D850:D969)^(1/120)-1)*100</f>
        <v>1.0176110068441657</v>
      </c>
      <c r="E849" cm="1">
        <f t="array" ref="E849">(PRODUCT(1+sp500_monthly!E850:E969)^(1/120)-1)*100</f>
        <v>0.87886722633394587</v>
      </c>
      <c r="F849" cm="1">
        <f t="array" ref="F849">(PRODUCT(1+sp500_monthly!K850:K969)^(1/120)-1)*100</f>
        <v>0.57716900034119334</v>
      </c>
      <c r="G849" cm="1">
        <f t="array" ref="G849">(PRODUCT(1+sp500_monthly!L850:L969)^(1/120)-1)</f>
        <v>0.28749280745040462</v>
      </c>
      <c r="H849" cm="1">
        <f t="array" ref="H849">(PRODUCT(1+sp500_monthly!N850:N969)^(1/120)-1)*100</f>
        <v>0.51595994750786023</v>
      </c>
      <c r="I849" cm="1">
        <f t="array" ref="I849">(PRODUCT(1+sp500_monthly!O850:O969)^(1/120)-1)*100</f>
        <v>8.1684417103256024E-2</v>
      </c>
    </row>
    <row r="850" spans="1:9" x14ac:dyDescent="0.35">
      <c r="A850" s="1">
        <v>38989</v>
      </c>
      <c r="B850" cm="1">
        <f t="array" ref="B850">(PRODUCT(1+sp500_monthly!B851:B970)^(1/120)-1)*100</f>
        <v>0.73283848433951526</v>
      </c>
      <c r="C850" cm="1">
        <f t="array" ref="C850">(PRODUCT(1+sp500_monthly!C851:C970)^(1/120)-1)*100</f>
        <v>0.59590952756669591</v>
      </c>
      <c r="D850" cm="1">
        <f t="array" ref="D850">(PRODUCT(1+sp500_monthly!D851:D970)^(1/120)-1)*100</f>
        <v>1.0155262754122374</v>
      </c>
      <c r="E850" cm="1">
        <f t="array" ref="E850">(PRODUCT(1+sp500_monthly!E851:E970)^(1/120)-1)*100</f>
        <v>0.87736491897496549</v>
      </c>
      <c r="F850" cm="1">
        <f t="array" ref="F850">(PRODUCT(1+sp500_monthly!K851:K970)^(1/120)-1)*100</f>
        <v>0.57919033832511957</v>
      </c>
      <c r="G850" cm="1">
        <f t="array" ref="G850">(PRODUCT(1+sp500_monthly!L851:L970)^(1/120)-1)</f>
        <v>0.28756863407462019</v>
      </c>
      <c r="H850" cm="1">
        <f t="array" ref="H850">(PRODUCT(1+sp500_monthly!N851:N970)^(1/120)-1)*100</f>
        <v>0.51513836838219529</v>
      </c>
      <c r="I850" cm="1">
        <f t="array" ref="I850">(PRODUCT(1+sp500_monthly!O851:O970)^(1/120)-1)*100</f>
        <v>7.9138027336389527E-2</v>
      </c>
    </row>
    <row r="851" spans="1:9" x14ac:dyDescent="0.35">
      <c r="A851" s="1">
        <v>39021</v>
      </c>
      <c r="B851" cm="1">
        <f t="array" ref="B851">(PRODUCT(1+sp500_monthly!B852:B971)^(1/120)-1)*100</f>
        <v>0.70901879422817782</v>
      </c>
      <c r="C851" cm="1">
        <f t="array" ref="C851">(PRODUCT(1+sp500_monthly!C852:C971)^(1/120)-1)*100</f>
        <v>0.57267677304446707</v>
      </c>
      <c r="D851" cm="1">
        <f t="array" ref="D851">(PRODUCT(1+sp500_monthly!D852:D971)^(1/120)-1)*100</f>
        <v>0.99647116520151791</v>
      </c>
      <c r="E851" cm="1">
        <f t="array" ref="E851">(PRODUCT(1+sp500_monthly!E852:E971)^(1/120)-1)*100</f>
        <v>0.8586745520797967</v>
      </c>
      <c r="F851" cm="1">
        <f t="array" ref="F851">(PRODUCT(1+sp500_monthly!K852:K971)^(1/120)-1)*100</f>
        <v>0.55531612089823046</v>
      </c>
      <c r="G851" cm="1">
        <f t="array" ref="G851">(PRODUCT(1+sp500_monthly!L852:L971)^(1/120)-1)</f>
        <v>0.28734275631207473</v>
      </c>
      <c r="H851" cm="1">
        <f t="array" ref="H851">(PRODUCT(1+sp500_monthly!N852:N971)^(1/120)-1)*100</f>
        <v>0.49814891582000698</v>
      </c>
      <c r="I851" cm="1">
        <f t="array" ref="I851">(PRODUCT(1+sp500_monthly!O852:O971)^(1/120)-1)*100</f>
        <v>8.5639823557270844E-2</v>
      </c>
    </row>
    <row r="852" spans="1:9" x14ac:dyDescent="0.35">
      <c r="A852" s="1">
        <v>39051</v>
      </c>
      <c r="B852" cm="1">
        <f t="array" ref="B852">(PRODUCT(1+sp500_monthly!B853:B972)^(1/120)-1)*100</f>
        <v>0.71368842168058055</v>
      </c>
      <c r="C852" cm="1">
        <f t="array" ref="C852">(PRODUCT(1+sp500_monthly!C853:C972)^(1/120)-1)*100</f>
        <v>0.57762542785575466</v>
      </c>
      <c r="D852" cm="1">
        <f t="array" ref="D852">(PRODUCT(1+sp500_monthly!D853:D972)^(1/120)-1)*100</f>
        <v>1.0154481407327109</v>
      </c>
      <c r="E852" cm="1">
        <f t="array" ref="E852">(PRODUCT(1+sp500_monthly!E853:E972)^(1/120)-1)*100</f>
        <v>0.87776756096709097</v>
      </c>
      <c r="F852" cm="1">
        <f t="array" ref="F852">(PRODUCT(1+sp500_monthly!K853:K972)^(1/120)-1)*100</f>
        <v>0.55969572733096662</v>
      </c>
      <c r="G852" cm="1">
        <f t="array" ref="G852">(PRODUCT(1+sp500_monthly!L853:L972)^(1/120)-1)</f>
        <v>0.28726694299010025</v>
      </c>
      <c r="H852" cm="1">
        <f t="array" ref="H852">(PRODUCT(1+sp500_monthly!N853:N972)^(1/120)-1)*100</f>
        <v>0.50918529148515912</v>
      </c>
      <c r="I852" cm="1">
        <f t="array" ref="I852">(PRODUCT(1+sp500_monthly!O853:O972)^(1/120)-1)*100</f>
        <v>9.1906816244557987E-2</v>
      </c>
    </row>
    <row r="853" spans="1:9" x14ac:dyDescent="0.35">
      <c r="A853" s="1">
        <v>39080</v>
      </c>
      <c r="B853" cm="1">
        <f t="array" ref="B853">(PRODUCT(1+sp500_monthly!B854:B973)^(1/120)-1)*100</f>
        <v>0.66716760724176982</v>
      </c>
      <c r="C853" cm="1">
        <f t="array" ref="C853">(PRODUCT(1+sp500_monthly!C854:C973)^(1/120)-1)*100</f>
        <v>0.53084187389311754</v>
      </c>
      <c r="D853" cm="1">
        <f t="array" ref="D853">(PRODUCT(1+sp500_monthly!D854:D973)^(1/120)-1)*100</f>
        <v>0.97955325661214232</v>
      </c>
      <c r="E853" cm="1">
        <f t="array" ref="E853">(PRODUCT(1+sp500_monthly!E854:E973)^(1/120)-1)*100</f>
        <v>0.84215373326455012</v>
      </c>
      <c r="F853" cm="1">
        <f t="array" ref="F853">(PRODUCT(1+sp500_monthly!K854:K973)^(1/120)-1)*100</f>
        <v>0.51405539444990822</v>
      </c>
      <c r="G853" cm="1">
        <f t="array" ref="G853">(PRODUCT(1+sp500_monthly!L854:L973)^(1/120)-1)</f>
        <v>0.28734275631207473</v>
      </c>
      <c r="H853" cm="1">
        <f t="array" ref="H853">(PRODUCT(1+sp500_monthly!N854:N973)^(1/120)-1)*100</f>
        <v>0.46498622355366503</v>
      </c>
      <c r="I853" cm="1">
        <f t="array" ref="I853">(PRODUCT(1+sp500_monthly!O854:O973)^(1/120)-1)*100</f>
        <v>9.4208945591844895E-2</v>
      </c>
    </row>
    <row r="854" spans="1:9" x14ac:dyDescent="0.35">
      <c r="A854" s="1">
        <v>39113</v>
      </c>
      <c r="B854" cm="1">
        <f t="array" ref="B854">(PRODUCT(1+sp500_monthly!B855:B974)^(1/120)-1)*100</f>
        <v>0.695417677204202</v>
      </c>
      <c r="C854" cm="1">
        <f t="array" ref="C854">(PRODUCT(1+sp500_monthly!C855:C974)^(1/120)-1)*100</f>
        <v>0.55930612577490546</v>
      </c>
      <c r="D854" cm="1">
        <f t="array" ref="D854">(PRODUCT(1+sp500_monthly!D855:D974)^(1/120)-1)*100</f>
        <v>1.0007424795264619</v>
      </c>
      <c r="E854" cm="1">
        <f t="array" ref="E854">(PRODUCT(1+sp500_monthly!E855:E974)^(1/120)-1)*100</f>
        <v>0.86347745272505882</v>
      </c>
      <c r="F854" cm="1">
        <f t="array" ref="F854">(PRODUCT(1+sp500_monthly!K855:K974)^(1/120)-1)*100</f>
        <v>0.54277023237581101</v>
      </c>
      <c r="G854" cm="1">
        <f t="array" ref="G854">(PRODUCT(1+sp500_monthly!L855:L974)^(1/120)-1)</f>
        <v>0.28689264912048951</v>
      </c>
      <c r="H854" cm="1">
        <f t="array" ref="H854">(PRODUCT(1+sp500_monthly!N855:N974)^(1/120)-1)*100</f>
        <v>0.49073972530566667</v>
      </c>
      <c r="I854" cm="1">
        <f t="array" ref="I854">(PRODUCT(1+sp500_monthly!O855:O974)^(1/120)-1)*100</f>
        <v>9.1280486752798318E-2</v>
      </c>
    </row>
    <row r="855" spans="1:9" x14ac:dyDescent="0.35">
      <c r="A855" s="1">
        <v>39141</v>
      </c>
      <c r="B855" cm="1">
        <f t="array" ref="B855">(PRODUCT(1+sp500_monthly!B856:B975)^(1/120)-1)*100</f>
        <v>0.65704711315048847</v>
      </c>
      <c r="C855" cm="1">
        <f t="array" ref="C855">(PRODUCT(1+sp500_monthly!C856:C975)^(1/120)-1)*100</f>
        <v>0.52108581074152838</v>
      </c>
      <c r="D855" cm="1">
        <f t="array" ref="D855">(PRODUCT(1+sp500_monthly!D856:D975)^(1/120)-1)*100</f>
        <v>0.98823975453179447</v>
      </c>
      <c r="E855" cm="1">
        <f t="array" ref="E855">(PRODUCT(1+sp500_monthly!E856:E975)^(1/120)-1)*100</f>
        <v>0.85121984297378273</v>
      </c>
      <c r="F855" cm="1">
        <f t="array" ref="F855">(PRODUCT(1+sp500_monthly!K856:K975)^(1/120)-1)*100</f>
        <v>0.50461353291195721</v>
      </c>
      <c r="G855" cm="1">
        <f t="array" ref="G855">(PRODUCT(1+sp500_monthly!L856:L975)^(1/120)-1)</f>
        <v>0.28681843570192278</v>
      </c>
      <c r="H855" cm="1">
        <f t="array" ref="H855">(PRODUCT(1+sp500_monthly!N856:N975)^(1/120)-1)*100</f>
        <v>0.45263627775526949</v>
      </c>
      <c r="I855" cm="1">
        <f t="array" ref="I855">(PRODUCT(1+sp500_monthly!O856:O975)^(1/120)-1)*100</f>
        <v>9.1385889586548252E-2</v>
      </c>
    </row>
    <row r="856" spans="1:9" x14ac:dyDescent="0.35">
      <c r="A856" s="1">
        <v>39171</v>
      </c>
      <c r="B856" cm="1">
        <f t="array" ref="B856">(PRODUCT(1+sp500_monthly!B857:B976)^(1/120)-1)*100</f>
        <v>0.63423531893969098</v>
      </c>
      <c r="C856" cm="1">
        <f t="array" ref="C856">(PRODUCT(1+sp500_monthly!C857:C976)^(1/120)-1)*100</f>
        <v>0.49795363264688586</v>
      </c>
      <c r="D856" cm="1">
        <f t="array" ref="D856">(PRODUCT(1+sp500_monthly!D857:D976)^(1/120)-1)*100</f>
        <v>0.97442643543352858</v>
      </c>
      <c r="E856" cm="1">
        <f t="array" ref="E856">(PRODUCT(1+sp500_monthly!E857:E976)^(1/120)-1)*100</f>
        <v>0.83790770119038793</v>
      </c>
      <c r="F856" cm="1">
        <f t="array" ref="F856">(PRODUCT(1+sp500_monthly!K857:K976)^(1/120)-1)*100</f>
        <v>0.4811663178320158</v>
      </c>
      <c r="G856" cm="1">
        <f t="array" ref="G856">(PRODUCT(1+sp500_monthly!L857:L976)^(1/120)-1)</f>
        <v>0.28674101179617351</v>
      </c>
      <c r="H856" cm="1">
        <f t="array" ref="H856">(PRODUCT(1+sp500_monthly!N857:N976)^(1/120)-1)*100</f>
        <v>0.42820489183919008</v>
      </c>
      <c r="I856" cm="1">
        <f t="array" ref="I856">(PRODUCT(1+sp500_monthly!O857:O976)^(1/120)-1)*100</f>
        <v>8.9642499043285362E-2</v>
      </c>
    </row>
    <row r="857" spans="1:9" x14ac:dyDescent="0.35">
      <c r="A857" s="1">
        <v>39202</v>
      </c>
      <c r="B857" cm="1">
        <f t="array" ref="B857">(PRODUCT(1+sp500_monthly!B858:B977)^(1/120)-1)*100</f>
        <v>0.67904175133077782</v>
      </c>
      <c r="C857" cm="1">
        <f t="array" ref="C857">(PRODUCT(1+sp500_monthly!C858:C977)^(1/120)-1)*100</f>
        <v>0.54311108004785336</v>
      </c>
      <c r="D857" cm="1">
        <f t="array" ref="D857">(PRODUCT(1+sp500_monthly!D858:D977)^(1/120)-1)*100</f>
        <v>1.0106891390613271</v>
      </c>
      <c r="E857" cm="1">
        <f t="array" ref="E857">(PRODUCT(1+sp500_monthly!E858:E977)^(1/120)-1)*100</f>
        <v>0.87433181669573923</v>
      </c>
      <c r="F857" cm="1">
        <f t="array" ref="F857">(PRODUCT(1+sp500_monthly!K858:K977)^(1/120)-1)*100</f>
        <v>0.52595669557156111</v>
      </c>
      <c r="G857" cm="1">
        <f t="array" ref="G857">(PRODUCT(1+sp500_monthly!L858:L977)^(1/120)-1)</f>
        <v>0.28674101179617351</v>
      </c>
      <c r="H857" cm="1">
        <f t="array" ref="H857">(PRODUCT(1+sp500_monthly!N858:N977)^(1/120)-1)*100</f>
        <v>0.46910113231084516</v>
      </c>
      <c r="I857" cm="1">
        <f t="array" ref="I857">(PRODUCT(1+sp500_monthly!O858:O977)^(1/120)-1)*100</f>
        <v>8.5838606594967892E-2</v>
      </c>
    </row>
    <row r="858" spans="1:9" x14ac:dyDescent="0.35">
      <c r="A858" s="1">
        <v>39233</v>
      </c>
      <c r="B858" cm="1">
        <f t="array" ref="B858">(PRODUCT(1+sp500_monthly!B859:B978)^(1/120)-1)*100</f>
        <v>0.66605793159337789</v>
      </c>
      <c r="C858" cm="1">
        <f t="array" ref="C858">(PRODUCT(1+sp500_monthly!C859:C978)^(1/120)-1)*100</f>
        <v>0.53022888675844371</v>
      </c>
      <c r="D858" cm="1">
        <f t="array" ref="D858">(PRODUCT(1+sp500_monthly!D859:D978)^(1/120)-1)*100</f>
        <v>1.0197389544005286</v>
      </c>
      <c r="E858" cm="1">
        <f t="array" ref="E858">(PRODUCT(1+sp500_monthly!E859:E978)^(1/120)-1)*100</f>
        <v>0.88324814913280925</v>
      </c>
      <c r="F858" cm="1">
        <f t="array" ref="F858">(PRODUCT(1+sp500_monthly!K859:K978)^(1/120)-1)*100</f>
        <v>0.51390782133733381</v>
      </c>
      <c r="G858" cm="1">
        <f t="array" ref="G858">(PRODUCT(1+sp500_monthly!L859:L978)^(1/120)-1)</f>
        <v>0.28681573790429771</v>
      </c>
      <c r="H858" cm="1">
        <f t="array" ref="H858">(PRODUCT(1+sp500_monthly!N859:N978)^(1/120)-1)*100</f>
        <v>0.45415990976012122</v>
      </c>
      <c r="I858" cm="1">
        <f t="array" ref="I858">(PRODUCT(1+sp500_monthly!O859:O978)^(1/120)-1)*100</f>
        <v>8.3944486602693935E-2</v>
      </c>
    </row>
    <row r="859" spans="1:9" x14ac:dyDescent="0.35">
      <c r="A859" s="1">
        <v>39262</v>
      </c>
      <c r="B859" cm="1">
        <f t="array" ref="B859">(PRODUCT(1+sp500_monthly!B860:B979)^(1/120)-1)*100</f>
        <v>0.64449157543848834</v>
      </c>
      <c r="C859" cm="1">
        <f t="array" ref="C859">(PRODUCT(1+sp500_monthly!C860:C979)^(1/120)-1)*100</f>
        <v>0.50850497717349619</v>
      </c>
      <c r="D859" cm="1">
        <f t="array" ref="D859">(PRODUCT(1+sp500_monthly!D860:D979)^(1/120)-1)*100</f>
        <v>0.9866918662616575</v>
      </c>
      <c r="E859" cm="1">
        <f t="array" ref="E859">(PRODUCT(1+sp500_monthly!E860:E979)^(1/120)-1)*100</f>
        <v>0.85065772011567731</v>
      </c>
      <c r="F859" cm="1">
        <f t="array" ref="F859">(PRODUCT(1+sp500_monthly!K860:K979)^(1/120)-1)*100</f>
        <v>0.49305749365611273</v>
      </c>
      <c r="G859" cm="1">
        <f t="array" ref="G859">(PRODUCT(1+sp500_monthly!L860:L979)^(1/120)-1)</f>
        <v>0.28622408439428959</v>
      </c>
      <c r="H859" cm="1">
        <f t="array" ref="H859">(PRODUCT(1+sp500_monthly!N860:N979)^(1/120)-1)*100</f>
        <v>0.42918707528560862</v>
      </c>
      <c r="I859" cm="1">
        <f t="array" ref="I859">(PRODUCT(1+sp500_monthly!O860:O979)^(1/120)-1)*100</f>
        <v>7.9840384382068308E-2</v>
      </c>
    </row>
    <row r="860" spans="1:9" x14ac:dyDescent="0.35">
      <c r="A860" s="1">
        <v>39294</v>
      </c>
      <c r="B860" cm="1">
        <f t="array" ref="B860">(PRODUCT(1+sp500_monthly!B861:B980)^(1/120)-1)*100</f>
        <v>0.59425081061617036</v>
      </c>
      <c r="C860" cm="1">
        <f t="array" ref="C860">(PRODUCT(1+sp500_monthly!C861:C980)^(1/120)-1)*100</f>
        <v>0.45837813225966251</v>
      </c>
      <c r="D860" cm="1">
        <f t="array" ref="D860">(PRODUCT(1+sp500_monthly!D861:D980)^(1/120)-1)*100</f>
        <v>0.93896495764358434</v>
      </c>
      <c r="E860" cm="1">
        <f t="array" ref="E860">(PRODUCT(1+sp500_monthly!E861:E980)^(1/120)-1)*100</f>
        <v>0.8031667939288889</v>
      </c>
      <c r="F860" cm="1">
        <f t="array" ref="F860">(PRODUCT(1+sp500_monthly!K861:K980)^(1/120)-1)*100</f>
        <v>0.44239495151743302</v>
      </c>
      <c r="G860" cm="1">
        <f t="array" ref="G860">(PRODUCT(1+sp500_monthly!L861:L980)^(1/120)-1)</f>
        <v>0.28645628484173091</v>
      </c>
      <c r="H860" cm="1">
        <f t="array" ref="H860">(PRODUCT(1+sp500_monthly!N861:N980)^(1/120)-1)*100</f>
        <v>0.37868601914241573</v>
      </c>
      <c r="I860" cm="1">
        <f t="array" ref="I860">(PRODUCT(1+sp500_monthly!O861:O980)^(1/120)-1)*100</f>
        <v>7.9722950805294346E-2</v>
      </c>
    </row>
    <row r="861" spans="1:9" x14ac:dyDescent="0.35">
      <c r="A861" s="1">
        <v>39325</v>
      </c>
      <c r="B861" cm="1">
        <f t="array" ref="B861">(PRODUCT(1+sp500_monthly!B862:B981)^(1/120)-1)*100</f>
        <v>0.50290727089299381</v>
      </c>
      <c r="C861" cm="1">
        <f t="array" ref="C861">(PRODUCT(1+sp500_monthly!C862:C981)^(1/120)-1)*100</f>
        <v>0.3673129257246277</v>
      </c>
      <c r="D861" cm="1">
        <f t="array" ref="D861">(PRODUCT(1+sp500_monthly!D862:D981)^(1/120)-1)*100</f>
        <v>0.83566391026459463</v>
      </c>
      <c r="E861" cm="1">
        <f t="array" ref="E861">(PRODUCT(1+sp500_monthly!E862:E981)^(1/120)-1)*100</f>
        <v>0.70015896142516798</v>
      </c>
      <c r="F861" cm="1">
        <f t="array" ref="F861">(PRODUCT(1+sp500_monthly!K862:K981)^(1/120)-1)*100</f>
        <v>0.35226646413155649</v>
      </c>
      <c r="G861" cm="1">
        <f t="array" ref="G861">(PRODUCT(1+sp500_monthly!L862:L981)^(1/120)-1)</f>
        <v>0.28622900730988943</v>
      </c>
      <c r="H861" cm="1">
        <f t="array" ref="H861">(PRODUCT(1+sp500_monthly!N862:N981)^(1/120)-1)*100</f>
        <v>0.287094155462575</v>
      </c>
      <c r="I861" cm="1">
        <f t="array" ref="I861">(PRODUCT(1+sp500_monthly!O862:O981)^(1/120)-1)*100</f>
        <v>7.903064186169928E-2</v>
      </c>
    </row>
    <row r="862" spans="1:9" x14ac:dyDescent="0.35">
      <c r="A862" s="1">
        <v>39353</v>
      </c>
      <c r="B862" cm="1">
        <f t="array" ref="B862">(PRODUCT(1+sp500_monthly!B863:B982)^(1/120)-1)*100</f>
        <v>0.56282914450052068</v>
      </c>
      <c r="C862" cm="1">
        <f t="array" ref="C862">(PRODUCT(1+sp500_monthly!C863:C982)^(1/120)-1)*100</f>
        <v>0.4266236253198441</v>
      </c>
      <c r="D862" cm="1">
        <f t="array" ref="D862">(PRODUCT(1+sp500_monthly!D863:D982)^(1/120)-1)*100</f>
        <v>0.86028956136037227</v>
      </c>
      <c r="E862" cm="1">
        <f t="array" ref="E862">(PRODUCT(1+sp500_monthly!E863:E982)^(1/120)-1)*100</f>
        <v>0.72467477227824428</v>
      </c>
      <c r="F862" cm="1">
        <f t="array" ref="F862">(PRODUCT(1+sp500_monthly!K863:K982)^(1/120)-1)*100</f>
        <v>0.41244905567185963</v>
      </c>
      <c r="G862" cm="1">
        <f t="array" ref="G862">(PRODUCT(1+sp500_monthly!L863:L982)^(1/120)-1)</f>
        <v>0.28630475950285561</v>
      </c>
      <c r="H862" cm="1">
        <f t="array" ref="H862">(PRODUCT(1+sp500_monthly!N863:N982)^(1/120)-1)*100</f>
        <v>0.34871237240472475</v>
      </c>
      <c r="I862" cm="1">
        <f t="array" ref="I862">(PRODUCT(1+sp500_monthly!O863:O982)^(1/120)-1)*100</f>
        <v>8.093384189011843E-2</v>
      </c>
    </row>
    <row r="863" spans="1:9" x14ac:dyDescent="0.35">
      <c r="A863" s="1">
        <v>39386</v>
      </c>
      <c r="B863" cm="1">
        <f t="array" ref="B863">(PRODUCT(1+sp500_monthly!B864:B983)^(1/120)-1)*100</f>
        <v>0.54967206670570867</v>
      </c>
      <c r="C863" cm="1">
        <f t="array" ref="C863">(PRODUCT(1+sp500_monthly!C864:C983)^(1/120)-1)*100</f>
        <v>0.41341165226151944</v>
      </c>
      <c r="D863" cm="1">
        <f t="array" ref="D863">(PRODUCT(1+sp500_monthly!D864:D983)^(1/120)-1)*100</f>
        <v>0.83813856952978938</v>
      </c>
      <c r="E863" cm="1">
        <f t="array" ref="E863">(PRODUCT(1+sp500_monthly!E864:E983)^(1/120)-1)*100</f>
        <v>0.70255898292979069</v>
      </c>
      <c r="F863" cm="1">
        <f t="array" ref="F863">(PRODUCT(1+sp500_monthly!K864:K983)^(1/120)-1)*100</f>
        <v>0.3985418997991097</v>
      </c>
      <c r="G863" cm="1">
        <f t="array" ref="G863">(PRODUCT(1+sp500_monthly!L864:L983)^(1/120)-1)</f>
        <v>0.28537240466359326</v>
      </c>
      <c r="H863" cm="1">
        <f t="array" ref="H863">(PRODUCT(1+sp500_monthly!N864:N983)^(1/120)-1)*100</f>
        <v>0.33412500245078025</v>
      </c>
      <c r="I863" cm="1">
        <f t="array" ref="I863">(PRODUCT(1+sp500_monthly!O864:O983)^(1/120)-1)*100</f>
        <v>7.8482235717269866E-2</v>
      </c>
    </row>
    <row r="864" spans="1:9" x14ac:dyDescent="0.35">
      <c r="A864" s="1">
        <v>39416</v>
      </c>
      <c r="B864" cm="1">
        <f t="array" ref="B864">(PRODUCT(1+sp500_monthly!B865:B984)^(1/120)-1)*100</f>
        <v>0.59187778508118516</v>
      </c>
      <c r="C864" cm="1">
        <f t="array" ref="C864">(PRODUCT(1+sp500_monthly!C865:C984)^(1/120)-1)*100</f>
        <v>0.45565499398436682</v>
      </c>
      <c r="D864" cm="1">
        <f t="array" ref="D864">(PRODUCT(1+sp500_monthly!D865:D984)^(1/120)-1)*100</f>
        <v>0.88647852481078537</v>
      </c>
      <c r="E864" cm="1">
        <f t="array" ref="E864">(PRODUCT(1+sp500_monthly!E865:E984)^(1/120)-1)*100</f>
        <v>0.75106362841879104</v>
      </c>
      <c r="F864" cm="1">
        <f t="array" ref="F864">(PRODUCT(1+sp500_monthly!K865:K984)^(1/120)-1)*100</f>
        <v>0.44021562247886781</v>
      </c>
      <c r="G864" cm="1">
        <f t="array" ref="G864">(PRODUCT(1+sp500_monthly!L865:L984)^(1/120)-1)</f>
        <v>0.28459043850603449</v>
      </c>
      <c r="H864" cm="1">
        <f t="array" ref="H864">(PRODUCT(1+sp500_monthly!N865:N984)^(1/120)-1)*100</f>
        <v>0.37522044275415389</v>
      </c>
      <c r="I864" cm="1">
        <f t="array" ref="I864">(PRODUCT(1+sp500_monthly!O865:O984)^(1/120)-1)*100</f>
        <v>7.6634557520938174E-2</v>
      </c>
    </row>
    <row r="865" spans="1:9" x14ac:dyDescent="0.35">
      <c r="A865" s="1">
        <v>39447</v>
      </c>
      <c r="B865" cm="1">
        <f t="array" ref="B865">(PRODUCT(1+sp500_monthly!B866:B985)^(1/120)-1)*100</f>
        <v>0.51852041007798277</v>
      </c>
      <c r="C865" cm="1">
        <f t="array" ref="C865">(PRODUCT(1+sp500_monthly!C866:C985)^(1/120)-1)*100</f>
        <v>0.38183287170918678</v>
      </c>
      <c r="D865" cm="1">
        <f t="array" ref="D865">(PRODUCT(1+sp500_monthly!D866:D985)^(1/120)-1)*100</f>
        <v>0.81761650555305376</v>
      </c>
      <c r="E865" cm="1">
        <f t="array" ref="E865">(PRODUCT(1+sp500_monthly!E866:E985)^(1/120)-1)*100</f>
        <v>0.68212722483240729</v>
      </c>
      <c r="F865" cm="1">
        <f t="array" ref="F865">(PRODUCT(1+sp500_monthly!K866:K985)^(1/120)-1)*100</f>
        <v>0.36603115661908436</v>
      </c>
      <c r="G865" cm="1">
        <f t="array" ref="G865">(PRODUCT(1+sp500_monthly!L866:L985)^(1/120)-1)</f>
        <v>0.28419833288423879</v>
      </c>
      <c r="H865" cm="1">
        <f t="array" ref="H865">(PRODUCT(1+sp500_monthly!N866:N985)^(1/120)-1)*100</f>
        <v>0.29651251384681387</v>
      </c>
      <c r="I865" cm="1">
        <f t="array" ref="I865">(PRODUCT(1+sp500_monthly!O866:O985)^(1/120)-1)*100</f>
        <v>7.0722936946587822E-2</v>
      </c>
    </row>
    <row r="866" spans="1:9" x14ac:dyDescent="0.35">
      <c r="A866" s="1">
        <v>39478</v>
      </c>
      <c r="B866" cm="1">
        <f t="array" ref="B866">(PRODUCT(1+sp500_monthly!B867:B986)^(1/120)-1)*100</f>
        <v>0.49914194839311143</v>
      </c>
      <c r="C866" cm="1">
        <f t="array" ref="C866">(PRODUCT(1+sp500_monthly!C867:C986)^(1/120)-1)*100</f>
        <v>0.36216629651955046</v>
      </c>
      <c r="D866" cm="1">
        <f t="array" ref="D866">(PRODUCT(1+sp500_monthly!D867:D986)^(1/120)-1)*100</f>
        <v>0.79068231834058533</v>
      </c>
      <c r="E866" cm="1">
        <f t="array" ref="E866">(PRODUCT(1+sp500_monthly!E867:E986)^(1/120)-1)*100</f>
        <v>0.65476322378419383</v>
      </c>
      <c r="F866" cm="1">
        <f t="array" ref="F866">(PRODUCT(1+sp500_monthly!K867:K986)^(1/120)-1)*100</f>
        <v>0.34573002216511384</v>
      </c>
      <c r="G866" cm="1">
        <f t="array" ref="G866">(PRODUCT(1+sp500_monthly!L867:L986)^(1/120)-1)</f>
        <v>0.282561754176472</v>
      </c>
      <c r="H866" cm="1">
        <f t="array" ref="H866">(PRODUCT(1+sp500_monthly!N867:N986)^(1/120)-1)*100</f>
        <v>0.27527529268338569</v>
      </c>
      <c r="I866" cm="1">
        <f t="array" ref="I866">(PRODUCT(1+sp500_monthly!O867:O986)^(1/120)-1)*100</f>
        <v>6.7080645282713292E-2</v>
      </c>
    </row>
    <row r="867" spans="1:9" x14ac:dyDescent="0.35">
      <c r="A867" s="1">
        <v>39507</v>
      </c>
      <c r="B867" cm="1">
        <f t="array" ref="B867">(PRODUCT(1+sp500_monthly!B868:B987)^(1/120)-1)*100</f>
        <v>0.43631676563291588</v>
      </c>
      <c r="C867" cm="1">
        <f t="array" ref="C867">(PRODUCT(1+sp500_monthly!C868:C987)^(1/120)-1)*100</f>
        <v>0.2991432602851507</v>
      </c>
      <c r="D867" cm="1">
        <f t="array" ref="D867">(PRODUCT(1+sp500_monthly!D868:D987)^(1/120)-1)*100</f>
        <v>0.75393819788029948</v>
      </c>
      <c r="E867" cm="1">
        <f t="array" ref="E867">(PRODUCT(1+sp500_monthly!E868:E987)^(1/120)-1)*100</f>
        <v>0.61800242608127665</v>
      </c>
      <c r="F867" cm="1">
        <f t="array" ref="F867">(PRODUCT(1+sp500_monthly!K868:K987)^(1/120)-1)*100</f>
        <v>0.28452756465717766</v>
      </c>
      <c r="G867" cm="1">
        <f t="array" ref="G867">(PRODUCT(1+sp500_monthly!L868:L987)^(1/120)-1)</f>
        <v>0.28077751989749289</v>
      </c>
      <c r="H867" cm="1">
        <f t="array" ref="H867">(PRODUCT(1+sp500_monthly!N868:N987)^(1/120)-1)*100</f>
        <v>0.21074746010127932</v>
      </c>
      <c r="I867" cm="1">
        <f t="array" ref="I867">(PRODUCT(1+sp500_monthly!O868:O987)^(1/120)-1)*100</f>
        <v>6.3412063149259623E-2</v>
      </c>
    </row>
    <row r="868" spans="1:9" x14ac:dyDescent="0.35">
      <c r="A868" s="1">
        <v>39538</v>
      </c>
      <c r="B868" cm="1">
        <f t="array" ref="B868">(PRODUCT(1+sp500_monthly!B869:B988)^(1/120)-1)*100</f>
        <v>0.35147708244323006</v>
      </c>
      <c r="C868" cm="1">
        <f t="array" ref="C868">(PRODUCT(1+sp500_monthly!C869:C988)^(1/120)-1)*100</f>
        <v>0.21374526415220974</v>
      </c>
      <c r="D868" cm="1">
        <f t="array" ref="D868">(PRODUCT(1+sp500_monthly!D869:D988)^(1/120)-1)*100</f>
        <v>0.66510026431778613</v>
      </c>
      <c r="E868" cm="1">
        <f t="array" ref="E868">(PRODUCT(1+sp500_monthly!E869:E988)^(1/120)-1)*100</f>
        <v>0.52917391396094526</v>
      </c>
      <c r="F868" cm="1">
        <f t="array" ref="F868">(PRODUCT(1+sp500_monthly!K869:K988)^(1/120)-1)*100</f>
        <v>0.19810474772143927</v>
      </c>
      <c r="G868" cm="1">
        <f t="array" ref="G868">(PRODUCT(1+sp500_monthly!L869:L988)^(1/120)-1)</f>
        <v>0.2785691656099214</v>
      </c>
      <c r="H868" cm="1">
        <f t="array" ref="H868">(PRODUCT(1+sp500_monthly!N869:N988)^(1/120)-1)*100</f>
        <v>0.12408337661125035</v>
      </c>
      <c r="I868" cm="1">
        <f t="array" ref="I868">(PRODUCT(1+sp500_monthly!O869:O988)^(1/120)-1)*100</f>
        <v>5.9236030789655558E-2</v>
      </c>
    </row>
    <row r="869" spans="1:9" x14ac:dyDescent="0.35">
      <c r="A869" s="1">
        <v>39568</v>
      </c>
      <c r="B869" cm="1">
        <f t="array" ref="B869">(PRODUCT(1+sp500_monthly!B870:B989)^(1/120)-1)*100</f>
        <v>0.30677416251181366</v>
      </c>
      <c r="C869" cm="1">
        <f t="array" ref="C869">(PRODUCT(1+sp500_monthly!C870:C989)^(1/120)-1)*100</f>
        <v>0.16869593444084341</v>
      </c>
      <c r="D869" cm="1">
        <f t="array" ref="D869">(PRODUCT(1+sp500_monthly!D870:D989)^(1/120)-1)*100</f>
        <v>0.61329511995891206</v>
      </c>
      <c r="E869" cm="1">
        <f t="array" ref="E869">(PRODUCT(1+sp500_monthly!E870:E989)^(1/120)-1)*100</f>
        <v>0.47698384789454096</v>
      </c>
      <c r="F869" cm="1">
        <f t="array" ref="F869">(PRODUCT(1+sp500_monthly!K870:K989)^(1/120)-1)*100</f>
        <v>0.15242769383003729</v>
      </c>
      <c r="G869" cm="1">
        <f t="array" ref="G869">(PRODUCT(1+sp500_monthly!L870:L989)^(1/120)-1)</f>
        <v>0.27673467073033375</v>
      </c>
      <c r="H869" cm="1">
        <f t="array" ref="H869">(PRODUCT(1+sp500_monthly!N870:N989)^(1/120)-1)*100</f>
        <v>7.6503062690291834E-2</v>
      </c>
      <c r="I869" cm="1">
        <f t="array" ref="I869">(PRODUCT(1+sp500_monthly!O870:O989)^(1/120)-1)*100</f>
        <v>5.4428716921428588E-2</v>
      </c>
    </row>
    <row r="870" spans="1:9" x14ac:dyDescent="0.35">
      <c r="A870" s="1">
        <v>39598</v>
      </c>
      <c r="B870" cm="1">
        <f t="array" ref="B870">(PRODUCT(1+sp500_monthly!B871:B990)^(1/120)-1)*100</f>
        <v>0.33709787674218727</v>
      </c>
      <c r="C870" cm="1">
        <f t="array" ref="C870">(PRODUCT(1+sp500_monthly!C871:C990)^(1/120)-1)*100</f>
        <v>0.19893209285437585</v>
      </c>
      <c r="D870" cm="1">
        <f t="array" ref="D870">(PRODUCT(1+sp500_monthly!D871:D990)^(1/120)-1)*100</f>
        <v>0.65261044765339005</v>
      </c>
      <c r="E870" cm="1">
        <f t="array" ref="E870">(PRODUCT(1+sp500_monthly!E871:E990)^(1/120)-1)*100</f>
        <v>0.51635436217529751</v>
      </c>
      <c r="F870" cm="1">
        <f t="array" ref="F870">(PRODUCT(1+sp500_monthly!K871:K990)^(1/120)-1)*100</f>
        <v>0.18366023986002844</v>
      </c>
      <c r="G870" cm="1">
        <f t="array" ref="G870">(PRODUCT(1+sp500_monthly!L871:L990)^(1/120)-1)</f>
        <v>0.2746918289545206</v>
      </c>
      <c r="H870" cm="1">
        <f t="array" ref="H870">(PRODUCT(1+sp500_monthly!N871:N990)^(1/120)-1)*100</f>
        <v>0.10585795838711221</v>
      </c>
      <c r="I870" cm="1">
        <f t="array" ref="I870">(PRODUCT(1+sp500_monthly!O871:O990)^(1/120)-1)*100</f>
        <v>5.1451891821607809E-2</v>
      </c>
    </row>
    <row r="871" spans="1:9" x14ac:dyDescent="0.35">
      <c r="A871" s="1">
        <v>39629</v>
      </c>
      <c r="B871" cm="1">
        <f t="array" ref="B871">(PRODUCT(1+sp500_monthly!B872:B991)^(1/120)-1)*100</f>
        <v>0.36279955145563925</v>
      </c>
      <c r="C871" cm="1">
        <f t="array" ref="C871">(PRODUCT(1+sp500_monthly!C872:C991)^(1/120)-1)*100</f>
        <v>0.22402162818830895</v>
      </c>
      <c r="D871" cm="1">
        <f t="array" ref="D871">(PRODUCT(1+sp500_monthly!D872:D991)^(1/120)-1)*100</f>
        <v>0.69506204430118679</v>
      </c>
      <c r="E871" cm="1">
        <f t="array" ref="E871">(PRODUCT(1+sp500_monthly!E872:E991)^(1/120)-1)*100</f>
        <v>0.55849948411377248</v>
      </c>
      <c r="F871" cm="1">
        <f t="array" ref="F871">(PRODUCT(1+sp500_monthly!K872:K991)^(1/120)-1)*100</f>
        <v>0.20839438066035942</v>
      </c>
      <c r="G871" cm="1">
        <f t="array" ref="G871">(PRODUCT(1+sp500_monthly!L872:L991)^(1/120)-1)</f>
        <v>0.27287713434234817</v>
      </c>
      <c r="H871" cm="1">
        <f t="array" ref="H871">(PRODUCT(1+sp500_monthly!N872:N991)^(1/120)-1)*100</f>
        <v>0.12863251106229878</v>
      </c>
      <c r="I871" cm="1">
        <f t="array" ref="I871">(PRODUCT(1+sp500_monthly!O872:O991)^(1/120)-1)*100</f>
        <v>4.6757391099561119E-2</v>
      </c>
    </row>
    <row r="872" spans="1:9" x14ac:dyDescent="0.35">
      <c r="A872" s="1">
        <v>39660</v>
      </c>
      <c r="B872" cm="1">
        <f t="array" ref="B872">(PRODUCT(1+sp500_monthly!B873:B992)^(1/120)-1)*100</f>
        <v>0.25694882763507287</v>
      </c>
      <c r="C872" cm="1">
        <f t="array" ref="C872">(PRODUCT(1+sp500_monthly!C873:C992)^(1/120)-1)*100</f>
        <v>0.11768303830212989</v>
      </c>
      <c r="D872" cm="1">
        <f t="array" ref="D872">(PRODUCT(1+sp500_monthly!D873:D992)^(1/120)-1)*100</f>
        <v>0.5991780646779965</v>
      </c>
      <c r="E872" cm="1">
        <f t="array" ref="E872">(PRODUCT(1+sp500_monthly!E873:E992)^(1/120)-1)*100</f>
        <v>0.46229532971706622</v>
      </c>
      <c r="F872" cm="1">
        <f t="array" ref="F872">(PRODUCT(1+sp500_monthly!K873:K992)^(1/120)-1)*100</f>
        <v>0.10109250869041464</v>
      </c>
      <c r="G872" cm="1">
        <f t="array" ref="G872">(PRODUCT(1+sp500_monthly!L873:L992)^(1/120)-1)</f>
        <v>0.27089949726748608</v>
      </c>
      <c r="H872" cm="1">
        <f t="array" ref="H872">(PRODUCT(1+sp500_monthly!N873:N992)^(1/120)-1)*100</f>
        <v>1.5365235905284713E-2</v>
      </c>
      <c r="I872" cm="1">
        <f t="array" ref="I872">(PRODUCT(1+sp500_monthly!O873:O992)^(1/120)-1)*100</f>
        <v>3.7097072825398314E-2</v>
      </c>
    </row>
    <row r="873" spans="1:9" x14ac:dyDescent="0.35">
      <c r="A873" s="1">
        <v>39689</v>
      </c>
      <c r="B873" cm="1">
        <f t="array" ref="B873">(PRODUCT(1+sp500_monthly!B874:B993)^(1/120)-1)*100</f>
        <v>0.25931126292155771</v>
      </c>
      <c r="C873" cm="1">
        <f t="array" ref="C873">(PRODUCT(1+sp500_monthly!C874:C993)^(1/120)-1)*100</f>
        <v>0.11968357587117673</v>
      </c>
      <c r="D873" cm="1">
        <f t="array" ref="D873">(PRODUCT(1+sp500_monthly!D874:D993)^(1/120)-1)*100</f>
        <v>0.63424344370828223</v>
      </c>
      <c r="E873" cm="1">
        <f t="array" ref="E873">(PRODUCT(1+sp500_monthly!E874:E993)^(1/120)-1)*100</f>
        <v>0.49701409054996315</v>
      </c>
      <c r="F873" cm="1">
        <f t="array" ref="F873">(PRODUCT(1+sp500_monthly!K874:K993)^(1/120)-1)*100</f>
        <v>0.10257323107896177</v>
      </c>
      <c r="G873" cm="1">
        <f t="array" ref="G873">(PRODUCT(1+sp500_monthly!L874:L993)^(1/120)-1)</f>
        <v>0.2688178787655322</v>
      </c>
      <c r="H873" cm="1">
        <f t="array" ref="H873">(PRODUCT(1+sp500_monthly!N874:N993)^(1/120)-1)*100</f>
        <v>1.3836301840441934E-2</v>
      </c>
      <c r="I873" cm="1">
        <f t="array" ref="I873">(PRODUCT(1+sp500_monthly!O874:O993)^(1/120)-1)*100</f>
        <v>3.113235402625314E-2</v>
      </c>
    </row>
    <row r="874" spans="1:9" x14ac:dyDescent="0.35">
      <c r="A874" s="1">
        <v>39721</v>
      </c>
      <c r="B874" cm="1">
        <f t="array" ref="B874">(PRODUCT(1+sp500_monthly!B875:B994)^(1/120)-1)*100</f>
        <v>0.40086557175886828</v>
      </c>
      <c r="C874" cm="1">
        <f t="array" ref="C874">(PRODUCT(1+sp500_monthly!C875:C994)^(1/120)-1)*100</f>
        <v>0.26051419405028753</v>
      </c>
      <c r="D874" cm="1">
        <f t="array" ref="D874">(PRODUCT(1+sp500_monthly!D875:D994)^(1/120)-1)*100</f>
        <v>0.79258876571746129</v>
      </c>
      <c r="E874" cm="1">
        <f t="array" ref="E874">(PRODUCT(1+sp500_monthly!E875:E994)^(1/120)-1)*100</f>
        <v>0.65527077694345071</v>
      </c>
      <c r="F874" cm="1">
        <f t="array" ref="F874">(PRODUCT(1+sp500_monthly!K875:K994)^(1/120)-1)*100</f>
        <v>0.24423818468068959</v>
      </c>
      <c r="G874" cm="1">
        <f t="array" ref="G874">(PRODUCT(1+sp500_monthly!L875:L994)^(1/120)-1)</f>
        <v>0.26633072120454293</v>
      </c>
      <c r="H874" cm="1">
        <f t="array" ref="H874">(PRODUCT(1+sp500_monthly!N875:N994)^(1/120)-1)*100</f>
        <v>0.15730949872536648</v>
      </c>
      <c r="I874" cm="1">
        <f t="array" ref="I874">(PRODUCT(1+sp500_monthly!O875:O994)^(1/120)-1)*100</f>
        <v>3.0901198033572719E-2</v>
      </c>
    </row>
    <row r="875" spans="1:9" x14ac:dyDescent="0.35">
      <c r="A875" s="1">
        <v>39752</v>
      </c>
      <c r="B875" cm="1">
        <f t="array" ref="B875">(PRODUCT(1+sp500_monthly!B876:B995)^(1/120)-1)*100</f>
        <v>0.27493952945729649</v>
      </c>
      <c r="C875" cm="1">
        <f t="array" ref="C875">(PRODUCT(1+sp500_monthly!C876:C995)^(1/120)-1)*100</f>
        <v>0.1343303333565693</v>
      </c>
      <c r="D875" cm="1">
        <f t="array" ref="D875">(PRODUCT(1+sp500_monthly!D876:D995)^(1/120)-1)*100</f>
        <v>0.65181053020575419</v>
      </c>
      <c r="E875" cm="1">
        <f t="array" ref="E875">(PRODUCT(1+sp500_monthly!E876:E995)^(1/120)-1)*100</f>
        <v>0.51430125257838633</v>
      </c>
      <c r="F875" cm="1">
        <f t="array" ref="F875">(PRODUCT(1+sp500_monthly!K876:K995)^(1/120)-1)*100</f>
        <v>0.11424977093961175</v>
      </c>
      <c r="G875" cm="1">
        <f t="array" ref="G875">(PRODUCT(1+sp500_monthly!L876:L995)^(1/120)-1)</f>
        <v>0.26381455061385783</v>
      </c>
      <c r="H875" cm="1">
        <f t="array" ref="H875">(PRODUCT(1+sp500_monthly!N876:N995)^(1/120)-1)*100</f>
        <v>3.1486436465533174E-2</v>
      </c>
      <c r="I875" cm="1">
        <f t="array" ref="I875">(PRODUCT(1+sp500_monthly!O876:O995)^(1/120)-1)*100</f>
        <v>2.8122466055702233E-2</v>
      </c>
    </row>
    <row r="876" spans="1:9" x14ac:dyDescent="0.35">
      <c r="A876" s="1">
        <v>39780</v>
      </c>
      <c r="B876" cm="1">
        <f t="array" ref="B876">(PRODUCT(1+sp500_monthly!B877:B996)^(1/120)-1)*100</f>
        <v>5.811127253090298E-2</v>
      </c>
      <c r="C876" cm="1">
        <f t="array" ref="C876">(PRODUCT(1+sp500_monthly!C877:C996)^(1/120)-1)*100</f>
        <v>-8.2923739223716986E-2</v>
      </c>
      <c r="D876" cm="1">
        <f t="array" ref="D876">(PRODUCT(1+sp500_monthly!D877:D996)^(1/120)-1)*100</f>
        <v>0.38564219202481542</v>
      </c>
      <c r="E876" cm="1">
        <f t="array" ref="E876">(PRODUCT(1+sp500_monthly!E877:E996)^(1/120)-1)*100</f>
        <v>0.24807250404168535</v>
      </c>
      <c r="F876" cm="1">
        <f t="array" ref="F876">(PRODUCT(1+sp500_monthly!K877:K996)^(1/120)-1)*100</f>
        <v>-0.10481903194020648</v>
      </c>
      <c r="G876" cm="1">
        <f t="array" ref="G876">(PRODUCT(1+sp500_monthly!L877:L996)^(1/120)-1)</f>
        <v>0.26170289551296722</v>
      </c>
      <c r="H876" cm="1">
        <f t="array" ref="H876">(PRODUCT(1+sp500_monthly!N877:N996)^(1/120)-1)*100</f>
        <v>-0.17559943736819017</v>
      </c>
      <c r="I876" cm="1">
        <f t="array" ref="I876">(PRODUCT(1+sp500_monthly!O877:O996)^(1/120)-1)*100</f>
        <v>3.536134732076146E-2</v>
      </c>
    </row>
    <row r="877" spans="1:9" x14ac:dyDescent="0.35">
      <c r="A877" s="1">
        <v>39813</v>
      </c>
      <c r="B877" cm="1">
        <f t="array" ref="B877">(PRODUCT(1+sp500_monthly!B878:B997)^(1/120)-1)*100</f>
        <v>-5.5775480073450012E-2</v>
      </c>
      <c r="C877" cm="1">
        <f t="array" ref="C877">(PRODUCT(1+sp500_monthly!C878:C997)^(1/120)-1)*100</f>
        <v>-0.19819028731330457</v>
      </c>
      <c r="D877" cm="1">
        <f t="array" ref="D877">(PRODUCT(1+sp500_monthly!D878:D997)^(1/120)-1)*100</f>
        <v>0.25282480549329023</v>
      </c>
      <c r="E877" cm="1">
        <f t="array" ref="E877">(PRODUCT(1+sp500_monthly!E878:E997)^(1/120)-1)*100</f>
        <v>0.11417308152228411</v>
      </c>
      <c r="F877" cm="1">
        <f t="array" ref="F877">(PRODUCT(1+sp500_monthly!K878:K997)^(1/120)-1)*100</f>
        <v>-0.21733943995915217</v>
      </c>
      <c r="G877" cm="1">
        <f t="array" ref="G877">(PRODUCT(1+sp500_monthly!L878:L997)^(1/120)-1)</f>
        <v>0.25917709713113024</v>
      </c>
      <c r="H877" cm="1">
        <f t="array" ref="H877">(PRODUCT(1+sp500_monthly!N878:N997)^(1/120)-1)*100</f>
        <v>-0.27336190741412691</v>
      </c>
      <c r="I877" cm="1">
        <f t="array" ref="I877">(PRODUCT(1+sp500_monthly!O878:O997)^(1/120)-1)*100</f>
        <v>4.8940699174671032E-2</v>
      </c>
    </row>
    <row r="878" spans="1:9" x14ac:dyDescent="0.35">
      <c r="A878" s="1">
        <v>39843</v>
      </c>
      <c r="B878" cm="1">
        <f t="array" ref="B878">(PRODUCT(1+sp500_monthly!B879:B998)^(1/120)-1)*100</f>
        <v>-9.4110678330716624E-2</v>
      </c>
      <c r="C878" cm="1">
        <f t="array" ref="C878">(PRODUCT(1+sp500_monthly!C879:C998)^(1/120)-1)*100</f>
        <v>-0.23778934290131781</v>
      </c>
      <c r="D878" cm="1">
        <f t="array" ref="D878">(PRODUCT(1+sp500_monthly!D879:D998)^(1/120)-1)*100</f>
        <v>0.26485507399571784</v>
      </c>
      <c r="E878" cm="1">
        <f t="array" ref="E878">(PRODUCT(1+sp500_monthly!E879:E998)^(1/120)-1)*100</f>
        <v>0.12475315534672404</v>
      </c>
      <c r="F878" cm="1">
        <f t="array" ref="F878">(PRODUCT(1+sp500_monthly!K879:K998)^(1/120)-1)*100</f>
        <v>-0.25645627673450688</v>
      </c>
      <c r="G878" cm="1">
        <f t="array" ref="G878">(PRODUCT(1+sp500_monthly!L879:L998)^(1/120)-1)</f>
        <v>0.25580196059380267</v>
      </c>
      <c r="H878" cm="1">
        <f t="array" ref="H878">(PRODUCT(1+sp500_monthly!N879:N998)^(1/120)-1)*100</f>
        <v>-0.303227765056302</v>
      </c>
      <c r="I878" cm="1">
        <f t="array" ref="I878">(PRODUCT(1+sp500_monthly!O879:O998)^(1/120)-1)*100</f>
        <v>5.4194483144787142E-2</v>
      </c>
    </row>
    <row r="879" spans="1:9" x14ac:dyDescent="0.35">
      <c r="A879" s="1">
        <v>39871</v>
      </c>
      <c r="B879" cm="1">
        <f t="array" ref="B879">(PRODUCT(1+sp500_monthly!B880:B999)^(1/120)-1)*100</f>
        <v>-0.20073445742098128</v>
      </c>
      <c r="C879" cm="1">
        <f t="array" ref="C879">(PRODUCT(1+sp500_monthly!C880:C999)^(1/120)-1)*100</f>
        <v>-0.34491251204845641</v>
      </c>
      <c r="D879" cm="1">
        <f t="array" ref="D879">(PRODUCT(1+sp500_monthly!D880:D999)^(1/120)-1)*100</f>
        <v>0.18765183674842589</v>
      </c>
      <c r="E879" cm="1">
        <f t="array" ref="E879">(PRODUCT(1+sp500_monthly!E880:E999)^(1/120)-1)*100</f>
        <v>4.7534747791955212E-2</v>
      </c>
      <c r="F879" cm="1">
        <f t="array" ref="F879">(PRODUCT(1+sp500_monthly!K880:K999)^(1/120)-1)*100</f>
        <v>-0.3642373460402859</v>
      </c>
      <c r="G879" cm="1">
        <f t="array" ref="G879">(PRODUCT(1+sp500_monthly!L880:L999)^(1/120)-1)</f>
        <v>0.25266528497693108</v>
      </c>
      <c r="H879" cm="1">
        <f t="array" ref="H879">(PRODUCT(1+sp500_monthly!N880:N999)^(1/120)-1)*100</f>
        <v>-0.41021297574486137</v>
      </c>
      <c r="I879" cm="1">
        <f t="array" ref="I879">(PRODUCT(1+sp500_monthly!O880:O999)^(1/120)-1)*100</f>
        <v>5.0694057480527022E-2</v>
      </c>
    </row>
    <row r="880" spans="1:9" x14ac:dyDescent="0.35">
      <c r="A880" s="1">
        <v>39903</v>
      </c>
      <c r="B880" cm="1">
        <f t="array" ref="B880">(PRODUCT(1+sp500_monthly!B881:B1000)^(1/120)-1)*100</f>
        <v>-0.2646679218432535</v>
      </c>
      <c r="C880" cm="1">
        <f t="array" ref="C880">(PRODUCT(1+sp500_monthly!C881:C1000)^(1/120)-1)*100</f>
        <v>-0.41124480889574988</v>
      </c>
      <c r="D880" cm="1">
        <f t="array" ref="D880">(PRODUCT(1+sp500_monthly!D881:D1000)^(1/120)-1)*100</f>
        <v>0.10019288219096367</v>
      </c>
      <c r="E880" cm="1">
        <f t="array" ref="E880">(PRODUCT(1+sp500_monthly!E881:E1000)^(1/120)-1)*100</f>
        <v>-4.1075269051282781E-2</v>
      </c>
      <c r="F880" cm="1">
        <f t="array" ref="F880">(PRODUCT(1+sp500_monthly!K881:K1000)^(1/120)-1)*100</f>
        <v>-0.43365985818035746</v>
      </c>
      <c r="G880" cm="1">
        <f t="array" ref="G880">(PRODUCT(1+sp500_monthly!L881:L1000)^(1/120)-1)</f>
        <v>0.24964005911998144</v>
      </c>
      <c r="H880" cm="1">
        <f t="array" ref="H880">(PRODUCT(1+sp500_monthly!N881:N1000)^(1/120)-1)*100</f>
        <v>-0.47702787068257813</v>
      </c>
      <c r="I880" cm="1">
        <f t="array" ref="I880">(PRODUCT(1+sp500_monthly!O881:O1000)^(1/120)-1)*100</f>
        <v>4.4832978956899083E-2</v>
      </c>
    </row>
    <row r="881" spans="1:9" x14ac:dyDescent="0.35">
      <c r="A881" s="1">
        <v>39933</v>
      </c>
      <c r="B881" cm="1">
        <f t="array" ref="B881">(PRODUCT(1+sp500_monthly!B882:B1001)^(1/120)-1)*100</f>
        <v>-0.22662311230059462</v>
      </c>
      <c r="C881" cm="1">
        <f t="array" ref="C881">(PRODUCT(1+sp500_monthly!C882:C1001)^(1/120)-1)*100</f>
        <v>-0.37495309739857818</v>
      </c>
      <c r="D881" cm="1">
        <f t="array" ref="D881">(PRODUCT(1+sp500_monthly!D882:D1001)^(1/120)-1)*100</f>
        <v>0.16881336702609939</v>
      </c>
      <c r="E881" cm="1">
        <f t="array" ref="E881">(PRODUCT(1+sp500_monthly!E882:E1001)^(1/120)-1)*100</f>
        <v>2.5957816752297802E-2</v>
      </c>
      <c r="F881" cm="1">
        <f t="array" ref="F881">(PRODUCT(1+sp500_monthly!K882:K1001)^(1/120)-1)*100</f>
        <v>-0.39723451434957591</v>
      </c>
      <c r="G881" cm="1">
        <f t="array" ref="G881">(PRODUCT(1+sp500_monthly!L882:L1001)^(1/120)-1)</f>
        <v>0.24612652314989436</v>
      </c>
      <c r="H881" cm="1">
        <f t="array" ref="H881">(PRODUCT(1+sp500_monthly!N882:N1001)^(1/120)-1)*100</f>
        <v>-0.43774093463787578</v>
      </c>
      <c r="I881" cm="1">
        <f t="array" ref="I881">(PRODUCT(1+sp500_monthly!O882:O1001)^(1/120)-1)*100</f>
        <v>4.2752025903269875E-2</v>
      </c>
    </row>
    <row r="882" spans="1:9" x14ac:dyDescent="0.35">
      <c r="A882" s="1">
        <v>39962</v>
      </c>
      <c r="B882" cm="1">
        <f t="array" ref="B882">(PRODUCT(1+sp500_monthly!B883:B1002)^(1/120)-1)*100</f>
        <v>-0.18239701138148545</v>
      </c>
      <c r="C882" cm="1">
        <f t="array" ref="C882">(PRODUCT(1+sp500_monthly!C883:C1002)^(1/120)-1)*100</f>
        <v>-0.3314378882924518</v>
      </c>
      <c r="D882" cm="1">
        <f t="array" ref="D882">(PRODUCT(1+sp500_monthly!D883:D1002)^(1/120)-1)*100</f>
        <v>0.23319507917864968</v>
      </c>
      <c r="E882" cm="1">
        <f t="array" ref="E882">(PRODUCT(1+sp500_monthly!E883:E1002)^(1/120)-1)*100</f>
        <v>9.0080757916433107E-2</v>
      </c>
      <c r="F882" cm="1">
        <f t="array" ref="F882">(PRODUCT(1+sp500_monthly!K883:K1002)^(1/120)-1)*100</f>
        <v>-0.35362359967143764</v>
      </c>
      <c r="G882" cm="1">
        <f t="array" ref="G882">(PRODUCT(1+sp500_monthly!L883:L1002)^(1/120)-1)</f>
        <v>0.24296475241596371</v>
      </c>
      <c r="H882" cm="1">
        <f t="array" ref="H882">(PRODUCT(1+sp500_monthly!N883:N1002)^(1/120)-1)*100</f>
        <v>-0.38892182070693337</v>
      </c>
      <c r="I882" cm="1">
        <f t="array" ref="I882">(PRODUCT(1+sp500_monthly!O883:O1002)^(1/120)-1)*100</f>
        <v>4.446346117250588E-2</v>
      </c>
    </row>
    <row r="883" spans="1:9" x14ac:dyDescent="0.35">
      <c r="A883" s="1">
        <v>39994</v>
      </c>
      <c r="B883" cm="1">
        <f t="array" ref="B883">(PRODUCT(1+sp500_monthly!B884:B1003)^(1/120)-1)*100</f>
        <v>-0.11863408156100874</v>
      </c>
      <c r="C883" cm="1">
        <f t="array" ref="C883">(PRODUCT(1+sp500_monthly!C884:C1003)^(1/120)-1)*100</f>
        <v>-0.26854782561278601</v>
      </c>
      <c r="D883" cm="1">
        <f t="array" ref="D883">(PRODUCT(1+sp500_monthly!D884:D1003)^(1/120)-1)*100</f>
        <v>0.28476579543037506</v>
      </c>
      <c r="E883" cm="1">
        <f t="array" ref="E883">(PRODUCT(1+sp500_monthly!E884:E1003)^(1/120)-1)*100</f>
        <v>0.14131357893130136</v>
      </c>
      <c r="F883" cm="1">
        <f t="array" ref="F883">(PRODUCT(1+sp500_monthly!K884:K1003)^(1/120)-1)*100</f>
        <v>-0.28965734670087784</v>
      </c>
      <c r="G883" cm="1">
        <f t="array" ref="G883">(PRODUCT(1+sp500_monthly!L884:L1003)^(1/120)-1)</f>
        <v>0.23993696272315757</v>
      </c>
      <c r="H883" cm="1">
        <f t="array" ref="H883">(PRODUCT(1+sp500_monthly!N884:N1003)^(1/120)-1)*100</f>
        <v>-0.32601164703820462</v>
      </c>
      <c r="I883" cm="1">
        <f t="array" ref="I883">(PRODUCT(1+sp500_monthly!O884:O1003)^(1/120)-1)*100</f>
        <v>4.0910233191948642E-2</v>
      </c>
    </row>
    <row r="884" spans="1:9" x14ac:dyDescent="0.35">
      <c r="A884" s="1">
        <v>40025</v>
      </c>
      <c r="B884" cm="1">
        <f t="array" ref="B884">(PRODUCT(1+sp500_monthly!B885:B1004)^(1/120)-1)*100</f>
        <v>-0.16068222945943011</v>
      </c>
      <c r="C884" cm="1">
        <f t="array" ref="C884">(PRODUCT(1+sp500_monthly!C885:C1004)^(1/120)-1)*100</f>
        <v>-0.31120826930627343</v>
      </c>
      <c r="D884" cm="1">
        <f t="array" ref="D884">(PRODUCT(1+sp500_monthly!D885:D1004)^(1/120)-1)*100</f>
        <v>0.24709688506281413</v>
      </c>
      <c r="E884" cm="1">
        <f t="array" ref="E884">(PRODUCT(1+sp500_monthly!E885:E1004)^(1/120)-1)*100</f>
        <v>0.10314539764486597</v>
      </c>
      <c r="F884" cm="1">
        <f t="array" ref="F884">(PRODUCT(1+sp500_monthly!K885:K1004)^(1/120)-1)*100</f>
        <v>-0.33353016604240615</v>
      </c>
      <c r="G884" cm="1">
        <f t="array" ref="G884">(PRODUCT(1+sp500_monthly!L885:L1004)^(1/120)-1)</f>
        <v>0.2365676605967888</v>
      </c>
      <c r="H884" cm="1">
        <f t="array" ref="H884">(PRODUCT(1+sp500_monthly!N885:N1004)^(1/120)-1)*100</f>
        <v>-0.37483471128122448</v>
      </c>
      <c r="I884" cm="1">
        <f t="array" ref="I884">(PRODUCT(1+sp500_monthly!O885:O1004)^(1/120)-1)*100</f>
        <v>3.0775446803033013E-2</v>
      </c>
    </row>
    <row r="885" spans="1:9" x14ac:dyDescent="0.35">
      <c r="A885" s="1">
        <v>40056</v>
      </c>
      <c r="B885" cm="1">
        <f t="array" ref="B885">(PRODUCT(1+sp500_monthly!B886:B1005)^(1/120)-1)*100</f>
        <v>-7.5345794002901201E-2</v>
      </c>
      <c r="C885" cm="1">
        <f t="array" ref="C885">(PRODUCT(1+sp500_monthly!C886:C1005)^(1/120)-1)*100</f>
        <v>-0.22632873037823353</v>
      </c>
      <c r="D885" cm="1">
        <f t="array" ref="D885">(PRODUCT(1+sp500_monthly!D886:D1005)^(1/120)-1)*100</f>
        <v>0.35152603827472984</v>
      </c>
      <c r="E885" cm="1">
        <f t="array" ref="E885">(PRODUCT(1+sp500_monthly!E886:E1005)^(1/120)-1)*100</f>
        <v>0.20752899075495712</v>
      </c>
      <c r="F885" cm="1">
        <f t="array" ref="F885">(PRODUCT(1+sp500_monthly!K886:K1005)^(1/120)-1)*100</f>
        <v>-0.24703787833937341</v>
      </c>
      <c r="G885" cm="1">
        <f t="array" ref="G885">(PRODUCT(1+sp500_monthly!L886:L1005)^(1/120)-1)</f>
        <v>0.23335539195836752</v>
      </c>
      <c r="H885" cm="1">
        <f t="array" ref="H885">(PRODUCT(1+sp500_monthly!N886:N1005)^(1/120)-1)*100</f>
        <v>-0.28593711792278542</v>
      </c>
      <c r="I885" cm="1">
        <f t="array" ref="I885">(PRODUCT(1+sp500_monthly!O886:O1005)^(1/120)-1)*100</f>
        <v>3.1453331004449581E-2</v>
      </c>
    </row>
    <row r="886" spans="1:9" x14ac:dyDescent="0.35">
      <c r="A886" s="1">
        <v>40086</v>
      </c>
      <c r="B886" cm="1">
        <f t="array" ref="B886">(PRODUCT(1+sp500_monthly!B887:B1006)^(1/120)-1)*100</f>
        <v>-4.2717250133006424E-2</v>
      </c>
      <c r="C886" cm="1">
        <f t="array" ref="C886">(PRODUCT(1+sp500_monthly!C887:C1006)^(1/120)-1)*100</f>
        <v>-0.19471513388311656</v>
      </c>
      <c r="D886" cm="1">
        <f t="array" ref="D886">(PRODUCT(1+sp500_monthly!D887:D1006)^(1/120)-1)*100</f>
        <v>0.4173636536573877</v>
      </c>
      <c r="E886" cm="1">
        <f t="array" ref="E886">(PRODUCT(1+sp500_monthly!E887:E1006)^(1/120)-1)*100</f>
        <v>0.27303656290968981</v>
      </c>
      <c r="F886" cm="1">
        <f t="array" ref="F886">(PRODUCT(1+sp500_monthly!K887:K1006)^(1/120)-1)*100</f>
        <v>-0.21437774253347808</v>
      </c>
      <c r="G886" cm="1">
        <f t="array" ref="G886">(PRODUCT(1+sp500_monthly!L887:L1006)^(1/120)-1)</f>
        <v>0.23007745349719144</v>
      </c>
      <c r="H886" cm="1">
        <f t="array" ref="H886">(PRODUCT(1+sp500_monthly!N887:N1006)^(1/120)-1)*100</f>
        <v>-0.25416384935798009</v>
      </c>
      <c r="I886" cm="1">
        <f t="array" ref="I886">(PRODUCT(1+sp500_monthly!O887:O1006)^(1/120)-1)*100</f>
        <v>2.7503305562626146E-2</v>
      </c>
    </row>
    <row r="887" spans="1:9" x14ac:dyDescent="0.35">
      <c r="A887" s="1">
        <v>40116</v>
      </c>
      <c r="B887" cm="1">
        <f t="array" ref="B887">(PRODUCT(1+sp500_monthly!B888:B1007)^(1/120)-1)*100</f>
        <v>1.0910225740756729E-2</v>
      </c>
      <c r="C887" cm="1">
        <f t="array" ref="C887">(PRODUCT(1+sp500_monthly!C888:C1007)^(1/120)-1)*100</f>
        <v>-0.14141012861939029</v>
      </c>
      <c r="D887" cm="1">
        <f t="array" ref="D887">(PRODUCT(1+sp500_monthly!D888:D1007)^(1/120)-1)*100</f>
        <v>0.49387253413111232</v>
      </c>
      <c r="E887" cm="1">
        <f t="array" ref="E887">(PRODUCT(1+sp500_monthly!E888:E1007)^(1/120)-1)*100</f>
        <v>0.34934826351569193</v>
      </c>
      <c r="F887" cm="1">
        <f t="array" ref="F887">(PRODUCT(1+sp500_monthly!K888:K1007)^(1/120)-1)*100</f>
        <v>-0.16108858119150415</v>
      </c>
      <c r="G887" cm="1">
        <f t="array" ref="G887">(PRODUCT(1+sp500_monthly!L888:L1007)^(1/120)-1)</f>
        <v>0.22680822694551472</v>
      </c>
      <c r="H887" cm="1">
        <f t="array" ref="H887">(PRODUCT(1+sp500_monthly!N888:N1007)^(1/120)-1)*100</f>
        <v>-0.19877745146248404</v>
      </c>
      <c r="I887" cm="1">
        <f t="array" ref="I887">(PRODUCT(1+sp500_monthly!O888:O1007)^(1/120)-1)*100</f>
        <v>2.6218721644633014E-2</v>
      </c>
    </row>
    <row r="888" spans="1:9" x14ac:dyDescent="0.35">
      <c r="A888" s="1">
        <v>40147</v>
      </c>
      <c r="B888" cm="1">
        <f t="array" ref="B888">(PRODUCT(1+sp500_monthly!B889:B1008)^(1/120)-1)*100</f>
        <v>-5.6313509856964483E-2</v>
      </c>
      <c r="C888" cm="1">
        <f t="array" ref="C888">(PRODUCT(1+sp500_monthly!C889:C1008)^(1/120)-1)*100</f>
        <v>-0.20898023709006175</v>
      </c>
      <c r="D888" cm="1">
        <f t="array" ref="D888">(PRODUCT(1+sp500_monthly!D889:D1008)^(1/120)-1)*100</f>
        <v>0.43898820422252349</v>
      </c>
      <c r="E888" cm="1">
        <f t="array" ref="E888">(PRODUCT(1+sp500_monthly!E889:E1008)^(1/120)-1)*100</f>
        <v>0.29468419612515007</v>
      </c>
      <c r="F888" cm="1">
        <f t="array" ref="F888">(PRODUCT(1+sp500_monthly!K889:K1008)^(1/120)-1)*100</f>
        <v>-0.22814216652101704</v>
      </c>
      <c r="G888" cm="1">
        <f t="array" ref="G888">(PRODUCT(1+sp500_monthly!L889:L1008)^(1/120)-1)</f>
        <v>0.22344623748621095</v>
      </c>
      <c r="H888" cm="1">
        <f t="array" ref="H888">(PRODUCT(1+sp500_monthly!N889:N1008)^(1/120)-1)*100</f>
        <v>-0.26686687792453201</v>
      </c>
      <c r="I888" cm="1">
        <f t="array" ref="I888">(PRODUCT(1+sp500_monthly!O889:O1008)^(1/120)-1)*100</f>
        <v>2.1964694247222916E-2</v>
      </c>
    </row>
    <row r="889" spans="1:9" x14ac:dyDescent="0.35">
      <c r="A889" s="1">
        <v>40178</v>
      </c>
      <c r="B889" cm="1">
        <f t="array" ref="B889">(PRODUCT(1+sp500_monthly!B890:B1009)^(1/120)-1)*100</f>
        <v>-2.4740355549235371E-2</v>
      </c>
      <c r="C889" cm="1">
        <f t="array" ref="C889">(PRODUCT(1+sp500_monthly!C890:C1009)^(1/120)-1)*100</f>
        <v>-0.17849741082419657</v>
      </c>
      <c r="D889" cm="1">
        <f t="array" ref="D889">(PRODUCT(1+sp500_monthly!D890:D1009)^(1/120)-1)*100</f>
        <v>0.48486759133492541</v>
      </c>
      <c r="E889" cm="1">
        <f t="array" ref="E889">(PRODUCT(1+sp500_monthly!E890:E1009)^(1/120)-1)*100</f>
        <v>0.34004671243050844</v>
      </c>
      <c r="F889" cm="1">
        <f t="array" ref="F889">(PRODUCT(1+sp500_monthly!K890:K1009)^(1/120)-1)*100</f>
        <v>-0.19746057841272258</v>
      </c>
      <c r="G889" cm="1">
        <f t="array" ref="G889">(PRODUCT(1+sp500_monthly!L890:L1009)^(1/120)-1)</f>
        <v>0.22031532548908084</v>
      </c>
      <c r="H889" cm="1">
        <f t="array" ref="H889">(PRODUCT(1+sp500_monthly!N890:N1009)^(1/120)-1)*100</f>
        <v>-0.23665711738807271</v>
      </c>
      <c r="I889" cm="1">
        <f t="array" ref="I889">(PRODUCT(1+sp500_monthly!O890:O1009)^(1/120)-1)*100</f>
        <v>1.7669284311105926E-2</v>
      </c>
    </row>
    <row r="890" spans="1:9" x14ac:dyDescent="0.35">
      <c r="A890" s="1">
        <v>40207</v>
      </c>
      <c r="B890" cm="1">
        <f t="array" ref="B890">(PRODUCT(1+sp500_monthly!B891:B1010)^(1/120)-1)*100</f>
        <v>-5.9637210517926587E-2</v>
      </c>
      <c r="C890" cm="1">
        <f t="array" ref="C890">(PRODUCT(1+sp500_monthly!C891:C1010)^(1/120)-1)*100</f>
        <v>-0.21387111528028413</v>
      </c>
      <c r="D890" cm="1">
        <f t="array" ref="D890">(PRODUCT(1+sp500_monthly!D891:D1010)^(1/120)-1)*100</f>
        <v>0.48808439218865907</v>
      </c>
      <c r="E890" cm="1">
        <f t="array" ref="E890">(PRODUCT(1+sp500_monthly!E891:E1010)^(1/120)-1)*100</f>
        <v>0.34319368907660408</v>
      </c>
      <c r="F890" cm="1">
        <f t="array" ref="F890">(PRODUCT(1+sp500_monthly!K891:K1010)^(1/120)-1)*100</f>
        <v>-0.22957347542631457</v>
      </c>
      <c r="G890" cm="1">
        <f t="array" ref="G890">(PRODUCT(1+sp500_monthly!L891:L1010)^(1/120)-1)</f>
        <v>0.21671367561955823</v>
      </c>
      <c r="H890" cm="1">
        <f t="array" ref="H890">(PRODUCT(1+sp500_monthly!N891:N1010)^(1/120)-1)*100</f>
        <v>-0.26994048139100668</v>
      </c>
      <c r="I890" cm="1">
        <f t="array" ref="I890">(PRODUCT(1+sp500_monthly!O891:O1010)^(1/120)-1)*100</f>
        <v>1.5637350898090041E-2</v>
      </c>
    </row>
    <row r="891" spans="1:9" x14ac:dyDescent="0.35">
      <c r="A891" s="1">
        <v>40235</v>
      </c>
      <c r="B891" cm="1">
        <f t="array" ref="B891">(PRODUCT(1+sp500_monthly!B892:B1011)^(1/120)-1)*100</f>
        <v>-4.7561871697521241E-2</v>
      </c>
      <c r="C891" cm="1">
        <f t="array" ref="C891">(PRODUCT(1+sp500_monthly!C892:C1011)^(1/120)-1)*100</f>
        <v>-0.20212023823861225</v>
      </c>
      <c r="D891" cm="1">
        <f t="array" ref="D891">(PRODUCT(1+sp500_monthly!D892:D1011)^(1/120)-1)*100</f>
        <v>0.51112296610529295</v>
      </c>
      <c r="E891" cm="1">
        <f t="array" ref="E891">(PRODUCT(1+sp500_monthly!E892:E1011)^(1/120)-1)*100</f>
        <v>0.36644395332428026</v>
      </c>
      <c r="F891" cm="1">
        <f t="array" ref="F891">(PRODUCT(1+sp500_monthly!K892:K1011)^(1/120)-1)*100</f>
        <v>-0.21745856670853936</v>
      </c>
      <c r="G891" cm="1">
        <f t="array" ref="G891">(PRODUCT(1+sp500_monthly!L892:L1011)^(1/120)-1)</f>
        <v>0.21323490585123062</v>
      </c>
      <c r="H891" cm="1">
        <f t="array" ref="H891">(PRODUCT(1+sp500_monthly!N892:N1011)^(1/120)-1)*100</f>
        <v>-0.25597117581352968</v>
      </c>
      <c r="I891" cm="1">
        <f t="array" ref="I891">(PRODUCT(1+sp500_monthly!O892:O1011)^(1/120)-1)*100</f>
        <v>1.4151768991954583E-2</v>
      </c>
    </row>
    <row r="892" spans="1:9" x14ac:dyDescent="0.35">
      <c r="A892" s="1">
        <v>40268</v>
      </c>
      <c r="B892" cm="1">
        <f t="array" ref="B892">(PRODUCT(1+sp500_monthly!B893:B1012)^(1/120)-1)*100</f>
        <v>-7.9207421669003075E-3</v>
      </c>
      <c r="C892" cm="1">
        <f t="array" ref="C892">(PRODUCT(1+sp500_monthly!C893:C1012)^(1/120)-1)*100</f>
        <v>-0.16346503192923301</v>
      </c>
      <c r="D892" cm="1">
        <f t="array" ref="D892">(PRODUCT(1+sp500_monthly!D893:D1012)^(1/120)-1)*100</f>
        <v>0.58535997134812057</v>
      </c>
      <c r="E892" cm="1">
        <f t="array" ref="E892">(PRODUCT(1+sp500_monthly!E893:E1012)^(1/120)-1)*100</f>
        <v>0.44066987021653681</v>
      </c>
      <c r="F892" cm="1">
        <f t="array" ref="F892">(PRODUCT(1+sp500_monthly!K893:K1012)^(1/120)-1)*100</f>
        <v>-0.17718156603454549</v>
      </c>
      <c r="G892" cm="1">
        <f t="array" ref="G892">(PRODUCT(1+sp500_monthly!L893:L1012)^(1/120)-1)</f>
        <v>0.20962409707687302</v>
      </c>
      <c r="H892" cm="1">
        <f t="array" ref="H892">(PRODUCT(1+sp500_monthly!N893:N1012)^(1/120)-1)*100</f>
        <v>-0.21218978909715025</v>
      </c>
      <c r="I892" cm="1">
        <f t="array" ref="I892">(PRODUCT(1+sp500_monthly!O893:O1012)^(1/120)-1)*100</f>
        <v>1.4808194337434522E-2</v>
      </c>
    </row>
    <row r="893" spans="1:9" x14ac:dyDescent="0.35">
      <c r="A893" s="1">
        <v>40298</v>
      </c>
      <c r="B893" cm="1">
        <f t="array" ref="B893">(PRODUCT(1+sp500_monthly!B894:B1013)^(1/120)-1)*100</f>
        <v>-3.6838963787577672E-2</v>
      </c>
      <c r="C893" cm="1">
        <f t="array" ref="C893">(PRODUCT(1+sp500_monthly!C894:C1013)^(1/120)-1)*100</f>
        <v>-0.19278019343393904</v>
      </c>
      <c r="D893" cm="1">
        <f t="array" ref="D893">(PRODUCT(1+sp500_monthly!D894:D1013)^(1/120)-1)*100</f>
        <v>0.55543944167908421</v>
      </c>
      <c r="E893" cm="1">
        <f t="array" ref="E893">(PRODUCT(1+sp500_monthly!E894:E1013)^(1/120)-1)*100</f>
        <v>0.410832910168768</v>
      </c>
      <c r="F893" cm="1">
        <f t="array" ref="F893">(PRODUCT(1+sp500_monthly!K894:K1013)^(1/120)-1)*100</f>
        <v>-0.20645155793338477</v>
      </c>
      <c r="G893" cm="1">
        <f t="array" ref="G893">(PRODUCT(1+sp500_monthly!L894:L1013)^(1/120)-1)</f>
        <v>0.20584678608500284</v>
      </c>
      <c r="H893" cm="1">
        <f t="array" ref="H893">(PRODUCT(1+sp500_monthly!N894:N1013)^(1/120)-1)*100</f>
        <v>-0.23644843979970798</v>
      </c>
      <c r="I893" cm="1">
        <f t="array" ref="I893">(PRODUCT(1+sp500_monthly!O894:O1013)^(1/120)-1)*100</f>
        <v>1.5595657129319207E-2</v>
      </c>
    </row>
    <row r="894" spans="1:9" x14ac:dyDescent="0.35">
      <c r="A894" s="1">
        <v>40326</v>
      </c>
      <c r="B894" cm="1">
        <f t="array" ref="B894">(PRODUCT(1+sp500_monthly!B895:B1014)^(1/120)-1)*100</f>
        <v>3.1069726376342643E-3</v>
      </c>
      <c r="C894" cm="1">
        <f t="array" ref="C894">(PRODUCT(1+sp500_monthly!C895:C1014)^(1/120)-1)*100</f>
        <v>-0.15310919568826131</v>
      </c>
      <c r="D894" cm="1">
        <f t="array" ref="D894">(PRODUCT(1+sp500_monthly!D895:D1014)^(1/120)-1)*100</f>
        <v>0.57188264911380848</v>
      </c>
      <c r="E894" cm="1">
        <f t="array" ref="E894">(PRODUCT(1+sp500_monthly!E895:E1014)^(1/120)-1)*100</f>
        <v>0.42754636148274461</v>
      </c>
      <c r="F894" cm="1">
        <f t="array" ref="F894">(PRODUCT(1+sp500_monthly!K895:K1014)^(1/120)-1)*100</f>
        <v>-0.16824717773850084</v>
      </c>
      <c r="G894" cm="1">
        <f t="array" ref="G894">(PRODUCT(1+sp500_monthly!L895:L1014)^(1/120)-1)</f>
        <v>0.20214965054234346</v>
      </c>
      <c r="H894" cm="1">
        <f t="array" ref="H894">(PRODUCT(1+sp500_monthly!N895:N1014)^(1/120)-1)*100</f>
        <v>-0.19726008162513908</v>
      </c>
      <c r="I894" cm="1">
        <f t="array" ref="I894">(PRODUCT(1+sp500_monthly!O895:O1014)^(1/120)-1)*100</f>
        <v>1.1174700629257295E-2</v>
      </c>
    </row>
    <row r="895" spans="1:9" x14ac:dyDescent="0.35">
      <c r="A895" s="1">
        <v>40359</v>
      </c>
      <c r="B895" cm="1">
        <f t="array" ref="B895">(PRODUCT(1+sp500_monthly!B896:B1015)^(1/120)-1)*100</f>
        <v>-4.7669853839626963E-2</v>
      </c>
      <c r="C895" cm="1">
        <f t="array" ref="C895">(PRODUCT(1+sp500_monthly!C896:C1015)^(1/120)-1)*100</f>
        <v>-0.20470397817206054</v>
      </c>
      <c r="D895" cm="1">
        <f t="array" ref="D895">(PRODUCT(1+sp500_monthly!D896:D1015)^(1/120)-1)*100</f>
        <v>0.49409867256715589</v>
      </c>
      <c r="E895" cm="1">
        <f t="array" ref="E895">(PRODUCT(1+sp500_monthly!E896:E1015)^(1/120)-1)*100</f>
        <v>0.35011528835764416</v>
      </c>
      <c r="F895" cm="1">
        <f t="array" ref="F895">(PRODUCT(1+sp500_monthly!K896:K1015)^(1/120)-1)*100</f>
        <v>-0.22095527612377985</v>
      </c>
      <c r="G895" cm="1">
        <f t="array" ref="G895">(PRODUCT(1+sp500_monthly!L896:L1015)^(1/120)-1)</f>
        <v>0.1981939401208721</v>
      </c>
      <c r="H895" cm="1">
        <f t="array" ref="H895">(PRODUCT(1+sp500_monthly!N896:N1015)^(1/120)-1)*100</f>
        <v>-0.24604503395089239</v>
      </c>
      <c r="I895" cm="1">
        <f t="array" ref="I895">(PRODUCT(1+sp500_monthly!O896:O1015)^(1/120)-1)*100</f>
        <v>8.9963428193895467E-3</v>
      </c>
    </row>
    <row r="896" spans="1:9" x14ac:dyDescent="0.35">
      <c r="A896" s="1">
        <v>40389</v>
      </c>
      <c r="B896" cm="1">
        <f t="array" ref="B896">(PRODUCT(1+sp500_monthly!B897:B1016)^(1/120)-1)*100</f>
        <v>-0.11502492845498757</v>
      </c>
      <c r="C896" cm="1">
        <f t="array" ref="C896">(PRODUCT(1+sp500_monthly!C897:C1016)^(1/120)-1)*100</f>
        <v>-0.27276562080800204</v>
      </c>
      <c r="D896" cm="1">
        <f t="array" ref="D896">(PRODUCT(1+sp500_monthly!D897:D1016)^(1/120)-1)*100</f>
        <v>0.45722914852783791</v>
      </c>
      <c r="E896" cm="1">
        <f t="array" ref="E896">(PRODUCT(1+sp500_monthly!E897:E1016)^(1/120)-1)*100</f>
        <v>0.31300631852808625</v>
      </c>
      <c r="F896" cm="1">
        <f t="array" ref="F896">(PRODUCT(1+sp500_monthly!K897:K1016)^(1/120)-1)*100</f>
        <v>-0.28665481187564179</v>
      </c>
      <c r="G896" cm="1">
        <f t="array" ref="G896">(PRODUCT(1+sp500_monthly!L897:L1016)^(1/120)-1)</f>
        <v>0.19493806703085226</v>
      </c>
      <c r="H896" cm="1">
        <f t="array" ref="H896">(PRODUCT(1+sp500_monthly!N897:N1016)^(1/120)-1)*100</f>
        <v>-0.30808008259396447</v>
      </c>
      <c r="I896" cm="1">
        <f t="array" ref="I896">(PRODUCT(1+sp500_monthly!O897:O1016)^(1/120)-1)*100</f>
        <v>1.0955692343639356E-2</v>
      </c>
    </row>
    <row r="897" spans="1:9" x14ac:dyDescent="0.35">
      <c r="A897" s="1">
        <v>40421</v>
      </c>
      <c r="B897" cm="1">
        <f t="array" ref="B897">(PRODUCT(1+sp500_monthly!B898:B1017)^(1/120)-1)*100</f>
        <v>-4.7615113294696698E-2</v>
      </c>
      <c r="C897" cm="1">
        <f t="array" ref="C897">(PRODUCT(1+sp500_monthly!C898:C1017)^(1/120)-1)*100</f>
        <v>-0.20624211619543198</v>
      </c>
      <c r="D897" cm="1">
        <f t="array" ref="D897">(PRODUCT(1+sp500_monthly!D898:D1017)^(1/120)-1)*100</f>
        <v>0.51347748255887726</v>
      </c>
      <c r="E897" cm="1">
        <f t="array" ref="E897">(PRODUCT(1+sp500_monthly!E898:E1017)^(1/120)-1)*100</f>
        <v>0.36824831560711146</v>
      </c>
      <c r="F897" cm="1">
        <f t="array" ref="F897">(PRODUCT(1+sp500_monthly!K898:K1017)^(1/120)-1)*100</f>
        <v>-0.21766927102044864</v>
      </c>
      <c r="G897" cm="1">
        <f t="array" ref="G897">(PRODUCT(1+sp500_monthly!L898:L1017)^(1/120)-1)</f>
        <v>0.19113931815589713</v>
      </c>
      <c r="H897" cm="1">
        <f t="array" ref="H897">(PRODUCT(1+sp500_monthly!N898:N1017)^(1/120)-1)*100</f>
        <v>-0.23994271863658767</v>
      </c>
      <c r="I897" cm="1">
        <f t="array" ref="I897">(PRODUCT(1+sp500_monthly!O898:O1017)^(1/120)-1)*100</f>
        <v>7.9082072388603208E-3</v>
      </c>
    </row>
    <row r="898" spans="1:9" x14ac:dyDescent="0.35">
      <c r="A898" s="1">
        <v>40451</v>
      </c>
      <c r="B898" cm="1">
        <f t="array" ref="B898">(PRODUCT(1+sp500_monthly!B899:B1018)^(1/120)-1)*100</f>
        <v>-0.13687567635942699</v>
      </c>
      <c r="C898" cm="1">
        <f t="array" ref="C898">(PRODUCT(1+sp500_monthly!C899:C1018)^(1/120)-1)*100</f>
        <v>-0.29642588193794506</v>
      </c>
      <c r="D898" cm="1">
        <f t="array" ref="D898">(PRODUCT(1+sp500_monthly!D899:D1018)^(1/120)-1)*100</f>
        <v>0.41216423112655498</v>
      </c>
      <c r="E898" cm="1">
        <f t="array" ref="E898">(PRODUCT(1+sp500_monthly!E899:E1018)^(1/120)-1)*100</f>
        <v>0.2672309366072767</v>
      </c>
      <c r="F898" cm="1">
        <f t="array" ref="F898">(PRODUCT(1+sp500_monthly!K899:K1018)^(1/120)-1)*100</f>
        <v>-0.3070506097268999</v>
      </c>
      <c r="G898" cm="1">
        <f t="array" ref="G898">(PRODUCT(1+sp500_monthly!L899:L1018)^(1/120)-1)</f>
        <v>0.18721983757198823</v>
      </c>
      <c r="H898" cm="1">
        <f t="array" ref="H898">(PRODUCT(1+sp500_monthly!N899:N1018)^(1/120)-1)*100</f>
        <v>-0.33024442974560753</v>
      </c>
      <c r="I898" cm="1">
        <f t="array" ref="I898">(PRODUCT(1+sp500_monthly!O899:O1018)^(1/120)-1)*100</f>
        <v>2.6180594622671194E-3</v>
      </c>
    </row>
    <row r="899" spans="1:9" x14ac:dyDescent="0.35">
      <c r="A899" s="1">
        <v>40480</v>
      </c>
      <c r="B899" cm="1">
        <f t="array" ref="B899">(PRODUCT(1+sp500_monthly!B900:B1019)^(1/120)-1)*100</f>
        <v>-2.0281864040172515E-2</v>
      </c>
      <c r="C899" cm="1">
        <f t="array" ref="C899">(PRODUCT(1+sp500_monthly!C900:C1019)^(1/120)-1)*100</f>
        <v>-0.18064364968880531</v>
      </c>
      <c r="D899" cm="1">
        <f t="array" ref="D899">(PRODUCT(1+sp500_monthly!D900:D1019)^(1/120)-1)*100</f>
        <v>0.50687015359611731</v>
      </c>
      <c r="E899" cm="1">
        <f t="array" ref="E899">(PRODUCT(1+sp500_monthly!E900:E1019)^(1/120)-1)*100</f>
        <v>0.36163976407894705</v>
      </c>
      <c r="F899" cm="1">
        <f t="array" ref="F899">(PRODUCT(1+sp500_monthly!K900:K1019)^(1/120)-1)*100</f>
        <v>-0.1915935961467552</v>
      </c>
      <c r="G899" cm="1">
        <f t="array" ref="G899">(PRODUCT(1+sp500_monthly!L900:L1019)^(1/120)-1)</f>
        <v>0.18324773451130705</v>
      </c>
      <c r="H899" cm="1">
        <f t="array" ref="H899">(PRODUCT(1+sp500_monthly!N900:N1019)^(1/120)-1)*100</f>
        <v>-0.21089616651757126</v>
      </c>
      <c r="I899" cm="1">
        <f t="array" ref="I899">(PRODUCT(1+sp500_monthly!O900:O1019)^(1/120)-1)*100</f>
        <v>1.4487246145389321E-3</v>
      </c>
    </row>
    <row r="900" spans="1:9" x14ac:dyDescent="0.35">
      <c r="A900" s="1">
        <v>40512</v>
      </c>
      <c r="B900" cm="1">
        <f t="array" ref="B900">(PRODUCT(1+sp500_monthly!B901:B1020)^(1/120)-1)*100</f>
        <v>1.482007098503324E-2</v>
      </c>
      <c r="C900" cm="1">
        <f t="array" ref="C900">(PRODUCT(1+sp500_monthly!C901:C1020)^(1/120)-1)*100</f>
        <v>-0.14632423744601608</v>
      </c>
      <c r="D900" cm="1">
        <f t="array" ref="D900">(PRODUCT(1+sp500_monthly!D901:D1020)^(1/120)-1)*100</f>
        <v>0.51896309657448736</v>
      </c>
      <c r="E900" cm="1">
        <f t="array" ref="E900">(PRODUCT(1+sp500_monthly!E901:E1020)^(1/120)-1)*100</f>
        <v>0.37332855039087232</v>
      </c>
      <c r="F900" cm="1">
        <f t="array" ref="F900">(PRODUCT(1+sp500_monthly!K901:K1020)^(1/120)-1)*100</f>
        <v>-0.15735814651753888</v>
      </c>
      <c r="G900" cm="1">
        <f t="array" ref="G900">(PRODUCT(1+sp500_monthly!L901:L1020)^(1/120)-1)</f>
        <v>0.17896882513079415</v>
      </c>
      <c r="H900" cm="1">
        <f t="array" ref="H900">(PRODUCT(1+sp500_monthly!N901:N1020)^(1/120)-1)*100</f>
        <v>-0.17731622996954854</v>
      </c>
      <c r="I900" cm="1">
        <f t="array" ref="I900">(PRODUCT(1+sp500_monthly!O901:O1020)^(1/120)-1)*100</f>
        <v>-4.5791500842384814E-3</v>
      </c>
    </row>
    <row r="901" spans="1:9" x14ac:dyDescent="0.35">
      <c r="A901" s="1">
        <v>40543</v>
      </c>
      <c r="B901" cm="1">
        <f t="array" ref="B901">(PRODUCT(1+sp500_monthly!B902:B1021)^(1/120)-1)*100</f>
        <v>8.2727981012142848E-2</v>
      </c>
      <c r="C901" cm="1">
        <f t="array" ref="C901">(PRODUCT(1+sp500_monthly!C902:C1021)^(1/120)-1)*100</f>
        <v>-7.9461564802818518E-2</v>
      </c>
      <c r="D901" cm="1">
        <f t="array" ref="D901">(PRODUCT(1+sp500_monthly!D902:D1021)^(1/120)-1)*100</f>
        <v>0.56478498665493149</v>
      </c>
      <c r="E901" cm="1">
        <f t="array" ref="E901">(PRODUCT(1+sp500_monthly!E902:E1021)^(1/120)-1)*100</f>
        <v>0.41911648152781478</v>
      </c>
      <c r="F901" cm="1">
        <f t="array" ref="F901">(PRODUCT(1+sp500_monthly!K902:K1021)^(1/120)-1)*100</f>
        <v>-8.9805080819038707E-2</v>
      </c>
      <c r="G901" cm="1">
        <f t="array" ref="G901">(PRODUCT(1+sp500_monthly!L902:L1021)^(1/120)-1)</f>
        <v>0.17502432763290288</v>
      </c>
      <c r="H901" cm="1">
        <f t="array" ref="H901">(PRODUCT(1+sp500_monthly!N902:N1021)^(1/120)-1)*100</f>
        <v>-0.11021053228793543</v>
      </c>
      <c r="I901" cm="1">
        <f t="array" ref="I901">(PRODUCT(1+sp500_monthly!O902:O1021)^(1/120)-1)*100</f>
        <v>-9.4071773022452732E-3</v>
      </c>
    </row>
    <row r="902" spans="1:9" x14ac:dyDescent="0.35">
      <c r="A902" s="1">
        <v>40574</v>
      </c>
      <c r="B902" cm="1">
        <f t="array" ref="B902">(PRODUCT(1+sp500_monthly!B903:B1022)^(1/120)-1)*100</f>
        <v>0.1321125365272513</v>
      </c>
      <c r="C902" cm="1">
        <f t="array" ref="C902">(PRODUCT(1+sp500_monthly!C903:C1022)^(1/120)-1)*100</f>
        <v>-3.0855598283696661E-2</v>
      </c>
      <c r="D902" cm="1">
        <f t="array" ref="D902">(PRODUCT(1+sp500_monthly!D903:D1022)^(1/120)-1)*100</f>
        <v>0.56900332731790737</v>
      </c>
      <c r="E902" cm="1">
        <f t="array" ref="E902">(PRODUCT(1+sp500_monthly!E903:E1022)^(1/120)-1)*100</f>
        <v>0.42258937220640558</v>
      </c>
      <c r="F902" cm="1">
        <f t="array" ref="F902">(PRODUCT(1+sp500_monthly!K903:K1022)^(1/120)-1)*100</f>
        <v>-4.0494194532347816E-2</v>
      </c>
      <c r="G902" cm="1">
        <f t="array" ref="G902">(PRODUCT(1+sp500_monthly!L903:L1022)^(1/120)-1)</f>
        <v>0.17115787392125159</v>
      </c>
      <c r="H902" cm="1">
        <f t="array" ref="H902">(PRODUCT(1+sp500_monthly!N903:N1022)^(1/120)-1)*100</f>
        <v>-6.234942603677851E-2</v>
      </c>
      <c r="I902" cm="1">
        <f t="array" ref="I902">(PRODUCT(1+sp500_monthly!O903:O1022)^(1/120)-1)*100</f>
        <v>-1.4908590832762858E-2</v>
      </c>
    </row>
    <row r="903" spans="1:9" x14ac:dyDescent="0.35">
      <c r="A903" s="1">
        <v>40602</v>
      </c>
      <c r="B903" cm="1">
        <f t="array" ref="B903">(PRODUCT(1+sp500_monthly!B904:B1023)^(1/120)-1)*100</f>
        <v>0.12478773574757795</v>
      </c>
      <c r="C903" cm="1">
        <f t="array" ref="C903">(PRODUCT(1+sp500_monthly!C904:C1023)^(1/120)-1)*100</f>
        <v>-3.8347835243845996E-2</v>
      </c>
      <c r="D903" cm="1">
        <f t="array" ref="D903">(PRODUCT(1+sp500_monthly!D904:D1023)^(1/120)-1)*100</f>
        <v>0.54358145653736756</v>
      </c>
      <c r="E903" cm="1">
        <f t="array" ref="E903">(PRODUCT(1+sp500_monthly!E904:E1023)^(1/120)-1)*100</f>
        <v>0.39722449718135877</v>
      </c>
      <c r="F903" cm="1">
        <f t="array" ref="F903">(PRODUCT(1+sp500_monthly!K904:K1023)^(1/120)-1)*100</f>
        <v>-5.0204167911493958E-2</v>
      </c>
      <c r="G903" cm="1">
        <f t="array" ref="G903">(PRODUCT(1+sp500_monthly!L904:L1023)^(1/120)-1)</f>
        <v>0.16704816843931058</v>
      </c>
      <c r="H903" cm="1">
        <f t="array" ref="H903">(PRODUCT(1+sp500_monthly!N904:N1023)^(1/120)-1)*100</f>
        <v>-6.7600380388921355E-2</v>
      </c>
      <c r="I903" cm="1">
        <f t="array" ref="I903">(PRODUCT(1+sp500_monthly!O904:O1023)^(1/120)-1)*100</f>
        <v>-1.7251742623758393E-2</v>
      </c>
    </row>
    <row r="904" spans="1:9" x14ac:dyDescent="0.35">
      <c r="A904" s="1">
        <v>40633</v>
      </c>
      <c r="B904" cm="1">
        <f t="array" ref="B904">(PRODUCT(1+sp500_monthly!B905:B1024)^(1/120)-1)*100</f>
        <v>0.2311000451218348</v>
      </c>
      <c r="C904" cm="1">
        <f t="array" ref="C904">(PRODUCT(1+sp500_monthly!C905:C1024)^(1/120)-1)*100</f>
        <v>6.7048649150946993E-2</v>
      </c>
      <c r="D904" cm="1">
        <f t="array" ref="D904">(PRODUCT(1+sp500_monthly!D905:D1024)^(1/120)-1)*100</f>
        <v>0.615720227407901</v>
      </c>
      <c r="E904" cm="1">
        <f t="array" ref="E904">(PRODUCT(1+sp500_monthly!E905:E1024)^(1/120)-1)*100</f>
        <v>0.46927148224551463</v>
      </c>
      <c r="F904" cm="1">
        <f t="array" ref="F904">(PRODUCT(1+sp500_monthly!K905:K1024)^(1/120)-1)*100</f>
        <v>5.6706327416478075E-2</v>
      </c>
      <c r="G904" cm="1">
        <f t="array" ref="G904">(PRODUCT(1+sp500_monthly!L905:L1024)^(1/120)-1)</f>
        <v>0.16401649265604146</v>
      </c>
      <c r="H904" cm="1">
        <f t="array" ref="H904">(PRODUCT(1+sp500_monthly!N905:N1024)^(1/120)-1)*100</f>
        <v>3.7729017114496166E-2</v>
      </c>
      <c r="I904" cm="1">
        <f t="array" ref="I904">(PRODUCT(1+sp500_monthly!O905:O1024)^(1/120)-1)*100</f>
        <v>-2.1106677012705521E-2</v>
      </c>
    </row>
    <row r="905" spans="1:9" x14ac:dyDescent="0.35">
      <c r="A905" s="1">
        <v>40662</v>
      </c>
      <c r="B905" cm="1">
        <f t="array" ref="B905">(PRODUCT(1+sp500_monthly!B906:B1025)^(1/120)-1)*100</f>
        <v>0.28661885000831333</v>
      </c>
      <c r="C905" cm="1">
        <f t="array" ref="C905">(PRODUCT(1+sp500_monthly!C906:C1025)^(1/120)-1)*100</f>
        <v>0.12201702847043361</v>
      </c>
      <c r="D905" cm="1">
        <f t="array" ref="D905">(PRODUCT(1+sp500_monthly!D906:D1025)^(1/120)-1)*100</f>
        <v>0.6661139486494605</v>
      </c>
      <c r="E905" cm="1">
        <f t="array" ref="E905">(PRODUCT(1+sp500_monthly!E906:E1025)^(1/120)-1)*100</f>
        <v>0.51932962179550568</v>
      </c>
      <c r="F905" cm="1">
        <f t="array" ref="F905">(PRODUCT(1+sp500_monthly!K906:K1025)^(1/120)-1)*100</f>
        <v>0.11117809177447757</v>
      </c>
      <c r="G905" cm="1">
        <f t="array" ref="G905">(PRODUCT(1+sp500_monthly!L906:L1025)^(1/120)-1)</f>
        <v>0.16071627961870338</v>
      </c>
      <c r="H905" cm="1">
        <f t="array" ref="H905">(PRODUCT(1+sp500_monthly!N906:N1025)^(1/120)-1)*100</f>
        <v>8.9310395437358636E-2</v>
      </c>
      <c r="I905" cm="1">
        <f t="array" ref="I905">(PRODUCT(1+sp500_monthly!O906:O1025)^(1/120)-1)*100</f>
        <v>-2.8341055065772558E-2</v>
      </c>
    </row>
    <row r="906" spans="1:9" x14ac:dyDescent="0.35">
      <c r="A906" s="1">
        <v>40694</v>
      </c>
      <c r="B906" cm="1">
        <f t="array" ref="B906">(PRODUCT(1+sp500_monthly!B907:B1026)^(1/120)-1)*100</f>
        <v>0.24824294736598418</v>
      </c>
      <c r="C906" cm="1">
        <f t="array" ref="C906">(PRODUCT(1+sp500_monthly!C907:C1026)^(1/120)-1)*100</f>
        <v>8.3478804879288937E-2</v>
      </c>
      <c r="D906" cm="1">
        <f t="array" ref="D906">(PRODUCT(1+sp500_monthly!D907:D1026)^(1/120)-1)*100</f>
        <v>0.62402740176754623</v>
      </c>
      <c r="E906" cm="1">
        <f t="array" ref="E906">(PRODUCT(1+sp500_monthly!E907:E1026)^(1/120)-1)*100</f>
        <v>0.47719889809263449</v>
      </c>
      <c r="F906" cm="1">
        <f t="array" ref="F906">(PRODUCT(1+sp500_monthly!K907:K1026)^(1/120)-1)*100</f>
        <v>7.2884455307642426E-2</v>
      </c>
      <c r="G906" cm="1">
        <f t="array" ref="G906">(PRODUCT(1+sp500_monthly!L907:L1026)^(1/120)-1)</f>
        <v>0.15753541091273116</v>
      </c>
      <c r="H906" cm="1">
        <f t="array" ref="H906">(PRODUCT(1+sp500_monthly!N907:N1026)^(1/120)-1)*100</f>
        <v>4.8524602344768297E-2</v>
      </c>
      <c r="I906" cm="1">
        <f t="array" ref="I906">(PRODUCT(1+sp500_monthly!O907:O1026)^(1/120)-1)*100</f>
        <v>-3.4067103324086911E-2</v>
      </c>
    </row>
    <row r="907" spans="1:9" x14ac:dyDescent="0.35">
      <c r="A907" s="1">
        <v>40724</v>
      </c>
      <c r="B907" cm="1">
        <f t="array" ref="B907">(PRODUCT(1+sp500_monthly!B908:B1027)^(1/120)-1)*100</f>
        <v>0.23302887240719272</v>
      </c>
      <c r="C907" cm="1">
        <f t="array" ref="C907">(PRODUCT(1+sp500_monthly!C908:C1027)^(1/120)-1)*100</f>
        <v>6.7649529928348606E-2</v>
      </c>
      <c r="D907" cm="1">
        <f t="array" ref="D907">(PRODUCT(1+sp500_monthly!D908:D1027)^(1/120)-1)*100</f>
        <v>0.60464554478689703</v>
      </c>
      <c r="E907" cm="1">
        <f t="array" ref="E907">(PRODUCT(1+sp500_monthly!E908:E1027)^(1/120)-1)*100</f>
        <v>0.45771756692960519</v>
      </c>
      <c r="F907" cm="1">
        <f t="array" ref="F907">(PRODUCT(1+sp500_monthly!K908:K1027)^(1/120)-1)*100</f>
        <v>5.7315946014413477E-2</v>
      </c>
      <c r="G907" cm="1">
        <f t="array" ref="G907">(PRODUCT(1+sp500_monthly!L908:L1027)^(1/120)-1)</f>
        <v>0.15486043512910386</v>
      </c>
      <c r="H907" cm="1">
        <f t="array" ref="H907">(PRODUCT(1+sp500_monthly!N908:N1027)^(1/120)-1)*100</f>
        <v>3.4935052919049525E-2</v>
      </c>
      <c r="I907" cm="1">
        <f t="array" ref="I907">(PRODUCT(1+sp500_monthly!O908:O1027)^(1/120)-1)*100</f>
        <v>-3.5135471177227817E-2</v>
      </c>
    </row>
    <row r="908" spans="1:9" x14ac:dyDescent="0.35">
      <c r="A908" s="1">
        <v>40753</v>
      </c>
      <c r="B908" cm="1">
        <f t="array" ref="B908">(PRODUCT(1+sp500_monthly!B909:B1028)^(1/120)-1)*100</f>
        <v>0.23981725664934395</v>
      </c>
      <c r="C908" cm="1">
        <f t="array" ref="C908">(PRODUCT(1+sp500_monthly!C909:C1028)^(1/120)-1)*100</f>
        <v>7.3681788385671076E-2</v>
      </c>
      <c r="D908" cm="1">
        <f t="array" ref="D908">(PRODUCT(1+sp500_monthly!D909:D1028)^(1/120)-1)*100</f>
        <v>0.60183408349980816</v>
      </c>
      <c r="E908" cm="1">
        <f t="array" ref="E908">(PRODUCT(1+sp500_monthly!E909:E1028)^(1/120)-1)*100</f>
        <v>0.45438941605964178</v>
      </c>
      <c r="F908" cm="1">
        <f t="array" ref="F908">(PRODUCT(1+sp500_monthly!K909:K1028)^(1/120)-1)*100</f>
        <v>6.3065384794547263E-2</v>
      </c>
      <c r="G908" cm="1">
        <f t="array" ref="G908">(PRODUCT(1+sp500_monthly!L909:L1028)^(1/120)-1)</f>
        <v>0.15248713596101471</v>
      </c>
      <c r="H908" cm="1">
        <f t="array" ref="H908">(PRODUCT(1+sp500_monthly!N909:N1028)^(1/120)-1)*100</f>
        <v>4.358875704977283E-2</v>
      </c>
      <c r="I908" cm="1">
        <f t="array" ref="I908">(PRODUCT(1+sp500_monthly!O909:O1028)^(1/120)-1)*100</f>
        <v>-3.5587448979368386E-2</v>
      </c>
    </row>
    <row r="909" spans="1:9" x14ac:dyDescent="0.35">
      <c r="A909" s="1">
        <v>40786</v>
      </c>
      <c r="B909" cm="1">
        <f t="array" ref="B909">(PRODUCT(1+sp500_monthly!B910:B1029)^(1/120)-1)*100</f>
        <v>0.23090755432275678</v>
      </c>
      <c r="C909" cm="1">
        <f t="array" ref="C909">(PRODUCT(1+sp500_monthly!C910:C1029)^(1/120)-1)*100</f>
        <v>6.4588524237207956E-2</v>
      </c>
      <c r="D909" cm="1">
        <f t="array" ref="D909">(PRODUCT(1+sp500_monthly!D910:D1029)^(1/120)-1)*100</f>
        <v>0.57941082519041842</v>
      </c>
      <c r="E909" cm="1">
        <f t="array" ref="E909">(PRODUCT(1+sp500_monthly!E910:E1029)^(1/120)-1)*100</f>
        <v>0.43194136881696821</v>
      </c>
      <c r="F909" cm="1">
        <f t="array" ref="F909">(PRODUCT(1+sp500_monthly!K910:K1029)^(1/120)-1)*100</f>
        <v>5.3995509948978615E-2</v>
      </c>
      <c r="G909" cm="1">
        <f t="array" ref="G909">(PRODUCT(1+sp500_monthly!L910:L1029)^(1/120)-1)</f>
        <v>0.14997012652142128</v>
      </c>
      <c r="H909" cm="1">
        <f t="array" ref="H909">(PRODUCT(1+sp500_monthly!N910:N1029)^(1/120)-1)*100</f>
        <v>3.1106752405540838E-2</v>
      </c>
      <c r="I909" cm="1">
        <f t="array" ref="I909">(PRODUCT(1+sp500_monthly!O910:O1029)^(1/120)-1)*100</f>
        <v>-4.1669919144338152E-2</v>
      </c>
    </row>
    <row r="910" spans="1:9" x14ac:dyDescent="0.35">
      <c r="A910" s="1">
        <v>40816</v>
      </c>
      <c r="B910" cm="1">
        <f t="array" ref="B910">(PRODUCT(1+sp500_monthly!B911:B1030)^(1/120)-1)*100</f>
        <v>0.23899496648329688</v>
      </c>
      <c r="C910" cm="1">
        <f t="array" ref="C910">(PRODUCT(1+sp500_monthly!C911:C1030)^(1/120)-1)*100</f>
        <v>7.1867717894402716E-2</v>
      </c>
      <c r="D910" cm="1">
        <f t="array" ref="D910">(PRODUCT(1+sp500_monthly!D911:D1030)^(1/120)-1)*100</f>
        <v>0.56186533539672734</v>
      </c>
      <c r="E910" cm="1">
        <f t="array" ref="E910">(PRODUCT(1+sp500_monthly!E911:E1030)^(1/120)-1)*100</f>
        <v>0.41413727687953372</v>
      </c>
      <c r="F910" cm="1">
        <f t="array" ref="F910">(PRODUCT(1+sp500_monthly!K911:K1030)^(1/120)-1)*100</f>
        <v>6.0489063176438762E-2</v>
      </c>
      <c r="G910" cm="1">
        <f t="array" ref="G910">(PRODUCT(1+sp500_monthly!L911:L1030)^(1/120)-1)</f>
        <v>0.14748048741910602</v>
      </c>
      <c r="H910" cm="1">
        <f t="array" ref="H910">(PRODUCT(1+sp500_monthly!N911:N1030)^(1/120)-1)*100</f>
        <v>3.6552468199202437E-2</v>
      </c>
      <c r="I910" cm="1">
        <f t="array" ref="I910">(PRODUCT(1+sp500_monthly!O911:O1030)^(1/120)-1)*100</f>
        <v>-4.6788243683504316E-2</v>
      </c>
    </row>
    <row r="911" spans="1:9" x14ac:dyDescent="0.35">
      <c r="A911" s="1">
        <v>40847</v>
      </c>
      <c r="B911" cm="1">
        <f t="array" ref="B911">(PRODUCT(1+sp500_monthly!B912:B1031)^(1/120)-1)*100</f>
        <v>0.24814005154811802</v>
      </c>
      <c r="C911" cm="1">
        <f t="array" ref="C911">(PRODUCT(1+sp500_monthly!C912:C1031)^(1/120)-1)*100</f>
        <v>8.0549261663498406E-2</v>
      </c>
      <c r="D911" cm="1">
        <f t="array" ref="D911">(PRODUCT(1+sp500_monthly!D912:D1031)^(1/120)-1)*100</f>
        <v>0.59359303094017601</v>
      </c>
      <c r="E911" cm="1">
        <f t="array" ref="E911">(PRODUCT(1+sp500_monthly!E912:E1031)^(1/120)-1)*100</f>
        <v>0.44529439645315527</v>
      </c>
      <c r="F911" cm="1">
        <f t="array" ref="F911">(PRODUCT(1+sp500_monthly!K912:K1031)^(1/120)-1)*100</f>
        <v>6.948580395509385E-2</v>
      </c>
      <c r="G911" cm="1">
        <f t="array" ref="G911">(PRODUCT(1+sp500_monthly!L912:L1031)^(1/120)-1)</f>
        <v>0.14512235443320476</v>
      </c>
      <c r="H911" cm="1">
        <f t="array" ref="H911">(PRODUCT(1+sp500_monthly!N912:N1031)^(1/120)-1)*100</f>
        <v>4.7153873897776144E-2</v>
      </c>
      <c r="I911" cm="1">
        <f t="array" ref="I911">(PRODUCT(1+sp500_monthly!O912:O1031)^(1/120)-1)*100</f>
        <v>-4.7643806478048223E-2</v>
      </c>
    </row>
    <row r="912" spans="1:9" x14ac:dyDescent="0.35">
      <c r="A912" s="1">
        <v>40877</v>
      </c>
      <c r="B912" cm="1">
        <f t="array" ref="B912">(PRODUCT(1+sp500_monthly!B913:B1032)^(1/120)-1)*100</f>
        <v>0.3184384565108056</v>
      </c>
      <c r="C912" cm="1">
        <f t="array" ref="C912">(PRODUCT(1+sp500_monthly!C913:C1032)^(1/120)-1)*100</f>
        <v>0.15044477634293951</v>
      </c>
      <c r="D912" cm="1">
        <f t="array" ref="D912">(PRODUCT(1+sp500_monthly!D913:D1032)^(1/120)-1)*100</f>
        <v>0.66478292133638206</v>
      </c>
      <c r="E912" cm="1">
        <f t="array" ref="E912">(PRODUCT(1+sp500_monthly!E913:E1032)^(1/120)-1)*100</f>
        <v>0.51629439780351838</v>
      </c>
      <c r="F912" cm="1">
        <f t="array" ref="F912">(PRODUCT(1+sp500_monthly!K913:K1032)^(1/120)-1)*100</f>
        <v>0.13986722530781037</v>
      </c>
      <c r="G912" cm="1">
        <f t="array" ref="G912">(PRODUCT(1+sp500_monthly!L913:L1032)^(1/120)-1)</f>
        <v>0.14322635442596021</v>
      </c>
      <c r="H912" cm="1">
        <f t="array" ref="H912">(PRODUCT(1+sp500_monthly!N913:N1032)^(1/120)-1)*100</f>
        <v>0.11440268969364897</v>
      </c>
      <c r="I912" cm="1">
        <f t="array" ref="I912">(PRODUCT(1+sp500_monthly!O913:O1032)^(1/120)-1)*100</f>
        <v>-5.2378040123546299E-2</v>
      </c>
    </row>
    <row r="913" spans="1:9" x14ac:dyDescent="0.35">
      <c r="A913" s="1">
        <v>40907</v>
      </c>
      <c r="B913" cm="1">
        <f t="array" ref="B913">(PRODUCT(1+sp500_monthly!B914:B1033)^(1/120)-1)*100</f>
        <v>0.25277813926267712</v>
      </c>
      <c r="C913" cm="1">
        <f t="array" ref="C913">(PRODUCT(1+sp500_monthly!C914:C1033)^(1/120)-1)*100</f>
        <v>8.3710637943235078E-2</v>
      </c>
      <c r="D913" cm="1">
        <f t="array" ref="D913">(PRODUCT(1+sp500_monthly!D914:D1033)^(1/120)-1)*100</f>
        <v>0.57759620190831473</v>
      </c>
      <c r="E913" cm="1">
        <f t="array" ref="E913">(PRODUCT(1+sp500_monthly!E914:E1033)^(1/120)-1)*100</f>
        <v>0.42841399636728283</v>
      </c>
      <c r="F913" cm="1">
        <f t="array" ref="F913">(PRODUCT(1+sp500_monthly!K914:K1033)^(1/120)-1)*100</f>
        <v>7.5167564569245116E-2</v>
      </c>
      <c r="G913" cm="1">
        <f t="array" ref="G913">(PRODUCT(1+sp500_monthly!L914:L1033)^(1/120)-1)</f>
        <v>0.141731575635476</v>
      </c>
      <c r="H913" cm="1">
        <f t="array" ref="H913">(PRODUCT(1+sp500_monthly!N914:N1033)^(1/120)-1)*100</f>
        <v>4.6867151114704519E-2</v>
      </c>
      <c r="I913" cm="1">
        <f t="array" ref="I913">(PRODUCT(1+sp500_monthly!O914:O1033)^(1/120)-1)*100</f>
        <v>-5.5799457818572762E-2</v>
      </c>
    </row>
    <row r="914" spans="1:9" x14ac:dyDescent="0.35">
      <c r="A914" s="1">
        <v>40939</v>
      </c>
      <c r="B914" cm="1">
        <f t="array" ref="B914">(PRODUCT(1+sp500_monthly!B915:B1034)^(1/120)-1)*100</f>
        <v>0.25308938948465087</v>
      </c>
      <c r="C914" cm="1">
        <f t="array" ref="C914">(PRODUCT(1+sp500_monthly!C915:C1034)^(1/120)-1)*100</f>
        <v>8.3515316864057887E-2</v>
      </c>
      <c r="D914" cm="1">
        <f t="array" ref="D914">(PRODUCT(1+sp500_monthly!D915:D1034)^(1/120)-1)*100</f>
        <v>0.55332501966600667</v>
      </c>
      <c r="E914" cm="1">
        <f t="array" ref="E914">(PRODUCT(1+sp500_monthly!E915:E1034)^(1/120)-1)*100</f>
        <v>0.40355148587190026</v>
      </c>
      <c r="F914" cm="1">
        <f t="array" ref="F914">(PRODUCT(1+sp500_monthly!K915:K1034)^(1/120)-1)*100</f>
        <v>7.5960945685737968E-2</v>
      </c>
      <c r="G914" cm="1">
        <f t="array" ref="G914">(PRODUCT(1+sp500_monthly!L915:L1034)^(1/120)-1)</f>
        <v>0.14040259451744941</v>
      </c>
      <c r="H914" cm="1">
        <f t="array" ref="H914">(PRODUCT(1+sp500_monthly!N915:N1034)^(1/120)-1)*100</f>
        <v>4.6509766551539045E-2</v>
      </c>
      <c r="I914" cm="1">
        <f t="array" ref="I914">(PRODUCT(1+sp500_monthly!O915:O1034)^(1/120)-1)*100</f>
        <v>-5.7715116096801466E-2</v>
      </c>
    </row>
    <row r="915" spans="1:9" x14ac:dyDescent="0.35">
      <c r="A915" s="1">
        <v>40968</v>
      </c>
      <c r="B915" cm="1">
        <f t="array" ref="B915">(PRODUCT(1+sp500_monthly!B916:B1035)^(1/120)-1)*100</f>
        <v>0.30209222032095973</v>
      </c>
      <c r="C915" cm="1">
        <f t="array" ref="C915">(PRODUCT(1+sp500_monthly!C916:C1035)^(1/120)-1)*100</f>
        <v>0.13231869852943223</v>
      </c>
      <c r="D915" cm="1">
        <f t="array" ref="D915">(PRODUCT(1+sp500_monthly!D916:D1035)^(1/120)-1)*100</f>
        <v>0.60143051344196952</v>
      </c>
      <c r="E915" cm="1">
        <f t="array" ref="E915">(PRODUCT(1+sp500_monthly!E916:E1035)^(1/120)-1)*100</f>
        <v>0.45158216634761938</v>
      </c>
      <c r="F915" cm="1">
        <f t="array" ref="F915">(PRODUCT(1+sp500_monthly!K916:K1035)^(1/120)-1)*100</f>
        <v>0.12464016563888958</v>
      </c>
      <c r="G915" cm="1">
        <f t="array" ref="G915">(PRODUCT(1+sp500_monthly!L916:L1035)^(1/120)-1)</f>
        <v>0.13915806600610514</v>
      </c>
      <c r="H915" cm="1">
        <f t="array" ref="H915">(PRODUCT(1+sp500_monthly!N916:N1035)^(1/120)-1)*100</f>
        <v>9.4551784772400893E-2</v>
      </c>
      <c r="I915" cm="1">
        <f t="array" ref="I915">(PRODUCT(1+sp500_monthly!O916:O1035)^(1/120)-1)*100</f>
        <v>-5.9738800105191281E-2</v>
      </c>
    </row>
    <row r="916" spans="1:9" x14ac:dyDescent="0.35">
      <c r="A916" s="1">
        <v>40998</v>
      </c>
      <c r="B916" cm="1">
        <f t="array" ref="B916">(PRODUCT(1+sp500_monthly!B917:B1036)^(1/120)-1)*100</f>
        <v>0.35401308982312418</v>
      </c>
      <c r="C916" cm="1">
        <f t="array" ref="C916">(PRODUCT(1+sp500_monthly!C917:C1036)^(1/120)-1)*100</f>
        <v>0.18334235115151643</v>
      </c>
      <c r="D916" cm="1">
        <f t="array" ref="D916">(PRODUCT(1+sp500_monthly!D917:D1036)^(1/120)-1)*100</f>
        <v>0.64542441990713684</v>
      </c>
      <c r="E916" cm="1">
        <f t="array" ref="E916">(PRODUCT(1+sp500_monthly!E917:E1036)^(1/120)-1)*100</f>
        <v>0.49503626213287522</v>
      </c>
      <c r="F916" cm="1">
        <f t="array" ref="F916">(PRODUCT(1+sp500_monthly!K917:K1036)^(1/120)-1)*100</f>
        <v>0.17535908262722444</v>
      </c>
      <c r="G916" cm="1">
        <f t="array" ref="G916">(PRODUCT(1+sp500_monthly!L917:L1036)^(1/120)-1)</f>
        <v>0.13799844661336569</v>
      </c>
      <c r="H916" cm="1">
        <f t="array" ref="H916">(PRODUCT(1+sp500_monthly!N917:N1036)^(1/120)-1)*100</f>
        <v>0.14599105094124099</v>
      </c>
      <c r="I916" cm="1">
        <f t="array" ref="I916">(PRODUCT(1+sp500_monthly!O917:O1036)^(1/120)-1)*100</f>
        <v>-6.1194174256606892E-2</v>
      </c>
    </row>
    <row r="917" spans="1:9" x14ac:dyDescent="0.35">
      <c r="A917" s="1">
        <v>41029</v>
      </c>
      <c r="B917" cm="1">
        <f t="array" ref="B917">(PRODUCT(1+sp500_monthly!B918:B1037)^(1/120)-1)*100</f>
        <v>0.35021149604064217</v>
      </c>
      <c r="C917" cm="1">
        <f t="array" ref="C917">(PRODUCT(1+sp500_monthly!C918:C1037)^(1/120)-1)*100</f>
        <v>0.17897590789579532</v>
      </c>
      <c r="D917" cm="1">
        <f t="array" ref="D917">(PRODUCT(1+sp500_monthly!D918:D1037)^(1/120)-1)*100</f>
        <v>0.60993181313599987</v>
      </c>
      <c r="E917" cm="1">
        <f t="array" ref="E917">(PRODUCT(1+sp500_monthly!E918:E1037)^(1/120)-1)*100</f>
        <v>0.45896482196587929</v>
      </c>
      <c r="F917" cm="1">
        <f t="array" ref="F917">(PRODUCT(1+sp500_monthly!K918:K1037)^(1/120)-1)*100</f>
        <v>0.17099400361044736</v>
      </c>
      <c r="G917" cm="1">
        <f t="array" ref="G917">(PRODUCT(1+sp500_monthly!L918:L1037)^(1/120)-1)</f>
        <v>0.13684000766886806</v>
      </c>
      <c r="H917" cm="1">
        <f t="array" ref="H917">(PRODUCT(1+sp500_monthly!N918:N1037)^(1/120)-1)*100</f>
        <v>0.14279299231636511</v>
      </c>
      <c r="I917" cm="1">
        <f t="array" ref="I917">(PRODUCT(1+sp500_monthly!O918:O1037)^(1/120)-1)*100</f>
        <v>-6.1681696994742019E-2</v>
      </c>
    </row>
    <row r="918" spans="1:9" x14ac:dyDescent="0.35">
      <c r="A918" s="1">
        <v>41060</v>
      </c>
      <c r="B918" cm="1">
        <f t="array" ref="B918">(PRODUCT(1+sp500_monthly!B919:B1038)^(1/120)-1)*100</f>
        <v>0.39779595517319688</v>
      </c>
      <c r="C918" cm="1">
        <f t="array" ref="C918">(PRODUCT(1+sp500_monthly!C919:C1038)^(1/120)-1)*100</f>
        <v>0.22620183138299943</v>
      </c>
      <c r="D918" cm="1">
        <f t="array" ref="D918">(PRODUCT(1+sp500_monthly!D919:D1038)^(1/120)-1)*100</f>
        <v>0.6344032990242443</v>
      </c>
      <c r="E918" cm="1">
        <f t="array" ref="E918">(PRODUCT(1+sp500_monthly!E919:E1038)^(1/120)-1)*100</f>
        <v>0.48321641902138168</v>
      </c>
      <c r="F918" cm="1">
        <f t="array" ref="F918">(PRODUCT(1+sp500_monthly!K919:K1038)^(1/120)-1)*100</f>
        <v>0.21763429698746783</v>
      </c>
      <c r="G918" cm="1">
        <f t="array" ref="G918">(PRODUCT(1+sp500_monthly!L919:L1038)^(1/120)-1)</f>
        <v>0.13551672035979245</v>
      </c>
      <c r="H918" cm="1">
        <f t="array" ref="H918">(PRODUCT(1+sp500_monthly!N919:N1038)^(1/120)-1)*100</f>
        <v>0.19262722441950597</v>
      </c>
      <c r="I918" cm="1">
        <f t="array" ref="I918">(PRODUCT(1+sp500_monthly!O919:O1038)^(1/120)-1)*100</f>
        <v>-6.058778907699347E-2</v>
      </c>
    </row>
    <row r="919" spans="1:9" x14ac:dyDescent="0.35">
      <c r="A919" s="1">
        <v>41089</v>
      </c>
      <c r="B919" cm="1">
        <f t="array" ref="B919">(PRODUCT(1+sp500_monthly!B920:B1039)^(1/120)-1)*100</f>
        <v>0.35277643113476032</v>
      </c>
      <c r="C919" cm="1">
        <f t="array" ref="C919">(PRODUCT(1+sp500_monthly!C920:C1039)^(1/120)-1)*100</f>
        <v>0.18028850745581693</v>
      </c>
      <c r="D919" cm="1">
        <f t="array" ref="D919">(PRODUCT(1+sp500_monthly!D920:D1039)^(1/120)-1)*100</f>
        <v>0.58322032948234792</v>
      </c>
      <c r="E919" cm="1">
        <f t="array" ref="E919">(PRODUCT(1+sp500_monthly!E920:E1039)^(1/120)-1)*100</f>
        <v>0.43144605435181393</v>
      </c>
      <c r="F919" cm="1">
        <f t="array" ref="F919">(PRODUCT(1+sp500_monthly!K920:K1039)^(1/120)-1)*100</f>
        <v>0.17122998369858422</v>
      </c>
      <c r="G919" cm="1">
        <f t="array" ref="G919">(PRODUCT(1+sp500_monthly!L920:L1039)^(1/120)-1)</f>
        <v>0.1343715813718156</v>
      </c>
      <c r="H919" cm="1">
        <f t="array" ref="H919">(PRODUCT(1+sp500_monthly!N920:N1039)^(1/120)-1)*100</f>
        <v>0.15035794695941185</v>
      </c>
      <c r="I919" cm="1">
        <f t="array" ref="I919">(PRODUCT(1+sp500_monthly!O920:O1039)^(1/120)-1)*100</f>
        <v>-5.901695972059251E-2</v>
      </c>
    </row>
    <row r="920" spans="1:9" x14ac:dyDescent="0.35">
      <c r="A920" s="1">
        <v>41121</v>
      </c>
      <c r="B920" cm="1">
        <f t="array" ref="B920">(PRODUCT(1+sp500_monthly!B921:B1040)^(1/120)-1)*100</f>
        <v>0.44870151481224418</v>
      </c>
      <c r="C920" cm="1">
        <f t="array" ref="C920">(PRODUCT(1+sp500_monthly!C921:C1040)^(1/120)-1)*100</f>
        <v>0.27591879265993491</v>
      </c>
      <c r="D920" cm="1">
        <f t="array" ref="D920">(PRODUCT(1+sp500_monthly!D921:D1040)^(1/120)-1)*100</f>
        <v>0.6852780790168822</v>
      </c>
      <c r="E920" cm="1">
        <f t="array" ref="E920">(PRODUCT(1+sp500_monthly!E921:E1040)^(1/120)-1)*100</f>
        <v>0.5329606882202631</v>
      </c>
      <c r="F920" cm="1">
        <f t="array" ref="F920">(PRODUCT(1+sp500_monthly!K921:K1040)^(1/120)-1)*100</f>
        <v>0.26645247953815954</v>
      </c>
      <c r="G920" cm="1">
        <f t="array" ref="G920">(PRODUCT(1+sp500_monthly!L921:L1040)^(1/120)-1)</f>
        <v>0.13321683443757926</v>
      </c>
      <c r="H920" cm="1">
        <f t="array" ref="H920">(PRODUCT(1+sp500_monthly!N921:N1040)^(1/120)-1)*100</f>
        <v>0.24724543124725606</v>
      </c>
      <c r="I920" cm="1">
        <f t="array" ref="I920">(PRODUCT(1+sp500_monthly!O921:O1040)^(1/120)-1)*100</f>
        <v>-5.8946587080688229E-2</v>
      </c>
    </row>
    <row r="921" spans="1:9" x14ac:dyDescent="0.35">
      <c r="A921" s="1">
        <v>41152</v>
      </c>
      <c r="B921" cm="1">
        <f t="array" ref="B921">(PRODUCT(1+sp500_monthly!B922:B1041)^(1/120)-1)*100</f>
        <v>0.52501109150970837</v>
      </c>
      <c r="C921" cm="1">
        <f t="array" ref="C921">(PRODUCT(1+sp500_monthly!C922:C1041)^(1/120)-1)*100</f>
        <v>0.35203413649766979</v>
      </c>
      <c r="D921" cm="1">
        <f t="array" ref="D921">(PRODUCT(1+sp500_monthly!D922:D1041)^(1/120)-1)*100</f>
        <v>0.78101599658257914</v>
      </c>
      <c r="E921" cm="1">
        <f t="array" ref="E921">(PRODUCT(1+sp500_monthly!E922:E1041)^(1/120)-1)*100</f>
        <v>0.62861566476042352</v>
      </c>
      <c r="F921" cm="1">
        <f t="array" ref="F921">(PRODUCT(1+sp500_monthly!K922:K1041)^(1/120)-1)*100</f>
        <v>0.34570189907041637</v>
      </c>
      <c r="G921" cm="1">
        <f t="array" ref="G921">(PRODUCT(1+sp500_monthly!L922:L1041)^(1/120)-1)</f>
        <v>0.13189776451980162</v>
      </c>
      <c r="H921" cm="1">
        <f t="array" ref="H921">(PRODUCT(1+sp500_monthly!N922:N1041)^(1/120)-1)*100</f>
        <v>0.32502046710507493</v>
      </c>
      <c r="I921" cm="1">
        <f t="array" ref="I921">(PRODUCT(1+sp500_monthly!O922:O1041)^(1/120)-1)*100</f>
        <v>-5.858259221664941E-2</v>
      </c>
    </row>
    <row r="922" spans="1:9" x14ac:dyDescent="0.35">
      <c r="A922" s="1">
        <v>41180</v>
      </c>
      <c r="B922" cm="1">
        <f t="array" ref="B922">(PRODUCT(1+sp500_monthly!B923:B1042)^(1/120)-1)*100</f>
        <v>0.53795705296009189</v>
      </c>
      <c r="C922" cm="1">
        <f t="array" ref="C922">(PRODUCT(1+sp500_monthly!C923:C1042)^(1/120)-1)*100</f>
        <v>0.36403977962951029</v>
      </c>
      <c r="D922" cm="1">
        <f t="array" ref="D922">(PRODUCT(1+sp500_monthly!D923:D1042)^(1/120)-1)*100</f>
        <v>0.79626768133871373</v>
      </c>
      <c r="E922" cm="1">
        <f t="array" ref="E922">(PRODUCT(1+sp500_monthly!E923:E1042)^(1/120)-1)*100</f>
        <v>0.64320768556627161</v>
      </c>
      <c r="F922" cm="1">
        <f t="array" ref="F922">(PRODUCT(1+sp500_monthly!K923:K1042)^(1/120)-1)*100</f>
        <v>0.35799593784788808</v>
      </c>
      <c r="G922" cm="1">
        <f t="array" ref="G922">(PRODUCT(1+sp500_monthly!L923:L1042)^(1/120)-1)</f>
        <v>0.13075627515437449</v>
      </c>
      <c r="H922" cm="1">
        <f t="array" ref="H922">(PRODUCT(1+sp500_monthly!N923:N1042)^(1/120)-1)*100</f>
        <v>0.33541654432942547</v>
      </c>
      <c r="I922" cm="1">
        <f t="array" ref="I922">(PRODUCT(1+sp500_monthly!O923:O1042)^(1/120)-1)*100</f>
        <v>-6.2178600258144812E-2</v>
      </c>
    </row>
    <row r="923" spans="1:9" x14ac:dyDescent="0.35">
      <c r="A923" s="1">
        <v>41213</v>
      </c>
      <c r="B923" cm="1">
        <f t="array" ref="B923">(PRODUCT(1+sp500_monthly!B924:B1043)^(1/120)-1)*100</f>
        <v>0.65547181562577439</v>
      </c>
      <c r="C923" cm="1">
        <f t="array" ref="C923">(PRODUCT(1+sp500_monthly!C924:C1043)^(1/120)-1)*100</f>
        <v>0.48143478953319718</v>
      </c>
      <c r="D923" cm="1">
        <f t="array" ref="D923">(PRODUCT(1+sp500_monthly!D924:D1043)^(1/120)-1)*100</f>
        <v>0.91918143118487894</v>
      </c>
      <c r="E923" cm="1">
        <f t="array" ref="E923">(PRODUCT(1+sp500_monthly!E924:E1043)^(1/120)-1)*100</f>
        <v>0.76573716020700289</v>
      </c>
      <c r="F923" cm="1">
        <f t="array" ref="F923">(PRODUCT(1+sp500_monthly!K924:K1043)^(1/120)-1)*100</f>
        <v>0.47556338119627561</v>
      </c>
      <c r="G923" cm="1">
        <f t="array" ref="G923">(PRODUCT(1+sp500_monthly!L924:L1043)^(1/120)-1)</f>
        <v>0.12961593695119178</v>
      </c>
      <c r="H923" cm="1">
        <f t="array" ref="H923">(PRODUCT(1+sp500_monthly!N924:N1043)^(1/120)-1)*100</f>
        <v>0.4501001992225806</v>
      </c>
      <c r="I923" cm="1">
        <f t="array" ref="I923">(PRODUCT(1+sp500_monthly!O924:O1043)^(1/120)-1)*100</f>
        <v>-6.5841483802442369E-2</v>
      </c>
    </row>
    <row r="924" spans="1:9" x14ac:dyDescent="0.35">
      <c r="A924" s="1">
        <v>41243</v>
      </c>
      <c r="B924" cm="1">
        <f t="array" ref="B924">(PRODUCT(1+sp500_monthly!B925:B1044)^(1/120)-1)*100</f>
        <v>0.5692055063349688</v>
      </c>
      <c r="C924" cm="1">
        <f t="array" ref="C924">(PRODUCT(1+sp500_monthly!C925:C1044)^(1/120)-1)*100</f>
        <v>0.3952832879927648</v>
      </c>
      <c r="D924" cm="1">
        <f t="array" ref="D924">(PRODUCT(1+sp500_monthly!D925:D1044)^(1/120)-1)*100</f>
        <v>0.85350188013999517</v>
      </c>
      <c r="E924" cm="1">
        <f t="array" ref="E924">(PRODUCT(1+sp500_monthly!E925:E1044)^(1/120)-1)*100</f>
        <v>0.70005327441859944</v>
      </c>
      <c r="F924" cm="1">
        <f t="array" ref="F924">(PRODUCT(1+sp500_monthly!K925:K1044)^(1/120)-1)*100</f>
        <v>0.38945084868262647</v>
      </c>
      <c r="G924" cm="1">
        <f t="array" ref="G924">(PRODUCT(1+sp500_monthly!L925:L1044)^(1/120)-1)</f>
        <v>0.12847674874933701</v>
      </c>
      <c r="H924" cm="1">
        <f t="array" ref="H924">(PRODUCT(1+sp500_monthly!N925:N1044)^(1/120)-1)*100</f>
        <v>0.36360575515419491</v>
      </c>
      <c r="I924" cm="1">
        <f t="array" ref="I924">(PRODUCT(1+sp500_monthly!O925:O1044)^(1/120)-1)*100</f>
        <v>-6.7325699080933443E-2</v>
      </c>
    </row>
    <row r="925" spans="1:9" x14ac:dyDescent="0.35">
      <c r="A925" s="1">
        <v>41274</v>
      </c>
      <c r="B925" cm="1">
        <f t="array" ref="B925">(PRODUCT(1+sp500_monthly!B926:B1045)^(1/120)-1)*100</f>
        <v>0.52560887110395527</v>
      </c>
      <c r="C925" cm="1">
        <f t="array" ref="C925">(PRODUCT(1+sp500_monthly!C926:C1045)^(1/120)-1)*100</f>
        <v>0.35048732541589356</v>
      </c>
      <c r="D925" cm="1">
        <f t="array" ref="D925">(PRODUCT(1+sp500_monthly!D926:D1045)^(1/120)-1)*100</f>
        <v>0.77701813195856229</v>
      </c>
      <c r="E925" cm="1">
        <f t="array" ref="E925">(PRODUCT(1+sp500_monthly!E926:E1045)^(1/120)-1)*100</f>
        <v>0.62267170103824654</v>
      </c>
      <c r="F925" cm="1">
        <f t="array" ref="F925">(PRODUCT(1+sp500_monthly!K926:K1045)^(1/120)-1)*100</f>
        <v>0.3454079695762724</v>
      </c>
      <c r="G925" cm="1">
        <f t="array" ref="G925">(PRODUCT(1+sp500_monthly!L926:L1045)^(1/120)-1)</f>
        <v>0.12750500013911137</v>
      </c>
      <c r="H925" cm="1">
        <f t="array" ref="H925">(PRODUCT(1+sp500_monthly!N926:N1045)^(1/120)-1)*100</f>
        <v>0.32288636225494827</v>
      </c>
      <c r="I925" cm="1">
        <f t="array" ref="I925">(PRODUCT(1+sp500_monthly!O926:O1045)^(1/120)-1)*100</f>
        <v>-6.5463827175271661E-2</v>
      </c>
    </row>
    <row r="926" spans="1:9" x14ac:dyDescent="0.35">
      <c r="A926" s="1">
        <v>41305</v>
      </c>
      <c r="B926" cm="1">
        <f t="array" ref="B926">(PRODUCT(1+sp500_monthly!B927:B1046)^(1/120)-1)*100</f>
        <v>0.58351803967169324</v>
      </c>
      <c r="C926" cm="1">
        <f t="array" ref="C926">(PRODUCT(1+sp500_monthly!C927:C1046)^(1/120)-1)*100</f>
        <v>0.40758107325624682</v>
      </c>
      <c r="D926" cm="1">
        <f t="array" ref="D926">(PRODUCT(1+sp500_monthly!D927:D1046)^(1/120)-1)*100</f>
        <v>0.84162014907307459</v>
      </c>
      <c r="E926" cm="1">
        <f t="array" ref="E926">(PRODUCT(1+sp500_monthly!E927:E1046)^(1/120)-1)*100</f>
        <v>0.6861173737066073</v>
      </c>
      <c r="F926" cm="1">
        <f t="array" ref="F926">(PRODUCT(1+sp500_monthly!K927:K1046)^(1/120)-1)*100</f>
        <v>0.40335147139016758</v>
      </c>
      <c r="G926" cm="1">
        <f t="array" ref="G926">(PRODUCT(1+sp500_monthly!L927:L1046)^(1/120)-1)</f>
        <v>0.1266182874001176</v>
      </c>
      <c r="H926" cm="1">
        <f t="array" ref="H926">(PRODUCT(1+sp500_monthly!N927:N1046)^(1/120)-1)*100</f>
        <v>0.38216156479227159</v>
      </c>
      <c r="I926" cm="1">
        <f t="array" ref="I926">(PRODUCT(1+sp500_monthly!O927:O1046)^(1/120)-1)*100</f>
        <v>-6.4819899805701464E-2</v>
      </c>
    </row>
    <row r="927" spans="1:9" x14ac:dyDescent="0.35">
      <c r="A927" s="1">
        <v>41333</v>
      </c>
      <c r="B927" cm="1">
        <f t="array" ref="B927">(PRODUCT(1+sp500_monthly!B928:B1047)^(1/120)-1)*100</f>
        <v>0.64889745918321751</v>
      </c>
      <c r="C927" cm="1">
        <f t="array" ref="C927">(PRODUCT(1+sp500_monthly!C928:C1047)^(1/120)-1)*100</f>
        <v>0.47288427945846312</v>
      </c>
      <c r="D927" cm="1">
        <f t="array" ref="D927">(PRODUCT(1+sp500_monthly!D928:D1047)^(1/120)-1)*100</f>
        <v>0.91666865502229022</v>
      </c>
      <c r="E927" cm="1">
        <f t="array" ref="E927">(PRODUCT(1+sp500_monthly!E928:E1047)^(1/120)-1)*100</f>
        <v>0.76114523924160071</v>
      </c>
      <c r="F927" cm="1">
        <f t="array" ref="F927">(PRODUCT(1+sp500_monthly!K928:K1047)^(1/120)-1)*100</f>
        <v>0.46779386521575983</v>
      </c>
      <c r="G927" cm="1">
        <f t="array" ref="G927">(PRODUCT(1+sp500_monthly!L928:L1047)^(1/120)-1)</f>
        <v>0.12572382439857099</v>
      </c>
      <c r="H927" cm="1">
        <f t="array" ref="H927">(PRODUCT(1+sp500_monthly!N928:N1047)^(1/120)-1)*100</f>
        <v>0.44942907927687514</v>
      </c>
      <c r="I927" cm="1">
        <f t="array" ref="I927">(PRODUCT(1+sp500_monthly!O928:O1047)^(1/120)-1)*100</f>
        <v>-6.3643608912000715E-2</v>
      </c>
    </row>
    <row r="928" spans="1:9" x14ac:dyDescent="0.35">
      <c r="A928" s="1">
        <v>41361</v>
      </c>
      <c r="B928" cm="1">
        <f t="array" ref="B928">(PRODUCT(1+sp500_monthly!B929:B1048)^(1/120)-1)*100</f>
        <v>0.67263030906898891</v>
      </c>
      <c r="C928" cm="1">
        <f t="array" ref="C928">(PRODUCT(1+sp500_monthly!C929:C1048)^(1/120)-1)*100</f>
        <v>0.49618933951269817</v>
      </c>
      <c r="D928" cm="1">
        <f t="array" ref="D928">(PRODUCT(1+sp500_monthly!D929:D1048)^(1/120)-1)*100</f>
        <v>0.94566130832312023</v>
      </c>
      <c r="E928" cm="1">
        <f t="array" ref="E928">(PRODUCT(1+sp500_monthly!E929:E1048)^(1/120)-1)*100</f>
        <v>0.78994177830191692</v>
      </c>
      <c r="F928" cm="1">
        <f t="array" ref="F928">(PRODUCT(1+sp500_monthly!K929:K1048)^(1/120)-1)*100</f>
        <v>0.49136512058718385</v>
      </c>
      <c r="G928" cm="1">
        <f t="array" ref="G928">(PRODUCT(1+sp500_monthly!L929:L1048)^(1/120)-1)</f>
        <v>0.12491567890220523</v>
      </c>
      <c r="H928" cm="1">
        <f t="array" ref="H928">(PRODUCT(1+sp500_monthly!N929:N1048)^(1/120)-1)*100</f>
        <v>0.47315363742443939</v>
      </c>
      <c r="I928" cm="1">
        <f t="array" ref="I928">(PRODUCT(1+sp500_monthly!O929:O1048)^(1/120)-1)*100</f>
        <v>-6.435425636918124E-2</v>
      </c>
    </row>
    <row r="929" spans="1:9" x14ac:dyDescent="0.35">
      <c r="A929" s="1">
        <v>41394</v>
      </c>
      <c r="B929" cm="1">
        <f t="array" ref="B929">(PRODUCT(1+sp500_monthly!B930:B1049)^(1/120)-1)*100</f>
        <v>0.6949818612457026</v>
      </c>
      <c r="C929" cm="1">
        <f t="array" ref="C929">(PRODUCT(1+sp500_monthly!C930:C1049)^(1/120)-1)*100</f>
        <v>0.51835474385744096</v>
      </c>
      <c r="D929" cm="1">
        <f t="array" ref="D929">(PRODUCT(1+sp500_monthly!D930:D1049)^(1/120)-1)*100</f>
        <v>0.97675496271305562</v>
      </c>
      <c r="E929" cm="1">
        <f t="array" ref="E929">(PRODUCT(1+sp500_monthly!E930:E1049)^(1/120)-1)*100</f>
        <v>0.8206787887004019</v>
      </c>
      <c r="F929" cm="1">
        <f t="array" ref="F929">(PRODUCT(1+sp500_monthly!K930:K1049)^(1/120)-1)*100</f>
        <v>0.51400527280867081</v>
      </c>
      <c r="G929" cm="1">
        <f t="array" ref="G929">(PRODUCT(1+sp500_monthly!L930:L1049)^(1/120)-1)</f>
        <v>0.12402256766311837</v>
      </c>
      <c r="H929" cm="1">
        <f t="array" ref="H929">(PRODUCT(1+sp500_monthly!N930:N1049)^(1/120)-1)*100</f>
        <v>0.49918644887083641</v>
      </c>
      <c r="I929" cm="1">
        <f t="array" ref="I929">(PRODUCT(1+sp500_monthly!O930:O1049)^(1/120)-1)*100</f>
        <v>-6.1481870536095329E-2</v>
      </c>
    </row>
    <row r="930" spans="1:9" x14ac:dyDescent="0.35">
      <c r="A930" s="1">
        <v>41425</v>
      </c>
      <c r="B930" cm="1">
        <f t="array" ref="B930">(PRODUCT(1+sp500_monthly!B931:B1050)^(1/120)-1)*100</f>
        <v>0.64456704576449919</v>
      </c>
      <c r="C930" cm="1">
        <f t="array" ref="C930">(PRODUCT(1+sp500_monthly!C931:C1050)^(1/120)-1)*100</f>
        <v>0.46810767211546978</v>
      </c>
      <c r="D930" cm="1">
        <f t="array" ref="D930">(PRODUCT(1+sp500_monthly!D931:D1050)^(1/120)-1)*100</f>
        <v>0.90703721987834829</v>
      </c>
      <c r="E930" cm="1">
        <f t="array" ref="E930">(PRODUCT(1+sp500_monthly!E931:E1050)^(1/120)-1)*100</f>
        <v>0.75128192297020391</v>
      </c>
      <c r="F930" cm="1">
        <f t="array" ref="F930">(PRODUCT(1+sp500_monthly!K931:K1050)^(1/120)-1)*100</f>
        <v>0.46375844886832329</v>
      </c>
      <c r="G930" cm="1">
        <f t="array" ref="G930">(PRODUCT(1+sp500_monthly!L931:L1050)^(1/120)-1)</f>
        <v>0.1231301654973429</v>
      </c>
      <c r="H930" cm="1">
        <f t="array" ref="H930">(PRODUCT(1+sp500_monthly!N931:N1050)^(1/120)-1)*100</f>
        <v>0.44742696104669299</v>
      </c>
      <c r="I930" cm="1">
        <f t="array" ref="I930">(PRODUCT(1+sp500_monthly!O931:O1050)^(1/120)-1)*100</f>
        <v>-6.3749630978571226E-2</v>
      </c>
    </row>
    <row r="931" spans="1:9" x14ac:dyDescent="0.35">
      <c r="A931" s="1">
        <v>41453</v>
      </c>
      <c r="B931" cm="1">
        <f t="array" ref="B931">(PRODUCT(1+sp500_monthly!B932:B1051)^(1/120)-1)*100</f>
        <v>0.62022676167994284</v>
      </c>
      <c r="C931" cm="1">
        <f t="array" ref="C931">(PRODUCT(1+sp500_monthly!C932:C1051)^(1/120)-1)*100</f>
        <v>0.44300178860661177</v>
      </c>
      <c r="D931" cm="1">
        <f t="array" ref="D931">(PRODUCT(1+sp500_monthly!D932:D1051)^(1/120)-1)*100</f>
        <v>0.85345683839630482</v>
      </c>
      <c r="E931" cm="1">
        <f t="array" ref="E931">(PRODUCT(1+sp500_monthly!E932:E1051)^(1/120)-1)*100</f>
        <v>0.69730623825805527</v>
      </c>
      <c r="F931" cm="1">
        <f t="array" ref="F931">(PRODUCT(1+sp500_monthly!K932:K1051)^(1/120)-1)*100</f>
        <v>0.43940262271549013</v>
      </c>
      <c r="G931" cm="1">
        <f t="array" ref="G931">(PRODUCT(1+sp500_monthly!L932:L1051)^(1/120)-1)</f>
        <v>0.12232388196189037</v>
      </c>
      <c r="H931" cm="1">
        <f t="array" ref="H931">(PRODUCT(1+sp500_monthly!N932:N1051)^(1/120)-1)*100</f>
        <v>0.42141632430294784</v>
      </c>
      <c r="I931" cm="1">
        <f t="array" ref="I931">(PRODUCT(1+sp500_monthly!O932:O1051)^(1/120)-1)*100</f>
        <v>-6.6208500386566449E-2</v>
      </c>
    </row>
    <row r="932" spans="1:9" x14ac:dyDescent="0.35">
      <c r="A932" s="1">
        <v>41486</v>
      </c>
      <c r="B932" cm="1">
        <f t="array" ref="B932">(PRODUCT(1+sp500_monthly!B933:B1052)^(1/120)-1)*100</f>
        <v>0.59806851003800787</v>
      </c>
      <c r="C932" cm="1">
        <f t="array" ref="C932">(PRODUCT(1+sp500_monthly!C933:C1052)^(1/120)-1)*100</f>
        <v>0.42068355359372589</v>
      </c>
      <c r="D932" cm="1">
        <f t="array" ref="D932">(PRODUCT(1+sp500_monthly!D933:D1052)^(1/120)-1)*100</f>
        <v>0.8381868013833671</v>
      </c>
      <c r="E932" cm="1">
        <f t="array" ref="E932">(PRODUCT(1+sp500_monthly!E933:E1052)^(1/120)-1)*100</f>
        <v>0.68156647904020762</v>
      </c>
      <c r="F932" cm="1">
        <f t="array" ref="F932">(PRODUCT(1+sp500_monthly!K933:K1052)^(1/120)-1)*100</f>
        <v>0.41733264504246748</v>
      </c>
      <c r="G932" cm="1">
        <f t="array" ref="G932">(PRODUCT(1+sp500_monthly!L933:L1052)^(1/120)-1)</f>
        <v>0.12143282844412462</v>
      </c>
      <c r="H932" cm="1">
        <f t="array" ref="H932">(PRODUCT(1+sp500_monthly!N933:N1052)^(1/120)-1)*100</f>
        <v>0.39822701561909035</v>
      </c>
      <c r="I932" cm="1">
        <f t="array" ref="I932">(PRODUCT(1+sp500_monthly!O933:O1052)^(1/120)-1)*100</f>
        <v>-6.8110708322122182E-2</v>
      </c>
    </row>
    <row r="933" spans="1:9" x14ac:dyDescent="0.35">
      <c r="A933" s="1">
        <v>41516</v>
      </c>
      <c r="B933" cm="1">
        <f t="array" ref="B933">(PRODUCT(1+sp500_monthly!B934:B1053)^(1/120)-1)*100</f>
        <v>0.62461048653084106</v>
      </c>
      <c r="C933" cm="1">
        <f t="array" ref="C933">(PRODUCT(1+sp500_monthly!C934:C1053)^(1/120)-1)*100</f>
        <v>0.44724885053255559</v>
      </c>
      <c r="D933" cm="1">
        <f t="array" ref="D933">(PRODUCT(1+sp500_monthly!D934:D1053)^(1/120)-1)*100</f>
        <v>0.85978716346959416</v>
      </c>
      <c r="E933" cm="1">
        <f t="array" ref="E933">(PRODUCT(1+sp500_monthly!E934:E1053)^(1/120)-1)*100</f>
        <v>0.70328121029041846</v>
      </c>
      <c r="F933" cm="1">
        <f t="array" ref="F933">(PRODUCT(1+sp500_monthly!K934:K1053)^(1/120)-1)*100</f>
        <v>0.44426806385438056</v>
      </c>
      <c r="G933" cm="1">
        <f t="array" ref="G933">(PRODUCT(1+sp500_monthly!L934:L1053)^(1/120)-1)</f>
        <v>0.12080071808036785</v>
      </c>
      <c r="H933" cm="1">
        <f t="array" ref="H933">(PRODUCT(1+sp500_monthly!N934:N1053)^(1/120)-1)*100</f>
        <v>0.42581759729765079</v>
      </c>
      <c r="I933" cm="1">
        <f t="array" ref="I933">(PRODUCT(1+sp500_monthly!O934:O1053)^(1/120)-1)*100</f>
        <v>-6.7597518079964836E-2</v>
      </c>
    </row>
    <row r="934" spans="1:9" x14ac:dyDescent="0.35">
      <c r="A934" s="1">
        <v>41547</v>
      </c>
      <c r="B934" cm="1">
        <f t="array" ref="B934">(PRODUCT(1+sp500_monthly!B935:B1054)^(1/120)-1)*100</f>
        <v>0.58348902870775099</v>
      </c>
      <c r="C934" cm="1">
        <f t="array" ref="C934">(PRODUCT(1+sp500_monthly!C935:C1054)^(1/120)-1)*100</f>
        <v>0.40540206736148221</v>
      </c>
      <c r="D934" cm="1">
        <f t="array" ref="D934">(PRODUCT(1+sp500_monthly!D935:D1054)^(1/120)-1)*100</f>
        <v>0.79940584009867699</v>
      </c>
      <c r="E934" cm="1">
        <f t="array" ref="E934">(PRODUCT(1+sp500_monthly!E935:E1054)^(1/120)-1)*100</f>
        <v>0.64249735849926104</v>
      </c>
      <c r="F934" cm="1">
        <f t="array" ref="F934">(PRODUCT(1+sp500_monthly!K935:K1054)^(1/120)-1)*100</f>
        <v>0.40283213283776043</v>
      </c>
      <c r="G934" cm="1">
        <f t="array" ref="G934">(PRODUCT(1+sp500_monthly!L935:L1054)^(1/120)-1)</f>
        <v>0.12016896401393184</v>
      </c>
      <c r="H934" cm="1">
        <f t="array" ref="H934">(PRODUCT(1+sp500_monthly!N935:N1054)^(1/120)-1)*100</f>
        <v>0.38641786799429312</v>
      </c>
      <c r="I934" cm="1">
        <f t="array" ref="I934">(PRODUCT(1+sp500_monthly!O935:O1054)^(1/120)-1)*100</f>
        <v>-6.6547164288144334E-2</v>
      </c>
    </row>
    <row r="935" spans="1:9" x14ac:dyDescent="0.35">
      <c r="A935" s="1">
        <v>41578</v>
      </c>
      <c r="B935" cm="1">
        <f t="array" ref="B935">(PRODUCT(1+sp500_monthly!B936:B1055)^(1/120)-1)*100</f>
        <v>0.61866940427317552</v>
      </c>
      <c r="C935" cm="1">
        <f t="array" ref="C935">(PRODUCT(1+sp500_monthly!C936:C1055)^(1/120)-1)*100</f>
        <v>0.44038423365249102</v>
      </c>
      <c r="D935" cm="1">
        <f t="array" ref="D935">(PRODUCT(1+sp500_monthly!D936:D1055)^(1/120)-1)*100</f>
        <v>0.84671440803532061</v>
      </c>
      <c r="E935" cm="1">
        <f t="array" ref="E935">(PRODUCT(1+sp500_monthly!E936:E1055)^(1/120)-1)*100</f>
        <v>0.68937960207626769</v>
      </c>
      <c r="F935" cm="1">
        <f t="array" ref="F935">(PRODUCT(1+sp500_monthly!K936:K1055)^(1/120)-1)*100</f>
        <v>0.43741932250245252</v>
      </c>
      <c r="G935" cm="1">
        <f t="array" ref="G935">(PRODUCT(1+sp500_monthly!L936:L1055)^(1/120)-1)</f>
        <v>0.11945078292407629</v>
      </c>
      <c r="H935" cm="1">
        <f t="array" ref="H935">(PRODUCT(1+sp500_monthly!N936:N1055)^(1/120)-1)*100</f>
        <v>0.42393099394950617</v>
      </c>
      <c r="I935" cm="1">
        <f t="array" ref="I935">(PRODUCT(1+sp500_monthly!O936:O1055)^(1/120)-1)*100</f>
        <v>-6.482312891586961E-2</v>
      </c>
    </row>
    <row r="936" spans="1:9" x14ac:dyDescent="0.35">
      <c r="A936" s="1">
        <v>41607</v>
      </c>
      <c r="B936" cm="1">
        <f t="array" ref="B936">(PRODUCT(1+sp500_monthly!B937:B1056)^(1/120)-1)*100</f>
        <v>0.61125585502614932</v>
      </c>
      <c r="C936" cm="1">
        <f t="array" ref="C936">(PRODUCT(1+sp500_monthly!C937:C1056)^(1/120)-1)*100</f>
        <v>0.43319289398637828</v>
      </c>
      <c r="D936" cm="1">
        <f t="array" ref="D936">(PRODUCT(1+sp500_monthly!D937:D1056)^(1/120)-1)*100</f>
        <v>0.82432444116529169</v>
      </c>
      <c r="E936" cm="1">
        <f t="array" ref="E936">(PRODUCT(1+sp500_monthly!E937:E1056)^(1/120)-1)*100</f>
        <v>0.66701382042524404</v>
      </c>
      <c r="F936" cm="1">
        <f t="array" ref="F936">(PRODUCT(1+sp500_monthly!K937:K1056)^(1/120)-1)*100</f>
        <v>0.42915488531336532</v>
      </c>
      <c r="G936" cm="1">
        <f t="array" ref="G936">(PRODUCT(1+sp500_monthly!L937:L1056)^(1/120)-1)</f>
        <v>0.11881978976634633</v>
      </c>
      <c r="H936" cm="1">
        <f t="array" ref="H936">(PRODUCT(1+sp500_monthly!N937:N1056)^(1/120)-1)*100</f>
        <v>0.41517938464619153</v>
      </c>
      <c r="I936" cm="1">
        <f t="array" ref="I936">(PRODUCT(1+sp500_monthly!O937:O1056)^(1/120)-1)*100</f>
        <v>-6.6751796062813895E-2</v>
      </c>
    </row>
    <row r="937" spans="1:9" x14ac:dyDescent="0.35">
      <c r="A937" s="1">
        <v>41639</v>
      </c>
      <c r="B937" cm="1">
        <f t="array" ref="B937">(PRODUCT(1+sp500_monthly!B938:B1057)^(1/120)-1)*100</f>
        <v>0.62897781914232898</v>
      </c>
      <c r="C937" cm="1">
        <f t="array" ref="C937">(PRODUCT(1+sp500_monthly!C938:C1057)^(1/120)-1)*100</f>
        <v>0.45028894155996202</v>
      </c>
      <c r="D937" cm="1">
        <f t="array" ref="D937">(PRODUCT(1+sp500_monthly!D938:D1057)^(1/120)-1)*100</f>
        <v>0.82635573399998385</v>
      </c>
      <c r="E937" cm="1">
        <f t="array" ref="E937">(PRODUCT(1+sp500_monthly!E938:E1057)^(1/120)-1)*100</f>
        <v>0.66876694436091011</v>
      </c>
      <c r="F937" cm="1">
        <f t="array" ref="F937">(PRODUCT(1+sp500_monthly!K938:K1057)^(1/120)-1)*100</f>
        <v>0.44636248677296653</v>
      </c>
      <c r="G937" cm="1">
        <f t="array" ref="G937">(PRODUCT(1+sp500_monthly!L938:L1057)^(1/120)-1)</f>
        <v>0.1181891522762093</v>
      </c>
      <c r="H937" cm="1">
        <f t="array" ref="H937">(PRODUCT(1+sp500_monthly!N938:N1057)^(1/120)-1)*100</f>
        <v>0.43177703373944443</v>
      </c>
      <c r="I937" cm="1">
        <f t="array" ref="I937">(PRODUCT(1+sp500_monthly!O938:O1057)^(1/120)-1)*100</f>
        <v>-6.8418884322329898E-2</v>
      </c>
    </row>
    <row r="938" spans="1:9" x14ac:dyDescent="0.35">
      <c r="A938" s="1">
        <v>41670</v>
      </c>
      <c r="B938" cm="1">
        <f t="array" ref="B938">(PRODUCT(1+sp500_monthly!B939:B1058)^(1/120)-1)*100</f>
        <v>0.60812885475216572</v>
      </c>
      <c r="C938" cm="1">
        <f t="array" ref="C938">(PRODUCT(1+sp500_monthly!C939:C1058)^(1/120)-1)*100</f>
        <v>0.42937724351554962</v>
      </c>
      <c r="D938" cm="1">
        <f t="array" ref="D938">(PRODUCT(1+sp500_monthly!D939:D1058)^(1/120)-1)*100</f>
        <v>0.8074563502850296</v>
      </c>
      <c r="E938" cm="1">
        <f t="array" ref="E938">(PRODUCT(1+sp500_monthly!E939:E1058)^(1/120)-1)*100</f>
        <v>0.64957225739481483</v>
      </c>
      <c r="F938" cm="1">
        <f t="array" ref="F938">(PRODUCT(1+sp500_monthly!K939:K1058)^(1/120)-1)*100</f>
        <v>0.42440999589774542</v>
      </c>
      <c r="G938" cm="1">
        <f t="array" ref="G938">(PRODUCT(1+sp500_monthly!L939:L1058)^(1/120)-1)</f>
        <v>0.11747224051571137</v>
      </c>
      <c r="H938" cm="1">
        <f t="array" ref="H938">(PRODUCT(1+sp500_monthly!N939:N1058)^(1/120)-1)*100</f>
        <v>0.41101777452334787</v>
      </c>
      <c r="I938" cm="1">
        <f t="array" ref="I938">(PRODUCT(1+sp500_monthly!O939:O1058)^(1/120)-1)*100</f>
        <v>-6.9036212001993835E-2</v>
      </c>
    </row>
    <row r="939" spans="1:9" x14ac:dyDescent="0.35">
      <c r="A939" s="1">
        <v>41698</v>
      </c>
      <c r="B939" cm="1">
        <f t="array" ref="B939">(PRODUCT(1+sp500_monthly!B940:B1059)^(1/120)-1)*100</f>
        <v>0.562715023277649</v>
      </c>
      <c r="C939" cm="1">
        <f t="array" ref="C939">(PRODUCT(1+sp500_monthly!C940:C1059)^(1/120)-1)*100</f>
        <v>0.38401345341008142</v>
      </c>
      <c r="D939" cm="1">
        <f t="array" ref="D939">(PRODUCT(1+sp500_monthly!D940:D1059)^(1/120)-1)*100</f>
        <v>0.76201200293384286</v>
      </c>
      <c r="E939" cm="1">
        <f t="array" ref="E939">(PRODUCT(1+sp500_monthly!E940:E1059)^(1/120)-1)*100</f>
        <v>0.6041094422384985</v>
      </c>
      <c r="F939" cm="1">
        <f t="array" ref="F939">(PRODUCT(1+sp500_monthly!K940:K1059)^(1/120)-1)*100</f>
        <v>0.37976455861092884</v>
      </c>
      <c r="G939" cm="1">
        <f t="array" ref="G939">(PRODUCT(1+sp500_monthly!L940:L1059)^(1/120)-1)</f>
        <v>0.11684236258943348</v>
      </c>
      <c r="H939" cm="1">
        <f t="array" ref="H939">(PRODUCT(1+sp500_monthly!N940:N1059)^(1/120)-1)*100</f>
        <v>0.3672671272958894</v>
      </c>
      <c r="I939" cm="1">
        <f t="array" ref="I939">(PRODUCT(1+sp500_monthly!O940:O1059)^(1/120)-1)*100</f>
        <v>-6.8051555113501916E-2</v>
      </c>
    </row>
    <row r="940" spans="1:9" x14ac:dyDescent="0.35">
      <c r="A940" s="1">
        <v>41729</v>
      </c>
      <c r="B940" cm="1">
        <f t="array" ref="B940">(PRODUCT(1+sp500_monthly!B941:B1060)^(1/120)-1)*100</f>
        <v>0.58822830725258068</v>
      </c>
      <c r="C940" cm="1">
        <f t="array" ref="C940">(PRODUCT(1+sp500_monthly!C941:C1060)^(1/120)-1)*100</f>
        <v>0.40882084746560743</v>
      </c>
      <c r="D940" cm="1">
        <f t="array" ref="D940">(PRODUCT(1+sp500_monthly!D941:D1060)^(1/120)-1)*100</f>
        <v>0.78874107410129568</v>
      </c>
      <c r="E940" cm="1">
        <f t="array" ref="E940">(PRODUCT(1+sp500_monthly!E941:E1060)^(1/120)-1)*100</f>
        <v>0.63030364678036133</v>
      </c>
      <c r="F940" cm="1">
        <f t="array" ref="F940">(PRODUCT(1+sp500_monthly!K941:K1060)^(1/120)-1)*100</f>
        <v>0.40492813003889516</v>
      </c>
      <c r="G940" cm="1">
        <f t="array" ref="G940">(PRODUCT(1+sp500_monthly!L941:L1060)^(1/120)-1)</f>
        <v>0.11630018435885359</v>
      </c>
      <c r="H940" cm="1">
        <f t="array" ref="H940">(PRODUCT(1+sp500_monthly!N941:N1060)^(1/120)-1)*100</f>
        <v>0.39360474742451412</v>
      </c>
      <c r="I940" cm="1">
        <f t="array" ref="I940">(PRODUCT(1+sp500_monthly!O941:O1060)^(1/120)-1)*100</f>
        <v>-6.7681156942911436E-2</v>
      </c>
    </row>
    <row r="941" spans="1:9" x14ac:dyDescent="0.35">
      <c r="A941" s="1">
        <v>41759</v>
      </c>
      <c r="B941" cm="1">
        <f t="array" ref="B941">(PRODUCT(1+sp500_monthly!B942:B1061)^(1/120)-1)*100</f>
        <v>0.60760940795177021</v>
      </c>
      <c r="C941" cm="1">
        <f t="array" ref="C941">(PRODUCT(1+sp500_monthly!C942:C1061)^(1/120)-1)*100</f>
        <v>0.42799782358058369</v>
      </c>
      <c r="D941" cm="1">
        <f t="array" ref="D941">(PRODUCT(1+sp500_monthly!D942:D1061)^(1/120)-1)*100</f>
        <v>0.79969977248470769</v>
      </c>
      <c r="E941" cm="1">
        <f t="array" ref="E941">(PRODUCT(1+sp500_monthly!E942:E1061)^(1/120)-1)*100</f>
        <v>0.64083138551256358</v>
      </c>
      <c r="F941" cm="1">
        <f t="array" ref="F941">(PRODUCT(1+sp500_monthly!K942:K1061)^(1/120)-1)*100</f>
        <v>0.42451098351885541</v>
      </c>
      <c r="G941" cm="1">
        <f t="array" ref="G941">(PRODUCT(1+sp500_monthly!L942:L1061)^(1/120)-1)</f>
        <v>0.11549880399625545</v>
      </c>
      <c r="H941" cm="1">
        <f t="array" ref="H941">(PRODUCT(1+sp500_monthly!N942:N1061)^(1/120)-1)*100</f>
        <v>0.41303220139219388</v>
      </c>
      <c r="I941" cm="1">
        <f t="array" ref="I941">(PRODUCT(1+sp500_monthly!O942:O1061)^(1/120)-1)*100</f>
        <v>-6.8346858573320457E-2</v>
      </c>
    </row>
    <row r="942" spans="1:9" x14ac:dyDescent="0.35">
      <c r="A942" s="1">
        <v>41789</v>
      </c>
      <c r="B942" cm="1">
        <f t="array" ref="B942">(PRODUCT(1+sp500_monthly!B943:B1062)^(1/120)-1)*100</f>
        <v>0.62625734489052398</v>
      </c>
      <c r="C942" cm="1">
        <f t="array" ref="C942">(PRODUCT(1+sp500_monthly!C943:C1062)^(1/120)-1)*100</f>
        <v>0.44660707854116133</v>
      </c>
      <c r="D942" cm="1">
        <f t="array" ref="D942">(PRODUCT(1+sp500_monthly!D943:D1062)^(1/120)-1)*100</f>
        <v>0.82339439225627142</v>
      </c>
      <c r="E942" cm="1">
        <f t="array" ref="E942">(PRODUCT(1+sp500_monthly!E943:E1062)^(1/120)-1)*100</f>
        <v>0.66448954580773378</v>
      </c>
      <c r="F942" cm="1">
        <f t="array" ref="F942">(PRODUCT(1+sp500_monthly!K943:K1062)^(1/120)-1)*100</f>
        <v>0.44385746963284678</v>
      </c>
      <c r="G942" cm="1">
        <f t="array" ref="G942">(PRODUCT(1+sp500_monthly!L943:L1062)^(1/120)-1)</f>
        <v>0.11478361711595153</v>
      </c>
      <c r="H942" cm="1">
        <f t="array" ref="H942">(PRODUCT(1+sp500_monthly!N943:N1062)^(1/120)-1)*100</f>
        <v>0.43142620867675507</v>
      </c>
      <c r="I942" cm="1">
        <f t="array" ref="I942">(PRODUCT(1+sp500_monthly!O943:O1062)^(1/120)-1)*100</f>
        <v>-6.922957912580685E-2</v>
      </c>
    </row>
    <row r="943" spans="1:9" x14ac:dyDescent="0.35">
      <c r="A943" s="1">
        <v>41820</v>
      </c>
      <c r="B943" cm="1">
        <f t="array" ref="B943">(PRODUCT(1+sp500_monthly!B944:B1063)^(1/120)-1)*100</f>
        <v>0.63422770759651304</v>
      </c>
      <c r="C943" cm="1">
        <f t="array" ref="C943">(PRODUCT(1+sp500_monthly!C944:C1063)^(1/120)-1)*100</f>
        <v>0.45391266483496562</v>
      </c>
      <c r="D943" cm="1">
        <f t="array" ref="D943">(PRODUCT(1+sp500_monthly!D944:D1063)^(1/120)-1)*100</f>
        <v>0.82643937588275929</v>
      </c>
      <c r="E943" cm="1">
        <f t="array" ref="E943">(PRODUCT(1+sp500_monthly!E944:E1063)^(1/120)-1)*100</f>
        <v>0.66710374125356076</v>
      </c>
      <c r="F943" cm="1">
        <f t="array" ref="F943">(PRODUCT(1+sp500_monthly!K944:K1063)^(1/120)-1)*100</f>
        <v>0.45122474296581672</v>
      </c>
      <c r="G943" cm="1">
        <f t="array" ref="G943">(PRODUCT(1+sp500_monthly!L944:L1063)^(1/120)-1)</f>
        <v>0.11424243831645997</v>
      </c>
      <c r="H943" cm="1">
        <f t="array" ref="H943">(PRODUCT(1+sp500_monthly!N944:N1063)^(1/120)-1)*100</f>
        <v>0.44135534482432348</v>
      </c>
      <c r="I943" cm="1">
        <f t="array" ref="I943">(PRODUCT(1+sp500_monthly!O944:O1063)^(1/120)-1)*100</f>
        <v>-6.7764883261922648E-2</v>
      </c>
    </row>
    <row r="944" spans="1:9" x14ac:dyDescent="0.35">
      <c r="A944" s="1">
        <v>41851</v>
      </c>
      <c r="B944" cm="1">
        <f t="array" ref="B944">(PRODUCT(1+sp500_monthly!B945:B1064)^(1/120)-1)*100</f>
        <v>0.63517069005512017</v>
      </c>
      <c r="C944" cm="1">
        <f t="array" ref="C944">(PRODUCT(1+sp500_monthly!C945:C1064)^(1/120)-1)*100</f>
        <v>0.45475838665010038</v>
      </c>
      <c r="D944" cm="1">
        <f t="array" ref="D944">(PRODUCT(1+sp500_monthly!D945:D1064)^(1/120)-1)*100</f>
        <v>0.82480109549700753</v>
      </c>
      <c r="E944" cm="1">
        <f t="array" ref="E944">(PRODUCT(1+sp500_monthly!E945:E1064)^(1/120)-1)*100</f>
        <v>0.66508836037384444</v>
      </c>
      <c r="F944" cm="1">
        <f t="array" ref="F944">(PRODUCT(1+sp500_monthly!K945:K1064)^(1/120)-1)*100</f>
        <v>0.45210332553091703</v>
      </c>
      <c r="G944" cm="1">
        <f t="array" ref="G944">(PRODUCT(1+sp500_monthly!L945:L1064)^(1/120)-1)</f>
        <v>0.1135280569379169</v>
      </c>
      <c r="H944" cm="1">
        <f t="array" ref="H944">(PRODUCT(1+sp500_monthly!N945:N1064)^(1/120)-1)*100</f>
        <v>0.44429893001896037</v>
      </c>
      <c r="I944" cm="1">
        <f t="array" ref="I944">(PRODUCT(1+sp500_monthly!O945:O1064)^(1/120)-1)*100</f>
        <v>-6.6438601395402141E-2</v>
      </c>
    </row>
    <row r="945" spans="1:9" x14ac:dyDescent="0.35">
      <c r="A945" s="1">
        <v>41880</v>
      </c>
      <c r="B945" cm="1">
        <f t="array" ref="B945">(PRODUCT(1+sp500_monthly!B946:B1065)^(1/120)-1)*100</f>
        <v>0.65147210625804419</v>
      </c>
      <c r="C945" cm="1">
        <f t="array" ref="C945">(PRODUCT(1+sp500_monthly!C946:C1065)^(1/120)-1)*100</f>
        <v>0.47092490648801277</v>
      </c>
      <c r="D945" cm="1">
        <f t="array" ref="D945">(PRODUCT(1+sp500_monthly!D946:D1065)^(1/120)-1)*100</f>
        <v>0.84271659004626631</v>
      </c>
      <c r="E945" cm="1">
        <f t="array" ref="E945">(PRODUCT(1+sp500_monthly!E946:E1065)^(1/120)-1)*100</f>
        <v>0.68292524319695236</v>
      </c>
      <c r="F945" cm="1">
        <f t="array" ref="F945">(PRODUCT(1+sp500_monthly!K946:K1065)^(1/120)-1)*100</f>
        <v>0.46859378539345631</v>
      </c>
      <c r="G945" cm="1">
        <f t="array" ref="G945">(PRODUCT(1+sp500_monthly!L946:L1065)^(1/120)-1)</f>
        <v>0.11264398674373099</v>
      </c>
      <c r="H945" cm="1">
        <f t="array" ref="H945">(PRODUCT(1+sp500_monthly!N946:N1065)^(1/120)-1)*100</f>
        <v>0.46051362930450424</v>
      </c>
      <c r="I945" cm="1">
        <f t="array" ref="I945">(PRODUCT(1+sp500_monthly!O946:O1065)^(1/120)-1)*100</f>
        <v>-6.7326466820150088E-2</v>
      </c>
    </row>
    <row r="946" spans="1:9" x14ac:dyDescent="0.35">
      <c r="A946" s="1">
        <v>41912</v>
      </c>
      <c r="B946" cm="1">
        <f t="array" ref="B946">(PRODUCT(1+sp500_monthly!B947:B1066)^(1/120)-1)*100</f>
        <v>0.68100631841852</v>
      </c>
      <c r="C946" cm="1">
        <f t="array" ref="C946">(PRODUCT(1+sp500_monthly!C947:C1066)^(1/120)-1)*100</f>
        <v>0.50001960307859417</v>
      </c>
      <c r="D946" cm="1">
        <f t="array" ref="D946">(PRODUCT(1+sp500_monthly!D947:D1066)^(1/120)-1)*100</f>
        <v>0.88040735983179186</v>
      </c>
      <c r="E946" cm="1">
        <f t="array" ref="E946">(PRODUCT(1+sp500_monthly!E947:E1066)^(1/120)-1)*100</f>
        <v>0.72047130007926174</v>
      </c>
      <c r="F946" cm="1">
        <f t="array" ref="F946">(PRODUCT(1+sp500_monthly!K947:K1066)^(1/120)-1)*100</f>
        <v>0.49763254305084104</v>
      </c>
      <c r="G946" cm="1">
        <f t="array" ref="G946">(PRODUCT(1+sp500_monthly!L947:L1066)^(1/120)-1)</f>
        <v>0.11167677785019503</v>
      </c>
      <c r="H946" cm="1">
        <f t="array" ref="H946">(PRODUCT(1+sp500_monthly!N947:N1066)^(1/120)-1)*100</f>
        <v>0.49056853478779416</v>
      </c>
      <c r="I946" cm="1">
        <f t="array" ref="I946">(PRODUCT(1+sp500_monthly!O947:O1066)^(1/120)-1)*100</f>
        <v>-6.7668486093985791E-2</v>
      </c>
    </row>
    <row r="947" spans="1:9" x14ac:dyDescent="0.35">
      <c r="A947" s="1">
        <v>41943</v>
      </c>
      <c r="B947" cm="1">
        <f t="array" ref="B947">(PRODUCT(1+sp500_monthly!B948:B1067)^(1/120)-1)*100</f>
        <v>0.66021379434475502</v>
      </c>
      <c r="C947" cm="1">
        <f t="array" ref="C947">(PRODUCT(1+sp500_monthly!C948:C1067)^(1/120)-1)*100</f>
        <v>0.47917517240179119</v>
      </c>
      <c r="D947" cm="1">
        <f t="array" ref="D947">(PRODUCT(1+sp500_monthly!D948:D1067)^(1/120)-1)*100</f>
        <v>0.83601355905884578</v>
      </c>
      <c r="E947" cm="1">
        <f t="array" ref="E947">(PRODUCT(1+sp500_monthly!E948:E1067)^(1/120)-1)*100</f>
        <v>0.67556409561480013</v>
      </c>
      <c r="F947" cm="1">
        <f t="array" ref="F947">(PRODUCT(1+sp500_monthly!K948:K1067)^(1/120)-1)*100</f>
        <v>0.47673453259970966</v>
      </c>
      <c r="G947" cm="1">
        <f t="array" ref="G947">(PRODUCT(1+sp500_monthly!L948:L1067)^(1/120)-1)</f>
        <v>0.11071040974046298</v>
      </c>
      <c r="H947" cm="1">
        <f t="array" ref="H947">(PRODUCT(1+sp500_monthly!N948:N1067)^(1/120)-1)*100</f>
        <v>0.47240635662446628</v>
      </c>
      <c r="I947" cm="1">
        <f t="array" ref="I947">(PRODUCT(1+sp500_monthly!O948:O1067)^(1/120)-1)*100</f>
        <v>-6.6006892680392504E-2</v>
      </c>
    </row>
    <row r="948" spans="1:9" x14ac:dyDescent="0.35">
      <c r="A948" s="1">
        <v>41971</v>
      </c>
      <c r="B948" cm="1">
        <f t="array" ref="B948">(PRODUCT(1+sp500_monthly!B949:B1068)^(1/120)-1)*100</f>
        <v>0.66761860797424077</v>
      </c>
      <c r="C948" cm="1">
        <f t="array" ref="C948">(PRODUCT(1+sp500_monthly!C949:C1068)^(1/120)-1)*100</f>
        <v>0.48665943107273346</v>
      </c>
      <c r="D948" cm="1">
        <f t="array" ref="D948">(PRODUCT(1+sp500_monthly!D949:D1068)^(1/120)-1)*100</f>
        <v>0.84040417516277888</v>
      </c>
      <c r="E948" cm="1">
        <f t="array" ref="E948">(PRODUCT(1+sp500_monthly!E949:E1068)^(1/120)-1)*100</f>
        <v>0.67992392297562265</v>
      </c>
      <c r="F948" cm="1">
        <f t="array" ref="F948">(PRODUCT(1+sp500_monthly!K949:K1068)^(1/120)-1)*100</f>
        <v>0.48428667861095676</v>
      </c>
      <c r="G948" cm="1">
        <f t="array" ref="G948">(PRODUCT(1+sp500_monthly!L949:L1068)^(1/120)-1)</f>
        <v>0.10974488168365104</v>
      </c>
      <c r="H948" cm="1">
        <f t="array" ref="H948">(PRODUCT(1+sp500_monthly!N949:N1068)^(1/120)-1)*100</f>
        <v>0.48436326570377997</v>
      </c>
      <c r="I948" cm="1">
        <f t="array" ref="I948">(PRODUCT(1+sp500_monthly!O949:O1068)^(1/120)-1)*100</f>
        <v>-6.2381379138010118E-2</v>
      </c>
    </row>
    <row r="949" spans="1:9" x14ac:dyDescent="0.35">
      <c r="A949" s="1">
        <v>42004</v>
      </c>
      <c r="B949" cm="1">
        <f t="array" ref="B949">(PRODUCT(1+sp500_monthly!B950:B1069)^(1/120)-1)*100</f>
        <v>0.65713133703966253</v>
      </c>
      <c r="C949" cm="1">
        <f t="array" ref="C949">(PRODUCT(1+sp500_monthly!C950:C1069)^(1/120)-1)*100</f>
        <v>0.47819696128463818</v>
      </c>
      <c r="D949" cm="1">
        <f t="array" ref="D949">(PRODUCT(1+sp500_monthly!D950:D1069)^(1/120)-1)*100</f>
        <v>0.81259197100971292</v>
      </c>
      <c r="E949" cm="1">
        <f t="array" ref="E949">(PRODUCT(1+sp500_monthly!E950:E1069)^(1/120)-1)*100</f>
        <v>0.65160332347187211</v>
      </c>
      <c r="F949" cm="1">
        <f t="array" ref="F949">(PRODUCT(1+sp500_monthly!K950:K1069)^(1/120)-1)*100</f>
        <v>0.47287318009747725</v>
      </c>
      <c r="G949" cm="1">
        <f t="array" ref="G949">(PRODUCT(1+sp500_monthly!L950:L1069)^(1/120)-1)</f>
        <v>0.10845313323326478</v>
      </c>
      <c r="H949" cm="1">
        <f t="array" ref="H949">(PRODUCT(1+sp500_monthly!N950:N1069)^(1/120)-1)*100</f>
        <v>0.4794132013652197</v>
      </c>
      <c r="I949" cm="1">
        <f t="array" ref="I949">(PRODUCT(1+sp500_monthly!O950:O1069)^(1/120)-1)*100</f>
        <v>-5.8141061364791469E-2</v>
      </c>
    </row>
    <row r="950" spans="1:9" x14ac:dyDescent="0.35">
      <c r="A950" s="1">
        <v>42034</v>
      </c>
      <c r="B950" cm="1">
        <f t="array" ref="B950">(PRODUCT(1+sp500_monthly!B951:B1070)^(1/120)-1)*100</f>
        <v>0.62722924341935826</v>
      </c>
      <c r="C950" cm="1">
        <f t="array" ref="C950">(PRODUCT(1+sp500_monthly!C951:C1070)^(1/120)-1)*100</f>
        <v>0.44819191259997115</v>
      </c>
      <c r="D950" cm="1">
        <f t="array" ref="D950">(PRODUCT(1+sp500_monthly!D951:D1070)^(1/120)-1)*100</f>
        <v>0.78451440474098799</v>
      </c>
      <c r="E950" cm="1">
        <f t="array" ref="E950">(PRODUCT(1+sp500_monthly!E951:E1070)^(1/120)-1)*100</f>
        <v>0.62321474797986109</v>
      </c>
      <c r="F950" cm="1">
        <f t="array" ref="F950">(PRODUCT(1+sp500_monthly!K951:K1070)^(1/120)-1)*100</f>
        <v>0.44261851732025903</v>
      </c>
      <c r="G950" cm="1">
        <f t="array" ref="G950">(PRODUCT(1+sp500_monthly!L951:L1070)^(1/120)-1)</f>
        <v>0.10708300888479072</v>
      </c>
      <c r="H950" cm="1">
        <f t="array" ref="H950">(PRODUCT(1+sp500_monthly!N951:N1070)^(1/120)-1)*100</f>
        <v>0.45214999003160283</v>
      </c>
      <c r="I950" cm="1">
        <f t="array" ref="I950">(PRODUCT(1+sp500_monthly!O951:O1070)^(1/120)-1)*100</f>
        <v>-5.6899563144097165E-2</v>
      </c>
    </row>
    <row r="951" spans="1:9" x14ac:dyDescent="0.35">
      <c r="A951" s="1">
        <v>42062</v>
      </c>
      <c r="B951" cm="1">
        <f t="array" ref="B951">(PRODUCT(1+sp500_monthly!B952:B1071)^(1/120)-1)*100</f>
        <v>0.62239978039633215</v>
      </c>
      <c r="C951" cm="1">
        <f t="array" ref="C951">(PRODUCT(1+sp500_monthly!C952:C1071)^(1/120)-1)*100</f>
        <v>0.44326890586878775</v>
      </c>
      <c r="D951" cm="1">
        <f t="array" ref="D951">(PRODUCT(1+sp500_monthly!D952:D1071)^(1/120)-1)*100</f>
        <v>0.78571988083280253</v>
      </c>
      <c r="E951" cm="1">
        <f t="array" ref="E951">(PRODUCT(1+sp500_monthly!E952:E1071)^(1/120)-1)*100</f>
        <v>0.62439152925928276</v>
      </c>
      <c r="F951" cm="1">
        <f t="array" ref="F951">(PRODUCT(1+sp500_monthly!K952:K1071)^(1/120)-1)*100</f>
        <v>0.4376654025154858</v>
      </c>
      <c r="G951" cm="1">
        <f t="array" ref="G951">(PRODUCT(1+sp500_monthly!L952:L1071)^(1/120)-1)</f>
        <v>0.10571457810429363</v>
      </c>
      <c r="H951" cm="1">
        <f t="array" ref="H951">(PRODUCT(1+sp500_monthly!N952:N1071)^(1/120)-1)*100</f>
        <v>0.45224168508124496</v>
      </c>
      <c r="I951" cm="1">
        <f t="array" ref="I951">(PRODUCT(1+sp500_monthly!O952:O1071)^(1/120)-1)*100</f>
        <v>-5.3343034951924828E-2</v>
      </c>
    </row>
    <row r="952" spans="1:9" x14ac:dyDescent="0.35">
      <c r="A952" s="1">
        <v>42094</v>
      </c>
      <c r="B952" cm="1">
        <f t="array" ref="B952">(PRODUCT(1+sp500_monthly!B953:B1072)^(1/120)-1)*100</f>
        <v>0.65131660655119994</v>
      </c>
      <c r="C952" cm="1">
        <f t="array" ref="C952">(PRODUCT(1+sp500_monthly!C953:C1072)^(1/120)-1)*100</f>
        <v>0.47176979859204771</v>
      </c>
      <c r="D952" cm="1">
        <f t="array" ref="D952">(PRODUCT(1+sp500_monthly!D953:D1072)^(1/120)-1)*100</f>
        <v>0.81663424854427902</v>
      </c>
      <c r="E952" cm="1">
        <f t="array" ref="E952">(PRODUCT(1+sp500_monthly!E953:E1072)^(1/120)-1)*100</f>
        <v>0.65475779964090375</v>
      </c>
      <c r="F952" cm="1">
        <f t="array" ref="F952">(PRODUCT(1+sp500_monthly!K953:K1072)^(1/120)-1)*100</f>
        <v>0.46672352807564099</v>
      </c>
      <c r="G952" cm="1">
        <f t="array" ref="G952">(PRODUCT(1+sp500_monthly!L953:L1072)^(1/120)-1)</f>
        <v>0.10434783879840692</v>
      </c>
      <c r="H952" cm="1">
        <f t="array" ref="H952">(PRODUCT(1+sp500_monthly!N953:N1072)^(1/120)-1)*100</f>
        <v>0.48247887316736904</v>
      </c>
      <c r="I952" cm="1">
        <f t="array" ref="I952">(PRODUCT(1+sp500_monthly!O953:O1072)^(1/120)-1)*100</f>
        <v>-5.3312622476675564E-2</v>
      </c>
    </row>
    <row r="953" spans="1:9" x14ac:dyDescent="0.35">
      <c r="A953" s="1">
        <v>42124</v>
      </c>
      <c r="B953" cm="1">
        <f t="array" ref="B953">(PRODUCT(1+sp500_monthly!B954:B1073)^(1/120)-1)*100</f>
        <v>0.65323219376989261</v>
      </c>
      <c r="C953" cm="1">
        <f t="array" ref="C953">(PRODUCT(1+sp500_monthly!C954:C1073)^(1/120)-1)*100</f>
        <v>0.4735605662617548</v>
      </c>
      <c r="D953" cm="1">
        <f t="array" ref="D953">(PRODUCT(1+sp500_monthly!D954:D1073)^(1/120)-1)*100</f>
        <v>0.82031799313198039</v>
      </c>
      <c r="E953" cm="1">
        <f t="array" ref="E953">(PRODUCT(1+sp500_monthly!E954:E1073)^(1/120)-1)*100</f>
        <v>0.65808532775928352</v>
      </c>
      <c r="F953" cm="1">
        <f t="array" ref="F953">(PRODUCT(1+sp500_monthly!K954:K1073)^(1/120)-1)*100</f>
        <v>0.46819204721848529</v>
      </c>
      <c r="G953" cm="1">
        <f t="array" ref="G953">(PRODUCT(1+sp500_monthly!L954:L1073)^(1/120)-1)</f>
        <v>0.10259497153307584</v>
      </c>
      <c r="H953" cm="1">
        <f t="array" ref="H953">(PRODUCT(1+sp500_monthly!N954:N1073)^(1/120)-1)*100</f>
        <v>0.48517948457720284</v>
      </c>
      <c r="I953" cm="1">
        <f t="array" ref="I953">(PRODUCT(1+sp500_monthly!O954:O1073)^(1/120)-1)*100</f>
        <v>-5.4275834441896986E-2</v>
      </c>
    </row>
    <row r="954" spans="1:9" x14ac:dyDescent="0.35">
      <c r="A954" s="1">
        <v>42153</v>
      </c>
      <c r="B954" cm="1">
        <f t="array" ref="B954">(PRODUCT(1+sp500_monthly!B955:B1074)^(1/120)-1)*100</f>
        <v>0.67686098504982084</v>
      </c>
      <c r="C954" cm="1">
        <f t="array" ref="C954">(PRODUCT(1+sp500_monthly!C955:C1074)^(1/120)-1)*100</f>
        <v>0.49721851067805467</v>
      </c>
      <c r="D954" cm="1">
        <f t="array" ref="D954">(PRODUCT(1+sp500_monthly!D955:D1074)^(1/120)-1)*100</f>
        <v>0.85005651416496519</v>
      </c>
      <c r="E954" cm="1">
        <f t="array" ref="E954">(PRODUCT(1+sp500_monthly!E955:E1074)^(1/120)-1)*100</f>
        <v>0.68771065880706139</v>
      </c>
      <c r="F954" cm="1">
        <f t="array" ref="F954">(PRODUCT(1+sp500_monthly!K955:K1074)^(1/120)-1)*100</f>
        <v>0.49230633492380882</v>
      </c>
      <c r="G954" cm="1">
        <f t="array" ref="G954">(PRODUCT(1+sp500_monthly!L955:L1074)^(1/120)-1)</f>
        <v>0.10084488649227774</v>
      </c>
      <c r="H954" cm="1">
        <f t="array" ref="H954">(PRODUCT(1+sp500_monthly!N955:N1074)^(1/120)-1)*100</f>
        <v>0.51049461288041886</v>
      </c>
      <c r="I954" cm="1">
        <f t="array" ref="I954">(PRODUCT(1+sp500_monthly!O955:O1074)^(1/120)-1)*100</f>
        <v>-5.430694503905098E-2</v>
      </c>
    </row>
    <row r="955" spans="1:9" x14ac:dyDescent="0.35">
      <c r="A955" s="1">
        <v>42185</v>
      </c>
      <c r="B955" cm="1">
        <f t="array" ref="B955">(PRODUCT(1+sp500_monthly!B956:B1075)^(1/120)-1)*100</f>
        <v>0.6608809721486697</v>
      </c>
      <c r="C955" cm="1">
        <f t="array" ref="C955">(PRODUCT(1+sp500_monthly!C956:C1075)^(1/120)-1)*100</f>
        <v>0.48078828900153248</v>
      </c>
      <c r="D955" cm="1">
        <f t="array" ref="D955">(PRODUCT(1+sp500_monthly!D956:D1075)^(1/120)-1)*100</f>
        <v>0.81753529033352645</v>
      </c>
      <c r="E955" cm="1">
        <f t="array" ref="E955">(PRODUCT(1+sp500_monthly!E956:E1075)^(1/120)-1)*100</f>
        <v>0.65477429906191098</v>
      </c>
      <c r="F955" cm="1">
        <f t="array" ref="F955">(PRODUCT(1+sp500_monthly!K956:K1075)^(1/120)-1)*100</f>
        <v>0.47633280500880559</v>
      </c>
      <c r="G955" cm="1">
        <f t="array" ref="G955">(PRODUCT(1+sp500_monthly!L956:L1075)^(1/120)-1)</f>
        <v>9.8873285308969772E-2</v>
      </c>
      <c r="H955" cm="1">
        <f t="array" ref="H955">(PRODUCT(1+sp500_monthly!N956:N1075)^(1/120)-1)*100</f>
        <v>0.49135143145071503</v>
      </c>
      <c r="I955" cm="1">
        <f t="array" ref="I955">(PRODUCT(1+sp500_monthly!O956:O1075)^(1/120)-1)*100</f>
        <v>-5.9475536117026273E-2</v>
      </c>
    </row>
    <row r="956" spans="1:9" x14ac:dyDescent="0.35">
      <c r="A956" s="1">
        <v>42216</v>
      </c>
      <c r="B956" cm="1">
        <f t="array" ref="B956">(PRODUCT(1+sp500_monthly!B957:B1076)^(1/120)-1)*100</f>
        <v>0.64305882026456374</v>
      </c>
      <c r="C956" cm="1">
        <f t="array" ref="C956">(PRODUCT(1+sp500_monthly!C957:C1076)^(1/120)-1)*100</f>
        <v>0.46288499812920936</v>
      </c>
      <c r="D956" cm="1">
        <f t="array" ref="D956">(PRODUCT(1+sp500_monthly!D957:D1076)^(1/120)-1)*100</f>
        <v>0.78682187735636955</v>
      </c>
      <c r="E956" cm="1">
        <f t="array" ref="E956">(PRODUCT(1+sp500_monthly!E957:E1076)^(1/120)-1)*100</f>
        <v>0.62367698904950419</v>
      </c>
      <c r="F956" cm="1">
        <f t="array" ref="F956">(PRODUCT(1+sp500_monthly!K957:K1076)^(1/120)-1)*100</f>
        <v>0.45867322707571212</v>
      </c>
      <c r="G956" cm="1">
        <f t="array" ref="G956">(PRODUCT(1+sp500_monthly!L957:L1076)^(1/120)-1)</f>
        <v>9.6979233340205306E-2</v>
      </c>
      <c r="H956" cm="1">
        <f t="array" ref="H956">(PRODUCT(1+sp500_monthly!N957:N1076)^(1/120)-1)*100</f>
        <v>0.4716773578034017</v>
      </c>
      <c r="I956" cm="1">
        <f t="array" ref="I956">(PRODUCT(1+sp500_monthly!O957:O1076)^(1/120)-1)*100</f>
        <v>-6.3260762308514629E-2</v>
      </c>
    </row>
    <row r="957" spans="1:9" x14ac:dyDescent="0.35">
      <c r="A957" s="1">
        <v>42247</v>
      </c>
      <c r="B957" cm="1">
        <f t="array" ref="B957">(PRODUCT(1+sp500_monthly!B958:B1077)^(1/120)-1)*100</f>
        <v>0.62996811316051726</v>
      </c>
      <c r="C957" cm="1">
        <f t="array" ref="C957">(PRODUCT(1+sp500_monthly!C958:C1077)^(1/120)-1)*100</f>
        <v>0.449806565254951</v>
      </c>
      <c r="D957" cm="1">
        <f t="array" ref="D957">(PRODUCT(1+sp500_monthly!D958:D1077)^(1/120)-1)*100</f>
        <v>0.75266508634612705</v>
      </c>
      <c r="E957" cm="1">
        <f t="array" ref="E957">(PRODUCT(1+sp500_monthly!E958:E1077)^(1/120)-1)*100</f>
        <v>0.58952672023393493</v>
      </c>
      <c r="F957" cm="1">
        <f t="array" ref="F957">(PRODUCT(1+sp500_monthly!K958:K1077)^(1/120)-1)*100</f>
        <v>0.44545825457780186</v>
      </c>
      <c r="G957" cm="1">
        <f t="array" ref="G957">(PRODUCT(1+sp500_monthly!L958:L1077)^(1/120)-1)</f>
        <v>9.5014555499524755E-2</v>
      </c>
      <c r="H957" cm="1">
        <f t="array" ref="H957">(PRODUCT(1+sp500_monthly!N958:N1077)^(1/120)-1)*100</f>
        <v>0.46245237242514836</v>
      </c>
      <c r="I957" cm="1">
        <f t="array" ref="I957">(PRODUCT(1+sp500_monthly!O958:O1077)^(1/120)-1)*100</f>
        <v>-6.1433694981016806E-2</v>
      </c>
    </row>
    <row r="958" spans="1:9" x14ac:dyDescent="0.35">
      <c r="A958" s="1">
        <v>42277</v>
      </c>
      <c r="B958" cm="1">
        <f t="array" ref="B958">(PRODUCT(1+sp500_monthly!B959:B1078)^(1/120)-1)*100</f>
        <v>0.58574101436845716</v>
      </c>
      <c r="C958" cm="1">
        <f t="array" ref="C958">(PRODUCT(1+sp500_monthly!C959:C1078)^(1/120)-1)*100</f>
        <v>0.40534795191284889</v>
      </c>
      <c r="D958" cm="1">
        <f t="array" ref="D958">(PRODUCT(1+sp500_monthly!D959:D1078)^(1/120)-1)*100</f>
        <v>0.71460064179655891</v>
      </c>
      <c r="E958" cm="1">
        <f t="array" ref="E958">(PRODUCT(1+sp500_monthly!E959:E1078)^(1/120)-1)*100</f>
        <v>0.55113896806988638</v>
      </c>
      <c r="F958" cm="1">
        <f t="array" ref="F958">(PRODUCT(1+sp500_monthly!K959:K1078)^(1/120)-1)*100</f>
        <v>0.40082060236503736</v>
      </c>
      <c r="G958" cm="1">
        <f t="array" ref="G958">(PRODUCT(1+sp500_monthly!L959:L1078)^(1/120)-1)</f>
        <v>9.2623065055350562E-2</v>
      </c>
      <c r="H958" cm="1">
        <f t="array" ref="H958">(PRODUCT(1+sp500_monthly!N959:N1078)^(1/120)-1)*100</f>
        <v>0.42343904628745488</v>
      </c>
      <c r="I958" cm="1">
        <f t="array" ref="I958">(PRODUCT(1+sp500_monthly!O959:O1078)^(1/120)-1)*100</f>
        <v>-5.8812922625550712E-2</v>
      </c>
    </row>
    <row r="959" spans="1:9" x14ac:dyDescent="0.35">
      <c r="A959" s="1">
        <v>42307</v>
      </c>
      <c r="B959" cm="1">
        <f t="array" ref="B959">(PRODUCT(1+sp500_monthly!B960:B1079)^(1/120)-1)*100</f>
        <v>0.55817764636278966</v>
      </c>
      <c r="C959" cm="1">
        <f t="array" ref="C959">(PRODUCT(1+sp500_monthly!C960:C1079)^(1/120)-1)*100</f>
        <v>0.3773211245914343</v>
      </c>
      <c r="D959" cm="1">
        <f t="array" ref="D959">(PRODUCT(1+sp500_monthly!D960:D1079)^(1/120)-1)*100</f>
        <v>0.67900674793792692</v>
      </c>
      <c r="E959" cm="1">
        <f t="array" ref="E959">(PRODUCT(1+sp500_monthly!E960:E1079)^(1/120)-1)*100</f>
        <v>0.51482700338638665</v>
      </c>
      <c r="F959" cm="1">
        <f t="array" ref="F959">(PRODUCT(1+sp500_monthly!K960:K1079)^(1/120)-1)*100</f>
        <v>0.37260869722661738</v>
      </c>
      <c r="G959" cm="1">
        <f t="array" ref="G959">(PRODUCT(1+sp500_monthly!L960:L1079)^(1/120)-1)</f>
        <v>9.0306956993759124E-2</v>
      </c>
      <c r="H959" cm="1">
        <f t="array" ref="H959">(PRODUCT(1+sp500_monthly!N960:N1079)^(1/120)-1)*100</f>
        <v>0.40924414369623019</v>
      </c>
      <c r="I959" cm="1">
        <f t="array" ref="I959">(PRODUCT(1+sp500_monthly!O960:O1079)^(1/120)-1)*100</f>
        <v>-4.7961323217970975E-2</v>
      </c>
    </row>
    <row r="960" spans="1:9" x14ac:dyDescent="0.35">
      <c r="A960" s="1">
        <v>42338</v>
      </c>
      <c r="B960" cm="1">
        <f t="array" ref="B960">(PRODUCT(1+sp500_monthly!B961:B1080)^(1/120)-1)*100</f>
        <v>0.63861073215483177</v>
      </c>
      <c r="C960" cm="1">
        <f t="array" ref="C960">(PRODUCT(1+sp500_monthly!C961:C1080)^(1/120)-1)*100</f>
        <v>0.45739930588373223</v>
      </c>
      <c r="D960" cm="1">
        <f t="array" ref="D960">(PRODUCT(1+sp500_monthly!D961:D1080)^(1/120)-1)*100</f>
        <v>0.75857113825079647</v>
      </c>
      <c r="E960" cm="1">
        <f t="array" ref="E960">(PRODUCT(1+sp500_monthly!E961:E1080)^(1/120)-1)*100</f>
        <v>0.59405461316233144</v>
      </c>
      <c r="F960" cm="1">
        <f t="array" ref="F960">(PRODUCT(1+sp500_monthly!K961:K1080)^(1/120)-1)*100</f>
        <v>0.45429464128661223</v>
      </c>
      <c r="G960" cm="1">
        <f t="array" ref="G960">(PRODUCT(1+sp500_monthly!L961:L1080)^(1/120)-1)</f>
        <v>8.8137436765837629E-2</v>
      </c>
      <c r="H960" cm="1">
        <f t="array" ref="H960">(PRODUCT(1+sp500_monthly!N961:N1080)^(1/120)-1)*100</f>
        <v>0.48999265728908448</v>
      </c>
      <c r="I960" cm="1">
        <f t="array" ref="I960">(PRODUCT(1+sp500_monthly!O961:O1080)^(1/120)-1)*100</f>
        <v>-4.9774967741911258E-2</v>
      </c>
    </row>
    <row r="961" spans="1:9" x14ac:dyDescent="0.35">
      <c r="A961" s="1">
        <v>42369</v>
      </c>
      <c r="B961" cm="1">
        <f t="array" ref="B961">(PRODUCT(1+sp500_monthly!B962:B1081)^(1/120)-1)*100</f>
        <v>0.60992707858844586</v>
      </c>
      <c r="C961" cm="1">
        <f t="array" ref="C961">(PRODUCT(1+sp500_monthly!C962:C1081)^(1/120)-1)*100</f>
        <v>0.42874229396430152</v>
      </c>
      <c r="D961" cm="1">
        <f t="array" ref="D961">(PRODUCT(1+sp500_monthly!D962:D1081)^(1/120)-1)*100</f>
        <v>0.72505816278125579</v>
      </c>
      <c r="E961" cm="1">
        <f t="array" ref="E961">(PRODUCT(1+sp500_monthly!E962:E1081)^(1/120)-1)*100</f>
        <v>0.56013547018189946</v>
      </c>
      <c r="F961" cm="1">
        <f t="array" ref="F961">(PRODUCT(1+sp500_monthly!K962:K1081)^(1/120)-1)*100</f>
        <v>0.42577281216933383</v>
      </c>
      <c r="G961" cm="1">
        <f t="array" ref="G961">(PRODUCT(1+sp500_monthly!L962:L1081)^(1/120)-1)</f>
        <v>8.5691634294330798E-2</v>
      </c>
      <c r="H961" cm="1">
        <f t="array" ref="H961">(PRODUCT(1+sp500_monthly!N962:N1081)^(1/120)-1)*100</f>
        <v>0.45613658083316633</v>
      </c>
      <c r="I961" cm="1">
        <f t="array" ref="I961">(PRODUCT(1+sp500_monthly!O962:O1081)^(1/120)-1)*100</f>
        <v>-5.7541103991531894E-2</v>
      </c>
    </row>
    <row r="962" spans="1:9" x14ac:dyDescent="0.35">
      <c r="A962" s="1">
        <v>42398</v>
      </c>
      <c r="B962" cm="1">
        <f t="array" ref="B962">(PRODUCT(1+sp500_monthly!B963:B1082)^(1/120)-1)*100</f>
        <v>0.5970964178529492</v>
      </c>
      <c r="C962" cm="1">
        <f t="array" ref="C962">(PRODUCT(1+sp500_monthly!C963:C1082)^(1/120)-1)*100</f>
        <v>0.41549787090819912</v>
      </c>
      <c r="D962" cm="1">
        <f t="array" ref="D962">(PRODUCT(1+sp500_monthly!D963:D1082)^(1/120)-1)*100</f>
        <v>0.69686068779621912</v>
      </c>
      <c r="E962" cm="1">
        <f t="array" ref="E962">(PRODUCT(1+sp500_monthly!E963:E1082)^(1/120)-1)*100</f>
        <v>0.53138490136801497</v>
      </c>
      <c r="F962" cm="1">
        <f t="array" ref="F962">(PRODUCT(1+sp500_monthly!K963:K1082)^(1/120)-1)*100</f>
        <v>0.41177023742111629</v>
      </c>
      <c r="G962" cm="1">
        <f t="array" ref="G962">(PRODUCT(1+sp500_monthly!L963:L1082)^(1/120)-1)</f>
        <v>8.3272504590334195E-2</v>
      </c>
      <c r="H962" cm="1">
        <f t="array" ref="H962">(PRODUCT(1+sp500_monthly!N963:N1082)^(1/120)-1)*100</f>
        <v>0.4442262893657567</v>
      </c>
      <c r="I962" cm="1">
        <f t="array" ref="I962">(PRODUCT(1+sp500_monthly!O963:O1082)^(1/120)-1)*100</f>
        <v>-5.9222424872185098E-2</v>
      </c>
    </row>
    <row r="963" spans="1:9" x14ac:dyDescent="0.35">
      <c r="A963" s="1">
        <v>42429</v>
      </c>
      <c r="B963" cm="1">
        <f t="array" ref="B963">(PRODUCT(1+sp500_monthly!B964:B1083)^(1/120)-1)*100</f>
        <v>0.53303242821742813</v>
      </c>
      <c r="C963" cm="1">
        <f t="array" ref="C963">(PRODUCT(1+sp500_monthly!C964:C1083)^(1/120)-1)*100</f>
        <v>0.3513673545923135</v>
      </c>
      <c r="D963" cm="1">
        <f t="array" ref="D963">(PRODUCT(1+sp500_monthly!D964:D1083)^(1/120)-1)*100</f>
        <v>0.61454550285899856</v>
      </c>
      <c r="E963" cm="1">
        <f t="array" ref="E963">(PRODUCT(1+sp500_monthly!E964:E1083)^(1/120)-1)*100</f>
        <v>0.44913419988581449</v>
      </c>
      <c r="F963" cm="1">
        <f t="array" ref="F963">(PRODUCT(1+sp500_monthly!K964:K1083)^(1/120)-1)*100</f>
        <v>0.34717989813910499</v>
      </c>
      <c r="G963" cm="1">
        <f t="array" ref="G963">(PRODUCT(1+sp500_monthly!L964:L1083)^(1/120)-1)</f>
        <v>8.0656367598025414E-2</v>
      </c>
      <c r="H963" cm="1">
        <f t="array" ref="H963">(PRODUCT(1+sp500_monthly!N964:N1083)^(1/120)-1)*100</f>
        <v>0.38569524262870303</v>
      </c>
      <c r="I963" cm="1">
        <f t="array" ref="I963">(PRODUCT(1+sp500_monthly!O964:O1083)^(1/120)-1)*100</f>
        <v>-5.6637316672880633E-2</v>
      </c>
    </row>
    <row r="964" spans="1:9" x14ac:dyDescent="0.35">
      <c r="A964" s="1">
        <v>42460</v>
      </c>
      <c r="B964" cm="1">
        <f t="array" ref="B964">(PRODUCT(1+sp500_monthly!B965:B1084)^(1/120)-1)*100</f>
        <v>0.52954266596356714</v>
      </c>
      <c r="C964" cm="1">
        <f t="array" ref="C964">(PRODUCT(1+sp500_monthly!C965:C1084)^(1/120)-1)*100</f>
        <v>0.34749223751906477</v>
      </c>
      <c r="D964" cm="1">
        <f t="array" ref="D964">(PRODUCT(1+sp500_monthly!D965:D1084)^(1/120)-1)*100</f>
        <v>0.62193750148333837</v>
      </c>
      <c r="E964" cm="1">
        <f t="array" ref="E964">(PRODUCT(1+sp500_monthly!E965:E1084)^(1/120)-1)*100</f>
        <v>0.45592215848500039</v>
      </c>
      <c r="F964" cm="1">
        <f t="array" ref="F964">(PRODUCT(1+sp500_monthly!K965:K1084)^(1/120)-1)*100</f>
        <v>0.34334215923077505</v>
      </c>
      <c r="G964" cm="1">
        <f t="array" ref="G964">(PRODUCT(1+sp500_monthly!L965:L1084)^(1/120)-1)</f>
        <v>7.8201863904499014E-2</v>
      </c>
      <c r="H964" cm="1">
        <f t="array" ref="H964">(PRODUCT(1+sp500_monthly!N965:N1084)^(1/120)-1)*100</f>
        <v>0.383743267582215</v>
      </c>
      <c r="I964" cm="1">
        <f t="array" ref="I964">(PRODUCT(1+sp500_monthly!O965:O1084)^(1/120)-1)*100</f>
        <v>-5.7771719563504131E-2</v>
      </c>
    </row>
    <row r="965" spans="1:9" x14ac:dyDescent="0.35">
      <c r="A965" s="1">
        <v>42489</v>
      </c>
      <c r="B965" cm="1">
        <f t="array" ref="B965">(PRODUCT(1+sp500_monthly!B966:B1085)^(1/120)-1)*100</f>
        <v>0.57340253297224475</v>
      </c>
      <c r="C965" cm="1">
        <f t="array" ref="C965">(PRODUCT(1+sp500_monthly!C966:C1085)^(1/120)-1)*100</f>
        <v>0.39070667660183744</v>
      </c>
      <c r="D965" cm="1">
        <f t="array" ref="D965">(PRODUCT(1+sp500_monthly!D966:D1085)^(1/120)-1)*100</f>
        <v>0.67238961495359462</v>
      </c>
      <c r="E965" cm="1">
        <f t="array" ref="E965">(PRODUCT(1+sp500_monthly!E966:E1085)^(1/120)-1)*100</f>
        <v>0.50515950223741779</v>
      </c>
      <c r="F965" cm="1">
        <f t="array" ref="F965">(PRODUCT(1+sp500_monthly!K966:K1085)^(1/120)-1)*100</f>
        <v>0.38758714631841329</v>
      </c>
      <c r="G965" cm="1">
        <f t="array" ref="G965">(PRODUCT(1+sp500_monthly!L966:L1085)^(1/120)-1)</f>
        <v>7.5554466945997989E-2</v>
      </c>
      <c r="H965" cm="1">
        <f t="array" ref="H965">(PRODUCT(1+sp500_monthly!N966:N1085)^(1/120)-1)*100</f>
        <v>0.42617831316515975</v>
      </c>
      <c r="I965" cm="1">
        <f t="array" ref="I965">(PRODUCT(1+sp500_monthly!O966:O1085)^(1/120)-1)*100</f>
        <v>-6.2035582114083887E-2</v>
      </c>
    </row>
    <row r="966" spans="1:9" x14ac:dyDescent="0.35">
      <c r="A966" s="1">
        <v>42521</v>
      </c>
      <c r="B966" cm="1">
        <f t="array" ref="B966">(PRODUCT(1+sp500_monthly!B967:B1086)^(1/120)-1)*100</f>
        <v>0.56648683026125912</v>
      </c>
      <c r="C966" cm="1">
        <f t="array" ref="C966">(PRODUCT(1+sp500_monthly!C967:C1086)^(1/120)-1)*100</f>
        <v>0.38383109125612602</v>
      </c>
      <c r="D966" cm="1">
        <f t="array" ref="D966">(PRODUCT(1+sp500_monthly!D967:D1086)^(1/120)-1)*100</f>
        <v>0.67428281436530124</v>
      </c>
      <c r="E966" cm="1">
        <f t="array" ref="E966">(PRODUCT(1+sp500_monthly!E967:E1086)^(1/120)-1)*100</f>
        <v>0.50705445111958181</v>
      </c>
      <c r="F966" cm="1">
        <f t="array" ref="F966">(PRODUCT(1+sp500_monthly!K967:K1086)^(1/120)-1)*100</f>
        <v>0.37970872630608277</v>
      </c>
      <c r="G966" cm="1">
        <f t="array" ref="G966">(PRODUCT(1+sp500_monthly!L967:L1086)^(1/120)-1)</f>
        <v>7.2890983472206905E-2</v>
      </c>
      <c r="H966" cm="1">
        <f t="array" ref="H966">(PRODUCT(1+sp500_monthly!N967:N1086)^(1/120)-1)*100</f>
        <v>0.42025323963805761</v>
      </c>
      <c r="I966" cm="1">
        <f t="array" ref="I966">(PRODUCT(1+sp500_monthly!O967:O1086)^(1/120)-1)*100</f>
        <v>-6.3969239805450329E-2</v>
      </c>
    </row>
    <row r="967" spans="1:9" x14ac:dyDescent="0.35">
      <c r="A967" s="1">
        <v>42551</v>
      </c>
      <c r="B967" cm="1">
        <f t="array" ref="B967">(PRODUCT(1+sp500_monthly!B968:B1087)^(1/120)-1)*100</f>
        <v>0.60592157602878949</v>
      </c>
      <c r="C967" cm="1">
        <f t="array" ref="C967">(PRODUCT(1+sp500_monthly!C968:C1087)^(1/120)-1)*100</f>
        <v>0.42295121415447667</v>
      </c>
      <c r="D967" cm="1">
        <f t="array" ref="D967">(PRODUCT(1+sp500_monthly!D968:D1087)^(1/120)-1)*100</f>
        <v>0.71043845900158331</v>
      </c>
      <c r="E967" cm="1">
        <f t="array" ref="E967">(PRODUCT(1+sp500_monthly!E968:E1087)^(1/120)-1)*100</f>
        <v>0.54276035814111445</v>
      </c>
      <c r="F967" cm="1">
        <f t="array" ref="F967">(PRODUCT(1+sp500_monthly!K968:K1087)^(1/120)-1)*100</f>
        <v>0.4187119058731259</v>
      </c>
      <c r="G967" cm="1">
        <f t="array" ref="G967">(PRODUCT(1+sp500_monthly!L968:L1087)^(1/120)-1)</f>
        <v>6.9786566263920546E-2</v>
      </c>
      <c r="H967" cm="1">
        <f t="array" ref="H967">(PRODUCT(1+sp500_monthly!N968:N1087)^(1/120)-1)*100</f>
        <v>0.46015284316569538</v>
      </c>
      <c r="I967" cm="1">
        <f t="array" ref="I967">(PRODUCT(1+sp500_monthly!O968:O1087)^(1/120)-1)*100</f>
        <v>-6.6939806964916304E-2</v>
      </c>
    </row>
    <row r="968" spans="1:9" x14ac:dyDescent="0.35">
      <c r="A968" s="1">
        <v>42580</v>
      </c>
      <c r="B968" cm="1">
        <f t="array" ref="B968">(PRODUCT(1+sp500_monthly!B969:B1088)^(1/120)-1)*100</f>
        <v>0.60683180091112288</v>
      </c>
      <c r="C968" cm="1">
        <f t="array" ref="C968">(PRODUCT(1+sp500_monthly!C969:C1088)^(1/120)-1)*100</f>
        <v>0.42349815156572657</v>
      </c>
      <c r="D968" cm="1">
        <f t="array" ref="D968">(PRODUCT(1+sp500_monthly!D969:D1088)^(1/120)-1)*100</f>
        <v>0.71199437804041477</v>
      </c>
      <c r="E968" cm="1">
        <f t="array" ref="E968">(PRODUCT(1+sp500_monthly!E969:E1088)^(1/120)-1)*100</f>
        <v>0.54378695365673302</v>
      </c>
      <c r="F968" cm="1">
        <f t="array" ref="F968">(PRODUCT(1+sp500_monthly!K969:K1088)^(1/120)-1)*100</f>
        <v>0.41939692584536115</v>
      </c>
      <c r="G968" cm="1">
        <f t="array" ref="G968">(PRODUCT(1+sp500_monthly!L969:L1088)^(1/120)-1)</f>
        <v>6.6967213796904179E-2</v>
      </c>
      <c r="H968" cm="1">
        <f t="array" ref="H968">(PRODUCT(1+sp500_monthly!N969:N1088)^(1/120)-1)*100</f>
        <v>0.46081785001204079</v>
      </c>
      <c r="I968" cm="1">
        <f t="array" ref="I968">(PRODUCT(1+sp500_monthly!O969:O1088)^(1/120)-1)*100</f>
        <v>-7.0340285793735191E-2</v>
      </c>
    </row>
    <row r="969" spans="1:9" x14ac:dyDescent="0.35">
      <c r="A969" s="1">
        <v>42613</v>
      </c>
      <c r="B969" cm="1">
        <f t="array" ref="B969">(PRODUCT(1+sp500_monthly!B970:B1089)^(1/120)-1)*100</f>
        <v>0.63229073903421362</v>
      </c>
      <c r="C969" cm="1">
        <f t="array" ref="C969">(PRODUCT(1+sp500_monthly!C970:C1089)^(1/120)-1)*100</f>
        <v>0.44878676752493352</v>
      </c>
      <c r="D969" cm="1">
        <f t="array" ref="D969">(PRODUCT(1+sp500_monthly!D970:D1089)^(1/120)-1)*100</f>
        <v>0.7596875140791326</v>
      </c>
      <c r="E969" cm="1">
        <f t="array" ref="E969">(PRODUCT(1+sp500_monthly!E970:E1089)^(1/120)-1)*100</f>
        <v>0.59144545849110219</v>
      </c>
      <c r="F969" cm="1">
        <f t="array" ref="F969">(PRODUCT(1+sp500_monthly!K970:K1089)^(1/120)-1)*100</f>
        <v>0.44443587050810862</v>
      </c>
      <c r="G969" cm="1">
        <f t="array" ref="G969">(PRODUCT(1+sp500_monthly!L970:L1089)^(1/120)-1)</f>
        <v>6.4155291548759319E-2</v>
      </c>
      <c r="H969" cm="1">
        <f t="array" ref="H969">(PRODUCT(1+sp500_monthly!N970:N1089)^(1/120)-1)*100</f>
        <v>0.49121400272931215</v>
      </c>
      <c r="I969" cm="1">
        <f t="array" ref="I969">(PRODUCT(1+sp500_monthly!O970:O1089)^(1/120)-1)*100</f>
        <v>-6.8551591092258501E-2</v>
      </c>
    </row>
    <row r="970" spans="1:9" x14ac:dyDescent="0.35">
      <c r="A970" s="1">
        <v>42643</v>
      </c>
      <c r="B970" cm="1">
        <f t="array" ref="B970">(PRODUCT(1+sp500_monthly!B971:B1090)^(1/120)-1)*100</f>
        <v>0.61332604216630671</v>
      </c>
      <c r="C970" cm="1">
        <f t="array" ref="C970">(PRODUCT(1+sp500_monthly!C971:C1090)^(1/120)-1)*100</f>
        <v>0.42966621251596671</v>
      </c>
      <c r="D970" cm="1">
        <f t="array" ref="D970">(PRODUCT(1+sp500_monthly!D971:D1090)^(1/120)-1)*100</f>
        <v>0.73641470486192073</v>
      </c>
      <c r="E970" cm="1">
        <f t="array" ref="E970">(PRODUCT(1+sp500_monthly!E971:E1090)^(1/120)-1)*100</f>
        <v>0.56778828548165183</v>
      </c>
      <c r="F970" cm="1">
        <f t="array" ref="F970">(PRODUCT(1+sp500_monthly!K971:K1090)^(1/120)-1)*100</f>
        <v>0.42579627546053267</v>
      </c>
      <c r="G970" cm="1">
        <f t="array" ref="G970">(PRODUCT(1+sp500_monthly!L971:L1090)^(1/120)-1)</f>
        <v>6.1225330073763518E-2</v>
      </c>
      <c r="H970" cm="1">
        <f t="array" ref="H970">(PRODUCT(1+sp500_monthly!N971:N1090)^(1/120)-1)*100</f>
        <v>0.47443469643135838</v>
      </c>
      <c r="I970" cm="1">
        <f t="array" ref="I970">(PRODUCT(1+sp500_monthly!O971:O1090)^(1/120)-1)*100</f>
        <v>-6.9728164330729037E-2</v>
      </c>
    </row>
    <row r="971" spans="1:9" x14ac:dyDescent="0.35">
      <c r="A971" s="1">
        <v>42674</v>
      </c>
      <c r="B971" cm="1">
        <f t="array" ref="B971">(PRODUCT(1+sp500_monthly!B972:B1091)^(1/120)-1)*100</f>
        <v>0.59178335287259909</v>
      </c>
      <c r="C971" cm="1">
        <f t="array" ref="C971">(PRODUCT(1+sp500_monthly!C972:C1091)^(1/120)-1)*100</f>
        <v>0.40789635362472598</v>
      </c>
      <c r="D971" cm="1">
        <f t="array" ref="D971">(PRODUCT(1+sp500_monthly!D972:D1091)^(1/120)-1)*100</f>
        <v>0.71510456583634419</v>
      </c>
      <c r="E971" cm="1">
        <f t="array" ref="E971">(PRODUCT(1+sp500_monthly!E972:E1091)^(1/120)-1)*100</f>
        <v>0.54597434773773212</v>
      </c>
      <c r="F971" cm="1">
        <f t="array" ref="F971">(PRODUCT(1+sp500_monthly!K972:K1091)^(1/120)-1)*100</f>
        <v>0.40445482272628563</v>
      </c>
      <c r="G971" cm="1">
        <f t="array" ref="G971">(PRODUCT(1+sp500_monthly!L972:L1091)^(1/120)-1)</f>
        <v>5.8365764287510835E-2</v>
      </c>
      <c r="H971" cm="1">
        <f t="array" ref="H971">(PRODUCT(1+sp500_monthly!N972:N1091)^(1/120)-1)*100</f>
        <v>0.44661130362271262</v>
      </c>
      <c r="I971" cm="1">
        <f t="array" ref="I971">(PRODUCT(1+sp500_monthly!O972:O1091)^(1/120)-1)*100</f>
        <v>-7.9246287716649988E-2</v>
      </c>
    </row>
    <row r="972" spans="1:9" x14ac:dyDescent="0.35">
      <c r="A972" s="1">
        <v>42704</v>
      </c>
      <c r="B972" cm="1">
        <f t="array" ref="B972">(PRODUCT(1+sp500_monthly!B973:B1092)^(1/120)-1)*100</f>
        <v>0.54978152386375712</v>
      </c>
      <c r="C972" cm="1">
        <f t="array" ref="C972">(PRODUCT(1+sp500_monthly!C973:C1092)^(1/120)-1)*100</f>
        <v>0.36580408908324369</v>
      </c>
      <c r="D972" cm="1">
        <f t="array" ref="D972">(PRODUCT(1+sp500_monthly!D973:D1092)^(1/120)-1)*100</f>
        <v>0.66428922626406983</v>
      </c>
      <c r="E972" cm="1">
        <f t="array" ref="E972">(PRODUCT(1+sp500_monthly!E973:E1092)^(1/120)-1)*100</f>
        <v>0.49529130055427917</v>
      </c>
      <c r="F972" cm="1">
        <f t="array" ref="F972">(PRODUCT(1+sp500_monthly!K973:K1092)^(1/120)-1)*100</f>
        <v>0.36209394010215945</v>
      </c>
      <c r="G972" cm="1">
        <f t="array" ref="G972">(PRODUCT(1+sp500_monthly!L973:L1092)^(1/120)-1)</f>
        <v>5.5513903854922608E-2</v>
      </c>
      <c r="H972" cm="1">
        <f t="array" ref="H972">(PRODUCT(1+sp500_monthly!N973:N1092)^(1/120)-1)*100</f>
        <v>0.39899094989099826</v>
      </c>
      <c r="I972" cm="1">
        <f t="array" ref="I972">(PRODUCT(1+sp500_monthly!O973:O1092)^(1/120)-1)*100</f>
        <v>-8.8138282882110897E-2</v>
      </c>
    </row>
    <row r="973" spans="1:9" x14ac:dyDescent="0.35">
      <c r="A973" s="1">
        <v>42734</v>
      </c>
      <c r="B973" cm="1">
        <f t="array" ref="B973">(PRODUCT(1+sp500_monthly!B974:B1093)^(1/120)-1)*100</f>
        <v>0.56399995061717778</v>
      </c>
      <c r="C973" cm="1">
        <f t="array" ref="C973">(PRODUCT(1+sp500_monthly!C974:C1093)^(1/120)-1)*100</f>
        <v>0.37980035767573028</v>
      </c>
      <c r="D973" cm="1">
        <f t="array" ref="D973">(PRODUCT(1+sp500_monthly!D974:D1093)^(1/120)-1)*100</f>
        <v>0.68551643405270202</v>
      </c>
      <c r="E973" cm="1">
        <f t="array" ref="E973">(PRODUCT(1+sp500_monthly!E974:E1093)^(1/120)-1)*100</f>
        <v>0.51616925442734551</v>
      </c>
      <c r="F973" cm="1">
        <f t="array" ref="F973">(PRODUCT(1+sp500_monthly!K974:K1093)^(1/120)-1)*100</f>
        <v>0.3765388840280659</v>
      </c>
      <c r="G973" cm="1">
        <f t="array" ref="G973">(PRODUCT(1+sp500_monthly!L974:L1093)^(1/120)-1)</f>
        <v>5.252131674935212E-2</v>
      </c>
      <c r="H973" cm="1">
        <f t="array" ref="H973">(PRODUCT(1+sp500_monthly!N974:N1093)^(1/120)-1)*100</f>
        <v>0.41261646909347416</v>
      </c>
      <c r="I973" cm="1">
        <f t="array" ref="I973">(PRODUCT(1+sp500_monthly!O974:O1093)^(1/120)-1)*100</f>
        <v>-9.2113272858762585E-2</v>
      </c>
    </row>
    <row r="974" spans="1:9" x14ac:dyDescent="0.35">
      <c r="A974" s="1">
        <v>42766</v>
      </c>
      <c r="B974" cm="1">
        <f t="array" ref="B974">(PRODUCT(1+sp500_monthly!B975:B1094)^(1/120)-1)*100</f>
        <v>0.56848172564079036</v>
      </c>
      <c r="C974" cm="1">
        <f t="array" ref="C974">(PRODUCT(1+sp500_monthly!C975:C1094)^(1/120)-1)*100</f>
        <v>0.38415465067000998</v>
      </c>
      <c r="D974" cm="1">
        <f t="array" ref="D974">(PRODUCT(1+sp500_monthly!D975:D1094)^(1/120)-1)*100</f>
        <v>0.68760508823657585</v>
      </c>
      <c r="E974" cm="1">
        <f t="array" ref="E974">(PRODUCT(1+sp500_monthly!E975:E1094)^(1/120)-1)*100</f>
        <v>0.51794631205759334</v>
      </c>
      <c r="F974" cm="1">
        <f t="array" ref="F974">(PRODUCT(1+sp500_monthly!K975:K1094)^(1/120)-1)*100</f>
        <v>0.38113980105622947</v>
      </c>
      <c r="G974" cm="1">
        <f t="array" ref="G974">(PRODUCT(1+sp500_monthly!L975:L1094)^(1/120)-1)</f>
        <v>4.9832815186083401E-2</v>
      </c>
      <c r="H974" cm="1">
        <f t="array" ref="H974">(PRODUCT(1+sp500_monthly!N975:N1094)^(1/120)-1)*100</f>
        <v>0.41952616473686088</v>
      </c>
      <c r="I974" cm="1">
        <f t="array" ref="I974">(PRODUCT(1+sp500_monthly!O975:O1094)^(1/120)-1)*100</f>
        <v>-9.2764866625139053E-2</v>
      </c>
    </row>
    <row r="975" spans="1:9" x14ac:dyDescent="0.35">
      <c r="A975" s="1">
        <v>42794</v>
      </c>
      <c r="B975" cm="1">
        <f t="array" ref="B975">(PRODUCT(1+sp500_monthly!B976:B1095)^(1/120)-1)*100</f>
        <v>0.5718353917458785</v>
      </c>
      <c r="C975" cm="1">
        <f t="array" ref="C975">(PRODUCT(1+sp500_monthly!C976:C1095)^(1/120)-1)*100</f>
        <v>0.38741910315600592</v>
      </c>
      <c r="D975" cm="1">
        <f t="array" ref="D975">(PRODUCT(1+sp500_monthly!D976:D1095)^(1/120)-1)*100</f>
        <v>0.68536232138431963</v>
      </c>
      <c r="E975" cm="1">
        <f t="array" ref="E975">(PRODUCT(1+sp500_monthly!E976:E1095)^(1/120)-1)*100</f>
        <v>0.51568352192890021</v>
      </c>
      <c r="F975" cm="1">
        <f t="array" ref="F975">(PRODUCT(1+sp500_monthly!K976:K1095)^(1/120)-1)*100</f>
        <v>0.3842892031840961</v>
      </c>
      <c r="G975" cm="1">
        <f t="array" ref="G975">(PRODUCT(1+sp500_monthly!L976:L1095)^(1/120)-1)</f>
        <v>4.698967938902876E-2</v>
      </c>
      <c r="H975" cm="1">
        <f t="array" ref="H975">(PRODUCT(1+sp500_monthly!N976:N1095)^(1/120)-1)*100</f>
        <v>0.42088565732190109</v>
      </c>
      <c r="I975" cm="1">
        <f t="array" ref="I975">(PRODUCT(1+sp500_monthly!O976:O1095)^(1/120)-1)*100</f>
        <v>-9.8066010056652164E-2</v>
      </c>
    </row>
    <row r="976" spans="1:9" x14ac:dyDescent="0.35">
      <c r="A976" s="1">
        <v>42825</v>
      </c>
      <c r="B976" cm="1">
        <f t="array" ref="B976">(PRODUCT(1+sp500_monthly!B977:B1096)^(1/120)-1)*100</f>
        <v>0.62060513081021451</v>
      </c>
      <c r="C976" cm="1">
        <f t="array" ref="C976">(PRODUCT(1+sp500_monthly!C977:C1096)^(1/120)-1)*100</f>
        <v>0.43613280683660882</v>
      </c>
      <c r="D976" cm="1">
        <f t="array" ref="D976">(PRODUCT(1+sp500_monthly!D977:D1096)^(1/120)-1)*100</f>
        <v>0.7140432929498175</v>
      </c>
      <c r="E976" cm="1">
        <f t="array" ref="E976">(PRODUCT(1+sp500_monthly!E977:E1096)^(1/120)-1)*100</f>
        <v>0.54397918782913557</v>
      </c>
      <c r="F976" cm="1">
        <f t="array" ref="F976">(PRODUCT(1+sp500_monthly!K977:K1096)^(1/120)-1)*100</f>
        <v>0.43333137833991842</v>
      </c>
      <c r="G976" cm="1">
        <f t="array" ref="G976">(PRODUCT(1+sp500_monthly!L977:L1096)^(1/120)-1)</f>
        <v>4.4524632342048287E-2</v>
      </c>
      <c r="H976" cm="1">
        <f t="array" ref="H976">(PRODUCT(1+sp500_monthly!N977:N1096)^(1/120)-1)*100</f>
        <v>0.47149068416869611</v>
      </c>
      <c r="I976" cm="1">
        <f t="array" ref="I976">(PRODUCT(1+sp500_monthly!O977:O1096)^(1/120)-1)*100</f>
        <v>-9.8992945440568025E-2</v>
      </c>
    </row>
    <row r="977" spans="1:9" x14ac:dyDescent="0.35">
      <c r="A977" s="1">
        <v>42853</v>
      </c>
      <c r="B977" cm="1">
        <f t="array" ref="B977">(PRODUCT(1+sp500_monthly!B978:B1097)^(1/120)-1)*100</f>
        <v>0.61291426175393848</v>
      </c>
      <c r="C977" cm="1">
        <f t="array" ref="C977">(PRODUCT(1+sp500_monthly!C978:C1097)^(1/120)-1)*100</f>
        <v>0.42811710128893843</v>
      </c>
      <c r="D977" cm="1">
        <f t="array" ref="D977">(PRODUCT(1+sp500_monthly!D978:D1097)^(1/120)-1)*100</f>
        <v>0.70806003483399049</v>
      </c>
      <c r="E977" cm="1">
        <f t="array" ref="E977">(PRODUCT(1+sp500_monthly!E978:E1097)^(1/120)-1)*100</f>
        <v>0.53749284405089082</v>
      </c>
      <c r="F977" cm="1">
        <f t="array" ref="F977">(PRODUCT(1+sp500_monthly!K978:K1097)^(1/120)-1)*100</f>
        <v>0.42469481433589085</v>
      </c>
      <c r="G977" cm="1">
        <f t="array" ref="G977">(PRODUCT(1+sp500_monthly!L978:L1097)^(1/120)-1)</f>
        <v>4.1672492830988617E-2</v>
      </c>
      <c r="H977" cm="1">
        <f t="array" ref="H977">(PRODUCT(1+sp500_monthly!N978:N1097)^(1/120)-1)*100</f>
        <v>0.46854480907709828</v>
      </c>
      <c r="I977" cm="1">
        <f t="array" ref="I977">(PRODUCT(1+sp500_monthly!O978:O1097)^(1/120)-1)*100</f>
        <v>-9.760836459526967E-2</v>
      </c>
    </row>
    <row r="978" spans="1:9" x14ac:dyDescent="0.35">
      <c r="A978" s="1">
        <v>42886</v>
      </c>
      <c r="B978" cm="1">
        <f t="array" ref="B978">(PRODUCT(1+sp500_monthly!B979:B1098)^(1/120)-1)*100</f>
        <v>0.58565557746335095</v>
      </c>
      <c r="C978" cm="1">
        <f t="array" ref="C978">(PRODUCT(1+sp500_monthly!C979:C1098)^(1/120)-1)*100</f>
        <v>0.40086349492391982</v>
      </c>
      <c r="D978" cm="1">
        <f t="array" ref="D978">(PRODUCT(1+sp500_monthly!D979:D1098)^(1/120)-1)*100</f>
        <v>0.67823101261612617</v>
      </c>
      <c r="E978" cm="1">
        <f t="array" ref="E978">(PRODUCT(1+sp500_monthly!E979:E1098)^(1/120)-1)*100</f>
        <v>0.50814988146052897</v>
      </c>
      <c r="F978" cm="1">
        <f t="array" ref="F978">(PRODUCT(1+sp500_monthly!K979:K1098)^(1/120)-1)*100</f>
        <v>0.39680554927601364</v>
      </c>
      <c r="G978" cm="1">
        <f t="array" ref="G978">(PRODUCT(1+sp500_monthly!L979:L1098)^(1/120)-1)</f>
        <v>3.8934303606688925E-2</v>
      </c>
      <c r="H978" cm="1">
        <f t="array" ref="H978">(PRODUCT(1+sp500_monthly!N979:N1098)^(1/120)-1)*100</f>
        <v>0.44280071342432947</v>
      </c>
      <c r="I978" cm="1">
        <f t="array" ref="I978">(PRODUCT(1+sp500_monthly!O979:O1098)^(1/120)-1)*100</f>
        <v>-9.9379697933210664E-2</v>
      </c>
    </row>
    <row r="979" spans="1:9" x14ac:dyDescent="0.35">
      <c r="A979" s="1">
        <v>42916</v>
      </c>
      <c r="B979" cm="1">
        <f t="array" ref="B979">(PRODUCT(1+sp500_monthly!B980:B1099)^(1/120)-1)*100</f>
        <v>0.56936918748022869</v>
      </c>
      <c r="C979" cm="1">
        <f t="array" ref="C979">(PRODUCT(1+sp500_monthly!C980:C1099)^(1/120)-1)*100</f>
        <v>0.38430008733734144</v>
      </c>
      <c r="D979" cm="1">
        <f t="array" ref="D979">(PRODUCT(1+sp500_monthly!D980:D1099)^(1/120)-1)*100</f>
        <v>0.65510248022768724</v>
      </c>
      <c r="E979" cm="1">
        <f t="array" ref="E979">(PRODUCT(1+sp500_monthly!E980:E1099)^(1/120)-1)*100</f>
        <v>0.48456257102180711</v>
      </c>
      <c r="F979" cm="1">
        <f t="array" ref="F979">(PRODUCT(1+sp500_monthly!K980:K1099)^(1/120)-1)*100</f>
        <v>0.37963833381255974</v>
      </c>
      <c r="G979" cm="1">
        <f t="array" ref="G979">(PRODUCT(1+sp500_monthly!L980:L1099)^(1/120)-1)</f>
        <v>3.6466991643514302E-2</v>
      </c>
      <c r="H979" cm="1">
        <f t="array" ref="H979">(PRODUCT(1+sp500_monthly!N980:N1099)^(1/120)-1)*100</f>
        <v>0.43063724532099723</v>
      </c>
      <c r="I979" cm="1">
        <f t="array" ref="I979">(PRODUCT(1+sp500_monthly!O980:O1099)^(1/120)-1)*100</f>
        <v>-9.82083925398336E-2</v>
      </c>
    </row>
    <row r="980" spans="1:9" x14ac:dyDescent="0.35">
      <c r="A980" s="1">
        <v>42947</v>
      </c>
      <c r="B980" cm="1">
        <f t="array" ref="B980">(PRODUCT(1+sp500_monthly!B981:B1100)^(1/120)-1)*100</f>
        <v>0.58826201113499899</v>
      </c>
      <c r="C980" cm="1">
        <f t="array" ref="C980">(PRODUCT(1+sp500_monthly!C981:C1100)^(1/120)-1)*100</f>
        <v>0.40299368278087222</v>
      </c>
      <c r="D980" cm="1">
        <f t="array" ref="D980">(PRODUCT(1+sp500_monthly!D981:D1100)^(1/120)-1)*100</f>
        <v>0.68161788199132545</v>
      </c>
      <c r="E980" cm="1">
        <f t="array" ref="E980">(PRODUCT(1+sp500_monthly!E981:E1100)^(1/120)-1)*100</f>
        <v>0.51061123524298591</v>
      </c>
      <c r="F980" cm="1">
        <f t="array" ref="F980">(PRODUCT(1+sp500_monthly!K981:K1100)^(1/120)-1)*100</f>
        <v>0.39869476186242814</v>
      </c>
      <c r="G980" cm="1">
        <f t="array" ref="G980">(PRODUCT(1+sp500_monthly!L981:L1100)^(1/120)-1)</f>
        <v>3.4066870168018903E-2</v>
      </c>
      <c r="H980" cm="1">
        <f t="array" ref="H980">(PRODUCT(1+sp500_monthly!N981:N1100)^(1/120)-1)*100</f>
        <v>0.45089579115840106</v>
      </c>
      <c r="I980" cm="1">
        <f t="array" ref="I980">(PRODUCT(1+sp500_monthly!O981:O1100)^(1/120)-1)*100</f>
        <v>-9.9648254582995754E-2</v>
      </c>
    </row>
    <row r="981" spans="1:9" x14ac:dyDescent="0.35">
      <c r="A981" s="1">
        <v>42978</v>
      </c>
      <c r="B981" cm="1">
        <f t="array" ref="B981">(PRODUCT(1+sp500_monthly!B982:B1101)^(1/120)-1)*100</f>
        <v>0.63200959280711455</v>
      </c>
      <c r="C981" cm="1">
        <f t="array" ref="C981">(PRODUCT(1+sp500_monthly!C982:C1101)^(1/120)-1)*100</f>
        <v>0.44634057604469035</v>
      </c>
      <c r="D981" cm="1">
        <f t="array" ref="D981">(PRODUCT(1+sp500_monthly!D982:D1101)^(1/120)-1)*100</f>
        <v>0.73347003307262515</v>
      </c>
      <c r="E981" cm="1">
        <f t="array" ref="E981">(PRODUCT(1+sp500_monthly!E982:E1101)^(1/120)-1)*100</f>
        <v>0.56186529880415392</v>
      </c>
      <c r="F981" cm="1">
        <f t="array" ref="F981">(PRODUCT(1+sp500_monthly!K982:K1101)^(1/120)-1)*100</f>
        <v>0.4419330580037073</v>
      </c>
      <c r="G981" cm="1">
        <f t="array" ref="G981">(PRODUCT(1+sp500_monthly!L982:L1101)^(1/120)-1)</f>
        <v>3.1753035879728664E-2</v>
      </c>
      <c r="H981" cm="1">
        <f t="array" ref="H981">(PRODUCT(1+sp500_monthly!N982:N1101)^(1/120)-1)*100</f>
        <v>0.49579913275001886</v>
      </c>
      <c r="I981" cm="1">
        <f t="array" ref="I981">(PRODUCT(1+sp500_monthly!O982:O1101)^(1/120)-1)*100</f>
        <v>-0.10118075584478747</v>
      </c>
    </row>
    <row r="982" spans="1:9" x14ac:dyDescent="0.35">
      <c r="A982" s="1">
        <v>43007</v>
      </c>
      <c r="B982" cm="1">
        <f t="array" ref="B982">(PRODUCT(1+sp500_monthly!B983:B1102)^(1/120)-1)*100</f>
        <v>0.62132159892152039</v>
      </c>
      <c r="C982" cm="1">
        <f t="array" ref="C982">(PRODUCT(1+sp500_monthly!C983:C1102)^(1/120)-1)*100</f>
        <v>0.43537488049918416</v>
      </c>
      <c r="D982" cm="1">
        <f t="array" ref="D982">(PRODUCT(1+sp500_monthly!D983:D1102)^(1/120)-1)*100</f>
        <v>0.72378154797050342</v>
      </c>
      <c r="E982" cm="1">
        <f t="array" ref="E982">(PRODUCT(1+sp500_monthly!E983:E1102)^(1/120)-1)*100</f>
        <v>0.55184827045555718</v>
      </c>
      <c r="F982" cm="1">
        <f t="array" ref="F982">(PRODUCT(1+sp500_monthly!K983:K1102)^(1/120)-1)*100</f>
        <v>0.43169175849795405</v>
      </c>
      <c r="G982" cm="1">
        <f t="array" ref="G982">(PRODUCT(1+sp500_monthly!L983:L1102)^(1/120)-1)</f>
        <v>2.9481563353161322E-2</v>
      </c>
      <c r="H982" cm="1">
        <f t="array" ref="H982">(PRODUCT(1+sp500_monthly!N983:N1102)^(1/120)-1)*100</f>
        <v>0.48216719459515112</v>
      </c>
      <c r="I982" cm="1">
        <f t="array" ref="I982">(PRODUCT(1+sp500_monthly!O983:O1102)^(1/120)-1)*100</f>
        <v>-0.10686201939720252</v>
      </c>
    </row>
    <row r="983" spans="1:9" x14ac:dyDescent="0.35">
      <c r="A983" s="1">
        <v>43039</v>
      </c>
      <c r="B983" cm="1">
        <f t="array" ref="B983">(PRODUCT(1+sp500_monthly!B984:B1103)^(1/120)-1)*100</f>
        <v>0.60712536501266179</v>
      </c>
      <c r="C983" cm="1">
        <f t="array" ref="C983">(PRODUCT(1+sp500_monthly!C984:C1103)^(1/120)-1)*100</f>
        <v>0.42137827478456735</v>
      </c>
      <c r="D983" cm="1">
        <f t="array" ref="D983">(PRODUCT(1+sp500_monthly!D984:D1103)^(1/120)-1)*100</f>
        <v>0.72791537425087594</v>
      </c>
      <c r="E983" cm="1">
        <f t="array" ref="E983">(PRODUCT(1+sp500_monthly!E984:E1103)^(1/120)-1)*100</f>
        <v>0.55574762172461156</v>
      </c>
      <c r="F983" cm="1">
        <f t="array" ref="F983">(PRODUCT(1+sp500_monthly!K984:K1103)^(1/120)-1)*100</f>
        <v>0.41826056905920339</v>
      </c>
      <c r="G983" cm="1">
        <f t="array" ref="G983">(PRODUCT(1+sp500_monthly!L984:L1103)^(1/120)-1)</f>
        <v>2.7840386203131784E-2</v>
      </c>
      <c r="H983" cm="1">
        <f t="array" ref="H983">(PRODUCT(1+sp500_monthly!N984:N1103)^(1/120)-1)*100</f>
        <v>0.46726655979281162</v>
      </c>
      <c r="I983" cm="1">
        <f t="array" ref="I983">(PRODUCT(1+sp500_monthly!O984:O1103)^(1/120)-1)*100</f>
        <v>-0.10949258059056444</v>
      </c>
    </row>
    <row r="984" spans="1:9" x14ac:dyDescent="0.35">
      <c r="A984" s="1">
        <v>43069</v>
      </c>
      <c r="B984" cm="1">
        <f t="array" ref="B984">(PRODUCT(1+sp500_monthly!B985:B1104)^(1/120)-1)*100</f>
        <v>0.61268774117406721</v>
      </c>
      <c r="C984" cm="1">
        <f t="array" ref="C984">(PRODUCT(1+sp500_monthly!C985:C1104)^(1/120)-1)*100</f>
        <v>0.42688875002632187</v>
      </c>
      <c r="D984" cm="1">
        <f t="array" ref="D984">(PRODUCT(1+sp500_monthly!D985:D1104)^(1/120)-1)*100</f>
        <v>0.72534801481025646</v>
      </c>
      <c r="E984" cm="1">
        <f t="array" ref="E984">(PRODUCT(1+sp500_monthly!E985:E1104)^(1/120)-1)*100</f>
        <v>0.55314352864317406</v>
      </c>
      <c r="F984" cm="1">
        <f t="array" ref="F984">(PRODUCT(1+sp500_monthly!K985:K1104)^(1/120)-1)*100</f>
        <v>0.42431279283843271</v>
      </c>
      <c r="G984" cm="1">
        <f t="array" ref="G984">(PRODUCT(1+sp500_monthly!L985:L1104)^(1/120)-1)</f>
        <v>2.620182538207172E-2</v>
      </c>
      <c r="H984" cm="1">
        <f t="array" ref="H984">(PRODUCT(1+sp500_monthly!N985:N1104)^(1/120)-1)*100</f>
        <v>0.47475008438955246</v>
      </c>
      <c r="I984" cm="1">
        <f t="array" ref="I984">(PRODUCT(1+sp500_monthly!O985:O1104)^(1/120)-1)*100</f>
        <v>-0.10948554938050581</v>
      </c>
    </row>
    <row r="985" spans="1:9" x14ac:dyDescent="0.35">
      <c r="A985" s="1">
        <v>43098</v>
      </c>
      <c r="B985" cm="1">
        <f t="array" ref="B985">(PRODUCT(1+sp500_monthly!B986:B1105)^(1/120)-1)*100</f>
        <v>0.67405424008086801</v>
      </c>
      <c r="C985" cm="1">
        <f t="array" ref="C985">(PRODUCT(1+sp500_monthly!C986:C1105)^(1/120)-1)*100</f>
        <v>0.48800921207063919</v>
      </c>
      <c r="D985" cm="1">
        <f t="array" ref="D985">(PRODUCT(1+sp500_monthly!D986:D1105)^(1/120)-1)*100</f>
        <v>0.80018800137362511</v>
      </c>
      <c r="E985" cm="1">
        <f t="array" ref="E985">(PRODUCT(1+sp500_monthly!E986:E1105)^(1/120)-1)*100</f>
        <v>0.62775330552733433</v>
      </c>
      <c r="F985" cm="1">
        <f t="array" ref="F985">(PRODUCT(1+sp500_monthly!K986:K1105)^(1/120)-1)*100</f>
        <v>0.48520365119359976</v>
      </c>
      <c r="G985" cm="1">
        <f t="array" ref="G985">(PRODUCT(1+sp500_monthly!L986:L1105)^(1/120)-1)</f>
        <v>2.4358811259907798E-2</v>
      </c>
      <c r="H985" cm="1">
        <f t="array" ref="H985">(PRODUCT(1+sp500_monthly!N986:N1105)^(1/120)-1)*100</f>
        <v>0.54035870152215892</v>
      </c>
      <c r="I985" cm="1">
        <f t="array" ref="I985">(PRODUCT(1+sp500_monthly!O986:O1105)^(1/120)-1)*100</f>
        <v>-0.10734690672353775</v>
      </c>
    </row>
    <row r="986" spans="1:9" x14ac:dyDescent="0.35">
      <c r="A986" s="1">
        <v>43131</v>
      </c>
      <c r="B986" cm="1">
        <f t="array" ref="B986">(PRODUCT(1+sp500_monthly!B987:B1106)^(1/120)-1)*100</f>
        <v>0.68850375490003834</v>
      </c>
      <c r="C986" cm="1">
        <f t="array" ref="C986">(PRODUCT(1+sp500_monthly!C987:C1106)^(1/120)-1)*100</f>
        <v>0.50286343364072117</v>
      </c>
      <c r="D986" cm="1">
        <f t="array" ref="D986">(PRODUCT(1+sp500_monthly!D987:D1106)^(1/120)-1)*100</f>
        <v>0.82528806380250952</v>
      </c>
      <c r="E986" cm="1">
        <f t="array" ref="E986">(PRODUCT(1+sp500_monthly!E987:E1106)^(1/120)-1)*100</f>
        <v>0.65311112468853239</v>
      </c>
      <c r="F986" cm="1">
        <f t="array" ref="F986">(PRODUCT(1+sp500_monthly!K987:K1106)^(1/120)-1)*100</f>
        <v>0.50065395079461616</v>
      </c>
      <c r="G986" cm="1">
        <f t="array" ref="G986">(PRODUCT(1+sp500_monthly!L987:L1106)^(1/120)-1)</f>
        <v>2.3054956890116385E-2</v>
      </c>
      <c r="H986" cm="1">
        <f t="array" ref="H986">(PRODUCT(1+sp500_monthly!N987:N1106)^(1/120)-1)*100</f>
        <v>0.55545030338453039</v>
      </c>
      <c r="I986" cm="1">
        <f t="array" ref="I986">(PRODUCT(1+sp500_monthly!O987:O1106)^(1/120)-1)*100</f>
        <v>-0.10818568163849518</v>
      </c>
    </row>
    <row r="987" spans="1:9" x14ac:dyDescent="0.35">
      <c r="A987" s="1">
        <v>43159</v>
      </c>
      <c r="B987" cm="1">
        <f t="array" ref="B987">(PRODUCT(1+sp500_monthly!B988:B1107)^(1/120)-1)*100</f>
        <v>0.7888677195302618</v>
      </c>
      <c r="C987" cm="1">
        <f t="array" ref="C987">(PRODUCT(1+sp500_monthly!C988:C1107)^(1/120)-1)*100</f>
        <v>0.60325817642552515</v>
      </c>
      <c r="D987" cm="1">
        <f t="array" ref="D987">(PRODUCT(1+sp500_monthly!D988:D1107)^(1/120)-1)*100</f>
        <v>0.90078420521058078</v>
      </c>
      <c r="E987" cm="1">
        <f t="array" ref="E987">(PRODUCT(1+sp500_monthly!E988:E1107)^(1/120)-1)*100</f>
        <v>0.7285848016976848</v>
      </c>
      <c r="F987" cm="1">
        <f t="array" ref="F987">(PRODUCT(1+sp500_monthly!K988:K1107)^(1/120)-1)*100</f>
        <v>0.59933629076351913</v>
      </c>
      <c r="G987" cm="1">
        <f t="array" ref="G987">(PRODUCT(1+sp500_monthly!L988:L1107)^(1/120)-1)</f>
        <v>2.2396222136518151E-2</v>
      </c>
      <c r="H987" cm="1">
        <f t="array" ref="H987">(PRODUCT(1+sp500_monthly!N988:N1107)^(1/120)-1)*100</f>
        <v>0.65500846962063264</v>
      </c>
      <c r="I987" cm="1">
        <f t="array" ref="I987">(PRODUCT(1+sp500_monthly!O988:O1107)^(1/120)-1)*100</f>
        <v>-0.10960169351111881</v>
      </c>
    </row>
    <row r="988" spans="1:9" x14ac:dyDescent="0.35">
      <c r="A988" s="1">
        <v>43188</v>
      </c>
      <c r="B988" cm="1">
        <f t="array" ref="B988">(PRODUCT(1+sp500_monthly!B989:B1108)^(1/120)-1)*100</f>
        <v>0.78343758470575953</v>
      </c>
      <c r="C988" cm="1">
        <f t="array" ref="C988">(PRODUCT(1+sp500_monthly!C989:C1108)^(1/120)-1)*100</f>
        <v>0.59802867317657604</v>
      </c>
      <c r="D988" cm="1">
        <f t="array" ref="D988">(PRODUCT(1+sp500_monthly!D989:D1108)^(1/120)-1)*100</f>
        <v>0.88869533342956775</v>
      </c>
      <c r="E988" cm="1">
        <f t="array" ref="E988">(PRODUCT(1+sp500_monthly!E989:E1108)^(1/120)-1)*100</f>
        <v>0.71655320372487896</v>
      </c>
      <c r="F988" cm="1">
        <f t="array" ref="F988">(PRODUCT(1+sp500_monthly!K989:K1108)^(1/120)-1)*100</f>
        <v>0.59569283259994776</v>
      </c>
      <c r="G988" cm="1">
        <f t="array" ref="G988">(PRODUCT(1+sp500_monthly!L989:L1108)^(1/120)-1)</f>
        <v>2.2244087118618472E-2</v>
      </c>
      <c r="H988" cm="1">
        <f t="array" ref="H988">(PRODUCT(1+sp500_monthly!N989:N1108)^(1/120)-1)*100</f>
        <v>0.64935593060202468</v>
      </c>
      <c r="I988" cm="1">
        <f t="array" ref="I988">(PRODUCT(1+sp500_monthly!O989:O1108)^(1/120)-1)*100</f>
        <v>-0.10999586152460328</v>
      </c>
    </row>
    <row r="989" spans="1:9" x14ac:dyDescent="0.35">
      <c r="A989" s="1">
        <v>43220</v>
      </c>
      <c r="B989" cm="1">
        <f t="array" ref="B989">(PRODUCT(1+sp500_monthly!B990:B1109)^(1/120)-1)*100</f>
        <v>0.76464079533904439</v>
      </c>
      <c r="C989" cm="1">
        <f t="array" ref="C989">(PRODUCT(1+sp500_monthly!C990:C1109)^(1/120)-1)*100</f>
        <v>0.57925301585657341</v>
      </c>
      <c r="D989" cm="1">
        <f t="array" ref="D989">(PRODUCT(1+sp500_monthly!D990:D1109)^(1/120)-1)*100</f>
        <v>0.89222543261351372</v>
      </c>
      <c r="E989" cm="1">
        <f t="array" ref="E989">(PRODUCT(1+sp500_monthly!E990:E1109)^(1/120)-1)*100</f>
        <v>0.71965528417656799</v>
      </c>
      <c r="F989" cm="1">
        <f t="array" ref="F989">(PRODUCT(1+sp500_monthly!K990:K1109)^(1/120)-1)*100</f>
        <v>0.57785948379533991</v>
      </c>
      <c r="G989" cm="1">
        <f t="array" ref="G989">(PRODUCT(1+sp500_monthly!L990:L1109)^(1/120)-1)</f>
        <v>2.1795729261946173E-2</v>
      </c>
      <c r="H989" cm="1">
        <f t="array" ref="H989">(PRODUCT(1+sp500_monthly!N990:N1109)^(1/120)-1)*100</f>
        <v>0.63341802768366318</v>
      </c>
      <c r="I989" cm="1">
        <f t="array" ref="I989">(PRODUCT(1+sp500_monthly!O990:O1109)^(1/120)-1)*100</f>
        <v>-0.10768160242192737</v>
      </c>
    </row>
    <row r="990" spans="1:9" x14ac:dyDescent="0.35">
      <c r="A990" s="1">
        <v>43251</v>
      </c>
      <c r="B990" cm="1">
        <f t="array" ref="B990">(PRODUCT(1+sp500_monthly!B991:B1110)^(1/120)-1)*100</f>
        <v>0.72793498948120483</v>
      </c>
      <c r="C990" cm="1">
        <f t="array" ref="C990">(PRODUCT(1+sp500_monthly!C991:C1110)^(1/120)-1)*100</f>
        <v>0.54259491651977854</v>
      </c>
      <c r="D990" cm="1">
        <f t="array" ref="D990">(PRODUCT(1+sp500_monthly!D991:D1110)^(1/120)-1)*100</f>
        <v>0.85254446844935661</v>
      </c>
      <c r="E990" cm="1">
        <f t="array" ref="E990">(PRODUCT(1+sp500_monthly!E991:E1110)^(1/120)-1)*100</f>
        <v>0.68001025941486493</v>
      </c>
      <c r="F990" cm="1">
        <f t="array" ref="F990">(PRODUCT(1+sp500_monthly!K991:K1110)^(1/120)-1)*100</f>
        <v>0.5412089443423973</v>
      </c>
      <c r="G990" cm="1">
        <f t="array" ref="G990">(PRODUCT(1+sp500_monthly!L991:L1110)^(1/120)-1)</f>
        <v>2.1502122891070119E-2</v>
      </c>
      <c r="H990" cm="1">
        <f t="array" ref="H990">(PRODUCT(1+sp500_monthly!N991:N1110)^(1/120)-1)*100</f>
        <v>0.59651748914468783</v>
      </c>
      <c r="I990" cm="1">
        <f t="array" ref="I990">(PRODUCT(1+sp500_monthly!O991:O1110)^(1/120)-1)*100</f>
        <v>-0.10825487873677986</v>
      </c>
    </row>
    <row r="991" spans="1:9" x14ac:dyDescent="0.35">
      <c r="A991" s="1">
        <v>43280</v>
      </c>
      <c r="B991" cm="1">
        <f t="array" ref="B991">(PRODUCT(1+sp500_monthly!B992:B1111)^(1/120)-1)*100</f>
        <v>0.7368487906122434</v>
      </c>
      <c r="C991" cm="1">
        <f t="array" ref="C991">(PRODUCT(1+sp500_monthly!C992:C1111)^(1/120)-1)*100</f>
        <v>0.55134409111934346</v>
      </c>
      <c r="D991" cm="1">
        <f t="array" ref="D991">(PRODUCT(1+sp500_monthly!D992:D1111)^(1/120)-1)*100</f>
        <v>0.84421711579991676</v>
      </c>
      <c r="E991" cm="1">
        <f t="array" ref="E991">(PRODUCT(1+sp500_monthly!E992:E1111)^(1/120)-1)*100</f>
        <v>0.67158893433127975</v>
      </c>
      <c r="F991" cm="1">
        <f t="array" ref="F991">(PRODUCT(1+sp500_monthly!K992:K1111)^(1/120)-1)*100</f>
        <v>0.55022489681784137</v>
      </c>
      <c r="G991" cm="1">
        <f t="array" ref="G991">(PRODUCT(1+sp500_monthly!L992:L1111)^(1/120)-1)</f>
        <v>2.1208600886079454E-2</v>
      </c>
      <c r="H991" cm="1">
        <f t="array" ref="H991">(PRODUCT(1+sp500_monthly!N992:N1111)^(1/120)-1)*100</f>
        <v>0.60847530123815385</v>
      </c>
      <c r="I991" cm="1">
        <f t="array" ref="I991">(PRODUCT(1+sp500_monthly!O992:O1111)^(1/120)-1)*100</f>
        <v>-0.10555336436064433</v>
      </c>
    </row>
    <row r="992" spans="1:9" x14ac:dyDescent="0.35">
      <c r="A992" s="1">
        <v>43312</v>
      </c>
      <c r="B992" cm="1">
        <f t="array" ref="B992">(PRODUCT(1+sp500_monthly!B993:B1112)^(1/120)-1)*100</f>
        <v>0.8151956219704326</v>
      </c>
      <c r="C992" cm="1">
        <f t="array" ref="C992">(PRODUCT(1+sp500_monthly!C993:C1112)^(1/120)-1)*100</f>
        <v>0.63001620749467691</v>
      </c>
      <c r="D992" cm="1">
        <f t="array" ref="D992">(PRODUCT(1+sp500_monthly!D993:D1112)^(1/120)-1)*100</f>
        <v>0.94065330366566169</v>
      </c>
      <c r="E992" cm="1">
        <f t="array" ref="E992">(PRODUCT(1+sp500_monthly!E993:E1112)^(1/120)-1)*100</f>
        <v>0.76795274885508302</v>
      </c>
      <c r="F992" cm="1">
        <f t="array" ref="F992">(PRODUCT(1+sp500_monthly!K993:K1112)^(1/120)-1)*100</f>
        <v>0.62961837873418691</v>
      </c>
      <c r="G992" cm="1">
        <f t="array" ref="G992">(PRODUCT(1+sp500_monthly!L993:L1112)^(1/120)-1)</f>
        <v>2.0987571558150231E-2</v>
      </c>
      <c r="H992" cm="1">
        <f t="array" ref="H992">(PRODUCT(1+sp500_monthly!N993:N1112)^(1/120)-1)*100</f>
        <v>0.69471292196403578</v>
      </c>
      <c r="I992" cm="1">
        <f t="array" ref="I992">(PRODUCT(1+sp500_monthly!O993:O1112)^(1/120)-1)*100</f>
        <v>-9.7874979246603822E-2</v>
      </c>
    </row>
    <row r="993" spans="1:9" x14ac:dyDescent="0.35">
      <c r="A993" s="1">
        <v>43343</v>
      </c>
      <c r="B993" cm="1">
        <f t="array" ref="B993">(PRODUCT(1+sp500_monthly!B994:B1113)^(1/120)-1)*100</f>
        <v>0.85200291134059913</v>
      </c>
      <c r="C993" cm="1">
        <f t="array" ref="C993">(PRODUCT(1+sp500_monthly!C994:C1113)^(1/120)-1)*100</f>
        <v>0.66701677077241062</v>
      </c>
      <c r="D993" cm="1">
        <f t="array" ref="D993">(PRODUCT(1+sp500_monthly!D994:D1113)^(1/120)-1)*100</f>
        <v>0.97046221836945001</v>
      </c>
      <c r="E993" cm="1">
        <f t="array" ref="E993">(PRODUCT(1+sp500_monthly!E994:E1113)^(1/120)-1)*100</f>
        <v>0.79803583349524754</v>
      </c>
      <c r="F993" cm="1">
        <f t="array" ref="F993">(PRODUCT(1+sp500_monthly!K994:K1113)^(1/120)-1)*100</f>
        <v>0.66761012757408089</v>
      </c>
      <c r="G993" cm="1">
        <f t="array" ref="G993">(PRODUCT(1+sp500_monthly!L994:L1113)^(1/120)-1)</f>
        <v>2.1061239002811316E-2</v>
      </c>
      <c r="H993" cm="1">
        <f t="array" ref="H993">(PRODUCT(1+sp500_monthly!N994:N1113)^(1/120)-1)*100</f>
        <v>0.73679460774507266</v>
      </c>
      <c r="I993" cm="1">
        <f t="array" ref="I993">(PRODUCT(1+sp500_monthly!O994:O1113)^(1/120)-1)*100</f>
        <v>-9.2517255439328316E-2</v>
      </c>
    </row>
    <row r="994" spans="1:9" x14ac:dyDescent="0.35">
      <c r="A994" s="1">
        <v>43371</v>
      </c>
      <c r="B994" cm="1">
        <f t="array" ref="B994">(PRODUCT(1+sp500_monthly!B995:B1114)^(1/120)-1)*100</f>
        <v>0.86676443220552457</v>
      </c>
      <c r="C994" cm="1">
        <f t="array" ref="C994">(PRODUCT(1+sp500_monthly!C995:C1114)^(1/120)-1)*100</f>
        <v>0.68176934750747709</v>
      </c>
      <c r="D994" cm="1">
        <f t="array" ref="D994">(PRODUCT(1+sp500_monthly!D995:D1114)^(1/120)-1)*100</f>
        <v>0.96359750418009149</v>
      </c>
      <c r="E994" cm="1">
        <f t="array" ref="E994">(PRODUCT(1+sp500_monthly!E995:E1114)^(1/120)-1)*100</f>
        <v>0.79113363762983724</v>
      </c>
      <c r="F994" cm="1">
        <f t="array" ref="F994">(PRODUCT(1+sp500_monthly!K995:K1114)^(1/120)-1)*100</f>
        <v>0.68245702813405362</v>
      </c>
      <c r="G994" cm="1">
        <f t="array" ref="G994">(PRODUCT(1+sp500_monthly!L995:L1114)^(1/120)-1)</f>
        <v>2.1284215235880533E-2</v>
      </c>
      <c r="H994" cm="1">
        <f t="array" ref="H994">(PRODUCT(1+sp500_monthly!N995:N1114)^(1/120)-1)*100</f>
        <v>0.74878936559372722</v>
      </c>
      <c r="I994" cm="1">
        <f t="array" ref="I994">(PRODUCT(1+sp500_monthly!O995:O1114)^(1/120)-1)*100</f>
        <v>-9.4994717481655666E-2</v>
      </c>
    </row>
    <row r="995" spans="1:9" x14ac:dyDescent="0.35">
      <c r="A995" s="1">
        <v>43404</v>
      </c>
      <c r="B995" cm="1">
        <f t="array" ref="B995">(PRODUCT(1+sp500_monthly!B996:B1115)^(1/120)-1)*100</f>
        <v>0.94620017375710574</v>
      </c>
      <c r="C995" cm="1">
        <f t="array" ref="C995">(PRODUCT(1+sp500_monthly!C996:C1115)^(1/120)-1)*100</f>
        <v>0.76157847192932504</v>
      </c>
      <c r="D995" cm="1">
        <f t="array" ref="D995">(PRODUCT(1+sp500_monthly!D996:D1115)^(1/120)-1)*100</f>
        <v>1.0568027991550322</v>
      </c>
      <c r="E995" cm="1">
        <f t="array" ref="E995">(PRODUCT(1+sp500_monthly!E996:E1115)^(1/120)-1)*100</f>
        <v>0.88441318560101845</v>
      </c>
      <c r="F995" cm="1">
        <f t="array" ref="F995">(PRODUCT(1+sp500_monthly!K996:K1115)^(1/120)-1)*100</f>
        <v>0.76594487543455436</v>
      </c>
      <c r="G995" cm="1">
        <f t="array" ref="G995">(PRODUCT(1+sp500_monthly!L996:L1115)^(1/120)-1)</f>
        <v>2.1284215235880533E-2</v>
      </c>
      <c r="H995" cm="1">
        <f t="array" ref="H995">(PRODUCT(1+sp500_monthly!N996:N1115)^(1/120)-1)*100</f>
        <v>0.82711935784312018</v>
      </c>
      <c r="I995" cm="1">
        <f t="array" ref="I995">(PRODUCT(1+sp500_monthly!O996:O1115)^(1/120)-1)*100</f>
        <v>-9.5998284709519766E-2</v>
      </c>
    </row>
    <row r="996" spans="1:9" x14ac:dyDescent="0.35">
      <c r="A996" s="1">
        <v>43434</v>
      </c>
      <c r="B996" cm="1">
        <f t="array" ref="B996">(PRODUCT(1+sp500_monthly!B997:B1116)^(1/120)-1)*100</f>
        <v>1.0403227101030366</v>
      </c>
      <c r="C996" cm="1">
        <f t="array" ref="C996">(PRODUCT(1+sp500_monthly!C997:C1116)^(1/120)-1)*100</f>
        <v>0.85604073617051579</v>
      </c>
      <c r="D996" cm="1">
        <f t="array" ref="D996">(PRODUCT(1+sp500_monthly!D997:D1116)^(1/120)-1)*100</f>
        <v>1.1904421500932294</v>
      </c>
      <c r="E996" cm="1">
        <f t="array" ref="E996">(PRODUCT(1+sp500_monthly!E997:E1116)^(1/120)-1)*100</f>
        <v>1.0182235540669993</v>
      </c>
      <c r="F996" cm="1">
        <f t="array" ref="F996">(PRODUCT(1+sp500_monthly!K997:K1116)^(1/120)-1)*100</f>
        <v>0.86147264853571048</v>
      </c>
      <c r="G996" cm="1">
        <f t="array" ref="G996">(PRODUCT(1+sp500_monthly!L997:L1116)^(1/120)-1)</f>
        <v>2.2110021179652994E-2</v>
      </c>
      <c r="H996" cm="1">
        <f t="array" ref="H996">(PRODUCT(1+sp500_monthly!N997:N1116)^(1/120)-1)*100</f>
        <v>0.91190333914257238</v>
      </c>
      <c r="I996" cm="1">
        <f t="array" ref="I996">(PRODUCT(1+sp500_monthly!O997:O1116)^(1/120)-1)*100</f>
        <v>-0.10421833656629742</v>
      </c>
    </row>
    <row r="997" spans="1:9" x14ac:dyDescent="0.35">
      <c r="A997" s="1">
        <v>43465</v>
      </c>
      <c r="B997" cm="1">
        <f t="array" ref="B997">(PRODUCT(1+sp500_monthly!B998:B1117)^(1/120)-1)*100</f>
        <v>1.121114541154844</v>
      </c>
      <c r="C997" cm="1">
        <f t="array" ref="C997">(PRODUCT(1+sp500_monthly!C998:C1117)^(1/120)-1)*100</f>
        <v>0.93735623512634092</v>
      </c>
      <c r="D997" cm="1">
        <f t="array" ref="D997">(PRODUCT(1+sp500_monthly!D998:D1117)^(1/120)-1)*100</f>
        <v>1.3055618488291509</v>
      </c>
      <c r="E997" cm="1">
        <f t="array" ref="E997">(PRODUCT(1+sp500_monthly!E998:E1117)^(1/120)-1)*100</f>
        <v>1.1339842164185487</v>
      </c>
      <c r="F997" cm="1">
        <f t="array" ref="F997">(PRODUCT(1+sp500_monthly!K998:K1117)^(1/120)-1)*100</f>
        <v>0.94177327809130684</v>
      </c>
      <c r="G997" cm="1">
        <f t="array" ref="G997">(PRODUCT(1+sp500_monthly!L998:L1117)^(1/120)-1)</f>
        <v>2.3268690906318668E-2</v>
      </c>
      <c r="H997" cm="1">
        <f t="array" ref="H997">(PRODUCT(1+sp500_monthly!N998:N1117)^(1/120)-1)*100</f>
        <v>0.97815186896175188</v>
      </c>
      <c r="I997" cm="1">
        <f t="array" ref="I997">(PRODUCT(1+sp500_monthly!O998:O1117)^(1/120)-1)*100</f>
        <v>-0.11725490693691443</v>
      </c>
    </row>
    <row r="998" spans="1:9" x14ac:dyDescent="0.35">
      <c r="A998" s="1">
        <v>43496</v>
      </c>
      <c r="B998" cm="1">
        <f t="array" ref="B998">(PRODUCT(1+sp500_monthly!B999:B1118)^(1/120)-1)*100</f>
        <v>1.0310351686430019</v>
      </c>
      <c r="C998" cm="1">
        <f t="array" ref="C998">(PRODUCT(1+sp500_monthly!C999:C1118)^(1/120)-1)*100</f>
        <v>0.84831440978578865</v>
      </c>
      <c r="D998" cm="1">
        <f t="array" ref="D998">(PRODUCT(1+sp500_monthly!D999:D1118)^(1/120)-1)*100</f>
        <v>1.1800422636659702</v>
      </c>
      <c r="E998" cm="1">
        <f t="array" ref="E998">(PRODUCT(1+sp500_monthly!E999:E1118)^(1/120)-1)*100</f>
        <v>1.0095607797452777</v>
      </c>
      <c r="F998" cm="1">
        <f t="array" ref="F998">(PRODUCT(1+sp500_monthly!K999:K1118)^(1/120)-1)*100</f>
        <v>0.85428048229814202</v>
      </c>
      <c r="G998" cm="1">
        <f t="array" ref="G998">(PRODUCT(1+sp500_monthly!L999:L1118)^(1/120)-1)</f>
        <v>2.482457207437494E-2</v>
      </c>
      <c r="H998" cm="1">
        <f t="array" ref="H998">(PRODUCT(1+sp500_monthly!N999:N1118)^(1/120)-1)*100</f>
        <v>0.88067364750152866</v>
      </c>
      <c r="I998" cm="1">
        <f t="array" ref="I998">(PRODUCT(1+sp500_monthly!O999:O1118)^(1/120)-1)*100</f>
        <v>-0.12304316195644871</v>
      </c>
    </row>
    <row r="999" spans="1:9" x14ac:dyDescent="0.35">
      <c r="A999" s="1">
        <v>43524</v>
      </c>
      <c r="B999" cm="1">
        <f t="array" ref="B999">(PRODUCT(1+sp500_monthly!B1000:B1119)^(1/120)-1)*100</f>
        <v>1.1696208378378925</v>
      </c>
      <c r="C999" cm="1">
        <f t="array" ref="C999">(PRODUCT(1+sp500_monthly!C1000:C1119)^(1/120)-1)*100</f>
        <v>0.98687824642083033</v>
      </c>
      <c r="D999" cm="1">
        <f t="array" ref="D999">(PRODUCT(1+sp500_monthly!D1000:D1119)^(1/120)-1)*100</f>
        <v>1.3301379500421096</v>
      </c>
      <c r="E999" cm="1">
        <f t="array" ref="E999">(PRODUCT(1+sp500_monthly!E1000:E1119)^(1/120)-1)*100</f>
        <v>1.1594188818958129</v>
      </c>
      <c r="F999" cm="1">
        <f t="array" ref="F999">(PRODUCT(1+sp500_monthly!K1000:K1119)^(1/120)-1)*100</f>
        <v>0.9932956479663746</v>
      </c>
      <c r="G999" cm="1">
        <f t="array" ref="G999">(PRODUCT(1+sp500_monthly!L1000:L1119)^(1/120)-1)</f>
        <v>2.6453802654483827E-2</v>
      </c>
      <c r="H999" cm="1">
        <f t="array" ref="H999">(PRODUCT(1+sp500_monthly!N1000:N1119)^(1/120)-1)*100</f>
        <v>1.0218672297466869</v>
      </c>
      <c r="I999" cm="1">
        <f t="array" ref="I999">(PRODUCT(1+sp500_monthly!O1000:O1119)^(1/120)-1)*100</f>
        <v>-0.11851473421303771</v>
      </c>
    </row>
    <row r="1000" spans="1:9" x14ac:dyDescent="0.35">
      <c r="A1000" s="1">
        <v>43553</v>
      </c>
      <c r="B1000" cm="1">
        <f t="array" ref="B1000">(PRODUCT(1+sp500_monthly!B1001:B1120)^(1/120)-1)*100</f>
        <v>1.2882027601820889</v>
      </c>
      <c r="C1000" cm="1">
        <f t="array" ref="C1000">(PRODUCT(1+sp500_monthly!C1001:C1120)^(1/120)-1)*100</f>
        <v>1.106949865909379</v>
      </c>
      <c r="D1000" cm="1">
        <f t="array" ref="D1000">(PRODUCT(1+sp500_monthly!D1001:D1120)^(1/120)-1)*100</f>
        <v>1.4656688247477012</v>
      </c>
      <c r="E1000" cm="1">
        <f t="array" ref="E1000">(PRODUCT(1+sp500_monthly!E1001:E1120)^(1/120)-1)*100</f>
        <v>1.2958214295108128</v>
      </c>
      <c r="F1000" cm="1">
        <f t="array" ref="F1000">(PRODUCT(1+sp500_monthly!K1001:K1120)^(1/120)-1)*100</f>
        <v>1.1160365899213875</v>
      </c>
      <c r="G1000" cm="1">
        <f t="array" ref="G1000">(PRODUCT(1+sp500_monthly!L1001:L1120)^(1/120)-1)</f>
        <v>2.7785326955694689E-2</v>
      </c>
      <c r="H1000" cm="1">
        <f t="array" ref="H1000">(PRODUCT(1+sp500_monthly!N1001:N1120)^(1/120)-1)*100</f>
        <v>1.1408147795821444</v>
      </c>
      <c r="I1000" cm="1">
        <f t="array" ref="I1000">(PRODUCT(1+sp500_monthly!O1001:O1120)^(1/120)-1)*100</f>
        <v>-0.11656896665797056</v>
      </c>
    </row>
    <row r="1001" spans="1:9" x14ac:dyDescent="0.35">
      <c r="A1001" s="1">
        <v>43585</v>
      </c>
      <c r="B1001" cm="1">
        <f t="array" ref="B1001">(PRODUCT(1+sp500_monthly!B1002:B1121)^(1/120)-1)*100</f>
        <v>1.2336383337487655</v>
      </c>
      <c r="C1001" cm="1">
        <f t="array" ref="C1001">(PRODUCT(1+sp500_monthly!C1002:C1121)^(1/120)-1)*100</f>
        <v>1.0539220890765089</v>
      </c>
      <c r="D1001" cm="1">
        <f t="array" ref="D1001">(PRODUCT(1+sp500_monthly!D1002:D1121)^(1/120)-1)*100</f>
        <v>1.3855730022630075</v>
      </c>
      <c r="E1001" cm="1">
        <f t="array" ref="E1001">(PRODUCT(1+sp500_monthly!E1002:E1121)^(1/120)-1)*100</f>
        <v>1.2169421548909209</v>
      </c>
      <c r="F1001" cm="1">
        <f t="array" ref="F1001">(PRODUCT(1+sp500_monthly!K1002:K1121)^(1/120)-1)*100</f>
        <v>1.0619641438152527</v>
      </c>
      <c r="G1001" cm="1">
        <f t="array" ref="G1001">(PRODUCT(1+sp500_monthly!L1002:L1121)^(1/120)-1)</f>
        <v>2.910645705250392E-2</v>
      </c>
      <c r="H1001" cm="1">
        <f t="array" ref="H1001">(PRODUCT(1+sp500_monthly!N1002:N1121)^(1/120)-1)*100</f>
        <v>1.0823180262166998</v>
      </c>
      <c r="I1001" cm="1">
        <f t="array" ref="I1001">(PRODUCT(1+sp500_monthly!O1002:O1121)^(1/120)-1)*100</f>
        <v>-0.11911946847387167</v>
      </c>
    </row>
    <row r="1002" spans="1:9" x14ac:dyDescent="0.35">
      <c r="A1002" s="1">
        <v>43616</v>
      </c>
      <c r="B1002" cm="1">
        <f t="array" ref="B1002">(PRODUCT(1+sp500_monthly!B1003:B1122)^(1/120)-1)*100</f>
        <v>1.191276213320247</v>
      </c>
      <c r="C1002" cm="1">
        <f t="array" ref="C1002">(PRODUCT(1+sp500_monthly!C1003:C1122)^(1/120)-1)*100</f>
        <v>1.0119897019661206</v>
      </c>
      <c r="D1002" cm="1">
        <f t="array" ref="D1002">(PRODUCT(1+sp500_monthly!D1003:D1122)^(1/120)-1)*100</f>
        <v>1.272759265736223</v>
      </c>
      <c r="E1002" cm="1">
        <f t="array" ref="E1002">(PRODUCT(1+sp500_monthly!E1003:E1122)^(1/120)-1)*100</f>
        <v>1.1044672102971997</v>
      </c>
      <c r="F1002" cm="1">
        <f t="array" ref="F1002">(PRODUCT(1+sp500_monthly!K1003:K1122)^(1/120)-1)*100</f>
        <v>1.0188432762552546</v>
      </c>
      <c r="G1002" cm="1">
        <f t="array" ref="G1002">(PRODUCT(1+sp500_monthly!L1003:L1122)^(1/120)-1)</f>
        <v>3.0657029794595392E-2</v>
      </c>
      <c r="H1002" cm="1">
        <f t="array" ref="H1002">(PRODUCT(1+sp500_monthly!N1003:N1122)^(1/120)-1)*100</f>
        <v>1.0377070759037821</v>
      </c>
      <c r="I1002" cm="1">
        <f t="array" ref="I1002">(PRODUCT(1+sp500_monthly!O1003:O1122)^(1/120)-1)*100</f>
        <v>-0.1197422659727776</v>
      </c>
    </row>
    <row r="1003" spans="1:9" x14ac:dyDescent="0.35">
      <c r="A1003" s="1">
        <v>43644</v>
      </c>
      <c r="B1003" cm="1">
        <f t="array" ref="B1003">(PRODUCT(1+sp500_monthly!B1004:B1123)^(1/120)-1)*100</f>
        <v>1.0914235251024307</v>
      </c>
      <c r="C1003" cm="1">
        <f t="array" ref="C1003">(PRODUCT(1+sp500_monthly!C1004:C1123)^(1/120)-1)*100</f>
        <v>0.9124615858689733</v>
      </c>
      <c r="D1003" cm="1">
        <f t="array" ref="D1003">(PRODUCT(1+sp500_monthly!D1004:D1123)^(1/120)-1)*100</f>
        <v>1.1618260742992437</v>
      </c>
      <c r="E1003" cm="1">
        <f t="array" ref="E1003">(PRODUCT(1+sp500_monthly!E1004:E1123)^(1/120)-1)*100</f>
        <v>0.99353085581799228</v>
      </c>
      <c r="F1003" cm="1">
        <f t="array" ref="F1003">(PRODUCT(1+sp500_monthly!K1004:K1123)^(1/120)-1)*100</f>
        <v>0.91807563889003685</v>
      </c>
      <c r="G1003" cm="1">
        <f t="array" ref="G1003">(PRODUCT(1+sp500_monthly!L1004:L1123)^(1/120)-1)</f>
        <v>3.229553261381124E-2</v>
      </c>
      <c r="H1003" cm="1">
        <f t="array" ref="H1003">(PRODUCT(1+sp500_monthly!N1004:N1123)^(1/120)-1)*100</f>
        <v>0.93903516980888835</v>
      </c>
      <c r="I1003" cm="1">
        <f t="array" ref="I1003">(PRODUCT(1+sp500_monthly!O1004:O1123)^(1/120)-1)*100</f>
        <v>-0.11697770233132232</v>
      </c>
    </row>
    <row r="1004" spans="1:9" x14ac:dyDescent="0.35">
      <c r="A1004" s="1">
        <v>43677</v>
      </c>
      <c r="B1004" cm="1">
        <f t="array" ref="B1004">(PRODUCT(1+sp500_monthly!B1005:B1124)^(1/120)-1)*100</f>
        <v>1.146006853579995</v>
      </c>
      <c r="C1004" cm="1">
        <f t="array" ref="C1004">(PRODUCT(1+sp500_monthly!C1005:C1124)^(1/120)-1)*100</f>
        <v>0.96727227269757243</v>
      </c>
      <c r="D1004" cm="1">
        <f t="array" ref="D1004">(PRODUCT(1+sp500_monthly!D1005:D1124)^(1/120)-1)*100</f>
        <v>1.2273851848784156</v>
      </c>
      <c r="E1004" cm="1">
        <f t="array" ref="E1004">(PRODUCT(1+sp500_monthly!E1005:E1124)^(1/120)-1)*100</f>
        <v>1.0590993878461186</v>
      </c>
      <c r="F1004" cm="1">
        <f t="array" ref="F1004">(PRODUCT(1+sp500_monthly!K1005:K1124)^(1/120)-1)*100</f>
        <v>0.97398473705450073</v>
      </c>
      <c r="G1004" cm="1">
        <f t="array" ref="G1004">(PRODUCT(1+sp500_monthly!L1005:L1124)^(1/120)-1)</f>
        <v>3.3634634855092882E-2</v>
      </c>
      <c r="H1004" cm="1">
        <f t="array" ref="H1004">(PRODUCT(1+sp500_monthly!N1005:N1124)^(1/120)-1)*100</f>
        <v>1.0007663727291005</v>
      </c>
      <c r="I1004" cm="1">
        <f t="array" ref="I1004">(PRODUCT(1+sp500_monthly!O1005:O1124)^(1/120)-1)*100</f>
        <v>-0.1084132712304342</v>
      </c>
    </row>
    <row r="1005" spans="1:9" x14ac:dyDescent="0.35">
      <c r="A1005" s="1">
        <v>43707</v>
      </c>
      <c r="B1005" cm="1">
        <f t="array" ref="B1005">(PRODUCT(1+sp500_monthly!B1006:B1125)^(1/120)-1)*100</f>
        <v>1.0976863851329455</v>
      </c>
      <c r="C1005" cm="1">
        <f t="array" ref="C1005">(PRODUCT(1+sp500_monthly!C1006:C1125)^(1/120)-1)*100</f>
        <v>0.91909365872828719</v>
      </c>
      <c r="D1005" cm="1">
        <f t="array" ref="D1005">(PRODUCT(1+sp500_monthly!D1006:D1125)^(1/120)-1)*100</f>
        <v>1.159101063376089</v>
      </c>
      <c r="E1005" cm="1">
        <f t="array" ref="E1005">(PRODUCT(1+sp500_monthly!E1006:E1125)^(1/120)-1)*100</f>
        <v>0.99077798702604802</v>
      </c>
      <c r="F1005" cm="1">
        <f t="array" ref="F1005">(PRODUCT(1+sp500_monthly!K1006:K1125)^(1/120)-1)*100</f>
        <v>0.92478904915020976</v>
      </c>
      <c r="G1005" cm="1">
        <f t="array" ref="G1005">(PRODUCT(1+sp500_monthly!L1006:L1125)^(1/120)-1)</f>
        <v>3.5048260267387832E-2</v>
      </c>
      <c r="H1005" cm="1">
        <f t="array" ref="H1005">(PRODUCT(1+sp500_monthly!N1006:N1125)^(1/120)-1)*100</f>
        <v>0.95032529450187475</v>
      </c>
      <c r="I1005" cm="1">
        <f t="array" ref="I1005">(PRODUCT(1+sp500_monthly!O1006:O1125)^(1/120)-1)*100</f>
        <v>-0.10908339559031477</v>
      </c>
    </row>
    <row r="1006" spans="1:9" x14ac:dyDescent="0.35">
      <c r="A1006" s="1">
        <v>43738</v>
      </c>
      <c r="B1006" cm="1">
        <f t="array" ref="B1006">(PRODUCT(1+sp500_monthly!B1007:B1126)^(1/120)-1)*100</f>
        <v>1.0552539901176328</v>
      </c>
      <c r="C1006" cm="1">
        <f t="array" ref="C1006">(PRODUCT(1+sp500_monthly!C1007:C1126)^(1/120)-1)*100</f>
        <v>0.87680591241605654</v>
      </c>
      <c r="D1006" cm="1">
        <f t="array" ref="D1006">(PRODUCT(1+sp500_monthly!D1007:D1126)^(1/120)-1)*100</f>
        <v>1.084974122929383</v>
      </c>
      <c r="E1006" cm="1">
        <f t="array" ref="E1006">(PRODUCT(1+sp500_monthly!E1007:E1126)^(1/120)-1)*100</f>
        <v>0.91645055013787058</v>
      </c>
      <c r="F1006" cm="1">
        <f t="array" ref="F1006">(PRODUCT(1+sp500_monthly!K1007:K1126)^(1/120)-1)*100</f>
        <v>0.88168082083857069</v>
      </c>
      <c r="G1006" cm="1">
        <f t="array" ref="G1006">(PRODUCT(1+sp500_monthly!L1007:L1126)^(1/120)-1)</f>
        <v>3.6243306253636698E-2</v>
      </c>
      <c r="H1006" cm="1">
        <f t="array" ref="H1006">(PRODUCT(1+sp500_monthly!N1007:N1126)^(1/120)-1)*100</f>
        <v>0.90999690146711387</v>
      </c>
      <c r="I1006" cm="1">
        <f t="array" ref="I1006">(PRODUCT(1+sp500_monthly!O1007:O1126)^(1/120)-1)*100</f>
        <v>-0.10581421682598346</v>
      </c>
    </row>
    <row r="1007" spans="1:9" x14ac:dyDescent="0.35">
      <c r="A1007" s="1">
        <v>43769</v>
      </c>
      <c r="B1007" cm="1">
        <f t="array" ref="B1007">(PRODUCT(1+sp500_monthly!B1008:B1127)^(1/120)-1)*100</f>
        <v>1.0407150167556223</v>
      </c>
      <c r="C1007" cm="1">
        <f t="array" ref="C1007">(PRODUCT(1+sp500_monthly!C1008:C1127)^(1/120)-1)*100</f>
        <v>0.86230117673706808</v>
      </c>
      <c r="D1007" cm="1">
        <f t="array" ref="D1007">(PRODUCT(1+sp500_monthly!D1008:D1127)^(1/120)-1)*100</f>
        <v>1.0696308013182332</v>
      </c>
      <c r="E1007" cm="1">
        <f t="array" ref="E1007">(PRODUCT(1+sp500_monthly!E1008:E1127)^(1/120)-1)*100</f>
        <v>0.90077057662740767</v>
      </c>
      <c r="F1007" cm="1">
        <f t="array" ref="F1007">(PRODUCT(1+sp500_monthly!K1008:K1127)^(1/120)-1)*100</f>
        <v>0.86649535509526476</v>
      </c>
      <c r="G1007" cm="1">
        <f t="array" ref="G1007">(PRODUCT(1+sp500_monthly!L1008:L1127)^(1/120)-1)</f>
        <v>3.7587529579299783E-2</v>
      </c>
      <c r="H1007" cm="1">
        <f t="array" ref="H1007">(PRODUCT(1+sp500_monthly!N1008:N1127)^(1/120)-1)*100</f>
        <v>0.89580788261940381</v>
      </c>
      <c r="I1007" cm="1">
        <f t="array" ref="I1007">(PRODUCT(1+sp500_monthly!O1008:O1127)^(1/120)-1)*100</f>
        <v>-0.10407458678954873</v>
      </c>
    </row>
    <row r="1008" spans="1:9" x14ac:dyDescent="0.35">
      <c r="A1008" s="1">
        <v>43798</v>
      </c>
      <c r="B1008" cm="1">
        <f t="array" ref="B1008">(PRODUCT(1+sp500_monthly!B1009:B1128)^(1/120)-1)*100</f>
        <v>1.0742478546804435</v>
      </c>
      <c r="C1008" cm="1">
        <f t="array" ref="C1008">(PRODUCT(1+sp500_monthly!C1009:C1128)^(1/120)-1)*100</f>
        <v>0.89583059179545454</v>
      </c>
      <c r="D1008" cm="1">
        <f t="array" ref="D1008">(PRODUCT(1+sp500_monthly!D1009:D1128)^(1/120)-1)*100</f>
        <v>1.1101766697032112</v>
      </c>
      <c r="E1008" cm="1">
        <f t="array" ref="E1008">(PRODUCT(1+sp500_monthly!E1009:E1128)^(1/120)-1)*100</f>
        <v>0.94110243745206823</v>
      </c>
      <c r="F1008" cm="1">
        <f t="array" ref="F1008">(PRODUCT(1+sp500_monthly!K1009:K1128)^(1/120)-1)*100</f>
        <v>0.90027947502968608</v>
      </c>
      <c r="G1008" cm="1">
        <f t="array" ref="G1008">(PRODUCT(1+sp500_monthly!L1009:L1128)^(1/120)-1)</f>
        <v>3.8871646421975825E-2</v>
      </c>
      <c r="H1008" cm="1">
        <f t="array" ref="H1008">(PRODUCT(1+sp500_monthly!N1009:N1128)^(1/120)-1)*100</f>
        <v>0.92943909652682954</v>
      </c>
      <c r="I1008" cm="1">
        <f t="array" ref="I1008">(PRODUCT(1+sp500_monthly!O1009:O1128)^(1/120)-1)*100</f>
        <v>-0.10259872738076492</v>
      </c>
    </row>
    <row r="1009" spans="1:9" x14ac:dyDescent="0.35">
      <c r="A1009" s="1">
        <v>43830</v>
      </c>
      <c r="B1009" cm="1">
        <f t="array" ref="B1009">(PRODUCT(1+sp500_monthly!B1010:B1129)^(1/120)-1)*100</f>
        <v>1.0549231557094085</v>
      </c>
      <c r="C1009" cm="1">
        <f t="array" ref="C1009">(PRODUCT(1+sp500_monthly!C1010:C1129)^(1/120)-1)*100</f>
        <v>0.87683508891174267</v>
      </c>
      <c r="D1009" cm="1">
        <f t="array" ref="D1009">(PRODUCT(1+sp500_monthly!D1010:D1129)^(1/120)-1)*100</f>
        <v>1.0940567799064604</v>
      </c>
      <c r="E1009" cm="1">
        <f t="array" ref="E1009">(PRODUCT(1+sp500_monthly!E1010:E1129)^(1/120)-1)*100</f>
        <v>0.92507146361151538</v>
      </c>
      <c r="F1009" cm="1">
        <f t="array" ref="F1009">(PRODUCT(1+sp500_monthly!K1010:K1129)^(1/120)-1)*100</f>
        <v>0.88153160007264919</v>
      </c>
      <c r="G1009" cm="1">
        <f t="array" ref="G1009">(PRODUCT(1+sp500_monthly!L1010:L1129)^(1/120)-1)</f>
        <v>3.9853226169543898E-2</v>
      </c>
      <c r="H1009" cm="1">
        <f t="array" ref="H1009">(PRODUCT(1+sp500_monthly!N1010:N1129)^(1/120)-1)*100</f>
        <v>0.91058905789425104</v>
      </c>
      <c r="I1009" cm="1">
        <f t="array" ref="I1009">(PRODUCT(1+sp500_monthly!O1010:O1129)^(1/120)-1)*100</f>
        <v>-0.10115785481887851</v>
      </c>
    </row>
    <row r="1010" spans="1:9" x14ac:dyDescent="0.35">
      <c r="A1010" s="1">
        <v>43861</v>
      </c>
      <c r="B1010" cm="1">
        <f t="array" ref="B1010">(PRODUCT(1+sp500_monthly!B1011:B1130)^(1/120)-1)*100</f>
        <v>1.0638053589491214</v>
      </c>
      <c r="C1010" cm="1">
        <f t="array" ref="C1010">(PRODUCT(1+sp500_monthly!C1011:C1130)^(1/120)-1)*100</f>
        <v>0.88570438390940254</v>
      </c>
      <c r="D1010" cm="1">
        <f t="array" ref="D1010">(PRODUCT(1+sp500_monthly!D1011:D1130)^(1/120)-1)*100</f>
        <v>1.0782703273974903</v>
      </c>
      <c r="E1010" cm="1">
        <f t="array" ref="E1010">(PRODUCT(1+sp500_monthly!E1011:E1130)^(1/120)-1)*100</f>
        <v>0.90888423481809699</v>
      </c>
      <c r="F1010" cm="1">
        <f t="array" ref="F1010">(PRODUCT(1+sp500_monthly!K1011:K1130)^(1/120)-1)*100</f>
        <v>0.8904213279724793</v>
      </c>
      <c r="G1010" cm="1">
        <f t="array" ref="G1010">(PRODUCT(1+sp500_monthly!L1011:L1130)^(1/120)-1)</f>
        <v>4.0902949638127462E-2</v>
      </c>
      <c r="H1010" cm="1">
        <f t="array" ref="H1010">(PRODUCT(1+sp500_monthly!N1011:N1130)^(1/120)-1)*100</f>
        <v>0.91745034386523372</v>
      </c>
      <c r="I1010" cm="1">
        <f t="array" ref="I1010">(PRODUCT(1+sp500_monthly!O1011:O1130)^(1/120)-1)*100</f>
        <v>-0.10206436539940134</v>
      </c>
    </row>
    <row r="1011" spans="1:9" x14ac:dyDescent="0.35">
      <c r="A1011" s="1">
        <v>43889</v>
      </c>
      <c r="B1011" cm="1">
        <f t="array" ref="B1011">(PRODUCT(1+sp500_monthly!B1012:B1131)^(1/120)-1)*100</f>
        <v>1.0945618279949443</v>
      </c>
      <c r="C1011" cm="1">
        <f t="array" ref="C1011">(PRODUCT(1+sp500_monthly!C1012:C1131)^(1/120)-1)*100</f>
        <v>0.9162646355879378</v>
      </c>
      <c r="D1011" cm="1">
        <f t="array" ref="D1011">(PRODUCT(1+sp500_monthly!D1012:D1131)^(1/120)-1)*100</f>
        <v>1.0898096635411081</v>
      </c>
      <c r="E1011" cm="1">
        <f t="array" ref="E1011">(PRODUCT(1+sp500_monthly!E1012:E1131)^(1/120)-1)*100</f>
        <v>0.92012240468533069</v>
      </c>
      <c r="F1011" cm="1">
        <f t="array" ref="F1011">(PRODUCT(1+sp500_monthly!K1012:K1131)^(1/120)-1)*100</f>
        <v>0.92073129594818504</v>
      </c>
      <c r="G1011" cm="1">
        <f t="array" ref="G1011">(PRODUCT(1+sp500_monthly!L1012:L1131)^(1/120)-1)</f>
        <v>4.1963628806848785E-2</v>
      </c>
      <c r="H1011" cm="1">
        <f t="array" ref="H1011">(PRODUCT(1+sp500_monthly!N1012:N1131)^(1/120)-1)*100</f>
        <v>0.94781057813675407</v>
      </c>
      <c r="I1011" cm="1">
        <f t="array" ref="I1011">(PRODUCT(1+sp500_monthly!O1012:O1131)^(1/120)-1)*100</f>
        <v>-0.10133087457030454</v>
      </c>
    </row>
    <row r="1012" spans="1:9" x14ac:dyDescent="0.35">
      <c r="A1012" s="1">
        <v>43921</v>
      </c>
      <c r="B1012" cm="1">
        <f t="array" ref="B1012">(PRODUCT(1+sp500_monthly!B1013:B1132)^(1/120)-1)*100</f>
        <v>0.99739868801405063</v>
      </c>
      <c r="C1012" cm="1">
        <f t="array" ref="C1012">(PRODUCT(1+sp500_monthly!C1013:C1132)^(1/120)-1)*100</f>
        <v>0.8192172342182058</v>
      </c>
      <c r="D1012" cm="1">
        <f t="array" ref="D1012">(PRODUCT(1+sp500_monthly!D1013:D1132)^(1/120)-1)*100</f>
        <v>0.97396578899424657</v>
      </c>
      <c r="E1012" cm="1">
        <f t="array" ref="E1012">(PRODUCT(1+sp500_monthly!E1013:E1132)^(1/120)-1)*100</f>
        <v>0.80350280503402871</v>
      </c>
      <c r="F1012" cm="1">
        <f t="array" ref="F1012">(PRODUCT(1+sp500_monthly!K1013:K1132)^(1/120)-1)*100</f>
        <v>0.82324352848994753</v>
      </c>
      <c r="G1012" cm="1">
        <f t="array" ref="G1012">(PRODUCT(1+sp500_monthly!L1013:L1132)^(1/120)-1)</f>
        <v>4.2948130019546005E-2</v>
      </c>
      <c r="H1012" cm="1">
        <f t="array" ref="H1012">(PRODUCT(1+sp500_monthly!N1013:N1132)^(1/120)-1)*100</f>
        <v>0.84888528948239284</v>
      </c>
      <c r="I1012" cm="1">
        <f t="array" ref="I1012">(PRODUCT(1+sp500_monthly!O1013:O1132)^(1/120)-1)*100</f>
        <v>-0.10221772582195143</v>
      </c>
    </row>
    <row r="1013" spans="1:9" x14ac:dyDescent="0.35">
      <c r="A1013" s="1">
        <v>43951</v>
      </c>
      <c r="B1013" cm="1">
        <f t="array" ref="B1013">(PRODUCT(1+sp500_monthly!B1014:B1133)^(1/120)-1)*100</f>
        <v>0.83817541077157998</v>
      </c>
      <c r="C1013" cm="1">
        <f t="array" ref="C1013">(PRODUCT(1+sp500_monthly!C1014:C1133)^(1/120)-1)*100</f>
        <v>0.65991289687572507</v>
      </c>
      <c r="D1013" cm="1">
        <f t="array" ref="D1013">(PRODUCT(1+sp500_monthly!D1014:D1133)^(1/120)-1)*100</f>
        <v>0.74126161303686988</v>
      </c>
      <c r="E1013" cm="1">
        <f t="array" ref="E1013">(PRODUCT(1+sp500_monthly!E1014:E1133)^(1/120)-1)*100</f>
        <v>0.57007062949956389</v>
      </c>
      <c r="F1013" cm="1">
        <f t="array" ref="F1013">(PRODUCT(1+sp500_monthly!K1014:K1133)^(1/120)-1)*100</f>
        <v>0.66306210425535195</v>
      </c>
      <c r="G1013" cm="1">
        <f t="array" ref="G1013">(PRODUCT(1+sp500_monthly!L1014:L1133)^(1/120)-1)</f>
        <v>4.392432803257007E-2</v>
      </c>
      <c r="H1013" cm="1">
        <f t="array" ref="H1013">(PRODUCT(1+sp500_monthly!N1014:N1133)^(1/120)-1)*100</f>
        <v>0.69372907926494864</v>
      </c>
      <c r="I1013" cm="1">
        <f t="array" ref="I1013">(PRODUCT(1+sp500_monthly!O1014:O1133)^(1/120)-1)*100</f>
        <v>-9.7416622503831984E-2</v>
      </c>
    </row>
    <row r="1014" spans="1:9" x14ac:dyDescent="0.35">
      <c r="A1014" s="1">
        <v>43980</v>
      </c>
      <c r="B1014" cm="1">
        <f t="array" ref="B1014">(PRODUCT(1+sp500_monthly!B1015:B1134)^(1/120)-1)*100</f>
        <v>0.92677050881277978</v>
      </c>
      <c r="C1014" cm="1">
        <f t="array" ref="C1014">(PRODUCT(1+sp500_monthly!C1015:C1134)^(1/120)-1)*100</f>
        <v>0.74827496107692237</v>
      </c>
      <c r="D1014" cm="1">
        <f t="array" ref="D1014">(PRODUCT(1+sp500_monthly!D1015:D1134)^(1/120)-1)*100</f>
        <v>0.83299338390252498</v>
      </c>
      <c r="E1014" cm="1">
        <f t="array" ref="E1014">(PRODUCT(1+sp500_monthly!E1015:E1134)^(1/120)-1)*100</f>
        <v>0.66139053154561367</v>
      </c>
      <c r="F1014" cm="1">
        <f t="array" ref="F1014">(PRODUCT(1+sp500_monthly!K1015:K1134)^(1/120)-1)*100</f>
        <v>0.75098743738295504</v>
      </c>
      <c r="G1014" cm="1">
        <f t="array" ref="G1014">(PRODUCT(1+sp500_monthly!L1015:L1134)^(1/120)-1)</f>
        <v>4.3837770017543409E-2</v>
      </c>
      <c r="H1014" cm="1">
        <f t="array" ref="H1014">(PRODUCT(1+sp500_monthly!N1015:N1134)^(1/120)-1)*100</f>
        <v>0.78900140063615787</v>
      </c>
      <c r="I1014" cm="1">
        <f t="array" ref="I1014">(PRODUCT(1+sp500_monthly!O1015:O1134)^(1/120)-1)*100</f>
        <v>-9.0755129675790247E-2</v>
      </c>
    </row>
    <row r="1015" spans="1:9" x14ac:dyDescent="0.35">
      <c r="A1015" s="1">
        <v>44012</v>
      </c>
      <c r="B1015" cm="1">
        <f t="array" ref="B1015">(PRODUCT(1+sp500_monthly!B1016:B1135)^(1/120)-1)*100</f>
        <v>1.0363457341171278</v>
      </c>
      <c r="C1015" cm="1">
        <f t="array" ref="C1015">(PRODUCT(1+sp500_monthly!C1016:C1135)^(1/120)-1)*100</f>
        <v>0.85790125569811249</v>
      </c>
      <c r="D1015" cm="1">
        <f t="array" ref="D1015">(PRODUCT(1+sp500_monthly!D1016:D1135)^(1/120)-1)*100</f>
        <v>0.93704437703461263</v>
      </c>
      <c r="E1015" cm="1">
        <f t="array" ref="E1015">(PRODUCT(1+sp500_monthly!E1016:E1135)^(1/120)-1)*100</f>
        <v>0.76496168144082333</v>
      </c>
      <c r="F1015" cm="1">
        <f t="array" ref="F1015">(PRODUCT(1+sp500_monthly!K1016:K1135)^(1/120)-1)*100</f>
        <v>0.86004089040478959</v>
      </c>
      <c r="G1015" cm="1">
        <f t="array" ref="G1015">(PRODUCT(1+sp500_monthly!L1016:L1135)^(1/120)-1)</f>
        <v>4.3837770017543409E-2</v>
      </c>
      <c r="H1015" cm="1">
        <f t="array" ref="H1015">(PRODUCT(1+sp500_monthly!N1016:N1135)^(1/120)-1)*100</f>
        <v>0.89890302867934313</v>
      </c>
      <c r="I1015" cm="1">
        <f t="array" ref="I1015">(PRODUCT(1+sp500_monthly!O1016:O1135)^(1/120)-1)*100</f>
        <v>-9.0283818698688734E-2</v>
      </c>
    </row>
    <row r="1016" spans="1:9" x14ac:dyDescent="0.35">
      <c r="A1016" s="1">
        <v>44043</v>
      </c>
      <c r="B1016" cm="1">
        <f t="array" ref="B1016">(PRODUCT(1+sp500_monthly!B1017:B1136)^(1/120)-1)*100</f>
        <v>1.0996433261834859</v>
      </c>
      <c r="C1016" cm="1">
        <f t="array" ref="C1016">(PRODUCT(1+sp500_monthly!C1017:C1136)^(1/120)-1)*100</f>
        <v>0.92129434468468663</v>
      </c>
      <c r="D1016" cm="1">
        <f t="array" ref="D1016">(PRODUCT(1+sp500_monthly!D1017:D1136)^(1/120)-1)*100</f>
        <v>1.0020545643117051</v>
      </c>
      <c r="E1016" cm="1">
        <f t="array" ref="E1016">(PRODUCT(1+sp500_monthly!E1017:E1136)^(1/120)-1)*100</f>
        <v>0.82971088572512119</v>
      </c>
      <c r="F1016" cm="1">
        <f t="array" ref="F1016">(PRODUCT(1+sp500_monthly!K1017:K1136)^(1/120)-1)*100</f>
        <v>0.92192823139201074</v>
      </c>
      <c r="G1016" cm="1">
        <f t="array" ref="G1016">(PRODUCT(1+sp500_monthly!L1017:L1136)^(1/120)-1)</f>
        <v>4.3837770017543409E-2</v>
      </c>
      <c r="H1016" cm="1">
        <f t="array" ref="H1016">(PRODUCT(1+sp500_monthly!N1017:N1136)^(1/120)-1)*100</f>
        <v>0.95796925258366805</v>
      </c>
      <c r="I1016" cm="1">
        <f t="array" ref="I1016">(PRODUCT(1+sp500_monthly!O1017:O1136)^(1/120)-1)*100</f>
        <v>-9.4385872334301624E-2</v>
      </c>
    </row>
    <row r="1017" spans="1:9" x14ac:dyDescent="0.35">
      <c r="A1017" s="1">
        <v>44074</v>
      </c>
      <c r="B1017" cm="1">
        <f t="array" ref="B1017">(PRODUCT(1+sp500_monthly!B1018:B1137)^(1/120)-1)*100</f>
        <v>1.0889184880365832</v>
      </c>
      <c r="C1017" cm="1">
        <f t="array" ref="C1017">(PRODUCT(1+sp500_monthly!C1018:C1137)^(1/120)-1)*100</f>
        <v>0.91105043412402775</v>
      </c>
      <c r="D1017" cm="1">
        <f t="array" ref="D1017">(PRODUCT(1+sp500_monthly!D1018:D1137)^(1/120)-1)*100</f>
        <v>0.98087129720652033</v>
      </c>
      <c r="E1017" cm="1">
        <f t="array" ref="E1017">(PRODUCT(1+sp500_monthly!E1018:E1137)^(1/120)-1)*100</f>
        <v>0.80947409371545653</v>
      </c>
      <c r="F1017" cm="1">
        <f t="array" ref="F1017">(PRODUCT(1+sp500_monthly!K1018:K1137)^(1/120)-1)*100</f>
        <v>0.91109699429325897</v>
      </c>
      <c r="G1017" cm="1">
        <f t="array" ref="G1017">(PRODUCT(1+sp500_monthly!L1018:L1137)^(1/120)-1)</f>
        <v>4.3837770017543409E-2</v>
      </c>
      <c r="H1017" cm="1">
        <f t="array" ref="H1017">(PRODUCT(1+sp500_monthly!N1018:N1137)^(1/120)-1)*100</f>
        <v>0.9442474127021816</v>
      </c>
      <c r="I1017" cm="1">
        <f t="array" ref="I1017">(PRODUCT(1+sp500_monthly!O1018:O1137)^(1/120)-1)*100</f>
        <v>-9.736682285124143E-2</v>
      </c>
    </row>
    <row r="1018" spans="1:9" x14ac:dyDescent="0.35">
      <c r="A1018" s="1">
        <v>44104</v>
      </c>
      <c r="B1018" cm="1">
        <f t="array" ref="B1018">(PRODUCT(1+sp500_monthly!B1019:B1138)^(1/120)-1)*100</f>
        <v>1.1867592135145433</v>
      </c>
      <c r="C1018" cm="1">
        <f t="array" ref="C1018">(PRODUCT(1+sp500_monthly!C1019:C1138)^(1/120)-1)*100</f>
        <v>1.009460298274556</v>
      </c>
      <c r="D1018" cm="1">
        <f t="array" ref="D1018">(PRODUCT(1+sp500_monthly!D1019:D1138)^(1/120)-1)*100</f>
        <v>1.0598778246880824</v>
      </c>
      <c r="E1018" cm="1">
        <f t="array" ref="E1018">(PRODUCT(1+sp500_monthly!E1019:E1138)^(1/120)-1)*100</f>
        <v>0.88831603004051463</v>
      </c>
      <c r="F1018" cm="1">
        <f t="array" ref="F1018">(PRODUCT(1+sp500_monthly!K1019:K1138)^(1/120)-1)*100</f>
        <v>1.0089701877206814</v>
      </c>
      <c r="G1018" cm="1">
        <f t="array" ref="G1018">(PRODUCT(1+sp500_monthly!L1019:L1138)^(1/120)-1)</f>
        <v>4.3837770017543409E-2</v>
      </c>
      <c r="H1018" cm="1">
        <f t="array" ref="H1018">(PRODUCT(1+sp500_monthly!N1019:N1138)^(1/120)-1)*100</f>
        <v>1.0400618791023719</v>
      </c>
      <c r="I1018" cm="1">
        <f t="array" ref="I1018">(PRODUCT(1+sp500_monthly!O1019:O1138)^(1/120)-1)*100</f>
        <v>-9.9231790862552849E-2</v>
      </c>
    </row>
    <row r="1019" spans="1:9" x14ac:dyDescent="0.35">
      <c r="A1019" s="1">
        <v>44134</v>
      </c>
      <c r="B1019" cm="1">
        <f t="array" ref="B1019">(PRODUCT(1+sp500_monthly!B1020:B1139)^(1/120)-1)*100</f>
        <v>1.0810516919143476</v>
      </c>
      <c r="C1019" cm="1">
        <f t="array" ref="C1019">(PRODUCT(1+sp500_monthly!C1020:C1139)^(1/120)-1)*100</f>
        <v>0.90413463565697239</v>
      </c>
      <c r="D1019" cm="1">
        <f t="array" ref="D1019">(PRODUCT(1+sp500_monthly!D1020:D1139)^(1/120)-1)*100</f>
        <v>0.95488159351726498</v>
      </c>
      <c r="E1019" cm="1">
        <f t="array" ref="E1019">(PRODUCT(1+sp500_monthly!E1020:E1139)^(1/120)-1)*100</f>
        <v>0.78317164116712412</v>
      </c>
      <c r="F1019" cm="1">
        <f t="array" ref="F1019">(PRODUCT(1+sp500_monthly!K1020:K1139)^(1/120)-1)*100</f>
        <v>0.90469312191339135</v>
      </c>
      <c r="G1019" cm="1">
        <f t="array" ref="G1019">(PRODUCT(1+sp500_monthly!L1020:L1139)^(1/120)-1)</f>
        <v>4.3837770017543409E-2</v>
      </c>
      <c r="H1019" cm="1">
        <f t="array" ref="H1019">(PRODUCT(1+sp500_monthly!N1020:N1139)^(1/120)-1)*100</f>
        <v>0.93397012244946787</v>
      </c>
      <c r="I1019" cm="1">
        <f t="array" ref="I1019">(PRODUCT(1+sp500_monthly!O1020:O1139)^(1/120)-1)*100</f>
        <v>-9.9763772540018003E-2</v>
      </c>
    </row>
    <row r="1020" spans="1:9" x14ac:dyDescent="0.35">
      <c r="A1020" s="1">
        <v>44165</v>
      </c>
      <c r="B1020" cm="1">
        <f t="array" ref="B1020">(PRODUCT(1+sp500_monthly!B1021:B1140)^(1/120)-1)*100</f>
        <v>1.0265172238172582</v>
      </c>
      <c r="C1020" cm="1">
        <f t="array" ref="C1020">(PRODUCT(1+sp500_monthly!C1021:C1140)^(1/120)-1)*100</f>
        <v>0.85007927133400329</v>
      </c>
      <c r="D1020" cm="1">
        <f t="array" ref="D1020">(PRODUCT(1+sp500_monthly!D1021:D1140)^(1/120)-1)*100</f>
        <v>0.91997566900983152</v>
      </c>
      <c r="E1020" cm="1">
        <f t="array" ref="E1020">(PRODUCT(1+sp500_monthly!E1021:E1140)^(1/120)-1)*100</f>
        <v>0.74853474677460952</v>
      </c>
      <c r="F1020" cm="1">
        <f t="array" ref="F1020">(PRODUCT(1+sp500_monthly!K1021:K1140)^(1/120)-1)*100</f>
        <v>0.85068239404446633</v>
      </c>
      <c r="G1020" cm="1">
        <f t="array" ref="G1020">(PRODUCT(1+sp500_monthly!L1021:L1140)^(1/120)-1)</f>
        <v>4.3837770017543409E-2</v>
      </c>
      <c r="H1020" cm="1">
        <f t="array" ref="H1020">(PRODUCT(1+sp500_monthly!N1021:N1140)^(1/120)-1)*100</f>
        <v>0.8814738413820411</v>
      </c>
      <c r="I1020" cm="1">
        <f t="array" ref="I1020">(PRODUCT(1+sp500_monthly!O1021:O1140)^(1/120)-1)*100</f>
        <v>-9.7823953033526756E-2</v>
      </c>
    </row>
    <row r="1021" spans="1:9" x14ac:dyDescent="0.35">
      <c r="A1021" s="1">
        <v>44196</v>
      </c>
      <c r="B1021" cm="1">
        <f t="array" ref="B1021">(PRODUCT(1+sp500_monthly!B1022:B1141)^(1/120)-1)*100</f>
        <v>1.1140052666552602</v>
      </c>
      <c r="C1021" cm="1">
        <f t="array" ref="C1021">(PRODUCT(1+sp500_monthly!C1022:C1141)^(1/120)-1)*100</f>
        <v>0.93818632101771993</v>
      </c>
      <c r="D1021" cm="1">
        <f t="array" ref="D1021">(PRODUCT(1+sp500_monthly!D1022:D1141)^(1/120)-1)*100</f>
        <v>1.0282800854887642</v>
      </c>
      <c r="E1021" cm="1">
        <f t="array" ref="E1021">(PRODUCT(1+sp500_monthly!E1022:E1141)^(1/120)-1)*100</f>
        <v>0.85688762760867121</v>
      </c>
      <c r="F1021" cm="1">
        <f t="array" ref="F1021">(PRODUCT(1+sp500_monthly!K1022:K1141)^(1/120)-1)*100</f>
        <v>0.93849379300954272</v>
      </c>
      <c r="G1021" cm="1">
        <f t="array" ref="G1021">(PRODUCT(1+sp500_monthly!L1022:L1141)^(1/120)-1)</f>
        <v>4.3837770017543409E-2</v>
      </c>
      <c r="H1021" cm="1">
        <f t="array" ref="H1021">(PRODUCT(1+sp500_monthly!N1022:N1141)^(1/120)-1)*100</f>
        <v>0.96887958886735515</v>
      </c>
      <c r="I1021" cm="1">
        <f t="array" ref="I1021">(PRODUCT(1+sp500_monthly!O1022:O1141)^(1/120)-1)*100</f>
        <v>-9.7781099686600204E-2</v>
      </c>
    </row>
    <row r="1022" spans="1:9" x14ac:dyDescent="0.35">
      <c r="A1022" s="1">
        <v>44225</v>
      </c>
      <c r="B1022" cm="1">
        <f t="array" ref="B1022">(PRODUCT(1+sp500_monthly!B1023:B1142)^(1/120)-1)*100</f>
        <v>1.0936408758443816</v>
      </c>
      <c r="C1022" cm="1">
        <f t="array" ref="C1022">(PRODUCT(1+sp500_monthly!C1023:C1142)^(1/120)-1)*100</f>
        <v>0.91812168681968398</v>
      </c>
      <c r="D1022" cm="1">
        <f t="array" ref="D1022">(PRODUCT(1+sp500_monthly!D1023:D1142)^(1/120)-1)*100</f>
        <v>1.004267316581231</v>
      </c>
      <c r="E1022" cm="1">
        <f t="array" ref="E1022">(PRODUCT(1+sp500_monthly!E1023:E1142)^(1/120)-1)*100</f>
        <v>0.83305694494664184</v>
      </c>
      <c r="F1022" cm="1">
        <f t="array" ref="F1022">(PRODUCT(1+sp500_monthly!K1023:K1142)^(1/120)-1)*100</f>
        <v>0.91594678291297971</v>
      </c>
      <c r="G1022" cm="1">
        <f t="array" ref="G1022">(PRODUCT(1+sp500_monthly!L1023:L1142)^(1/120)-1)</f>
        <v>4.3837770017543409E-2</v>
      </c>
      <c r="H1022" cm="1">
        <f t="array" ref="H1022">(PRODUCT(1+sp500_monthly!N1023:N1142)^(1/120)-1)*100</f>
        <v>0.94834502918919039</v>
      </c>
      <c r="I1022" cm="1">
        <f t="array" ref="I1022">(PRODUCT(1+sp500_monthly!O1023:O1142)^(1/120)-1)*100</f>
        <v>-9.7978430168577102E-2</v>
      </c>
    </row>
    <row r="1023" spans="1:9" x14ac:dyDescent="0.35">
      <c r="A1023" s="1">
        <v>44253</v>
      </c>
      <c r="B1023" cm="1">
        <f t="array" ref="B1023">(PRODUCT(1+sp500_monthly!B1024:B1143)^(1/120)-1)*100</f>
        <v>1.0656894469909473</v>
      </c>
      <c r="C1023" cm="1">
        <f t="array" ref="C1023">(PRODUCT(1+sp500_monthly!C1024:C1143)^(1/120)-1)*100</f>
        <v>0.89018340522712958</v>
      </c>
      <c r="D1023" cm="1">
        <f t="array" ref="D1023">(PRODUCT(1+sp500_monthly!D1024:D1143)^(1/120)-1)*100</f>
        <v>0.98061542531546753</v>
      </c>
      <c r="E1023" cm="1">
        <f t="array" ref="E1023">(PRODUCT(1+sp500_monthly!E1024:E1143)^(1/120)-1)*100</f>
        <v>0.80926104786014363</v>
      </c>
      <c r="F1023" cm="1">
        <f t="array" ref="F1023">(PRODUCT(1+sp500_monthly!K1024:K1143)^(1/120)-1)*100</f>
        <v>0.88770027049789313</v>
      </c>
      <c r="G1023" cm="1">
        <f t="array" ref="G1023">(PRODUCT(1+sp500_monthly!L1024:L1143)^(1/120)-1)</f>
        <v>4.3837770017543409E-2</v>
      </c>
      <c r="H1023" cm="1">
        <f t="array" ref="H1023">(PRODUCT(1+sp500_monthly!N1024:N1143)^(1/120)-1)*100</f>
        <v>0.92151171968355428</v>
      </c>
      <c r="I1023" cm="1">
        <f t="array" ref="I1023">(PRODUCT(1+sp500_monthly!O1024:O1143)^(1/120)-1)*100</f>
        <v>-9.6911361553431163E-2</v>
      </c>
    </row>
    <row r="1024" spans="1:9" x14ac:dyDescent="0.35">
      <c r="A1024" s="1">
        <v>44286</v>
      </c>
      <c r="B1024" cm="1">
        <f t="array" ref="B1024">(PRODUCT(1+sp500_monthly!B1025:B1144)^(1/120)-1)*100</f>
        <v>1.0604495897084565</v>
      </c>
      <c r="C1024" cm="1">
        <f t="array" ref="C1024">(PRODUCT(1+sp500_monthly!C1025:C1144)^(1/120)-1)*100</f>
        <v>0.88558467139967512</v>
      </c>
      <c r="D1024" cm="1">
        <f t="array" ref="D1024">(PRODUCT(1+sp500_monthly!D1025:D1144)^(1/120)-1)*100</f>
        <v>0.99847421837042649</v>
      </c>
      <c r="E1024" cm="1">
        <f t="array" ref="E1024">(PRODUCT(1+sp500_monthly!E1025:E1144)^(1/120)-1)*100</f>
        <v>0.8272452968758115</v>
      </c>
      <c r="F1024" cm="1">
        <f t="array" ref="F1024">(PRODUCT(1+sp500_monthly!K1025:K1144)^(1/120)-1)*100</f>
        <v>0.88290774544670381</v>
      </c>
      <c r="G1024" cm="1">
        <f t="array" ref="G1024">(PRODUCT(1+sp500_monthly!L1025:L1144)^(1/120)-1)</f>
        <v>4.375121917955993E-2</v>
      </c>
      <c r="H1024" cm="1">
        <f t="array" ref="H1024">(PRODUCT(1+sp500_monthly!N1025:N1144)^(1/120)-1)*100</f>
        <v>0.91557348223310075</v>
      </c>
      <c r="I1024" cm="1">
        <f t="array" ref="I1024">(PRODUCT(1+sp500_monthly!O1025:O1144)^(1/120)-1)*100</f>
        <v>-9.7693377837126949E-2</v>
      </c>
    </row>
    <row r="1025" spans="1:9" x14ac:dyDescent="0.35">
      <c r="A1025" s="1">
        <v>44316</v>
      </c>
      <c r="B1025" cm="1">
        <f t="array" ref="B1025">(PRODUCT(1+sp500_monthly!B1026:B1145)^(1/120)-1)*100</f>
        <v>1.0956393888040372</v>
      </c>
      <c r="C1025" cm="1">
        <f t="array" ref="C1025">(PRODUCT(1+sp500_monthly!C1026:C1145)^(1/120)-1)*100</f>
        <v>0.92088443006201892</v>
      </c>
      <c r="D1025" cm="1">
        <f t="array" ref="D1025">(PRODUCT(1+sp500_monthly!D1026:D1145)^(1/120)-1)*100</f>
        <v>1.0377080830890284</v>
      </c>
      <c r="E1025" cm="1">
        <f t="array" ref="E1025">(PRODUCT(1+sp500_monthly!E1026:E1145)^(1/120)-1)*100</f>
        <v>0.86616752073294112</v>
      </c>
      <c r="F1025" cm="1">
        <f t="array" ref="F1025">(PRODUCT(1+sp500_monthly!K1026:K1145)^(1/120)-1)*100</f>
        <v>0.91873654088048262</v>
      </c>
      <c r="G1025" cm="1">
        <f t="array" ref="G1025">(PRODUCT(1+sp500_monthly!L1026:L1145)^(1/120)-1)</f>
        <v>4.3664675518024332E-2</v>
      </c>
      <c r="H1025" cm="1">
        <f t="array" ref="H1025">(PRODUCT(1+sp500_monthly!N1026:N1145)^(1/120)-1)*100</f>
        <v>0.95082924321734374</v>
      </c>
      <c r="I1025" cm="1">
        <f t="array" ref="I1025">(PRODUCT(1+sp500_monthly!O1026:O1145)^(1/120)-1)*100</f>
        <v>-9.7661426060557943E-2</v>
      </c>
    </row>
    <row r="1026" spans="1:9" x14ac:dyDescent="0.35">
      <c r="A1026" s="1">
        <v>44344</v>
      </c>
      <c r="B1026" cm="1">
        <f t="array" ref="B1026">(PRODUCT(1+sp500_monthly!B1027:B1146)^(1/120)-1)*100</f>
        <v>1.1154269446591591</v>
      </c>
      <c r="C1026" cm="1">
        <f t="array" ref="C1026">(PRODUCT(1+sp500_monthly!C1027:C1146)^(1/120)-1)*100</f>
        <v>0.94079415726280313</v>
      </c>
      <c r="D1026" cm="1">
        <f t="array" ref="D1026">(PRODUCT(1+sp500_monthly!D1027:D1146)^(1/120)-1)*100</f>
        <v>1.0502444745153383</v>
      </c>
      <c r="E1026" cm="1">
        <f t="array" ref="E1026">(PRODUCT(1+sp500_monthly!E1027:E1146)^(1/120)-1)*100</f>
        <v>0.87868514666502584</v>
      </c>
      <c r="F1026" cm="1">
        <f t="array" ref="F1026">(PRODUCT(1+sp500_monthly!K1027:K1146)^(1/120)-1)*100</f>
        <v>0.93808153648335946</v>
      </c>
      <c r="G1026" cm="1">
        <f t="array" ref="G1026">(PRODUCT(1+sp500_monthly!L1027:L1146)^(1/120)-1)</f>
        <v>4.3664675518024332E-2</v>
      </c>
      <c r="H1026" cm="1">
        <f t="array" ref="H1026">(PRODUCT(1+sp500_monthly!N1027:N1146)^(1/120)-1)*100</f>
        <v>0.96869853396586159</v>
      </c>
      <c r="I1026" cm="1">
        <f t="array" ref="I1026">(PRODUCT(1+sp500_monthly!O1027:O1146)^(1/120)-1)*100</f>
        <v>-9.9531352312642873E-2</v>
      </c>
    </row>
    <row r="1027" spans="1:9" x14ac:dyDescent="0.35">
      <c r="A1027" s="1">
        <v>44377</v>
      </c>
      <c r="B1027" cm="1">
        <f t="array" ref="B1027">(PRODUCT(1+sp500_monthly!B1028:B1147)^(1/120)-1)*100</f>
        <v>1.1302298844428238</v>
      </c>
      <c r="C1027" cm="1">
        <f t="array" ref="C1027">(PRODUCT(1+sp500_monthly!C1028:C1147)^(1/120)-1)*100</f>
        <v>0.9562651563927993</v>
      </c>
      <c r="D1027" cm="1">
        <f t="array" ref="D1027">(PRODUCT(1+sp500_monthly!D1028:D1147)^(1/120)-1)*100</f>
        <v>1.0711220966086232</v>
      </c>
      <c r="E1027" cm="1">
        <f t="array" ref="E1027">(PRODUCT(1+sp500_monthly!E1028:E1147)^(1/120)-1)*100</f>
        <v>0.89981596541008901</v>
      </c>
      <c r="F1027" cm="1">
        <f t="array" ref="F1027">(PRODUCT(1+sp500_monthly!K1028:K1147)^(1/120)-1)*100</f>
        <v>0.95411932162381419</v>
      </c>
      <c r="G1027" cm="1">
        <f t="array" ref="G1027">(PRODUCT(1+sp500_monthly!L1028:L1147)^(1/120)-1)</f>
        <v>4.3664675518024332E-2</v>
      </c>
      <c r="H1027" cm="1">
        <f t="array" ref="H1027">(PRODUCT(1+sp500_monthly!N1028:N1147)^(1/120)-1)*100</f>
        <v>0.9808072690322911</v>
      </c>
      <c r="I1027" cm="1">
        <f t="array" ref="I1027">(PRODUCT(1+sp500_monthly!O1028:O1147)^(1/120)-1)*100</f>
        <v>-0.10217541250950868</v>
      </c>
    </row>
    <row r="1028" spans="1:9" x14ac:dyDescent="0.35">
      <c r="A1028" s="1">
        <v>44407</v>
      </c>
      <c r="B1028" cm="1">
        <f t="array" ref="B1028">(PRODUCT(1+sp500_monthly!B1029:B1148)^(1/120)-1)*100</f>
        <v>1.1640208870747015</v>
      </c>
      <c r="C1028" cm="1">
        <f t="array" ref="C1028">(PRODUCT(1+sp500_monthly!C1029:C1148)^(1/120)-1)*100</f>
        <v>0.99041528054031325</v>
      </c>
      <c r="D1028" cm="1">
        <f t="array" ref="D1028">(PRODUCT(1+sp500_monthly!D1029:D1148)^(1/120)-1)*100</f>
        <v>1.0883688377490319</v>
      </c>
      <c r="E1028" cm="1">
        <f t="array" ref="E1028">(PRODUCT(1+sp500_monthly!E1029:E1148)^(1/120)-1)*100</f>
        <v>0.91713836780729086</v>
      </c>
      <c r="F1028" cm="1">
        <f t="array" ref="F1028">(PRODUCT(1+sp500_monthly!K1029:K1148)^(1/120)-1)*100</f>
        <v>0.98811090851500527</v>
      </c>
      <c r="G1028" cm="1">
        <f t="array" ref="G1028">(PRODUCT(1+sp500_monthly!L1029:L1148)^(1/120)-1)</f>
        <v>4.3664675518024332E-2</v>
      </c>
      <c r="H1028" cm="1">
        <f t="array" ref="H1028">(PRODUCT(1+sp500_monthly!N1029:N1148)^(1/120)-1)*100</f>
        <v>1.0076408084234156</v>
      </c>
      <c r="I1028" cm="1">
        <f t="array" ref="I1028">(PRODUCT(1+sp500_monthly!O1029:O1148)^(1/120)-1)*100</f>
        <v>-0.10900658528759655</v>
      </c>
    </row>
    <row r="1029" spans="1:9" x14ac:dyDescent="0.35">
      <c r="A1029" s="1">
        <v>44439</v>
      </c>
      <c r="B1029" cm="1">
        <f t="array" ref="B1029">(PRODUCT(1+sp500_monthly!B1030:B1149)^(1/120)-1)*100</f>
        <v>1.2011562005128429</v>
      </c>
      <c r="C1029" cm="1">
        <f t="array" ref="C1029">(PRODUCT(1+sp500_monthly!C1030:C1149)^(1/120)-1)*100</f>
        <v>1.0276596225214485</v>
      </c>
      <c r="D1029" cm="1">
        <f t="array" ref="D1029">(PRODUCT(1+sp500_monthly!D1030:D1149)^(1/120)-1)*100</f>
        <v>1.1290085026945729</v>
      </c>
      <c r="E1029" cm="1">
        <f t="array" ref="E1029">(PRODUCT(1+sp500_monthly!E1030:E1149)^(1/120)-1)*100</f>
        <v>0.95762322392842769</v>
      </c>
      <c r="F1029" cm="1">
        <f t="array" ref="F1029">(PRODUCT(1+sp500_monthly!K1030:K1149)^(1/120)-1)*100</f>
        <v>1.0253159258989841</v>
      </c>
      <c r="G1029" cm="1">
        <f t="array" ref="G1029">(PRODUCT(1+sp500_monthly!L1030:L1149)^(1/120)-1)</f>
        <v>4.3664675518024332E-2</v>
      </c>
      <c r="H1029" cm="1">
        <f t="array" ref="H1029">(PRODUCT(1+sp500_monthly!N1030:N1149)^(1/120)-1)*100</f>
        <v>1.04279451000584</v>
      </c>
      <c r="I1029" cm="1">
        <f t="array" ref="I1029">(PRODUCT(1+sp500_monthly!O1030:O1149)^(1/120)-1)*100</f>
        <v>-0.11090882256382661</v>
      </c>
    </row>
    <row r="1030" spans="1:9" x14ac:dyDescent="0.35">
      <c r="A1030" s="1">
        <v>44469</v>
      </c>
      <c r="B1030" cm="1">
        <f t="array" ref="B1030">(PRODUCT(1+sp500_monthly!B1031:B1150)^(1/120)-1)*100</f>
        <v>1.2737057774459659</v>
      </c>
      <c r="C1030" cm="1">
        <f t="array" ref="C1030">(PRODUCT(1+sp500_monthly!C1031:C1150)^(1/120)-1)*100</f>
        <v>1.1010952508128335</v>
      </c>
      <c r="D1030" cm="1">
        <f t="array" ref="D1030">(PRODUCT(1+sp500_monthly!D1031:D1150)^(1/120)-1)*100</f>
        <v>1.203757185450649</v>
      </c>
      <c r="E1030" cm="1">
        <f t="array" ref="E1030">(PRODUCT(1+sp500_monthly!E1031:E1150)^(1/120)-1)*100</f>
        <v>1.032625581073443</v>
      </c>
      <c r="F1030" cm="1">
        <f t="array" ref="F1030">(PRODUCT(1+sp500_monthly!K1031:K1150)^(1/120)-1)*100</f>
        <v>1.098623855589409</v>
      </c>
      <c r="G1030" cm="1">
        <f t="array" ref="G1030">(PRODUCT(1+sp500_monthly!L1031:L1150)^(1/120)-1)</f>
        <v>4.3578139032341978E-2</v>
      </c>
      <c r="H1030" cm="1">
        <f t="array" ref="H1030">(PRODUCT(1+sp500_monthly!N1031:N1150)^(1/120)-1)*100</f>
        <v>1.115425124220315</v>
      </c>
      <c r="I1030" cm="1">
        <f t="array" ref="I1030">(PRODUCT(1+sp500_monthly!O1031:O1150)^(1/120)-1)*100</f>
        <v>-0.11079985437545403</v>
      </c>
    </row>
    <row r="1031" spans="1:9" x14ac:dyDescent="0.35">
      <c r="A1031" s="1">
        <v>44498</v>
      </c>
      <c r="B1031" cm="1">
        <f t="array" ref="B1031">(PRODUCT(1+sp500_monthly!B1032:B1151)^(1/120)-1)*100</f>
        <v>1.295359873916202</v>
      </c>
      <c r="C1031" cm="1">
        <f t="array" ref="C1031">(PRODUCT(1+sp500_monthly!C1032:C1151)^(1/120)-1)*100</f>
        <v>1.1231229040071788</v>
      </c>
      <c r="D1031" cm="1">
        <f t="array" ref="D1031">(PRODUCT(1+sp500_monthly!D1032:D1151)^(1/120)-1)*100</f>
        <v>1.2516360672197635</v>
      </c>
      <c r="E1031" cm="1">
        <f t="array" ref="E1031">(PRODUCT(1+sp500_monthly!E1032:E1151)^(1/120)-1)*100</f>
        <v>1.0805770386824065</v>
      </c>
      <c r="F1031" cm="1">
        <f t="array" ref="F1031">(PRODUCT(1+sp500_monthly!K1032:K1151)^(1/120)-1)*100</f>
        <v>1.1203029866555969</v>
      </c>
      <c r="G1031" cm="1">
        <f t="array" ref="G1031">(PRODUCT(1+sp500_monthly!L1032:L1151)^(1/120)-1)</f>
        <v>4.3578139032341978E-2</v>
      </c>
      <c r="H1031" cm="1">
        <f t="array" ref="H1031">(PRODUCT(1+sp500_monthly!N1032:N1151)^(1/120)-1)*100</f>
        <v>1.1354880336265083</v>
      </c>
      <c r="I1031" cm="1">
        <f t="array" ref="I1031">(PRODUCT(1+sp500_monthly!O1032:O1151)^(1/120)-1)*100</f>
        <v>-0.11233798349590263</v>
      </c>
    </row>
    <row r="1032" spans="1:9" x14ac:dyDescent="0.35">
      <c r="A1032" s="1">
        <v>44530</v>
      </c>
      <c r="B1032" cm="1">
        <f t="array" ref="B1032">(PRODUCT(1+sp500_monthly!B1033:B1152)^(1/120)-1)*100</f>
        <v>1.2655360216316858</v>
      </c>
      <c r="C1032" cm="1">
        <f t="array" ref="C1032">(PRODUCT(1+sp500_monthly!C1033:C1152)^(1/120)-1)*100</f>
        <v>1.0937643903420113</v>
      </c>
      <c r="D1032" cm="1">
        <f t="array" ref="D1032">(PRODUCT(1+sp500_monthly!D1033:D1152)^(1/120)-1)*100</f>
        <v>1.188644647659487</v>
      </c>
      <c r="E1032" cm="1">
        <f t="array" ref="E1032">(PRODUCT(1+sp500_monthly!E1033:E1152)^(1/120)-1)*100</f>
        <v>1.0177471813290095</v>
      </c>
      <c r="F1032" cm="1">
        <f t="array" ref="F1032">(PRODUCT(1+sp500_monthly!K1033:K1152)^(1/120)-1)*100</f>
        <v>1.090436267938566</v>
      </c>
      <c r="G1032" cm="1">
        <f t="array" ref="G1032">(PRODUCT(1+sp500_monthly!L1033:L1152)^(1/120)-1)</f>
        <v>4.3578139032341978E-2</v>
      </c>
      <c r="H1032" cm="1">
        <f t="array" ref="H1032">(PRODUCT(1+sp500_monthly!N1033:N1152)^(1/120)-1)*100</f>
        <v>1.09848118603455</v>
      </c>
      <c r="I1032" cm="1">
        <f t="array" ref="I1032">(PRODUCT(1+sp500_monthly!O1033:O1152)^(1/120)-1)*100</f>
        <v>-0.11948094636227147</v>
      </c>
    </row>
    <row r="1033" spans="1:9" x14ac:dyDescent="0.35">
      <c r="A1033" s="1">
        <v>44561</v>
      </c>
      <c r="B1033" cm="1">
        <f t="array" ref="B1033">(PRODUCT(1+sp500_monthly!B1034:B1153)^(1/120)-1)*100</f>
        <v>1.2616949848768932</v>
      </c>
      <c r="C1033" cm="1">
        <f t="array" ref="C1033">(PRODUCT(1+sp500_monthly!C1034:C1153)^(1/120)-1)*100</f>
        <v>1.0911222563570799</v>
      </c>
      <c r="D1033" cm="1">
        <f t="array" ref="D1033">(PRODUCT(1+sp500_monthly!D1034:D1153)^(1/120)-1)*100</f>
        <v>1.1722400394435839</v>
      </c>
      <c r="E1033" cm="1">
        <f t="array" ref="E1033">(PRODUCT(1+sp500_monthly!E1034:E1153)^(1/120)-1)*100</f>
        <v>1.0019197856529383</v>
      </c>
      <c r="F1033" cm="1">
        <f t="array" ref="F1033">(PRODUCT(1+sp500_monthly!K1034:K1153)^(1/120)-1)*100</f>
        <v>1.0876587773853474</v>
      </c>
      <c r="G1033" cm="1">
        <f t="array" ref="G1033">(PRODUCT(1+sp500_monthly!L1034:L1153)^(1/120)-1)</f>
        <v>4.3578139032341978E-2</v>
      </c>
      <c r="H1033" cm="1">
        <f t="array" ref="H1033">(PRODUCT(1+sp500_monthly!N1034:N1153)^(1/120)-1)*100</f>
        <v>1.0890250612841657</v>
      </c>
      <c r="I1033" cm="1">
        <f t="array" ref="I1033">(PRODUCT(1+sp500_monthly!O1034:O1153)^(1/120)-1)*100</f>
        <v>-0.12503485856953933</v>
      </c>
    </row>
    <row r="1034" spans="1:9" x14ac:dyDescent="0.35">
      <c r="A1034" s="1">
        <v>44592</v>
      </c>
      <c r="B1034" cm="1">
        <f t="array" ref="B1034">(PRODUCT(1+sp500_monthly!B1035:B1154)^(1/120)-1)*100</f>
        <v>1.2897004407838919</v>
      </c>
      <c r="C1034" cm="1">
        <f t="array" ref="C1034">(PRODUCT(1+sp500_monthly!C1035:C1154)^(1/120)-1)*100</f>
        <v>1.1196266003758337</v>
      </c>
      <c r="D1034" cm="1">
        <f t="array" ref="D1034">(PRODUCT(1+sp500_monthly!D1035:D1154)^(1/120)-1)*100</f>
        <v>1.2232910984422363</v>
      </c>
      <c r="E1034" cm="1">
        <f t="array" ref="E1034">(PRODUCT(1+sp500_monthly!E1035:E1154)^(1/120)-1)*100</f>
        <v>1.0531864608840591</v>
      </c>
      <c r="F1034" cm="1">
        <f t="array" ref="F1034">(PRODUCT(1+sp500_monthly!K1035:K1154)^(1/120)-1)*100</f>
        <v>1.11646606699769</v>
      </c>
      <c r="G1034" cm="1">
        <f t="array" ref="G1034">(PRODUCT(1+sp500_monthly!L1035:L1154)^(1/120)-1)</f>
        <v>4.3664675518024332E-2</v>
      </c>
      <c r="H1034" cm="1">
        <f t="array" ref="H1034">(PRODUCT(1+sp500_monthly!N1035:N1154)^(1/120)-1)*100</f>
        <v>1.1111329863016106</v>
      </c>
      <c r="I1034" cm="1">
        <f t="array" ref="I1034">(PRODUCT(1+sp500_monthly!O1035:O1154)^(1/120)-1)*100</f>
        <v>-0.13072956210747888</v>
      </c>
    </row>
    <row r="1035" spans="1:9" x14ac:dyDescent="0.35">
      <c r="A1035" s="1">
        <v>44620</v>
      </c>
      <c r="B1035" cm="1">
        <f t="array" ref="B1035">(PRODUCT(1+sp500_monthly!B1036:B1155)^(1/120)-1)*100</f>
        <v>1.2071237784710531</v>
      </c>
      <c r="C1035" cm="1">
        <f t="array" ref="C1035">(PRODUCT(1+sp500_monthly!C1036:C1155)^(1/120)-1)*100</f>
        <v>1.0374072990400718</v>
      </c>
      <c r="D1035" cm="1">
        <f t="array" ref="D1035">(PRODUCT(1+sp500_monthly!D1036:D1155)^(1/120)-1)*100</f>
        <v>1.1402524259235713</v>
      </c>
      <c r="E1035" cm="1">
        <f t="array" ref="E1035">(PRODUCT(1+sp500_monthly!E1036:E1155)^(1/120)-1)*100</f>
        <v>0.97023977886776525</v>
      </c>
      <c r="F1035" cm="1">
        <f t="array" ref="F1035">(PRODUCT(1+sp500_monthly!K1036:K1155)^(1/120)-1)*100</f>
        <v>1.0350343593878542</v>
      </c>
      <c r="G1035" cm="1">
        <f t="array" ref="G1035">(PRODUCT(1+sp500_monthly!L1036:L1155)^(1/120)-1)</f>
        <v>4.3664675518024332E-2</v>
      </c>
      <c r="H1035" cm="1">
        <f t="array" ref="H1035">(PRODUCT(1+sp500_monthly!N1036:N1155)^(1/120)-1)*100</f>
        <v>1.0262625590355512</v>
      </c>
      <c r="I1035" cm="1">
        <f t="array" ref="I1035">(PRODUCT(1+sp500_monthly!O1036:O1155)^(1/120)-1)*100</f>
        <v>-0.1331409100664982</v>
      </c>
    </row>
    <row r="1036" spans="1:9" x14ac:dyDescent="0.35">
      <c r="A1036" s="1">
        <v>44651</v>
      </c>
      <c r="B1036" cm="1">
        <f t="array" ref="B1036">(PRODUCT(1+sp500_monthly!B1037:B1156)^(1/120)-1)*100</f>
        <v>1.1462839761546828</v>
      </c>
      <c r="C1036" cm="1">
        <f t="array" ref="C1036">(PRODUCT(1+sp500_monthly!C1037:C1156)^(1/120)-1)*100</f>
        <v>0.9775460955577131</v>
      </c>
      <c r="D1036" cm="1">
        <f t="array" ref="D1036">(PRODUCT(1+sp500_monthly!D1037:D1156)^(1/120)-1)*100</f>
        <v>1.0970104952758408</v>
      </c>
      <c r="E1036" cm="1">
        <f t="array" ref="E1036">(PRODUCT(1+sp500_monthly!E1037:E1156)^(1/120)-1)*100</f>
        <v>0.92737720096860432</v>
      </c>
      <c r="F1036" cm="1">
        <f t="array" ref="F1036">(PRODUCT(1+sp500_monthly!K1037:K1156)^(1/120)-1)*100</f>
        <v>0.97472587536577837</v>
      </c>
      <c r="G1036" cm="1">
        <f t="array" ref="G1036">(PRODUCT(1+sp500_monthly!L1037:L1156)^(1/120)-1)</f>
        <v>4.3664675518024332E-2</v>
      </c>
      <c r="H1036" cm="1">
        <f t="array" ref="H1036">(PRODUCT(1+sp500_monthly!N1037:N1156)^(1/120)-1)*100</f>
        <v>0.96096120222470827</v>
      </c>
      <c r="I1036" cm="1">
        <f t="array" ref="I1036">(PRODUCT(1+sp500_monthly!O1037:O1156)^(1/120)-1)*100</f>
        <v>-0.13766145554694464</v>
      </c>
    </row>
    <row r="1037" spans="1:9" x14ac:dyDescent="0.35">
      <c r="A1037" s="1">
        <v>44680</v>
      </c>
      <c r="B1037" cm="1">
        <f t="array" ref="B1037">(PRODUCT(1+sp500_monthly!B1038:B1157)^(1/120)-1)*100</f>
        <v>1.1504024546031388</v>
      </c>
      <c r="C1037" cm="1">
        <f t="array" ref="C1037">(PRODUCT(1+sp500_monthly!C1038:C1157)^(1/120)-1)*100</f>
        <v>0.98187834546050734</v>
      </c>
      <c r="D1037" cm="1">
        <f t="array" ref="D1037">(PRODUCT(1+sp500_monthly!D1038:D1157)^(1/120)-1)*100</f>
        <v>1.1003076833422165</v>
      </c>
      <c r="E1037" cm="1">
        <f t="array" ref="E1037">(PRODUCT(1+sp500_monthly!E1038:E1157)^(1/120)-1)*100</f>
        <v>0.93064366931081555</v>
      </c>
      <c r="F1037" cm="1">
        <f t="array" ref="F1037">(PRODUCT(1+sp500_monthly!K1038:K1157)^(1/120)-1)*100</f>
        <v>0.97834153975386862</v>
      </c>
      <c r="G1037" cm="1">
        <f t="array" ref="G1037">(PRODUCT(1+sp500_monthly!L1038:L1157)^(1/120)-1)</f>
        <v>4.375121917955993E-2</v>
      </c>
      <c r="H1037" cm="1">
        <f t="array" ref="H1037">(PRODUCT(1+sp500_monthly!N1038:N1157)^(1/120)-1)*100</f>
        <v>0.95795465080612541</v>
      </c>
      <c r="I1037" cm="1">
        <f t="array" ref="I1037">(PRODUCT(1+sp500_monthly!O1038:O1157)^(1/120)-1)*100</f>
        <v>-0.14461799413989507</v>
      </c>
    </row>
    <row r="1038" spans="1:9" x14ac:dyDescent="0.35">
      <c r="A1038" s="1">
        <v>44712</v>
      </c>
      <c r="B1038" cm="1">
        <f t="array" ref="B1038">(PRODUCT(1+sp500_monthly!B1039:B1158)^(1/120)-1)*100</f>
        <v>1.0782757403236198</v>
      </c>
      <c r="C1038" cm="1">
        <f t="array" ref="C1038">(PRODUCT(1+sp500_monthly!C1039:C1158)^(1/120)-1)*100</f>
        <v>0.91013687158227885</v>
      </c>
      <c r="D1038" cm="1">
        <f t="array" ref="D1038">(PRODUCT(1+sp500_monthly!D1039:D1158)^(1/120)-1)*100</f>
        <v>1.0519203700519952</v>
      </c>
      <c r="E1038" cm="1">
        <f t="array" ref="E1038">(PRODUCT(1+sp500_monthly!E1039:E1158)^(1/120)-1)*100</f>
        <v>0.88239662173894562</v>
      </c>
      <c r="F1038" cm="1">
        <f t="array" ref="F1038">(PRODUCT(1+sp500_monthly!K1039:K1158)^(1/120)-1)*100</f>
        <v>0.90722491486605605</v>
      </c>
      <c r="G1038" cm="1">
        <f t="array" ref="G1038">(PRODUCT(1+sp500_monthly!L1039:L1158)^(1/120)-1)</f>
        <v>4.3837770017543409E-2</v>
      </c>
      <c r="H1038" cm="1">
        <f t="array" ref="H1038">(PRODUCT(1+sp500_monthly!N1039:N1158)^(1/120)-1)*100</f>
        <v>0.88382712425965071</v>
      </c>
      <c r="I1038" cm="1">
        <f t="array" ref="I1038">(PRODUCT(1+sp500_monthly!O1039:O1158)^(1/120)-1)*100</f>
        <v>-0.14665098630823881</v>
      </c>
    </row>
    <row r="1039" spans="1:9" x14ac:dyDescent="0.35">
      <c r="A1039" s="1">
        <v>44742</v>
      </c>
      <c r="B1039" cm="1">
        <f t="array" ref="B1039">(PRODUCT(1+sp500_monthly!B1040:B1159)^(1/120)-1)*100</f>
        <v>1.1305348828511308</v>
      </c>
      <c r="C1039" cm="1">
        <f t="array" ref="C1039">(PRODUCT(1+sp500_monthly!C1040:C1159)^(1/120)-1)*100</f>
        <v>0.96322210974999489</v>
      </c>
      <c r="D1039" cm="1">
        <f t="array" ref="D1039">(PRODUCT(1+sp500_monthly!D1040:D1159)^(1/120)-1)*100</f>
        <v>1.122101819816268</v>
      </c>
      <c r="E1039" cm="1">
        <f t="array" ref="E1039">(PRODUCT(1+sp500_monthly!E1040:E1159)^(1/120)-1)*100</f>
        <v>0.95285721090663245</v>
      </c>
      <c r="F1039" cm="1">
        <f t="array" ref="F1039">(PRODUCT(1+sp500_monthly!K1040:K1159)^(1/120)-1)*100</f>
        <v>0.96168965083873736</v>
      </c>
      <c r="G1039" cm="1">
        <f t="array" ref="G1039">(PRODUCT(1+sp500_monthly!L1040:L1159)^(1/120)-1)</f>
        <v>4.4008351146039404E-2</v>
      </c>
      <c r="H1039" cm="1">
        <f t="array" ref="H1039">(PRODUCT(1+sp500_monthly!N1040:N1159)^(1/120)-1)*100</f>
        <v>0.92671959618655375</v>
      </c>
      <c r="I1039" cm="1">
        <f t="array" ref="I1039">(PRODUCT(1+sp500_monthly!O1040:O1159)^(1/120)-1)*100</f>
        <v>-0.15565136157340564</v>
      </c>
    </row>
    <row r="1040" spans="1:9" x14ac:dyDescent="0.35">
      <c r="A1040" s="1">
        <v>44771</v>
      </c>
      <c r="B1040" cm="1">
        <f t="array" ref="B1040">(PRODUCT(1+sp500_monthly!B1041:B1160)^(1/120)-1)*100</f>
        <v>1.0245374007455954</v>
      </c>
      <c r="C1040" cm="1">
        <f t="array" ref="C1040">(PRODUCT(1+sp500_monthly!C1041:C1160)^(1/120)-1)*100</f>
        <v>0.85735189357045716</v>
      </c>
      <c r="D1040" cm="1">
        <f t="array" ref="D1040">(PRODUCT(1+sp500_monthly!D1041:D1160)^(1/120)-1)*100</f>
        <v>1.0083555342260464</v>
      </c>
      <c r="E1040" cm="1">
        <f t="array" ref="E1040">(PRODUCT(1+sp500_monthly!E1041:E1160)^(1/120)-1)*100</f>
        <v>0.83902280554992714</v>
      </c>
      <c r="F1040" cm="1">
        <f t="array" ref="F1040">(PRODUCT(1+sp500_monthly!K1041:K1160)^(1/120)-1)*100</f>
        <v>0.85536207885363869</v>
      </c>
      <c r="G1040" cm="1">
        <f t="array" ref="G1040">(PRODUCT(1+sp500_monthly!L1041:L1160)^(1/120)-1)</f>
        <v>4.4515417801107793E-2</v>
      </c>
      <c r="H1040" cm="1">
        <f t="array" ref="H1040">(PRODUCT(1+sp500_monthly!N1041:N1160)^(1/120)-1)*100</f>
        <v>0.80981889536317908</v>
      </c>
      <c r="I1040" cm="1">
        <f t="array" ref="I1040">(PRODUCT(1+sp500_monthly!O1041:O1160)^(1/120)-1)*100</f>
        <v>-0.16616150436076227</v>
      </c>
    </row>
    <row r="1041" spans="1:9" x14ac:dyDescent="0.35">
      <c r="A1041" s="1">
        <v>44804</v>
      </c>
      <c r="B1041" cm="1">
        <f t="array" ref="B1041">(PRODUCT(1+sp500_monthly!B1042:B1161)^(1/120)-1)*100</f>
        <v>1.0880057545545663</v>
      </c>
      <c r="C1041" cm="1">
        <f t="array" ref="C1041">(PRODUCT(1+sp500_monthly!C1042:C1161)^(1/120)-1)*100</f>
        <v>0.92092703929924635</v>
      </c>
      <c r="D1041" cm="1">
        <f t="array" ref="D1041">(PRODUCT(1+sp500_monthly!D1042:D1161)^(1/120)-1)*100</f>
        <v>1.0769140888821971</v>
      </c>
      <c r="E1041" cm="1">
        <f t="array" ref="E1041">(PRODUCT(1+sp500_monthly!E1042:E1161)^(1/120)-1)*100</f>
        <v>0.90748971956111646</v>
      </c>
      <c r="F1041" cm="1">
        <f t="array" ref="F1041">(PRODUCT(1+sp500_monthly!K1042:K1161)^(1/120)-1)*100</f>
        <v>0.91814871384208185</v>
      </c>
      <c r="G1041" cm="1">
        <f t="array" ref="G1041">(PRODUCT(1+sp500_monthly!L1042:L1161)^(1/120)-1)</f>
        <v>4.5185524278828826E-2</v>
      </c>
      <c r="H1041" cm="1">
        <f t="array" ref="H1041">(PRODUCT(1+sp500_monthly!N1042:N1161)^(1/120)-1)*100</f>
        <v>0.87344923815360076</v>
      </c>
      <c r="I1041" cm="1">
        <f t="array" ref="I1041">(PRODUCT(1+sp500_monthly!O1042:O1161)^(1/120)-1)*100</f>
        <v>-0.16520238098529649</v>
      </c>
    </row>
    <row r="1042" spans="1:9" x14ac:dyDescent="0.35">
      <c r="A1042" s="1">
        <v>44834</v>
      </c>
      <c r="B1042" cm="1">
        <f t="array" ref="B1042">(PRODUCT(1+sp500_monthly!B1043:B1162)^(1/120)-1)*100</f>
        <v>1.0344276930426721</v>
      </c>
      <c r="C1042" cm="1">
        <f t="array" ref="C1042">(PRODUCT(1+sp500_monthly!C1043:C1162)^(1/120)-1)*100</f>
        <v>0.86820658285466923</v>
      </c>
      <c r="D1042" cm="1">
        <f t="array" ref="D1042">(PRODUCT(1+sp500_monthly!D1043:D1162)^(1/120)-1)*100</f>
        <v>1.0224440302490256</v>
      </c>
      <c r="E1042" cm="1">
        <f t="array" ref="E1042">(PRODUCT(1+sp500_monthly!E1043:E1162)^(1/120)-1)*100</f>
        <v>0.85328944097027293</v>
      </c>
      <c r="F1042" cm="1">
        <f t="array" ref="F1042">(PRODUCT(1+sp500_monthly!K1043:K1162)^(1/120)-1)*100</f>
        <v>0.86523342425939287</v>
      </c>
      <c r="G1042" cm="1">
        <f t="array" ref="G1042">(PRODUCT(1+sp500_monthly!L1043:L1162)^(1/120)-1)</f>
        <v>4.6614946985712669E-2</v>
      </c>
      <c r="H1042" cm="1">
        <f t="array" ref="H1042">(PRODUCT(1+sp500_monthly!N1043:N1162)^(1/120)-1)*100</f>
        <v>0.82419129703898975</v>
      </c>
      <c r="I1042" cm="1">
        <f t="array" ref="I1042">(PRODUCT(1+sp500_monthly!O1043:O1162)^(1/120)-1)*100</f>
        <v>-0.15954098248006643</v>
      </c>
    </row>
    <row r="1043" spans="1:9" x14ac:dyDescent="0.35">
      <c r="A1043" s="1">
        <v>44865</v>
      </c>
      <c r="B1043" cm="1">
        <f t="array" ref="B1043">(PRODUCT(1+sp500_monthly!B1044:B1163)^(1/120)-1)*100</f>
        <v>0.93280068170180641</v>
      </c>
      <c r="C1043" cm="1">
        <f t="array" ref="C1043">(PRODUCT(1+sp500_monthly!C1044:C1163)^(1/120)-1)*100</f>
        <v>0.76675885686094958</v>
      </c>
      <c r="D1043" cm="1">
        <f t="array" ref="D1043">(PRODUCT(1+sp500_monthly!D1044:D1163)^(1/120)-1)*100</f>
        <v>0.92039026989967354</v>
      </c>
      <c r="E1043" cm="1">
        <f t="array" ref="E1043">(PRODUCT(1+sp500_monthly!E1044:E1163)^(1/120)-1)*100</f>
        <v>0.75101692326757785</v>
      </c>
      <c r="F1043" cm="1">
        <f t="array" ref="F1043">(PRODUCT(1+sp500_monthly!K1044:K1163)^(1/120)-1)*100</f>
        <v>0.76274215491982655</v>
      </c>
      <c r="G1043" cm="1">
        <f t="array" ref="G1043">(PRODUCT(1+sp500_monthly!L1044:L1163)^(1/120)-1)</f>
        <v>4.8046324607994295E-2</v>
      </c>
      <c r="H1043" cm="1">
        <f t="array" ref="H1043">(PRODUCT(1+sp500_monthly!N1044:N1163)^(1/120)-1)*100</f>
        <v>0.72355861058239768</v>
      </c>
      <c r="I1043" cm="1">
        <f t="array" ref="I1043">(PRODUCT(1+sp500_monthly!O1044:O1163)^(1/120)-1)*100</f>
        <v>-0.15726885074592856</v>
      </c>
    </row>
    <row r="1044" spans="1:9" x14ac:dyDescent="0.35">
      <c r="A1044" s="1">
        <v>44895</v>
      </c>
      <c r="B1044" cm="1">
        <f t="array" ref="B1044">(PRODUCT(1+sp500_monthly!B1045:B1164)^(1/120)-1)*100</f>
        <v>1.0128962460511204</v>
      </c>
      <c r="C1044" cm="1">
        <f t="array" ref="C1044">(PRODUCT(1+sp500_monthly!C1045:C1164)^(1/120)-1)*100</f>
        <v>0.84709482339968556</v>
      </c>
      <c r="D1044" cm="1">
        <f t="array" ref="D1044">(PRODUCT(1+sp500_monthly!D1045:D1164)^(1/120)-1)*100</f>
        <v>1.0043951459846712</v>
      </c>
      <c r="E1044" cm="1">
        <f t="array" ref="E1044">(PRODUCT(1+sp500_monthly!E1045:E1164)^(1/120)-1)*100</f>
        <v>0.8352103601805716</v>
      </c>
      <c r="F1044" cm="1">
        <f t="array" ref="F1044">(PRODUCT(1+sp500_monthly!K1045:K1164)^(1/120)-1)*100</f>
        <v>0.84407504943768696</v>
      </c>
      <c r="G1044" cm="1">
        <f t="array" ref="G1044">(PRODUCT(1+sp500_monthly!L1045:L1164)^(1/120)-1)</f>
        <v>4.9768838840210439E-2</v>
      </c>
      <c r="H1044" cm="1">
        <f t="array" ref="H1044">(PRODUCT(1+sp500_monthly!N1045:N1164)^(1/120)-1)*100</f>
        <v>0.8014471605918061</v>
      </c>
      <c r="I1044" cm="1">
        <f t="array" ref="I1044">(PRODUCT(1+sp500_monthly!O1045:O1164)^(1/120)-1)*100</f>
        <v>-0.15746213125382713</v>
      </c>
    </row>
    <row r="1045" spans="1:9" x14ac:dyDescent="0.35">
      <c r="A1045" s="1">
        <v>44925</v>
      </c>
      <c r="B1045" cm="1">
        <f t="array" ref="B1045">(PRODUCT(1+sp500_monthly!B1046:B1165)^(1/120)-1)*100</f>
        <v>1.0528354781362159</v>
      </c>
      <c r="C1045" cm="1">
        <f t="array" ref="C1045">(PRODUCT(1+sp500_monthly!C1046:C1165)^(1/120)-1)*100</f>
        <v>0.8880223888889649</v>
      </c>
      <c r="D1045" cm="1">
        <f t="array" ref="D1045">(PRODUCT(1+sp500_monthly!D1046:D1165)^(1/120)-1)*100</f>
        <v>1.049171203925825</v>
      </c>
      <c r="E1045" cm="1">
        <f t="array" ref="E1045">(PRODUCT(1+sp500_monthly!E1046:E1165)^(1/120)-1)*100</f>
        <v>0.88064023120482116</v>
      </c>
      <c r="F1045" cm="1">
        <f t="array" ref="F1045">(PRODUCT(1+sp500_monthly!K1046:K1165)^(1/120)-1)*100</f>
        <v>0.88569452475901755</v>
      </c>
      <c r="G1045" cm="1">
        <f t="array" ref="G1045">(PRODUCT(1+sp500_monthly!L1046:L1165)^(1/120)-1)</f>
        <v>5.1911605409706407E-2</v>
      </c>
      <c r="H1045" cm="1">
        <f t="array" ref="H1045">(PRODUCT(1+sp500_monthly!N1046:N1165)^(1/120)-1)*100</f>
        <v>0.83767867649675587</v>
      </c>
      <c r="I1045" cm="1">
        <f t="array" ref="I1045">(PRODUCT(1+sp500_monthly!O1046:O1165)^(1/120)-1)*100</f>
        <v>-0.15872423376566136</v>
      </c>
    </row>
    <row r="1046" spans="1:9" x14ac:dyDescent="0.35">
      <c r="A1046" s="1">
        <v>44957</v>
      </c>
      <c r="B1046" cm="1">
        <f t="array" ref="B1046">(PRODUCT(1+sp500_monthly!B1047:B1166)^(1/120)-1)*100</f>
        <v>0.99470081890997708</v>
      </c>
      <c r="C1046" cm="1">
        <f t="array" ref="C1046">(PRODUCT(1+sp500_monthly!C1047:C1166)^(1/120)-1)*100</f>
        <v>0.83091834486501703</v>
      </c>
      <c r="D1046" cm="1">
        <f t="array" ref="D1046">(PRODUCT(1+sp500_monthly!D1047:D1166)^(1/120)-1)*100</f>
        <v>0.98671208638752006</v>
      </c>
      <c r="E1046" cm="1">
        <f t="array" ref="E1046">(PRODUCT(1+sp500_monthly!E1047:E1166)^(1/120)-1)*100</f>
        <v>0.81906927928272477</v>
      </c>
      <c r="F1046" cm="1">
        <f t="array" ref="F1046">(PRODUCT(1+sp500_monthly!K1047:K1166)^(1/120)-1)*100</f>
        <v>0.82868965438689379</v>
      </c>
      <c r="G1046" cm="1">
        <f t="array" ref="G1046">(PRODUCT(1+sp500_monthly!L1047:L1166)^(1/120)-1)</f>
        <v>5.4327009055423092E-2</v>
      </c>
      <c r="H1046" cm="1">
        <f t="array" ref="H1046">(PRODUCT(1+sp500_monthly!N1047:N1166)^(1/120)-1)*100</f>
        <v>0.7791050429481361</v>
      </c>
      <c r="I1046" cm="1">
        <f t="array" ref="I1046">(PRODUCT(1+sp500_monthly!O1047:O1166)^(1/120)-1)*100</f>
        <v>-0.15662380726257918</v>
      </c>
    </row>
    <row r="1047" spans="1:9" x14ac:dyDescent="0.35">
      <c r="A1047" s="1">
        <v>44985</v>
      </c>
      <c r="B1047" cm="1">
        <f t="array" ref="B1047">(PRODUCT(1+sp500_monthly!B1048:B1167)^(1/120)-1)*100</f>
        <v>1.00380808344529</v>
      </c>
      <c r="C1047" cm="1">
        <f t="array" ref="C1047">(PRODUCT(1+sp500_monthly!C1048:C1167)^(1/120)-1)*100</f>
        <v>0.84026275104576165</v>
      </c>
      <c r="D1047" cm="1">
        <f t="array" ref="D1047">(PRODUCT(1+sp500_monthly!D1048:D1167)^(1/120)-1)*100</f>
        <v>0.99469763335207073</v>
      </c>
      <c r="E1047" cm="1">
        <f t="array" ref="E1047">(PRODUCT(1+sp500_monthly!E1048:E1167)^(1/120)-1)*100</f>
        <v>0.82700539933844297</v>
      </c>
      <c r="F1047" cm="1">
        <f t="array" ref="F1047">(PRODUCT(1+sp500_monthly!K1048:K1167)^(1/120)-1)*100</f>
        <v>0.83770045788333913</v>
      </c>
      <c r="G1047" cm="1">
        <f t="array" ref="G1047">(PRODUCT(1+sp500_monthly!L1048:L1167)^(1/120)-1)</f>
        <v>5.696704535336683E-2</v>
      </c>
      <c r="H1047" cm="1">
        <f t="array" ref="H1047">(PRODUCT(1+sp500_monthly!N1048:N1167)^(1/120)-1)*100</f>
        <v>0.78552621792418176</v>
      </c>
      <c r="I1047" cm="1">
        <f t="array" ref="I1047">(PRODUCT(1+sp500_monthly!O1048:O1167)^(1/120)-1)*100</f>
        <v>-0.1563584778595084</v>
      </c>
    </row>
    <row r="1048" spans="1:9" x14ac:dyDescent="0.35">
      <c r="A1048" s="1">
        <v>45016</v>
      </c>
      <c r="B1048" cm="1">
        <f t="array" ref="B1048">(PRODUCT(1+sp500_monthly!B1049:B1168)^(1/120)-1)*100</f>
        <v>0.9722549588299767</v>
      </c>
      <c r="C1048" cm="1">
        <f t="array" ref="C1048">(PRODUCT(1+sp500_monthly!C1049:C1168)^(1/120)-1)*100</f>
        <v>0.80934908271315109</v>
      </c>
      <c r="D1048" cm="1">
        <f t="array" ref="D1048">(PRODUCT(1+sp500_monthly!D1049:D1168)^(1/120)-1)*100</f>
        <v>0.95604430323006362</v>
      </c>
      <c r="E1048" cm="1">
        <f t="array" ref="E1048">(PRODUCT(1+sp500_monthly!E1049:E1168)^(1/120)-1)*100</f>
        <v>0.78843118056610706</v>
      </c>
      <c r="F1048" cm="1">
        <f t="array" ref="F1048">(PRODUCT(1+sp500_monthly!K1049:K1168)^(1/120)-1)*100</f>
        <v>0.8062278349916685</v>
      </c>
      <c r="G1048" cm="1">
        <f t="array" ref="G1048">(PRODUCT(1+sp500_monthly!L1049:L1168)^(1/120)-1)</f>
        <v>5.9548042631267339E-2</v>
      </c>
      <c r="H1048" cm="1">
        <f t="array" ref="H1048">(PRODUCT(1+sp500_monthly!N1049:N1168)^(1/120)-1)*100</f>
        <v>0.75537108545635778</v>
      </c>
      <c r="I1048" cm="1">
        <f t="array" ref="I1048">(PRODUCT(1+sp500_monthly!O1049:O1168)^(1/120)-1)*100</f>
        <v>-0.15221650974104328</v>
      </c>
    </row>
    <row r="1049" spans="1:9" x14ac:dyDescent="0.35">
      <c r="A1049" s="1">
        <v>45044</v>
      </c>
      <c r="B1049" cm="1">
        <f t="array" ref="B1049">(PRODUCT(1+sp500_monthly!B1050:B1169)^(1/120)-1)*100</f>
        <v>0.97216980412777598</v>
      </c>
      <c r="C1049" cm="1">
        <f t="array" ref="C1049">(PRODUCT(1+sp500_monthly!C1050:C1169)^(1/120)-1)*100</f>
        <v>0.80922420007609741</v>
      </c>
      <c r="D1049" cm="1">
        <f t="array" ref="D1049">(PRODUCT(1+sp500_monthly!D1050:D1169)^(1/120)-1)*100</f>
        <v>0.91838460927109455</v>
      </c>
      <c r="E1049" cm="1">
        <f t="array" ref="E1049">(PRODUCT(1+sp500_monthly!E1050:E1169)^(1/120)-1)*100</f>
        <v>0.75045867241791964</v>
      </c>
      <c r="F1049" cm="1">
        <f t="array" ref="F1049">(PRODUCT(1+sp500_monthly!K1050:K1169)^(1/120)-1)*100</f>
        <v>0.80546852018432702</v>
      </c>
      <c r="G1049" cm="1">
        <f t="array" ref="G1049">(PRODUCT(1+sp500_monthly!L1050:L1169)^(1/120)-1)</f>
        <v>6.2266480734042506E-2</v>
      </c>
      <c r="H1049" cm="1">
        <f t="array" ref="H1049">(PRODUCT(1+sp500_monthly!N1050:N1169)^(1/120)-1)*100</f>
        <v>0.75226770743364035</v>
      </c>
      <c r="I1049" cm="1">
        <f t="array" ref="I1049">(PRODUCT(1+sp500_monthly!O1050:O1169)^(1/120)-1)*100</f>
        <v>-0.15221771936851924</v>
      </c>
    </row>
    <row r="1050" spans="1:9" x14ac:dyDescent="0.35">
      <c r="A1050" s="1">
        <v>45077</v>
      </c>
      <c r="B1050" cm="1">
        <f t="array" ref="B1050">(PRODUCT(1+sp500_monthly!B1051:B1170)^(1/120)-1)*100</f>
        <v>0.96836019694663822</v>
      </c>
      <c r="C1050" cm="1">
        <f t="array" ref="C1050">(PRODUCT(1+sp500_monthly!C1051:C1170)^(1/120)-1)*100</f>
        <v>0.80557305875255114</v>
      </c>
      <c r="D1050" cm="1">
        <f t="array" ref="D1050">(PRODUCT(1+sp500_monthly!D1051:D1170)^(1/120)-1)*100</f>
        <v>0.90703134690341969</v>
      </c>
      <c r="E1050" cm="1">
        <f t="array" ref="E1050">(PRODUCT(1+sp500_monthly!E1051:E1170)^(1/120)-1)*100</f>
        <v>0.73898477040408306</v>
      </c>
      <c r="F1050" cm="1">
        <f t="array" ref="F1050">(PRODUCT(1+sp500_monthly!K1051:K1170)^(1/120)-1)*100</f>
        <v>0.80262202142271644</v>
      </c>
      <c r="G1050" cm="1">
        <f t="array" ref="G1050">(PRODUCT(1+sp500_monthly!L1051:L1170)^(1/120)-1)</f>
        <v>6.4926397480118636E-2</v>
      </c>
      <c r="H1050" cm="1">
        <f t="array" ref="H1050">(PRODUCT(1+sp500_monthly!N1051:N1170)^(1/120)-1)*100</f>
        <v>0.74313560348864272</v>
      </c>
      <c r="I1050" cm="1">
        <f t="array" ref="I1050">(PRODUCT(1+sp500_monthly!O1051:O1170)^(1/120)-1)*100</f>
        <v>-0.15459382502156505</v>
      </c>
    </row>
    <row r="1051" spans="1:9" x14ac:dyDescent="0.35">
      <c r="A1051" s="1">
        <v>45107</v>
      </c>
      <c r="B1051" cm="1">
        <f t="array" ref="B1051">(PRODUCT(1+sp500_monthly!B1052:B1171)^(1/120)-1)*100</f>
        <v>0.95358219520427223</v>
      </c>
      <c r="C1051" cm="1">
        <f t="array" ref="C1051">(PRODUCT(1+sp500_monthly!C1052:C1171)^(1/120)-1)*100</f>
        <v>0.79148906197514801</v>
      </c>
      <c r="D1051" cm="1">
        <f t="array" ref="D1051">(PRODUCT(1+sp500_monthly!D1052:D1171)^(1/120)-1)*100</f>
        <v>0.85106714497358293</v>
      </c>
      <c r="E1051" cm="1">
        <f t="array" ref="E1051">(PRODUCT(1+sp500_monthly!E1052:E1171)^(1/120)-1)*100</f>
        <v>0.68302176866259501</v>
      </c>
      <c r="F1051" cm="1">
        <f t="array" ref="F1051">(PRODUCT(1+sp500_monthly!K1052:K1171)^(1/120)-1)*100</f>
        <v>0.78744274151885119</v>
      </c>
      <c r="G1051" cm="1">
        <f t="array" ref="G1051">(PRODUCT(1+sp500_monthly!L1052:L1171)^(1/120)-1)</f>
        <v>6.7658634603007251E-2</v>
      </c>
      <c r="H1051" cm="1">
        <f t="array" ref="H1051">(PRODUCT(1+sp500_monthly!N1052:N1171)^(1/120)-1)*100</f>
        <v>0.72781623073565616</v>
      </c>
      <c r="I1051" cm="1">
        <f t="array" ref="I1051">(PRODUCT(1+sp500_monthly!O1052:O1171)^(1/120)-1)*100</f>
        <v>-0.15217311473112449</v>
      </c>
    </row>
    <row r="1052" spans="1:9" x14ac:dyDescent="0.35">
      <c r="A1052" s="1">
        <v>45138</v>
      </c>
      <c r="B1052" cm="1">
        <f t="array" ref="B1052">(PRODUCT(1+sp500_monthly!B1053:B1172)^(1/120)-1)*100</f>
        <v>1.0196445436817747</v>
      </c>
      <c r="C1052" cm="1">
        <f t="array" ref="C1052">(PRODUCT(1+sp500_monthly!C1053:C1172)^(1/120)-1)*100</f>
        <v>0.85783713365061853</v>
      </c>
      <c r="D1052" cm="1">
        <f t="array" ref="D1052">(PRODUCT(1+sp500_monthly!D1053:D1172)^(1/120)-1)*100</f>
        <v>0.92360295617734955</v>
      </c>
      <c r="E1052" cm="1">
        <f t="array" ref="E1052">(PRODUCT(1+sp500_monthly!E1053:E1172)^(1/120)-1)*100</f>
        <v>0.75549552761311478</v>
      </c>
      <c r="F1052" cm="1">
        <f t="array" ref="F1052">(PRODUCT(1+sp500_monthly!K1053:K1172)^(1/120)-1)*100</f>
        <v>0.85283467284280601</v>
      </c>
      <c r="G1052" cm="1">
        <f t="array" ref="G1052">(PRODUCT(1+sp500_monthly!L1053:L1172)^(1/120)-1)</f>
        <v>7.0656481262388882E-2</v>
      </c>
      <c r="H1052" cm="1">
        <f t="array" ref="H1052">(PRODUCT(1+sp500_monthly!N1053:N1172)^(1/120)-1)*100</f>
        <v>0.79396326454828081</v>
      </c>
      <c r="I1052" cm="1">
        <f t="array" ref="I1052">(PRODUCT(1+sp500_monthly!O1053:O1172)^(1/120)-1)*100</f>
        <v>-0.14862118809824132</v>
      </c>
    </row>
    <row r="1053" spans="1:9" x14ac:dyDescent="0.35">
      <c r="A1053" s="1">
        <v>45169</v>
      </c>
      <c r="B1053" cm="1">
        <f t="array" ref="B1053">(PRODUCT(1+sp500_monthly!B1054:B1173)^(1/120)-1)*100</f>
        <v>1.0043058480612821</v>
      </c>
      <c r="C1053" cm="1">
        <f t="array" ref="C1053">(PRODUCT(1+sp500_monthly!C1054:C1173)^(1/120)-1)*100</f>
        <v>0.84285325654740451</v>
      </c>
      <c r="D1053" cm="1">
        <f t="array" ref="D1053">(PRODUCT(1+sp500_monthly!D1054:D1173)^(1/120)-1)*100</f>
        <v>0.90763478978632683</v>
      </c>
      <c r="E1053" cm="1">
        <f t="array" ref="E1053">(PRODUCT(1+sp500_monthly!E1054:E1173)^(1/120)-1)*100</f>
        <v>0.7394702688243715</v>
      </c>
      <c r="F1053" cm="1">
        <f t="array" ref="F1053">(PRODUCT(1+sp500_monthly!K1054:K1173)^(1/120)-1)*100</f>
        <v>0.8380325503785313</v>
      </c>
      <c r="G1053" cm="1">
        <f t="array" ref="G1053">(PRODUCT(1+sp500_monthly!L1054:L1173)^(1/120)-1)</f>
        <v>7.3976760086296833E-2</v>
      </c>
      <c r="H1053" cm="1">
        <f t="array" ref="H1053">(PRODUCT(1+sp500_monthly!N1054:N1173)^(1/120)-1)*100</f>
        <v>0.77857632249982434</v>
      </c>
      <c r="I1053" cm="1">
        <f t="array" ref="I1053">(PRODUCT(1+sp500_monthly!O1054:O1173)^(1/120)-1)*100</f>
        <v>-0.14496684869662602</v>
      </c>
    </row>
    <row r="1054" spans="1:9" x14ac:dyDescent="0.35">
      <c r="A1054" s="1">
        <v>45198</v>
      </c>
      <c r="B1054" cm="1">
        <f t="array" ref="B1054">(PRODUCT(1+sp500_monthly!B1055:B1174)^(1/120)-1)*100</f>
        <v>1.0161727231878581</v>
      </c>
      <c r="C1054" cm="1">
        <f t="array" ref="C1054">(PRODUCT(1+sp500_monthly!C1055:C1174)^(1/120)-1)*100</f>
        <v>0.85529786127394036</v>
      </c>
      <c r="D1054" cm="1">
        <f t="array" ref="D1054">(PRODUCT(1+sp500_monthly!D1055:D1174)^(1/120)-1)*100</f>
        <v>0.90502289230554034</v>
      </c>
      <c r="E1054" cm="1">
        <f t="array" ref="E1054">(PRODUCT(1+sp500_monthly!E1055:E1174)^(1/120)-1)*100</f>
        <v>0.73676438860321714</v>
      </c>
      <c r="F1054" cm="1">
        <f t="array" ref="F1054">(PRODUCT(1+sp500_monthly!K1055:K1174)^(1/120)-1)*100</f>
        <v>0.84973333264657391</v>
      </c>
      <c r="G1054" cm="1">
        <f t="array" ref="G1054">(PRODUCT(1+sp500_monthly!L1055:L1174)^(1/120)-1)</f>
        <v>7.7307335631572771E-2</v>
      </c>
      <c r="H1054" cm="1">
        <f t="array" ref="H1054">(PRODUCT(1+sp500_monthly!N1055:N1174)^(1/120)-1)*100</f>
        <v>0.78813193467444087</v>
      </c>
      <c r="I1054" cm="1">
        <f t="array" ref="I1054">(PRODUCT(1+sp500_monthly!O1055:O1174)^(1/120)-1)*100</f>
        <v>-0.14349423858142085</v>
      </c>
    </row>
    <row r="1055" spans="1:9" x14ac:dyDescent="0.35">
      <c r="A1055" s="1">
        <v>45230</v>
      </c>
      <c r="B1055" cm="1">
        <f t="array" ref="B1055">(PRODUCT(1+sp500_monthly!B1056:B1175)^(1/120)-1)*100</f>
        <v>0.94893212892177559</v>
      </c>
      <c r="C1055" cm="1">
        <f t="array" ref="C1055">(PRODUCT(1+sp500_monthly!C1056:C1175)^(1/120)-1)*100</f>
        <v>0.78853383956687395</v>
      </c>
      <c r="D1055" cm="1">
        <f t="array" ref="D1055">(PRODUCT(1+sp500_monthly!D1056:D1175)^(1/120)-1)*100</f>
        <v>0.82833546339724506</v>
      </c>
      <c r="E1055" cm="1">
        <f t="array" ref="E1055">(PRODUCT(1+sp500_monthly!E1056:E1175)^(1/120)-1)*100</f>
        <v>0.6600213743964245</v>
      </c>
      <c r="F1055" cm="1">
        <f t="array" ref="F1055">(PRODUCT(1+sp500_monthly!K1056:K1175)^(1/120)-1)*100</f>
        <v>0.78314335093998544</v>
      </c>
      <c r="G1055" cm="1">
        <f t="array" ref="G1055">(PRODUCT(1+sp500_monthly!L1056:L1175)^(1/120)-1)</f>
        <v>8.0523170029695779E-2</v>
      </c>
      <c r="H1055" cm="1">
        <f t="array" ref="H1055">(PRODUCT(1+sp500_monthly!N1056:N1175)^(1/120)-1)*100</f>
        <v>0.71834676820430321</v>
      </c>
      <c r="I1055" cm="1">
        <f t="array" ref="I1055">(PRODUCT(1+sp500_monthly!O1056:O1175)^(1/120)-1)*100</f>
        <v>-0.14259697149706652</v>
      </c>
    </row>
    <row r="1056" spans="1:9" x14ac:dyDescent="0.35">
      <c r="A1056" s="1">
        <v>45260</v>
      </c>
      <c r="B1056" cm="1">
        <f t="array" ref="B1056">(PRODUCT(1+sp500_monthly!B1057:B1176)^(1/120)-1)*100</f>
        <v>0.89301010268392211</v>
      </c>
      <c r="C1056" cm="1">
        <f t="array" ref="C1056">(PRODUCT(1+sp500_monthly!C1057:C1176)^(1/120)-1)*100</f>
        <v>0.73292850268595888</v>
      </c>
      <c r="D1056" cm="1">
        <f t="array" ref="D1056">(PRODUCT(1+sp500_monthly!D1057:D1176)^(1/120)-1)*100</f>
        <v>0.75808882263372901</v>
      </c>
      <c r="E1056" cm="1">
        <f t="array" ref="E1056">(PRODUCT(1+sp500_monthly!E1057:E1176)^(1/120)-1)*100</f>
        <v>0.58979721215375314</v>
      </c>
      <c r="F1056" cm="1">
        <f t="array" ref="F1056">(PRODUCT(1+sp500_monthly!K1057:K1176)^(1/120)-1)*100</f>
        <v>0.72784926739277722</v>
      </c>
      <c r="G1056" cm="1">
        <f t="array" ref="G1056">(PRODUCT(1+sp500_monthly!L1057:L1176)^(1/120)-1)</f>
        <v>8.3997785962109717E-2</v>
      </c>
      <c r="H1056" cm="1">
        <f t="array" ref="H1056">(PRODUCT(1+sp500_monthly!N1057:N1176)^(1/120)-1)*100</f>
        <v>0.66233824406627395</v>
      </c>
      <c r="I1056" cm="1">
        <f t="array" ref="I1056">(PRODUCT(1+sp500_monthly!O1057:O1176)^(1/120)-1)*100</f>
        <v>-0.13890750452297818</v>
      </c>
    </row>
    <row r="1057" spans="1:9" x14ac:dyDescent="0.35">
      <c r="A1057" s="1">
        <v>45289</v>
      </c>
      <c r="B1057" cm="1">
        <f t="array" ref="B1057">(PRODUCT(1+sp500_monthly!B1058:B1177)^(1/120)-1)*100</f>
        <v>0.94057836581793453</v>
      </c>
      <c r="C1057" cm="1">
        <f t="array" ref="C1057">(PRODUCT(1+sp500_monthly!C1058:C1177)^(1/120)-1)*100</f>
        <v>0.7807474959467875</v>
      </c>
      <c r="D1057" cm="1">
        <f t="array" ref="D1057">(PRODUCT(1+sp500_monthly!D1058:D1177)^(1/120)-1)*100</f>
        <v>0.81289595183133834</v>
      </c>
      <c r="E1057" cm="1">
        <f t="array" ref="E1057">(PRODUCT(1+sp500_monthly!E1058:E1177)^(1/120)-1)*100</f>
        <v>0.6440932783144504</v>
      </c>
      <c r="F1057" cm="1">
        <f t="array" ref="F1057">(PRODUCT(1+sp500_monthly!K1058:K1177)^(1/120)-1)*100</f>
        <v>0.77634575977980624</v>
      </c>
      <c r="G1057" cm="1">
        <f t="array" ref="G1057">(PRODUCT(1+sp500_monthly!L1058:L1177)^(1/120)-1)</f>
        <v>8.7296731729698207E-2</v>
      </c>
      <c r="H1057" cm="1">
        <f t="array" ref="H1057">(PRODUCT(1+sp500_monthly!N1058:N1177)^(1/120)-1)*100</f>
        <v>0.7099999970862747</v>
      </c>
      <c r="I1057" cm="1">
        <f t="array" ref="I1057">(PRODUCT(1+sp500_monthly!O1058:O1177)^(1/120)-1)*100</f>
        <v>-0.13505334795148594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7"/>
  <sheetViews>
    <sheetView workbookViewId="0">
      <selection activeCell="B2" sqref="B2"/>
    </sheetView>
  </sheetViews>
  <sheetFormatPr defaultRowHeight="14.5" x14ac:dyDescent="0.35"/>
  <cols>
    <col min="1" max="1" width="10.08984375" bestFit="1" customWidth="1"/>
  </cols>
  <sheetData>
    <row r="1" spans="1:7" x14ac:dyDescent="0.35">
      <c r="A1" t="s">
        <v>0</v>
      </c>
      <c r="B1" t="str">
        <f>'10years'!B1</f>
        <v>vw_ret</v>
      </c>
      <c r="C1" t="str">
        <f>'10years'!C1</f>
        <v>vw_ret_xd</v>
      </c>
      <c r="D1" t="str">
        <f>'10years'!D1</f>
        <v>ew_ret</v>
      </c>
      <c r="E1" t="str">
        <f>'10years'!E1</f>
        <v>ew_ret_xd</v>
      </c>
      <c r="F1" t="str">
        <f>'10years'!F1</f>
        <v>ret_index</v>
      </c>
      <c r="G1" t="str">
        <f>'10years'!H1</f>
        <v>vw_real_ret</v>
      </c>
    </row>
    <row r="2" spans="1:7" x14ac:dyDescent="0.35">
      <c r="A2" s="1">
        <v>13180</v>
      </c>
      <c r="B2">
        <f>'10years'!B2-'10years'!$G2</f>
        <v>0.21779602317710345</v>
      </c>
      <c r="C2">
        <f>'10years'!C2-'10years'!$G2</f>
        <v>-0.17702964461432846</v>
      </c>
      <c r="D2">
        <f>'10years'!D2-'10years'!$G2</f>
        <v>0.32856040007238163</v>
      </c>
      <c r="E2">
        <f>'10years'!E2-'10years'!$G2</f>
        <v>-1.3941081216821916E-2</v>
      </c>
      <c r="F2">
        <f>'10years'!F2-'10years'!$G2</f>
        <v>-7.8113529514927338E-2</v>
      </c>
      <c r="G2">
        <f>'10years'!H2-'10years'!$I2</f>
        <v>0</v>
      </c>
    </row>
    <row r="3" spans="1:7" x14ac:dyDescent="0.35">
      <c r="A3" s="1">
        <v>13209</v>
      </c>
      <c r="B3">
        <f>'10years'!B3-'10years'!$G3</f>
        <v>0.27722654139285918</v>
      </c>
      <c r="C3">
        <f>'10years'!C3-'10years'!$G3</f>
        <v>-0.11727699915460477</v>
      </c>
      <c r="D3">
        <f>'10years'!D3-'10years'!$G3</f>
        <v>0.41299683353024186</v>
      </c>
      <c r="E3">
        <f>'10years'!E3-'10years'!$G3</f>
        <v>7.1552709271103687E-2</v>
      </c>
      <c r="F3">
        <f>'10years'!F3-'10years'!$G3</f>
        <v>-4.3810378409283146E-2</v>
      </c>
      <c r="G3">
        <f>'10years'!H3-'10years'!$I3</f>
        <v>0</v>
      </c>
    </row>
    <row r="4" spans="1:7" x14ac:dyDescent="0.35">
      <c r="A4" s="1">
        <v>13240</v>
      </c>
      <c r="B4">
        <f>'10years'!B4-'10years'!$G4</f>
        <v>0.3240677123866571</v>
      </c>
      <c r="C4">
        <f>'10years'!C4-'10years'!$G4</f>
        <v>-6.9604544067423557E-2</v>
      </c>
      <c r="D4">
        <f>'10years'!D4-'10years'!$G4</f>
        <v>0.48477195301034515</v>
      </c>
      <c r="E4">
        <f>'10years'!E4-'10years'!$G4</f>
        <v>0.14364296128294329</v>
      </c>
      <c r="F4">
        <f>'10years'!F4-'10years'!$G4</f>
        <v>7.477325019946246E-3</v>
      </c>
      <c r="G4">
        <f>'10years'!H4-'10years'!$I4</f>
        <v>0</v>
      </c>
    </row>
    <row r="5" spans="1:7" x14ac:dyDescent="0.35">
      <c r="A5" s="1">
        <v>13270</v>
      </c>
      <c r="B5">
        <f>'10years'!B5-'10years'!$G5</f>
        <v>0.39354660073605841</v>
      </c>
      <c r="C5">
        <f>'10years'!C5-'10years'!$G5</f>
        <v>1.3187053838543683E-3</v>
      </c>
      <c r="D5">
        <f>'10years'!D5-'10years'!$G5</f>
        <v>0.54421862027026213</v>
      </c>
      <c r="E5">
        <f>'10years'!E5-'10years'!$G5</f>
        <v>0.20581948550576223</v>
      </c>
      <c r="F5">
        <f>'10years'!F5-'10years'!$G5</f>
        <v>7.9124680981265794E-2</v>
      </c>
      <c r="G5">
        <f>'10years'!H5-'10years'!$I5</f>
        <v>0</v>
      </c>
    </row>
    <row r="6" spans="1:7" x14ac:dyDescent="0.35">
      <c r="A6" s="1">
        <v>13299</v>
      </c>
      <c r="B6">
        <f>'10years'!B6-'10years'!$G6</f>
        <v>0.29407768091876618</v>
      </c>
      <c r="C6">
        <f>'10years'!C6-'10years'!$G6</f>
        <v>-9.550911241659521E-2</v>
      </c>
      <c r="D6">
        <f>'10years'!D6-'10years'!$G6</f>
        <v>0.43207732898445594</v>
      </c>
      <c r="E6">
        <f>'10years'!E6-'10years'!$G6</f>
        <v>9.6552767552257057E-2</v>
      </c>
      <c r="F6">
        <f>'10years'!F6-'10years'!$G6</f>
        <v>-6.752756938724902E-3</v>
      </c>
      <c r="G6">
        <f>'10years'!H6-'10years'!$I6</f>
        <v>0</v>
      </c>
    </row>
    <row r="7" spans="1:7" x14ac:dyDescent="0.35">
      <c r="A7" s="1">
        <v>13331</v>
      </c>
      <c r="B7">
        <f>'10years'!B7-'10years'!$G7</f>
        <v>0.3258770847247916</v>
      </c>
      <c r="C7">
        <f>'10years'!C7-'10years'!$G7</f>
        <v>-6.495192600551758E-2</v>
      </c>
      <c r="D7">
        <f>'10years'!D7-'10years'!$G7</f>
        <v>0.47303772331318661</v>
      </c>
      <c r="E7">
        <f>'10years'!E7-'10years'!$G7</f>
        <v>0.13779945844071384</v>
      </c>
      <c r="F7">
        <f>'10years'!F7-'10years'!$G7</f>
        <v>2.4010716474388571E-2</v>
      </c>
      <c r="G7">
        <f>'10years'!H7-'10years'!$I7</f>
        <v>0</v>
      </c>
    </row>
    <row r="8" spans="1:7" x14ac:dyDescent="0.35">
      <c r="A8" s="1">
        <v>13362</v>
      </c>
      <c r="B8">
        <f>'10years'!B8-'10years'!$G8</f>
        <v>0.30645140535584714</v>
      </c>
      <c r="C8">
        <f>'10years'!C8-'10years'!$G8</f>
        <v>-8.1823418617919419E-2</v>
      </c>
      <c r="D8">
        <f>'10years'!D8-'10years'!$G8</f>
        <v>0.44615953685199949</v>
      </c>
      <c r="E8">
        <f>'10years'!E8-'10years'!$G8</f>
        <v>0.11408875855120248</v>
      </c>
      <c r="F8">
        <f>'10years'!F8-'10years'!$G8</f>
        <v>1.3564008263457605E-2</v>
      </c>
      <c r="G8">
        <f>'10years'!H8-'10years'!$I8</f>
        <v>0</v>
      </c>
    </row>
    <row r="9" spans="1:7" x14ac:dyDescent="0.35">
      <c r="A9" s="1">
        <v>13393</v>
      </c>
      <c r="B9">
        <f>'10years'!B9-'10years'!$G9</f>
        <v>0.33441909274356241</v>
      </c>
      <c r="C9">
        <f>'10years'!C9-'10years'!$G9</f>
        <v>-5.3007489567738597E-2</v>
      </c>
      <c r="D9">
        <f>'10years'!D9-'10years'!$G9</f>
        <v>0.48682776379236059</v>
      </c>
      <c r="E9">
        <f>'10years'!E9-'10years'!$G9</f>
        <v>0.15625132721765733</v>
      </c>
      <c r="F9">
        <f>'10years'!F9-'10years'!$G9</f>
        <v>3.3214653702759334E-2</v>
      </c>
      <c r="G9">
        <f>'10years'!H9-'10years'!$I9</f>
        <v>0</v>
      </c>
    </row>
    <row r="10" spans="1:7" x14ac:dyDescent="0.35">
      <c r="A10" s="1">
        <v>13423</v>
      </c>
      <c r="B10">
        <f>'10years'!B10-'10years'!$G10</f>
        <v>0.3234884010071184</v>
      </c>
      <c r="C10">
        <f>'10years'!C10-'10years'!$G10</f>
        <v>-6.4864290203817454E-2</v>
      </c>
      <c r="D10">
        <f>'10years'!D10-'10years'!$G10</f>
        <v>0.49300585398249464</v>
      </c>
      <c r="E10">
        <f>'10years'!E10-'10years'!$G10</f>
        <v>0.16268945216733854</v>
      </c>
      <c r="F10">
        <f>'10years'!F10-'10years'!$G10</f>
        <v>2.8347538684355911E-2</v>
      </c>
      <c r="G10">
        <f>'10years'!H10-'10years'!$I10</f>
        <v>0</v>
      </c>
    </row>
    <row r="11" spans="1:7" x14ac:dyDescent="0.35">
      <c r="A11" s="1">
        <v>13454</v>
      </c>
      <c r="B11">
        <f>'10years'!B11-'10years'!$G11</f>
        <v>0.3182186038373751</v>
      </c>
      <c r="C11">
        <f>'10years'!C11-'10years'!$G11</f>
        <v>-6.9222276280175965E-2</v>
      </c>
      <c r="D11">
        <f>'10years'!D11-'10years'!$G11</f>
        <v>0.49674900741062666</v>
      </c>
      <c r="E11">
        <f>'10years'!E11-'10years'!$G11</f>
        <v>0.16842532845874603</v>
      </c>
      <c r="F11">
        <f>'10years'!F11-'10years'!$G11</f>
        <v>1.2359572695422205E-2</v>
      </c>
      <c r="G11">
        <f>'10years'!H11-'10years'!$I11</f>
        <v>0</v>
      </c>
    </row>
    <row r="12" spans="1:7" x14ac:dyDescent="0.35">
      <c r="A12" s="1">
        <v>13484</v>
      </c>
      <c r="B12">
        <f>'10years'!B12-'10years'!$G12</f>
        <v>0.40787909075148265</v>
      </c>
      <c r="C12">
        <f>'10years'!C12-'10years'!$G12</f>
        <v>2.1267908632104149E-2</v>
      </c>
      <c r="D12">
        <f>'10years'!D12-'10years'!$G12</f>
        <v>0.56893134548789837</v>
      </c>
      <c r="E12">
        <f>'10years'!E12-'10years'!$G12</f>
        <v>0.24138447892452097</v>
      </c>
      <c r="F12">
        <f>'10years'!F12-'10years'!$G12</f>
        <v>0.10173237021215842</v>
      </c>
      <c r="G12">
        <f>'10years'!H12-'10years'!$I12</f>
        <v>0</v>
      </c>
    </row>
    <row r="13" spans="1:7" x14ac:dyDescent="0.35">
      <c r="A13" s="1">
        <v>13515</v>
      </c>
      <c r="B13">
        <f>'10years'!B13-'10years'!$G13</f>
        <v>0.39695292223132728</v>
      </c>
      <c r="C13">
        <f>'10years'!C13-'10years'!$G13</f>
        <v>7.4458753847339576E-3</v>
      </c>
      <c r="D13">
        <f>'10years'!D13-'10years'!$G13</f>
        <v>0.56933797435268718</v>
      </c>
      <c r="E13">
        <f>'10years'!E13-'10years'!$G13</f>
        <v>0.23936095324524564</v>
      </c>
      <c r="F13">
        <f>'10years'!F13-'10years'!$G13</f>
        <v>8.9121257046994584E-2</v>
      </c>
      <c r="G13">
        <f>'10years'!H13-'10years'!$I13</f>
        <v>0</v>
      </c>
    </row>
    <row r="14" spans="1:7" x14ac:dyDescent="0.35">
      <c r="A14" s="1">
        <v>13545</v>
      </c>
      <c r="B14">
        <f>'10years'!B14-'10years'!$G14</f>
        <v>0.374524756963178</v>
      </c>
      <c r="C14">
        <f>'10years'!C14-'10years'!$G14</f>
        <v>-1.3119414500130322E-2</v>
      </c>
      <c r="D14">
        <f>'10years'!D14-'10years'!$G14</f>
        <v>0.56459984226000381</v>
      </c>
      <c r="E14">
        <f>'10years'!E14-'10years'!$G14</f>
        <v>0.23748274394792412</v>
      </c>
      <c r="F14">
        <f>'10years'!F14-'10years'!$G14</f>
        <v>7.2867671151620517E-2</v>
      </c>
      <c r="G14">
        <f>'10years'!H14-'10years'!$I14</f>
        <v>0</v>
      </c>
    </row>
    <row r="15" spans="1:7" x14ac:dyDescent="0.35">
      <c r="A15" s="1">
        <v>13573</v>
      </c>
      <c r="B15">
        <f>'10years'!B15-'10years'!$G15</f>
        <v>0.40911919023058552</v>
      </c>
      <c r="C15">
        <f>'10years'!C15-'10years'!$G15</f>
        <v>2.2996772502455798E-2</v>
      </c>
      <c r="D15">
        <f>'10years'!D15-'10years'!$G15</f>
        <v>0.61129861016308773</v>
      </c>
      <c r="E15">
        <f>'10years'!E15-'10years'!$G15</f>
        <v>0.28605244694563581</v>
      </c>
      <c r="F15">
        <f>'10years'!F15-'10years'!$G15</f>
        <v>0.12340685951468178</v>
      </c>
      <c r="G15">
        <f>'10years'!H15-'10years'!$I15</f>
        <v>0</v>
      </c>
    </row>
    <row r="16" spans="1:7" x14ac:dyDescent="0.35">
      <c r="A16" s="1">
        <v>13605</v>
      </c>
      <c r="B16">
        <f>'10years'!B16-'10years'!$G16</f>
        <v>0.38915205124864904</v>
      </c>
      <c r="C16">
        <f>'10years'!C16-'10years'!$G16</f>
        <v>4.5078934232734014E-3</v>
      </c>
      <c r="D16">
        <f>'10years'!D16-'10years'!$G16</f>
        <v>0.60287987952009736</v>
      </c>
      <c r="E16">
        <f>'10years'!E16-'10years'!$G16</f>
        <v>0.27773821147400568</v>
      </c>
      <c r="F16">
        <f>'10years'!F16-'10years'!$G16</f>
        <v>9.8565996650208376E-2</v>
      </c>
      <c r="G16">
        <f>'10years'!H16-'10years'!$I16</f>
        <v>0</v>
      </c>
    </row>
    <row r="17" spans="1:7" x14ac:dyDescent="0.35">
      <c r="A17" s="1">
        <v>13635</v>
      </c>
      <c r="B17">
        <f>'10years'!B17-'10years'!$G17</f>
        <v>0.38245764265588211</v>
      </c>
      <c r="C17">
        <f>'10years'!C17-'10years'!$G17</f>
        <v>-5.2794974464887012E-4</v>
      </c>
      <c r="D17">
        <f>'10years'!D17-'10years'!$G17</f>
        <v>0.6261208559356366</v>
      </c>
      <c r="E17">
        <f>'10years'!E17-'10years'!$G17</f>
        <v>0.30321538093969846</v>
      </c>
      <c r="F17">
        <f>'10years'!F17-'10years'!$G17</f>
        <v>8.763133055627681E-2</v>
      </c>
      <c r="G17">
        <f>'10years'!H17-'10years'!$I17</f>
        <v>0</v>
      </c>
    </row>
    <row r="18" spans="1:7" x14ac:dyDescent="0.35">
      <c r="A18" s="1">
        <v>13663</v>
      </c>
      <c r="B18">
        <f>'10years'!B18-'10years'!$G18</f>
        <v>0.30304075320493373</v>
      </c>
      <c r="C18">
        <f>'10years'!C18-'10years'!$G18</f>
        <v>-7.8659453653037392E-2</v>
      </c>
      <c r="D18">
        <f>'10years'!D18-'10years'!$G18</f>
        <v>0.54499648717694393</v>
      </c>
      <c r="E18">
        <f>'10years'!E18-'10years'!$G18</f>
        <v>0.22381730175385117</v>
      </c>
      <c r="F18">
        <f>'10years'!F18-'10years'!$G18</f>
        <v>2.7209832202532702E-3</v>
      </c>
      <c r="G18">
        <f>'10years'!H18-'10years'!$I18</f>
        <v>0</v>
      </c>
    </row>
    <row r="19" spans="1:7" x14ac:dyDescent="0.35">
      <c r="A19" s="1">
        <v>13696</v>
      </c>
      <c r="B19">
        <f>'10years'!B19-'10years'!$G19</f>
        <v>0.24955873046470778</v>
      </c>
      <c r="C19">
        <f>'10years'!C19-'10years'!$G19</f>
        <v>-0.13282982192743553</v>
      </c>
      <c r="D19">
        <f>'10years'!D19-'10years'!$G19</f>
        <v>0.47118283091811808</v>
      </c>
      <c r="E19">
        <f>'10years'!E19-'10years'!$G19</f>
        <v>0.14977553549666833</v>
      </c>
      <c r="F19">
        <f>'10years'!F19-'10years'!$G19</f>
        <v>-4.6512882568047864E-2</v>
      </c>
      <c r="G19">
        <f>'10years'!H19-'10years'!$I19</f>
        <v>0</v>
      </c>
    </row>
    <row r="20" spans="1:7" x14ac:dyDescent="0.35">
      <c r="A20" s="1">
        <v>13727</v>
      </c>
      <c r="B20">
        <f>'10years'!B20-'10years'!$G20</f>
        <v>0.22239707366897865</v>
      </c>
      <c r="C20">
        <f>'10years'!C20-'10years'!$G20</f>
        <v>-0.15890514391799759</v>
      </c>
      <c r="D20">
        <f>'10years'!D20-'10years'!$G20</f>
        <v>0.42909711599485889</v>
      </c>
      <c r="E20">
        <f>'10years'!E20-'10years'!$G20</f>
        <v>0.10917870964664034</v>
      </c>
      <c r="F20">
        <f>'10years'!F20-'10years'!$G20</f>
        <v>-8.2077668852642338E-2</v>
      </c>
      <c r="G20">
        <f>'10years'!H20-'10years'!$I20</f>
        <v>0</v>
      </c>
    </row>
    <row r="21" spans="1:7" x14ac:dyDescent="0.35">
      <c r="A21" s="1">
        <v>13758</v>
      </c>
      <c r="B21">
        <f>'10years'!B21-'10years'!$G21</f>
        <v>0.2356996957942652</v>
      </c>
      <c r="C21">
        <f>'10years'!C21-'10years'!$G21</f>
        <v>-0.1442620382542632</v>
      </c>
      <c r="D21">
        <f>'10years'!D21-'10years'!$G21</f>
        <v>0.46747308832446421</v>
      </c>
      <c r="E21">
        <f>'10years'!E21-'10years'!$G21</f>
        <v>0.14898883474432179</v>
      </c>
      <c r="F21">
        <f>'10years'!F21-'10years'!$G21</f>
        <v>-5.0985089492884939E-2</v>
      </c>
      <c r="G21">
        <f>'10years'!H21-'10years'!$I21</f>
        <v>0</v>
      </c>
    </row>
    <row r="22" spans="1:7" x14ac:dyDescent="0.35">
      <c r="A22" s="1">
        <v>13788</v>
      </c>
      <c r="B22">
        <f>'10years'!B22-'10years'!$G22</f>
        <v>0.16648626772702424</v>
      </c>
      <c r="C22">
        <f>'10years'!C22-'10years'!$G22</f>
        <v>-0.21390734287987523</v>
      </c>
      <c r="D22">
        <f>'10years'!D22-'10years'!$G22</f>
        <v>0.39776398513454292</v>
      </c>
      <c r="E22">
        <f>'10years'!E22-'10years'!$G22</f>
        <v>7.8752889826290362E-2</v>
      </c>
      <c r="F22">
        <f>'10years'!F22-'10years'!$G22</f>
        <v>-0.13263747151343463</v>
      </c>
      <c r="G22">
        <f>'10years'!H22-'10years'!$I22</f>
        <v>0</v>
      </c>
    </row>
    <row r="23" spans="1:7" x14ac:dyDescent="0.35">
      <c r="A23" s="1">
        <v>13818</v>
      </c>
      <c r="B23">
        <f>'10years'!B23-'10years'!$G23</f>
        <v>-7.9533470445114496E-4</v>
      </c>
      <c r="C23">
        <f>'10years'!C23-'10years'!$G23</f>
        <v>-0.3813922857177412</v>
      </c>
      <c r="D23">
        <f>'10years'!D23-'10years'!$G23</f>
        <v>0.1919495714764794</v>
      </c>
      <c r="E23">
        <f>'10years'!E23-'10years'!$G23</f>
        <v>-0.12607962998250088</v>
      </c>
      <c r="F23">
        <f>'10years'!F23-'10years'!$G23</f>
        <v>-0.29409129358175545</v>
      </c>
      <c r="G23">
        <f>'10years'!H23-'10years'!$I23</f>
        <v>0</v>
      </c>
    </row>
    <row r="24" spans="1:7" x14ac:dyDescent="0.35">
      <c r="A24" s="1">
        <v>13849</v>
      </c>
      <c r="B24">
        <f>'10years'!B24-'10years'!$G24</f>
        <v>-4.9335897254325634E-2</v>
      </c>
      <c r="C24">
        <f>'10years'!C24-'10years'!$G24</f>
        <v>-0.42876884162152296</v>
      </c>
      <c r="D24">
        <f>'10years'!D24-'10years'!$G24</f>
        <v>0.13370340412904413</v>
      </c>
      <c r="E24">
        <f>'10years'!E24-'10years'!$G24</f>
        <v>-0.18347588655571068</v>
      </c>
      <c r="F24">
        <f>'10years'!F24-'10years'!$G24</f>
        <v>-0.33607558784499059</v>
      </c>
      <c r="G24">
        <f>'10years'!H24-'10years'!$I24</f>
        <v>0</v>
      </c>
    </row>
    <row r="25" spans="1:7" x14ac:dyDescent="0.35">
      <c r="A25" s="1">
        <v>13880</v>
      </c>
      <c r="B25">
        <f>'10years'!B25-'10years'!$G25</f>
        <v>-0.17793731124769119</v>
      </c>
      <c r="C25">
        <f>'10years'!C25-'10years'!$G25</f>
        <v>-0.56658950569428379</v>
      </c>
      <c r="D25">
        <f>'10years'!D25-'10years'!$G25</f>
        <v>-9.6865293152359477E-3</v>
      </c>
      <c r="E25">
        <f>'10years'!E25-'10years'!$G25</f>
        <v>-0.3337185759759409</v>
      </c>
      <c r="F25">
        <f>'10years'!F25-'10years'!$G25</f>
        <v>-0.47756803000472914</v>
      </c>
      <c r="G25">
        <f>'10years'!H25-'10years'!$I25</f>
        <v>0</v>
      </c>
    </row>
    <row r="26" spans="1:7" x14ac:dyDescent="0.35">
      <c r="A26" s="1">
        <v>13911</v>
      </c>
      <c r="B26">
        <f>'10years'!B26-'10years'!$G26</f>
        <v>-0.23106822409967287</v>
      </c>
      <c r="C26">
        <f>'10years'!C26-'10years'!$G26</f>
        <v>-0.62178980736071732</v>
      </c>
      <c r="D26">
        <f>'10years'!D26-'10years'!$G26</f>
        <v>-0.10576334968274126</v>
      </c>
      <c r="E26">
        <f>'10years'!E26-'10years'!$G26</f>
        <v>-0.43160117442503343</v>
      </c>
      <c r="F26">
        <f>'10years'!F26-'10years'!$G26</f>
        <v>-0.53431803526264843</v>
      </c>
      <c r="G26">
        <f>'10years'!H26-'10years'!$I26</f>
        <v>0</v>
      </c>
    </row>
    <row r="27" spans="1:7" x14ac:dyDescent="0.35">
      <c r="A27" s="1">
        <v>13939</v>
      </c>
      <c r="B27">
        <f>'10years'!B27-'10years'!$G27</f>
        <v>-0.21295118085973197</v>
      </c>
      <c r="C27">
        <f>'10years'!C27-'10years'!$G27</f>
        <v>-0.60292307035123471</v>
      </c>
      <c r="D27">
        <f>'10years'!D27-'10years'!$G27</f>
        <v>-0.10937478344420404</v>
      </c>
      <c r="E27">
        <f>'10years'!E27-'10years'!$G27</f>
        <v>-0.43449416341274549</v>
      </c>
      <c r="F27">
        <f>'10years'!F27-'10years'!$G27</f>
        <v>-0.51708445764257949</v>
      </c>
      <c r="G27">
        <f>'10years'!H27-'10years'!$I27</f>
        <v>0</v>
      </c>
    </row>
    <row r="28" spans="1:7" x14ac:dyDescent="0.35">
      <c r="A28" s="1">
        <v>13970</v>
      </c>
      <c r="B28">
        <f>'10years'!B28-'10years'!$G28</f>
        <v>-0.14678532714515202</v>
      </c>
      <c r="C28">
        <f>'10years'!C28-'10years'!$G28</f>
        <v>-0.53713702676304886</v>
      </c>
      <c r="D28">
        <f>'10years'!D28-'10years'!$G28</f>
        <v>-2.0551595388465627E-2</v>
      </c>
      <c r="E28">
        <f>'10years'!E28-'10years'!$G28</f>
        <v>-0.34636117202624672</v>
      </c>
      <c r="F28">
        <f>'10years'!F28-'10years'!$G28</f>
        <v>-0.45068451724949177</v>
      </c>
      <c r="G28">
        <f>'10years'!H28-'10years'!$I28</f>
        <v>0</v>
      </c>
    </row>
    <row r="29" spans="1:7" x14ac:dyDescent="0.35">
      <c r="A29" s="1">
        <v>14000</v>
      </c>
      <c r="B29">
        <f>'10years'!B29-'10years'!$G29</f>
        <v>-0.47175334326669205</v>
      </c>
      <c r="C29">
        <f>'10years'!C29-'10years'!$G29</f>
        <v>-0.86202843851751698</v>
      </c>
      <c r="D29">
        <f>'10years'!D29-'10years'!$G29</f>
        <v>-0.38375265869044162</v>
      </c>
      <c r="E29">
        <f>'10years'!E29-'10years'!$G29</f>
        <v>-0.70905507220371478</v>
      </c>
      <c r="F29">
        <f>'10years'!F29-'10years'!$G29</f>
        <v>-0.77253730395044018</v>
      </c>
      <c r="G29">
        <f>'10years'!H29-'10years'!$I29</f>
        <v>0</v>
      </c>
    </row>
    <row r="30" spans="1:7" x14ac:dyDescent="0.35">
      <c r="A30" s="1">
        <v>14031</v>
      </c>
      <c r="B30">
        <f>'10years'!B30-'10years'!$G30</f>
        <v>-0.38760817745216092</v>
      </c>
      <c r="C30">
        <f>'10years'!C30-'10years'!$G30</f>
        <v>-0.77782979027099164</v>
      </c>
      <c r="D30">
        <f>'10years'!D30-'10years'!$G30</f>
        <v>-0.27050714042098556</v>
      </c>
      <c r="E30">
        <f>'10years'!E30-'10years'!$G30</f>
        <v>-0.5954187836586875</v>
      </c>
      <c r="F30">
        <f>'10years'!F30-'10years'!$G30</f>
        <v>-0.68786712948000406</v>
      </c>
      <c r="G30">
        <f>'10years'!H30-'10years'!$I30</f>
        <v>0</v>
      </c>
    </row>
    <row r="31" spans="1:7" x14ac:dyDescent="0.35">
      <c r="A31" s="1">
        <v>14061</v>
      </c>
      <c r="B31">
        <f>'10years'!B31-'10years'!$G31</f>
        <v>-0.4291376617616236</v>
      </c>
      <c r="C31">
        <f>'10years'!C31-'10years'!$G31</f>
        <v>-0.82041154382460491</v>
      </c>
      <c r="D31">
        <f>'10years'!D31-'10years'!$G31</f>
        <v>-0.3179579894140625</v>
      </c>
      <c r="E31">
        <f>'10years'!E31-'10years'!$G31</f>
        <v>-0.64317914373020901</v>
      </c>
      <c r="F31">
        <f>'10years'!F31-'10years'!$G31</f>
        <v>-0.73330273531163481</v>
      </c>
      <c r="G31">
        <f>'10years'!H31-'10years'!$I31</f>
        <v>0</v>
      </c>
    </row>
    <row r="32" spans="1:7" x14ac:dyDescent="0.35">
      <c r="A32" s="1">
        <v>14091</v>
      </c>
      <c r="B32">
        <f>'10years'!B32-'10years'!$G32</f>
        <v>-0.20976250526901685</v>
      </c>
      <c r="C32">
        <f>'10years'!C32-'10years'!$G32</f>
        <v>-0.60089850559298297</v>
      </c>
      <c r="D32">
        <f>'10years'!D32-'10years'!$G32</f>
        <v>-5.2315768208898383E-2</v>
      </c>
      <c r="E32">
        <f>'10years'!E32-'10years'!$G32</f>
        <v>-0.37629719358153091</v>
      </c>
      <c r="F32">
        <f>'10years'!F32-'10years'!$G32</f>
        <v>-0.51357538815382986</v>
      </c>
      <c r="G32">
        <f>'10years'!H32-'10years'!$I32</f>
        <v>0</v>
      </c>
    </row>
    <row r="33" spans="1:7" x14ac:dyDescent="0.35">
      <c r="A33" s="1">
        <v>14123</v>
      </c>
      <c r="B33">
        <f>'10years'!B33-'10years'!$G33</f>
        <v>-0.15551933287253927</v>
      </c>
      <c r="C33">
        <f>'10years'!C33-'10years'!$G33</f>
        <v>-0.54601459520052265</v>
      </c>
      <c r="D33">
        <f>'10years'!D33-'10years'!$G33</f>
        <v>1.6441629767832477E-2</v>
      </c>
      <c r="E33">
        <f>'10years'!E33-'10years'!$G33</f>
        <v>-0.306539109369103</v>
      </c>
      <c r="F33">
        <f>'10years'!F33-'10years'!$G33</f>
        <v>-0.46305503440349804</v>
      </c>
      <c r="G33">
        <f>'10years'!H33-'10years'!$I33</f>
        <v>0</v>
      </c>
    </row>
    <row r="34" spans="1:7" x14ac:dyDescent="0.35">
      <c r="A34" s="1">
        <v>14153</v>
      </c>
      <c r="B34">
        <f>'10years'!B34-'10years'!$G34</f>
        <v>-0.2313490255507622</v>
      </c>
      <c r="C34">
        <f>'10years'!C34-'10years'!$G34</f>
        <v>-0.62091582587310068</v>
      </c>
      <c r="D34">
        <f>'10years'!D34-'10years'!$G34</f>
        <v>-8.6888761185264229E-2</v>
      </c>
      <c r="E34">
        <f>'10years'!E34-'10years'!$G34</f>
        <v>-0.40920591773276671</v>
      </c>
      <c r="F34">
        <f>'10years'!F34-'10years'!$G34</f>
        <v>-0.54294092530960736</v>
      </c>
      <c r="G34">
        <f>'10years'!H34-'10years'!$I34</f>
        <v>0</v>
      </c>
    </row>
    <row r="35" spans="1:7" x14ac:dyDescent="0.35">
      <c r="A35" s="1">
        <v>14184</v>
      </c>
      <c r="B35">
        <f>'10years'!B35-'10years'!$G35</f>
        <v>-0.23383474610461086</v>
      </c>
      <c r="C35">
        <f>'10years'!C35-'10years'!$G35</f>
        <v>-0.623879569329433</v>
      </c>
      <c r="D35">
        <f>'10years'!D35-'10years'!$G35</f>
        <v>-0.10827253178768981</v>
      </c>
      <c r="E35">
        <f>'10years'!E35-'10years'!$G35</f>
        <v>-0.43042326212673343</v>
      </c>
      <c r="F35">
        <f>'10years'!F35-'10years'!$G35</f>
        <v>-0.54830713164696343</v>
      </c>
      <c r="G35">
        <f>'10years'!H35-'10years'!$I35</f>
        <v>0</v>
      </c>
    </row>
    <row r="36" spans="1:7" x14ac:dyDescent="0.35">
      <c r="A36" s="1">
        <v>14214</v>
      </c>
      <c r="B36">
        <f>'10years'!B36-'10years'!$G36</f>
        <v>-0.17900818669225105</v>
      </c>
      <c r="C36">
        <f>'10years'!C36-'10years'!$G36</f>
        <v>-0.56837922271054442</v>
      </c>
      <c r="D36">
        <f>'10years'!D36-'10years'!$G36</f>
        <v>6.328026193460623E-3</v>
      </c>
      <c r="E36">
        <f>'10years'!E36-'10years'!$G36</f>
        <v>-0.31479122842587914</v>
      </c>
      <c r="F36">
        <f>'10years'!F36-'10years'!$G36</f>
        <v>-0.49648482063754162</v>
      </c>
      <c r="G36">
        <f>'10years'!H36-'10years'!$I36</f>
        <v>0</v>
      </c>
    </row>
    <row r="37" spans="1:7" x14ac:dyDescent="0.35">
      <c r="A37" s="1">
        <v>14245</v>
      </c>
      <c r="B37">
        <f>'10years'!B37-'10years'!$G37</f>
        <v>-0.29414768229691091</v>
      </c>
      <c r="C37">
        <f>'10years'!C37-'10years'!$G37</f>
        <v>-0.68403138189744594</v>
      </c>
      <c r="D37">
        <f>'10years'!D37-'10years'!$G37</f>
        <v>-0.12981595927758227</v>
      </c>
      <c r="E37">
        <f>'10years'!E37-'10years'!$G37</f>
        <v>-0.45157825461598367</v>
      </c>
      <c r="F37">
        <f>'10years'!F37-'10years'!$G37</f>
        <v>-0.6151468953346646</v>
      </c>
      <c r="G37">
        <f>'10years'!H37-'10years'!$I37</f>
        <v>0</v>
      </c>
    </row>
    <row r="38" spans="1:7" x14ac:dyDescent="0.35">
      <c r="A38" s="1">
        <v>14276</v>
      </c>
      <c r="B38">
        <f>'10years'!B38-'10years'!$G38</f>
        <v>-0.2623348186877299</v>
      </c>
      <c r="C38">
        <f>'10years'!C38-'10years'!$G38</f>
        <v>-0.65218149386613677</v>
      </c>
      <c r="D38">
        <f>'10years'!D38-'10years'!$G38</f>
        <v>-9.9071284211641908E-2</v>
      </c>
      <c r="E38">
        <f>'10years'!E38-'10years'!$G38</f>
        <v>-0.41944148112271029</v>
      </c>
      <c r="F38">
        <f>'10years'!F38-'10years'!$G38</f>
        <v>-0.58632722866989551</v>
      </c>
      <c r="G38">
        <f>'10years'!H38-'10years'!$I38</f>
        <v>0</v>
      </c>
    </row>
    <row r="39" spans="1:7" x14ac:dyDescent="0.35">
      <c r="A39" s="1">
        <v>14304</v>
      </c>
      <c r="B39">
        <f>'10years'!B39-'10years'!$G39</f>
        <v>-0.36528754849403233</v>
      </c>
      <c r="C39">
        <f>'10years'!C39-'10years'!$G39</f>
        <v>-0.75420061117718173</v>
      </c>
      <c r="D39">
        <f>'10years'!D39-'10years'!$G39</f>
        <v>-0.2280205042764174</v>
      </c>
      <c r="E39">
        <f>'10years'!E39-'10years'!$G39</f>
        <v>-0.54739513959610875</v>
      </c>
      <c r="F39">
        <f>'10years'!F39-'10years'!$G39</f>
        <v>-0.68875879547008045</v>
      </c>
      <c r="G39">
        <f>'10years'!H39-'10years'!$I39</f>
        <v>0</v>
      </c>
    </row>
    <row r="40" spans="1:7" x14ac:dyDescent="0.35">
      <c r="A40" s="1">
        <v>14335</v>
      </c>
      <c r="B40">
        <f>'10years'!B40-'10years'!$G40</f>
        <v>-0.32653514833827324</v>
      </c>
      <c r="C40">
        <f>'10years'!C40-'10years'!$G40</f>
        <v>-0.71686228796994755</v>
      </c>
      <c r="D40">
        <f>'10years'!D40-'10years'!$G40</f>
        <v>-0.1727627780372647</v>
      </c>
      <c r="E40">
        <f>'10years'!E40-'10years'!$G40</f>
        <v>-0.49252799993277185</v>
      </c>
      <c r="F40">
        <f>'10years'!F40-'10years'!$G40</f>
        <v>-0.6547449912267338</v>
      </c>
      <c r="G40">
        <f>'10years'!H40-'10years'!$I40</f>
        <v>0</v>
      </c>
    </row>
    <row r="41" spans="1:7" x14ac:dyDescent="0.35">
      <c r="A41" s="1">
        <v>14364</v>
      </c>
      <c r="B41">
        <f>'10years'!B41-'10years'!$G41</f>
        <v>-0.44426389025848567</v>
      </c>
      <c r="C41">
        <f>'10years'!C41-'10years'!$G41</f>
        <v>-0.83453934712531441</v>
      </c>
      <c r="D41">
        <f>'10years'!D41-'10years'!$G41</f>
        <v>-0.34082794674143613</v>
      </c>
      <c r="E41">
        <f>'10years'!E41-'10years'!$G41</f>
        <v>-0.66014797050828089</v>
      </c>
      <c r="F41">
        <f>'10years'!F41-'10years'!$G41</f>
        <v>-0.77059284395834715</v>
      </c>
      <c r="G41">
        <f>'10years'!H41-'10years'!$I41</f>
        <v>0</v>
      </c>
    </row>
    <row r="42" spans="1:7" x14ac:dyDescent="0.35">
      <c r="A42" s="1">
        <v>14396</v>
      </c>
      <c r="B42">
        <f>'10years'!B42-'10years'!$G42</f>
        <v>-0.46311170482526509</v>
      </c>
      <c r="C42">
        <f>'10years'!C42-'10years'!$G42</f>
        <v>-0.85325260881217813</v>
      </c>
      <c r="D42">
        <f>'10years'!D42-'10years'!$G42</f>
        <v>-0.34148698797192378</v>
      </c>
      <c r="E42">
        <f>'10years'!E42-'10years'!$G42</f>
        <v>-0.66017961688926241</v>
      </c>
      <c r="F42">
        <f>'10years'!F42-'10years'!$G42</f>
        <v>-0.78557106029115231</v>
      </c>
      <c r="G42">
        <f>'10years'!H42-'10years'!$I42</f>
        <v>0</v>
      </c>
    </row>
    <row r="43" spans="1:7" x14ac:dyDescent="0.35">
      <c r="A43" s="1">
        <v>14426</v>
      </c>
      <c r="B43">
        <f>'10years'!B43-'10years'!$G43</f>
        <v>-0.36911343201772939</v>
      </c>
      <c r="C43">
        <f>'10years'!C43-'10years'!$G43</f>
        <v>-0.76017007427564365</v>
      </c>
      <c r="D43">
        <f>'10years'!D43-'10years'!$G43</f>
        <v>-0.24182804808297953</v>
      </c>
      <c r="E43">
        <f>'10years'!E43-'10years'!$G43</f>
        <v>-0.56024009802435404</v>
      </c>
      <c r="F43">
        <f>'10years'!F43-'10years'!$G43</f>
        <v>-0.69622196912992673</v>
      </c>
      <c r="G43">
        <f>'10years'!H43-'10years'!$I43</f>
        <v>0</v>
      </c>
    </row>
    <row r="44" spans="1:7" x14ac:dyDescent="0.35">
      <c r="A44" s="1">
        <v>14457</v>
      </c>
      <c r="B44">
        <f>'10years'!B44-'10years'!$G44</f>
        <v>-0.50681824613952098</v>
      </c>
      <c r="C44">
        <f>'10years'!C44-'10years'!$G44</f>
        <v>-0.89878062607336218</v>
      </c>
      <c r="D44">
        <f>'10years'!D44-'10years'!$G44</f>
        <v>-0.40618536819307161</v>
      </c>
      <c r="E44">
        <f>'10years'!E44-'10years'!$G44</f>
        <v>-0.72463594940365472</v>
      </c>
      <c r="F44">
        <f>'10years'!F44-'10years'!$G44</f>
        <v>-0.83526471306334726</v>
      </c>
      <c r="G44">
        <f>'10years'!H44-'10years'!$I44</f>
        <v>0</v>
      </c>
    </row>
    <row r="45" spans="1:7" x14ac:dyDescent="0.35">
      <c r="A45" s="1">
        <v>14488</v>
      </c>
      <c r="B45">
        <f>'10years'!B45-'10years'!$G45</f>
        <v>-0.45722112689947569</v>
      </c>
      <c r="C45">
        <f>'10years'!C45-'10years'!$G45</f>
        <v>-0.84863908105272601</v>
      </c>
      <c r="D45">
        <f>'10years'!D45-'10years'!$G45</f>
        <v>-0.32793092985591232</v>
      </c>
      <c r="E45">
        <f>'10years'!E45-'10years'!$G45</f>
        <v>-0.64568318389598356</v>
      </c>
      <c r="F45">
        <f>'10years'!F45-'10years'!$G45</f>
        <v>-0.78433100345363038</v>
      </c>
      <c r="G45">
        <f>'10years'!H45-'10years'!$I45</f>
        <v>0</v>
      </c>
    </row>
    <row r="46" spans="1:7" x14ac:dyDescent="0.35">
      <c r="A46" s="1">
        <v>14518</v>
      </c>
      <c r="B46">
        <f>'10years'!B46-'10years'!$G46</f>
        <v>-0.58736165614352065</v>
      </c>
      <c r="C46">
        <f>'10years'!C46-'10years'!$G46</f>
        <v>-0.97999105285682719</v>
      </c>
      <c r="D46">
        <f>'10years'!D46-'10years'!$G46</f>
        <v>-0.47864644464533135</v>
      </c>
      <c r="E46">
        <f>'10years'!E46-'10years'!$G46</f>
        <v>-0.79642495473936692</v>
      </c>
      <c r="F46">
        <f>'10years'!F46-'10years'!$G46</f>
        <v>-0.91982881652047976</v>
      </c>
      <c r="G46">
        <f>'10years'!H46-'10years'!$I46</f>
        <v>0</v>
      </c>
    </row>
    <row r="47" spans="1:7" x14ac:dyDescent="0.35">
      <c r="A47" s="1">
        <v>14549</v>
      </c>
      <c r="B47">
        <f>'10years'!B47-'10years'!$G47</f>
        <v>-0.40329697361567796</v>
      </c>
      <c r="C47">
        <f>'10years'!C47-'10years'!$G47</f>
        <v>-0.79732756494644086</v>
      </c>
      <c r="D47">
        <f>'10years'!D47-'10years'!$G47</f>
        <v>-0.18564234192291273</v>
      </c>
      <c r="E47">
        <f>'10years'!E47-'10years'!$G47</f>
        <v>-0.50357717693800064</v>
      </c>
      <c r="F47">
        <f>'10years'!F47-'10years'!$G47</f>
        <v>-0.74987002494181576</v>
      </c>
      <c r="G47">
        <f>'10years'!H47-'10years'!$I47</f>
        <v>0</v>
      </c>
    </row>
    <row r="48" spans="1:7" x14ac:dyDescent="0.35">
      <c r="A48" s="1">
        <v>14579</v>
      </c>
      <c r="B48">
        <f>'10years'!B48-'10years'!$G48</f>
        <v>-0.24295608682755554</v>
      </c>
      <c r="C48">
        <f>'10years'!C48-'10years'!$G48</f>
        <v>-0.63623973287816837</v>
      </c>
      <c r="D48">
        <f>'10years'!D48-'10years'!$G48</f>
        <v>-5.0807352031106534E-2</v>
      </c>
      <c r="E48">
        <f>'10years'!E48-'10years'!$G48</f>
        <v>-0.36764477841965637</v>
      </c>
      <c r="F48">
        <f>'10years'!F48-'10years'!$G48</f>
        <v>-0.57467104555197168</v>
      </c>
      <c r="G48">
        <f>'10years'!H48-'10years'!$I48</f>
        <v>0</v>
      </c>
    </row>
    <row r="49" spans="1:7" x14ac:dyDescent="0.35">
      <c r="A49" s="1">
        <v>14609</v>
      </c>
      <c r="B49">
        <f>'10years'!B49-'10years'!$G49</f>
        <v>-0.16318983920525243</v>
      </c>
      <c r="C49">
        <f>'10years'!C49-'10years'!$G49</f>
        <v>-0.56122863306062332</v>
      </c>
      <c r="D49">
        <f>'10years'!D49-'10years'!$G49</f>
        <v>-1.8880509906110898E-2</v>
      </c>
      <c r="E49">
        <f>'10years'!E49-'10years'!$G49</f>
        <v>-0.33790556521824966</v>
      </c>
      <c r="F49">
        <f>'10years'!F49-'10years'!$G49</f>
        <v>-0.49461138668541205</v>
      </c>
      <c r="G49">
        <f>'10years'!H49-'10years'!$I49</f>
        <v>0</v>
      </c>
    </row>
    <row r="50" spans="1:7" x14ac:dyDescent="0.35">
      <c r="A50" s="1">
        <v>14641</v>
      </c>
      <c r="B50">
        <f>'10years'!B50-'10years'!$G50</f>
        <v>-0.16010541553597868</v>
      </c>
      <c r="C50">
        <f>'10years'!C50-'10years'!$G50</f>
        <v>-0.55883425977189694</v>
      </c>
      <c r="D50">
        <f>'10years'!D50-'10years'!$G50</f>
        <v>-7.5990223017590175E-3</v>
      </c>
      <c r="E50">
        <f>'10years'!E50-'10years'!$G50</f>
        <v>-0.32559103222966224</v>
      </c>
      <c r="F50">
        <f>'10years'!F50-'10years'!$G50</f>
        <v>-0.49313748088300624</v>
      </c>
      <c r="G50">
        <f>'10years'!H50-'10years'!$I50</f>
        <v>0</v>
      </c>
    </row>
    <row r="51" spans="1:7" x14ac:dyDescent="0.35">
      <c r="A51" s="1">
        <v>14670</v>
      </c>
      <c r="B51">
        <f>'10years'!B51-'10years'!$G51</f>
        <v>-0.23760211726407099</v>
      </c>
      <c r="C51">
        <f>'10years'!C51-'10years'!$G51</f>
        <v>-0.63473242185219347</v>
      </c>
      <c r="D51">
        <f>'10years'!D51-'10years'!$G51</f>
        <v>-9.689176269061206E-2</v>
      </c>
      <c r="E51">
        <f>'10years'!E51-'10years'!$G51</f>
        <v>-0.41320732597661913</v>
      </c>
      <c r="F51">
        <f>'10years'!F51-'10years'!$G51</f>
        <v>-0.57198911754057469</v>
      </c>
      <c r="G51">
        <f>'10years'!H51-'10years'!$I51</f>
        <v>0</v>
      </c>
    </row>
    <row r="52" spans="1:7" x14ac:dyDescent="0.35">
      <c r="A52" s="1">
        <v>14700</v>
      </c>
      <c r="B52">
        <f>'10years'!B52-'10years'!$G52</f>
        <v>-0.24584973141298416</v>
      </c>
      <c r="C52">
        <f>'10years'!C52-'10years'!$G52</f>
        <v>-0.64437968635975329</v>
      </c>
      <c r="D52">
        <f>'10years'!D52-'10years'!$G52</f>
        <v>-0.11182859220693109</v>
      </c>
      <c r="E52">
        <f>'10years'!E52-'10years'!$G52</f>
        <v>-0.42883194298997163</v>
      </c>
      <c r="F52">
        <f>'10years'!F52-'10years'!$G52</f>
        <v>-0.58186059801538281</v>
      </c>
      <c r="G52">
        <f>'10years'!H52-'10years'!$I52</f>
        <v>0</v>
      </c>
    </row>
    <row r="53" spans="1:7" x14ac:dyDescent="0.35">
      <c r="A53" s="1">
        <v>14731</v>
      </c>
      <c r="B53">
        <f>'10years'!B53-'10years'!$G53</f>
        <v>-0.29012816797883612</v>
      </c>
      <c r="C53">
        <f>'10years'!C53-'10years'!$G53</f>
        <v>-0.68864319891340142</v>
      </c>
      <c r="D53">
        <f>'10years'!D53-'10years'!$G53</f>
        <v>-0.14455100838815427</v>
      </c>
      <c r="E53">
        <f>'10years'!E53-'10years'!$G53</f>
        <v>-0.46078273714603069</v>
      </c>
      <c r="F53">
        <f>'10years'!F53-'10years'!$G53</f>
        <v>-0.63479572393226236</v>
      </c>
      <c r="G53">
        <f>'10years'!H53-'10years'!$I53</f>
        <v>0</v>
      </c>
    </row>
    <row r="54" spans="1:7" x14ac:dyDescent="0.35">
      <c r="A54" s="1">
        <v>14762</v>
      </c>
      <c r="B54">
        <f>'10years'!B54-'10years'!$G54</f>
        <v>-0.28054457326306892</v>
      </c>
      <c r="C54">
        <f>'10years'!C54-'10years'!$G54</f>
        <v>-0.67892924226431939</v>
      </c>
      <c r="D54">
        <f>'10years'!D54-'10years'!$G54</f>
        <v>-0.11254139423200682</v>
      </c>
      <c r="E54">
        <f>'10years'!E54-'10years'!$G54</f>
        <v>-0.4280966651949929</v>
      </c>
      <c r="F54">
        <f>'10years'!F54-'10years'!$G54</f>
        <v>-0.62926987571918991</v>
      </c>
      <c r="G54">
        <f>'10years'!H54-'10years'!$I54</f>
        <v>0</v>
      </c>
    </row>
    <row r="55" spans="1:7" x14ac:dyDescent="0.35">
      <c r="A55" s="1">
        <v>14791</v>
      </c>
      <c r="B55">
        <f>'10years'!B55-'10years'!$G55</f>
        <v>-0.48770858796591332</v>
      </c>
      <c r="C55">
        <f>'10years'!C55-'10years'!$G55</f>
        <v>-0.89073281996769405</v>
      </c>
      <c r="D55">
        <f>'10years'!D55-'10years'!$G55</f>
        <v>-0.37392811389433467</v>
      </c>
      <c r="E55">
        <f>'10years'!E55-'10years'!$G55</f>
        <v>-0.69077347140729728</v>
      </c>
      <c r="F55">
        <f>'10years'!F55-'10years'!$G55</f>
        <v>-0.83996085266196463</v>
      </c>
      <c r="G55">
        <f>'10years'!H55-'10years'!$I55</f>
        <v>0</v>
      </c>
    </row>
    <row r="56" spans="1:7" x14ac:dyDescent="0.35">
      <c r="A56" s="1">
        <v>14823</v>
      </c>
      <c r="B56">
        <f>'10years'!B56-'10years'!$G56</f>
        <v>-0.27885250598618883</v>
      </c>
      <c r="C56">
        <f>'10years'!C56-'10years'!$G56</f>
        <v>-0.68300540835349399</v>
      </c>
      <c r="D56">
        <f>'10years'!D56-'10years'!$G56</f>
        <v>-0.13280716759495692</v>
      </c>
      <c r="E56">
        <f>'10years'!E56-'10years'!$G56</f>
        <v>-0.44877052449134403</v>
      </c>
      <c r="F56">
        <f>'10years'!F56-'10years'!$G56</f>
        <v>-0.62805905806355233</v>
      </c>
      <c r="G56">
        <f>'10years'!H56-'10years'!$I56</f>
        <v>0</v>
      </c>
    </row>
    <row r="57" spans="1:7" x14ac:dyDescent="0.35">
      <c r="A57" s="1">
        <v>14854</v>
      </c>
      <c r="B57">
        <f>'10years'!B57-'10years'!$G57</f>
        <v>-0.28188390581756351</v>
      </c>
      <c r="C57">
        <f>'10years'!C57-'10years'!$G57</f>
        <v>-0.68511190806628686</v>
      </c>
      <c r="D57">
        <f>'10years'!D57-'10years'!$G57</f>
        <v>-0.13698775360311699</v>
      </c>
      <c r="E57">
        <f>'10years'!E57-'10years'!$G57</f>
        <v>-0.45113370329748359</v>
      </c>
      <c r="F57">
        <f>'10years'!F57-'10years'!$G57</f>
        <v>-0.63106110910858138</v>
      </c>
      <c r="G57">
        <f>'10years'!H57-'10years'!$I57</f>
        <v>0</v>
      </c>
    </row>
    <row r="58" spans="1:7" x14ac:dyDescent="0.35">
      <c r="A58" s="1">
        <v>14884</v>
      </c>
      <c r="B58">
        <f>'10years'!B58-'10years'!$G58</f>
        <v>-0.2614348608829602</v>
      </c>
      <c r="C58">
        <f>'10years'!C58-'10years'!$G58</f>
        <v>-0.66804703548210154</v>
      </c>
      <c r="D58">
        <f>'10years'!D58-'10years'!$G58</f>
        <v>-0.11550112346939856</v>
      </c>
      <c r="E58">
        <f>'10years'!E58-'10years'!$G58</f>
        <v>-0.43086526756107735</v>
      </c>
      <c r="F58">
        <f>'10years'!F58-'10years'!$G58</f>
        <v>-0.61500547187046828</v>
      </c>
      <c r="G58">
        <f>'10years'!H58-'10years'!$I58</f>
        <v>0</v>
      </c>
    </row>
    <row r="59" spans="1:7" x14ac:dyDescent="0.35">
      <c r="A59" s="1">
        <v>14915</v>
      </c>
      <c r="B59">
        <f>'10years'!B59-'10years'!$G59</f>
        <v>-0.1382764321719081</v>
      </c>
      <c r="C59">
        <f>'10years'!C59-'10years'!$G59</f>
        <v>-0.54488832168667112</v>
      </c>
      <c r="D59">
        <f>'10years'!D59-'10years'!$G59</f>
        <v>1.1284107732084214E-2</v>
      </c>
      <c r="E59">
        <f>'10years'!E59-'10years'!$G59</f>
        <v>-0.30290151230344997</v>
      </c>
      <c r="F59">
        <f>'10years'!F59-'10years'!$G59</f>
        <v>-0.48995951172942687</v>
      </c>
      <c r="G59">
        <f>'10years'!H59-'10years'!$I59</f>
        <v>0</v>
      </c>
    </row>
    <row r="60" spans="1:7" x14ac:dyDescent="0.35">
      <c r="A60" s="1">
        <v>14945</v>
      </c>
      <c r="B60">
        <f>'10years'!B60-'10years'!$G60</f>
        <v>-3.091587752290148E-2</v>
      </c>
      <c r="C60">
        <f>'10years'!C60-'10years'!$G60</f>
        <v>-0.43652706657546969</v>
      </c>
      <c r="D60">
        <f>'10years'!D60-'10years'!$G60</f>
        <v>0.13282496848943759</v>
      </c>
      <c r="E60">
        <f>'10years'!E60-'10years'!$G60</f>
        <v>-0.17998912774418918</v>
      </c>
      <c r="F60">
        <f>'10years'!F60-'10years'!$G60</f>
        <v>-0.38001121423855611</v>
      </c>
      <c r="G60">
        <f>'10years'!H60-'10years'!$I60</f>
        <v>0</v>
      </c>
    </row>
    <row r="61" spans="1:7" x14ac:dyDescent="0.35">
      <c r="A61" s="1">
        <v>14976</v>
      </c>
      <c r="B61">
        <f>'10years'!B61-'10years'!$G61</f>
        <v>-3.8152752965954218E-2</v>
      </c>
      <c r="C61">
        <f>'10years'!C61-'10years'!$G61</f>
        <v>-0.45169729954622317</v>
      </c>
      <c r="D61">
        <f>'10years'!D61-'10years'!$G61</f>
        <v>0.1033999273577324</v>
      </c>
      <c r="E61">
        <f>'10years'!E61-'10years'!$G61</f>
        <v>-0.21408829407574936</v>
      </c>
      <c r="F61">
        <f>'10years'!F61-'10years'!$G61</f>
        <v>-0.39661919566447823</v>
      </c>
      <c r="G61">
        <f>'10years'!H61-'10years'!$I61</f>
        <v>0</v>
      </c>
    </row>
    <row r="62" spans="1:7" x14ac:dyDescent="0.35">
      <c r="A62" s="1">
        <v>15007</v>
      </c>
      <c r="B62">
        <f>'10years'!B62-'10years'!$G62</f>
        <v>2.7216931317752158E-2</v>
      </c>
      <c r="C62">
        <f>'10years'!C62-'10years'!$G62</f>
        <v>-0.38550213604314831</v>
      </c>
      <c r="D62">
        <f>'10years'!D62-'10years'!$G62</f>
        <v>0.17408777068423853</v>
      </c>
      <c r="E62">
        <f>'10years'!E62-'10years'!$G62</f>
        <v>-0.14123896760363031</v>
      </c>
      <c r="F62">
        <f>'10years'!F62-'10years'!$G62</f>
        <v>-0.33379476858302959</v>
      </c>
      <c r="G62">
        <f>'10years'!H62-'10years'!$I62</f>
        <v>0</v>
      </c>
    </row>
    <row r="63" spans="1:7" x14ac:dyDescent="0.35">
      <c r="A63" s="1">
        <v>15035</v>
      </c>
      <c r="B63">
        <f>'10years'!B63-'10years'!$G63</f>
        <v>-5.855176614717239E-2</v>
      </c>
      <c r="C63">
        <f>'10years'!C63-'10years'!$G63</f>
        <v>-0.46984180445484913</v>
      </c>
      <c r="D63">
        <f>'10years'!D63-'10years'!$G63</f>
        <v>8.1258383539430934E-2</v>
      </c>
      <c r="E63">
        <f>'10years'!E63-'10years'!$G63</f>
        <v>-0.23201357620421303</v>
      </c>
      <c r="F63">
        <f>'10years'!F63-'10years'!$G63</f>
        <v>-0.41318253705388885</v>
      </c>
      <c r="G63">
        <f>'10years'!H63-'10years'!$I63</f>
        <v>0</v>
      </c>
    </row>
    <row r="64" spans="1:7" x14ac:dyDescent="0.35">
      <c r="A64" s="1">
        <v>15066</v>
      </c>
      <c r="B64">
        <f>'10years'!B64-'10years'!$G64</f>
        <v>-0.14968202126078589</v>
      </c>
      <c r="C64">
        <f>'10years'!C64-'10years'!$G64</f>
        <v>-0.56291452837244638</v>
      </c>
      <c r="D64">
        <f>'10years'!D64-'10years'!$G64</f>
        <v>-1.7107021679549472E-2</v>
      </c>
      <c r="E64">
        <f>'10years'!E64-'10years'!$G64</f>
        <v>-0.33171037582842855</v>
      </c>
      <c r="F64">
        <f>'10years'!F64-'10years'!$G64</f>
        <v>-0.51504743832858368</v>
      </c>
      <c r="G64">
        <f>'10years'!H64-'10years'!$I64</f>
        <v>0</v>
      </c>
    </row>
    <row r="65" spans="1:7" x14ac:dyDescent="0.35">
      <c r="A65" s="1">
        <v>15096</v>
      </c>
      <c r="B65">
        <f>'10years'!B65-'10years'!$G65</f>
        <v>-8.1901657809585249E-2</v>
      </c>
      <c r="C65">
        <f>'10years'!C65-'10years'!$G65</f>
        <v>-0.49525364370595604</v>
      </c>
      <c r="D65">
        <f>'10years'!D65-'10years'!$G65</f>
        <v>6.474045845246712E-2</v>
      </c>
      <c r="E65">
        <f>'10years'!E65-'10years'!$G65</f>
        <v>-0.2483124388863498</v>
      </c>
      <c r="F65">
        <f>'10years'!F65-'10years'!$G65</f>
        <v>-0.45130669512558041</v>
      </c>
      <c r="G65">
        <f>'10years'!H65-'10years'!$I65</f>
        <v>0</v>
      </c>
    </row>
    <row r="66" spans="1:7" x14ac:dyDescent="0.35">
      <c r="A66" s="1">
        <v>15127</v>
      </c>
      <c r="B66">
        <f>'10years'!B66-'10years'!$G66</f>
        <v>-5.3343788580302531E-2</v>
      </c>
      <c r="C66">
        <f>'10years'!C66-'10years'!$G66</f>
        <v>-0.46567699595599499</v>
      </c>
      <c r="D66">
        <f>'10years'!D66-'10years'!$G66</f>
        <v>0.12131937412942917</v>
      </c>
      <c r="E66">
        <f>'10years'!E66-'10years'!$G66</f>
        <v>-0.18929597109205853</v>
      </c>
      <c r="F66">
        <f>'10years'!F66-'10years'!$G66</f>
        <v>-0.42293967308431735</v>
      </c>
      <c r="G66">
        <f>'10years'!H66-'10years'!$I66</f>
        <v>0</v>
      </c>
    </row>
    <row r="67" spans="1:7" x14ac:dyDescent="0.35">
      <c r="A67" s="1">
        <v>15157</v>
      </c>
      <c r="B67">
        <f>'10years'!B67-'10years'!$G67</f>
        <v>8.1786372822501008E-2</v>
      </c>
      <c r="C67">
        <f>'10years'!C67-'10years'!$G67</f>
        <v>-0.33503993280155075</v>
      </c>
      <c r="D67">
        <f>'10years'!D67-'10years'!$G67</f>
        <v>0.25544572709366165</v>
      </c>
      <c r="E67">
        <f>'10years'!E67-'10years'!$G67</f>
        <v>-5.7307827274344358E-2</v>
      </c>
      <c r="F67">
        <f>'10years'!F67-'10years'!$G67</f>
        <v>-0.29610783922673356</v>
      </c>
      <c r="G67">
        <f>'10years'!H67-'10years'!$I67</f>
        <v>0</v>
      </c>
    </row>
    <row r="68" spans="1:7" x14ac:dyDescent="0.35">
      <c r="A68" s="1">
        <v>15188</v>
      </c>
      <c r="B68">
        <f>'10years'!B68-'10years'!$G68</f>
        <v>1.6126102982555901E-2</v>
      </c>
      <c r="C68">
        <f>'10years'!C68-'10years'!$G68</f>
        <v>-0.40054267686210854</v>
      </c>
      <c r="D68">
        <f>'10years'!D68-'10years'!$G68</f>
        <v>0.15921772001805157</v>
      </c>
      <c r="E68">
        <f>'10years'!E68-'10years'!$G68</f>
        <v>-0.15261187544305899</v>
      </c>
      <c r="F68">
        <f>'10years'!F68-'10years'!$G68</f>
        <v>-0.36031185041265856</v>
      </c>
      <c r="G68">
        <f>'10years'!H68-'10years'!$I68</f>
        <v>0</v>
      </c>
    </row>
    <row r="69" spans="1:7" x14ac:dyDescent="0.35">
      <c r="A69" s="1">
        <v>15218</v>
      </c>
      <c r="B69">
        <f>'10years'!B69-'10years'!$G69</f>
        <v>0.12813884747745252</v>
      </c>
      <c r="C69">
        <f>'10years'!C69-'10years'!$G69</f>
        <v>-0.28736948436607568</v>
      </c>
      <c r="D69">
        <f>'10years'!D69-'10years'!$G69</f>
        <v>0.33153741917238744</v>
      </c>
      <c r="E69">
        <f>'10years'!E69-'10years'!$G69</f>
        <v>2.1959114757228448E-2</v>
      </c>
      <c r="F69">
        <f>'10years'!F69-'10years'!$G69</f>
        <v>-0.25167815581882635</v>
      </c>
      <c r="G69">
        <f>'10years'!H69-'10years'!$I69</f>
        <v>0</v>
      </c>
    </row>
    <row r="70" spans="1:7" x14ac:dyDescent="0.35">
      <c r="A70" s="1">
        <v>15249</v>
      </c>
      <c r="B70">
        <f>'10years'!B70-'10years'!$G70</f>
        <v>0.12090937531522217</v>
      </c>
      <c r="C70">
        <f>'10years'!C70-'10years'!$G70</f>
        <v>-0.29724629370082933</v>
      </c>
      <c r="D70">
        <f>'10years'!D70-'10years'!$G70</f>
        <v>0.33248257861909414</v>
      </c>
      <c r="E70">
        <f>'10years'!E70-'10years'!$G70</f>
        <v>2.1125323632217086E-2</v>
      </c>
      <c r="F70">
        <f>'10years'!F70-'10years'!$G70</f>
        <v>-0.26657803476135911</v>
      </c>
      <c r="G70">
        <f>'10years'!H70-'10years'!$I70</f>
        <v>0</v>
      </c>
    </row>
    <row r="71" spans="1:7" x14ac:dyDescent="0.35">
      <c r="A71" s="1">
        <v>15280</v>
      </c>
      <c r="B71">
        <f>'10years'!B71-'10years'!$G71</f>
        <v>0.39813182973800454</v>
      </c>
      <c r="C71">
        <f>'10years'!C71-'10years'!$G71</f>
        <v>-1.9904929981204633E-2</v>
      </c>
      <c r="D71">
        <f>'10years'!D71-'10years'!$G71</f>
        <v>0.6225206958511833</v>
      </c>
      <c r="E71">
        <f>'10years'!E71-'10years'!$G71</f>
        <v>0.31171207626270703</v>
      </c>
      <c r="F71">
        <f>'10years'!F71-'10years'!$G71</f>
        <v>2.1703340697689866E-2</v>
      </c>
      <c r="G71">
        <f>'10years'!H71-'10years'!$I71</f>
        <v>0</v>
      </c>
    </row>
    <row r="72" spans="1:7" x14ac:dyDescent="0.35">
      <c r="A72" s="1">
        <v>15309</v>
      </c>
      <c r="B72">
        <f>'10years'!B72-'10years'!$G72</f>
        <v>0.28125452815274277</v>
      </c>
      <c r="C72">
        <f>'10years'!C72-'10years'!$G72</f>
        <v>-0.13447371073598124</v>
      </c>
      <c r="D72">
        <f>'10years'!D72-'10years'!$G72</f>
        <v>0.5015086798846895</v>
      </c>
      <c r="E72">
        <f>'10years'!E72-'10years'!$G72</f>
        <v>0.19395204255391474</v>
      </c>
      <c r="F72">
        <f>'10years'!F72-'10years'!$G72</f>
        <v>-0.10426522908329861</v>
      </c>
      <c r="G72">
        <f>'10years'!H72-'10years'!$I72</f>
        <v>0</v>
      </c>
    </row>
    <row r="73" spans="1:7" x14ac:dyDescent="0.35">
      <c r="A73" s="1">
        <v>15341</v>
      </c>
      <c r="B73">
        <f>'10years'!B73-'10years'!$G73</f>
        <v>0.35042802398023487</v>
      </c>
      <c r="C73">
        <f>'10years'!C73-'10years'!$G73</f>
        <v>-7.2497131465195652E-2</v>
      </c>
      <c r="D73">
        <f>'10years'!D73-'10years'!$G73</f>
        <v>0.56942610093172807</v>
      </c>
      <c r="E73">
        <f>'10years'!E73-'10years'!$G73</f>
        <v>0.25472428412033676</v>
      </c>
      <c r="F73">
        <f>'10years'!F73-'10years'!$G73</f>
        <v>-5.303079507978592E-2</v>
      </c>
      <c r="G73">
        <f>'10years'!H73-'10years'!$I73</f>
        <v>0</v>
      </c>
    </row>
    <row r="74" spans="1:7" x14ac:dyDescent="0.35">
      <c r="A74" s="1">
        <v>15372</v>
      </c>
      <c r="B74">
        <f>'10years'!B74-'10years'!$G74</f>
        <v>0.44198412186533709</v>
      </c>
      <c r="C74">
        <f>'10years'!C74-'10years'!$G74</f>
        <v>1.9951996247204562E-2</v>
      </c>
      <c r="D74">
        <f>'10years'!D74-'10years'!$G74</f>
        <v>0.69262861262369313</v>
      </c>
      <c r="E74">
        <f>'10years'!E74-'10years'!$G74</f>
        <v>0.37773109668537597</v>
      </c>
      <c r="F74">
        <f>'10years'!F74-'10years'!$G74</f>
        <v>4.0237955246881896E-2</v>
      </c>
      <c r="G74">
        <f>'10years'!H74-'10years'!$I74</f>
        <v>0</v>
      </c>
    </row>
    <row r="75" spans="1:7" x14ac:dyDescent="0.35">
      <c r="A75" s="1">
        <v>15400</v>
      </c>
      <c r="B75">
        <f>'10years'!B75-'10years'!$G75</f>
        <v>0.47790888568527157</v>
      </c>
      <c r="C75">
        <f>'10years'!C75-'10years'!$G75</f>
        <v>5.6322443621401153E-2</v>
      </c>
      <c r="D75">
        <f>'10years'!D75-'10years'!$G75</f>
        <v>0.71758888139919774</v>
      </c>
      <c r="E75">
        <f>'10years'!E75-'10years'!$G75</f>
        <v>0.4046564859687769</v>
      </c>
      <c r="F75">
        <f>'10years'!F75-'10years'!$G75</f>
        <v>7.7222211810931807E-2</v>
      </c>
      <c r="G75">
        <f>'10years'!H75-'10years'!$I75</f>
        <v>0</v>
      </c>
    </row>
    <row r="76" spans="1:7" x14ac:dyDescent="0.35">
      <c r="A76" s="1">
        <v>15431</v>
      </c>
      <c r="B76">
        <f>'10years'!B76-'10years'!$G76</f>
        <v>0.42097079383620417</v>
      </c>
      <c r="C76">
        <f>'10years'!C76-'10years'!$G76</f>
        <v>3.0435761433156294E-4</v>
      </c>
      <c r="D76">
        <f>'10years'!D76-'10years'!$G76</f>
        <v>0.67946443872488405</v>
      </c>
      <c r="E76">
        <f>'10years'!E76-'10years'!$G76</f>
        <v>0.36567441909205267</v>
      </c>
      <c r="F76">
        <f>'10years'!F76-'10years'!$G76</f>
        <v>1.6563666664246801E-2</v>
      </c>
      <c r="G76">
        <f>'10years'!H76-'10years'!$I76</f>
        <v>0</v>
      </c>
    </row>
    <row r="77" spans="1:7" x14ac:dyDescent="0.35">
      <c r="A77" s="1">
        <v>15461</v>
      </c>
      <c r="B77">
        <f>'10years'!B77-'10years'!$G77</f>
        <v>0.47268658320484969</v>
      </c>
      <c r="C77">
        <f>'10years'!C77-'10years'!$G77</f>
        <v>5.2816929594733164E-2</v>
      </c>
      <c r="D77">
        <f>'10years'!D77-'10years'!$G77</f>
        <v>0.76542902246205946</v>
      </c>
      <c r="E77">
        <f>'10years'!E77-'10years'!$G77</f>
        <v>0.45081497761731848</v>
      </c>
      <c r="F77">
        <f>'10years'!F77-'10years'!$G77</f>
        <v>6.4339505363685046E-2</v>
      </c>
      <c r="G77">
        <f>'10years'!H77-'10years'!$I77</f>
        <v>0</v>
      </c>
    </row>
    <row r="78" spans="1:7" x14ac:dyDescent="0.35">
      <c r="A78" s="1">
        <v>15490</v>
      </c>
      <c r="B78">
        <f>'10years'!B78-'10years'!$G78</f>
        <v>0.63359461221226665</v>
      </c>
      <c r="C78">
        <f>'10years'!C78-'10years'!$G78</f>
        <v>0.21349124688210663</v>
      </c>
      <c r="D78">
        <f>'10years'!D78-'10years'!$G78</f>
        <v>0.9143309725026012</v>
      </c>
      <c r="E78">
        <f>'10years'!E78-'10years'!$G78</f>
        <v>0.5983746701944832</v>
      </c>
      <c r="F78">
        <f>'10years'!F78-'10years'!$G78</f>
        <v>0.21665473679928615</v>
      </c>
      <c r="G78">
        <f>'10years'!H78-'10years'!$I78</f>
        <v>0</v>
      </c>
    </row>
    <row r="79" spans="1:7" x14ac:dyDescent="0.35">
      <c r="A79" s="1">
        <v>15522</v>
      </c>
      <c r="B79">
        <f>'10years'!B79-'10years'!$G79</f>
        <v>0.91275741482929784</v>
      </c>
      <c r="C79">
        <f>'10years'!C79-'10years'!$G79</f>
        <v>0.49222575646898536</v>
      </c>
      <c r="D79">
        <f>'10years'!D79-'10years'!$G79</f>
        <v>1.246043147610006</v>
      </c>
      <c r="E79">
        <f>'10years'!E79-'10years'!$G79</f>
        <v>0.92891021098930504</v>
      </c>
      <c r="F79">
        <f>'10years'!F79-'10years'!$G79</f>
        <v>0.49092123115614572</v>
      </c>
      <c r="G79">
        <f>'10years'!H79-'10years'!$I79</f>
        <v>0</v>
      </c>
    </row>
    <row r="80" spans="1:7" x14ac:dyDescent="0.35">
      <c r="A80" s="1">
        <v>15553</v>
      </c>
      <c r="B80">
        <f>'10years'!B80-'10years'!$G80</f>
        <v>0.93000584198103708</v>
      </c>
      <c r="C80">
        <f>'10years'!C80-'10years'!$G80</f>
        <v>0.51179375295226825</v>
      </c>
      <c r="D80">
        <f>'10years'!D80-'10years'!$G80</f>
        <v>1.2321228012292369</v>
      </c>
      <c r="E80">
        <f>'10years'!E80-'10years'!$G80</f>
        <v>0.91603161095265739</v>
      </c>
      <c r="F80">
        <f>'10years'!F80-'10years'!$G80</f>
        <v>0.51372680157777029</v>
      </c>
      <c r="G80">
        <f>'10years'!H80-'10years'!$I80</f>
        <v>0</v>
      </c>
    </row>
    <row r="81" spans="1:7" x14ac:dyDescent="0.35">
      <c r="A81" s="1">
        <v>15584</v>
      </c>
      <c r="B81">
        <f>'10years'!B81-'10years'!$G81</f>
        <v>0.68197290614080042</v>
      </c>
      <c r="C81">
        <f>'10years'!C81-'10years'!$G81</f>
        <v>0.26450304388089996</v>
      </c>
      <c r="D81">
        <f>'10years'!D81-'10years'!$G81</f>
        <v>0.90541828498033783</v>
      </c>
      <c r="E81">
        <f>'10years'!E81-'10years'!$G81</f>
        <v>0.5899125359561459</v>
      </c>
      <c r="F81">
        <f>'10years'!F81-'10years'!$G81</f>
        <v>0.27188404439268576</v>
      </c>
      <c r="G81">
        <f>'10years'!H81-'10years'!$I81</f>
        <v>0</v>
      </c>
    </row>
    <row r="82" spans="1:7" x14ac:dyDescent="0.35">
      <c r="A82" s="1">
        <v>15614</v>
      </c>
      <c r="B82">
        <f>'10years'!B82-'10years'!$G82</f>
        <v>0.41159421097282833</v>
      </c>
      <c r="C82">
        <f>'10years'!C82-'10years'!$G82</f>
        <v>-6.5354278067568661E-3</v>
      </c>
      <c r="D82">
        <f>'10years'!D82-'10years'!$G82</f>
        <v>0.47990627240110562</v>
      </c>
      <c r="E82">
        <f>'10years'!E82-'10years'!$G82</f>
        <v>0.16298424192066796</v>
      </c>
      <c r="F82">
        <f>'10years'!F82-'10years'!$G82</f>
        <v>1.1681522530323063E-2</v>
      </c>
      <c r="G82">
        <f>'10years'!H82-'10years'!$I82</f>
        <v>0</v>
      </c>
    </row>
    <row r="83" spans="1:7" x14ac:dyDescent="0.35">
      <c r="A83" s="1">
        <v>15645</v>
      </c>
      <c r="B83">
        <f>'10years'!B83-'10years'!$G83</f>
        <v>0.46341243658074194</v>
      </c>
      <c r="C83">
        <f>'10years'!C83-'10years'!$G83</f>
        <v>4.5154061694848258E-2</v>
      </c>
      <c r="D83">
        <f>'10years'!D83-'10years'!$G83</f>
        <v>0.57876950211183842</v>
      </c>
      <c r="E83">
        <f>'10years'!E83-'10years'!$G83</f>
        <v>0.25997686601739356</v>
      </c>
      <c r="F83">
        <f>'10years'!F83-'10years'!$G83</f>
        <v>6.5025386684377073E-2</v>
      </c>
      <c r="G83">
        <f>'10years'!H83-'10years'!$I83</f>
        <v>0</v>
      </c>
    </row>
    <row r="84" spans="1:7" x14ac:dyDescent="0.35">
      <c r="A84" s="1">
        <v>15675</v>
      </c>
      <c r="B84">
        <f>'10years'!B84-'10years'!$G84</f>
        <v>0.64677497512415694</v>
      </c>
      <c r="C84">
        <f>'10years'!C84-'10years'!$G84</f>
        <v>0.22771548354696747</v>
      </c>
      <c r="D84">
        <f>'10years'!D84-'10years'!$G84</f>
        <v>0.84083228481440009</v>
      </c>
      <c r="E84">
        <f>'10years'!E84-'10years'!$G84</f>
        <v>0.52118554312095333</v>
      </c>
      <c r="F84">
        <f>'10years'!F84-'10years'!$G84</f>
        <v>0.24159141077222723</v>
      </c>
      <c r="G84">
        <f>'10years'!H84-'10years'!$I84</f>
        <v>0</v>
      </c>
    </row>
    <row r="85" spans="1:7" x14ac:dyDescent="0.35">
      <c r="A85" s="1">
        <v>15706</v>
      </c>
      <c r="B85">
        <f>'10years'!B85-'10years'!$G85</f>
        <v>0.68800416881917981</v>
      </c>
      <c r="C85">
        <f>'10years'!C85-'10years'!$G85</f>
        <v>0.26390405193781463</v>
      </c>
      <c r="D85">
        <f>'10years'!D85-'10years'!$G85</f>
        <v>0.89667812846801054</v>
      </c>
      <c r="E85">
        <f>'10years'!E85-'10years'!$G85</f>
        <v>0.56937311325759987</v>
      </c>
      <c r="F85">
        <f>'10years'!F85-'10years'!$G85</f>
        <v>0.28063059903103005</v>
      </c>
      <c r="G85">
        <f>'10years'!H85-'10years'!$I85</f>
        <v>0</v>
      </c>
    </row>
    <row r="86" spans="1:7" x14ac:dyDescent="0.35">
      <c r="A86" s="1">
        <v>15736</v>
      </c>
      <c r="B86">
        <f>'10years'!B86-'10years'!$G86</f>
        <v>0.68464568128441883</v>
      </c>
      <c r="C86">
        <f>'10years'!C86-'10years'!$G86</f>
        <v>0.26111785693692724</v>
      </c>
      <c r="D86">
        <f>'10years'!D86-'10years'!$G86</f>
        <v>0.91767411459427528</v>
      </c>
      <c r="E86">
        <f>'10years'!E86-'10years'!$G86</f>
        <v>0.5865292325863587</v>
      </c>
      <c r="F86">
        <f>'10years'!F86-'10years'!$G86</f>
        <v>0.28027467368799197</v>
      </c>
      <c r="G86">
        <f>'10years'!H86-'10years'!$I86</f>
        <v>0</v>
      </c>
    </row>
    <row r="87" spans="1:7" x14ac:dyDescent="0.35">
      <c r="A87" s="1">
        <v>15764</v>
      </c>
      <c r="B87">
        <f>'10years'!B87-'10years'!$G87</f>
        <v>0.73155756923069304</v>
      </c>
      <c r="C87">
        <f>'10years'!C87-'10years'!$G87</f>
        <v>0.30788609098344799</v>
      </c>
      <c r="D87">
        <f>'10years'!D87-'10years'!$G87</f>
        <v>0.97327853252158536</v>
      </c>
      <c r="E87">
        <f>'10years'!E87-'10years'!$G87</f>
        <v>0.64191851441395609</v>
      </c>
      <c r="F87">
        <f>'10years'!F87-'10years'!$G87</f>
        <v>0.33191235720009593</v>
      </c>
      <c r="G87">
        <f>'10years'!H87-'10years'!$I87</f>
        <v>0</v>
      </c>
    </row>
    <row r="88" spans="1:7" x14ac:dyDescent="0.35">
      <c r="A88" s="1">
        <v>15796</v>
      </c>
      <c r="B88">
        <f>'10years'!B88-'10years'!$G88</f>
        <v>0.94516248751126453</v>
      </c>
      <c r="C88">
        <f>'10years'!C88-'10years'!$G88</f>
        <v>0.52260601615601354</v>
      </c>
      <c r="D88">
        <f>'10years'!D88-'10years'!$G88</f>
        <v>1.2524180096996633</v>
      </c>
      <c r="E88">
        <f>'10years'!E88-'10years'!$G88</f>
        <v>0.91977512450027765</v>
      </c>
      <c r="F88">
        <f>'10years'!F88-'10years'!$G88</f>
        <v>0.543403868369841</v>
      </c>
      <c r="G88">
        <f>'10years'!H88-'10years'!$I88</f>
        <v>0</v>
      </c>
    </row>
    <row r="89" spans="1:7" x14ac:dyDescent="0.35">
      <c r="A89" s="1">
        <v>15826</v>
      </c>
      <c r="B89">
        <f>'10years'!B89-'10years'!$G89</f>
        <v>0.96190899103836069</v>
      </c>
      <c r="C89">
        <f>'10years'!C89-'10years'!$G89</f>
        <v>0.5408286967791589</v>
      </c>
      <c r="D89">
        <f>'10years'!D89-'10years'!$G89</f>
        <v>1.2580956827695313</v>
      </c>
      <c r="E89">
        <f>'10years'!E89-'10years'!$G89</f>
        <v>0.92463168869833878</v>
      </c>
      <c r="F89">
        <f>'10years'!F89-'10years'!$G89</f>
        <v>0.55887656276056652</v>
      </c>
      <c r="G89">
        <f>'10years'!H89-'10years'!$I89</f>
        <v>0</v>
      </c>
    </row>
    <row r="90" spans="1:7" x14ac:dyDescent="0.35">
      <c r="A90" s="1">
        <v>15855</v>
      </c>
      <c r="B90">
        <f>'10years'!B90-'10years'!$G90</f>
        <v>0.67420715699429334</v>
      </c>
      <c r="C90">
        <f>'10years'!C90-'10years'!$G90</f>
        <v>0.25447741759661491</v>
      </c>
      <c r="D90">
        <f>'10years'!D90-'10years'!$G90</f>
        <v>0.92860948986209135</v>
      </c>
      <c r="E90">
        <f>'10years'!E90-'10years'!$G90</f>
        <v>0.59599774652785897</v>
      </c>
      <c r="F90">
        <f>'10years'!F90-'10years'!$G90</f>
        <v>0.26539326752941705</v>
      </c>
      <c r="G90">
        <f>'10years'!H90-'10years'!$I90</f>
        <v>0</v>
      </c>
    </row>
    <row r="91" spans="1:7" x14ac:dyDescent="0.35">
      <c r="A91" s="1">
        <v>15887</v>
      </c>
      <c r="B91">
        <f>'10years'!B91-'10years'!$G91</f>
        <v>0.58224113892445795</v>
      </c>
      <c r="C91">
        <f>'10years'!C91-'10years'!$G91</f>
        <v>0.16059809832226479</v>
      </c>
      <c r="D91">
        <f>'10years'!D91-'10years'!$G91</f>
        <v>0.75600055214532214</v>
      </c>
      <c r="E91">
        <f>'10years'!E91-'10years'!$G91</f>
        <v>0.42137769675191494</v>
      </c>
      <c r="F91">
        <f>'10years'!F91-'10years'!$G91</f>
        <v>0.17913164589788133</v>
      </c>
      <c r="G91">
        <f>'10years'!H91-'10years'!$I91</f>
        <v>0</v>
      </c>
    </row>
    <row r="92" spans="1:7" x14ac:dyDescent="0.35">
      <c r="A92" s="1">
        <v>15918</v>
      </c>
      <c r="B92">
        <f>'10years'!B92-'10years'!$G92</f>
        <v>0.4921899254181139</v>
      </c>
      <c r="C92">
        <f>'10years'!C92-'10years'!$G92</f>
        <v>6.9777054295212526E-2</v>
      </c>
      <c r="D92">
        <f>'10years'!D92-'10years'!$G92</f>
        <v>0.60907556575651833</v>
      </c>
      <c r="E92">
        <f>'10years'!E92-'10years'!$G92</f>
        <v>0.27267154053310483</v>
      </c>
      <c r="F92">
        <f>'10years'!F92-'10years'!$G92</f>
        <v>9.2143079757163182E-2</v>
      </c>
      <c r="G92">
        <f>'10years'!H92-'10years'!$I92</f>
        <v>0</v>
      </c>
    </row>
    <row r="93" spans="1:7" x14ac:dyDescent="0.35">
      <c r="A93" s="1">
        <v>15949</v>
      </c>
      <c r="B93">
        <f>'10years'!B93-'10years'!$G93</f>
        <v>0.52057882226919339</v>
      </c>
      <c r="C93">
        <f>'10years'!C93-'10years'!$G93</f>
        <v>9.7706235194052971E-2</v>
      </c>
      <c r="D93">
        <f>'10years'!D93-'10years'!$G93</f>
        <v>0.63480879123991829</v>
      </c>
      <c r="E93">
        <f>'10years'!E93-'10years'!$G93</f>
        <v>0.29770815359444724</v>
      </c>
      <c r="F93">
        <f>'10years'!F93-'10years'!$G93</f>
        <v>0.12237136161086482</v>
      </c>
      <c r="G93">
        <f>'10years'!H93-'10years'!$I93</f>
        <v>0</v>
      </c>
    </row>
    <row r="94" spans="1:7" x14ac:dyDescent="0.35">
      <c r="A94" s="1">
        <v>15979</v>
      </c>
      <c r="B94">
        <f>'10years'!B94-'10years'!$G94</f>
        <v>0.43671645581169449</v>
      </c>
      <c r="C94">
        <f>'10years'!C94-'10years'!$G94</f>
        <v>1.2264028641120417E-2</v>
      </c>
      <c r="D94">
        <f>'10years'!D94-'10years'!$G94</f>
        <v>0.53766013012131153</v>
      </c>
      <c r="E94">
        <f>'10years'!E94-'10years'!$G94</f>
        <v>0.19893308117713526</v>
      </c>
      <c r="F94">
        <f>'10years'!F94-'10years'!$G94</f>
        <v>4.0420640766572147E-2</v>
      </c>
      <c r="G94">
        <f>'10years'!H94-'10years'!$I94</f>
        <v>0</v>
      </c>
    </row>
    <row r="95" spans="1:7" x14ac:dyDescent="0.35">
      <c r="A95" s="1">
        <v>16009</v>
      </c>
      <c r="B95">
        <f>'10years'!B95-'10years'!$G95</f>
        <v>0.56457003536248984</v>
      </c>
      <c r="C95">
        <f>'10years'!C95-'10years'!$G95</f>
        <v>0.1390928033400034</v>
      </c>
      <c r="D95">
        <f>'10years'!D95-'10years'!$G95</f>
        <v>0.6988451326577565</v>
      </c>
      <c r="E95">
        <f>'10years'!E95-'10years'!$G95</f>
        <v>0.35861260758124502</v>
      </c>
      <c r="F95">
        <f>'10years'!F95-'10years'!$G95</f>
        <v>0.16052001724108522</v>
      </c>
      <c r="G95">
        <f>'10years'!H95-'10years'!$I95</f>
        <v>0</v>
      </c>
    </row>
    <row r="96" spans="1:7" x14ac:dyDescent="0.35">
      <c r="A96" s="1">
        <v>16040</v>
      </c>
      <c r="B96">
        <f>'10years'!B96-'10years'!$G96</f>
        <v>0.63422629654437612</v>
      </c>
      <c r="C96">
        <f>'10years'!C96-'10years'!$G96</f>
        <v>0.20862184380250826</v>
      </c>
      <c r="D96">
        <f>'10years'!D96-'10years'!$G96</f>
        <v>0.7975008911611785</v>
      </c>
      <c r="E96">
        <f>'10years'!E96-'10years'!$G96</f>
        <v>0.45637335670075041</v>
      </c>
      <c r="F96">
        <f>'10years'!F96-'10years'!$G96</f>
        <v>0.22660335079423488</v>
      </c>
      <c r="G96">
        <f>'10years'!H96-'10years'!$I96</f>
        <v>0</v>
      </c>
    </row>
    <row r="97" spans="1:7" x14ac:dyDescent="0.35">
      <c r="A97" s="1">
        <v>16071</v>
      </c>
      <c r="B97">
        <f>'10years'!B97-'10years'!$G97</f>
        <v>0.48960202999086233</v>
      </c>
      <c r="C97">
        <f>'10years'!C97-'10years'!$G97</f>
        <v>5.9686816572265489E-2</v>
      </c>
      <c r="D97">
        <f>'10years'!D97-'10years'!$G97</f>
        <v>0.63535583354088176</v>
      </c>
      <c r="E97">
        <f>'10years'!E97-'10years'!$G97</f>
        <v>0.28620126955886915</v>
      </c>
      <c r="F97">
        <f>'10years'!F97-'10years'!$G97</f>
        <v>7.940592460633189E-2</v>
      </c>
      <c r="G97">
        <f>'10years'!H97-'10years'!$I97</f>
        <v>0</v>
      </c>
    </row>
    <row r="98" spans="1:7" x14ac:dyDescent="0.35">
      <c r="A98" s="1">
        <v>16102</v>
      </c>
      <c r="B98">
        <f>'10years'!B98-'10years'!$G98</f>
        <v>0.52436601619032497</v>
      </c>
      <c r="C98">
        <f>'10years'!C98-'10years'!$G98</f>
        <v>9.2163513925691332E-2</v>
      </c>
      <c r="D98">
        <f>'10years'!D98-'10years'!$G98</f>
        <v>0.69220355563348579</v>
      </c>
      <c r="E98">
        <f>'10years'!E98-'10years'!$G98</f>
        <v>0.34050540853451916</v>
      </c>
      <c r="F98">
        <f>'10years'!F98-'10years'!$G98</f>
        <v>0.10876081338015964</v>
      </c>
      <c r="G98">
        <f>'10years'!H98-'10years'!$I98</f>
        <v>0</v>
      </c>
    </row>
    <row r="99" spans="1:7" x14ac:dyDescent="0.35">
      <c r="A99" s="1">
        <v>16131</v>
      </c>
      <c r="B99">
        <f>'10years'!B99-'10years'!$G99</f>
        <v>0.44879162911680948</v>
      </c>
      <c r="C99">
        <f>'10years'!C99-'10years'!$G99</f>
        <v>1.6879402127192522E-2</v>
      </c>
      <c r="D99">
        <f>'10years'!D99-'10years'!$G99</f>
        <v>0.56865610664741628</v>
      </c>
      <c r="E99">
        <f>'10years'!E99-'10years'!$G99</f>
        <v>0.21702390940049576</v>
      </c>
      <c r="F99">
        <f>'10years'!F99-'10years'!$G99</f>
        <v>3.7703969876847987E-2</v>
      </c>
      <c r="G99">
        <f>'10years'!H99-'10years'!$I99</f>
        <v>0</v>
      </c>
    </row>
    <row r="100" spans="1:7" x14ac:dyDescent="0.35">
      <c r="A100" s="1">
        <v>16162</v>
      </c>
      <c r="B100">
        <f>'10years'!B100-'10years'!$G100</f>
        <v>0.48207566169691685</v>
      </c>
      <c r="C100">
        <f>'10years'!C100-'10years'!$G100</f>
        <v>4.8663230974681504E-2</v>
      </c>
      <c r="D100">
        <f>'10years'!D100-'10years'!$G100</f>
        <v>0.61281125867509889</v>
      </c>
      <c r="E100">
        <f>'10years'!E100-'10years'!$G100</f>
        <v>0.25951564443976061</v>
      </c>
      <c r="F100">
        <f>'10years'!F100-'10years'!$G100</f>
        <v>6.6690565169396088E-2</v>
      </c>
      <c r="G100">
        <f>'10years'!H100-'10years'!$I100</f>
        <v>0</v>
      </c>
    </row>
    <row r="101" spans="1:7" x14ac:dyDescent="0.35">
      <c r="A101" s="1">
        <v>16191</v>
      </c>
      <c r="B101">
        <f>'10years'!B101-'10years'!$G101</f>
        <v>0.4952649381314167</v>
      </c>
      <c r="C101">
        <f>'10years'!C101-'10years'!$G101</f>
        <v>6.0921315675526166E-2</v>
      </c>
      <c r="D101">
        <f>'10years'!D101-'10years'!$G101</f>
        <v>0.63835925760318712</v>
      </c>
      <c r="E101">
        <f>'10years'!E101-'10years'!$G101</f>
        <v>0.28267248246914178</v>
      </c>
      <c r="F101">
        <f>'10years'!F101-'10years'!$G101</f>
        <v>8.1459782710195938E-2</v>
      </c>
      <c r="G101">
        <f>'10years'!H101-'10years'!$I101</f>
        <v>0</v>
      </c>
    </row>
    <row r="102" spans="1:7" x14ac:dyDescent="0.35">
      <c r="A102" s="1">
        <v>16223</v>
      </c>
      <c r="B102">
        <f>'10years'!B102-'10years'!$G102</f>
        <v>0.50625285017566557</v>
      </c>
      <c r="C102">
        <f>'10years'!C102-'10years'!$G102</f>
        <v>7.2256333278959195E-2</v>
      </c>
      <c r="D102">
        <f>'10years'!D102-'10years'!$G102</f>
        <v>0.61726098720733069</v>
      </c>
      <c r="E102">
        <f>'10years'!E102-'10years'!$G102</f>
        <v>0.26222776481163534</v>
      </c>
      <c r="F102">
        <f>'10years'!F102-'10years'!$G102</f>
        <v>9.3631733365091341E-2</v>
      </c>
      <c r="G102">
        <f>'10years'!H102-'10years'!$I102</f>
        <v>0</v>
      </c>
    </row>
    <row r="103" spans="1:7" x14ac:dyDescent="0.35">
      <c r="A103" s="1">
        <v>16253</v>
      </c>
      <c r="B103">
        <f>'10years'!B103-'10years'!$G103</f>
        <v>0.61456727940836986</v>
      </c>
      <c r="C103">
        <f>'10years'!C103-'10years'!$G103</f>
        <v>0.17713996422426748</v>
      </c>
      <c r="D103">
        <f>'10years'!D103-'10years'!$G103</f>
        <v>0.74907711482111372</v>
      </c>
      <c r="E103">
        <f>'10years'!E103-'10years'!$G103</f>
        <v>0.3911634390684724</v>
      </c>
      <c r="F103">
        <f>'10years'!F103-'10years'!$G103</f>
        <v>0.19729288091406483</v>
      </c>
      <c r="G103">
        <f>'10years'!H103-'10years'!$I103</f>
        <v>0</v>
      </c>
    </row>
    <row r="104" spans="1:7" x14ac:dyDescent="0.35">
      <c r="A104" s="1">
        <v>16284</v>
      </c>
      <c r="B104">
        <f>'10years'!B104-'10years'!$G104</f>
        <v>0.63900998560229105</v>
      </c>
      <c r="C104">
        <f>'10years'!C104-'10years'!$G104</f>
        <v>0.20009318227600748</v>
      </c>
      <c r="D104">
        <f>'10years'!D104-'10years'!$G104</f>
        <v>0.78909585695825601</v>
      </c>
      <c r="E104">
        <f>'10years'!E104-'10years'!$G104</f>
        <v>0.42944172250616397</v>
      </c>
      <c r="F104">
        <f>'10years'!F104-'10years'!$G104</f>
        <v>0.22147724145353909</v>
      </c>
      <c r="G104">
        <f>'10years'!H104-'10years'!$I104</f>
        <v>0</v>
      </c>
    </row>
    <row r="105" spans="1:7" x14ac:dyDescent="0.35">
      <c r="A105" s="1">
        <v>16315</v>
      </c>
      <c r="B105">
        <f>'10years'!B105-'10years'!$G105</f>
        <v>0.72946832672202744</v>
      </c>
      <c r="C105">
        <f>'10years'!C105-'10years'!$G105</f>
        <v>0.29095219149430962</v>
      </c>
      <c r="D105">
        <f>'10years'!D105-'10years'!$G105</f>
        <v>0.95347620771084651</v>
      </c>
      <c r="E105">
        <f>'10years'!E105-'10years'!$G105</f>
        <v>0.59406683973011232</v>
      </c>
      <c r="F105">
        <f>'10years'!F105-'10years'!$G105</f>
        <v>0.30601229023123944</v>
      </c>
      <c r="G105">
        <f>'10years'!H105-'10years'!$I105</f>
        <v>0</v>
      </c>
    </row>
    <row r="106" spans="1:7" x14ac:dyDescent="0.35">
      <c r="A106" s="1">
        <v>16345</v>
      </c>
      <c r="B106">
        <f>'10years'!B106-'10years'!$G106</f>
        <v>0.69371249592154749</v>
      </c>
      <c r="C106">
        <f>'10years'!C106-'10years'!$G106</f>
        <v>0.2555481541363398</v>
      </c>
      <c r="D106">
        <f>'10years'!D106-'10years'!$G106</f>
        <v>0.89576793617534856</v>
      </c>
      <c r="E106">
        <f>'10years'!E106-'10years'!$G106</f>
        <v>0.53532941090211628</v>
      </c>
      <c r="F106">
        <f>'10years'!F106-'10years'!$G106</f>
        <v>0.26897483281472523</v>
      </c>
      <c r="G106">
        <f>'10years'!H106-'10years'!$I106</f>
        <v>0</v>
      </c>
    </row>
    <row r="107" spans="1:7" x14ac:dyDescent="0.35">
      <c r="A107" s="1">
        <v>16376</v>
      </c>
      <c r="B107">
        <f>'10years'!B107-'10years'!$G107</f>
        <v>0.69322971811821654</v>
      </c>
      <c r="C107">
        <f>'10years'!C107-'10years'!$G107</f>
        <v>0.25547256848300703</v>
      </c>
      <c r="D107">
        <f>'10years'!D107-'10years'!$G107</f>
        <v>0.88357923705114727</v>
      </c>
      <c r="E107">
        <f>'10years'!E107-'10years'!$G107</f>
        <v>0.52318489172079685</v>
      </c>
      <c r="F107">
        <f>'10years'!F107-'10years'!$G107</f>
        <v>0.27085899804774138</v>
      </c>
      <c r="G107">
        <f>'10years'!H107-'10years'!$I107</f>
        <v>0</v>
      </c>
    </row>
    <row r="108" spans="1:7" x14ac:dyDescent="0.35">
      <c r="A108" s="1">
        <v>16406</v>
      </c>
      <c r="B108">
        <f>'10years'!B108-'10years'!$G108</f>
        <v>0.72297863061092449</v>
      </c>
      <c r="C108">
        <f>'10years'!C108-'10years'!$G108</f>
        <v>0.28485584794948138</v>
      </c>
      <c r="D108">
        <f>'10years'!D108-'10years'!$G108</f>
        <v>0.91454718953904801</v>
      </c>
      <c r="E108">
        <f>'10years'!E108-'10years'!$G108</f>
        <v>0.5536993030420525</v>
      </c>
      <c r="F108">
        <f>'10years'!F108-'10years'!$G108</f>
        <v>0.29776270287799966</v>
      </c>
      <c r="G108">
        <f>'10years'!H108-'10years'!$I108</f>
        <v>0</v>
      </c>
    </row>
    <row r="109" spans="1:7" x14ac:dyDescent="0.35">
      <c r="A109" s="1">
        <v>16436</v>
      </c>
      <c r="B109">
        <f>'10years'!B109-'10years'!$G109</f>
        <v>0.66794648140490853</v>
      </c>
      <c r="C109">
        <f>'10years'!C109-'10years'!$G109</f>
        <v>0.22471591565808691</v>
      </c>
      <c r="D109">
        <f>'10years'!D109-'10years'!$G109</f>
        <v>0.8525171386244601</v>
      </c>
      <c r="E109">
        <f>'10years'!E109-'10years'!$G109</f>
        <v>0.48607722481643467</v>
      </c>
      <c r="F109">
        <f>'10years'!F109-'10years'!$G109</f>
        <v>0.23433686713953517</v>
      </c>
      <c r="G109">
        <f>'10years'!H109-'10years'!$I109</f>
        <v>0</v>
      </c>
    </row>
    <row r="110" spans="1:7" x14ac:dyDescent="0.35">
      <c r="A110" s="1">
        <v>16468</v>
      </c>
      <c r="B110">
        <f>'10years'!B110-'10years'!$G110</f>
        <v>0.7051940075537293</v>
      </c>
      <c r="C110">
        <f>'10years'!C110-'10years'!$G110</f>
        <v>0.26192742658483636</v>
      </c>
      <c r="D110">
        <f>'10years'!D110-'10years'!$G110</f>
        <v>0.93029377500814681</v>
      </c>
      <c r="E110">
        <f>'10years'!E110-'10years'!$G110</f>
        <v>0.56338557124699529</v>
      </c>
      <c r="F110">
        <f>'10years'!F110-'10years'!$G110</f>
        <v>0.26656753345006434</v>
      </c>
      <c r="G110">
        <f>'10years'!H110-'10years'!$I110</f>
        <v>0</v>
      </c>
    </row>
    <row r="111" spans="1:7" x14ac:dyDescent="0.35">
      <c r="A111" s="1">
        <v>16496</v>
      </c>
      <c r="B111">
        <f>'10years'!B111-'10years'!$G111</f>
        <v>0.75130436121729871</v>
      </c>
      <c r="C111">
        <f>'10years'!C111-'10years'!$G111</f>
        <v>0.3081224916387304</v>
      </c>
      <c r="D111">
        <f>'10years'!D111-'10years'!$G111</f>
        <v>1.0040840514112037</v>
      </c>
      <c r="E111">
        <f>'10years'!E111-'10years'!$G111</f>
        <v>0.63698502643386834</v>
      </c>
      <c r="F111">
        <f>'10years'!F111-'10years'!$G111</f>
        <v>0.31423230585666651</v>
      </c>
      <c r="G111">
        <f>'10years'!H111-'10years'!$I111</f>
        <v>0</v>
      </c>
    </row>
    <row r="112" spans="1:7" x14ac:dyDescent="0.35">
      <c r="A112" s="1">
        <v>16527</v>
      </c>
      <c r="B112">
        <f>'10years'!B112-'10years'!$G112</f>
        <v>0.83926036766727274</v>
      </c>
      <c r="C112">
        <f>'10years'!C112-'10years'!$G112</f>
        <v>0.39613894501021707</v>
      </c>
      <c r="D112">
        <f>'10years'!D112-'10years'!$G112</f>
        <v>1.1412663175204185</v>
      </c>
      <c r="E112">
        <f>'10years'!E112-'10years'!$G112</f>
        <v>0.77262482985817171</v>
      </c>
      <c r="F112">
        <f>'10years'!F112-'10years'!$G112</f>
        <v>0.3980054307041081</v>
      </c>
      <c r="G112">
        <f>'10years'!H112-'10years'!$I112</f>
        <v>0</v>
      </c>
    </row>
    <row r="113" spans="1:7" x14ac:dyDescent="0.35">
      <c r="A113" s="1">
        <v>16557</v>
      </c>
      <c r="B113">
        <f>'10years'!B113-'10years'!$G113</f>
        <v>0.83025260982847793</v>
      </c>
      <c r="C113">
        <f>'10years'!C113-'10years'!$G113</f>
        <v>0.38762970051891332</v>
      </c>
      <c r="D113">
        <f>'10years'!D113-'10years'!$G113</f>
        <v>1.1480722795615106</v>
      </c>
      <c r="E113">
        <f>'10years'!E113-'10years'!$G113</f>
        <v>0.77957390506122937</v>
      </c>
      <c r="F113">
        <f>'10years'!F113-'10years'!$G113</f>
        <v>0.38464054998783914</v>
      </c>
      <c r="G113">
        <f>'10years'!H113-'10years'!$I113</f>
        <v>0</v>
      </c>
    </row>
    <row r="114" spans="1:7" x14ac:dyDescent="0.35">
      <c r="A114" s="1">
        <v>16588</v>
      </c>
      <c r="B114">
        <f>'10years'!B114-'10years'!$G114</f>
        <v>0.82549994504724489</v>
      </c>
      <c r="C114">
        <f>'10years'!C114-'10years'!$G114</f>
        <v>0.38295919112168719</v>
      </c>
      <c r="D114">
        <f>'10years'!D114-'10years'!$G114</f>
        <v>1.1616863509236046</v>
      </c>
      <c r="E114">
        <f>'10years'!E114-'10years'!$G114</f>
        <v>0.79324568190107514</v>
      </c>
      <c r="F114">
        <f>'10years'!F114-'10years'!$G114</f>
        <v>0.37860910178180984</v>
      </c>
      <c r="G114">
        <f>'10years'!H114-'10years'!$I114</f>
        <v>0</v>
      </c>
    </row>
    <row r="115" spans="1:7" x14ac:dyDescent="0.35">
      <c r="A115" s="1">
        <v>16618</v>
      </c>
      <c r="B115">
        <f>'10years'!B115-'10years'!$G115</f>
        <v>0.81055999810497426</v>
      </c>
      <c r="C115">
        <f>'10years'!C115-'10years'!$G115</f>
        <v>0.3652530832075378</v>
      </c>
      <c r="D115">
        <f>'10years'!D115-'10years'!$G115</f>
        <v>1.1446649639148081</v>
      </c>
      <c r="E115">
        <f>'10years'!E115-'10years'!$G115</f>
        <v>0.77365826442721097</v>
      </c>
      <c r="F115">
        <f>'10years'!F115-'10years'!$G115</f>
        <v>0.36135692402292463</v>
      </c>
      <c r="G115">
        <f>'10years'!H115-'10years'!$I115</f>
        <v>0</v>
      </c>
    </row>
    <row r="116" spans="1:7" x14ac:dyDescent="0.35">
      <c r="A116" s="1">
        <v>16649</v>
      </c>
      <c r="B116">
        <f>'10years'!B116-'10years'!$G116</f>
        <v>0.755223947754047</v>
      </c>
      <c r="C116">
        <f>'10years'!C116-'10years'!$G116</f>
        <v>0.31095220186672123</v>
      </c>
      <c r="D116">
        <f>'10years'!D116-'10years'!$G116</f>
        <v>1.1313493543328115</v>
      </c>
      <c r="E116">
        <f>'10years'!E116-'10years'!$G116</f>
        <v>0.76061241259635115</v>
      </c>
      <c r="F116">
        <f>'10years'!F116-'10years'!$G116</f>
        <v>0.30358823745269015</v>
      </c>
      <c r="G116">
        <f>'10years'!H116-'10years'!$I116</f>
        <v>0</v>
      </c>
    </row>
    <row r="117" spans="1:7" x14ac:dyDescent="0.35">
      <c r="A117" s="1">
        <v>16680</v>
      </c>
      <c r="B117">
        <f>'10years'!B117-'10years'!$G117</f>
        <v>0.66922248078141489</v>
      </c>
      <c r="C117">
        <f>'10years'!C117-'10years'!$G117</f>
        <v>0.22556202265776348</v>
      </c>
      <c r="D117">
        <f>'10years'!D117-'10years'!$G117</f>
        <v>1.0305384458096787</v>
      </c>
      <c r="E117">
        <f>'10years'!E117-'10years'!$G117</f>
        <v>0.66054400380076461</v>
      </c>
      <c r="F117">
        <f>'10years'!F117-'10years'!$G117</f>
        <v>0.21979798223948666</v>
      </c>
      <c r="G117">
        <f>'10years'!H117-'10years'!$I117</f>
        <v>0</v>
      </c>
    </row>
    <row r="118" spans="1:7" x14ac:dyDescent="0.35">
      <c r="A118" s="1">
        <v>16709</v>
      </c>
      <c r="B118">
        <f>'10years'!B118-'10years'!$G118</f>
        <v>0.69583122892381999</v>
      </c>
      <c r="C118">
        <f>'10years'!C118-'10years'!$G118</f>
        <v>0.25108918596696173</v>
      </c>
      <c r="D118">
        <f>'10years'!D118-'10years'!$G118</f>
        <v>1.0153016421430006</v>
      </c>
      <c r="E118">
        <f>'10years'!E118-'10years'!$G118</f>
        <v>0.64316158601200213</v>
      </c>
      <c r="F118">
        <f>'10years'!F118-'10years'!$G118</f>
        <v>0.24881509160569637</v>
      </c>
      <c r="G118">
        <f>'10years'!H118-'10years'!$I118</f>
        <v>0</v>
      </c>
    </row>
    <row r="119" spans="1:7" x14ac:dyDescent="0.35">
      <c r="A119" s="1">
        <v>16741</v>
      </c>
      <c r="B119">
        <f>'10years'!B119-'10years'!$G119</f>
        <v>0.71254655949516876</v>
      </c>
      <c r="C119">
        <f>'10years'!C119-'10years'!$G119</f>
        <v>0.26857655404947578</v>
      </c>
      <c r="D119">
        <f>'10years'!D119-'10years'!$G119</f>
        <v>1.0635483342127985</v>
      </c>
      <c r="E119">
        <f>'10years'!E119-'10years'!$G119</f>
        <v>0.69193730066898129</v>
      </c>
      <c r="F119">
        <f>'10years'!F119-'10years'!$G119</f>
        <v>0.26325679057330098</v>
      </c>
      <c r="G119">
        <f>'10years'!H119-'10years'!$I119</f>
        <v>0</v>
      </c>
    </row>
    <row r="120" spans="1:7" x14ac:dyDescent="0.35">
      <c r="A120" s="1">
        <v>16771</v>
      </c>
      <c r="B120">
        <f>'10years'!B120-'10years'!$G120</f>
        <v>0.67965625778374905</v>
      </c>
      <c r="C120">
        <f>'10years'!C120-'10years'!$G120</f>
        <v>0.23596945657998036</v>
      </c>
      <c r="D120">
        <f>'10years'!D120-'10years'!$G120</f>
        <v>1.0417111805741048</v>
      </c>
      <c r="E120">
        <f>'10years'!E120-'10years'!$G120</f>
        <v>0.67053035706916964</v>
      </c>
      <c r="F120">
        <f>'10years'!F120-'10years'!$G120</f>
        <v>0.22757430380540411</v>
      </c>
      <c r="G120">
        <f>'10years'!H120-'10years'!$I120</f>
        <v>0</v>
      </c>
    </row>
    <row r="121" spans="1:7" x14ac:dyDescent="0.35">
      <c r="A121" s="1">
        <v>16802</v>
      </c>
      <c r="B121">
        <f>'10years'!B121-'10years'!$G121</f>
        <v>0.67405959805793403</v>
      </c>
      <c r="C121">
        <f>'10years'!C121-'10years'!$G121</f>
        <v>0.22793517601016733</v>
      </c>
      <c r="D121">
        <f>'10years'!D121-'10years'!$G121</f>
        <v>1.0096163499192108</v>
      </c>
      <c r="E121">
        <f>'10years'!E121-'10years'!$G121</f>
        <v>0.63430774063835527</v>
      </c>
      <c r="F121">
        <f>'10years'!F121-'10years'!$G121</f>
        <v>0.22201500916508143</v>
      </c>
      <c r="G121">
        <f>'10years'!H121-'10years'!$I121</f>
        <v>0</v>
      </c>
    </row>
    <row r="122" spans="1:7" x14ac:dyDescent="0.35">
      <c r="A122" s="1">
        <v>16833</v>
      </c>
      <c r="B122">
        <f>'10years'!B122-'10years'!$G122</f>
        <v>0.65036860635942673</v>
      </c>
      <c r="C122">
        <f>'10years'!C122-'10years'!$G122</f>
        <v>0.20495140220184349</v>
      </c>
      <c r="D122">
        <f>'10years'!D122-'10years'!$G122</f>
        <v>0.97896093334084067</v>
      </c>
      <c r="E122">
        <f>'10years'!E122-'10years'!$G122</f>
        <v>0.60424248332213337</v>
      </c>
      <c r="F122">
        <f>'10years'!F122-'10years'!$G122</f>
        <v>0.19967012835830533</v>
      </c>
      <c r="G122">
        <f>'10years'!H122-'10years'!$I122</f>
        <v>0</v>
      </c>
    </row>
    <row r="123" spans="1:7" x14ac:dyDescent="0.35">
      <c r="A123" s="1">
        <v>16861</v>
      </c>
      <c r="B123">
        <f>'10years'!B123-'10years'!$G123</f>
        <v>0.64837884365059484</v>
      </c>
      <c r="C123">
        <f>'10years'!C123-'10years'!$G123</f>
        <v>0.20347980133184773</v>
      </c>
      <c r="D123">
        <f>'10years'!D123-'10years'!$G123</f>
        <v>0.9634092163513035</v>
      </c>
      <c r="E123">
        <f>'10years'!E123-'10years'!$G123</f>
        <v>0.58895380187834068</v>
      </c>
      <c r="F123">
        <f>'10years'!F123-'10years'!$G123</f>
        <v>0.20277021343318591</v>
      </c>
      <c r="G123">
        <f>'10years'!H123-'10years'!$I123</f>
        <v>0</v>
      </c>
    </row>
    <row r="124" spans="1:7" x14ac:dyDescent="0.35">
      <c r="A124" s="1">
        <v>16891</v>
      </c>
      <c r="B124">
        <f>'10years'!B124-'10years'!$G124</f>
        <v>0.5730759309536666</v>
      </c>
      <c r="C124">
        <f>'10years'!C124-'10years'!$G124</f>
        <v>0.12732659717023709</v>
      </c>
      <c r="D124">
        <f>'10years'!D124-'10years'!$G124</f>
        <v>0.86272900206823722</v>
      </c>
      <c r="E124">
        <f>'10years'!E124-'10years'!$G124</f>
        <v>0.48724043932844752</v>
      </c>
      <c r="F124">
        <f>'10years'!F124-'10years'!$G124</f>
        <v>0.12861312591952623</v>
      </c>
      <c r="G124">
        <f>'10years'!H124-'10years'!$I124</f>
        <v>0</v>
      </c>
    </row>
    <row r="125" spans="1:7" x14ac:dyDescent="0.35">
      <c r="A125" s="1">
        <v>16922</v>
      </c>
      <c r="B125">
        <f>'10years'!B125-'10years'!$G125</f>
        <v>0.59328485073005699</v>
      </c>
      <c r="C125">
        <f>'10years'!C125-'10years'!$G125</f>
        <v>0.14717756856016284</v>
      </c>
      <c r="D125">
        <f>'10years'!D125-'10years'!$G125</f>
        <v>0.9065158786394456</v>
      </c>
      <c r="E125">
        <f>'10years'!E125-'10years'!$G125</f>
        <v>0.53023859293389486</v>
      </c>
      <c r="F125">
        <f>'10years'!F125-'10years'!$G125</f>
        <v>0.14534299530280959</v>
      </c>
      <c r="G125">
        <f>'10years'!H125-'10years'!$I125</f>
        <v>0</v>
      </c>
    </row>
    <row r="126" spans="1:7" x14ac:dyDescent="0.35">
      <c r="A126" s="1">
        <v>16953</v>
      </c>
      <c r="B126">
        <f>'10years'!B126-'10years'!$G126</f>
        <v>0.69040921963367841</v>
      </c>
      <c r="C126">
        <f>'10years'!C126-'10years'!$G126</f>
        <v>0.24372668154543953</v>
      </c>
      <c r="D126">
        <f>'10years'!D126-'10years'!$G126</f>
        <v>1.0156261723549307</v>
      </c>
      <c r="E126">
        <f>'10years'!E126-'10years'!$G126</f>
        <v>0.63897425818830489</v>
      </c>
      <c r="F126">
        <f>'10years'!F126-'10years'!$G126</f>
        <v>0.24307418522124569</v>
      </c>
      <c r="G126">
        <f>'10years'!H126-'10years'!$I126</f>
        <v>0</v>
      </c>
    </row>
    <row r="127" spans="1:7" x14ac:dyDescent="0.35">
      <c r="A127" s="1">
        <v>16981</v>
      </c>
      <c r="B127">
        <f>'10years'!B127-'10years'!$G127</f>
        <v>0.670720100928059</v>
      </c>
      <c r="C127">
        <f>'10years'!C127-'10years'!$G127</f>
        <v>0.2244595712330506</v>
      </c>
      <c r="D127">
        <f>'10years'!D127-'10years'!$G127</f>
        <v>0.99982357278680833</v>
      </c>
      <c r="E127">
        <f>'10years'!E127-'10years'!$G127</f>
        <v>0.62128967299801729</v>
      </c>
      <c r="F127">
        <f>'10years'!F127-'10years'!$G127</f>
        <v>0.22411554412444978</v>
      </c>
      <c r="G127">
        <f>'10years'!H127-'10years'!$I127</f>
        <v>0</v>
      </c>
    </row>
    <row r="128" spans="1:7" x14ac:dyDescent="0.35">
      <c r="A128" s="1">
        <v>17014</v>
      </c>
      <c r="B128">
        <f>'10years'!B128-'10years'!$G128</f>
        <v>0.61372257358527538</v>
      </c>
      <c r="C128">
        <f>'10years'!C128-'10years'!$G128</f>
        <v>0.16823679489661636</v>
      </c>
      <c r="D128">
        <f>'10years'!D128-'10years'!$G128</f>
        <v>0.94942482350089019</v>
      </c>
      <c r="E128">
        <f>'10years'!E128-'10years'!$G128</f>
        <v>0.57138882396612534</v>
      </c>
      <c r="F128">
        <f>'10years'!F128-'10years'!$G128</f>
        <v>0.16567101373696946</v>
      </c>
      <c r="G128">
        <f>'10years'!H128-'10years'!$I128</f>
        <v>0</v>
      </c>
    </row>
    <row r="129" spans="1:7" x14ac:dyDescent="0.35">
      <c r="A129" s="1">
        <v>17044</v>
      </c>
      <c r="B129">
        <f>'10years'!B129-'10years'!$G129</f>
        <v>0.53090629107130227</v>
      </c>
      <c r="C129">
        <f>'10years'!C129-'10years'!$G129</f>
        <v>8.5704870964879776E-2</v>
      </c>
      <c r="D129">
        <f>'10years'!D129-'10years'!$G129</f>
        <v>0.84273356389889398</v>
      </c>
      <c r="E129">
        <f>'10years'!E129-'10years'!$G129</f>
        <v>0.46526425487120471</v>
      </c>
      <c r="F129">
        <f>'10years'!F129-'10years'!$G129</f>
        <v>8.8999819783224021E-2</v>
      </c>
      <c r="G129">
        <f>'10years'!H129-'10years'!$I129</f>
        <v>0</v>
      </c>
    </row>
    <row r="130" spans="1:7" x14ac:dyDescent="0.35">
      <c r="A130" s="1">
        <v>17075</v>
      </c>
      <c r="B130">
        <f>'10years'!B130-'10years'!$G130</f>
        <v>0.4593228204152342</v>
      </c>
      <c r="C130">
        <f>'10years'!C130-'10years'!$G130</f>
        <v>1.4671026890259231E-2</v>
      </c>
      <c r="D130">
        <f>'10years'!D130-'10years'!$G130</f>
        <v>0.75693944368120691</v>
      </c>
      <c r="E130">
        <f>'10years'!E130-'10years'!$G130</f>
        <v>0.37798882613675788</v>
      </c>
      <c r="F130">
        <f>'10years'!F130-'10years'!$G130</f>
        <v>1.8426036413402347E-2</v>
      </c>
      <c r="G130">
        <f>'10years'!H130-'10years'!$I130</f>
        <v>0</v>
      </c>
    </row>
    <row r="131" spans="1:7" x14ac:dyDescent="0.35">
      <c r="A131" s="1">
        <v>17106</v>
      </c>
      <c r="B131">
        <f>'10years'!B131-'10years'!$G131</f>
        <v>0.36312697849337905</v>
      </c>
      <c r="C131">
        <f>'10years'!C131-'10years'!$G131</f>
        <v>-8.077621697376447E-2</v>
      </c>
      <c r="D131">
        <f>'10years'!D131-'10years'!$G131</f>
        <v>0.62889755684630977</v>
      </c>
      <c r="E131">
        <f>'10years'!E131-'10years'!$G131</f>
        <v>0.24996322970060181</v>
      </c>
      <c r="F131">
        <f>'10years'!F131-'10years'!$G131</f>
        <v>-7.1963762187642111E-2</v>
      </c>
      <c r="G131">
        <f>'10years'!H131-'10years'!$I131</f>
        <v>0</v>
      </c>
    </row>
    <row r="132" spans="1:7" x14ac:dyDescent="0.35">
      <c r="A132" s="1">
        <v>17136</v>
      </c>
      <c r="B132">
        <f>'10years'!B132-'10years'!$G132</f>
        <v>0.29684690930983781</v>
      </c>
      <c r="C132">
        <f>'10years'!C132-'10years'!$G132</f>
        <v>-0.14697199448674003</v>
      </c>
      <c r="D132">
        <f>'10years'!D132-'10years'!$G132</f>
        <v>0.58624340968291144</v>
      </c>
      <c r="E132">
        <f>'10years'!E132-'10years'!$G132</f>
        <v>0.20773351553521757</v>
      </c>
      <c r="F132">
        <f>'10years'!F132-'10years'!$G132</f>
        <v>-0.13892800226440039</v>
      </c>
      <c r="G132">
        <f>'10years'!H132-'10years'!$I132</f>
        <v>0</v>
      </c>
    </row>
    <row r="133" spans="1:7" x14ac:dyDescent="0.35">
      <c r="A133" s="1">
        <v>17167</v>
      </c>
      <c r="B133">
        <f>'10years'!B133-'10years'!$G133</f>
        <v>0.28462934529888106</v>
      </c>
      <c r="C133">
        <f>'10years'!C133-'10years'!$G133</f>
        <v>-0.1566994222498399</v>
      </c>
      <c r="D133">
        <f>'10years'!D133-'10years'!$G133</f>
        <v>0.55935732723305631</v>
      </c>
      <c r="E133">
        <f>'10years'!E133-'10years'!$G133</f>
        <v>0.1792978928888076</v>
      </c>
      <c r="F133">
        <f>'10years'!F133-'10years'!$G133</f>
        <v>-0.15206115817389976</v>
      </c>
      <c r="G133">
        <f>'10years'!H133-'10years'!$I133</f>
        <v>0</v>
      </c>
    </row>
    <row r="134" spans="1:7" x14ac:dyDescent="0.35">
      <c r="A134" s="1">
        <v>17198</v>
      </c>
      <c r="B134">
        <f>'10years'!B134-'10years'!$G134</f>
        <v>0.32583884020110276</v>
      </c>
      <c r="C134">
        <f>'10years'!C134-'10years'!$G134</f>
        <v>-0.11663864565420545</v>
      </c>
      <c r="D134">
        <f>'10years'!D134-'10years'!$G134</f>
        <v>0.58652009631326352</v>
      </c>
      <c r="E134">
        <f>'10years'!E134-'10years'!$G134</f>
        <v>0.2051904920771499</v>
      </c>
      <c r="F134">
        <f>'10years'!F134-'10years'!$G134</f>
        <v>-0.11248093933766223</v>
      </c>
      <c r="G134">
        <f>'10years'!H134-'10years'!$I134</f>
        <v>0</v>
      </c>
    </row>
    <row r="135" spans="1:7" x14ac:dyDescent="0.35">
      <c r="A135" s="1">
        <v>17226</v>
      </c>
      <c r="B135">
        <f>'10years'!B135-'10years'!$G135</f>
        <v>0.31378450897018872</v>
      </c>
      <c r="C135">
        <f>'10years'!C135-'10years'!$G135</f>
        <v>-0.12891635486799702</v>
      </c>
      <c r="D135">
        <f>'10years'!D135-'10years'!$G135</f>
        <v>0.56035584635471558</v>
      </c>
      <c r="E135">
        <f>'10years'!E135-'10years'!$G135</f>
        <v>0.17921097886350346</v>
      </c>
      <c r="F135">
        <f>'10years'!F135-'10years'!$G135</f>
        <v>-0.12420208867862081</v>
      </c>
      <c r="G135">
        <f>'10years'!H135-'10years'!$I135</f>
        <v>0</v>
      </c>
    </row>
    <row r="136" spans="1:7" x14ac:dyDescent="0.35">
      <c r="A136" s="1">
        <v>17257</v>
      </c>
      <c r="B136">
        <f>'10years'!B136-'10years'!$G136</f>
        <v>0.29141778772365945</v>
      </c>
      <c r="C136">
        <f>'10years'!C136-'10years'!$G136</f>
        <v>-0.15439668838428244</v>
      </c>
      <c r="D136">
        <f>'10years'!D136-'10years'!$G136</f>
        <v>0.52853061243449839</v>
      </c>
      <c r="E136">
        <f>'10years'!E136-'10years'!$G136</f>
        <v>0.14463631988170955</v>
      </c>
      <c r="F136">
        <f>'10years'!F136-'10years'!$G136</f>
        <v>-0.14864922001045344</v>
      </c>
      <c r="G136">
        <f>'10years'!H136-'10years'!$I136</f>
        <v>0</v>
      </c>
    </row>
    <row r="137" spans="1:7" x14ac:dyDescent="0.35">
      <c r="A137" s="1">
        <v>17287</v>
      </c>
      <c r="B137">
        <f>'10years'!B137-'10years'!$G137</f>
        <v>0.2815519605825012</v>
      </c>
      <c r="C137">
        <f>'10years'!C137-'10years'!$G137</f>
        <v>-0.16423931987291973</v>
      </c>
      <c r="D137">
        <f>'10years'!D137-'10years'!$G137</f>
        <v>0.49130945818569249</v>
      </c>
      <c r="E137">
        <f>'10years'!E137-'10years'!$G137</f>
        <v>0.10718014860923941</v>
      </c>
      <c r="F137">
        <f>'10years'!F137-'10years'!$G137</f>
        <v>-0.15510020510833056</v>
      </c>
      <c r="G137">
        <f>'10years'!H137-'10years'!$I137</f>
        <v>0</v>
      </c>
    </row>
    <row r="138" spans="1:7" x14ac:dyDescent="0.35">
      <c r="A138" s="1">
        <v>17316</v>
      </c>
      <c r="B138">
        <f>'10years'!B138-'10years'!$G138</f>
        <v>0.31810071120754402</v>
      </c>
      <c r="C138">
        <f>'10years'!C138-'10years'!$G138</f>
        <v>-0.12813958028821459</v>
      </c>
      <c r="D138">
        <f>'10years'!D138-'10years'!$G138</f>
        <v>0.51170567014428792</v>
      </c>
      <c r="E138">
        <f>'10years'!E138-'10years'!$G138</f>
        <v>0.12696364429185203</v>
      </c>
      <c r="F138">
        <f>'10years'!F138-'10years'!$G138</f>
        <v>-0.11586483990371543</v>
      </c>
      <c r="G138">
        <f>'10years'!H138-'10years'!$I138</f>
        <v>0</v>
      </c>
    </row>
    <row r="139" spans="1:7" x14ac:dyDescent="0.35">
      <c r="A139" s="1">
        <v>17348</v>
      </c>
      <c r="B139">
        <f>'10years'!B139-'10years'!$G139</f>
        <v>0.32229443647039724</v>
      </c>
      <c r="C139">
        <f>'10years'!C139-'10years'!$G139</f>
        <v>-0.12687289932377888</v>
      </c>
      <c r="D139">
        <f>'10years'!D139-'10years'!$G139</f>
        <v>0.5196457059425541</v>
      </c>
      <c r="E139">
        <f>'10years'!E139-'10years'!$G139</f>
        <v>0.13138353215033427</v>
      </c>
      <c r="F139">
        <f>'10years'!F139-'10years'!$G139</f>
        <v>-0.11441879713451564</v>
      </c>
      <c r="G139">
        <f>'10years'!H139-'10years'!$I139</f>
        <v>0</v>
      </c>
    </row>
    <row r="140" spans="1:7" x14ac:dyDescent="0.35">
      <c r="A140" s="1">
        <v>17379</v>
      </c>
      <c r="B140">
        <f>'10years'!B140-'10years'!$G140</f>
        <v>0.41254625603487693</v>
      </c>
      <c r="C140">
        <f>'10years'!C140-'10years'!$G140</f>
        <v>-3.5891891051073044E-2</v>
      </c>
      <c r="D140">
        <f>'10years'!D140-'10years'!$G140</f>
        <v>0.62787622264101395</v>
      </c>
      <c r="E140">
        <f>'10years'!E140-'10years'!$G140</f>
        <v>0.24014620774691964</v>
      </c>
      <c r="F140">
        <f>'10years'!F140-'10years'!$G140</f>
        <v>-2.6466912070618465E-2</v>
      </c>
      <c r="G140">
        <f>'10years'!H140-'10years'!$I140</f>
        <v>0</v>
      </c>
    </row>
    <row r="141" spans="1:7" x14ac:dyDescent="0.35">
      <c r="A141" s="1">
        <v>17408</v>
      </c>
      <c r="B141">
        <f>'10years'!B141-'10years'!$G141</f>
        <v>0.36603897599302493</v>
      </c>
      <c r="C141">
        <f>'10years'!C141-'10years'!$G141</f>
        <v>-8.2413576948311418E-2</v>
      </c>
      <c r="D141">
        <f>'10years'!D141-'10years'!$G141</f>
        <v>0.5815194890039932</v>
      </c>
      <c r="E141">
        <f>'10years'!E141-'10years'!$G141</f>
        <v>0.19367771884290286</v>
      </c>
      <c r="F141">
        <f>'10years'!F141-'10years'!$G141</f>
        <v>-7.8237090850160618E-2</v>
      </c>
      <c r="G141">
        <f>'10years'!H141-'10years'!$I141</f>
        <v>0</v>
      </c>
    </row>
    <row r="142" spans="1:7" x14ac:dyDescent="0.35">
      <c r="A142" s="1">
        <v>17440</v>
      </c>
      <c r="B142">
        <f>'10years'!B142-'10years'!$G142</f>
        <v>0.3903797290495763</v>
      </c>
      <c r="C142">
        <f>'10years'!C142-'10years'!$G142</f>
        <v>-5.8878917177581203E-2</v>
      </c>
      <c r="D142">
        <f>'10years'!D142-'10years'!$G142</f>
        <v>0.61153691412520295</v>
      </c>
      <c r="E142">
        <f>'10years'!E142-'10years'!$G142</f>
        <v>0.22210646917226007</v>
      </c>
      <c r="F142">
        <f>'10years'!F142-'10years'!$G142</f>
        <v>-5.4469872469449898E-2</v>
      </c>
      <c r="G142">
        <f>'10years'!H142-'10years'!$I142</f>
        <v>0</v>
      </c>
    </row>
    <row r="143" spans="1:7" x14ac:dyDescent="0.35">
      <c r="A143" s="1">
        <v>17471</v>
      </c>
      <c r="B143">
        <f>'10years'!B143-'10years'!$G143</f>
        <v>0.50775606733791068</v>
      </c>
      <c r="C143">
        <f>'10years'!C143-'10years'!$G143</f>
        <v>5.8753911465641684E-2</v>
      </c>
      <c r="D143">
        <f>'10years'!D143-'10years'!$G143</f>
        <v>0.77073483990604497</v>
      </c>
      <c r="E143">
        <f>'10years'!E143-'10years'!$G143</f>
        <v>0.3802324885349202</v>
      </c>
      <c r="F143">
        <f>'10years'!F143-'10years'!$G143</f>
        <v>6.1656376326895801E-2</v>
      </c>
      <c r="G143">
        <f>'10years'!H143-'10years'!$I143</f>
        <v>0</v>
      </c>
    </row>
    <row r="144" spans="1:7" x14ac:dyDescent="0.35">
      <c r="A144" s="1">
        <v>17500</v>
      </c>
      <c r="B144">
        <f>'10years'!B144-'10years'!$G144</f>
        <v>0.61534937536263024</v>
      </c>
      <c r="C144">
        <f>'10years'!C144-'10years'!$G144</f>
        <v>0.16577575997223293</v>
      </c>
      <c r="D144">
        <f>'10years'!D144-'10years'!$G144</f>
        <v>0.87946041565214661</v>
      </c>
      <c r="E144">
        <f>'10years'!E144-'10years'!$G144</f>
        <v>0.48863509621029011</v>
      </c>
      <c r="F144">
        <f>'10years'!F144-'10years'!$G144</f>
        <v>0.16835195949487436</v>
      </c>
      <c r="G144">
        <f>'10years'!H144-'10years'!$I144</f>
        <v>0</v>
      </c>
    </row>
    <row r="145" spans="1:7" x14ac:dyDescent="0.35">
      <c r="A145" s="1">
        <v>17532</v>
      </c>
      <c r="B145">
        <f>'10years'!B145-'10years'!$G145</f>
        <v>0.67396421608194546</v>
      </c>
      <c r="C145">
        <f>'10years'!C145-'10years'!$G145</f>
        <v>0.22861991981906149</v>
      </c>
      <c r="D145">
        <f>'10years'!D145-'10years'!$G145</f>
        <v>0.92864187774175333</v>
      </c>
      <c r="E145">
        <f>'10years'!E145-'10years'!$G145</f>
        <v>0.53885409351355174</v>
      </c>
      <c r="F145">
        <f>'10years'!F145-'10years'!$G145</f>
        <v>0.2329082351277818</v>
      </c>
      <c r="G145">
        <f>'10years'!H145-'10years'!$I145</f>
        <v>0</v>
      </c>
    </row>
    <row r="146" spans="1:7" x14ac:dyDescent="0.35">
      <c r="A146" s="1">
        <v>17563</v>
      </c>
      <c r="B146">
        <f>'10years'!B146-'10years'!$G146</f>
        <v>0.73813649240077361</v>
      </c>
      <c r="C146">
        <f>'10years'!C146-'10years'!$G146</f>
        <v>0.294347998056119</v>
      </c>
      <c r="D146">
        <f>'10years'!D146-'10years'!$G146</f>
        <v>1.0440200503990058</v>
      </c>
      <c r="E146">
        <f>'10years'!E146-'10years'!$G146</f>
        <v>0.65504371012632157</v>
      </c>
      <c r="F146">
        <f>'10years'!F146-'10years'!$G146</f>
        <v>0.29258157276623487</v>
      </c>
      <c r="G146">
        <f>'10years'!H146-'10years'!$I146</f>
        <v>0</v>
      </c>
    </row>
    <row r="147" spans="1:7" x14ac:dyDescent="0.35">
      <c r="A147" s="1">
        <v>17591</v>
      </c>
      <c r="B147">
        <f>'10years'!B147-'10years'!$G147</f>
        <v>0.69511691087126803</v>
      </c>
      <c r="C147">
        <f>'10years'!C147-'10years'!$G147</f>
        <v>0.25138704951769797</v>
      </c>
      <c r="D147">
        <f>'10years'!D147-'10years'!$G147</f>
        <v>1.0245555790792278</v>
      </c>
      <c r="E147">
        <f>'10years'!E147-'10years'!$G147</f>
        <v>0.63554877913962149</v>
      </c>
      <c r="F147">
        <f>'10years'!F147-'10years'!$G147</f>
        <v>0.24698823770019041</v>
      </c>
      <c r="G147">
        <f>'10years'!H147-'10years'!$I147</f>
        <v>0</v>
      </c>
    </row>
    <row r="148" spans="1:7" x14ac:dyDescent="0.35">
      <c r="A148" s="1">
        <v>17623</v>
      </c>
      <c r="B148">
        <f>'10years'!B148-'10years'!$G148</f>
        <v>0.60666744384399252</v>
      </c>
      <c r="C148">
        <f>'10years'!C148-'10years'!$G148</f>
        <v>0.16036310491669781</v>
      </c>
      <c r="D148">
        <f>'10years'!D148-'10years'!$G148</f>
        <v>0.91439507192095171</v>
      </c>
      <c r="E148">
        <f>'10years'!E148-'10years'!$G148</f>
        <v>0.5225432674934618</v>
      </c>
      <c r="F148">
        <f>'10years'!F148-'10years'!$G148</f>
        <v>0.15693624009705331</v>
      </c>
      <c r="G148">
        <f>'10years'!H148-'10years'!$I148</f>
        <v>0</v>
      </c>
    </row>
    <row r="149" spans="1:7" x14ac:dyDescent="0.35">
      <c r="A149" s="1">
        <v>17653</v>
      </c>
      <c r="B149">
        <f>'10years'!B149-'10years'!$G149</f>
        <v>0.91782333777001002</v>
      </c>
      <c r="C149">
        <f>'10years'!C149-'10years'!$G149</f>
        <v>0.47103515914247707</v>
      </c>
      <c r="D149">
        <f>'10years'!D149-'10years'!$G149</f>
        <v>1.3031430445514718</v>
      </c>
      <c r="E149">
        <f>'10years'!E149-'10years'!$G149</f>
        <v>0.91006602037861084</v>
      </c>
      <c r="F149">
        <f>'10years'!F149-'10years'!$G149</f>
        <v>0.45925971021069367</v>
      </c>
      <c r="G149">
        <f>'10years'!H149-'10years'!$I149</f>
        <v>0</v>
      </c>
    </row>
    <row r="150" spans="1:7" x14ac:dyDescent="0.35">
      <c r="A150" s="1">
        <v>17681</v>
      </c>
      <c r="B150">
        <f>'10years'!B150-'10years'!$G150</f>
        <v>0.83064505621268236</v>
      </c>
      <c r="C150">
        <f>'10years'!C150-'10years'!$G150</f>
        <v>0.38363075795699442</v>
      </c>
      <c r="D150">
        <f>'10years'!D150-'10years'!$G150</f>
        <v>1.185009941378752</v>
      </c>
      <c r="E150">
        <f>'10years'!E150-'10years'!$G150</f>
        <v>0.7922078155613701</v>
      </c>
      <c r="F150">
        <f>'10years'!F150-'10years'!$G150</f>
        <v>0.3700733931165836</v>
      </c>
      <c r="G150">
        <f>'10years'!H150-'10years'!$I150</f>
        <v>0</v>
      </c>
    </row>
    <row r="151" spans="1:7" x14ac:dyDescent="0.35">
      <c r="A151" s="1">
        <v>17714</v>
      </c>
      <c r="B151">
        <f>'10years'!B151-'10years'!$G151</f>
        <v>0.93212403454412862</v>
      </c>
      <c r="C151">
        <f>'10years'!C151-'10years'!$G151</f>
        <v>0.48493304589245967</v>
      </c>
      <c r="D151">
        <f>'10years'!D151-'10years'!$G151</f>
        <v>1.2849531552935158</v>
      </c>
      <c r="E151">
        <f>'10years'!E151-'10years'!$G151</f>
        <v>0.88899192555389939</v>
      </c>
      <c r="F151">
        <f>'10years'!F151-'10years'!$G151</f>
        <v>0.47036445264934579</v>
      </c>
      <c r="G151">
        <f>'10years'!H151-'10years'!$I151</f>
        <v>0</v>
      </c>
    </row>
    <row r="152" spans="1:7" x14ac:dyDescent="0.35">
      <c r="A152" s="1">
        <v>17744</v>
      </c>
      <c r="B152">
        <f>'10years'!B152-'10years'!$G152</f>
        <v>0.74789132040750639</v>
      </c>
      <c r="C152">
        <f>'10years'!C152-'10years'!$G152</f>
        <v>0.3010221363140384</v>
      </c>
      <c r="D152">
        <f>'10years'!D152-'10years'!$G152</f>
        <v>1.0682736709198557</v>
      </c>
      <c r="E152">
        <f>'10years'!E152-'10years'!$G152</f>
        <v>0.67220256236972231</v>
      </c>
      <c r="F152">
        <f>'10years'!F152-'10years'!$G152</f>
        <v>0.28742530893887652</v>
      </c>
      <c r="G152">
        <f>'10years'!H152-'10years'!$I152</f>
        <v>0</v>
      </c>
    </row>
    <row r="153" spans="1:7" x14ac:dyDescent="0.35">
      <c r="A153" s="1">
        <v>17776</v>
      </c>
      <c r="B153">
        <f>'10years'!B153-'10years'!$G153</f>
        <v>0.64157406282916507</v>
      </c>
      <c r="C153">
        <f>'10years'!C153-'10years'!$G153</f>
        <v>0.19509865893121492</v>
      </c>
      <c r="D153">
        <f>'10years'!D153-'10years'!$G153</f>
        <v>0.95200596095266277</v>
      </c>
      <c r="E153">
        <f>'10years'!E153-'10years'!$G153</f>
        <v>0.55586191813923391</v>
      </c>
      <c r="F153">
        <f>'10years'!F153-'10years'!$G153</f>
        <v>0.18243654660736808</v>
      </c>
      <c r="G153">
        <f>'10years'!H153-'10years'!$I153</f>
        <v>0</v>
      </c>
    </row>
    <row r="154" spans="1:7" x14ac:dyDescent="0.35">
      <c r="A154" s="1">
        <v>17806</v>
      </c>
      <c r="B154">
        <f>'10years'!B154-'10years'!$G154</f>
        <v>0.67579438165093397</v>
      </c>
      <c r="C154">
        <f>'10years'!C154-'10years'!$G154</f>
        <v>0.22610308439224203</v>
      </c>
      <c r="D154">
        <f>'10years'!D154-'10years'!$G154</f>
        <v>1.0173953474274902</v>
      </c>
      <c r="E154">
        <f>'10years'!E154-'10years'!$G154</f>
        <v>0.61771380711950674</v>
      </c>
      <c r="F154">
        <f>'10years'!F154-'10years'!$G154</f>
        <v>0.21122042426356313</v>
      </c>
      <c r="G154">
        <f>'10years'!H154-'10years'!$I154</f>
        <v>0</v>
      </c>
    </row>
    <row r="155" spans="1:7" x14ac:dyDescent="0.35">
      <c r="A155" s="1">
        <v>17836</v>
      </c>
      <c r="B155">
        <f>'10years'!B155-'10years'!$G155</f>
        <v>0.63856344722555591</v>
      </c>
      <c r="C155">
        <f>'10years'!C155-'10years'!$G155</f>
        <v>0.18799496331477106</v>
      </c>
      <c r="D155">
        <f>'10years'!D155-'10years'!$G155</f>
        <v>0.9877556199791544</v>
      </c>
      <c r="E155">
        <f>'10years'!E155-'10years'!$G155</f>
        <v>0.58692478347518073</v>
      </c>
      <c r="F155">
        <f>'10years'!F155-'10years'!$G155</f>
        <v>0.17319712526969355</v>
      </c>
      <c r="G155">
        <f>'10years'!H155-'10years'!$I155</f>
        <v>0</v>
      </c>
    </row>
    <row r="156" spans="1:7" x14ac:dyDescent="0.35">
      <c r="A156" s="1">
        <v>17867</v>
      </c>
      <c r="B156">
        <f>'10years'!B156-'10years'!$G156</f>
        <v>0.63135108657323369</v>
      </c>
      <c r="C156">
        <f>'10years'!C156-'10years'!$G156</f>
        <v>0.17904366890659174</v>
      </c>
      <c r="D156">
        <f>'10years'!D156-'10years'!$G156</f>
        <v>0.91810926547088401</v>
      </c>
      <c r="E156">
        <f>'10years'!E156-'10years'!$G156</f>
        <v>0.5161957616046815</v>
      </c>
      <c r="F156">
        <f>'10years'!F156-'10years'!$G156</f>
        <v>0.16656475850317887</v>
      </c>
      <c r="G156">
        <f>'10years'!H156-'10years'!$I156</f>
        <v>0</v>
      </c>
    </row>
    <row r="157" spans="1:7" x14ac:dyDescent="0.35">
      <c r="A157" s="1">
        <v>17898</v>
      </c>
      <c r="B157">
        <f>'10years'!B157-'10years'!$G157</f>
        <v>0.56596226478588507</v>
      </c>
      <c r="C157">
        <f>'10years'!C157-'10years'!$G157</f>
        <v>0.10878826013084852</v>
      </c>
      <c r="D157">
        <f>'10years'!D157-'10years'!$G157</f>
        <v>0.85805961461342095</v>
      </c>
      <c r="E157">
        <f>'10years'!E157-'10years'!$G157</f>
        <v>0.4503192218714811</v>
      </c>
      <c r="F157">
        <f>'10years'!F157-'10years'!$G157</f>
        <v>9.8464347180920786E-2</v>
      </c>
      <c r="G157">
        <f>'10years'!H157-'10years'!$I157</f>
        <v>0</v>
      </c>
    </row>
    <row r="158" spans="1:7" x14ac:dyDescent="0.35">
      <c r="A158" s="1">
        <v>17929</v>
      </c>
      <c r="B158">
        <f>'10years'!B158-'10years'!$G158</f>
        <v>0.55849058468990598</v>
      </c>
      <c r="C158">
        <f>'10years'!C158-'10years'!$G158</f>
        <v>9.8930770492831277E-2</v>
      </c>
      <c r="D158">
        <f>'10years'!D158-'10years'!$G158</f>
        <v>0.82861906083417725</v>
      </c>
      <c r="E158">
        <f>'10years'!E158-'10years'!$G158</f>
        <v>0.41727378463827036</v>
      </c>
      <c r="F158">
        <f>'10years'!F158-'10years'!$G158</f>
        <v>9.2322022941979887E-2</v>
      </c>
      <c r="G158">
        <f>'10years'!H158-'10years'!$I158</f>
        <v>0</v>
      </c>
    </row>
    <row r="159" spans="1:7" x14ac:dyDescent="0.35">
      <c r="A159" s="1">
        <v>17957</v>
      </c>
      <c r="B159">
        <f>'10years'!B159-'10years'!$G159</f>
        <v>0.62113501619018296</v>
      </c>
      <c r="C159">
        <f>'10years'!C159-'10years'!$G159</f>
        <v>0.16092861893463595</v>
      </c>
      <c r="D159">
        <f>'10years'!D159-'10years'!$G159</f>
        <v>0.91359277657289684</v>
      </c>
      <c r="E159">
        <f>'10years'!E159-'10years'!$G159</f>
        <v>0.50136869720591171</v>
      </c>
      <c r="F159">
        <f>'10years'!F159-'10years'!$G159</f>
        <v>0.15208600819751061</v>
      </c>
      <c r="G159">
        <f>'10years'!H159-'10years'!$I159</f>
        <v>0</v>
      </c>
    </row>
    <row r="160" spans="1:7" x14ac:dyDescent="0.35">
      <c r="A160" s="1">
        <v>17988</v>
      </c>
      <c r="B160">
        <f>'10years'!B160-'10years'!$G160</f>
        <v>0.56121145979272757</v>
      </c>
      <c r="C160">
        <f>'10years'!C160-'10years'!$G160</f>
        <v>9.6731696502390108E-2</v>
      </c>
      <c r="D160">
        <f>'10years'!D160-'10years'!$G160</f>
        <v>0.84506654032782791</v>
      </c>
      <c r="E160">
        <f>'10years'!E160-'10years'!$G160</f>
        <v>0.42821348542951387</v>
      </c>
      <c r="F160">
        <f>'10years'!F160-'10years'!$G160</f>
        <v>9.1160114704620376E-2</v>
      </c>
      <c r="G160">
        <f>'10years'!H160-'10years'!$I160</f>
        <v>0</v>
      </c>
    </row>
    <row r="161" spans="1:7" x14ac:dyDescent="0.35">
      <c r="A161" s="1">
        <v>18018</v>
      </c>
      <c r="B161">
        <f>'10years'!B161-'10years'!$G161</f>
        <v>0.70982294150406844</v>
      </c>
      <c r="C161">
        <f>'10years'!C161-'10years'!$G161</f>
        <v>0.24414282055159653</v>
      </c>
      <c r="D161">
        <f>'10years'!D161-'10years'!$G161</f>
        <v>1.0613535848527427</v>
      </c>
      <c r="E161">
        <f>'10years'!E161-'10years'!$G161</f>
        <v>0.64239581543695845</v>
      </c>
      <c r="F161">
        <f>'10years'!F161-'10years'!$G161</f>
        <v>0.23651884770400411</v>
      </c>
      <c r="G161">
        <f>'10years'!H161-'10years'!$I161</f>
        <v>0</v>
      </c>
    </row>
    <row r="162" spans="1:7" x14ac:dyDescent="0.35">
      <c r="A162" s="1">
        <v>18049</v>
      </c>
      <c r="B162">
        <f>'10years'!B162-'10years'!$G162</f>
        <v>0.69881465195850767</v>
      </c>
      <c r="C162">
        <f>'10years'!C162-'10years'!$G162</f>
        <v>0.23163763263828807</v>
      </c>
      <c r="D162">
        <f>'10years'!D162-'10years'!$G162</f>
        <v>1.0293630863749965</v>
      </c>
      <c r="E162">
        <f>'10years'!E162-'10years'!$G162</f>
        <v>0.60978559842876434</v>
      </c>
      <c r="F162">
        <f>'10years'!F162-'10years'!$G162</f>
        <v>0.22241502220190013</v>
      </c>
      <c r="G162">
        <f>'10years'!H162-'10years'!$I162</f>
        <v>0</v>
      </c>
    </row>
    <row r="163" spans="1:7" x14ac:dyDescent="0.35">
      <c r="A163" s="1">
        <v>18079</v>
      </c>
      <c r="B163">
        <f>'10years'!B163-'10years'!$G163</f>
        <v>0.61660391052833585</v>
      </c>
      <c r="C163">
        <f>'10years'!C163-'10years'!$G163</f>
        <v>0.14734770559028476</v>
      </c>
      <c r="D163">
        <f>'10years'!D163-'10years'!$G163</f>
        <v>0.93740329349350038</v>
      </c>
      <c r="E163">
        <f>'10years'!E163-'10years'!$G163</f>
        <v>0.51296772957982828</v>
      </c>
      <c r="F163">
        <f>'10years'!F163-'10years'!$G163</f>
        <v>0.13948200608091632</v>
      </c>
      <c r="G163">
        <f>'10years'!H163-'10years'!$I163</f>
        <v>0</v>
      </c>
    </row>
    <row r="164" spans="1:7" x14ac:dyDescent="0.35">
      <c r="A164" s="1">
        <v>18108</v>
      </c>
      <c r="B164">
        <f>'10years'!B164-'10years'!$G164</f>
        <v>0.67086046833565049</v>
      </c>
      <c r="C164">
        <f>'10years'!C164-'10years'!$G164</f>
        <v>0.2006708599291267</v>
      </c>
      <c r="D164">
        <f>'10years'!D164-'10years'!$G164</f>
        <v>1.0157390775582158</v>
      </c>
      <c r="E164">
        <f>'10years'!E164-'10years'!$G164</f>
        <v>0.59045100165218845</v>
      </c>
      <c r="F164">
        <f>'10years'!F164-'10years'!$G164</f>
        <v>0.19202229372697488</v>
      </c>
      <c r="G164">
        <f>'10years'!H164-'10years'!$I164</f>
        <v>0</v>
      </c>
    </row>
    <row r="165" spans="1:7" x14ac:dyDescent="0.35">
      <c r="A165" s="1">
        <v>18141</v>
      </c>
      <c r="B165">
        <f>'10years'!B165-'10years'!$G165</f>
        <v>0.63262005010991196</v>
      </c>
      <c r="C165">
        <f>'10years'!C165-'10years'!$G165</f>
        <v>0.16247834654081839</v>
      </c>
      <c r="D165">
        <f>'10years'!D165-'10years'!$G165</f>
        <v>0.94261967116249323</v>
      </c>
      <c r="E165">
        <f>'10years'!E165-'10years'!$G165</f>
        <v>0.51720271474169444</v>
      </c>
      <c r="F165">
        <f>'10years'!F165-'10years'!$G165</f>
        <v>0.15549670424952566</v>
      </c>
      <c r="G165">
        <f>'10years'!H165-'10years'!$I165</f>
        <v>0</v>
      </c>
    </row>
    <row r="166" spans="1:7" x14ac:dyDescent="0.35">
      <c r="A166" s="1">
        <v>18171</v>
      </c>
      <c r="B166">
        <f>'10years'!B166-'10years'!$G166</f>
        <v>0.70858381640801027</v>
      </c>
      <c r="C166">
        <f>'10years'!C166-'10years'!$G166</f>
        <v>0.23473431190903038</v>
      </c>
      <c r="D166">
        <f>'10years'!D166-'10years'!$G166</f>
        <v>1.0538005500850109</v>
      </c>
      <c r="E166">
        <f>'10years'!E166-'10years'!$G166</f>
        <v>0.62318770837416859</v>
      </c>
      <c r="F166">
        <f>'10years'!F166-'10years'!$G166</f>
        <v>0.22650024777044009</v>
      </c>
      <c r="G166">
        <f>'10years'!H166-'10years'!$I166</f>
        <v>0</v>
      </c>
    </row>
    <row r="167" spans="1:7" x14ac:dyDescent="0.35">
      <c r="A167" s="1">
        <v>18202</v>
      </c>
      <c r="B167">
        <f>'10years'!B167-'10years'!$G167</f>
        <v>0.59092321166130635</v>
      </c>
      <c r="C167">
        <f>'10years'!C167-'10years'!$G167</f>
        <v>0.11762817437085094</v>
      </c>
      <c r="D167">
        <f>'10years'!D167-'10years'!$G167</f>
        <v>0.81362729996704264</v>
      </c>
      <c r="E167">
        <f>'10years'!E167-'10years'!$G167</f>
        <v>0.38283212199177985</v>
      </c>
      <c r="F167">
        <f>'10years'!F167-'10years'!$G167</f>
        <v>0.11814065874496649</v>
      </c>
      <c r="G167">
        <f>'10years'!H167-'10years'!$I167</f>
        <v>0</v>
      </c>
    </row>
    <row r="168" spans="1:7" x14ac:dyDescent="0.35">
      <c r="A168" s="1">
        <v>18232</v>
      </c>
      <c r="B168">
        <f>'10years'!B168-'10years'!$G168</f>
        <v>0.62907722106101627</v>
      </c>
      <c r="C168">
        <f>'10years'!C168-'10years'!$G168</f>
        <v>0.15514940365230157</v>
      </c>
      <c r="D168">
        <f>'10years'!D168-'10years'!$G168</f>
        <v>0.85748796949988382</v>
      </c>
      <c r="E168">
        <f>'10years'!E168-'10years'!$G168</f>
        <v>0.42542215494751012</v>
      </c>
      <c r="F168">
        <f>'10years'!F168-'10years'!$G168</f>
        <v>0.15395927290494882</v>
      </c>
      <c r="G168">
        <f>'10years'!H168-'10years'!$I168</f>
        <v>0</v>
      </c>
    </row>
    <row r="169" spans="1:7" x14ac:dyDescent="0.35">
      <c r="A169" s="1">
        <v>18263</v>
      </c>
      <c r="B169">
        <f>'10years'!B169-'10years'!$G169</f>
        <v>0.68035469511947544</v>
      </c>
      <c r="C169">
        <f>'10years'!C169-'10years'!$G169</f>
        <v>0.19872799498790994</v>
      </c>
      <c r="D169">
        <f>'10years'!D169-'10years'!$G169</f>
        <v>0.94779947346349247</v>
      </c>
      <c r="E169">
        <f>'10years'!E169-'10years'!$G169</f>
        <v>0.51078332142447658</v>
      </c>
      <c r="F169">
        <f>'10years'!F169-'10years'!$G169</f>
        <v>0.19638369027182567</v>
      </c>
      <c r="G169">
        <f>'10years'!H169-'10years'!$I169</f>
        <v>0</v>
      </c>
    </row>
    <row r="170" spans="1:7" x14ac:dyDescent="0.35">
      <c r="A170" s="1">
        <v>18294</v>
      </c>
      <c r="B170">
        <f>'10years'!B170-'10years'!$G170</f>
        <v>0.6980276591298531</v>
      </c>
      <c r="C170">
        <f>'10years'!C170-'10years'!$G170</f>
        <v>0.21646917756566042</v>
      </c>
      <c r="D170">
        <f>'10years'!D170-'10years'!$G170</f>
        <v>0.98143582086021164</v>
      </c>
      <c r="E170">
        <f>'10years'!E170-'10years'!$G170</f>
        <v>0.54327785017192065</v>
      </c>
      <c r="F170">
        <f>'10years'!F170-'10years'!$G170</f>
        <v>0.21165613360088065</v>
      </c>
      <c r="G170">
        <f>'10years'!H170-'10years'!$I170</f>
        <v>0</v>
      </c>
    </row>
    <row r="171" spans="1:7" x14ac:dyDescent="0.35">
      <c r="A171" s="1">
        <v>18322</v>
      </c>
      <c r="B171">
        <f>'10years'!B171-'10years'!$G171</f>
        <v>0.74438785863385371</v>
      </c>
      <c r="C171">
        <f>'10years'!C171-'10years'!$G171</f>
        <v>0.2621654755024283</v>
      </c>
      <c r="D171">
        <f>'10years'!D171-'10years'!$G171</f>
        <v>1.0465020355587928</v>
      </c>
      <c r="E171">
        <f>'10years'!E171-'10years'!$G171</f>
        <v>0.60725868495000612</v>
      </c>
      <c r="F171">
        <f>'10years'!F171-'10years'!$G171</f>
        <v>0.25521377659994848</v>
      </c>
      <c r="G171">
        <f>'10years'!H171-'10years'!$I171</f>
        <v>0</v>
      </c>
    </row>
    <row r="172" spans="1:7" x14ac:dyDescent="0.35">
      <c r="A172" s="1">
        <v>18353</v>
      </c>
      <c r="B172">
        <f>'10years'!B172-'10years'!$G172</f>
        <v>0.74898604966635718</v>
      </c>
      <c r="C172">
        <f>'10years'!C172-'10years'!$G172</f>
        <v>0.26395684742162162</v>
      </c>
      <c r="D172">
        <f>'10years'!D172-'10years'!$G172</f>
        <v>1.047662461408462</v>
      </c>
      <c r="E172">
        <f>'10years'!E172-'10years'!$G172</f>
        <v>0.60576156617360288</v>
      </c>
      <c r="F172">
        <f>'10years'!F172-'10years'!$G172</f>
        <v>0.25723244239357479</v>
      </c>
      <c r="G172">
        <f>'10years'!H172-'10years'!$I172</f>
        <v>0</v>
      </c>
    </row>
    <row r="173" spans="1:7" x14ac:dyDescent="0.35">
      <c r="A173" s="1">
        <v>18382</v>
      </c>
      <c r="B173">
        <f>'10years'!B173-'10years'!$G173</f>
        <v>0.74369704953516269</v>
      </c>
      <c r="C173">
        <f>'10years'!C173-'10years'!$G173</f>
        <v>0.25734444911180621</v>
      </c>
      <c r="D173">
        <f>'10years'!D173-'10years'!$G173</f>
        <v>1.042362123894768</v>
      </c>
      <c r="E173">
        <f>'10years'!E173-'10years'!$G173</f>
        <v>0.59846868410100473</v>
      </c>
      <c r="F173">
        <f>'10years'!F173-'10years'!$G173</f>
        <v>0.25157291264199433</v>
      </c>
      <c r="G173">
        <f>'10years'!H173-'10years'!$I173</f>
        <v>0</v>
      </c>
    </row>
    <row r="174" spans="1:7" x14ac:dyDescent="0.35">
      <c r="A174" s="1">
        <v>18414</v>
      </c>
      <c r="B174">
        <f>'10years'!B174-'10years'!$G174</f>
        <v>0.78440979790429344</v>
      </c>
      <c r="C174">
        <f>'10years'!C174-'10years'!$G174</f>
        <v>0.29821558318950769</v>
      </c>
      <c r="D174">
        <f>'10years'!D174-'10years'!$G174</f>
        <v>1.0652133413852831</v>
      </c>
      <c r="E174">
        <f>'10years'!E174-'10years'!$G174</f>
        <v>0.62082982499728034</v>
      </c>
      <c r="F174">
        <f>'10years'!F174-'10years'!$G174</f>
        <v>0.29181706627462267</v>
      </c>
      <c r="G174">
        <f>'10years'!H174-'10years'!$I174</f>
        <v>0</v>
      </c>
    </row>
    <row r="175" spans="1:7" x14ac:dyDescent="0.35">
      <c r="A175" s="1">
        <v>18444</v>
      </c>
      <c r="B175">
        <f>'10years'!B175-'10years'!$G175</f>
        <v>1.0434648280982481</v>
      </c>
      <c r="C175">
        <f>'10years'!C175-'10years'!$G175</f>
        <v>0.55761296600125054</v>
      </c>
      <c r="D175">
        <f>'10years'!D175-'10years'!$G175</f>
        <v>1.365979506089807</v>
      </c>
      <c r="E175">
        <f>'10years'!E175-'10years'!$G175</f>
        <v>0.91825994979683778</v>
      </c>
      <c r="F175">
        <f>'10years'!F175-'10years'!$G175</f>
        <v>0.55232477552693315</v>
      </c>
      <c r="G175">
        <f>'10years'!H175-'10years'!$I175</f>
        <v>0</v>
      </c>
    </row>
    <row r="176" spans="1:7" x14ac:dyDescent="0.35">
      <c r="A176" s="1">
        <v>18475</v>
      </c>
      <c r="B176">
        <f>'10years'!B176-'10years'!$G176</f>
        <v>0.92855300238351868</v>
      </c>
      <c r="C176">
        <f>'10years'!C176-'10years'!$G176</f>
        <v>0.44377426215819638</v>
      </c>
      <c r="D176">
        <f>'10years'!D176-'10years'!$G176</f>
        <v>1.2009308233471061</v>
      </c>
      <c r="E176">
        <f>'10years'!E176-'10years'!$G176</f>
        <v>0.75390097939497691</v>
      </c>
      <c r="F176">
        <f>'10years'!F176-'10years'!$G176</f>
        <v>0.43957891935563653</v>
      </c>
      <c r="G176">
        <f>'10years'!H176-'10years'!$I176</f>
        <v>0</v>
      </c>
    </row>
    <row r="177" spans="1:7" x14ac:dyDescent="0.35">
      <c r="A177" s="1">
        <v>18506</v>
      </c>
      <c r="B177">
        <f>'10years'!B177-'10years'!$G177</f>
        <v>0.91459161054457483</v>
      </c>
      <c r="C177">
        <f>'10years'!C177-'10years'!$G177</f>
        <v>0.42991893484499255</v>
      </c>
      <c r="D177">
        <f>'10years'!D177-'10years'!$G177</f>
        <v>1.2169079630255661</v>
      </c>
      <c r="E177">
        <f>'10years'!E177-'10years'!$G177</f>
        <v>0.76975509094919325</v>
      </c>
      <c r="F177">
        <f>'10years'!F177-'10years'!$G177</f>
        <v>0.42029828371186828</v>
      </c>
      <c r="G177">
        <f>'10years'!H177-'10years'!$I177</f>
        <v>0</v>
      </c>
    </row>
    <row r="178" spans="1:7" x14ac:dyDescent="0.35">
      <c r="A178" s="1">
        <v>18535</v>
      </c>
      <c r="B178">
        <f>'10years'!B178-'10years'!$G178</f>
        <v>0.92388866626585919</v>
      </c>
      <c r="C178">
        <f>'10years'!C178-'10years'!$G178</f>
        <v>0.43298860195638511</v>
      </c>
      <c r="D178">
        <f>'10years'!D178-'10years'!$G178</f>
        <v>1.2223673372240169</v>
      </c>
      <c r="E178">
        <f>'10years'!E178-'10years'!$G178</f>
        <v>0.77105319418747609</v>
      </c>
      <c r="F178">
        <f>'10years'!F178-'10years'!$G178</f>
        <v>0.4244863589330512</v>
      </c>
      <c r="G178">
        <f>'10years'!H178-'10years'!$I178</f>
        <v>0</v>
      </c>
    </row>
    <row r="179" spans="1:7" x14ac:dyDescent="0.35">
      <c r="A179" s="1">
        <v>18567</v>
      </c>
      <c r="B179">
        <f>'10years'!B179-'10years'!$G179</f>
        <v>0.95978961360224102</v>
      </c>
      <c r="C179">
        <f>'10years'!C179-'10years'!$G179</f>
        <v>0.46978431680498312</v>
      </c>
      <c r="D179">
        <f>'10years'!D179-'10years'!$G179</f>
        <v>1.2644302179919686</v>
      </c>
      <c r="E179">
        <f>'10years'!E179-'10years'!$G179</f>
        <v>0.81315704219813711</v>
      </c>
      <c r="F179">
        <f>'10years'!F179-'10years'!$G179</f>
        <v>0.46132788137578928</v>
      </c>
      <c r="G179">
        <f>'10years'!H179-'10years'!$I179</f>
        <v>0</v>
      </c>
    </row>
    <row r="180" spans="1:7" x14ac:dyDescent="0.35">
      <c r="A180" s="1">
        <v>18597</v>
      </c>
      <c r="B180">
        <f>'10years'!B180-'10years'!$G180</f>
        <v>0.92888037732396289</v>
      </c>
      <c r="C180">
        <f>'10years'!C180-'10years'!$G180</f>
        <v>0.43867319443619324</v>
      </c>
      <c r="D180">
        <f>'10years'!D180-'10years'!$G180</f>
        <v>1.2069904111929797</v>
      </c>
      <c r="E180">
        <f>'10years'!E180-'10years'!$G180</f>
        <v>0.75487704930465083</v>
      </c>
      <c r="F180">
        <f>'10years'!F180-'10years'!$G180</f>
        <v>0.43142125740928461</v>
      </c>
      <c r="G180">
        <f>'10years'!H180-'10years'!$I180</f>
        <v>0</v>
      </c>
    </row>
    <row r="181" spans="1:7" x14ac:dyDescent="0.35">
      <c r="A181" s="1">
        <v>18627</v>
      </c>
      <c r="B181">
        <f>'10years'!B181-'10years'!$G181</f>
        <v>0.97178354259909971</v>
      </c>
      <c r="C181">
        <f>'10years'!C181-'10years'!$G181</f>
        <v>0.4745121810016486</v>
      </c>
      <c r="D181">
        <f>'10years'!D181-'10years'!$G181</f>
        <v>1.268084134488753</v>
      </c>
      <c r="E181">
        <f>'10years'!E181-'10years'!$G181</f>
        <v>0.81145404725570769</v>
      </c>
      <c r="F181">
        <f>'10years'!F181-'10years'!$G181</f>
        <v>0.46595489731810735</v>
      </c>
      <c r="G181">
        <f>'10years'!H181-'10years'!$I181</f>
        <v>0</v>
      </c>
    </row>
    <row r="182" spans="1:7" x14ac:dyDescent="0.35">
      <c r="A182" s="1">
        <v>18659</v>
      </c>
      <c r="B182">
        <f>'10years'!B182-'10years'!$G182</f>
        <v>1.0138340391679677</v>
      </c>
      <c r="C182">
        <f>'10years'!C182-'10years'!$G182</f>
        <v>0.51738880746330018</v>
      </c>
      <c r="D182">
        <f>'10years'!D182-'10years'!$G182</f>
        <v>1.3437806298988351</v>
      </c>
      <c r="E182">
        <f>'10years'!E182-'10years'!$G182</f>
        <v>0.88621386201199392</v>
      </c>
      <c r="F182">
        <f>'10years'!F182-'10years'!$G182</f>
        <v>0.50520014203225472</v>
      </c>
      <c r="G182">
        <f>'10years'!H182-'10years'!$I182</f>
        <v>0</v>
      </c>
    </row>
    <row r="183" spans="1:7" x14ac:dyDescent="0.35">
      <c r="A183" s="1">
        <v>18687</v>
      </c>
      <c r="B183">
        <f>'10years'!B183-'10years'!$G183</f>
        <v>1.1051075028888038</v>
      </c>
      <c r="C183">
        <f>'10years'!C183-'10years'!$G183</f>
        <v>0.60792887410859997</v>
      </c>
      <c r="D183">
        <f>'10years'!D183-'10years'!$G183</f>
        <v>1.4181784854408033</v>
      </c>
      <c r="E183">
        <f>'10years'!E183-'10years'!$G183</f>
        <v>0.96095427359442898</v>
      </c>
      <c r="F183">
        <f>'10years'!F183-'10years'!$G183</f>
        <v>0.595293633142159</v>
      </c>
      <c r="G183">
        <f>'10years'!H183-'10years'!$I183</f>
        <v>0</v>
      </c>
    </row>
    <row r="184" spans="1:7" x14ac:dyDescent="0.35">
      <c r="A184" s="1">
        <v>18718</v>
      </c>
      <c r="B184">
        <f>'10years'!B184-'10years'!$G184</f>
        <v>1.1203592489206047</v>
      </c>
      <c r="C184">
        <f>'10years'!C184-'10years'!$G184</f>
        <v>0.62112511182271213</v>
      </c>
      <c r="D184">
        <f>'10years'!D184-'10years'!$G184</f>
        <v>1.4346218711245804</v>
      </c>
      <c r="E184">
        <f>'10years'!E184-'10years'!$G184</f>
        <v>0.97530081961381665</v>
      </c>
      <c r="F184">
        <f>'10years'!F184-'10years'!$G184</f>
        <v>0.61236783045537901</v>
      </c>
      <c r="G184">
        <f>'10years'!H184-'10years'!$I184</f>
        <v>0</v>
      </c>
    </row>
    <row r="185" spans="1:7" x14ac:dyDescent="0.35">
      <c r="A185" s="1">
        <v>18748</v>
      </c>
      <c r="B185">
        <f>'10years'!B185-'10years'!$G185</f>
        <v>1.097221631836979</v>
      </c>
      <c r="C185">
        <f>'10years'!C185-'10years'!$G185</f>
        <v>0.60011426589294059</v>
      </c>
      <c r="D185">
        <f>'10years'!D185-'10years'!$G185</f>
        <v>1.3998345684744264</v>
      </c>
      <c r="E185">
        <f>'10years'!E185-'10years'!$G185</f>
        <v>0.94064590929806924</v>
      </c>
      <c r="F185">
        <f>'10years'!F185-'10years'!$G185</f>
        <v>0.59263663906633868</v>
      </c>
      <c r="G185">
        <f>'10years'!H185-'10years'!$I185</f>
        <v>0</v>
      </c>
    </row>
    <row r="186" spans="1:7" x14ac:dyDescent="0.35">
      <c r="A186" s="1">
        <v>18779</v>
      </c>
      <c r="B186">
        <f>'10years'!B186-'10years'!$G186</f>
        <v>1.1906031779971802</v>
      </c>
      <c r="C186">
        <f>'10years'!C186-'10years'!$G186</f>
        <v>0.6932407269444838</v>
      </c>
      <c r="D186">
        <f>'10years'!D186-'10years'!$G186</f>
        <v>1.4843843215403949</v>
      </c>
      <c r="E186">
        <f>'10years'!E186-'10years'!$G186</f>
        <v>1.0240597177791086</v>
      </c>
      <c r="F186">
        <f>'10years'!F186-'10years'!$G186</f>
        <v>0.68755188835601477</v>
      </c>
      <c r="G186">
        <f>'10years'!H186-'10years'!$I186</f>
        <v>0</v>
      </c>
    </row>
    <row r="187" spans="1:7" x14ac:dyDescent="0.35">
      <c r="A187" s="1">
        <v>18808</v>
      </c>
      <c r="B187">
        <f>'10years'!B187-'10years'!$G187</f>
        <v>1.1528909067742401</v>
      </c>
      <c r="C187">
        <f>'10years'!C187-'10years'!$G187</f>
        <v>0.65538999384631169</v>
      </c>
      <c r="D187">
        <f>'10years'!D187-'10years'!$G187</f>
        <v>1.4663368471435902</v>
      </c>
      <c r="E187">
        <f>'10years'!E187-'10years'!$G187</f>
        <v>1.0042268090647124</v>
      </c>
      <c r="F187">
        <f>'10years'!F187-'10years'!$G187</f>
        <v>0.64820251265265161</v>
      </c>
      <c r="G187">
        <f>'10years'!H187-'10years'!$I187</f>
        <v>0</v>
      </c>
    </row>
    <row r="188" spans="1:7" x14ac:dyDescent="0.35">
      <c r="A188" s="1">
        <v>18840</v>
      </c>
      <c r="B188">
        <f>'10years'!B188-'10years'!$G188</f>
        <v>1.0816124198215495</v>
      </c>
      <c r="C188">
        <f>'10years'!C188-'10years'!$G188</f>
        <v>0.58749829448450774</v>
      </c>
      <c r="D188">
        <f>'10years'!D188-'10years'!$G188</f>
        <v>1.3798249246763497</v>
      </c>
      <c r="E188">
        <f>'10years'!E188-'10years'!$G188</f>
        <v>0.91943865952902182</v>
      </c>
      <c r="F188">
        <f>'10years'!F188-'10years'!$G188</f>
        <v>0.5813924208372192</v>
      </c>
      <c r="G188">
        <f>'10years'!H188-'10years'!$I188</f>
        <v>0</v>
      </c>
    </row>
    <row r="189" spans="1:7" x14ac:dyDescent="0.35">
      <c r="A189" s="1">
        <v>18871</v>
      </c>
      <c r="B189">
        <f>'10years'!B189-'10years'!$G189</f>
        <v>1.0917555081711594</v>
      </c>
      <c r="C189">
        <f>'10years'!C189-'10years'!$G189</f>
        <v>0.59804689947058787</v>
      </c>
      <c r="D189">
        <f>'10years'!D189-'10years'!$G189</f>
        <v>1.3403326497320389</v>
      </c>
      <c r="E189">
        <f>'10years'!E189-'10years'!$G189</f>
        <v>0.87992339157463739</v>
      </c>
      <c r="F189">
        <f>'10years'!F189-'10years'!$G189</f>
        <v>0.59154480170569457</v>
      </c>
      <c r="G189">
        <f>'10years'!H189-'10years'!$I189</f>
        <v>0</v>
      </c>
    </row>
    <row r="190" spans="1:7" x14ac:dyDescent="0.35">
      <c r="A190" s="1">
        <v>18899</v>
      </c>
      <c r="B190">
        <f>'10years'!B190-'10years'!$G190</f>
        <v>1.1330190544258096</v>
      </c>
      <c r="C190">
        <f>'10years'!C190-'10years'!$G190</f>
        <v>0.6368786757816487</v>
      </c>
      <c r="D190">
        <f>'10years'!D190-'10years'!$G190</f>
        <v>1.3799823663009132</v>
      </c>
      <c r="E190">
        <f>'10years'!E190-'10years'!$G190</f>
        <v>0.9170581257276762</v>
      </c>
      <c r="F190">
        <f>'10years'!F190-'10years'!$G190</f>
        <v>0.63018334151273514</v>
      </c>
      <c r="G190">
        <f>'10years'!H190-'10years'!$I190</f>
        <v>0</v>
      </c>
    </row>
    <row r="191" spans="1:7" x14ac:dyDescent="0.35">
      <c r="A191" s="1">
        <v>18932</v>
      </c>
      <c r="B191">
        <f>'10years'!B191-'10years'!$G191</f>
        <v>1.1407491846217321</v>
      </c>
      <c r="C191">
        <f>'10years'!C191-'10years'!$G191</f>
        <v>0.64667932854010735</v>
      </c>
      <c r="D191">
        <f>'10years'!D191-'10years'!$G191</f>
        <v>1.4156749217256359</v>
      </c>
      <c r="E191">
        <f>'10years'!E191-'10years'!$G191</f>
        <v>0.95387977813544245</v>
      </c>
      <c r="F191">
        <f>'10years'!F191-'10years'!$G191</f>
        <v>0.63674200668305092</v>
      </c>
      <c r="G191">
        <f>'10years'!H191-'10years'!$I191</f>
        <v>0</v>
      </c>
    </row>
    <row r="192" spans="1:7" x14ac:dyDescent="0.35">
      <c r="A192" s="1">
        <v>18962</v>
      </c>
      <c r="B192">
        <f>'10years'!B192-'10years'!$G192</f>
        <v>1.1844644941491045</v>
      </c>
      <c r="C192">
        <f>'10years'!C192-'10years'!$G192</f>
        <v>0.68988522608590452</v>
      </c>
      <c r="D192">
        <f>'10years'!D192-'10years'!$G192</f>
        <v>1.4635049820540957</v>
      </c>
      <c r="E192">
        <f>'10years'!E192-'10years'!$G192</f>
        <v>1.0002889800193571</v>
      </c>
      <c r="F192">
        <f>'10years'!F192-'10years'!$G192</f>
        <v>0.68348121081886815</v>
      </c>
      <c r="G192">
        <f>'10years'!H192-'10years'!$I192</f>
        <v>0</v>
      </c>
    </row>
    <row r="193" spans="1:7" x14ac:dyDescent="0.35">
      <c r="A193" s="1">
        <v>18993</v>
      </c>
      <c r="B193">
        <f>'10years'!B193-'10years'!$G193</f>
        <v>1.214392254425952</v>
      </c>
      <c r="C193">
        <f>'10years'!C193-'10years'!$G193</f>
        <v>0.7229262514195276</v>
      </c>
      <c r="D193">
        <f>'10years'!D193-'10years'!$G193</f>
        <v>1.5187606785573258</v>
      </c>
      <c r="E193">
        <f>'10years'!E193-'10years'!$G193</f>
        <v>1.0572710768894731</v>
      </c>
      <c r="F193">
        <f>'10years'!F193-'10years'!$G193</f>
        <v>0.71648296246869725</v>
      </c>
      <c r="G193">
        <f>'10years'!H193-'10years'!$I193</f>
        <v>0</v>
      </c>
    </row>
    <row r="194" spans="1:7" x14ac:dyDescent="0.35">
      <c r="A194" s="1">
        <v>19024</v>
      </c>
      <c r="B194">
        <f>'10years'!B194-'10years'!$G194</f>
        <v>1.2815098683795876</v>
      </c>
      <c r="C194">
        <f>'10years'!C194-'10years'!$G194</f>
        <v>0.7934704626134268</v>
      </c>
      <c r="D194">
        <f>'10years'!D194-'10years'!$G194</f>
        <v>1.5951803548393482</v>
      </c>
      <c r="E194">
        <f>'10years'!E194-'10years'!$G194</f>
        <v>1.1365811960981906</v>
      </c>
      <c r="F194">
        <f>'10years'!F194-'10years'!$G194</f>
        <v>0.78635950578523328</v>
      </c>
      <c r="G194">
        <f>'10years'!H194-'10years'!$I194</f>
        <v>0</v>
      </c>
    </row>
    <row r="195" spans="1:7" x14ac:dyDescent="0.35">
      <c r="A195" s="1">
        <v>19053</v>
      </c>
      <c r="B195">
        <f>'10years'!B195-'10years'!$G195</f>
        <v>1.2767218785236234</v>
      </c>
      <c r="C195">
        <f>'10years'!C195-'10years'!$G195</f>
        <v>0.78883671497421703</v>
      </c>
      <c r="D195">
        <f>'10years'!D195-'10years'!$G195</f>
        <v>1.5296193684359527</v>
      </c>
      <c r="E195">
        <f>'10years'!E195-'10years'!$G195</f>
        <v>1.0707480582664686</v>
      </c>
      <c r="F195">
        <f>'10years'!F195-'10years'!$G195</f>
        <v>0.7867587637529927</v>
      </c>
      <c r="G195">
        <f>'10years'!H195-'10years'!$I195</f>
        <v>0</v>
      </c>
    </row>
    <row r="196" spans="1:7" x14ac:dyDescent="0.35">
      <c r="A196" s="1">
        <v>19084</v>
      </c>
      <c r="B196">
        <f>'10years'!B196-'10years'!$G196</f>
        <v>1.2692580300465788</v>
      </c>
      <c r="C196">
        <f>'10years'!C196-'10years'!$G196</f>
        <v>0.77830679485750442</v>
      </c>
      <c r="D196">
        <f>'10years'!D196-'10years'!$G196</f>
        <v>1.521200369010463</v>
      </c>
      <c r="E196">
        <f>'10years'!E196-'10years'!$G196</f>
        <v>1.0598512513840546</v>
      </c>
      <c r="F196">
        <f>'10years'!F196-'10years'!$G196</f>
        <v>0.7758935741281241</v>
      </c>
      <c r="G196">
        <f>'10years'!H196-'10years'!$I196</f>
        <v>0</v>
      </c>
    </row>
    <row r="197" spans="1:7" x14ac:dyDescent="0.35">
      <c r="A197" s="1">
        <v>19114</v>
      </c>
      <c r="B197">
        <f>'10years'!B197-'10years'!$G197</f>
        <v>1.367834222520983</v>
      </c>
      <c r="C197">
        <f>'10years'!C197-'10years'!$G197</f>
        <v>0.87973699852428555</v>
      </c>
      <c r="D197">
        <f>'10years'!D197-'10years'!$G197</f>
        <v>1.6234308889524953</v>
      </c>
      <c r="E197">
        <f>'10years'!E197-'10years'!$G197</f>
        <v>1.1646982962610266</v>
      </c>
      <c r="F197">
        <f>'10years'!F197-'10years'!$G197</f>
        <v>0.87302219406242521</v>
      </c>
      <c r="G197">
        <f>'10years'!H197-'10years'!$I197</f>
        <v>0</v>
      </c>
    </row>
    <row r="198" spans="1:7" x14ac:dyDescent="0.35">
      <c r="A198" s="1">
        <v>19143</v>
      </c>
      <c r="B198">
        <f>'10years'!B198-'10years'!$G198</f>
        <v>1.3638986094616627</v>
      </c>
      <c r="C198">
        <f>'10years'!C198-'10years'!$G198</f>
        <v>0.87623950395542982</v>
      </c>
      <c r="D198">
        <f>'10years'!D198-'10years'!$G198</f>
        <v>1.6298596771155265</v>
      </c>
      <c r="E198">
        <f>'10years'!E198-'10years'!$G198</f>
        <v>1.1728634669960063</v>
      </c>
      <c r="F198">
        <f>'10years'!F198-'10years'!$G198</f>
        <v>0.87264537559876443</v>
      </c>
      <c r="G198">
        <f>'10years'!H198-'10years'!$I198</f>
        <v>0</v>
      </c>
    </row>
    <row r="199" spans="1:7" x14ac:dyDescent="0.35">
      <c r="A199" s="1">
        <v>19175</v>
      </c>
      <c r="B199">
        <f>'10years'!B199-'10years'!$G199</f>
        <v>1.3336440809430299</v>
      </c>
      <c r="C199">
        <f>'10years'!C199-'10years'!$G199</f>
        <v>0.8456714912262735</v>
      </c>
      <c r="D199">
        <f>'10years'!D199-'10years'!$G199</f>
        <v>1.620735478542578</v>
      </c>
      <c r="E199">
        <f>'10years'!E199-'10years'!$G199</f>
        <v>1.1622711754940778</v>
      </c>
      <c r="F199">
        <f>'10years'!F199-'10years'!$G199</f>
        <v>0.83893333599314102</v>
      </c>
      <c r="G199">
        <f>'10years'!H199-'10years'!$I199</f>
        <v>0</v>
      </c>
    </row>
    <row r="200" spans="1:7" x14ac:dyDescent="0.35">
      <c r="A200" s="1">
        <v>19206</v>
      </c>
      <c r="B200">
        <f>'10years'!B200-'10years'!$G200</f>
        <v>1.3524014834475779</v>
      </c>
      <c r="C200">
        <f>'10years'!C200-'10years'!$G200</f>
        <v>0.86811131126723184</v>
      </c>
      <c r="D200">
        <f>'10years'!D200-'10years'!$G200</f>
        <v>1.6402711483783068</v>
      </c>
      <c r="E200">
        <f>'10years'!E200-'10years'!$G200</f>
        <v>1.1836556443134012</v>
      </c>
      <c r="F200">
        <f>'10years'!F200-'10years'!$G200</f>
        <v>0.86043751273026503</v>
      </c>
      <c r="G200">
        <f>'10years'!H200-'10years'!$I200</f>
        <v>0</v>
      </c>
    </row>
    <row r="201" spans="1:7" x14ac:dyDescent="0.35">
      <c r="A201" s="1">
        <v>19235</v>
      </c>
      <c r="B201">
        <f>'10years'!B201-'10years'!$G201</f>
        <v>1.3375262856589818</v>
      </c>
      <c r="C201">
        <f>'10years'!C201-'10years'!$G201</f>
        <v>0.85348347715173611</v>
      </c>
      <c r="D201">
        <f>'10years'!D201-'10years'!$G201</f>
        <v>1.6117606552843076</v>
      </c>
      <c r="E201">
        <f>'10years'!E201-'10years'!$G201</f>
        <v>1.1552049730000866</v>
      </c>
      <c r="F201">
        <f>'10years'!F201-'10years'!$G201</f>
        <v>0.84821871429559748</v>
      </c>
      <c r="G201">
        <f>'10years'!H201-'10years'!$I201</f>
        <v>0</v>
      </c>
    </row>
    <row r="202" spans="1:7" x14ac:dyDescent="0.35">
      <c r="A202" s="1">
        <v>19267</v>
      </c>
      <c r="B202">
        <f>'10years'!B202-'10years'!$G202</f>
        <v>1.3188748041850578</v>
      </c>
      <c r="C202">
        <f>'10years'!C202-'10years'!$G202</f>
        <v>0.83348368774124593</v>
      </c>
      <c r="D202">
        <f>'10years'!D202-'10years'!$G202</f>
        <v>1.5970735129395313</v>
      </c>
      <c r="E202">
        <f>'10years'!E202-'10years'!$G202</f>
        <v>1.1393008120665153</v>
      </c>
      <c r="F202">
        <f>'10years'!F202-'10years'!$G202</f>
        <v>0.82903111862379353</v>
      </c>
      <c r="G202">
        <f>'10years'!H202-'10years'!$I202</f>
        <v>0</v>
      </c>
    </row>
    <row r="203" spans="1:7" x14ac:dyDescent="0.35">
      <c r="A203" s="1">
        <v>19298</v>
      </c>
      <c r="B203">
        <f>'10years'!B203-'10years'!$G203</f>
        <v>1.2754318307794381</v>
      </c>
      <c r="C203">
        <f>'10years'!C203-'10years'!$G203</f>
        <v>0.79241743251515717</v>
      </c>
      <c r="D203">
        <f>'10years'!D203-'10years'!$G203</f>
        <v>1.5373161073544022</v>
      </c>
      <c r="E203">
        <f>'10years'!E203-'10years'!$G203</f>
        <v>1.0819425480564797</v>
      </c>
      <c r="F203">
        <f>'10years'!F203-'10years'!$G203</f>
        <v>0.78922256552916781</v>
      </c>
      <c r="G203">
        <f>'10years'!H203-'10years'!$I203</f>
        <v>0</v>
      </c>
    </row>
    <row r="204" spans="1:7" x14ac:dyDescent="0.35">
      <c r="A204" s="1">
        <v>19326</v>
      </c>
      <c r="B204">
        <f>'10years'!B204-'10years'!$G204</f>
        <v>1.2193642890149063</v>
      </c>
      <c r="C204">
        <f>'10years'!C204-'10years'!$G204</f>
        <v>0.73650599885868795</v>
      </c>
      <c r="D204">
        <f>'10years'!D204-'10years'!$G204</f>
        <v>1.4380639411106837</v>
      </c>
      <c r="E204">
        <f>'10years'!E204-'10years'!$G204</f>
        <v>0.98191294164287557</v>
      </c>
      <c r="F204">
        <f>'10years'!F204-'10years'!$G204</f>
        <v>0.73519216711375668</v>
      </c>
      <c r="G204">
        <f>'10years'!H204-'10years'!$I204</f>
        <v>0</v>
      </c>
    </row>
    <row r="205" spans="1:7" x14ac:dyDescent="0.35">
      <c r="A205" s="1">
        <v>19359</v>
      </c>
      <c r="B205">
        <f>'10years'!B205-'10years'!$G205</f>
        <v>1.2727909436316251</v>
      </c>
      <c r="C205">
        <f>'10years'!C205-'10years'!$G205</f>
        <v>0.78988747962323669</v>
      </c>
      <c r="D205">
        <f>'10years'!D205-'10years'!$G205</f>
        <v>1.5276721085413068</v>
      </c>
      <c r="E205">
        <f>'10years'!E205-'10years'!$G205</f>
        <v>1.0732214567870833</v>
      </c>
      <c r="F205">
        <f>'10years'!F205-'10years'!$G205</f>
        <v>0.78446704507369547</v>
      </c>
      <c r="G205">
        <f>'10years'!H205-'10years'!$I205</f>
        <v>0</v>
      </c>
    </row>
    <row r="206" spans="1:7" x14ac:dyDescent="0.35">
      <c r="A206" s="1">
        <v>19389</v>
      </c>
      <c r="B206">
        <f>'10years'!B206-'10years'!$G206</f>
        <v>1.2561638144063842</v>
      </c>
      <c r="C206">
        <f>'10years'!C206-'10years'!$G206</f>
        <v>0.7769679707289463</v>
      </c>
      <c r="D206">
        <f>'10years'!D206-'10years'!$G206</f>
        <v>1.5184889392841889</v>
      </c>
      <c r="E206">
        <f>'10years'!E206-'10years'!$G206</f>
        <v>1.0682084548883737</v>
      </c>
      <c r="F206">
        <f>'10years'!F206-'10years'!$G206</f>
        <v>0.7703618065883806</v>
      </c>
      <c r="G206">
        <f>'10years'!H206-'10years'!$I206</f>
        <v>0</v>
      </c>
    </row>
    <row r="207" spans="1:7" x14ac:dyDescent="0.35">
      <c r="A207" s="1">
        <v>19417</v>
      </c>
      <c r="B207">
        <f>'10years'!B207-'10years'!$G207</f>
        <v>1.1908230245499489</v>
      </c>
      <c r="C207">
        <f>'10years'!C207-'10years'!$G207</f>
        <v>0.71250926426266337</v>
      </c>
      <c r="D207">
        <f>'10years'!D207-'10years'!$G207</f>
        <v>1.420435440209457</v>
      </c>
      <c r="E207">
        <f>'10years'!E207-'10years'!$G207</f>
        <v>0.97069713517218426</v>
      </c>
      <c r="F207">
        <f>'10years'!F207-'10years'!$G207</f>
        <v>0.7051468585810643</v>
      </c>
      <c r="G207">
        <f>'10years'!H207-'10years'!$I207</f>
        <v>0</v>
      </c>
    </row>
    <row r="208" spans="1:7" x14ac:dyDescent="0.35">
      <c r="A208" s="1">
        <v>19449</v>
      </c>
      <c r="B208">
        <f>'10years'!B208-'10years'!$G208</f>
        <v>1.1355716252022343</v>
      </c>
      <c r="C208">
        <f>'10years'!C208-'10years'!$G208</f>
        <v>0.65342209656788852</v>
      </c>
      <c r="D208">
        <f>'10years'!D208-'10years'!$G208</f>
        <v>1.3218066223012117</v>
      </c>
      <c r="E208">
        <f>'10years'!E208-'10years'!$G208</f>
        <v>0.86928537547281493</v>
      </c>
      <c r="F208">
        <f>'10years'!F208-'10years'!$G208</f>
        <v>0.64736895459074151</v>
      </c>
      <c r="G208">
        <f>'10years'!H208-'10years'!$I208</f>
        <v>0</v>
      </c>
    </row>
    <row r="209" spans="1:7" x14ac:dyDescent="0.35">
      <c r="A209" s="1">
        <v>19479</v>
      </c>
      <c r="B209">
        <f>'10years'!B209-'10years'!$G209</f>
        <v>1.0667050759151298</v>
      </c>
      <c r="C209">
        <f>'10years'!C209-'10years'!$G209</f>
        <v>0.58644099563676</v>
      </c>
      <c r="D209">
        <f>'10years'!D209-'10years'!$G209</f>
        <v>1.2331192921435796</v>
      </c>
      <c r="E209">
        <f>'10years'!E209-'10years'!$G209</f>
        <v>0.78140442757588136</v>
      </c>
      <c r="F209">
        <f>'10years'!F209-'10years'!$G209</f>
        <v>0.58304679345382193</v>
      </c>
      <c r="G209">
        <f>'10years'!H209-'10years'!$I209</f>
        <v>0</v>
      </c>
    </row>
    <row r="210" spans="1:7" x14ac:dyDescent="0.35">
      <c r="A210" s="1">
        <v>19508</v>
      </c>
      <c r="B210">
        <f>'10years'!B210-'10years'!$G210</f>
        <v>1.0410248294346556</v>
      </c>
      <c r="C210">
        <f>'10years'!C210-'10years'!$G210</f>
        <v>0.56061559757164514</v>
      </c>
      <c r="D210">
        <f>'10years'!D210-'10years'!$G210</f>
        <v>1.1706584562354847</v>
      </c>
      <c r="E210">
        <f>'10years'!E210-'10years'!$G210</f>
        <v>0.71833580203687331</v>
      </c>
      <c r="F210">
        <f>'10years'!F210-'10years'!$G210</f>
        <v>0.55874335971427525</v>
      </c>
      <c r="G210">
        <f>'10years'!H210-'10years'!$I210</f>
        <v>0</v>
      </c>
    </row>
    <row r="211" spans="1:7" x14ac:dyDescent="0.35">
      <c r="A211" s="1">
        <v>19540</v>
      </c>
      <c r="B211">
        <f>'10years'!B211-'10years'!$G211</f>
        <v>1.0028336768182042</v>
      </c>
      <c r="C211">
        <f>'10years'!C211-'10years'!$G211</f>
        <v>0.51975810475172168</v>
      </c>
      <c r="D211">
        <f>'10years'!D211-'10years'!$G211</f>
        <v>1.1196408333990935</v>
      </c>
      <c r="E211">
        <f>'10years'!E211-'10years'!$G211</f>
        <v>0.66525884424660764</v>
      </c>
      <c r="F211">
        <f>'10years'!F211-'10years'!$G211</f>
        <v>0.51807978449113201</v>
      </c>
      <c r="G211">
        <f>'10years'!H211-'10years'!$I211</f>
        <v>0</v>
      </c>
    </row>
    <row r="212" spans="1:7" x14ac:dyDescent="0.35">
      <c r="A212" s="1">
        <v>19571</v>
      </c>
      <c r="B212">
        <f>'10years'!B212-'10years'!$G212</f>
        <v>0.97144686190466256</v>
      </c>
      <c r="C212">
        <f>'10years'!C212-'10years'!$G212</f>
        <v>0.49062209151823932</v>
      </c>
      <c r="D212">
        <f>'10years'!D212-'10years'!$G212</f>
        <v>1.0951509543965567</v>
      </c>
      <c r="E212">
        <f>'10years'!E212-'10years'!$G212</f>
        <v>0.64175712650544359</v>
      </c>
      <c r="F212">
        <f>'10years'!F212-'10years'!$G212</f>
        <v>0.48664274440139454</v>
      </c>
      <c r="G212">
        <f>'10years'!H212-'10years'!$I212</f>
        <v>0</v>
      </c>
    </row>
    <row r="213" spans="1:7" x14ac:dyDescent="0.35">
      <c r="A213" s="1">
        <v>19602</v>
      </c>
      <c r="B213">
        <f>'10years'!B213-'10years'!$G213</f>
        <v>1.0382904471197041</v>
      </c>
      <c r="C213">
        <f>'10years'!C213-'10years'!$G213</f>
        <v>0.55695644566343572</v>
      </c>
      <c r="D213">
        <f>'10years'!D213-'10years'!$G213</f>
        <v>1.1713584806480981</v>
      </c>
      <c r="E213">
        <f>'10years'!E213-'10years'!$G213</f>
        <v>0.71701335979469261</v>
      </c>
      <c r="F213">
        <f>'10years'!F213-'10years'!$G213</f>
        <v>0.55333363894908172</v>
      </c>
      <c r="G213">
        <f>'10years'!H213-'10years'!$I213</f>
        <v>0</v>
      </c>
    </row>
    <row r="214" spans="1:7" x14ac:dyDescent="0.35">
      <c r="A214" s="1">
        <v>19632</v>
      </c>
      <c r="B214">
        <f>'10years'!B214-'10years'!$G214</f>
        <v>0.98028778259795923</v>
      </c>
      <c r="C214">
        <f>'10years'!C214-'10years'!$G214</f>
        <v>0.49489067424777633</v>
      </c>
      <c r="D214">
        <f>'10years'!D214-'10years'!$G214</f>
        <v>1.1175044839697488</v>
      </c>
      <c r="E214">
        <f>'10years'!E214-'10years'!$G214</f>
        <v>0.66048073250391393</v>
      </c>
      <c r="F214">
        <f>'10years'!F214-'10years'!$G214</f>
        <v>0.49373085632385272</v>
      </c>
      <c r="G214">
        <f>'10years'!H214-'10years'!$I214</f>
        <v>0</v>
      </c>
    </row>
    <row r="215" spans="1:7" x14ac:dyDescent="0.35">
      <c r="A215" s="1">
        <v>19662</v>
      </c>
      <c r="B215">
        <f>'10years'!B215-'10years'!$G215</f>
        <v>0.95821953931238135</v>
      </c>
      <c r="C215">
        <f>'10years'!C215-'10years'!$G215</f>
        <v>0.47455818715224507</v>
      </c>
      <c r="D215">
        <f>'10years'!D215-'10years'!$G215</f>
        <v>1.0803657013126398</v>
      </c>
      <c r="E215">
        <f>'10years'!E215-'10years'!$G215</f>
        <v>0.62374808168121221</v>
      </c>
      <c r="F215">
        <f>'10years'!F215-'10years'!$G215</f>
        <v>0.47408931046641212</v>
      </c>
      <c r="G215">
        <f>'10years'!H215-'10years'!$I215</f>
        <v>0</v>
      </c>
    </row>
    <row r="216" spans="1:7" x14ac:dyDescent="0.35">
      <c r="A216" s="1">
        <v>19693</v>
      </c>
      <c r="B216">
        <f>'10years'!B216-'10years'!$G216</f>
        <v>1.0091851059750192</v>
      </c>
      <c r="C216">
        <f>'10years'!C216-'10years'!$G216</f>
        <v>0.52500745241051994</v>
      </c>
      <c r="D216">
        <f>'10years'!D216-'10years'!$G216</f>
        <v>1.1160480389640461</v>
      </c>
      <c r="E216">
        <f>'10years'!E216-'10years'!$G216</f>
        <v>0.65858588501025461</v>
      </c>
      <c r="F216">
        <f>'10years'!F216-'10years'!$G216</f>
        <v>0.52609530542518956</v>
      </c>
      <c r="G216">
        <f>'10years'!H216-'10years'!$I216</f>
        <v>0</v>
      </c>
    </row>
    <row r="217" spans="1:7" x14ac:dyDescent="0.35">
      <c r="A217" s="1">
        <v>19724</v>
      </c>
      <c r="B217">
        <f>'10years'!B217-'10years'!$G217</f>
        <v>1.0870399156856394</v>
      </c>
      <c r="C217">
        <f>'10years'!C217-'10years'!$G217</f>
        <v>0.60090399327370503</v>
      </c>
      <c r="D217">
        <f>'10years'!D217-'10years'!$G217</f>
        <v>1.2300742656686572</v>
      </c>
      <c r="E217">
        <f>'10years'!E217-'10years'!$G217</f>
        <v>0.77441492785619315</v>
      </c>
      <c r="F217">
        <f>'10years'!F217-'10years'!$G217</f>
        <v>0.5989948259273794</v>
      </c>
      <c r="G217">
        <f>'10years'!H217-'10years'!$I217</f>
        <v>0</v>
      </c>
    </row>
    <row r="218" spans="1:7" x14ac:dyDescent="0.35">
      <c r="A218" s="1">
        <v>19753</v>
      </c>
      <c r="B218">
        <f>'10years'!B218-'10years'!$G218</f>
        <v>1.0303863158355651</v>
      </c>
      <c r="C218">
        <f>'10years'!C218-'10years'!$G218</f>
        <v>0.54608628207551058</v>
      </c>
      <c r="D218">
        <f>'10years'!D218-'10years'!$G218</f>
        <v>1.1391759581172354</v>
      </c>
      <c r="E218">
        <f>'10years'!E218-'10years'!$G218</f>
        <v>0.68332038557230779</v>
      </c>
      <c r="F218">
        <f>'10years'!F218-'10years'!$G218</f>
        <v>0.5517835170400851</v>
      </c>
      <c r="G218">
        <f>'10years'!H218-'10years'!$I218</f>
        <v>0</v>
      </c>
    </row>
    <row r="219" spans="1:7" x14ac:dyDescent="0.35">
      <c r="A219" s="1">
        <v>19781</v>
      </c>
      <c r="B219">
        <f>'10years'!B219-'10years'!$G219</f>
        <v>1.0580736637127486</v>
      </c>
      <c r="C219">
        <f>'10years'!C219-'10years'!$G219</f>
        <v>0.57400196352663135</v>
      </c>
      <c r="D219">
        <f>'10years'!D219-'10years'!$G219</f>
        <v>1.1531759444800493</v>
      </c>
      <c r="E219">
        <f>'10years'!E219-'10years'!$G219</f>
        <v>0.69750135890526588</v>
      </c>
      <c r="F219">
        <f>'10years'!F219-'10years'!$G219</f>
        <v>0.58014333260093975</v>
      </c>
      <c r="G219">
        <f>'10years'!H219-'10years'!$I219</f>
        <v>0</v>
      </c>
    </row>
    <row r="220" spans="1:7" x14ac:dyDescent="0.35">
      <c r="A220" s="1">
        <v>19814</v>
      </c>
      <c r="B220">
        <f>'10years'!B220-'10years'!$G220</f>
        <v>1.0631041433715562</v>
      </c>
      <c r="C220">
        <f>'10years'!C220-'10years'!$G220</f>
        <v>0.57542257448108169</v>
      </c>
      <c r="D220">
        <f>'10years'!D220-'10years'!$G220</f>
        <v>1.139042644460402</v>
      </c>
      <c r="E220">
        <f>'10years'!E220-'10years'!$G220</f>
        <v>0.68045734216470222</v>
      </c>
      <c r="F220">
        <f>'10years'!F220-'10years'!$G220</f>
        <v>0.58417568155776833</v>
      </c>
      <c r="G220">
        <f>'10years'!H220-'10years'!$I220</f>
        <v>0</v>
      </c>
    </row>
    <row r="221" spans="1:7" x14ac:dyDescent="0.35">
      <c r="A221" s="1">
        <v>19844</v>
      </c>
      <c r="B221">
        <f>'10years'!B221-'10years'!$G221</f>
        <v>1.0701623856026186</v>
      </c>
      <c r="C221">
        <f>'10years'!C221-'10years'!$G221</f>
        <v>0.58402260335643197</v>
      </c>
      <c r="D221">
        <f>'10years'!D221-'10years'!$G221</f>
        <v>1.1314076719190544</v>
      </c>
      <c r="E221">
        <f>'10years'!E221-'10years'!$G221</f>
        <v>0.67316660964930586</v>
      </c>
      <c r="F221">
        <f>'10years'!F221-'10years'!$G221</f>
        <v>0.594553866005326</v>
      </c>
      <c r="G221">
        <f>'10years'!H221-'10years'!$I221</f>
        <v>0</v>
      </c>
    </row>
    <row r="222" spans="1:7" x14ac:dyDescent="0.35">
      <c r="A222" s="1">
        <v>19872</v>
      </c>
      <c r="B222">
        <f>'10years'!B222-'10years'!$G222</f>
        <v>1.1200127200771333</v>
      </c>
      <c r="C222">
        <f>'10years'!C222-'10years'!$G222</f>
        <v>0.63351061992433633</v>
      </c>
      <c r="D222">
        <f>'10years'!D222-'10years'!$G222</f>
        <v>1.1752289261207844</v>
      </c>
      <c r="E222">
        <f>'10years'!E222-'10years'!$G222</f>
        <v>0.71596401753184336</v>
      </c>
      <c r="F222">
        <f>'10years'!F222-'10years'!$G222</f>
        <v>0.64472387046114865</v>
      </c>
      <c r="G222">
        <f>'10years'!H222-'10years'!$I222</f>
        <v>0</v>
      </c>
    </row>
    <row r="223" spans="1:7" x14ac:dyDescent="0.35">
      <c r="A223" s="1">
        <v>19905</v>
      </c>
      <c r="B223">
        <f>'10years'!B223-'10years'!$G223</f>
        <v>1.1149496022081902</v>
      </c>
      <c r="C223">
        <f>'10years'!C223-'10years'!$G223</f>
        <v>0.62746469215357603</v>
      </c>
      <c r="D223">
        <f>'10years'!D223-'10years'!$G223</f>
        <v>1.1678030365417342</v>
      </c>
      <c r="E223">
        <f>'10years'!E223-'10years'!$G223</f>
        <v>0.7073816488648994</v>
      </c>
      <c r="F223">
        <f>'10years'!F223-'10years'!$G223</f>
        <v>0.63845469329821558</v>
      </c>
      <c r="G223">
        <f>'10years'!H223-'10years'!$I223</f>
        <v>0</v>
      </c>
    </row>
    <row r="224" spans="1:7" x14ac:dyDescent="0.35">
      <c r="A224" s="1">
        <v>19935</v>
      </c>
      <c r="B224">
        <f>'10years'!B224-'10years'!$G224</f>
        <v>1.0719675495901781</v>
      </c>
      <c r="C224">
        <f>'10years'!C224-'10years'!$G224</f>
        <v>0.58690027195231531</v>
      </c>
      <c r="D224">
        <f>'10years'!D224-'10years'!$G224</f>
        <v>1.1160841520440701</v>
      </c>
      <c r="E224">
        <f>'10years'!E224-'10years'!$G224</f>
        <v>0.65656571738821112</v>
      </c>
      <c r="F224">
        <f>'10years'!F224-'10years'!$G224</f>
        <v>0.59701969047871506</v>
      </c>
      <c r="G224">
        <f>'10years'!H224-'10years'!$I224</f>
        <v>0</v>
      </c>
    </row>
    <row r="225" spans="1:7" x14ac:dyDescent="0.35">
      <c r="A225" s="1">
        <v>19967</v>
      </c>
      <c r="B225">
        <f>'10years'!B225-'10years'!$G225</f>
        <v>1.1364726358763324</v>
      </c>
      <c r="C225">
        <f>'10years'!C225-'10years'!$G225</f>
        <v>0.65135744196105705</v>
      </c>
      <c r="D225">
        <f>'10years'!D225-'10years'!$G225</f>
        <v>1.1751784284743696</v>
      </c>
      <c r="E225">
        <f>'10years'!E225-'10years'!$G225</f>
        <v>0.71533770302949851</v>
      </c>
      <c r="F225">
        <f>'10years'!F225-'10years'!$G225</f>
        <v>0.6611481229580809</v>
      </c>
      <c r="G225">
        <f>'10years'!H225-'10years'!$I225</f>
        <v>0</v>
      </c>
    </row>
    <row r="226" spans="1:7" x14ac:dyDescent="0.35">
      <c r="A226" s="1">
        <v>19997</v>
      </c>
      <c r="B226">
        <f>'10years'!B226-'10years'!$G226</f>
        <v>1.1018673706455393</v>
      </c>
      <c r="C226">
        <f>'10years'!C226-'10years'!$G226</f>
        <v>0.61463674713112737</v>
      </c>
      <c r="D226">
        <f>'10years'!D226-'10years'!$G226</f>
        <v>1.131138617524776</v>
      </c>
      <c r="E226">
        <f>'10years'!E226-'10years'!$G226</f>
        <v>0.66924538399656597</v>
      </c>
      <c r="F226">
        <f>'10years'!F226-'10years'!$G226</f>
        <v>0.62470370361364025</v>
      </c>
      <c r="G226">
        <f>'10years'!H226-'10years'!$I226</f>
        <v>-2.2276869241477648E-2</v>
      </c>
    </row>
    <row r="227" spans="1:7" x14ac:dyDescent="0.35">
      <c r="A227" s="1">
        <v>20026</v>
      </c>
      <c r="B227">
        <f>'10years'!B227-'10years'!$G227</f>
        <v>1.1687178949810038</v>
      </c>
      <c r="C227">
        <f>'10years'!C227-'10years'!$G227</f>
        <v>0.68195211465890782</v>
      </c>
      <c r="D227">
        <f>'10years'!D227-'10years'!$G227</f>
        <v>1.1762797673709755</v>
      </c>
      <c r="E227">
        <f>'10years'!E227-'10years'!$G227</f>
        <v>0.71368700942739483</v>
      </c>
      <c r="F227">
        <f>'10years'!F227-'10years'!$G227</f>
        <v>0.69377385772657152</v>
      </c>
      <c r="G227">
        <f>'10years'!H227-'10years'!$I227</f>
        <v>4.3042562860540201E-2</v>
      </c>
    </row>
    <row r="228" spans="1:7" x14ac:dyDescent="0.35">
      <c r="A228" s="1">
        <v>20058</v>
      </c>
      <c r="B228">
        <f>'10years'!B228-'10years'!$G228</f>
        <v>1.1511119771948004</v>
      </c>
      <c r="C228">
        <f>'10years'!C228-'10years'!$G228</f>
        <v>0.66491684590726363</v>
      </c>
      <c r="D228">
        <f>'10years'!D228-'10years'!$G228</f>
        <v>1.1751053881420988</v>
      </c>
      <c r="E228">
        <f>'10years'!E228-'10years'!$G228</f>
        <v>0.71267607924956744</v>
      </c>
      <c r="F228">
        <f>'10years'!F228-'10years'!$G228</f>
        <v>0.67689458451574547</v>
      </c>
      <c r="G228">
        <f>'10years'!H228-'10years'!$I228</f>
        <v>2.7430653672966265E-2</v>
      </c>
    </row>
    <row r="229" spans="1:7" x14ac:dyDescent="0.35">
      <c r="A229" s="1">
        <v>20089</v>
      </c>
      <c r="B229">
        <f>'10years'!B229-'10years'!$G229</f>
        <v>1.2135379459618072</v>
      </c>
      <c r="C229">
        <f>'10years'!C229-'10years'!$G229</f>
        <v>0.72651383570435701</v>
      </c>
      <c r="D229">
        <f>'10years'!D229-'10years'!$G229</f>
        <v>1.2505161347651343</v>
      </c>
      <c r="E229">
        <f>'10years'!E229-'10years'!$G229</f>
        <v>0.78839398728308741</v>
      </c>
      <c r="F229">
        <f>'10years'!F229-'10years'!$G229</f>
        <v>0.73862545614954467</v>
      </c>
      <c r="G229">
        <f>'10years'!H229-'10years'!$I229</f>
        <v>0.10320093412479192</v>
      </c>
    </row>
    <row r="230" spans="1:7" x14ac:dyDescent="0.35">
      <c r="A230" s="1">
        <v>20120</v>
      </c>
      <c r="B230">
        <f>'10years'!B230-'10years'!$G230</f>
        <v>1.2206712960003396</v>
      </c>
      <c r="C230">
        <f>'10years'!C230-'10years'!$G230</f>
        <v>0.73508950938432127</v>
      </c>
      <c r="D230">
        <f>'10years'!D230-'10years'!$G230</f>
        <v>1.2487822627940326</v>
      </c>
      <c r="E230">
        <f>'10years'!E230-'10years'!$G230</f>
        <v>0.78706681214037788</v>
      </c>
      <c r="F230">
        <f>'10years'!F230-'10years'!$G230</f>
        <v>0.75079371997927913</v>
      </c>
      <c r="G230">
        <f>'10years'!H230-'10years'!$I230</f>
        <v>0.14664693814108176</v>
      </c>
    </row>
    <row r="231" spans="1:7" x14ac:dyDescent="0.35">
      <c r="A231" s="1">
        <v>20148</v>
      </c>
      <c r="B231">
        <f>'10years'!B231-'10years'!$G231</f>
        <v>1.2253794053017979</v>
      </c>
      <c r="C231">
        <f>'10years'!C231-'10years'!$G231</f>
        <v>0.74030061890823107</v>
      </c>
      <c r="D231">
        <f>'10years'!D231-'10years'!$G231</f>
        <v>1.232065302525988</v>
      </c>
      <c r="E231">
        <f>'10years'!E231-'10years'!$G231</f>
        <v>0.77111613465194062</v>
      </c>
      <c r="F231">
        <f>'10years'!F231-'10years'!$G231</f>
        <v>0.75347409770277918</v>
      </c>
      <c r="G231">
        <f>'10years'!H231-'10years'!$I231</f>
        <v>0.16093316889973508</v>
      </c>
    </row>
    <row r="232" spans="1:7" x14ac:dyDescent="0.35">
      <c r="A232" s="1">
        <v>20179</v>
      </c>
      <c r="B232">
        <f>'10years'!B232-'10years'!$G232</f>
        <v>1.1794290847751761</v>
      </c>
      <c r="C232">
        <f>'10years'!C232-'10years'!$G232</f>
        <v>0.69248659687331138</v>
      </c>
      <c r="D232">
        <f>'10years'!D232-'10years'!$G232</f>
        <v>1.1809859960401754</v>
      </c>
      <c r="E232">
        <f>'10years'!E232-'10years'!$G232</f>
        <v>0.71895261972434632</v>
      </c>
      <c r="F232">
        <f>'10years'!F232-'10years'!$G232</f>
        <v>0.70561697499767106</v>
      </c>
      <c r="G232">
        <f>'10years'!H232-'10years'!$I232</f>
        <v>0.17139626750395376</v>
      </c>
    </row>
    <row r="233" spans="1:7" x14ac:dyDescent="0.35">
      <c r="A233" s="1">
        <v>20208</v>
      </c>
      <c r="B233">
        <f>'10years'!B233-'10years'!$G233</f>
        <v>1.212788944127096</v>
      </c>
      <c r="C233">
        <f>'10years'!C233-'10years'!$G233</f>
        <v>0.72722920972324512</v>
      </c>
      <c r="D233">
        <f>'10years'!D233-'10years'!$G233</f>
        <v>1.2089690024424387</v>
      </c>
      <c r="E233">
        <f>'10years'!E233-'10years'!$G233</f>
        <v>0.74659548880805437</v>
      </c>
      <c r="F233">
        <f>'10years'!F233-'10years'!$G233</f>
        <v>0.74050618524664702</v>
      </c>
      <c r="G233">
        <f>'10years'!H233-'10years'!$I233</f>
        <v>0.1686911505276889</v>
      </c>
    </row>
    <row r="234" spans="1:7" x14ac:dyDescent="0.35">
      <c r="A234" s="1">
        <v>20240</v>
      </c>
      <c r="B234">
        <f>'10years'!B234-'10years'!$G234</f>
        <v>1.1720304726975688</v>
      </c>
      <c r="C234">
        <f>'10years'!C234-'10years'!$G234</f>
        <v>0.68670511922298272</v>
      </c>
      <c r="D234">
        <f>'10years'!D234-'10years'!$G234</f>
        <v>1.1459466041106119</v>
      </c>
      <c r="E234">
        <f>'10years'!E234-'10years'!$G234</f>
        <v>0.68363080111784869</v>
      </c>
      <c r="F234">
        <f>'10years'!F234-'10years'!$G234</f>
        <v>0.70018722574075309</v>
      </c>
      <c r="G234">
        <f>'10years'!H234-'10years'!$I234</f>
        <v>0.20047890813961189</v>
      </c>
    </row>
    <row r="235" spans="1:7" x14ac:dyDescent="0.35">
      <c r="A235" s="1">
        <v>20270</v>
      </c>
      <c r="B235">
        <f>'10years'!B235-'10years'!$G235</f>
        <v>1.1597800285152959</v>
      </c>
      <c r="C235">
        <f>'10years'!C235-'10years'!$G235</f>
        <v>0.67517391442977859</v>
      </c>
      <c r="D235">
        <f>'10years'!D235-'10years'!$G235</f>
        <v>1.1291477066658406</v>
      </c>
      <c r="E235">
        <f>'10years'!E235-'10years'!$G235</f>
        <v>0.66681966355353728</v>
      </c>
      <c r="F235">
        <f>'10years'!F235-'10years'!$G235</f>
        <v>0.6885956477181332</v>
      </c>
      <c r="G235">
        <f>'10years'!H235-'10years'!$I235</f>
        <v>0.20466918557613401</v>
      </c>
    </row>
    <row r="236" spans="1:7" x14ac:dyDescent="0.35">
      <c r="A236" s="1">
        <v>20299</v>
      </c>
      <c r="B236">
        <f>'10years'!B236-'10years'!$G236</f>
        <v>1.2230591555656118</v>
      </c>
      <c r="C236">
        <f>'10years'!C236-'10years'!$G236</f>
        <v>0.73896642036800642</v>
      </c>
      <c r="D236">
        <f>'10years'!D236-'10years'!$G236</f>
        <v>1.1157736194845531</v>
      </c>
      <c r="E236">
        <f>'10years'!E236-'10years'!$G236</f>
        <v>0.65283112130766496</v>
      </c>
      <c r="F236">
        <f>'10years'!F236-'10years'!$G236</f>
        <v>0.75715541667319708</v>
      </c>
      <c r="G236">
        <f>'10years'!H236-'10years'!$I236</f>
        <v>0.26913896574742857</v>
      </c>
    </row>
    <row r="237" spans="1:7" x14ac:dyDescent="0.35">
      <c r="A237" s="1">
        <v>20332</v>
      </c>
      <c r="B237">
        <f>'10years'!B237-'10years'!$G237</f>
        <v>1.2881843195163072</v>
      </c>
      <c r="C237">
        <f>'10years'!C237-'10years'!$G237</f>
        <v>0.80412605177081642</v>
      </c>
      <c r="D237">
        <f>'10years'!D237-'10years'!$G237</f>
        <v>1.1478572779495393</v>
      </c>
      <c r="E237">
        <f>'10years'!E237-'10years'!$G237</f>
        <v>0.68455786847997513</v>
      </c>
      <c r="F237">
        <f>'10years'!F237-'10years'!$G237</f>
        <v>0.8231165852316551</v>
      </c>
      <c r="G237">
        <f>'10years'!H237-'10years'!$I237</f>
        <v>0.31514831914460917</v>
      </c>
    </row>
    <row r="238" spans="1:7" x14ac:dyDescent="0.35">
      <c r="A238" s="1">
        <v>20362</v>
      </c>
      <c r="B238">
        <f>'10years'!B238-'10years'!$G238</f>
        <v>1.2374633298485842</v>
      </c>
      <c r="C238">
        <f>'10years'!C238-'10years'!$G238</f>
        <v>0.75180314989536634</v>
      </c>
      <c r="D238">
        <f>'10years'!D238-'10years'!$G238</f>
        <v>1.1129731987632978</v>
      </c>
      <c r="E238">
        <f>'10years'!E238-'10years'!$G238</f>
        <v>0.64878622039806477</v>
      </c>
      <c r="F238">
        <f>'10years'!F238-'10years'!$G238</f>
        <v>0.76806065978737004</v>
      </c>
      <c r="G238">
        <f>'10years'!H238-'10years'!$I238</f>
        <v>0.31327784821550964</v>
      </c>
    </row>
    <row r="239" spans="1:7" x14ac:dyDescent="0.35">
      <c r="A239" s="1">
        <v>20393</v>
      </c>
      <c r="B239">
        <f>'10years'!B239-'10years'!$G239</f>
        <v>1.2075985157515896</v>
      </c>
      <c r="C239">
        <f>'10years'!C239-'10years'!$G239</f>
        <v>0.72300317347189735</v>
      </c>
      <c r="D239">
        <f>'10years'!D239-'10years'!$G239</f>
        <v>1.0350422404879429</v>
      </c>
      <c r="E239">
        <f>'10years'!E239-'10years'!$G239</f>
        <v>0.57047680583668892</v>
      </c>
      <c r="F239">
        <f>'10years'!F239-'10years'!$G239</f>
        <v>0.74196419641153155</v>
      </c>
      <c r="G239">
        <f>'10years'!H239-'10years'!$I239</f>
        <v>0.32131580085119626</v>
      </c>
    </row>
    <row r="240" spans="1:7" x14ac:dyDescent="0.35">
      <c r="A240" s="1">
        <v>20423</v>
      </c>
      <c r="B240">
        <f>'10years'!B240-'10years'!$G240</f>
        <v>1.1546371932356263</v>
      </c>
      <c r="C240">
        <f>'10years'!C240-'10years'!$G240</f>
        <v>0.67060507939246827</v>
      </c>
      <c r="D240">
        <f>'10years'!D240-'10years'!$G240</f>
        <v>0.96714369606400608</v>
      </c>
      <c r="E240">
        <f>'10years'!E240-'10years'!$G240</f>
        <v>0.50271474206364397</v>
      </c>
      <c r="F240">
        <f>'10years'!F240-'10years'!$G240</f>
        <v>0.68965279570118598</v>
      </c>
      <c r="G240">
        <f>'10years'!H240-'10years'!$I240</f>
        <v>0.29395230831825714</v>
      </c>
    </row>
    <row r="241" spans="1:7" x14ac:dyDescent="0.35">
      <c r="A241" s="1">
        <v>20453</v>
      </c>
      <c r="B241">
        <f>'10years'!B241-'10years'!$G241</f>
        <v>1.1873214452414966</v>
      </c>
      <c r="C241">
        <f>'10years'!C241-'10years'!$G241</f>
        <v>0.7008022820066635</v>
      </c>
      <c r="D241">
        <f>'10years'!D241-'10years'!$G241</f>
        <v>0.96358080290590631</v>
      </c>
      <c r="E241">
        <f>'10years'!E241-'10years'!$G241</f>
        <v>0.49807168052977757</v>
      </c>
      <c r="F241">
        <f>'10years'!F241-'10years'!$G241</f>
        <v>0.7222410983031009</v>
      </c>
      <c r="G241">
        <f>'10years'!H241-'10years'!$I241</f>
        <v>0.36292099740611317</v>
      </c>
    </row>
    <row r="242" spans="1:7" x14ac:dyDescent="0.35">
      <c r="A242" s="1">
        <v>20485</v>
      </c>
      <c r="B242">
        <f>'10years'!B242-'10years'!$G242</f>
        <v>1.1764784188081492</v>
      </c>
      <c r="C242">
        <f>'10years'!C242-'10years'!$G242</f>
        <v>0.69078449527051577</v>
      </c>
      <c r="D242">
        <f>'10years'!D242-'10years'!$G242</f>
        <v>0.96021855009438517</v>
      </c>
      <c r="E242">
        <f>'10years'!E242-'10years'!$G242</f>
        <v>0.49428847755073302</v>
      </c>
      <c r="F242">
        <f>'10years'!F242-'10years'!$G242</f>
        <v>0.71218216533715206</v>
      </c>
      <c r="G242">
        <f>'10years'!H242-'10years'!$I242</f>
        <v>0.36116473816802941</v>
      </c>
    </row>
    <row r="243" spans="1:7" x14ac:dyDescent="0.35">
      <c r="A243" s="1">
        <v>20514</v>
      </c>
      <c r="B243">
        <f>'10years'!B243-'10years'!$G243</f>
        <v>1.0881484002941764</v>
      </c>
      <c r="C243">
        <f>'10years'!C243-'10years'!$G243</f>
        <v>0.60258367975590899</v>
      </c>
      <c r="D243">
        <f>'10years'!D243-'10years'!$G243</f>
        <v>0.85868611081515533</v>
      </c>
      <c r="E243">
        <f>'10years'!E243-'10years'!$G243</f>
        <v>0.39274760677653431</v>
      </c>
      <c r="F243">
        <f>'10years'!F243-'10years'!$G243</f>
        <v>0.62284015178365548</v>
      </c>
      <c r="G243">
        <f>'10years'!H243-'10years'!$I243</f>
        <v>0.32949106220883095</v>
      </c>
    </row>
    <row r="244" spans="1:7" x14ac:dyDescent="0.35">
      <c r="A244" s="1">
        <v>20543</v>
      </c>
      <c r="B244">
        <f>'10years'!B244-'10years'!$G244</f>
        <v>1.177897578503645</v>
      </c>
      <c r="C244">
        <f>'10years'!C244-'10years'!$G244</f>
        <v>0.69043644758227107</v>
      </c>
      <c r="D244">
        <f>'10years'!D244-'10years'!$G244</f>
        <v>0.9496123505591092</v>
      </c>
      <c r="E244">
        <f>'10years'!E244-'10years'!$G244</f>
        <v>0.48115567914981949</v>
      </c>
      <c r="F244">
        <f>'10years'!F244-'10years'!$G244</f>
        <v>0.71060967176611034</v>
      </c>
      <c r="G244">
        <f>'10years'!H244-'10years'!$I244</f>
        <v>0.36183154239823878</v>
      </c>
    </row>
    <row r="245" spans="1:7" x14ac:dyDescent="0.35">
      <c r="A245" s="1">
        <v>20575</v>
      </c>
      <c r="B245">
        <f>'10years'!B245-'10years'!$G245</f>
        <v>1.1937835561211707</v>
      </c>
      <c r="C245">
        <f>'10years'!C245-'10years'!$G245</f>
        <v>0.70775805122336832</v>
      </c>
      <c r="D245">
        <f>'10years'!D245-'10years'!$G245</f>
        <v>0.9512944405242485</v>
      </c>
      <c r="E245">
        <f>'10years'!E245-'10years'!$G245</f>
        <v>0.48263065301069163</v>
      </c>
      <c r="F245">
        <f>'10years'!F245-'10years'!$G245</f>
        <v>0.72783807173278481</v>
      </c>
      <c r="G245">
        <f>'10years'!H245-'10years'!$I245</f>
        <v>0.41744794548299602</v>
      </c>
    </row>
    <row r="246" spans="1:7" x14ac:dyDescent="0.35">
      <c r="A246" s="1">
        <v>20606</v>
      </c>
      <c r="B246">
        <f>'10years'!B246-'10years'!$G246</f>
        <v>1.16228094319513</v>
      </c>
      <c r="C246">
        <f>'10years'!C246-'10years'!$G246</f>
        <v>0.67658229286278537</v>
      </c>
      <c r="D246">
        <f>'10years'!D246-'10years'!$G246</f>
        <v>0.92142021451880129</v>
      </c>
      <c r="E246">
        <f>'10years'!E246-'10years'!$G246</f>
        <v>0.45252732983796307</v>
      </c>
      <c r="F246">
        <f>'10years'!F246-'10years'!$G246</f>
        <v>0.69376544657773564</v>
      </c>
      <c r="G246">
        <f>'10years'!H246-'10years'!$I246</f>
        <v>0.41532732453335441</v>
      </c>
    </row>
    <row r="247" spans="1:7" x14ac:dyDescent="0.35">
      <c r="A247" s="1">
        <v>20635</v>
      </c>
      <c r="B247">
        <f>'10years'!B247-'10years'!$G247</f>
        <v>1.085944869563519</v>
      </c>
      <c r="C247">
        <f>'10years'!C247-'10years'!$G247</f>
        <v>0.59840428369134857</v>
      </c>
      <c r="D247">
        <f>'10years'!D247-'10years'!$G247</f>
        <v>0.84510690272824673</v>
      </c>
      <c r="E247">
        <f>'10years'!E247-'10years'!$G247</f>
        <v>0.37472912235560285</v>
      </c>
      <c r="F247">
        <f>'10years'!F247-'10years'!$G247</f>
        <v>0.61646337551188113</v>
      </c>
      <c r="G247">
        <f>'10years'!H247-'10years'!$I247</f>
        <v>0.36303754006090649</v>
      </c>
    </row>
    <row r="248" spans="1:7" x14ac:dyDescent="0.35">
      <c r="A248" s="1">
        <v>20667</v>
      </c>
      <c r="B248">
        <f>'10years'!B248-'10years'!$G248</f>
        <v>1.1470439559428267</v>
      </c>
      <c r="C248">
        <f>'10years'!C248-'10years'!$G248</f>
        <v>0.6602188356265013</v>
      </c>
      <c r="D248">
        <f>'10years'!D248-'10years'!$G248</f>
        <v>0.89888157121777867</v>
      </c>
      <c r="E248">
        <f>'10years'!E248-'10years'!$G248</f>
        <v>0.42799943221667336</v>
      </c>
      <c r="F248">
        <f>'10years'!F248-'10years'!$G248</f>
        <v>0.68080064053841349</v>
      </c>
      <c r="G248">
        <f>'10years'!H248-'10years'!$I248</f>
        <v>0.39329430959138545</v>
      </c>
    </row>
    <row r="249" spans="1:7" x14ac:dyDescent="0.35">
      <c r="A249" s="1">
        <v>20698</v>
      </c>
      <c r="B249">
        <f>'10years'!B249-'10years'!$G249</f>
        <v>1.2112196440414571</v>
      </c>
      <c r="C249">
        <f>'10years'!C249-'10years'!$G249</f>
        <v>0.7243651455821245</v>
      </c>
      <c r="D249">
        <f>'10years'!D249-'10years'!$G249</f>
        <v>0.96662027530070715</v>
      </c>
      <c r="E249">
        <f>'10years'!E249-'10years'!$G249</f>
        <v>0.49518235546031764</v>
      </c>
      <c r="F249">
        <f>'10years'!F249-'10years'!$G249</f>
        <v>0.74315436640789012</v>
      </c>
      <c r="G249">
        <f>'10years'!H249-'10years'!$I249</f>
        <v>0.43341447111375775</v>
      </c>
    </row>
    <row r="250" spans="1:7" x14ac:dyDescent="0.35">
      <c r="A250" s="1">
        <v>20726</v>
      </c>
      <c r="B250">
        <f>'10years'!B250-'10years'!$G250</f>
        <v>1.2421374813550683</v>
      </c>
      <c r="C250">
        <f>'10years'!C250-'10years'!$G250</f>
        <v>0.75294001471742078</v>
      </c>
      <c r="D250">
        <f>'10years'!D250-'10years'!$G250</f>
        <v>1.0041577867421463</v>
      </c>
      <c r="E250">
        <f>'10years'!E250-'10years'!$G250</f>
        <v>0.53125586653968426</v>
      </c>
      <c r="F250">
        <f>'10years'!F250-'10years'!$G250</f>
        <v>0.77302187862189609</v>
      </c>
      <c r="G250">
        <f>'10years'!H250-'10years'!$I250</f>
        <v>0.40409450416531989</v>
      </c>
    </row>
    <row r="251" spans="1:7" x14ac:dyDescent="0.35">
      <c r="A251" s="1">
        <v>20759</v>
      </c>
      <c r="B251">
        <f>'10years'!B251-'10years'!$G251</f>
        <v>1.2957292499300899</v>
      </c>
      <c r="C251">
        <f>'10years'!C251-'10years'!$G251</f>
        <v>0.80765005843501769</v>
      </c>
      <c r="D251">
        <f>'10years'!D251-'10years'!$G251</f>
        <v>1.0805173705087168</v>
      </c>
      <c r="E251">
        <f>'10years'!E251-'10years'!$G251</f>
        <v>0.607640547683298</v>
      </c>
      <c r="F251">
        <f>'10years'!F251-'10years'!$G251</f>
        <v>0.82264240867207072</v>
      </c>
      <c r="G251">
        <f>'10years'!H251-'10years'!$I251</f>
        <v>0.36492396637253233</v>
      </c>
    </row>
    <row r="252" spans="1:7" x14ac:dyDescent="0.35">
      <c r="A252" s="1">
        <v>20789</v>
      </c>
      <c r="B252">
        <f>'10years'!B252-'10years'!$G252</f>
        <v>1.3042950854743414</v>
      </c>
      <c r="C252">
        <f>'10years'!C252-'10years'!$G252</f>
        <v>0.81606112978589729</v>
      </c>
      <c r="D252">
        <f>'10years'!D252-'10years'!$G252</f>
        <v>1.0775167828057903</v>
      </c>
      <c r="E252">
        <f>'10years'!E252-'10years'!$G252</f>
        <v>0.60373458035210281</v>
      </c>
      <c r="F252">
        <f>'10years'!F252-'10years'!$G252</f>
        <v>0.83188619892032034</v>
      </c>
      <c r="G252">
        <f>'10years'!H252-'10years'!$I252</f>
        <v>0.36834370547718098</v>
      </c>
    </row>
    <row r="253" spans="1:7" x14ac:dyDescent="0.35">
      <c r="A253" s="1">
        <v>20820</v>
      </c>
      <c r="B253">
        <f>'10years'!B253-'10years'!$G253</f>
        <v>1.3044775279899854</v>
      </c>
      <c r="C253">
        <f>'10years'!C253-'10years'!$G253</f>
        <v>0.8151436636384144</v>
      </c>
      <c r="D253">
        <f>'10years'!D253-'10years'!$G253</f>
        <v>1.0725480912714822</v>
      </c>
      <c r="E253">
        <f>'10years'!E253-'10years'!$G253</f>
        <v>0.5993782620000907</v>
      </c>
      <c r="F253">
        <f>'10years'!F253-'10years'!$G253</f>
        <v>0.8308887250571626</v>
      </c>
      <c r="G253">
        <f>'10years'!H253-'10years'!$I253</f>
        <v>0.36507001444054943</v>
      </c>
    </row>
    <row r="254" spans="1:7" x14ac:dyDescent="0.35">
      <c r="A254" s="1">
        <v>20851</v>
      </c>
      <c r="B254">
        <f>'10years'!B254-'10years'!$G254</f>
        <v>1.294214367858473</v>
      </c>
      <c r="C254">
        <f>'10years'!C254-'10years'!$G254</f>
        <v>0.80732690293835696</v>
      </c>
      <c r="D254">
        <f>'10years'!D254-'10years'!$G254</f>
        <v>1.0544244036691766</v>
      </c>
      <c r="E254">
        <f>'10years'!E254-'10years'!$G254</f>
        <v>0.58185368887488065</v>
      </c>
      <c r="F254">
        <f>'10years'!F254-'10years'!$G254</f>
        <v>0.82296054604541724</v>
      </c>
      <c r="G254">
        <f>'10years'!H254-'10years'!$I254</f>
        <v>0.39287598951203151</v>
      </c>
    </row>
    <row r="255" spans="1:7" x14ac:dyDescent="0.35">
      <c r="A255" s="1">
        <v>20879</v>
      </c>
      <c r="B255">
        <f>'10years'!B255-'10years'!$G255</f>
        <v>1.2391818926613629</v>
      </c>
      <c r="C255">
        <f>'10years'!C255-'10years'!$G255</f>
        <v>0.7522551063240801</v>
      </c>
      <c r="D255">
        <f>'10years'!D255-'10years'!$G255</f>
        <v>1.0307678302189105</v>
      </c>
      <c r="E255">
        <f>'10years'!E255-'10years'!$G255</f>
        <v>0.55762305698243253</v>
      </c>
      <c r="F255">
        <f>'10years'!F255-'10years'!$G255</f>
        <v>0.76557436359307562</v>
      </c>
      <c r="G255">
        <f>'10years'!H255-'10years'!$I255</f>
        <v>0.35626654828437854</v>
      </c>
    </row>
    <row r="256" spans="1:7" x14ac:dyDescent="0.35">
      <c r="A256" s="1">
        <v>20908</v>
      </c>
      <c r="B256">
        <f>'10years'!B256-'10years'!$G256</f>
        <v>1.2231932170537001</v>
      </c>
      <c r="C256">
        <f>'10years'!C256-'10years'!$G256</f>
        <v>0.73532769707375367</v>
      </c>
      <c r="D256">
        <f>'10years'!D256-'10years'!$G256</f>
        <v>1.0124927510527431</v>
      </c>
      <c r="E256">
        <f>'10years'!E256-'10years'!$G256</f>
        <v>0.53859192956759161</v>
      </c>
      <c r="F256">
        <f>'10years'!F256-'10years'!$G256</f>
        <v>0.74838830448199767</v>
      </c>
      <c r="G256">
        <f>'10years'!H256-'10years'!$I256</f>
        <v>0.33315110942366832</v>
      </c>
    </row>
    <row r="257" spans="1:7" x14ac:dyDescent="0.35">
      <c r="A257" s="1">
        <v>20940</v>
      </c>
      <c r="B257">
        <f>'10years'!B257-'10years'!$G257</f>
        <v>1.2542047583623235</v>
      </c>
      <c r="C257">
        <f>'10years'!C257-'10years'!$G257</f>
        <v>0.7659805405470983</v>
      </c>
      <c r="D257">
        <f>'10years'!D257-'10years'!$G257</f>
        <v>1.0538006037648902</v>
      </c>
      <c r="E257">
        <f>'10years'!E257-'10years'!$G257</f>
        <v>0.57899138185308074</v>
      </c>
      <c r="F257">
        <f>'10years'!F257-'10years'!$G257</f>
        <v>0.77738254233505066</v>
      </c>
      <c r="G257">
        <f>'10years'!H257-'10years'!$I257</f>
        <v>0.35092268861707243</v>
      </c>
    </row>
    <row r="258" spans="1:7" x14ac:dyDescent="0.35">
      <c r="A258" s="1">
        <v>20971</v>
      </c>
      <c r="B258">
        <f>'10years'!B258-'10years'!$G258</f>
        <v>1.3249519348098313</v>
      </c>
      <c r="C258">
        <f>'10years'!C258-'10years'!$G258</f>
        <v>0.83637641046764832</v>
      </c>
      <c r="D258">
        <f>'10years'!D258-'10years'!$G258</f>
        <v>1.1326239057741492</v>
      </c>
      <c r="E258">
        <f>'10years'!E258-'10years'!$G258</f>
        <v>0.65740180831445594</v>
      </c>
      <c r="F258">
        <f>'10years'!F258-'10years'!$G258</f>
        <v>0.83946318042886192</v>
      </c>
      <c r="G258">
        <f>'10years'!H258-'10years'!$I258</f>
        <v>0.38688465702771957</v>
      </c>
    </row>
    <row r="259" spans="1:7" x14ac:dyDescent="0.35">
      <c r="A259" s="1">
        <v>20999</v>
      </c>
      <c r="B259">
        <f>'10years'!B259-'10years'!$G259</f>
        <v>1.3560412817312775</v>
      </c>
      <c r="C259">
        <f>'10years'!C259-'10years'!$G259</f>
        <v>0.87084205777123525</v>
      </c>
      <c r="D259">
        <f>'10years'!D259-'10years'!$G259</f>
        <v>1.1664695823937679</v>
      </c>
      <c r="E259">
        <f>'10years'!E259-'10years'!$G259</f>
        <v>0.69297366396871918</v>
      </c>
      <c r="F259">
        <f>'10years'!F259-'10years'!$G259</f>
        <v>0.87565025238478333</v>
      </c>
      <c r="G259">
        <f>'10years'!H259-'10years'!$I259</f>
        <v>0.4165120472982009</v>
      </c>
    </row>
    <row r="260" spans="1:7" x14ac:dyDescent="0.35">
      <c r="A260" s="1">
        <v>21032</v>
      </c>
      <c r="B260">
        <f>'10years'!B260-'10years'!$G260</f>
        <v>1.3092555451181791</v>
      </c>
      <c r="C260">
        <f>'10years'!C260-'10years'!$G260</f>
        <v>0.82426837034312572</v>
      </c>
      <c r="D260">
        <f>'10years'!D260-'10years'!$G260</f>
        <v>1.1164144301293282</v>
      </c>
      <c r="E260">
        <f>'10years'!E260-'10years'!$G260</f>
        <v>0.64263429400956684</v>
      </c>
      <c r="F260">
        <f>'10years'!F260-'10years'!$G260</f>
        <v>0.82972120503581315</v>
      </c>
      <c r="G260">
        <f>'10years'!H260-'10years'!$I260</f>
        <v>0.413910436032916</v>
      </c>
    </row>
    <row r="261" spans="1:7" x14ac:dyDescent="0.35">
      <c r="A261" s="1">
        <v>21062</v>
      </c>
      <c r="B261">
        <f>'10years'!B261-'10years'!$G261</f>
        <v>1.2824759233341112</v>
      </c>
      <c r="C261">
        <f>'10years'!C261-'10years'!$G261</f>
        <v>0.79730487683290185</v>
      </c>
      <c r="D261">
        <f>'10years'!D261-'10years'!$G261</f>
        <v>1.0713607683035278</v>
      </c>
      <c r="E261">
        <f>'10years'!E261-'10years'!$G261</f>
        <v>0.59761638684342167</v>
      </c>
      <c r="F261">
        <f>'10years'!F261-'10years'!$G261</f>
        <v>0.80719868389983152</v>
      </c>
      <c r="G261">
        <f>'10years'!H261-'10years'!$I261</f>
        <v>0.41952176601540714</v>
      </c>
    </row>
    <row r="262" spans="1:7" x14ac:dyDescent="0.35">
      <c r="A262" s="1">
        <v>21093</v>
      </c>
      <c r="B262">
        <f>'10years'!B262-'10years'!$G262</f>
        <v>1.2579386391918856</v>
      </c>
      <c r="C262">
        <f>'10years'!C262-'10years'!$G262</f>
        <v>0.77352630642029685</v>
      </c>
      <c r="D262">
        <f>'10years'!D262-'10years'!$G262</f>
        <v>1.0455969988848068</v>
      </c>
      <c r="E262">
        <f>'10years'!E262-'10years'!$G262</f>
        <v>0.57193600986625293</v>
      </c>
      <c r="F262">
        <f>'10years'!F262-'10years'!$G262</f>
        <v>0.78060175484829242</v>
      </c>
      <c r="G262">
        <f>'10years'!H262-'10years'!$I262</f>
        <v>0.37539351003879062</v>
      </c>
    </row>
    <row r="263" spans="1:7" x14ac:dyDescent="0.35">
      <c r="A263" s="1">
        <v>21124</v>
      </c>
      <c r="B263">
        <f>'10years'!B263-'10years'!$G263</f>
        <v>1.2143828145151911</v>
      </c>
      <c r="C263">
        <f>'10years'!C263-'10years'!$G263</f>
        <v>0.73093150761659431</v>
      </c>
      <c r="D263">
        <f>'10years'!D263-'10years'!$G263</f>
        <v>1.0025740307680551</v>
      </c>
      <c r="E263">
        <f>'10years'!E263-'10years'!$G263</f>
        <v>0.5292259714757217</v>
      </c>
      <c r="F263">
        <f>'10years'!F263-'10years'!$G263</f>
        <v>0.73684556179839356</v>
      </c>
      <c r="G263">
        <f>'10years'!H263-'10years'!$I263</f>
        <v>0.3233617397271793</v>
      </c>
    </row>
    <row r="264" spans="1:7" x14ac:dyDescent="0.35">
      <c r="A264" s="1">
        <v>21153</v>
      </c>
      <c r="B264">
        <f>'10years'!B264-'10years'!$G264</f>
        <v>1.1618980108563404</v>
      </c>
      <c r="C264">
        <f>'10years'!C264-'10years'!$G264</f>
        <v>0.67819695624652065</v>
      </c>
      <c r="D264">
        <f>'10years'!D264-'10years'!$G264</f>
        <v>0.94284141092183193</v>
      </c>
      <c r="E264">
        <f>'10years'!E264-'10years'!$G264</f>
        <v>0.46876282029833738</v>
      </c>
      <c r="F264">
        <f>'10years'!F264-'10years'!$G264</f>
        <v>0.69000585004775572</v>
      </c>
      <c r="G264">
        <f>'10years'!H264-'10years'!$I264</f>
        <v>0.28783649888002305</v>
      </c>
    </row>
    <row r="265" spans="1:7" x14ac:dyDescent="0.35">
      <c r="A265" s="1">
        <v>21185</v>
      </c>
      <c r="B265">
        <f>'10years'!B265-'10years'!$G265</f>
        <v>1.1949190411535981</v>
      </c>
      <c r="C265">
        <f>'10years'!C265-'10years'!$G265</f>
        <v>0.71536493131757584</v>
      </c>
      <c r="D265">
        <f>'10years'!D265-'10years'!$G265</f>
        <v>0.99433604633195727</v>
      </c>
      <c r="E265">
        <f>'10years'!E265-'10years'!$G265</f>
        <v>0.5229539116494164</v>
      </c>
      <c r="F265">
        <f>'10years'!F265-'10years'!$G265</f>
        <v>0.72594076860485024</v>
      </c>
      <c r="G265">
        <f>'10years'!H265-'10years'!$I265</f>
        <v>0.30508082263580594</v>
      </c>
    </row>
    <row r="266" spans="1:7" x14ac:dyDescent="0.35">
      <c r="A266" s="1">
        <v>21216</v>
      </c>
      <c r="B266">
        <f>'10years'!B266-'10years'!$G266</f>
        <v>1.1358269097842346</v>
      </c>
      <c r="C266">
        <f>'10years'!C266-'10years'!$G266</f>
        <v>0.65790262270361244</v>
      </c>
      <c r="D266">
        <f>'10years'!D266-'10years'!$G266</f>
        <v>0.91786023878942768</v>
      </c>
      <c r="E266">
        <f>'10years'!E266-'10years'!$G266</f>
        <v>0.44782730760121425</v>
      </c>
      <c r="F266">
        <f>'10years'!F266-'10years'!$G266</f>
        <v>0.6718533580433752</v>
      </c>
      <c r="G266">
        <f>'10years'!H266-'10years'!$I266</f>
        <v>0.27119854052213288</v>
      </c>
    </row>
    <row r="267" spans="1:7" x14ac:dyDescent="0.35">
      <c r="A267" s="1">
        <v>21244</v>
      </c>
      <c r="B267">
        <f>'10years'!B267-'10years'!$G267</f>
        <v>1.2041913055832125</v>
      </c>
      <c r="C267">
        <f>'10years'!C267-'10years'!$G267</f>
        <v>0.72599639168627816</v>
      </c>
      <c r="D267">
        <f>'10years'!D267-'10years'!$G267</f>
        <v>1.0113319442209272</v>
      </c>
      <c r="E267">
        <f>'10years'!E267-'10years'!$G267</f>
        <v>0.54098659364391</v>
      </c>
      <c r="F267">
        <f>'10years'!F267-'10years'!$G267</f>
        <v>0.73953647825409852</v>
      </c>
      <c r="G267">
        <f>'10years'!H267-'10years'!$I267</f>
        <v>0.30605919254240721</v>
      </c>
    </row>
    <row r="268" spans="1:7" x14ac:dyDescent="0.35">
      <c r="A268" s="1">
        <v>21275</v>
      </c>
      <c r="B268">
        <f>'10years'!B268-'10years'!$G268</f>
        <v>1.2264402044372782</v>
      </c>
      <c r="C268">
        <f>'10years'!C268-'10years'!$G268</f>
        <v>0.74949214713855761</v>
      </c>
      <c r="D268">
        <f>'10years'!D268-'10years'!$G268</f>
        <v>1.0422309799795573</v>
      </c>
      <c r="E268">
        <f>'10years'!E268-'10years'!$G268</f>
        <v>0.57290286030640591</v>
      </c>
      <c r="F268">
        <f>'10years'!F268-'10years'!$G268</f>
        <v>0.76203122981802118</v>
      </c>
      <c r="G268">
        <f>'10years'!H268-'10years'!$I268</f>
        <v>0.29317649695725922</v>
      </c>
    </row>
    <row r="269" spans="1:7" x14ac:dyDescent="0.35">
      <c r="A269" s="1">
        <v>21305</v>
      </c>
      <c r="B269">
        <f>'10years'!B269-'10years'!$G269</f>
        <v>1.1877819353044485</v>
      </c>
      <c r="C269">
        <f>'10years'!C269-'10years'!$G269</f>
        <v>0.71175413369553486</v>
      </c>
      <c r="D269">
        <f>'10years'!D269-'10years'!$G269</f>
        <v>0.99390783803142058</v>
      </c>
      <c r="E269">
        <f>'10years'!E269-'10years'!$G269</f>
        <v>0.52527234942188383</v>
      </c>
      <c r="F269">
        <f>'10years'!F269-'10years'!$G269</f>
        <v>0.72510451199856907</v>
      </c>
      <c r="G269">
        <f>'10years'!H269-'10years'!$I269</f>
        <v>0.31959486122083991</v>
      </c>
    </row>
    <row r="270" spans="1:7" x14ac:dyDescent="0.35">
      <c r="A270" s="1">
        <v>21334</v>
      </c>
      <c r="B270">
        <f>'10years'!B270-'10years'!$G270</f>
        <v>1.18998247806708</v>
      </c>
      <c r="C270">
        <f>'10years'!C270-'10years'!$G270</f>
        <v>0.71460986385565772</v>
      </c>
      <c r="D270">
        <f>'10years'!D270-'10years'!$G270</f>
        <v>0.99272106478598876</v>
      </c>
      <c r="E270">
        <f>'10years'!E270-'10years'!$G270</f>
        <v>0.5238653291213915</v>
      </c>
      <c r="F270">
        <f>'10years'!F270-'10years'!$G270</f>
        <v>0.72943620970916023</v>
      </c>
      <c r="G270">
        <f>'10years'!H270-'10years'!$I270</f>
        <v>0.34648277763174029</v>
      </c>
    </row>
    <row r="271" spans="1:7" x14ac:dyDescent="0.35">
      <c r="A271" s="1">
        <v>21366</v>
      </c>
      <c r="B271">
        <f>'10years'!B271-'10years'!$G271</f>
        <v>1.1394270767428087</v>
      </c>
      <c r="C271">
        <f>'10years'!C271-'10years'!$G271</f>
        <v>0.66454321283952278</v>
      </c>
      <c r="D271">
        <f>'10years'!D271-'10years'!$G271</f>
        <v>0.9579276522007667</v>
      </c>
      <c r="E271">
        <f>'10years'!E271-'10years'!$G271</f>
        <v>0.49050335371522524</v>
      </c>
      <c r="F271">
        <f>'10years'!F271-'10years'!$G271</f>
        <v>0.67841498529256739</v>
      </c>
      <c r="G271">
        <f>'10years'!H271-'10years'!$I271</f>
        <v>0.36320404553771279</v>
      </c>
    </row>
    <row r="272" spans="1:7" x14ac:dyDescent="0.35">
      <c r="A272" s="1">
        <v>21397</v>
      </c>
      <c r="B272">
        <f>'10years'!B272-'10years'!$G272</f>
        <v>1.1568235214288662</v>
      </c>
      <c r="C272">
        <f>'10years'!C272-'10years'!$G272</f>
        <v>0.68264565771113772</v>
      </c>
      <c r="D272">
        <f>'10years'!D272-'10years'!$G272</f>
        <v>0.97207571903727241</v>
      </c>
      <c r="E272">
        <f>'10years'!E272-'10years'!$G272</f>
        <v>0.50502804812004132</v>
      </c>
      <c r="F272">
        <f>'10years'!F272-'10years'!$G272</f>
        <v>0.69807031078560722</v>
      </c>
      <c r="G272">
        <f>'10years'!H272-'10years'!$I272</f>
        <v>0.38605594823972744</v>
      </c>
    </row>
    <row r="273" spans="1:7" x14ac:dyDescent="0.35">
      <c r="A273" s="1">
        <v>21426</v>
      </c>
      <c r="B273">
        <f>'10years'!B273-'10years'!$G273</f>
        <v>1.2385966344177048</v>
      </c>
      <c r="C273">
        <f>'10years'!C273-'10years'!$G273</f>
        <v>0.76354620819714691</v>
      </c>
      <c r="D273">
        <f>'10years'!D273-'10years'!$G273</f>
        <v>1.0610335285206998</v>
      </c>
      <c r="E273">
        <f>'10years'!E273-'10years'!$G273</f>
        <v>0.59349834234768162</v>
      </c>
      <c r="F273">
        <f>'10years'!F273-'10years'!$G273</f>
        <v>0.77955518807777979</v>
      </c>
      <c r="G273">
        <f>'10years'!H273-'10years'!$I273</f>
        <v>0.42147345488046106</v>
      </c>
    </row>
    <row r="274" spans="1:7" x14ac:dyDescent="0.35">
      <c r="A274" s="1">
        <v>21458</v>
      </c>
      <c r="B274">
        <f>'10years'!B274-'10years'!$G274</f>
        <v>1.2410840800876901</v>
      </c>
      <c r="C274">
        <f>'10years'!C274-'10years'!$G274</f>
        <v>0.76827172541784083</v>
      </c>
      <c r="D274">
        <f>'10years'!D274-'10years'!$G274</f>
        <v>1.0709137695807893</v>
      </c>
      <c r="E274">
        <f>'10years'!E274-'10years'!$G274</f>
        <v>0.60524570248924903</v>
      </c>
      <c r="F274">
        <f>'10years'!F274-'10years'!$G274</f>
        <v>0.78357674405328837</v>
      </c>
      <c r="G274">
        <f>'10years'!H274-'10years'!$I274</f>
        <v>0.43606459429910149</v>
      </c>
    </row>
    <row r="275" spans="1:7" x14ac:dyDescent="0.35">
      <c r="A275" s="1">
        <v>21489</v>
      </c>
      <c r="B275">
        <f>'10years'!B275-'10years'!$G275</f>
        <v>1.3048589104704971</v>
      </c>
      <c r="C275">
        <f>'10years'!C275-'10years'!$G275</f>
        <v>0.83302194139331975</v>
      </c>
      <c r="D275">
        <f>'10years'!D275-'10years'!$G275</f>
        <v>1.1455831235560825</v>
      </c>
      <c r="E275">
        <f>'10years'!E275-'10years'!$G275</f>
        <v>0.68038903477813983</v>
      </c>
      <c r="F275">
        <f>'10years'!F275-'10years'!$G275</f>
        <v>0.84771907551695103</v>
      </c>
      <c r="G275">
        <f>'10years'!H275-'10years'!$I275</f>
        <v>0.47600081775982517</v>
      </c>
    </row>
    <row r="276" spans="1:7" x14ac:dyDescent="0.35">
      <c r="A276" s="1">
        <v>21517</v>
      </c>
      <c r="B276">
        <f>'10years'!B276-'10years'!$G276</f>
        <v>1.269269506506433</v>
      </c>
      <c r="C276">
        <f>'10years'!C276-'10years'!$G276</f>
        <v>0.79874580133734274</v>
      </c>
      <c r="D276">
        <f>'10years'!D276-'10years'!$G276</f>
        <v>1.1190932129486975</v>
      </c>
      <c r="E276">
        <f>'10years'!E276-'10years'!$G276</f>
        <v>0.65457958921086967</v>
      </c>
      <c r="F276">
        <f>'10years'!F276-'10years'!$G276</f>
        <v>0.81242011421665095</v>
      </c>
      <c r="G276">
        <f>'10years'!H276-'10years'!$I276</f>
        <v>0.49711552662907721</v>
      </c>
    </row>
    <row r="277" spans="1:7" x14ac:dyDescent="0.35">
      <c r="A277" s="1">
        <v>21550</v>
      </c>
      <c r="B277">
        <f>'10years'!B277-'10years'!$G277</f>
        <v>1.3800263168251272</v>
      </c>
      <c r="C277">
        <f>'10years'!C277-'10years'!$G277</f>
        <v>0.91560196404905558</v>
      </c>
      <c r="D277">
        <f>'10years'!D277-'10years'!$G277</f>
        <v>1.2488099022568691</v>
      </c>
      <c r="E277">
        <f>'10years'!E277-'10years'!$G277</f>
        <v>0.78955426486924574</v>
      </c>
      <c r="F277">
        <f>'10years'!F277-'10years'!$G277</f>
        <v>0.92686231120262996</v>
      </c>
      <c r="G277">
        <f>'10years'!H277-'10years'!$I277</f>
        <v>0.51982810710764493</v>
      </c>
    </row>
    <row r="278" spans="1:7" x14ac:dyDescent="0.35">
      <c r="A278" s="1">
        <v>21580</v>
      </c>
      <c r="B278">
        <f>'10years'!B278-'10years'!$G278</f>
        <v>1.3932158546900135</v>
      </c>
      <c r="C278">
        <f>'10years'!C278-'10years'!$G278</f>
        <v>0.93166296436664453</v>
      </c>
      <c r="D278">
        <f>'10years'!D278-'10years'!$G278</f>
        <v>1.2568882307046474</v>
      </c>
      <c r="E278">
        <f>'10years'!E278-'10years'!$G278</f>
        <v>0.80057805939255644</v>
      </c>
      <c r="F278">
        <f>'10years'!F278-'10years'!$G278</f>
        <v>0.9427510284066436</v>
      </c>
      <c r="G278">
        <f>'10years'!H278-'10years'!$I278</f>
        <v>0.56215151707448285</v>
      </c>
    </row>
    <row r="279" spans="1:7" x14ac:dyDescent="0.35">
      <c r="A279" s="1">
        <v>21608</v>
      </c>
      <c r="B279">
        <f>'10years'!B279-'10years'!$G279</f>
        <v>1.3953903578319777</v>
      </c>
      <c r="C279">
        <f>'10years'!C279-'10years'!$G279</f>
        <v>0.93413160001207318</v>
      </c>
      <c r="D279">
        <f>'10years'!D279-'10years'!$G279</f>
        <v>1.2712682187190079</v>
      </c>
      <c r="E279">
        <f>'10years'!E279-'10years'!$G279</f>
        <v>0.81549709238248402</v>
      </c>
      <c r="F279">
        <f>'10years'!F279-'10years'!$G279</f>
        <v>0.94393728736083604</v>
      </c>
      <c r="G279">
        <f>'10years'!H279-'10years'!$I279</f>
        <v>0.56568615110159648</v>
      </c>
    </row>
    <row r="280" spans="1:7" x14ac:dyDescent="0.35">
      <c r="A280" s="1">
        <v>21640</v>
      </c>
      <c r="B280">
        <f>'10years'!B280-'10years'!$G280</f>
        <v>1.4274246821353496</v>
      </c>
      <c r="C280">
        <f>'10years'!C280-'10years'!$G280</f>
        <v>0.97084044096016542</v>
      </c>
      <c r="D280">
        <f>'10years'!D280-'10years'!$G280</f>
        <v>1.3152030084296016</v>
      </c>
      <c r="E280">
        <f>'10years'!E280-'10years'!$G280</f>
        <v>0.86293906981407464</v>
      </c>
      <c r="F280">
        <f>'10years'!F280-'10years'!$G280</f>
        <v>0.97683761531004643</v>
      </c>
      <c r="G280">
        <f>'10years'!H280-'10years'!$I280</f>
        <v>0.56971194132624525</v>
      </c>
    </row>
    <row r="281" spans="1:7" x14ac:dyDescent="0.35">
      <c r="A281" s="1">
        <v>21670</v>
      </c>
      <c r="B281">
        <f>'10years'!B281-'10years'!$G281</f>
        <v>1.4009930852658599</v>
      </c>
      <c r="C281">
        <f>'10years'!C281-'10years'!$G281</f>
        <v>0.94618198037887247</v>
      </c>
      <c r="D281">
        <f>'10years'!D281-'10years'!$G281</f>
        <v>1.2840268844634224</v>
      </c>
      <c r="E281">
        <f>'10years'!E281-'10years'!$G281</f>
        <v>0.83360847095130097</v>
      </c>
      <c r="F281">
        <f>'10years'!F281-'10years'!$G281</f>
        <v>0.95132668439276546</v>
      </c>
      <c r="G281">
        <f>'10years'!H281-'10years'!$I281</f>
        <v>0.57069025181153421</v>
      </c>
    </row>
    <row r="282" spans="1:7" x14ac:dyDescent="0.35">
      <c r="A282" s="1">
        <v>21699</v>
      </c>
      <c r="B282">
        <f>'10years'!B282-'10years'!$G282</f>
        <v>1.4492881207423443</v>
      </c>
      <c r="C282">
        <f>'10years'!C282-'10years'!$G282</f>
        <v>0.99608042224441817</v>
      </c>
      <c r="D282">
        <f>'10years'!D282-'10years'!$G282</f>
        <v>1.3317281040494251</v>
      </c>
      <c r="E282">
        <f>'10years'!E282-'10years'!$G282</f>
        <v>0.88178078248100267</v>
      </c>
      <c r="F282">
        <f>'10years'!F282-'10years'!$G282</f>
        <v>1.0005706206138294</v>
      </c>
      <c r="G282">
        <f>'10years'!H282-'10years'!$I282</f>
        <v>0.60194810856322167</v>
      </c>
    </row>
    <row r="283" spans="1:7" x14ac:dyDescent="0.35">
      <c r="A283" s="1">
        <v>21731</v>
      </c>
      <c r="B283">
        <f>'10years'!B283-'10years'!$G283</f>
        <v>1.4933687996759855</v>
      </c>
      <c r="C283">
        <f>'10years'!C283-'10years'!$G283</f>
        <v>1.0434744706999883</v>
      </c>
      <c r="D283">
        <f>'10years'!D283-'10years'!$G283</f>
        <v>1.3636961161064483</v>
      </c>
      <c r="E283">
        <f>'10years'!E283-'10years'!$G283</f>
        <v>0.91757896310937626</v>
      </c>
      <c r="F283">
        <f>'10years'!F283-'10years'!$G283</f>
        <v>1.0474511444979557</v>
      </c>
      <c r="G283">
        <f>'10years'!H283-'10years'!$I283</f>
        <v>0.61969180524406031</v>
      </c>
    </row>
    <row r="284" spans="1:7" x14ac:dyDescent="0.35">
      <c r="A284" s="1">
        <v>21762</v>
      </c>
      <c r="B284">
        <f>'10years'!B284-'10years'!$G284</f>
        <v>1.4900609568244785</v>
      </c>
      <c r="C284">
        <f>'10years'!C284-'10years'!$G284</f>
        <v>1.042318455765844</v>
      </c>
      <c r="D284">
        <f>'10years'!D284-'10years'!$G284</f>
        <v>1.3740233488440992</v>
      </c>
      <c r="E284">
        <f>'10years'!E284-'10years'!$G284</f>
        <v>0.92942542820556495</v>
      </c>
      <c r="F284">
        <f>'10years'!F284-'10years'!$G284</f>
        <v>1.044994494847328</v>
      </c>
      <c r="G284">
        <f>'10years'!H284-'10years'!$I284</f>
        <v>0.61699004826991644</v>
      </c>
    </row>
    <row r="285" spans="1:7" x14ac:dyDescent="0.35">
      <c r="A285" s="1">
        <v>21793</v>
      </c>
      <c r="B285">
        <f>'10years'!B285-'10years'!$G285</f>
        <v>1.4659567198157708</v>
      </c>
      <c r="C285">
        <f>'10years'!C285-'10years'!$G285</f>
        <v>1.0183606981709792</v>
      </c>
      <c r="D285">
        <f>'10years'!D285-'10years'!$G285</f>
        <v>1.3498451615129037</v>
      </c>
      <c r="E285">
        <f>'10years'!E285-'10years'!$G285</f>
        <v>0.90578377006353517</v>
      </c>
      <c r="F285">
        <f>'10years'!F285-'10years'!$G285</f>
        <v>1.0217688012759529</v>
      </c>
      <c r="G285">
        <f>'10years'!H285-'10years'!$I285</f>
        <v>0.64335360436287292</v>
      </c>
    </row>
    <row r="286" spans="1:7" x14ac:dyDescent="0.35">
      <c r="A286" s="1">
        <v>21823</v>
      </c>
      <c r="B286">
        <f>'10years'!B286-'10years'!$G286</f>
        <v>1.4374305868940889</v>
      </c>
      <c r="C286">
        <f>'10years'!C286-'10years'!$G286</f>
        <v>0.99479308996312454</v>
      </c>
      <c r="D286">
        <f>'10years'!D286-'10years'!$G286</f>
        <v>1.3168386595772068</v>
      </c>
      <c r="E286">
        <f>'10years'!E286-'10years'!$G286</f>
        <v>0.87693105620020795</v>
      </c>
      <c r="F286">
        <f>'10years'!F286-'10years'!$G286</f>
        <v>0.99812865040853005</v>
      </c>
      <c r="G286">
        <f>'10years'!H286-'10years'!$I286</f>
        <v>0.63242345678338197</v>
      </c>
    </row>
    <row r="287" spans="1:7" x14ac:dyDescent="0.35">
      <c r="A287" s="1">
        <v>21853</v>
      </c>
      <c r="B287">
        <f>'10years'!B287-'10years'!$G287</f>
        <v>1.3754288671436743</v>
      </c>
      <c r="C287">
        <f>'10years'!C287-'10years'!$G287</f>
        <v>0.93349835303230821</v>
      </c>
      <c r="D287">
        <f>'10years'!D287-'10years'!$G287</f>
        <v>1.2513044213382452</v>
      </c>
      <c r="E287">
        <f>'10years'!E287-'10years'!$G287</f>
        <v>0.81155402331689053</v>
      </c>
      <c r="F287">
        <f>'10years'!F287-'10years'!$G287</f>
        <v>0.9373125499920032</v>
      </c>
      <c r="G287">
        <f>'10years'!H287-'10years'!$I287</f>
        <v>0.59281343029167211</v>
      </c>
    </row>
    <row r="288" spans="1:7" x14ac:dyDescent="0.35">
      <c r="A288" s="1">
        <v>21884</v>
      </c>
      <c r="B288">
        <f>'10years'!B288-'10years'!$G288</f>
        <v>1.3594884348892009</v>
      </c>
      <c r="C288">
        <f>'10years'!C288-'10years'!$G288</f>
        <v>0.91777200168337103</v>
      </c>
      <c r="D288">
        <f>'10years'!D288-'10years'!$G288</f>
        <v>1.2449981237838923</v>
      </c>
      <c r="E288">
        <f>'10years'!E288-'10years'!$G288</f>
        <v>0.80568423116804766</v>
      </c>
      <c r="F288">
        <f>'10years'!F288-'10years'!$G288</f>
        <v>0.92054187015517908</v>
      </c>
      <c r="G288">
        <f>'10years'!H288-'10years'!$I288</f>
        <v>0.60077697195726198</v>
      </c>
    </row>
    <row r="289" spans="1:7" x14ac:dyDescent="0.35">
      <c r="A289" s="1">
        <v>21915</v>
      </c>
      <c r="B289">
        <f>'10years'!B289-'10years'!$G289</f>
        <v>1.3561427284330003</v>
      </c>
      <c r="C289">
        <f>'10years'!C289-'10years'!$G289</f>
        <v>0.92686247315355974</v>
      </c>
      <c r="D289">
        <f>'10years'!D289-'10years'!$G289</f>
        <v>1.2406791574184268</v>
      </c>
      <c r="E289">
        <f>'10years'!E289-'10years'!$G289</f>
        <v>0.80696843296663001</v>
      </c>
      <c r="F289">
        <f>'10years'!F289-'10years'!$G289</f>
        <v>0.92907110939525595</v>
      </c>
      <c r="G289">
        <f>'10years'!H289-'10years'!$I289</f>
        <v>0.61397297998093681</v>
      </c>
    </row>
    <row r="290" spans="1:7" x14ac:dyDescent="0.35">
      <c r="A290" s="1">
        <v>21944</v>
      </c>
      <c r="B290">
        <f>'10years'!B290-'10years'!$G290</f>
        <v>1.3367958402939828</v>
      </c>
      <c r="C290">
        <f>'10years'!C290-'10years'!$G290</f>
        <v>0.90934046852997552</v>
      </c>
      <c r="D290">
        <f>'10years'!D290-'10years'!$G290</f>
        <v>1.1975934469868244</v>
      </c>
      <c r="E290">
        <f>'10years'!E290-'10years'!$G290</f>
        <v>0.76602983139584468</v>
      </c>
      <c r="F290">
        <f>'10years'!F290-'10years'!$G290</f>
        <v>0.91410665212938946</v>
      </c>
      <c r="G290">
        <f>'10years'!H290-'10years'!$I290</f>
        <v>0.63562130000571759</v>
      </c>
    </row>
    <row r="291" spans="1:7" x14ac:dyDescent="0.35">
      <c r="A291" s="1">
        <v>21975</v>
      </c>
      <c r="B291">
        <f>'10years'!B291-'10years'!$G291</f>
        <v>1.2570951357894282</v>
      </c>
      <c r="C291">
        <f>'10years'!C291-'10years'!$G291</f>
        <v>0.83035496837993872</v>
      </c>
      <c r="D291">
        <f>'10years'!D291-'10years'!$G291</f>
        <v>1.1249852977312251</v>
      </c>
      <c r="E291">
        <f>'10years'!E291-'10years'!$G291</f>
        <v>0.69452957312422114</v>
      </c>
      <c r="F291">
        <f>'10years'!F291-'10years'!$G291</f>
        <v>0.83532653962000314</v>
      </c>
      <c r="G291">
        <f>'10years'!H291-'10years'!$I291</f>
        <v>0.57208615039652244</v>
      </c>
    </row>
    <row r="292" spans="1:7" x14ac:dyDescent="0.35">
      <c r="A292" s="1">
        <v>22006</v>
      </c>
      <c r="B292">
        <f>'10years'!B292-'10years'!$G292</f>
        <v>1.2507511686965989</v>
      </c>
      <c r="C292">
        <f>'10years'!C292-'10years'!$G292</f>
        <v>0.82802755154538832</v>
      </c>
      <c r="D292">
        <f>'10years'!D292-'10years'!$G292</f>
        <v>1.1142076060358919</v>
      </c>
      <c r="E292">
        <f>'10years'!E292-'10years'!$G292</f>
        <v>0.6858668940486401</v>
      </c>
      <c r="F292">
        <f>'10years'!F292-'10years'!$G292</f>
        <v>0.83303744692757919</v>
      </c>
      <c r="G292">
        <f>'10years'!H292-'10years'!$I292</f>
        <v>0.5812570978273035</v>
      </c>
    </row>
    <row r="293" spans="1:7" x14ac:dyDescent="0.35">
      <c r="A293" s="1">
        <v>22035</v>
      </c>
      <c r="B293">
        <f>'10years'!B293-'10years'!$G293</f>
        <v>1.2312026258302791</v>
      </c>
      <c r="C293">
        <f>'10years'!C293-'10years'!$G293</f>
        <v>0.81015619621445567</v>
      </c>
      <c r="D293">
        <f>'10years'!D293-'10years'!$G293</f>
        <v>1.0867283474573377</v>
      </c>
      <c r="E293">
        <f>'10years'!E293-'10years'!$G293</f>
        <v>0.65963800291184893</v>
      </c>
      <c r="F293">
        <f>'10years'!F293-'10years'!$G293</f>
        <v>0.81587024967593647</v>
      </c>
      <c r="G293">
        <f>'10years'!H293-'10years'!$I293</f>
        <v>0.56774289544085921</v>
      </c>
    </row>
    <row r="294" spans="1:7" x14ac:dyDescent="0.35">
      <c r="A294" s="1">
        <v>22067</v>
      </c>
      <c r="B294">
        <f>'10years'!B294-'10years'!$G294</f>
        <v>1.1787359615338346</v>
      </c>
      <c r="C294">
        <f>'10years'!C294-'10years'!$G294</f>
        <v>0.75818403452285321</v>
      </c>
      <c r="D294">
        <f>'10years'!D294-'10years'!$G294</f>
        <v>1.0425838158788017</v>
      </c>
      <c r="E294">
        <f>'10years'!E294-'10years'!$G294</f>
        <v>0.61627784001036656</v>
      </c>
      <c r="F294">
        <f>'10years'!F294-'10years'!$G294</f>
        <v>0.76302725472563027</v>
      </c>
      <c r="G294">
        <f>'10years'!H294-'10years'!$I294</f>
        <v>0.55252316019691605</v>
      </c>
    </row>
    <row r="295" spans="1:7" x14ac:dyDescent="0.35">
      <c r="A295" s="1">
        <v>22097</v>
      </c>
      <c r="B295">
        <f>'10years'!B295-'10years'!$G295</f>
        <v>1.1664776717379788</v>
      </c>
      <c r="C295">
        <f>'10years'!C295-'10years'!$G295</f>
        <v>0.74924158383994688</v>
      </c>
      <c r="D295">
        <f>'10years'!D295-'10years'!$G295</f>
        <v>1.0416084444362739</v>
      </c>
      <c r="E295">
        <f>'10years'!E295-'10years'!$G295</f>
        <v>0.61748984525719419</v>
      </c>
      <c r="F295">
        <f>'10years'!F295-'10years'!$G295</f>
        <v>0.75151213227330538</v>
      </c>
      <c r="G295">
        <f>'10years'!H295-'10years'!$I295</f>
        <v>0.57790405548499013</v>
      </c>
    </row>
    <row r="296" spans="1:7" x14ac:dyDescent="0.35">
      <c r="A296" s="1">
        <v>22126</v>
      </c>
      <c r="B296">
        <f>'10years'!B296-'10years'!$G296</f>
        <v>1.2306255702592543</v>
      </c>
      <c r="C296">
        <f>'10years'!C296-'10years'!$G296</f>
        <v>0.81415112571032333</v>
      </c>
      <c r="D296">
        <f>'10years'!D296-'10years'!$G296</f>
        <v>1.1203660961677868</v>
      </c>
      <c r="E296">
        <f>'10years'!E296-'10years'!$G296</f>
        <v>0.69712790128621682</v>
      </c>
      <c r="F296">
        <f>'10years'!F296-'10years'!$G296</f>
        <v>0.81691655288648901</v>
      </c>
      <c r="G296">
        <f>'10years'!H296-'10years'!$I296</f>
        <v>0.59398330252806719</v>
      </c>
    </row>
    <row r="297" spans="1:7" x14ac:dyDescent="0.35">
      <c r="A297" s="1">
        <v>22159</v>
      </c>
      <c r="B297">
        <f>'10years'!B297-'10years'!$G297</f>
        <v>1.1965277647884731</v>
      </c>
      <c r="C297">
        <f>'10years'!C297-'10years'!$G297</f>
        <v>0.78036257812719612</v>
      </c>
      <c r="D297">
        <f>'10years'!D297-'10years'!$G297</f>
        <v>1.0638662607281013</v>
      </c>
      <c r="E297">
        <f>'10years'!E297-'10years'!$G297</f>
        <v>0.64136461801605371</v>
      </c>
      <c r="F297">
        <f>'10years'!F297-'10years'!$G297</f>
        <v>0.78844718383273449</v>
      </c>
      <c r="G297">
        <f>'10years'!H297-'10years'!$I297</f>
        <v>0.57344464290369768</v>
      </c>
    </row>
    <row r="298" spans="1:7" x14ac:dyDescent="0.35">
      <c r="A298" s="1">
        <v>22189</v>
      </c>
      <c r="B298">
        <f>'10years'!B298-'10years'!$G298</f>
        <v>1.1824490605344162</v>
      </c>
      <c r="C298">
        <f>'10years'!C298-'10years'!$G298</f>
        <v>0.77540819197960742</v>
      </c>
      <c r="D298">
        <f>'10years'!D298-'10years'!$G298</f>
        <v>1.0625364690179695</v>
      </c>
      <c r="E298">
        <f>'10years'!E298-'10years'!$G298</f>
        <v>0.64323107794732381</v>
      </c>
      <c r="F298">
        <f>'10years'!F298-'10years'!$G298</f>
        <v>0.78262725813560197</v>
      </c>
      <c r="G298">
        <f>'10years'!H298-'10years'!$I298</f>
        <v>0.59799731386573907</v>
      </c>
    </row>
    <row r="299" spans="1:7" x14ac:dyDescent="0.35">
      <c r="A299" s="1">
        <v>22220</v>
      </c>
      <c r="B299">
        <f>'10years'!B299-'10years'!$G299</f>
        <v>1.0820978073534651</v>
      </c>
      <c r="C299">
        <f>'10years'!C299-'10years'!$G299</f>
        <v>0.67583318355148769</v>
      </c>
      <c r="D299">
        <f>'10years'!D299-'10years'!$G299</f>
        <v>0.95638220641802629</v>
      </c>
      <c r="E299">
        <f>'10years'!E299-'10years'!$G299</f>
        <v>0.53834175610780655</v>
      </c>
      <c r="F299">
        <f>'10years'!F299-'10years'!$G299</f>
        <v>0.68398847533173068</v>
      </c>
      <c r="G299">
        <f>'10years'!H299-'10years'!$I299</f>
        <v>0.54593583899664733</v>
      </c>
    </row>
    <row r="300" spans="1:7" x14ac:dyDescent="0.35">
      <c r="A300" s="1">
        <v>22250</v>
      </c>
      <c r="B300">
        <f>'10years'!B300-'10years'!$G300</f>
        <v>1.0760793259690691</v>
      </c>
      <c r="C300">
        <f>'10years'!C300-'10years'!$G300</f>
        <v>0.67010580451307566</v>
      </c>
      <c r="D300">
        <f>'10years'!D300-'10years'!$G300</f>
        <v>0.95180549022597516</v>
      </c>
      <c r="E300">
        <f>'10years'!E300-'10years'!$G300</f>
        <v>0.53492228956040089</v>
      </c>
      <c r="F300">
        <f>'10years'!F300-'10years'!$G300</f>
        <v>0.67766617846864863</v>
      </c>
      <c r="G300">
        <f>'10years'!H300-'10years'!$I300</f>
        <v>0.5431776154297463</v>
      </c>
    </row>
    <row r="301" spans="1:7" x14ac:dyDescent="0.35">
      <c r="A301" s="1">
        <v>22280</v>
      </c>
      <c r="B301">
        <f>'10years'!B301-'10years'!$G301</f>
        <v>1.0952014648384509</v>
      </c>
      <c r="C301">
        <f>'10years'!C301-'10years'!$G301</f>
        <v>0.70293726289677871</v>
      </c>
      <c r="D301">
        <f>'10years'!D301-'10years'!$G301</f>
        <v>0.96673105598236586</v>
      </c>
      <c r="E301">
        <f>'10years'!E301-'10years'!$G301</f>
        <v>0.5563083650146281</v>
      </c>
      <c r="F301">
        <f>'10years'!F301-'10years'!$G301</f>
        <v>0.71153678751988836</v>
      </c>
      <c r="G301">
        <f>'10years'!H301-'10years'!$I301</f>
        <v>0.57985571539871383</v>
      </c>
    </row>
    <row r="302" spans="1:7" x14ac:dyDescent="0.35">
      <c r="A302" s="1">
        <v>22312</v>
      </c>
      <c r="B302">
        <f>'10years'!B302-'10years'!$G302</f>
        <v>1.0894920124343188</v>
      </c>
      <c r="C302">
        <f>'10years'!C302-'10years'!$G302</f>
        <v>0.69896105488798765</v>
      </c>
      <c r="D302">
        <f>'10years'!D302-'10years'!$G302</f>
        <v>0.93399288803886593</v>
      </c>
      <c r="E302">
        <f>'10years'!E302-'10years'!$G302</f>
        <v>0.52742543650861728</v>
      </c>
      <c r="F302">
        <f>'10years'!F302-'10years'!$G302</f>
        <v>0.71122419780263568</v>
      </c>
      <c r="G302">
        <f>'10years'!H302-'10years'!$I302</f>
        <v>0.61850614897080991</v>
      </c>
    </row>
    <row r="303" spans="1:7" x14ac:dyDescent="0.35">
      <c r="A303" s="1">
        <v>22340</v>
      </c>
      <c r="B303">
        <f>'10years'!B303-'10years'!$G303</f>
        <v>1.0883677378992498</v>
      </c>
      <c r="C303">
        <f>'10years'!C303-'10years'!$G303</f>
        <v>0.69835770200266789</v>
      </c>
      <c r="D303">
        <f>'10years'!D303-'10years'!$G303</f>
        <v>0.93823801506110605</v>
      </c>
      <c r="E303">
        <f>'10years'!E303-'10years'!$G303</f>
        <v>0.53232748618881742</v>
      </c>
      <c r="F303">
        <f>'10years'!F303-'10years'!$G303</f>
        <v>0.71223521238329002</v>
      </c>
      <c r="G303">
        <f>'10years'!H303-'10years'!$I303</f>
        <v>0.66921762963765286</v>
      </c>
    </row>
    <row r="304" spans="1:7" x14ac:dyDescent="0.35">
      <c r="A304" s="1">
        <v>22370</v>
      </c>
      <c r="B304">
        <f>'10years'!B304-'10years'!$G304</f>
        <v>1.1030996248278397</v>
      </c>
      <c r="C304">
        <f>'10years'!C304-'10years'!$G304</f>
        <v>0.71821420349133924</v>
      </c>
      <c r="D304">
        <f>'10years'!D304-'10years'!$G304</f>
        <v>0.97594720127249635</v>
      </c>
      <c r="E304">
        <f>'10years'!E304-'10years'!$G304</f>
        <v>0.57227652523552508</v>
      </c>
      <c r="F304">
        <f>'10years'!F304-'10years'!$G304</f>
        <v>0.72876332603874894</v>
      </c>
      <c r="G304">
        <f>'10years'!H304-'10years'!$I304</f>
        <v>0.69516995035185936</v>
      </c>
    </row>
    <row r="305" spans="1:7" x14ac:dyDescent="0.35">
      <c r="A305" s="1">
        <v>22399</v>
      </c>
      <c r="B305">
        <f>'10years'!B305-'10years'!$G305</f>
        <v>1.1416431753013476</v>
      </c>
      <c r="C305">
        <f>'10years'!C305-'10years'!$G305</f>
        <v>0.75663615005093088</v>
      </c>
      <c r="D305">
        <f>'10years'!D305-'10years'!$G305</f>
        <v>1.026123547092199</v>
      </c>
      <c r="E305">
        <f>'10years'!E305-'10years'!$G305</f>
        <v>0.6233385672308509</v>
      </c>
      <c r="F305">
        <f>'10years'!F305-'10years'!$G305</f>
        <v>0.76478423518527161</v>
      </c>
      <c r="G305">
        <f>'10years'!H305-'10years'!$I305</f>
        <v>0.7177857828875478</v>
      </c>
    </row>
    <row r="306" spans="1:7" x14ac:dyDescent="0.35">
      <c r="A306" s="1">
        <v>22432</v>
      </c>
      <c r="B306">
        <f>'10years'!B306-'10years'!$G306</f>
        <v>1.1046606444292606</v>
      </c>
      <c r="C306">
        <f>'10years'!C306-'10years'!$G306</f>
        <v>0.7201780582066708</v>
      </c>
      <c r="D306">
        <f>'10years'!D306-'10years'!$G306</f>
        <v>1.0000339547678583</v>
      </c>
      <c r="E306">
        <f>'10years'!E306-'10years'!$G306</f>
        <v>0.59840371122922731</v>
      </c>
      <c r="F306">
        <f>'10years'!F306-'10years'!$G306</f>
        <v>0.72814031036946725</v>
      </c>
      <c r="G306">
        <f>'10years'!H306-'10years'!$I306</f>
        <v>0.72017667088406512</v>
      </c>
    </row>
    <row r="307" spans="1:7" x14ac:dyDescent="0.35">
      <c r="A307" s="1">
        <v>22462</v>
      </c>
      <c r="B307">
        <f>'10years'!B307-'10years'!$G307</f>
        <v>1.1494969772399564</v>
      </c>
      <c r="C307">
        <f>'10years'!C307-'10years'!$G307</f>
        <v>0.77056806394677024</v>
      </c>
      <c r="D307">
        <f>'10years'!D307-'10years'!$G307</f>
        <v>1.0546635609221375</v>
      </c>
      <c r="E307">
        <f>'10years'!E307-'10years'!$G307</f>
        <v>0.65579486123068054</v>
      </c>
      <c r="F307">
        <f>'10years'!F307-'10years'!$G307</f>
        <v>0.77840839391460448</v>
      </c>
      <c r="G307">
        <f>'10years'!H307-'10years'!$I307</f>
        <v>0.73822054918450952</v>
      </c>
    </row>
    <row r="308" spans="1:7" x14ac:dyDescent="0.35">
      <c r="A308" s="1">
        <v>22493</v>
      </c>
      <c r="B308">
        <f>'10years'!B308-'10years'!$G308</f>
        <v>1.1481105164060474</v>
      </c>
      <c r="C308">
        <f>'10years'!C308-'10years'!$G308</f>
        <v>0.76943028074143949</v>
      </c>
      <c r="D308">
        <f>'10years'!D308-'10years'!$G308</f>
        <v>1.0588178029379332</v>
      </c>
      <c r="E308">
        <f>'10years'!E308-'10years'!$G308</f>
        <v>0.66117602681246512</v>
      </c>
      <c r="F308">
        <f>'10years'!F308-'10years'!$G308</f>
        <v>0.77529470304409887</v>
      </c>
      <c r="G308">
        <f>'10years'!H308-'10years'!$I308</f>
        <v>0.71385257296641136</v>
      </c>
    </row>
    <row r="309" spans="1:7" x14ac:dyDescent="0.35">
      <c r="A309" s="1">
        <v>22524</v>
      </c>
      <c r="B309">
        <f>'10years'!B309-'10years'!$G309</f>
        <v>1.1178935307824098</v>
      </c>
      <c r="C309">
        <f>'10years'!C309-'10years'!$G309</f>
        <v>0.73949809542056522</v>
      </c>
      <c r="D309">
        <f>'10years'!D309-'10years'!$G309</f>
        <v>1.0107293814629934</v>
      </c>
      <c r="E309">
        <f>'10years'!E309-'10years'!$G309</f>
        <v>0.61435848144338867</v>
      </c>
      <c r="F309">
        <f>'10years'!F309-'10years'!$G309</f>
        <v>0.74613042090291271</v>
      </c>
      <c r="G309">
        <f>'10years'!H309-'10years'!$I309</f>
        <v>0.74024719700187536</v>
      </c>
    </row>
    <row r="310" spans="1:7" x14ac:dyDescent="0.35">
      <c r="A310" s="1">
        <v>22553</v>
      </c>
      <c r="B310">
        <f>'10years'!B310-'10years'!$G310</f>
        <v>1.0970711672314688</v>
      </c>
      <c r="C310">
        <f>'10years'!C310-'10years'!$G310</f>
        <v>0.72397960511482351</v>
      </c>
      <c r="D310">
        <f>'10years'!D310-'10years'!$G310</f>
        <v>1.0047797114833741</v>
      </c>
      <c r="E310">
        <f>'10years'!E310-'10years'!$G310</f>
        <v>0.61103609284855098</v>
      </c>
      <c r="F310">
        <f>'10years'!F310-'10years'!$G310</f>
        <v>0.72998292985277002</v>
      </c>
      <c r="G310">
        <f>'10years'!H310-'10years'!$I310</f>
        <v>0.75959555151949854</v>
      </c>
    </row>
    <row r="311" spans="1:7" x14ac:dyDescent="0.35">
      <c r="A311" s="1">
        <v>22585</v>
      </c>
      <c r="B311">
        <f>'10years'!B311-'10years'!$G311</f>
        <v>1.0783232672482248</v>
      </c>
      <c r="C311">
        <f>'10years'!C311-'10years'!$G311</f>
        <v>0.70567157467929875</v>
      </c>
      <c r="D311">
        <f>'10years'!D311-'10years'!$G311</f>
        <v>0.96712466947440423</v>
      </c>
      <c r="E311">
        <f>'10years'!E311-'10years'!$G311</f>
        <v>0.57462706949197107</v>
      </c>
      <c r="F311">
        <f>'10years'!F311-'10years'!$G311</f>
        <v>0.71356410516293178</v>
      </c>
      <c r="G311">
        <f>'10years'!H311-'10years'!$I311</f>
        <v>0.74233767731959333</v>
      </c>
    </row>
    <row r="312" spans="1:7" x14ac:dyDescent="0.35">
      <c r="A312" s="1">
        <v>22615</v>
      </c>
      <c r="B312">
        <f>'10years'!B312-'10years'!$G312</f>
        <v>1.112838541350142</v>
      </c>
      <c r="C312">
        <f>'10years'!C312-'10years'!$G312</f>
        <v>0.74043350416504472</v>
      </c>
      <c r="D312">
        <f>'10years'!D312-'10years'!$G312</f>
        <v>1.005632084062086</v>
      </c>
      <c r="E312">
        <f>'10years'!E312-'10years'!$G312</f>
        <v>0.61434630538688717</v>
      </c>
      <c r="F312">
        <f>'10years'!F312-'10years'!$G312</f>
        <v>0.74844773144074361</v>
      </c>
      <c r="G312">
        <f>'10years'!H312-'10years'!$I312</f>
        <v>0.7640941208130636</v>
      </c>
    </row>
    <row r="313" spans="1:7" x14ac:dyDescent="0.35">
      <c r="A313" s="1">
        <v>22644</v>
      </c>
      <c r="B313">
        <f>'10years'!B313-'10years'!$G313</f>
        <v>1.1402735392770849</v>
      </c>
      <c r="C313">
        <f>'10years'!C313-'10years'!$G313</f>
        <v>0.77469619738768447</v>
      </c>
      <c r="D313">
        <f>'10years'!D313-'10years'!$G313</f>
        <v>1.0269720103293114</v>
      </c>
      <c r="E313">
        <f>'10years'!E313-'10years'!$G313</f>
        <v>0.64025068807867314</v>
      </c>
      <c r="F313">
        <f>'10years'!F313-'10years'!$G313</f>
        <v>0.78276721510715319</v>
      </c>
      <c r="G313">
        <f>'10years'!H313-'10years'!$I313</f>
        <v>0.80001026410176923</v>
      </c>
    </row>
    <row r="314" spans="1:7" x14ac:dyDescent="0.35">
      <c r="A314" s="1">
        <v>22677</v>
      </c>
      <c r="B314">
        <f>'10years'!B314-'10years'!$G314</f>
        <v>1.1090586613594735</v>
      </c>
      <c r="C314">
        <f>'10years'!C314-'10years'!$G314</f>
        <v>0.74526767498016477</v>
      </c>
      <c r="D314">
        <f>'10years'!D314-'10years'!$G314</f>
        <v>1.001870605094656</v>
      </c>
      <c r="E314">
        <f>'10years'!E314-'10years'!$G314</f>
        <v>0.61858179848305239</v>
      </c>
      <c r="F314">
        <f>'10years'!F314-'10years'!$G314</f>
        <v>0.75278542310547225</v>
      </c>
      <c r="G314">
        <f>'10years'!H314-'10years'!$I314</f>
        <v>0.80235827469314902</v>
      </c>
    </row>
    <row r="315" spans="1:7" x14ac:dyDescent="0.35">
      <c r="A315" s="1">
        <v>22705</v>
      </c>
      <c r="B315">
        <f>'10years'!B315-'10years'!$G315</f>
        <v>1.0613384191543658</v>
      </c>
      <c r="C315">
        <f>'10years'!C315-'10years'!$G315</f>
        <v>0.69775962146938331</v>
      </c>
      <c r="D315">
        <f>'10years'!D315-'10years'!$G315</f>
        <v>0.97314503148912945</v>
      </c>
      <c r="E315">
        <f>'10years'!E315-'10years'!$G315</f>
        <v>0.59072794738930079</v>
      </c>
      <c r="F315">
        <f>'10years'!F315-'10years'!$G315</f>
        <v>0.70659698358927892</v>
      </c>
      <c r="G315">
        <f>'10years'!H315-'10years'!$I315</f>
        <v>0.76836281551273533</v>
      </c>
    </row>
    <row r="316" spans="1:7" x14ac:dyDescent="0.35">
      <c r="A316" s="1">
        <v>22735</v>
      </c>
      <c r="B316">
        <f>'10years'!B316-'10years'!$G316</f>
        <v>1.0994342427183501</v>
      </c>
      <c r="C316">
        <f>'10years'!C316-'10years'!$G316</f>
        <v>0.7411548759056974</v>
      </c>
      <c r="D316">
        <f>'10years'!D316-'10years'!$G316</f>
        <v>0.99806281807802155</v>
      </c>
      <c r="E316">
        <f>'10years'!E316-'10years'!$G316</f>
        <v>0.61858131394923466</v>
      </c>
      <c r="F316">
        <f>'10years'!F316-'10years'!$G316</f>
        <v>0.75071824745931992</v>
      </c>
      <c r="G316">
        <f>'10years'!H316-'10years'!$I316</f>
        <v>0.78380754181379686</v>
      </c>
    </row>
    <row r="317" spans="1:7" x14ac:dyDescent="0.35">
      <c r="A317" s="1">
        <v>22766</v>
      </c>
      <c r="B317">
        <f>'10years'!B317-'10years'!$G317</f>
        <v>1.0520087361951052</v>
      </c>
      <c r="C317">
        <f>'10years'!C317-'10years'!$G317</f>
        <v>0.69451933575652314</v>
      </c>
      <c r="D317">
        <f>'10years'!D317-'10years'!$G317</f>
        <v>0.95312102796800291</v>
      </c>
      <c r="E317">
        <f>'10years'!E317-'10years'!$G317</f>
        <v>0.57530060531367377</v>
      </c>
      <c r="F317">
        <f>'10years'!F317-'10years'!$G317</f>
        <v>0.70581802572797381</v>
      </c>
      <c r="G317">
        <f>'10years'!H317-'10years'!$I317</f>
        <v>0.77889438133598166</v>
      </c>
    </row>
    <row r="318" spans="1:7" x14ac:dyDescent="0.35">
      <c r="A318" s="1">
        <v>22797</v>
      </c>
      <c r="B318">
        <f>'10years'!B318-'10years'!$G318</f>
        <v>1.0331013143175483</v>
      </c>
      <c r="C318">
        <f>'10years'!C318-'10years'!$G318</f>
        <v>0.67666762070525799</v>
      </c>
      <c r="D318">
        <f>'10years'!D318-'10years'!$G318</f>
        <v>0.92381287185196559</v>
      </c>
      <c r="E318">
        <f>'10years'!E318-'10years'!$G318</f>
        <v>0.5475680145257078</v>
      </c>
      <c r="F318">
        <f>'10years'!F318-'10years'!$G318</f>
        <v>0.68822846049789277</v>
      </c>
      <c r="G318">
        <f>'10years'!H318-'10years'!$I318</f>
        <v>0.72352020118260363</v>
      </c>
    </row>
    <row r="319" spans="1:7" x14ac:dyDescent="0.35">
      <c r="A319" s="1">
        <v>22826</v>
      </c>
      <c r="B319">
        <f>'10years'!B319-'10years'!$G319</f>
        <v>0.93410643366465718</v>
      </c>
      <c r="C319">
        <f>'10years'!C319-'10years'!$G319</f>
        <v>0.58135478151342856</v>
      </c>
      <c r="D319">
        <f>'10years'!D319-'10years'!$G319</f>
        <v>0.82067189860622514</v>
      </c>
      <c r="E319">
        <f>'10years'!E319-'10years'!$G319</f>
        <v>0.44654537508184888</v>
      </c>
      <c r="F319">
        <f>'10years'!F319-'10years'!$G319</f>
        <v>0.59255066734181416</v>
      </c>
      <c r="G319">
        <f>'10years'!H319-'10years'!$I319</f>
        <v>0.65165939977969156</v>
      </c>
    </row>
    <row r="320" spans="1:7" x14ac:dyDescent="0.35">
      <c r="A320" s="1">
        <v>22858</v>
      </c>
      <c r="B320">
        <f>'10years'!B320-'10years'!$G320</f>
        <v>0.82351547768300648</v>
      </c>
      <c r="C320">
        <f>'10years'!C320-'10years'!$G320</f>
        <v>0.47136225408408983</v>
      </c>
      <c r="D320">
        <f>'10years'!D320-'10years'!$G320</f>
        <v>0.71679896692025658</v>
      </c>
      <c r="E320">
        <f>'10years'!E320-'10years'!$G320</f>
        <v>0.34395635031579364</v>
      </c>
      <c r="F320">
        <f>'10years'!F320-'10years'!$G320</f>
        <v>0.48265064746262887</v>
      </c>
      <c r="G320">
        <f>'10years'!H320-'10years'!$I320</f>
        <v>0.57944106198120071</v>
      </c>
    </row>
    <row r="321" spans="1:7" x14ac:dyDescent="0.35">
      <c r="A321" s="1">
        <v>22889</v>
      </c>
      <c r="B321">
        <f>'10years'!B321-'10years'!$G321</f>
        <v>0.85976595396913802</v>
      </c>
      <c r="C321">
        <f>'10years'!C321-'10years'!$G321</f>
        <v>0.5077214917809878</v>
      </c>
      <c r="D321">
        <f>'10years'!D321-'10years'!$G321</f>
        <v>0.74745054221975171</v>
      </c>
      <c r="E321">
        <f>'10years'!E321-'10years'!$G321</f>
        <v>0.37506833991708377</v>
      </c>
      <c r="F321">
        <f>'10years'!F321-'10years'!$G321</f>
        <v>0.51871858537774185</v>
      </c>
      <c r="G321">
        <f>'10years'!H321-'10years'!$I321</f>
        <v>0.63017509390785875</v>
      </c>
    </row>
    <row r="322" spans="1:7" x14ac:dyDescent="0.35">
      <c r="A322" s="1">
        <v>22917</v>
      </c>
      <c r="B322">
        <f>'10years'!B322-'10years'!$G322</f>
        <v>0.88195018197329467</v>
      </c>
      <c r="C322">
        <f>'10years'!C322-'10years'!$G322</f>
        <v>0.53290814391916874</v>
      </c>
      <c r="D322">
        <f>'10years'!D322-'10years'!$G322</f>
        <v>0.76852673209106181</v>
      </c>
      <c r="E322">
        <f>'10years'!E322-'10years'!$G322</f>
        <v>0.39749519901627806</v>
      </c>
      <c r="F322">
        <f>'10years'!F322-'10years'!$G322</f>
        <v>0.54310427048220222</v>
      </c>
      <c r="G322">
        <f>'10years'!H322-'10years'!$I322</f>
        <v>0.64623729099251292</v>
      </c>
    </row>
    <row r="323" spans="1:7" x14ac:dyDescent="0.35">
      <c r="A323" s="1">
        <v>22950</v>
      </c>
      <c r="B323">
        <f>'10years'!B323-'10years'!$G323</f>
        <v>0.85476225424418106</v>
      </c>
      <c r="C323">
        <f>'10years'!C323-'10years'!$G323</f>
        <v>0.50626070358960251</v>
      </c>
      <c r="D323">
        <f>'10years'!D323-'10years'!$G323</f>
        <v>0.73300605816312348</v>
      </c>
      <c r="E323">
        <f>'10years'!E323-'10years'!$G323</f>
        <v>0.36289058044737454</v>
      </c>
      <c r="F323">
        <f>'10years'!F323-'10years'!$G323</f>
        <v>0.51781916677397155</v>
      </c>
      <c r="G323">
        <f>'10years'!H323-'10years'!$I323</f>
        <v>0.60247534087018995</v>
      </c>
    </row>
    <row r="324" spans="1:7" x14ac:dyDescent="0.35">
      <c r="A324" s="1">
        <v>22980</v>
      </c>
      <c r="B324">
        <f>'10years'!B324-'10years'!$G324</f>
        <v>0.86055991602085458</v>
      </c>
      <c r="C324">
        <f>'10years'!C324-'10years'!$G324</f>
        <v>0.51175891127073347</v>
      </c>
      <c r="D324">
        <f>'10years'!D324-'10years'!$G324</f>
        <v>0.73466818683945023</v>
      </c>
      <c r="E324">
        <f>'10years'!E324-'10years'!$G324</f>
        <v>0.36558427963318119</v>
      </c>
      <c r="F324">
        <f>'10years'!F324-'10years'!$G324</f>
        <v>0.52132018541961722</v>
      </c>
      <c r="G324">
        <f>'10years'!H324-'10years'!$I324</f>
        <v>0.60734440455665339</v>
      </c>
    </row>
    <row r="325" spans="1:7" x14ac:dyDescent="0.35">
      <c r="A325" s="1">
        <v>23011</v>
      </c>
      <c r="B325">
        <f>'10years'!B325-'10years'!$G325</f>
        <v>0.89610863749626812</v>
      </c>
      <c r="C325">
        <f>'10years'!C325-'10years'!$G325</f>
        <v>0.55173098951010768</v>
      </c>
      <c r="D325">
        <f>'10years'!D325-'10years'!$G325</f>
        <v>0.77701407705216852</v>
      </c>
      <c r="E325">
        <f>'10years'!E325-'10years'!$G325</f>
        <v>0.41101058382423972</v>
      </c>
      <c r="F325">
        <f>'10years'!F325-'10years'!$G325</f>
        <v>0.56350742584969105</v>
      </c>
      <c r="G325">
        <f>'10years'!H325-'10years'!$I325</f>
        <v>0.69194808942096842</v>
      </c>
    </row>
    <row r="326" spans="1:7" x14ac:dyDescent="0.35">
      <c r="A326" s="1">
        <v>23042</v>
      </c>
      <c r="B326">
        <f>'10years'!B326-'10years'!$G326</f>
        <v>0.87693045454974672</v>
      </c>
      <c r="C326">
        <f>'10years'!C326-'10years'!$G326</f>
        <v>0.53339586245865855</v>
      </c>
      <c r="D326">
        <f>'10years'!D326-'10years'!$G326</f>
        <v>0.74364409835649492</v>
      </c>
      <c r="E326">
        <f>'10years'!E326-'10years'!$G326</f>
        <v>0.37922392811630767</v>
      </c>
      <c r="F326">
        <f>'10years'!F326-'10years'!$G326</f>
        <v>0.54492804158745112</v>
      </c>
      <c r="G326">
        <f>'10years'!H326-'10years'!$I326</f>
        <v>0.70297498804623437</v>
      </c>
    </row>
    <row r="327" spans="1:7" x14ac:dyDescent="0.35">
      <c r="A327" s="1">
        <v>23070</v>
      </c>
      <c r="B327">
        <f>'10years'!B327-'10years'!$G327</f>
        <v>0.92283240972602276</v>
      </c>
      <c r="C327">
        <f>'10years'!C327-'10years'!$G327</f>
        <v>0.57850833153419612</v>
      </c>
      <c r="D327">
        <f>'10years'!D327-'10years'!$G327</f>
        <v>0.79693114639528173</v>
      </c>
      <c r="E327">
        <f>'10years'!E327-'10years'!$G327</f>
        <v>0.43235198134653108</v>
      </c>
      <c r="F327">
        <f>'10years'!F327-'10years'!$G327</f>
        <v>0.59048369236494769</v>
      </c>
      <c r="G327">
        <f>'10years'!H327-'10years'!$I327</f>
        <v>0.74215076191359586</v>
      </c>
    </row>
    <row r="328" spans="1:7" x14ac:dyDescent="0.35">
      <c r="A328" s="1">
        <v>23099</v>
      </c>
      <c r="B328">
        <f>'10years'!B328-'10years'!$G328</f>
        <v>0.90783297315455647</v>
      </c>
      <c r="C328">
        <f>'10years'!C328-'10years'!$G328</f>
        <v>0.56799399420637497</v>
      </c>
      <c r="D328">
        <f>'10years'!D328-'10years'!$G328</f>
        <v>0.79021241223478311</v>
      </c>
      <c r="E328">
        <f>'10years'!E328-'10years'!$G328</f>
        <v>0.42813328229578618</v>
      </c>
      <c r="F328">
        <f>'10years'!F328-'10years'!$G328</f>
        <v>0.58057318045450446</v>
      </c>
      <c r="G328">
        <f>'10years'!H328-'10years'!$I328</f>
        <v>0.71966061542620974</v>
      </c>
    </row>
    <row r="329" spans="1:7" x14ac:dyDescent="0.35">
      <c r="A329" s="1">
        <v>23131</v>
      </c>
      <c r="B329">
        <f>'10years'!B329-'10years'!$G329</f>
        <v>0.95669011530155945</v>
      </c>
      <c r="C329">
        <f>'10years'!C329-'10years'!$G329</f>
        <v>0.61731887929129314</v>
      </c>
      <c r="D329">
        <f>'10years'!D329-'10years'!$G329</f>
        <v>0.8241402372517781</v>
      </c>
      <c r="E329">
        <f>'10years'!E329-'10years'!$G329</f>
        <v>0.46332083323289197</v>
      </c>
      <c r="F329">
        <f>'10years'!F329-'10years'!$G329</f>
        <v>0.62945185994794706</v>
      </c>
      <c r="G329">
        <f>'10years'!H329-'10years'!$I329</f>
        <v>0.74791655251249534</v>
      </c>
    </row>
    <row r="330" spans="1:7" x14ac:dyDescent="0.35">
      <c r="A330" s="1">
        <v>23162</v>
      </c>
      <c r="B330">
        <f>'10years'!B330-'10years'!$G330</f>
        <v>1.0179521874481263</v>
      </c>
      <c r="C330">
        <f>'10years'!C330-'10years'!$G330</f>
        <v>0.6789723605815341</v>
      </c>
      <c r="D330">
        <f>'10years'!D330-'10years'!$G330</f>
        <v>0.88169461927531123</v>
      </c>
      <c r="E330">
        <f>'10years'!E330-'10years'!$G330</f>
        <v>0.52175503315105298</v>
      </c>
      <c r="F330">
        <f>'10years'!F330-'10years'!$G330</f>
        <v>0.69109511013018277</v>
      </c>
      <c r="G330">
        <f>'10years'!H330-'10years'!$I330</f>
        <v>0.78609190702305654</v>
      </c>
    </row>
    <row r="331" spans="1:7" x14ac:dyDescent="0.35">
      <c r="A331" s="1">
        <v>23190</v>
      </c>
      <c r="B331">
        <f>'10years'!B331-'10years'!$G331</f>
        <v>1.0275926616669038</v>
      </c>
      <c r="C331">
        <f>'10years'!C331-'10years'!$G331</f>
        <v>0.69225504282437988</v>
      </c>
      <c r="D331">
        <f>'10years'!D331-'10years'!$G331</f>
        <v>0.90018829103795639</v>
      </c>
      <c r="E331">
        <f>'10years'!E331-'10years'!$G331</f>
        <v>0.54251451480831747</v>
      </c>
      <c r="F331">
        <f>'10years'!F331-'10years'!$G331</f>
        <v>0.70521752761745748</v>
      </c>
      <c r="G331">
        <f>'10years'!H331-'10years'!$I331</f>
        <v>0.80046155900261873</v>
      </c>
    </row>
    <row r="332" spans="1:7" x14ac:dyDescent="0.35">
      <c r="A332" s="1">
        <v>23223</v>
      </c>
      <c r="B332">
        <f>'10years'!B332-'10years'!$G332</f>
        <v>1.0234632917545474</v>
      </c>
      <c r="C332">
        <f>'10years'!C332-'10years'!$G332</f>
        <v>0.68874500526269444</v>
      </c>
      <c r="D332">
        <f>'10years'!D332-'10years'!$G332</f>
        <v>0.9025663170910827</v>
      </c>
      <c r="E332">
        <f>'10years'!E332-'10years'!$G332</f>
        <v>0.54614446595070665</v>
      </c>
      <c r="F332">
        <f>'10years'!F332-'10years'!$G332</f>
        <v>0.70147079747901153</v>
      </c>
      <c r="G332">
        <f>'10years'!H332-'10years'!$I332</f>
        <v>0.7827400827294495</v>
      </c>
    </row>
    <row r="333" spans="1:7" x14ac:dyDescent="0.35">
      <c r="A333" s="1">
        <v>23253</v>
      </c>
      <c r="B333">
        <f>'10years'!B333-'10years'!$G333</f>
        <v>0.99904497725049124</v>
      </c>
      <c r="C333">
        <f>'10years'!C333-'10years'!$G333</f>
        <v>0.6645051338500525</v>
      </c>
      <c r="D333">
        <f>'10years'!D333-'10years'!$G333</f>
        <v>0.87267640973078331</v>
      </c>
      <c r="E333">
        <f>'10years'!E333-'10years'!$G333</f>
        <v>0.51716442839182042</v>
      </c>
      <c r="F333">
        <f>'10years'!F333-'10years'!$G333</f>
        <v>0.67660207206287692</v>
      </c>
      <c r="G333">
        <f>'10years'!H333-'10years'!$I333</f>
        <v>0.77894297233642718</v>
      </c>
    </row>
    <row r="334" spans="1:7" x14ac:dyDescent="0.35">
      <c r="A334" s="1">
        <v>23284</v>
      </c>
      <c r="B334">
        <f>'10years'!B334-'10years'!$G334</f>
        <v>1.0856875325179502</v>
      </c>
      <c r="C334">
        <f>'10years'!C334-'10years'!$G334</f>
        <v>0.75577979542667739</v>
      </c>
      <c r="D334">
        <f>'10years'!D334-'10years'!$G334</f>
        <v>0.96752314061077849</v>
      </c>
      <c r="E334">
        <f>'10years'!E334-'10years'!$G334</f>
        <v>0.61433687669097603</v>
      </c>
      <c r="F334">
        <f>'10years'!F334-'10years'!$G334</f>
        <v>0.76601767654425812</v>
      </c>
      <c r="G334">
        <f>'10years'!H334-'10years'!$I334</f>
        <v>0.82062770780266803</v>
      </c>
    </row>
    <row r="335" spans="1:7" x14ac:dyDescent="0.35">
      <c r="A335" s="1">
        <v>23315</v>
      </c>
      <c r="B335">
        <f>'10years'!B335-'10years'!$G335</f>
        <v>1.0741261383587384</v>
      </c>
      <c r="C335">
        <f>'10years'!C335-'10years'!$G335</f>
        <v>0.74502907548508723</v>
      </c>
      <c r="D335">
        <f>'10years'!D335-'10years'!$G335</f>
        <v>0.95564918694462353</v>
      </c>
      <c r="E335">
        <f>'10years'!E335-'10years'!$G335</f>
        <v>0.60375888256310439</v>
      </c>
      <c r="F335">
        <f>'10years'!F335-'10years'!$G335</f>
        <v>0.75470915410332218</v>
      </c>
      <c r="G335">
        <f>'10years'!H335-'10years'!$I335</f>
        <v>0.80959536064248994</v>
      </c>
    </row>
    <row r="336" spans="1:7" x14ac:dyDescent="0.35">
      <c r="A336" s="1">
        <v>23344</v>
      </c>
      <c r="B336">
        <f>'10years'!B336-'10years'!$G336</f>
        <v>1.0596946127993101</v>
      </c>
      <c r="C336">
        <f>'10years'!C336-'10years'!$G336</f>
        <v>0.73038457245357846</v>
      </c>
      <c r="D336">
        <f>'10years'!D336-'10years'!$G336</f>
        <v>0.94147441987482039</v>
      </c>
      <c r="E336">
        <f>'10years'!E336-'10years'!$G336</f>
        <v>0.59063383665289737</v>
      </c>
      <c r="F336">
        <f>'10years'!F336-'10years'!$G336</f>
        <v>0.73826315960458966</v>
      </c>
      <c r="G336">
        <f>'10years'!H336-'10years'!$I336</f>
        <v>0.83595503585525144</v>
      </c>
    </row>
    <row r="337" spans="1:7" x14ac:dyDescent="0.35">
      <c r="A337" s="1">
        <v>23376</v>
      </c>
      <c r="B337">
        <f>'10years'!B337-'10years'!$G337</f>
        <v>1.0344858633039127</v>
      </c>
      <c r="C337">
        <f>'10years'!C337-'10years'!$G337</f>
        <v>0.71114216580075928</v>
      </c>
      <c r="D337">
        <f>'10years'!D337-'10years'!$G337</f>
        <v>0.91388447933941008</v>
      </c>
      <c r="E337">
        <f>'10years'!E337-'10years'!$G337</f>
        <v>0.56789909040825193</v>
      </c>
      <c r="F337">
        <f>'10years'!F337-'10years'!$G337</f>
        <v>0.7202449236765156</v>
      </c>
      <c r="G337">
        <f>'10years'!H337-'10years'!$I337</f>
        <v>0.82991830766663277</v>
      </c>
    </row>
    <row r="338" spans="1:7" x14ac:dyDescent="0.35">
      <c r="A338" s="1">
        <v>23407</v>
      </c>
      <c r="B338">
        <f>'10years'!B338-'10years'!$G338</f>
        <v>1.0534376184901131</v>
      </c>
      <c r="C338">
        <f>'10years'!C338-'10years'!$G338</f>
        <v>0.73130936599480023</v>
      </c>
      <c r="D338">
        <f>'10years'!D338-'10years'!$G338</f>
        <v>0.93621990121127396</v>
      </c>
      <c r="E338">
        <f>'10years'!E338-'10years'!$G338</f>
        <v>0.59207093456935223</v>
      </c>
      <c r="F338">
        <f>'10years'!F338-'10years'!$G338</f>
        <v>0.73754711323078226</v>
      </c>
      <c r="G338">
        <f>'10years'!H338-'10years'!$I338</f>
        <v>0.84911847105622051</v>
      </c>
    </row>
    <row r="339" spans="1:7" x14ac:dyDescent="0.35">
      <c r="A339" s="1">
        <v>23435</v>
      </c>
      <c r="B339">
        <f>'10years'!B339-'10years'!$G339</f>
        <v>1.0307121043638816</v>
      </c>
      <c r="C339">
        <f>'10years'!C339-'10years'!$G339</f>
        <v>0.70853625223007133</v>
      </c>
      <c r="D339">
        <f>'10years'!D339-'10years'!$G339</f>
        <v>0.90180093706167797</v>
      </c>
      <c r="E339">
        <f>'10years'!E339-'10years'!$G339</f>
        <v>0.55828376599536811</v>
      </c>
      <c r="F339">
        <f>'10years'!F339-'10years'!$G339</f>
        <v>0.71634239345444706</v>
      </c>
      <c r="G339">
        <f>'10years'!H339-'10years'!$I339</f>
        <v>0.8693348071774798</v>
      </c>
    </row>
    <row r="340" spans="1:7" x14ac:dyDescent="0.35">
      <c r="A340" s="1">
        <v>23467</v>
      </c>
      <c r="B340">
        <f>'10years'!B340-'10years'!$G340</f>
        <v>1.0324962053790705</v>
      </c>
      <c r="C340">
        <f>'10years'!C340-'10years'!$G340</f>
        <v>0.71511821095141159</v>
      </c>
      <c r="D340">
        <f>'10years'!D340-'10years'!$G340</f>
        <v>0.91591901349417815</v>
      </c>
      <c r="E340">
        <f>'10years'!E340-'10years'!$G340</f>
        <v>0.57558779885723177</v>
      </c>
      <c r="F340">
        <f>'10years'!F340-'10years'!$G340</f>
        <v>0.72072084795445535</v>
      </c>
      <c r="G340">
        <f>'10years'!H340-'10years'!$I340</f>
        <v>0.88136965010825463</v>
      </c>
    </row>
    <row r="341" spans="1:7" x14ac:dyDescent="0.35">
      <c r="A341" s="1">
        <v>23497</v>
      </c>
      <c r="B341">
        <f>'10years'!B341-'10years'!$G341</f>
        <v>1.019621589506952</v>
      </c>
      <c r="C341">
        <f>'10years'!C341-'10years'!$G341</f>
        <v>0.70282591333883859</v>
      </c>
      <c r="D341">
        <f>'10years'!D341-'10years'!$G341</f>
        <v>0.92078826754634013</v>
      </c>
      <c r="E341">
        <f>'10years'!E341-'10years'!$G341</f>
        <v>0.58218094446061341</v>
      </c>
      <c r="F341">
        <f>'10years'!F341-'10years'!$G341</f>
        <v>0.70643245310626979</v>
      </c>
      <c r="G341">
        <f>'10years'!H341-'10years'!$I341</f>
        <v>0.89315590608483042</v>
      </c>
    </row>
    <row r="342" spans="1:7" x14ac:dyDescent="0.35">
      <c r="A342" s="1">
        <v>23525</v>
      </c>
      <c r="B342">
        <f>'10years'!B342-'10years'!$G342</f>
        <v>0.98332489224181208</v>
      </c>
      <c r="C342">
        <f>'10years'!C342-'10years'!$G342</f>
        <v>0.6668667030795068</v>
      </c>
      <c r="D342">
        <f>'10years'!D342-'10years'!$G342</f>
        <v>0.90513468979584077</v>
      </c>
      <c r="E342">
        <f>'10years'!E342-'10years'!$G342</f>
        <v>0.56711256367335716</v>
      </c>
      <c r="F342">
        <f>'10years'!F342-'10years'!$G342</f>
        <v>0.66963382792354542</v>
      </c>
      <c r="G342">
        <f>'10years'!H342-'10years'!$I342</f>
        <v>0.8959325405055063</v>
      </c>
    </row>
    <row r="343" spans="1:7" x14ac:dyDescent="0.35">
      <c r="A343" s="1">
        <v>23558</v>
      </c>
      <c r="B343">
        <f>'10years'!B343-'10years'!$G343</f>
        <v>0.96025140441969437</v>
      </c>
      <c r="C343">
        <f>'10years'!C343-'10years'!$G343</f>
        <v>0.64684575709127023</v>
      </c>
      <c r="D343">
        <f>'10years'!D343-'10years'!$G343</f>
        <v>0.88180439757939566</v>
      </c>
      <c r="E343">
        <f>'10years'!E343-'10years'!$G343</f>
        <v>0.54615079096714392</v>
      </c>
      <c r="F343">
        <f>'10years'!F343-'10years'!$G343</f>
        <v>0.65017263659979529</v>
      </c>
      <c r="G343">
        <f>'10years'!H343-'10years'!$I343</f>
        <v>0.90779197496893005</v>
      </c>
    </row>
    <row r="344" spans="1:7" x14ac:dyDescent="0.35">
      <c r="A344" s="1">
        <v>23589</v>
      </c>
      <c r="B344">
        <f>'10years'!B344-'10years'!$G344</f>
        <v>0.97124514791622207</v>
      </c>
      <c r="C344">
        <f>'10years'!C344-'10years'!$G344</f>
        <v>0.65834414392416107</v>
      </c>
      <c r="D344">
        <f>'10years'!D344-'10years'!$G344</f>
        <v>0.88525311736686874</v>
      </c>
      <c r="E344">
        <f>'10years'!E344-'10years'!$G344</f>
        <v>0.55038647775078609</v>
      </c>
      <c r="F344">
        <f>'10years'!F344-'10years'!$G344</f>
        <v>0.66125028308496869</v>
      </c>
      <c r="G344">
        <f>'10years'!H344-'10years'!$I344</f>
        <v>0.92037022485573772</v>
      </c>
    </row>
    <row r="345" spans="1:7" x14ac:dyDescent="0.35">
      <c r="A345" s="1">
        <v>23620</v>
      </c>
      <c r="B345">
        <f>'10years'!B345-'10years'!$G345</f>
        <v>0.93681552411669178</v>
      </c>
      <c r="C345">
        <f>'10years'!C345-'10years'!$G345</f>
        <v>0.62395611220840785</v>
      </c>
      <c r="D345">
        <f>'10years'!D345-'10years'!$G345</f>
        <v>0.8543396541234991</v>
      </c>
      <c r="E345">
        <f>'10years'!E345-'10years'!$G345</f>
        <v>0.51985993184050039</v>
      </c>
      <c r="F345">
        <f>'10years'!F345-'10years'!$G345</f>
        <v>0.62758128393885593</v>
      </c>
      <c r="G345">
        <f>'10years'!H345-'10years'!$I345</f>
        <v>0.93363818486180694</v>
      </c>
    </row>
    <row r="346" spans="1:7" x14ac:dyDescent="0.35">
      <c r="A346" s="1">
        <v>23650</v>
      </c>
      <c r="B346">
        <f>'10years'!B346-'10years'!$G346</f>
        <v>0.94709105710664443</v>
      </c>
      <c r="C346">
        <f>'10years'!C346-'10years'!$G346</f>
        <v>0.63789629214232879</v>
      </c>
      <c r="D346">
        <f>'10years'!D346-'10years'!$G346</f>
        <v>0.86730772224279673</v>
      </c>
      <c r="E346">
        <f>'10years'!E346-'10years'!$G346</f>
        <v>0.53537068529916643</v>
      </c>
      <c r="F346">
        <f>'10years'!F346-'10years'!$G346</f>
        <v>0.64091630168890146</v>
      </c>
      <c r="G346">
        <f>'10years'!H346-'10years'!$I346</f>
        <v>0.94395831001161667</v>
      </c>
    </row>
    <row r="347" spans="1:7" x14ac:dyDescent="0.35">
      <c r="A347" s="1">
        <v>23680</v>
      </c>
      <c r="B347">
        <f>'10years'!B347-'10years'!$G347</f>
        <v>0.90390803130312225</v>
      </c>
      <c r="C347">
        <f>'10years'!C347-'10years'!$G347</f>
        <v>0.59496884594204325</v>
      </c>
      <c r="D347">
        <f>'10years'!D347-'10years'!$G347</f>
        <v>0.85637930145533225</v>
      </c>
      <c r="E347">
        <f>'10years'!E347-'10years'!$G347</f>
        <v>0.52475024162000672</v>
      </c>
      <c r="F347">
        <f>'10years'!F347-'10years'!$G347</f>
        <v>0.59599263565760285</v>
      </c>
      <c r="G347">
        <f>'10years'!H347-'10years'!$I347</f>
        <v>0.90083808837873036</v>
      </c>
    </row>
    <row r="348" spans="1:7" x14ac:dyDescent="0.35">
      <c r="A348" s="1">
        <v>23711</v>
      </c>
      <c r="B348">
        <f>'10years'!B348-'10years'!$G348</f>
        <v>0.92455787064236317</v>
      </c>
      <c r="C348">
        <f>'10years'!C348-'10years'!$G348</f>
        <v>0.6152450867912953</v>
      </c>
      <c r="D348">
        <f>'10years'!D348-'10years'!$G348</f>
        <v>0.87584359456454175</v>
      </c>
      <c r="E348">
        <f>'10years'!E348-'10years'!$G348</f>
        <v>0.54458496983991322</v>
      </c>
      <c r="F348">
        <f>'10years'!F348-'10years'!$G348</f>
        <v>0.61741543938640531</v>
      </c>
      <c r="G348">
        <f>'10years'!H348-'10years'!$I348</f>
        <v>0.92147228584893437</v>
      </c>
    </row>
    <row r="349" spans="1:7" x14ac:dyDescent="0.35">
      <c r="A349" s="1">
        <v>23742</v>
      </c>
      <c r="B349">
        <f>'10years'!B349-'10years'!$G349</f>
        <v>0.84687501240702345</v>
      </c>
      <c r="C349">
        <f>'10years'!C349-'10years'!$G349</f>
        <v>0.54266053403674408</v>
      </c>
      <c r="D349">
        <f>'10years'!D349-'10years'!$G349</f>
        <v>0.78805374086711288</v>
      </c>
      <c r="E349">
        <f>'10years'!E349-'10years'!$G349</f>
        <v>0.46096769914870772</v>
      </c>
      <c r="F349">
        <f>'10years'!F349-'10years'!$G349</f>
        <v>0.54580346277585234</v>
      </c>
      <c r="G349">
        <f>'10years'!H349-'10years'!$I349</f>
        <v>0.84394300832788538</v>
      </c>
    </row>
    <row r="350" spans="1:7" x14ac:dyDescent="0.35">
      <c r="A350" s="1">
        <v>23771</v>
      </c>
      <c r="B350">
        <f>'10years'!B350-'10years'!$G350</f>
        <v>0.80480751414047291</v>
      </c>
      <c r="C350">
        <f>'10years'!C350-'10years'!$G350</f>
        <v>0.50105862718745819</v>
      </c>
      <c r="D350">
        <f>'10years'!D350-'10years'!$G350</f>
        <v>0.71827643615456549</v>
      </c>
      <c r="E350">
        <f>'10years'!E350-'10years'!$G350</f>
        <v>0.39141205815931479</v>
      </c>
      <c r="F350">
        <f>'10years'!F350-'10years'!$G350</f>
        <v>0.50552044823861864</v>
      </c>
      <c r="G350">
        <f>'10years'!H350-'10years'!$I350</f>
        <v>0.80194782810008025</v>
      </c>
    </row>
    <row r="351" spans="1:7" x14ac:dyDescent="0.35">
      <c r="A351" s="1">
        <v>23799</v>
      </c>
      <c r="B351">
        <f>'10years'!B351-'10years'!$G351</f>
        <v>0.81680128760885196</v>
      </c>
      <c r="C351">
        <f>'10years'!C351-'10years'!$G351</f>
        <v>0.51263694104010482</v>
      </c>
      <c r="D351">
        <f>'10years'!D351-'10years'!$G351</f>
        <v>0.75549901573276723</v>
      </c>
      <c r="E351">
        <f>'10years'!E351-'10years'!$G351</f>
        <v>0.4285649847321753</v>
      </c>
      <c r="F351">
        <f>'10years'!F351-'10years'!$G351</f>
        <v>0.51615450319639034</v>
      </c>
      <c r="G351">
        <f>'10years'!H351-'10years'!$I351</f>
        <v>0.8139681073260574</v>
      </c>
    </row>
    <row r="352" spans="1:7" x14ac:dyDescent="0.35">
      <c r="A352" s="1">
        <v>23832</v>
      </c>
      <c r="B352">
        <f>'10years'!B352-'10years'!$G352</f>
        <v>0.80685632492582871</v>
      </c>
      <c r="C352">
        <f>'10years'!C352-'10years'!$G352</f>
        <v>0.50558011204753006</v>
      </c>
      <c r="D352">
        <f>'10years'!D352-'10years'!$G352</f>
        <v>0.74741234308024262</v>
      </c>
      <c r="E352">
        <f>'10years'!E352-'10years'!$G352</f>
        <v>0.42242034630781466</v>
      </c>
      <c r="F352">
        <f>'10years'!F352-'10years'!$G352</f>
        <v>0.51015154034583565</v>
      </c>
      <c r="G352">
        <f>'10years'!H352-'10years'!$I352</f>
        <v>0.80407996932201353</v>
      </c>
    </row>
    <row r="353" spans="1:7" x14ac:dyDescent="0.35">
      <c r="A353" s="1">
        <v>23862</v>
      </c>
      <c r="B353">
        <f>'10years'!B353-'10years'!$G353</f>
        <v>0.79625221226665266</v>
      </c>
      <c r="C353">
        <f>'10years'!C353-'10years'!$G353</f>
        <v>0.49510411304690249</v>
      </c>
      <c r="D353">
        <f>'10years'!D353-'10years'!$G353</f>
        <v>0.75016424442729379</v>
      </c>
      <c r="E353">
        <f>'10years'!E353-'10years'!$G353</f>
        <v>0.42580767594540658</v>
      </c>
      <c r="F353">
        <f>'10years'!F353-'10years'!$G353</f>
        <v>0.49984097860136911</v>
      </c>
      <c r="G353">
        <f>'10years'!H353-'10years'!$I353</f>
        <v>0.79345858537045455</v>
      </c>
    </row>
    <row r="354" spans="1:7" x14ac:dyDescent="0.35">
      <c r="A354" s="1">
        <v>23890</v>
      </c>
      <c r="B354">
        <f>'10years'!B354-'10years'!$G354</f>
        <v>0.79104752550037638</v>
      </c>
      <c r="C354">
        <f>'10years'!C354-'10years'!$G354</f>
        <v>0.4899997707956123</v>
      </c>
      <c r="D354">
        <f>'10years'!D354-'10years'!$G354</f>
        <v>0.7444250256504743</v>
      </c>
      <c r="E354">
        <f>'10years'!E354-'10years'!$G354</f>
        <v>0.42038790679378391</v>
      </c>
      <c r="F354">
        <f>'10years'!F354-'10years'!$G354</f>
        <v>0.49524333583642566</v>
      </c>
      <c r="G354">
        <f>'10years'!H354-'10years'!$I354</f>
        <v>0.78826838495598128</v>
      </c>
    </row>
    <row r="355" spans="1:7" x14ac:dyDescent="0.35">
      <c r="A355" s="1">
        <v>23923</v>
      </c>
      <c r="B355">
        <f>'10years'!B355-'10years'!$G355</f>
        <v>0.78160607241799029</v>
      </c>
      <c r="C355">
        <f>'10years'!C355-'10years'!$G355</f>
        <v>0.48245510401451819</v>
      </c>
      <c r="D355">
        <f>'10years'!D355-'10years'!$G355</f>
        <v>0.72745923609433616</v>
      </c>
      <c r="E355">
        <f>'10years'!E355-'10years'!$G355</f>
        <v>0.40510504816297432</v>
      </c>
      <c r="F355">
        <f>'10years'!F355-'10years'!$G355</f>
        <v>0.4884135777959604</v>
      </c>
      <c r="G355">
        <f>'10years'!H355-'10years'!$I355</f>
        <v>0.77880939347534373</v>
      </c>
    </row>
    <row r="356" spans="1:7" x14ac:dyDescent="0.35">
      <c r="A356" s="1">
        <v>23953</v>
      </c>
      <c r="B356">
        <f>'10years'!B356-'10years'!$G356</f>
        <v>0.67337662082954086</v>
      </c>
      <c r="C356">
        <f>'10years'!C356-'10years'!$G356</f>
        <v>0.37429394772348612</v>
      </c>
      <c r="D356">
        <f>'10years'!D356-'10years'!$G356</f>
        <v>0.63332000010958822</v>
      </c>
      <c r="E356">
        <f>'10years'!E356-'10years'!$G356</f>
        <v>0.3114691529764233</v>
      </c>
      <c r="F356">
        <f>'10years'!F356-'10years'!$G356</f>
        <v>0.37817486065199724</v>
      </c>
      <c r="G356">
        <f>'10years'!H356-'10years'!$I356</f>
        <v>0.67069070012866217</v>
      </c>
    </row>
    <row r="357" spans="1:7" x14ac:dyDescent="0.35">
      <c r="A357" s="1">
        <v>23985</v>
      </c>
      <c r="B357">
        <f>'10years'!B357-'10years'!$G357</f>
        <v>0.63657184039049985</v>
      </c>
      <c r="C357">
        <f>'10years'!C357-'10years'!$G357</f>
        <v>0.33738337525253259</v>
      </c>
      <c r="D357">
        <f>'10years'!D357-'10years'!$G357</f>
        <v>0.64572843795662882</v>
      </c>
      <c r="E357">
        <f>'10years'!E357-'10years'!$G357</f>
        <v>0.32402561721529688</v>
      </c>
      <c r="F357">
        <f>'10years'!F357-'10years'!$G357</f>
        <v>0.33819617046271366</v>
      </c>
      <c r="G357">
        <f>'10years'!H357-'10years'!$I357</f>
        <v>0.63398241066892069</v>
      </c>
    </row>
    <row r="358" spans="1:7" x14ac:dyDescent="0.35">
      <c r="A358" s="1">
        <v>24015</v>
      </c>
      <c r="B358">
        <f>'10years'!B358-'10years'!$G358</f>
        <v>0.65857478348682363</v>
      </c>
      <c r="C358">
        <f>'10years'!C358-'10years'!$G358</f>
        <v>0.36161082944616041</v>
      </c>
      <c r="D358">
        <f>'10years'!D358-'10years'!$G358</f>
        <v>0.67542681757385736</v>
      </c>
      <c r="E358">
        <f>'10years'!E358-'10years'!$G358</f>
        <v>0.35495752618090215</v>
      </c>
      <c r="F358">
        <f>'10years'!F358-'10years'!$G358</f>
        <v>0.36204148061082275</v>
      </c>
      <c r="G358">
        <f>'10years'!H358-'10years'!$I358</f>
        <v>0.65593102898346967</v>
      </c>
    </row>
    <row r="359" spans="1:7" x14ac:dyDescent="0.35">
      <c r="A359" s="1">
        <v>24044</v>
      </c>
      <c r="B359">
        <f>'10years'!B359-'10years'!$G359</f>
        <v>0.67549222373277895</v>
      </c>
      <c r="C359">
        <f>'10years'!C359-'10years'!$G359</f>
        <v>0.37836314309030139</v>
      </c>
      <c r="D359">
        <f>'10years'!D359-'10years'!$G359</f>
        <v>0.71629350937254777</v>
      </c>
      <c r="E359">
        <f>'10years'!E359-'10years'!$G359</f>
        <v>0.39603983444856072</v>
      </c>
      <c r="F359">
        <f>'10years'!F359-'10years'!$G359</f>
        <v>0.3777500483662235</v>
      </c>
      <c r="G359">
        <f>'10years'!H359-'10years'!$I359</f>
        <v>0.67283206558597097</v>
      </c>
    </row>
    <row r="360" spans="1:7" x14ac:dyDescent="0.35">
      <c r="A360" s="1">
        <v>24076</v>
      </c>
      <c r="B360">
        <f>'10years'!B360-'10years'!$G360</f>
        <v>0.72433749256347046</v>
      </c>
      <c r="C360">
        <f>'10years'!C360-'10years'!$G360</f>
        <v>0.42664491188922349</v>
      </c>
      <c r="D360">
        <f>'10years'!D360-'10years'!$G360</f>
        <v>0.77268189895918771</v>
      </c>
      <c r="E360">
        <f>'10years'!E360-'10years'!$G360</f>
        <v>0.45243727974835779</v>
      </c>
      <c r="F360">
        <f>'10years'!F360-'10years'!$G360</f>
        <v>0.42524077009121197</v>
      </c>
      <c r="G360">
        <f>'10years'!H360-'10years'!$I360</f>
        <v>0.72158377194166956</v>
      </c>
    </row>
    <row r="361" spans="1:7" x14ac:dyDescent="0.35">
      <c r="A361" s="1">
        <v>24107</v>
      </c>
      <c r="B361">
        <f>'10years'!B361-'10years'!$G361</f>
        <v>0.64886158660583781</v>
      </c>
      <c r="C361">
        <f>'10years'!C361-'10years'!$G361</f>
        <v>0.355756832493066</v>
      </c>
      <c r="D361">
        <f>'10years'!D361-'10years'!$G361</f>
        <v>0.73150991256698106</v>
      </c>
      <c r="E361">
        <f>'10years'!E361-'10years'!$G361</f>
        <v>0.41468115633093827</v>
      </c>
      <c r="F361">
        <f>'10years'!F361-'10years'!$G361</f>
        <v>0.35585665553825141</v>
      </c>
      <c r="G361">
        <f>'10years'!H361-'10years'!$I361</f>
        <v>0.64617203132912859</v>
      </c>
    </row>
    <row r="362" spans="1:7" x14ac:dyDescent="0.35">
      <c r="A362" s="1">
        <v>24138</v>
      </c>
      <c r="B362">
        <f>'10years'!B362-'10years'!$G362</f>
        <v>0.65655090559840046</v>
      </c>
      <c r="C362">
        <f>'10years'!C362-'10years'!$G362</f>
        <v>0.3635038836407074</v>
      </c>
      <c r="D362">
        <f>'10years'!D362-'10years'!$G362</f>
        <v>0.74765393567317995</v>
      </c>
      <c r="E362">
        <f>'10years'!E362-'10years'!$G362</f>
        <v>0.4311781887831363</v>
      </c>
      <c r="F362">
        <f>'10years'!F362-'10years'!$G362</f>
        <v>0.36265290850446119</v>
      </c>
      <c r="G362">
        <f>'10years'!H362-'10years'!$I362</f>
        <v>0.65380788383166966</v>
      </c>
    </row>
    <row r="363" spans="1:7" x14ac:dyDescent="0.35">
      <c r="A363" s="1">
        <v>24166</v>
      </c>
      <c r="B363">
        <f>'10years'!B363-'10years'!$G363</f>
        <v>0.69007793736633305</v>
      </c>
      <c r="C363">
        <f>'10years'!C363-'10years'!$G363</f>
        <v>0.39729930756667153</v>
      </c>
      <c r="D363">
        <f>'10years'!D363-'10years'!$G363</f>
        <v>0.79963086145163187</v>
      </c>
      <c r="E363">
        <f>'10years'!E363-'10years'!$G363</f>
        <v>0.48368240800305395</v>
      </c>
      <c r="F363">
        <f>'10years'!F363-'10years'!$G363</f>
        <v>0.39663618484791341</v>
      </c>
      <c r="G363">
        <f>'10years'!H363-'10years'!$I363</f>
        <v>0.68720504611095024</v>
      </c>
    </row>
    <row r="364" spans="1:7" x14ac:dyDescent="0.35">
      <c r="A364" s="1">
        <v>24197</v>
      </c>
      <c r="B364">
        <f>'10years'!B364-'10years'!$G364</f>
        <v>0.64388690655838432</v>
      </c>
      <c r="C364">
        <f>'10years'!C364-'10years'!$G364</f>
        <v>0.35275873357345078</v>
      </c>
      <c r="D364">
        <f>'10years'!D364-'10years'!$G364</f>
        <v>0.77160084924398764</v>
      </c>
      <c r="E364">
        <f>'10years'!E364-'10years'!$G364</f>
        <v>0.45772586606473564</v>
      </c>
      <c r="F364">
        <f>'10years'!F364-'10years'!$G364</f>
        <v>0.3516330334821085</v>
      </c>
      <c r="G364">
        <f>'10years'!H364-'10years'!$I364</f>
        <v>0.64101525623436739</v>
      </c>
    </row>
    <row r="365" spans="1:7" x14ac:dyDescent="0.35">
      <c r="A365" s="1">
        <v>24226</v>
      </c>
      <c r="B365">
        <f>'10years'!B365-'10years'!$G365</f>
        <v>0.56531202817881887</v>
      </c>
      <c r="C365">
        <f>'10years'!C365-'10years'!$G365</f>
        <v>0.27392350492090056</v>
      </c>
      <c r="D365">
        <f>'10years'!D365-'10years'!$G365</f>
        <v>0.70216887096501157</v>
      </c>
      <c r="E365">
        <f>'10years'!E365-'10years'!$G365</f>
        <v>0.38887179761328561</v>
      </c>
      <c r="F365">
        <f>'10years'!F365-'10years'!$G365</f>
        <v>0.27517087618948732</v>
      </c>
      <c r="G365">
        <f>'10years'!H365-'10years'!$I365</f>
        <v>0.56250540720288456</v>
      </c>
    </row>
    <row r="366" spans="1:7" x14ac:dyDescent="0.35">
      <c r="A366" s="1">
        <v>24258</v>
      </c>
      <c r="B366">
        <f>'10years'!B366-'10years'!$G366</f>
        <v>0.58303662197921713</v>
      </c>
      <c r="C366">
        <f>'10years'!C366-'10years'!$G366</f>
        <v>0.29150964142360514</v>
      </c>
      <c r="D366">
        <f>'10years'!D366-'10years'!$G366</f>
        <v>0.7274037505466191</v>
      </c>
      <c r="E366">
        <f>'10years'!E366-'10years'!$G366</f>
        <v>0.41439958518222464</v>
      </c>
      <c r="F366">
        <f>'10years'!F366-'10years'!$G366</f>
        <v>0.29268458907100281</v>
      </c>
      <c r="G366">
        <f>'10years'!H366-'10years'!$I366</f>
        <v>0.58016797927340491</v>
      </c>
    </row>
    <row r="367" spans="1:7" x14ac:dyDescent="0.35">
      <c r="A367" s="1">
        <v>24288</v>
      </c>
      <c r="B367">
        <f>'10years'!B367-'10years'!$G367</f>
        <v>0.58986423232261687</v>
      </c>
      <c r="C367">
        <f>'10years'!C367-'10years'!$G367</f>
        <v>0.30020455794155709</v>
      </c>
      <c r="D367">
        <f>'10years'!D367-'10years'!$G367</f>
        <v>0.70640869952856478</v>
      </c>
      <c r="E367">
        <f>'10years'!E367-'10years'!$G367</f>
        <v>0.39509478356801098</v>
      </c>
      <c r="F367">
        <f>'10years'!F367-'10years'!$G367</f>
        <v>0.30160642740680221</v>
      </c>
      <c r="G367">
        <f>'10years'!H367-'10years'!$I367</f>
        <v>0.58690140288426562</v>
      </c>
    </row>
    <row r="368" spans="1:7" x14ac:dyDescent="0.35">
      <c r="A368" s="1">
        <v>24317</v>
      </c>
      <c r="B368">
        <f>'10years'!B368-'10years'!$G368</f>
        <v>0.54418892778218564</v>
      </c>
      <c r="C368">
        <f>'10years'!C368-'10years'!$G368</f>
        <v>0.25428633379884791</v>
      </c>
      <c r="D368">
        <f>'10years'!D368-'10years'!$G368</f>
        <v>0.6751596641478177</v>
      </c>
      <c r="E368">
        <f>'10years'!E368-'10years'!$G368</f>
        <v>0.36390134223773818</v>
      </c>
      <c r="F368">
        <f>'10years'!F368-'10years'!$G368</f>
        <v>0.25436184566354236</v>
      </c>
      <c r="G368">
        <f>'10years'!H368-'10years'!$I368</f>
        <v>0.54125278220671369</v>
      </c>
    </row>
    <row r="369" spans="1:7" x14ac:dyDescent="0.35">
      <c r="A369" s="1">
        <v>24350</v>
      </c>
      <c r="B369">
        <f>'10years'!B369-'10years'!$G369</f>
        <v>0.49079073373567472</v>
      </c>
      <c r="C369">
        <f>'10years'!C369-'10years'!$G369</f>
        <v>0.20091081938508659</v>
      </c>
      <c r="D369">
        <f>'10years'!D369-'10years'!$G369</f>
        <v>0.63127488384059949</v>
      </c>
      <c r="E369">
        <f>'10years'!E369-'10years'!$G369</f>
        <v>0.32047317205949377</v>
      </c>
      <c r="F369">
        <f>'10years'!F369-'10years'!$G369</f>
        <v>0.1999160345665667</v>
      </c>
      <c r="G369">
        <f>'10years'!H369-'10years'!$I369</f>
        <v>0.48790778003746649</v>
      </c>
    </row>
    <row r="370" spans="1:7" x14ac:dyDescent="0.35">
      <c r="A370" s="1">
        <v>24380</v>
      </c>
      <c r="B370">
        <f>'10years'!B370-'10years'!$G370</f>
        <v>0.45444395059250997</v>
      </c>
      <c r="C370">
        <f>'10years'!C370-'10years'!$G370</f>
        <v>0.16562704862164246</v>
      </c>
      <c r="D370">
        <f>'10years'!D370-'10years'!$G370</f>
        <v>0.58020362777042678</v>
      </c>
      <c r="E370">
        <f>'10years'!E370-'10years'!$G370</f>
        <v>0.26987510422547079</v>
      </c>
      <c r="F370">
        <f>'10years'!F370-'10years'!$G370</f>
        <v>0.16272836529647261</v>
      </c>
      <c r="G370">
        <f>'10years'!H370-'10years'!$I370</f>
        <v>0.45152306749074445</v>
      </c>
    </row>
    <row r="371" spans="1:7" x14ac:dyDescent="0.35">
      <c r="A371" s="1">
        <v>24411</v>
      </c>
      <c r="B371">
        <f>'10years'!B371-'10years'!$G371</f>
        <v>0.48520128615174341</v>
      </c>
      <c r="C371">
        <f>'10years'!C371-'10years'!$G371</f>
        <v>0.19603864447227992</v>
      </c>
      <c r="D371">
        <f>'10years'!D371-'10years'!$G371</f>
        <v>0.60432364904576308</v>
      </c>
      <c r="E371">
        <f>'10years'!E371-'10years'!$G371</f>
        <v>0.29414582921145116</v>
      </c>
      <c r="F371">
        <f>'10years'!F371-'10years'!$G371</f>
        <v>0.19401457546579004</v>
      </c>
      <c r="G371">
        <f>'10years'!H371-'10years'!$I371</f>
        <v>0.48216588459162324</v>
      </c>
    </row>
    <row r="372" spans="1:7" x14ac:dyDescent="0.35">
      <c r="A372" s="1">
        <v>24441</v>
      </c>
      <c r="B372">
        <f>'10years'!B372-'10years'!$G372</f>
        <v>0.51775156753276508</v>
      </c>
      <c r="C372">
        <f>'10years'!C372-'10years'!$G372</f>
        <v>0.22872034959436927</v>
      </c>
      <c r="D372">
        <f>'10years'!D372-'10years'!$G372</f>
        <v>0.62031114416484257</v>
      </c>
      <c r="E372">
        <f>'10years'!E372-'10years'!$G372</f>
        <v>0.31097314039779689</v>
      </c>
      <c r="F372">
        <f>'10years'!F372-'10years'!$G372</f>
        <v>0.22712365047264949</v>
      </c>
      <c r="G372">
        <f>'10years'!H372-'10years'!$I372</f>
        <v>0.51455324693807647</v>
      </c>
    </row>
    <row r="373" spans="1:7" x14ac:dyDescent="0.35">
      <c r="A373" s="1">
        <v>24471</v>
      </c>
      <c r="B373">
        <f>'10years'!B373-'10years'!$G373</f>
        <v>0.52713792497948297</v>
      </c>
      <c r="C373">
        <f>'10years'!C373-'10years'!$G373</f>
        <v>0.2396448023828448</v>
      </c>
      <c r="D373">
        <f>'10years'!D373-'10years'!$G373</f>
        <v>0.64511661618821403</v>
      </c>
      <c r="E373">
        <f>'10years'!E373-'10years'!$G373</f>
        <v>0.33667156751097238</v>
      </c>
      <c r="F373">
        <f>'10years'!F373-'10years'!$G373</f>
        <v>0.23736544520015634</v>
      </c>
      <c r="G373">
        <f>'10years'!H373-'10years'!$I373</f>
        <v>0.52385621366093371</v>
      </c>
    </row>
    <row r="374" spans="1:7" x14ac:dyDescent="0.35">
      <c r="A374" s="1">
        <v>24503</v>
      </c>
      <c r="B374">
        <f>'10years'!B374-'10years'!$G374</f>
        <v>0.49622397315010813</v>
      </c>
      <c r="C374">
        <f>'10years'!C374-'10years'!$G374</f>
        <v>0.20911978453000613</v>
      </c>
      <c r="D374">
        <f>'10years'!D374-'10years'!$G374</f>
        <v>0.6323893194887984</v>
      </c>
      <c r="E374">
        <f>'10years'!E374-'10years'!$G374</f>
        <v>0.32510714505700955</v>
      </c>
      <c r="F374">
        <f>'10years'!F374-'10years'!$G374</f>
        <v>0.20583270140291576</v>
      </c>
      <c r="G374">
        <f>'10years'!H374-'10years'!$I374</f>
        <v>0.49292999601247001</v>
      </c>
    </row>
    <row r="375" spans="1:7" x14ac:dyDescent="0.35">
      <c r="A375" s="1">
        <v>24531</v>
      </c>
      <c r="B375">
        <f>'10years'!B375-'10years'!$G375</f>
        <v>0.59351820253572374</v>
      </c>
      <c r="C375">
        <f>'10years'!C375-'10years'!$G375</f>
        <v>0.30613684457971679</v>
      </c>
      <c r="D375">
        <f>'10years'!D375-'10years'!$G375</f>
        <v>0.73576075549070907</v>
      </c>
      <c r="E375">
        <f>'10years'!E375-'10years'!$G375</f>
        <v>0.42861266548779131</v>
      </c>
      <c r="F375">
        <f>'10years'!F375-'10years'!$G375</f>
        <v>0.30338735234280811</v>
      </c>
      <c r="G375">
        <f>'10years'!H375-'10years'!$I375</f>
        <v>0.58999490132303212</v>
      </c>
    </row>
    <row r="376" spans="1:7" x14ac:dyDescent="0.35">
      <c r="A376" s="1">
        <v>24562</v>
      </c>
      <c r="B376">
        <f>'10years'!B376-'10years'!$G376</f>
        <v>0.62005708360684242</v>
      </c>
      <c r="C376">
        <f>'10years'!C376-'10years'!$G376</f>
        <v>0.33517078363794184</v>
      </c>
      <c r="D376">
        <f>'10years'!D376-'10years'!$G376</f>
        <v>0.76540587059812637</v>
      </c>
      <c r="E376">
        <f>'10years'!E376-'10years'!$G376</f>
        <v>0.46019328319526753</v>
      </c>
      <c r="F376">
        <f>'10years'!F376-'10years'!$G376</f>
        <v>0.33188661234093964</v>
      </c>
      <c r="G376">
        <f>'10years'!H376-'10years'!$I376</f>
        <v>0.61646633521255101</v>
      </c>
    </row>
    <row r="377" spans="1:7" x14ac:dyDescent="0.35">
      <c r="A377" s="1">
        <v>24590</v>
      </c>
      <c r="B377">
        <f>'10years'!B377-'10years'!$G377</f>
        <v>0.63287671163388803</v>
      </c>
      <c r="C377">
        <f>'10years'!C377-'10years'!$G377</f>
        <v>0.34918859233775534</v>
      </c>
      <c r="D377">
        <f>'10years'!D377-'10years'!$G377</f>
        <v>0.78755723059015081</v>
      </c>
      <c r="E377">
        <f>'10years'!E377-'10years'!$G377</f>
        <v>0.48351563716138979</v>
      </c>
      <c r="F377">
        <f>'10years'!F377-'10years'!$G377</f>
        <v>0.34670220411377861</v>
      </c>
      <c r="G377">
        <f>'10years'!H377-'10years'!$I377</f>
        <v>0.62922088685399835</v>
      </c>
    </row>
    <row r="378" spans="1:7" x14ac:dyDescent="0.35">
      <c r="A378" s="1">
        <v>24623</v>
      </c>
      <c r="B378">
        <f>'10years'!B378-'10years'!$G378</f>
        <v>0.62976052686827311</v>
      </c>
      <c r="C378">
        <f>'10years'!C378-'10years'!$G378</f>
        <v>0.34647528355484836</v>
      </c>
      <c r="D378">
        <f>'10years'!D378-'10years'!$G378</f>
        <v>0.79455554923646465</v>
      </c>
      <c r="E378">
        <f>'10years'!E378-'10years'!$G378</f>
        <v>0.49114580981721767</v>
      </c>
      <c r="F378">
        <f>'10years'!F378-'10years'!$G378</f>
        <v>0.35039660265081585</v>
      </c>
      <c r="G378">
        <f>'10years'!H378-'10years'!$I378</f>
        <v>0.62609152670902724</v>
      </c>
    </row>
    <row r="379" spans="1:7" x14ac:dyDescent="0.35">
      <c r="A379" s="1">
        <v>24653</v>
      </c>
      <c r="B379">
        <f>'10years'!B379-'10years'!$G379</f>
        <v>0.55697118280540159</v>
      </c>
      <c r="C379">
        <f>'10years'!C379-'10years'!$G379</f>
        <v>0.2735060091676258</v>
      </c>
      <c r="D379">
        <f>'10years'!D379-'10years'!$G379</f>
        <v>0.74975030592463709</v>
      </c>
      <c r="E379">
        <f>'10years'!E379-'10years'!$G379</f>
        <v>0.44682400984477311</v>
      </c>
      <c r="F379">
        <f>'10years'!F379-'10years'!$G379</f>
        <v>0.27428528059470181</v>
      </c>
      <c r="G379">
        <f>'10years'!H379-'10years'!$I379</f>
        <v>0.55339771965134954</v>
      </c>
    </row>
    <row r="380" spans="1:7" x14ac:dyDescent="0.35">
      <c r="A380" s="1">
        <v>24684</v>
      </c>
      <c r="B380">
        <f>'10years'!B380-'10years'!$G380</f>
        <v>0.5733901985713965</v>
      </c>
      <c r="C380">
        <f>'10years'!C380-'10years'!$G380</f>
        <v>0.29126335339773846</v>
      </c>
      <c r="D380">
        <f>'10years'!D380-'10years'!$G380</f>
        <v>0.7863568509051424</v>
      </c>
      <c r="E380">
        <f>'10years'!E380-'10years'!$G380</f>
        <v>0.48449521924352723</v>
      </c>
      <c r="F380">
        <f>'10years'!F380-'10years'!$G380</f>
        <v>0.28964058780950008</v>
      </c>
      <c r="G380">
        <f>'10years'!H380-'10years'!$I380</f>
        <v>0.56978337489483888</v>
      </c>
    </row>
    <row r="381" spans="1:7" x14ac:dyDescent="0.35">
      <c r="A381" s="1">
        <v>24715</v>
      </c>
      <c r="B381">
        <f>'10years'!B381-'10years'!$G381</f>
        <v>0.60331670282195682</v>
      </c>
      <c r="C381">
        <f>'10years'!C381-'10years'!$G381</f>
        <v>0.32171097712484742</v>
      </c>
      <c r="D381">
        <f>'10years'!D381-'10years'!$G381</f>
        <v>0.83935088267527402</v>
      </c>
      <c r="E381">
        <f>'10years'!E381-'10years'!$G381</f>
        <v>0.53806865157458827</v>
      </c>
      <c r="F381">
        <f>'10years'!F381-'10years'!$G381</f>
        <v>0.3172223183761782</v>
      </c>
      <c r="G381">
        <f>'10years'!H381-'10years'!$I381</f>
        <v>0.59966357365910383</v>
      </c>
    </row>
    <row r="382" spans="1:7" x14ac:dyDescent="0.35">
      <c r="A382" s="1">
        <v>24744</v>
      </c>
      <c r="B382">
        <f>'10years'!B382-'10years'!$G382</f>
        <v>0.63930308039839345</v>
      </c>
      <c r="C382">
        <f>'10years'!C382-'10years'!$G382</f>
        <v>0.3576266733714728</v>
      </c>
      <c r="D382">
        <f>'10years'!D382-'10years'!$G382</f>
        <v>0.88696830596329046</v>
      </c>
      <c r="E382">
        <f>'10years'!E382-'10years'!$G382</f>
        <v>0.58643799714384381</v>
      </c>
      <c r="F382">
        <f>'10years'!F382-'10years'!$G382</f>
        <v>0.35529256455422487</v>
      </c>
      <c r="G382">
        <f>'10years'!H382-'10years'!$I382</f>
        <v>0.63558981976483686</v>
      </c>
    </row>
    <row r="383" spans="1:7" x14ac:dyDescent="0.35">
      <c r="A383" s="1">
        <v>24776</v>
      </c>
      <c r="B383">
        <f>'10years'!B383-'10years'!$G383</f>
        <v>0.71693598612523046</v>
      </c>
      <c r="C383">
        <f>'10years'!C383-'10years'!$G383</f>
        <v>0.43648727260723041</v>
      </c>
      <c r="D383">
        <f>'10years'!D383-'10years'!$G383</f>
        <v>0.95090335808507276</v>
      </c>
      <c r="E383">
        <f>'10years'!E383-'10years'!$G383</f>
        <v>0.65228214308387922</v>
      </c>
      <c r="F383">
        <f>'10years'!F383-'10years'!$G383</f>
        <v>0.43547588658927316</v>
      </c>
      <c r="G383">
        <f>'10years'!H383-'10years'!$I383</f>
        <v>0.71308999073977919</v>
      </c>
    </row>
    <row r="384" spans="1:7" x14ac:dyDescent="0.35">
      <c r="A384" s="1">
        <v>24806</v>
      </c>
      <c r="B384">
        <f>'10years'!B384-'10years'!$G384</f>
        <v>0.72606517044186525</v>
      </c>
      <c r="C384">
        <f>'10years'!C384-'10years'!$G384</f>
        <v>0.44600574087458433</v>
      </c>
      <c r="D384">
        <f>'10years'!D384-'10years'!$G384</f>
        <v>0.95555599898715204</v>
      </c>
      <c r="E384">
        <f>'10years'!E384-'10years'!$G384</f>
        <v>0.65801742766892879</v>
      </c>
      <c r="F384">
        <f>'10years'!F384-'10years'!$G384</f>
        <v>0.43729572947265982</v>
      </c>
      <c r="G384">
        <f>'10years'!H384-'10years'!$I384</f>
        <v>0.72213595497667704</v>
      </c>
    </row>
    <row r="385" spans="1:7" x14ac:dyDescent="0.35">
      <c r="A385" s="1">
        <v>24835</v>
      </c>
      <c r="B385">
        <f>'10years'!B385-'10years'!$G385</f>
        <v>0.71111656975223103</v>
      </c>
      <c r="C385">
        <f>'10years'!C385-'10years'!$G385</f>
        <v>0.43210059403634049</v>
      </c>
      <c r="D385">
        <f>'10years'!D385-'10years'!$G385</f>
        <v>0.93464958630356709</v>
      </c>
      <c r="E385">
        <f>'10years'!E385-'10years'!$G385</f>
        <v>0.63854068296117128</v>
      </c>
      <c r="F385">
        <f>'10years'!F385-'10years'!$G385</f>
        <v>0.42417536759705343</v>
      </c>
      <c r="G385">
        <f>'10years'!H385-'10years'!$I385</f>
        <v>0.70716052518338124</v>
      </c>
    </row>
    <row r="386" spans="1:7" x14ac:dyDescent="0.35">
      <c r="A386" s="1">
        <v>24868</v>
      </c>
      <c r="B386">
        <f>'10years'!B386-'10years'!$G386</f>
        <v>0.76496968240634611</v>
      </c>
      <c r="C386">
        <f>'10years'!C386-'10years'!$G386</f>
        <v>0.48794820413428019</v>
      </c>
      <c r="D386">
        <f>'10years'!D386-'10years'!$G386</f>
        <v>1.0128668552800251</v>
      </c>
      <c r="E386">
        <f>'10years'!E386-'10years'!$G386</f>
        <v>0.7193376683232493</v>
      </c>
      <c r="F386">
        <f>'10years'!F386-'10years'!$G386</f>
        <v>0.48075265253210087</v>
      </c>
      <c r="G386">
        <f>'10years'!H386-'10years'!$I386</f>
        <v>0.76091236618449631</v>
      </c>
    </row>
    <row r="387" spans="1:7" x14ac:dyDescent="0.35">
      <c r="A387" s="1">
        <v>24897</v>
      </c>
      <c r="B387">
        <f>'10years'!B387-'10years'!$G387</f>
        <v>0.69057452821216425</v>
      </c>
      <c r="C387">
        <f>'10years'!C387-'10years'!$G387</f>
        <v>0.41326406871548182</v>
      </c>
      <c r="D387">
        <f>'10years'!D387-'10years'!$G387</f>
        <v>0.92112344057692286</v>
      </c>
      <c r="E387">
        <f>'10years'!E387-'10years'!$G387</f>
        <v>0.62786866949448217</v>
      </c>
      <c r="F387">
        <f>'10years'!F387-'10years'!$G387</f>
        <v>0.40704995148511869</v>
      </c>
      <c r="G387">
        <f>'10years'!H387-'10years'!$I387</f>
        <v>0.68658346231698086</v>
      </c>
    </row>
    <row r="388" spans="1:7" x14ac:dyDescent="0.35">
      <c r="A388" s="1">
        <v>24926</v>
      </c>
      <c r="B388">
        <f>'10years'!B388-'10years'!$G388</f>
        <v>0.67732570696817507</v>
      </c>
      <c r="C388">
        <f>'10years'!C388-'10years'!$G388</f>
        <v>0.40093481550858701</v>
      </c>
      <c r="D388">
        <f>'10years'!D388-'10years'!$G388</f>
        <v>0.90201981291043309</v>
      </c>
      <c r="E388">
        <f>'10years'!E388-'10years'!$G388</f>
        <v>0.60967874776619158</v>
      </c>
      <c r="F388">
        <f>'10years'!F388-'10years'!$G388</f>
        <v>0.39565865198648154</v>
      </c>
      <c r="G388">
        <f>'10years'!H388-'10years'!$I388</f>
        <v>0.67336292426141142</v>
      </c>
    </row>
    <row r="389" spans="1:7" x14ac:dyDescent="0.35">
      <c r="A389" s="1">
        <v>24958</v>
      </c>
      <c r="B389">
        <f>'10years'!B389-'10years'!$G389</f>
        <v>0.65561479931187239</v>
      </c>
      <c r="C389">
        <f>'10years'!C389-'10years'!$G389</f>
        <v>0.38104965491173171</v>
      </c>
      <c r="D389">
        <f>'10years'!D389-'10years'!$G389</f>
        <v>0.8704629939005073</v>
      </c>
      <c r="E389">
        <f>'10years'!E389-'10years'!$G389</f>
        <v>0.57991320247730704</v>
      </c>
      <c r="F389">
        <f>'10years'!F389-'10years'!$G389</f>
        <v>0.37554340004185138</v>
      </c>
      <c r="G389">
        <f>'10years'!H389-'10years'!$I389</f>
        <v>0.6517599467842361</v>
      </c>
    </row>
    <row r="390" spans="1:7" x14ac:dyDescent="0.35">
      <c r="A390" s="1">
        <v>24989</v>
      </c>
      <c r="B390">
        <f>'10years'!B390-'10years'!$G390</f>
        <v>0.69285111505530539</v>
      </c>
      <c r="C390">
        <f>'10years'!C390-'10years'!$G390</f>
        <v>0.41825031958804404</v>
      </c>
      <c r="D390">
        <f>'10years'!D390-'10years'!$G390</f>
        <v>0.9220628606757999</v>
      </c>
      <c r="E390">
        <f>'10years'!E390-'10years'!$G390</f>
        <v>0.63167020871910529</v>
      </c>
      <c r="F390">
        <f>'10years'!F390-'10years'!$G390</f>
        <v>0.41235907832804086</v>
      </c>
      <c r="G390">
        <f>'10years'!H390-'10years'!$I390</f>
        <v>0.68897733835713293</v>
      </c>
    </row>
    <row r="391" spans="1:7" x14ac:dyDescent="0.35">
      <c r="A391" s="1">
        <v>25017</v>
      </c>
      <c r="B391">
        <f>'10years'!B391-'10years'!$G391</f>
        <v>0.6859541998118921</v>
      </c>
      <c r="C391">
        <f>'10years'!C391-'10years'!$G391</f>
        <v>0.41178936993690218</v>
      </c>
      <c r="D391">
        <f>'10years'!D391-'10years'!$G391</f>
        <v>0.92603448405436417</v>
      </c>
      <c r="E391">
        <f>'10years'!E391-'10years'!$G391</f>
        <v>0.63607706725920288</v>
      </c>
      <c r="F391">
        <f>'10years'!F391-'10years'!$G391</f>
        <v>0.40639850538820887</v>
      </c>
      <c r="G391">
        <f>'10years'!H391-'10years'!$I391</f>
        <v>0.68205946170496468</v>
      </c>
    </row>
    <row r="392" spans="1:7" x14ac:dyDescent="0.35">
      <c r="A392" s="1">
        <v>25049</v>
      </c>
      <c r="B392">
        <f>'10years'!B392-'10years'!$G392</f>
        <v>0.66755621905275109</v>
      </c>
      <c r="C392">
        <f>'10years'!C392-'10years'!$G392</f>
        <v>0.394951432848895</v>
      </c>
      <c r="D392">
        <f>'10years'!D392-'10years'!$G392</f>
        <v>0.91705324172318181</v>
      </c>
      <c r="E392">
        <f>'10years'!E392-'10years'!$G392</f>
        <v>0.62853881381198007</v>
      </c>
      <c r="F392">
        <f>'10years'!F392-'10years'!$G392</f>
        <v>0.38894451312481748</v>
      </c>
      <c r="G392">
        <f>'10years'!H392-'10years'!$I392</f>
        <v>0.66378550430350458</v>
      </c>
    </row>
    <row r="393" spans="1:7" x14ac:dyDescent="0.35">
      <c r="A393" s="1">
        <v>25080</v>
      </c>
      <c r="B393">
        <f>'10years'!B393-'10years'!$G393</f>
        <v>0.61313958683119307</v>
      </c>
      <c r="C393">
        <f>'10years'!C393-'10years'!$G393</f>
        <v>0.3408701234851732</v>
      </c>
      <c r="D393">
        <f>'10years'!D393-'10years'!$G393</f>
        <v>0.84471048867892606</v>
      </c>
      <c r="E393">
        <f>'10years'!E393-'10years'!$G393</f>
        <v>0.55656180201139294</v>
      </c>
      <c r="F393">
        <f>'10years'!F393-'10years'!$G393</f>
        <v>0.33447436216117699</v>
      </c>
      <c r="G393">
        <f>'10years'!H393-'10years'!$I393</f>
        <v>0.60944178539432681</v>
      </c>
    </row>
    <row r="394" spans="1:7" x14ac:dyDescent="0.35">
      <c r="A394" s="1">
        <v>25111</v>
      </c>
      <c r="B394">
        <f>'10years'!B394-'10years'!$G394</f>
        <v>0.60851932714776225</v>
      </c>
      <c r="C394">
        <f>'10years'!C394-'10years'!$G394</f>
        <v>0.33589334297399343</v>
      </c>
      <c r="D394">
        <f>'10years'!D394-'10years'!$G394</f>
        <v>0.83885367865328564</v>
      </c>
      <c r="E394">
        <f>'10years'!E394-'10years'!$G394</f>
        <v>0.55071924809229222</v>
      </c>
      <c r="F394">
        <f>'10years'!F394-'10years'!$G394</f>
        <v>0.33082515406866064</v>
      </c>
      <c r="G394">
        <f>'10years'!H394-'10years'!$I394</f>
        <v>0.60496574594099961</v>
      </c>
    </row>
    <row r="395" spans="1:7" x14ac:dyDescent="0.35">
      <c r="A395" s="1">
        <v>25142</v>
      </c>
      <c r="B395">
        <f>'10years'!B395-'10years'!$G395</f>
        <v>0.59732255392216782</v>
      </c>
      <c r="C395">
        <f>'10years'!C395-'10years'!$G395</f>
        <v>0.32610392702746971</v>
      </c>
      <c r="D395">
        <f>'10years'!D395-'10years'!$G395</f>
        <v>0.83784425040555455</v>
      </c>
      <c r="E395">
        <f>'10years'!E395-'10years'!$G395</f>
        <v>0.55103146462844155</v>
      </c>
      <c r="F395">
        <f>'10years'!F395-'10years'!$G395</f>
        <v>0.32096343136699801</v>
      </c>
      <c r="G395">
        <f>'10years'!H395-'10years'!$I395</f>
        <v>0.59372538738973191</v>
      </c>
    </row>
    <row r="396" spans="1:7" x14ac:dyDescent="0.35">
      <c r="A396" s="1">
        <v>25171</v>
      </c>
      <c r="B396">
        <f>'10years'!B396-'10years'!$G396</f>
        <v>0.57968761059127982</v>
      </c>
      <c r="C396">
        <f>'10years'!C396-'10years'!$G396</f>
        <v>0.30820160522555118</v>
      </c>
      <c r="D396">
        <f>'10years'!D396-'10years'!$G396</f>
        <v>0.82346472994176545</v>
      </c>
      <c r="E396">
        <f>'10years'!E396-'10years'!$G396</f>
        <v>0.5369052142881483</v>
      </c>
      <c r="F396">
        <f>'10years'!F396-'10years'!$G396</f>
        <v>0.30385749336014478</v>
      </c>
      <c r="G396">
        <f>'10years'!H396-'10years'!$I396</f>
        <v>0.57605046304900487</v>
      </c>
    </row>
    <row r="397" spans="1:7" x14ac:dyDescent="0.35">
      <c r="A397" s="1">
        <v>25203</v>
      </c>
      <c r="B397">
        <f>'10years'!B397-'10years'!$G397</f>
        <v>0.59721094940815189</v>
      </c>
      <c r="C397">
        <f>'10years'!C397-'10years'!$G397</f>
        <v>0.32602092783667502</v>
      </c>
      <c r="D397">
        <f>'10years'!D397-'10years'!$G397</f>
        <v>0.84405780178287881</v>
      </c>
      <c r="E397">
        <f>'10years'!E397-'10years'!$G397</f>
        <v>0.55803440839320051</v>
      </c>
      <c r="F397">
        <f>'10years'!F397-'10years'!$G397</f>
        <v>0.32192415476065173</v>
      </c>
      <c r="G397">
        <f>'10years'!H397-'10years'!$I397</f>
        <v>0.59358658888630789</v>
      </c>
    </row>
    <row r="398" spans="1:7" x14ac:dyDescent="0.35">
      <c r="A398" s="1">
        <v>25234</v>
      </c>
      <c r="B398">
        <f>'10years'!B398-'10years'!$G398</f>
        <v>0.51619692343628598</v>
      </c>
      <c r="C398">
        <f>'10years'!C398-'10years'!$G398</f>
        <v>0.24620343675857503</v>
      </c>
      <c r="D398">
        <f>'10years'!D398-'10years'!$G398</f>
        <v>0.78864758927667067</v>
      </c>
      <c r="E398">
        <f>'10years'!E398-'10years'!$G398</f>
        <v>0.50392317254378627</v>
      </c>
      <c r="F398">
        <f>'10years'!F398-'10years'!$G398</f>
        <v>0.24209964329878852</v>
      </c>
      <c r="G398">
        <f>'10years'!H398-'10years'!$I398</f>
        <v>0.51263862052435272</v>
      </c>
    </row>
    <row r="399" spans="1:7" x14ac:dyDescent="0.35">
      <c r="A399" s="1">
        <v>25262</v>
      </c>
      <c r="B399">
        <f>'10years'!B399-'10years'!$G399</f>
        <v>0.50201571373928688</v>
      </c>
      <c r="C399">
        <f>'10years'!C399-'10years'!$G399</f>
        <v>0.2319335733346386</v>
      </c>
      <c r="D399">
        <f>'10years'!D399-'10years'!$G399</f>
        <v>0.75468360967418624</v>
      </c>
      <c r="E399">
        <f>'10years'!E399-'10years'!$G399</f>
        <v>0.47002994645939067</v>
      </c>
      <c r="F399">
        <f>'10years'!F399-'10years'!$G399</f>
        <v>0.22951839413442832</v>
      </c>
      <c r="G399">
        <f>'10years'!H399-'10years'!$I399</f>
        <v>0.49832838448591321</v>
      </c>
    </row>
    <row r="400" spans="1:7" x14ac:dyDescent="0.35">
      <c r="A400" s="1">
        <v>25290</v>
      </c>
      <c r="B400">
        <f>'10years'!B400-'10years'!$G400</f>
        <v>0.4578888943053443</v>
      </c>
      <c r="C400">
        <f>'10years'!C400-'10years'!$G400</f>
        <v>0.18723272313792827</v>
      </c>
      <c r="D400">
        <f>'10years'!D400-'10years'!$G400</f>
        <v>0.67704348061306807</v>
      </c>
      <c r="E400">
        <f>'10years'!E400-'10years'!$G400</f>
        <v>0.39244065083448842</v>
      </c>
      <c r="F400">
        <f>'10years'!F400-'10years'!$G400</f>
        <v>0.18682648159125947</v>
      </c>
      <c r="G400">
        <f>'10years'!H400-'10years'!$I400</f>
        <v>0.45421405191203856</v>
      </c>
    </row>
    <row r="401" spans="1:7" x14ac:dyDescent="0.35">
      <c r="A401" s="1">
        <v>25323</v>
      </c>
      <c r="B401">
        <f>'10years'!B401-'10years'!$G401</f>
        <v>0.48190814229217316</v>
      </c>
      <c r="C401">
        <f>'10years'!C401-'10years'!$G401</f>
        <v>0.2122828006122599</v>
      </c>
      <c r="D401">
        <f>'10years'!D401-'10years'!$G401</f>
        <v>0.68802875286216625</v>
      </c>
      <c r="E401">
        <f>'10years'!E401-'10years'!$G401</f>
        <v>0.40424251134921518</v>
      </c>
      <c r="F401">
        <f>'10years'!F401-'10years'!$G401</f>
        <v>0.21279942215564929</v>
      </c>
      <c r="G401">
        <f>'10years'!H401-'10years'!$I401</f>
        <v>0.47808769054753508</v>
      </c>
    </row>
    <row r="402" spans="1:7" x14ac:dyDescent="0.35">
      <c r="A402" s="1">
        <v>25352</v>
      </c>
      <c r="B402">
        <f>'10years'!B402-'10years'!$G402</f>
        <v>0.46521737506838257</v>
      </c>
      <c r="C402">
        <f>'10years'!C402-'10years'!$G402</f>
        <v>0.19532068532551694</v>
      </c>
      <c r="D402">
        <f>'10years'!D402-'10years'!$G402</f>
        <v>0.67152923248338059</v>
      </c>
      <c r="E402">
        <f>'10years'!E402-'10years'!$G402</f>
        <v>0.38747389111607422</v>
      </c>
      <c r="F402">
        <f>'10years'!F402-'10years'!$G402</f>
        <v>0.19611085338996315</v>
      </c>
      <c r="G402">
        <f>'10years'!H402-'10years'!$I402</f>
        <v>0.46127910954227858</v>
      </c>
    </row>
    <row r="403" spans="1:7" x14ac:dyDescent="0.35">
      <c r="A403" s="1">
        <v>25384</v>
      </c>
      <c r="B403">
        <f>'10years'!B403-'10years'!$G403</f>
        <v>0.44675040093183283</v>
      </c>
      <c r="C403">
        <f>'10years'!C403-'10years'!$G403</f>
        <v>0.17587763814608737</v>
      </c>
      <c r="D403">
        <f>'10years'!D403-'10years'!$G403</f>
        <v>0.65481372959064688</v>
      </c>
      <c r="E403">
        <f>'10years'!E403-'10years'!$G403</f>
        <v>0.37066754222583809</v>
      </c>
      <c r="F403">
        <f>'10years'!F403-'10years'!$G403</f>
        <v>0.1764643032844897</v>
      </c>
      <c r="G403">
        <f>'10years'!H403-'10years'!$I403</f>
        <v>0.44276557280864548</v>
      </c>
    </row>
    <row r="404" spans="1:7" x14ac:dyDescent="0.35">
      <c r="A404" s="1">
        <v>25415</v>
      </c>
      <c r="B404">
        <f>'10years'!B404-'10years'!$G404</f>
        <v>0.39840391527646801</v>
      </c>
      <c r="C404">
        <f>'10years'!C404-'10years'!$G404</f>
        <v>0.12855068308273943</v>
      </c>
      <c r="D404">
        <f>'10years'!D404-'10years'!$G404</f>
        <v>0.57455425945002148</v>
      </c>
      <c r="E404">
        <f>'10years'!E404-'10years'!$G404</f>
        <v>0.29111699690896842</v>
      </c>
      <c r="F404">
        <f>'10years'!F404-'10years'!$G404</f>
        <v>0.12955530444845831</v>
      </c>
      <c r="G404">
        <f>'10years'!H404-'10years'!$I404</f>
        <v>0.39437954116032792</v>
      </c>
    </row>
    <row r="405" spans="1:7" x14ac:dyDescent="0.35">
      <c r="A405" s="1">
        <v>25444</v>
      </c>
      <c r="B405">
        <f>'10years'!B405-'10years'!$G405</f>
        <v>0.31707687475645896</v>
      </c>
      <c r="C405">
        <f>'10years'!C405-'10years'!$G405</f>
        <v>4.7092309224348039E-2</v>
      </c>
      <c r="D405">
        <f>'10years'!D405-'10years'!$G405</f>
        <v>0.48840998928960433</v>
      </c>
      <c r="E405">
        <f>'10years'!E405-'10years'!$G405</f>
        <v>0.20477559955733637</v>
      </c>
      <c r="F405">
        <f>'10years'!F405-'10years'!$G405</f>
        <v>4.6753100993688346E-2</v>
      </c>
      <c r="G405">
        <f>'10years'!H405-'10years'!$I405</f>
        <v>0.31305612509409109</v>
      </c>
    </row>
    <row r="406" spans="1:7" x14ac:dyDescent="0.35">
      <c r="A406" s="1">
        <v>25476</v>
      </c>
      <c r="B406">
        <f>'10years'!B406-'10years'!$G406</f>
        <v>0.36140494832518777</v>
      </c>
      <c r="C406">
        <f>'10years'!C406-'10years'!$G406</f>
        <v>9.0322594964435732E-2</v>
      </c>
      <c r="D406">
        <f>'10years'!D406-'10years'!$G406</f>
        <v>0.53454843501933724</v>
      </c>
      <c r="E406">
        <f>'10years'!E406-'10years'!$G406</f>
        <v>0.25021110664750634</v>
      </c>
      <c r="F406">
        <f>'10years'!F406-'10years'!$G406</f>
        <v>8.977904912807344E-2</v>
      </c>
      <c r="G406">
        <f>'10years'!H406-'10years'!$I406</f>
        <v>0.35722426120534667</v>
      </c>
    </row>
    <row r="407" spans="1:7" x14ac:dyDescent="0.35">
      <c r="A407" s="1">
        <v>25507</v>
      </c>
      <c r="B407">
        <f>'10years'!B407-'10years'!$G407</f>
        <v>0.37579819919502078</v>
      </c>
      <c r="C407">
        <f>'10years'!C407-'10years'!$G407</f>
        <v>0.1056228839854787</v>
      </c>
      <c r="D407">
        <f>'10years'!D407-'10years'!$G407</f>
        <v>0.55184360982944969</v>
      </c>
      <c r="E407">
        <f>'10years'!E407-'10years'!$G407</f>
        <v>0.26864965946462571</v>
      </c>
      <c r="F407">
        <f>'10years'!F407-'10years'!$G407</f>
        <v>0.10534886433508617</v>
      </c>
      <c r="G407">
        <f>'10years'!H407-'10years'!$I407</f>
        <v>0.37131134633521246</v>
      </c>
    </row>
    <row r="408" spans="1:7" x14ac:dyDescent="0.35">
      <c r="A408" s="1">
        <v>25535</v>
      </c>
      <c r="B408">
        <f>'10years'!B408-'10years'!$G408</f>
        <v>0.40151083398600207</v>
      </c>
      <c r="C408">
        <f>'10years'!C408-'10years'!$G408</f>
        <v>0.13040965689294381</v>
      </c>
      <c r="D408">
        <f>'10years'!D408-'10years'!$G408</f>
        <v>0.59095544196565175</v>
      </c>
      <c r="E408">
        <f>'10years'!E408-'10years'!$G408</f>
        <v>0.30730113609384624</v>
      </c>
      <c r="F408">
        <f>'10years'!F408-'10years'!$G408</f>
        <v>0.1299536723826602</v>
      </c>
      <c r="G408">
        <f>'10years'!H408-'10years'!$I408</f>
        <v>0.39673276792406842</v>
      </c>
    </row>
    <row r="409" spans="1:7" x14ac:dyDescent="0.35">
      <c r="A409" s="1">
        <v>25568</v>
      </c>
      <c r="B409">
        <f>'10years'!B409-'10years'!$G409</f>
        <v>0.35926932385881027</v>
      </c>
      <c r="C409">
        <f>'10years'!C409-'10years'!$G409</f>
        <v>8.813748738860383E-2</v>
      </c>
      <c r="D409">
        <f>'10years'!D409-'10years'!$G409</f>
        <v>0.53890877165676265</v>
      </c>
      <c r="E409">
        <f>'10years'!E409-'10years'!$G409</f>
        <v>0.25560608823693443</v>
      </c>
      <c r="F409">
        <f>'10years'!F409-'10years'!$G409</f>
        <v>8.6870902343402889E-2</v>
      </c>
      <c r="G409">
        <f>'10years'!H409-'10years'!$I409</f>
        <v>0.35444224774012767</v>
      </c>
    </row>
    <row r="410" spans="1:7" x14ac:dyDescent="0.35">
      <c r="A410" s="1">
        <v>25598</v>
      </c>
      <c r="B410">
        <f>'10years'!B410-'10years'!$G410</f>
        <v>0.3182573965815132</v>
      </c>
      <c r="C410">
        <f>'10years'!C410-'10years'!$G410</f>
        <v>4.8210605185007749E-2</v>
      </c>
      <c r="D410">
        <f>'10years'!D410-'10years'!$G410</f>
        <v>0.48785568235689847</v>
      </c>
      <c r="E410">
        <f>'10years'!E410-'10years'!$G410</f>
        <v>0.2055217704915584</v>
      </c>
      <c r="F410">
        <f>'10years'!F410-'10years'!$G410</f>
        <v>4.6116099447869763E-2</v>
      </c>
      <c r="G410">
        <f>'10years'!H410-'10years'!$I410</f>
        <v>0.31321865764406542</v>
      </c>
    </row>
    <row r="411" spans="1:7" x14ac:dyDescent="0.35">
      <c r="A411" s="1">
        <v>25626</v>
      </c>
      <c r="B411">
        <f>'10years'!B411-'10years'!$G411</f>
        <v>0.31129194275065353</v>
      </c>
      <c r="C411">
        <f>'10years'!C411-'10years'!$G411</f>
        <v>4.0792649556294025E-2</v>
      </c>
      <c r="D411">
        <f>'10years'!D411-'10years'!$G411</f>
        <v>0.47757583487910282</v>
      </c>
      <c r="E411">
        <f>'10years'!E411-'10years'!$G411</f>
        <v>0.19499582357593437</v>
      </c>
      <c r="F411">
        <f>'10years'!F411-'10years'!$G411</f>
        <v>3.956979099394986E-2</v>
      </c>
      <c r="G411">
        <f>'10years'!H411-'10years'!$I411</f>
        <v>0.30602792396430267</v>
      </c>
    </row>
    <row r="412" spans="1:7" x14ac:dyDescent="0.35">
      <c r="A412" s="1">
        <v>25658</v>
      </c>
      <c r="B412">
        <f>'10years'!B412-'10years'!$G412</f>
        <v>0.34568918228979184</v>
      </c>
      <c r="C412">
        <f>'10years'!C412-'10years'!$G412</f>
        <v>7.4378414599034048E-2</v>
      </c>
      <c r="D412">
        <f>'10years'!D412-'10years'!$G412</f>
        <v>0.52454510866429116</v>
      </c>
      <c r="E412">
        <f>'10years'!E412-'10years'!$G412</f>
        <v>0.24150325081005297</v>
      </c>
      <c r="F412">
        <f>'10years'!F412-'10years'!$G412</f>
        <v>7.2387897816010405E-2</v>
      </c>
      <c r="G412">
        <f>'10years'!H412-'10years'!$I412</f>
        <v>0.34009345991456996</v>
      </c>
    </row>
    <row r="413" spans="1:7" x14ac:dyDescent="0.35">
      <c r="A413" s="1">
        <v>25688</v>
      </c>
      <c r="B413">
        <f>'10years'!B413-'10years'!$G413</f>
        <v>0.35699008662442999</v>
      </c>
      <c r="C413">
        <f>'10years'!C413-'10years'!$G413</f>
        <v>8.6597270756315403E-2</v>
      </c>
      <c r="D413">
        <f>'10years'!D413-'10years'!$G413</f>
        <v>0.5478924482364631</v>
      </c>
      <c r="E413">
        <f>'10years'!E413-'10years'!$G413</f>
        <v>0.26562675087721122</v>
      </c>
      <c r="F413">
        <f>'10years'!F413-'10years'!$G413</f>
        <v>8.3654245583107745E-2</v>
      </c>
      <c r="G413">
        <f>'10years'!H413-'10years'!$I413</f>
        <v>0.35118257932602592</v>
      </c>
    </row>
    <row r="414" spans="1:7" x14ac:dyDescent="0.35">
      <c r="A414" s="1">
        <v>25717</v>
      </c>
      <c r="B414">
        <f>'10years'!B414-'10years'!$G414</f>
        <v>0.29004549699371296</v>
      </c>
      <c r="C414">
        <f>'10years'!C414-'10years'!$G414</f>
        <v>1.9556691922367975E-2</v>
      </c>
      <c r="D414">
        <f>'10years'!D414-'10years'!$G414</f>
        <v>0.46203199738452128</v>
      </c>
      <c r="E414">
        <f>'10years'!E414-'10years'!$G414</f>
        <v>0.17963052073614616</v>
      </c>
      <c r="F414">
        <f>'10years'!F414-'10years'!$G414</f>
        <v>1.657052647136581E-2</v>
      </c>
      <c r="G414">
        <f>'10years'!H414-'10years'!$I414</f>
        <v>0.28434764847666827</v>
      </c>
    </row>
    <row r="415" spans="1:7" x14ac:dyDescent="0.35">
      <c r="A415" s="1">
        <v>25749</v>
      </c>
      <c r="B415">
        <f>'10years'!B415-'10years'!$G415</f>
        <v>0.21322845246411903</v>
      </c>
      <c r="C415">
        <f>'10years'!C415-'10years'!$G415</f>
        <v>-5.8540547255227171E-2</v>
      </c>
      <c r="D415">
        <f>'10years'!D415-'10years'!$G415</f>
        <v>0.36644768486841928</v>
      </c>
      <c r="E415">
        <f>'10years'!E415-'10years'!$G415</f>
        <v>8.3964353924768975E-2</v>
      </c>
      <c r="F415">
        <f>'10years'!F415-'10years'!$G415</f>
        <v>-6.0209116720068234E-2</v>
      </c>
      <c r="G415">
        <f>'10years'!H415-'10years'!$I415</f>
        <v>0.20758513052450134</v>
      </c>
    </row>
    <row r="416" spans="1:7" x14ac:dyDescent="0.35">
      <c r="A416" s="1">
        <v>25780</v>
      </c>
      <c r="B416">
        <f>'10years'!B416-'10years'!$G416</f>
        <v>0.15038087345844664</v>
      </c>
      <c r="C416">
        <f>'10years'!C416-'10years'!$G416</f>
        <v>-0.12068509950853068</v>
      </c>
      <c r="D416">
        <f>'10years'!D416-'10years'!$G416</f>
        <v>0.29618476505173463</v>
      </c>
      <c r="E416">
        <f>'10years'!E416-'10years'!$G416</f>
        <v>1.3612734498626988E-2</v>
      </c>
      <c r="F416">
        <f>'10years'!F416-'10years'!$G416</f>
        <v>-0.12190877386239807</v>
      </c>
      <c r="G416">
        <f>'10years'!H416-'10years'!$I416</f>
        <v>0.14471700367806317</v>
      </c>
    </row>
    <row r="417" spans="1:7" x14ac:dyDescent="0.35">
      <c r="A417" s="1">
        <v>25811</v>
      </c>
      <c r="B417">
        <f>'10years'!B417-'10years'!$G417</f>
        <v>0.22753223658114785</v>
      </c>
      <c r="C417">
        <f>'10years'!C417-'10years'!$G417</f>
        <v>-4.4802721636020726E-2</v>
      </c>
      <c r="D417">
        <f>'10years'!D417-'10years'!$G417</f>
        <v>0.37470027043805154</v>
      </c>
      <c r="E417">
        <f>'10years'!E417-'10years'!$G417</f>
        <v>9.1268440309362875E-2</v>
      </c>
      <c r="F417">
        <f>'10years'!F417-'10years'!$G417</f>
        <v>-4.5146795169996201E-2</v>
      </c>
      <c r="G417">
        <f>'10years'!H417-'10years'!$I417</f>
        <v>0.22171685796918972</v>
      </c>
    </row>
    <row r="418" spans="1:7" x14ac:dyDescent="0.35">
      <c r="A418" s="1">
        <v>25841</v>
      </c>
      <c r="B418">
        <f>'10years'!B418-'10years'!$G418</f>
        <v>0.23930333502913803</v>
      </c>
      <c r="C418">
        <f>'10years'!C418-'10years'!$G418</f>
        <v>-3.3577848868517224E-2</v>
      </c>
      <c r="D418">
        <f>'10years'!D418-'10years'!$G418</f>
        <v>0.39470945377587507</v>
      </c>
      <c r="E418">
        <f>'10years'!E418-'10years'!$G418</f>
        <v>0.11139632911630737</v>
      </c>
      <c r="F418">
        <f>'10years'!F418-'10years'!$G418</f>
        <v>-3.3318125644967056E-2</v>
      </c>
      <c r="G418">
        <f>'10years'!H418-'10years'!$I418</f>
        <v>0.23343597987108833</v>
      </c>
    </row>
    <row r="419" spans="1:7" x14ac:dyDescent="0.35">
      <c r="A419" s="1">
        <v>25871</v>
      </c>
      <c r="B419">
        <f>'10years'!B419-'10years'!$G419</f>
        <v>0.31548578259892679</v>
      </c>
      <c r="C419">
        <f>'10years'!C419-'10years'!$G419</f>
        <v>4.299284671518766E-2</v>
      </c>
      <c r="D419">
        <f>'10years'!D419-'10years'!$G419</f>
        <v>0.49711014937321796</v>
      </c>
      <c r="E419">
        <f>'10years'!E419-'10years'!$G419</f>
        <v>0.21378101036622432</v>
      </c>
      <c r="F419">
        <f>'10years'!F419-'10years'!$G419</f>
        <v>4.2764856416547481E-2</v>
      </c>
      <c r="G419">
        <f>'10years'!H419-'10years'!$I419</f>
        <v>0.30941451838917278</v>
      </c>
    </row>
    <row r="420" spans="1:7" x14ac:dyDescent="0.35">
      <c r="A420" s="1">
        <v>25902</v>
      </c>
      <c r="B420">
        <f>'10years'!B420-'10years'!$G420</f>
        <v>0.30678104340219847</v>
      </c>
      <c r="C420">
        <f>'10years'!C420-'10years'!$G420</f>
        <v>3.321563186932619E-2</v>
      </c>
      <c r="D420">
        <f>'10years'!D420-'10years'!$G420</f>
        <v>0.4773521016868616</v>
      </c>
      <c r="E420">
        <f>'10years'!E420-'10years'!$G420</f>
        <v>0.19349221314243725</v>
      </c>
      <c r="F420">
        <f>'10years'!F420-'10years'!$G420</f>
        <v>3.3208339884932103E-2</v>
      </c>
      <c r="G420">
        <f>'10years'!H420-'10years'!$I420</f>
        <v>0.30072951029134209</v>
      </c>
    </row>
    <row r="421" spans="1:7" x14ac:dyDescent="0.35">
      <c r="A421" s="1">
        <v>25933</v>
      </c>
      <c r="B421">
        <f>'10years'!B421-'10years'!$G421</f>
        <v>0.31055519332288362</v>
      </c>
      <c r="C421">
        <f>'10years'!C421-'10years'!$G421</f>
        <v>3.745157832420154E-2</v>
      </c>
      <c r="D421">
        <f>'10years'!D421-'10years'!$G421</f>
        <v>0.4741864476800941</v>
      </c>
      <c r="E421">
        <f>'10years'!E421-'10years'!$G421</f>
        <v>0.19127316284928386</v>
      </c>
      <c r="F421">
        <f>'10years'!F421-'10years'!$G421</f>
        <v>3.6100149987719155E-2</v>
      </c>
      <c r="G421">
        <f>'10years'!H421-'10years'!$I421</f>
        <v>0.30459210281139626</v>
      </c>
    </row>
    <row r="422" spans="1:7" x14ac:dyDescent="0.35">
      <c r="A422" s="1">
        <v>25962</v>
      </c>
      <c r="B422">
        <f>'10years'!B422-'10years'!$G422</f>
        <v>0.31613075084548559</v>
      </c>
      <c r="C422">
        <f>'10years'!C422-'10years'!$G422</f>
        <v>4.3747563691495017E-2</v>
      </c>
      <c r="D422">
        <f>'10years'!D422-'10years'!$G422</f>
        <v>0.50789344713790463</v>
      </c>
      <c r="E422">
        <f>'10years'!E422-'10years'!$G422</f>
        <v>0.22523071277200302</v>
      </c>
      <c r="F422">
        <f>'10years'!F422-'10years'!$G422</f>
        <v>4.2186533080919908E-2</v>
      </c>
      <c r="G422">
        <f>'10years'!H422-'10years'!$I422</f>
        <v>0.31023699197574306</v>
      </c>
    </row>
    <row r="423" spans="1:7" x14ac:dyDescent="0.35">
      <c r="A423" s="1">
        <v>25990</v>
      </c>
      <c r="B423">
        <f>'10years'!B423-'10years'!$G423</f>
        <v>0.29736174150056316</v>
      </c>
      <c r="C423">
        <f>'10years'!C423-'10years'!$G423</f>
        <v>2.4854618791975813E-2</v>
      </c>
      <c r="D423">
        <f>'10years'!D423-'10years'!$G423</f>
        <v>0.51059203903804429</v>
      </c>
      <c r="E423">
        <f>'10years'!E423-'10years'!$G423</f>
        <v>0.22795322815489305</v>
      </c>
      <c r="F423">
        <f>'10years'!F423-'10years'!$G423</f>
        <v>2.2491582228351792E-2</v>
      </c>
      <c r="G423">
        <f>'10years'!H423-'10years'!$I423</f>
        <v>0.29158354122154062</v>
      </c>
    </row>
    <row r="424" spans="1:7" x14ac:dyDescent="0.35">
      <c r="A424" s="1">
        <v>26023</v>
      </c>
      <c r="B424">
        <f>'10years'!B424-'10years'!$G424</f>
        <v>0.27963175851258826</v>
      </c>
      <c r="C424">
        <f>'10years'!C424-'10years'!$G424</f>
        <v>6.3232232147767409E-3</v>
      </c>
      <c r="D424">
        <f>'10years'!D424-'10years'!$G424</f>
        <v>0.48056070533518658</v>
      </c>
      <c r="E424">
        <f>'10years'!E424-'10years'!$G424</f>
        <v>0.19820073058650611</v>
      </c>
      <c r="F424">
        <f>'10years'!F424-'10years'!$G424</f>
        <v>6.1424742597069315E-3</v>
      </c>
      <c r="G424">
        <f>'10years'!H424-'10years'!$I424</f>
        <v>0.27403909505385737</v>
      </c>
    </row>
    <row r="425" spans="1:7" x14ac:dyDescent="0.35">
      <c r="A425" s="1">
        <v>26053</v>
      </c>
      <c r="B425">
        <f>'10years'!B425-'10years'!$G425</f>
        <v>0.2866174376826427</v>
      </c>
      <c r="C425">
        <f>'10years'!C425-'10years'!$G425</f>
        <v>1.3990361239421212E-2</v>
      </c>
      <c r="D425">
        <f>'10years'!D425-'10years'!$G425</f>
        <v>0.48286910444804398</v>
      </c>
      <c r="E425">
        <f>'10years'!E425-'10years'!$G425</f>
        <v>0.20097747075991901</v>
      </c>
      <c r="F425">
        <f>'10years'!F425-'10years'!$G425</f>
        <v>1.4376546007696334E-2</v>
      </c>
      <c r="G425">
        <f>'10years'!H425-'10years'!$I425</f>
        <v>0.28106591197685216</v>
      </c>
    </row>
    <row r="426" spans="1:7" x14ac:dyDescent="0.35">
      <c r="A426" s="1">
        <v>26081</v>
      </c>
      <c r="B426">
        <f>'10years'!B426-'10years'!$G426</f>
        <v>0.31225587392470411</v>
      </c>
      <c r="C426">
        <f>'10years'!C426-'10years'!$G426</f>
        <v>3.9185492621262252E-2</v>
      </c>
      <c r="D426">
        <f>'10years'!D426-'10years'!$G426</f>
        <v>0.51535561656400519</v>
      </c>
      <c r="E426">
        <f>'10years'!E426-'10years'!$G426</f>
        <v>0.23306330536550979</v>
      </c>
      <c r="F426">
        <f>'10years'!F426-'10years'!$G426</f>
        <v>3.9974703549427115E-2</v>
      </c>
      <c r="G426">
        <f>'10years'!H426-'10years'!$I426</f>
        <v>0.30672387593955186</v>
      </c>
    </row>
    <row r="427" spans="1:7" x14ac:dyDescent="0.35">
      <c r="A427" s="1">
        <v>26114</v>
      </c>
      <c r="B427">
        <f>'10years'!B427-'10years'!$G427</f>
        <v>0.25998291996223388</v>
      </c>
      <c r="C427">
        <f>'10years'!C427-'10years'!$G427</f>
        <v>-1.3501206483221839E-2</v>
      </c>
      <c r="D427">
        <f>'10years'!D427-'10years'!$G427</f>
        <v>0.44357440852203167</v>
      </c>
      <c r="E427">
        <f>'10years'!E427-'10years'!$G427</f>
        <v>0.16190076649358565</v>
      </c>
      <c r="F427">
        <f>'10years'!F427-'10years'!$G427</f>
        <v>-1.2382673215969309E-2</v>
      </c>
      <c r="G427">
        <f>'10years'!H427-'10years'!$I427</f>
        <v>0.25465518635898743</v>
      </c>
    </row>
    <row r="428" spans="1:7" x14ac:dyDescent="0.35">
      <c r="A428" s="1">
        <v>26144</v>
      </c>
      <c r="B428">
        <f>'10years'!B428-'10years'!$G428</f>
        <v>0.28320456877465516</v>
      </c>
      <c r="C428">
        <f>'10years'!C428-'10years'!$G428</f>
        <v>1.0267863867010396E-2</v>
      </c>
      <c r="D428">
        <f>'10years'!D428-'10years'!$G428</f>
        <v>0.46839311986674104</v>
      </c>
      <c r="E428">
        <f>'10years'!E428-'10years'!$G428</f>
        <v>0.18684139431933899</v>
      </c>
      <c r="F428">
        <f>'10years'!F428-'10years'!$G428</f>
        <v>1.1191727280159602E-2</v>
      </c>
      <c r="G428">
        <f>'10years'!H428-'10years'!$I428</f>
        <v>0.27787977112017082</v>
      </c>
    </row>
    <row r="429" spans="1:7" x14ac:dyDescent="0.35">
      <c r="A429" s="1">
        <v>26176</v>
      </c>
      <c r="B429">
        <f>'10years'!B429-'10years'!$G429</f>
        <v>0.21846943235170069</v>
      </c>
      <c r="C429">
        <f>'10years'!C429-'10years'!$G429</f>
        <v>-5.4686601538209034E-2</v>
      </c>
      <c r="D429">
        <f>'10years'!D429-'10years'!$G429</f>
        <v>0.41468701656219031</v>
      </c>
      <c r="E429">
        <f>'10years'!E429-'10years'!$G429</f>
        <v>0.13289701185069958</v>
      </c>
      <c r="F429">
        <f>'10years'!F429-'10years'!$G429</f>
        <v>-5.2999558075503161E-2</v>
      </c>
      <c r="G429">
        <f>'10years'!H429-'10years'!$I429</f>
        <v>0.21340026331431172</v>
      </c>
    </row>
    <row r="430" spans="1:7" x14ac:dyDescent="0.35">
      <c r="A430" s="1">
        <v>26206</v>
      </c>
      <c r="B430">
        <f>'10years'!B430-'10years'!$G430</f>
        <v>0.2296377470396318</v>
      </c>
      <c r="C430">
        <f>'10years'!C430-'10years'!$G430</f>
        <v>-4.3701447799152415E-2</v>
      </c>
      <c r="D430">
        <f>'10years'!D430-'10years'!$G430</f>
        <v>0.43179891420024008</v>
      </c>
      <c r="E430">
        <f>'10years'!E430-'10years'!$G430</f>
        <v>0.15031543088632437</v>
      </c>
      <c r="F430">
        <f>'10years'!F430-'10years'!$G430</f>
        <v>-4.2472216346881364E-2</v>
      </c>
      <c r="G430">
        <f>'10years'!H430-'10years'!$I430</f>
        <v>0.22465354358238709</v>
      </c>
    </row>
    <row r="431" spans="1:7" x14ac:dyDescent="0.35">
      <c r="A431" s="1">
        <v>26235</v>
      </c>
      <c r="B431">
        <f>'10years'!B431-'10years'!$G431</f>
        <v>0.23942198882455679</v>
      </c>
      <c r="C431">
        <f>'10years'!C431-'10years'!$G431</f>
        <v>-3.4057413719695395E-2</v>
      </c>
      <c r="D431">
        <f>'10years'!D431-'10years'!$G431</f>
        <v>0.43971838063771629</v>
      </c>
      <c r="E431">
        <f>'10years'!E431-'10years'!$G431</f>
        <v>0.15828630965010793</v>
      </c>
      <c r="F431">
        <f>'10years'!F431-'10years'!$G431</f>
        <v>-3.3479947735087334E-2</v>
      </c>
      <c r="G431">
        <f>'10years'!H431-'10years'!$I431</f>
        <v>0.23452568206576707</v>
      </c>
    </row>
    <row r="432" spans="1:7" x14ac:dyDescent="0.35">
      <c r="A432" s="1">
        <v>26267</v>
      </c>
      <c r="B432">
        <f>'10years'!B432-'10years'!$G432</f>
        <v>0.1802179745860788</v>
      </c>
      <c r="C432">
        <f>'10years'!C432-'10years'!$G432</f>
        <v>-9.3622680581477713E-2</v>
      </c>
      <c r="D432">
        <f>'10years'!D432-'10years'!$G432</f>
        <v>0.37161567523467776</v>
      </c>
      <c r="E432">
        <f>'10years'!E432-'10years'!$G432</f>
        <v>8.9803751661661213E-2</v>
      </c>
      <c r="F432">
        <f>'10years'!F432-'10years'!$G432</f>
        <v>-9.4098540762026506E-2</v>
      </c>
      <c r="G432">
        <f>'10years'!H432-'10years'!$I432</f>
        <v>0.17556242532228428</v>
      </c>
    </row>
    <row r="433" spans="1:7" x14ac:dyDescent="0.35">
      <c r="A433" s="1">
        <v>26298</v>
      </c>
      <c r="B433">
        <f>'10years'!B433-'10years'!$G433</f>
        <v>0.14360534220665877</v>
      </c>
      <c r="C433">
        <f>'10years'!C433-'10years'!$G433</f>
        <v>-0.12952477475247171</v>
      </c>
      <c r="D433">
        <f>'10years'!D433-'10years'!$G433</f>
        <v>0.32113046660125399</v>
      </c>
      <c r="E433">
        <f>'10years'!E433-'10years'!$G433</f>
        <v>3.9829018944197658E-2</v>
      </c>
      <c r="F433">
        <f>'10years'!F433-'10years'!$G433</f>
        <v>-0.13045261158772337</v>
      </c>
      <c r="G433">
        <f>'10years'!H433-'10years'!$I433</f>
        <v>0.13918948214806104</v>
      </c>
    </row>
    <row r="434" spans="1:7" x14ac:dyDescent="0.35">
      <c r="A434" s="1">
        <v>26329</v>
      </c>
      <c r="B434">
        <f>'10years'!B434-'10years'!$G434</f>
        <v>0.20865176762210313</v>
      </c>
      <c r="C434">
        <f>'10years'!C434-'10years'!$G434</f>
        <v>-6.4706448115048554E-2</v>
      </c>
      <c r="D434">
        <f>'10years'!D434-'10years'!$G434</f>
        <v>0.40763718083249834</v>
      </c>
      <c r="E434">
        <f>'10years'!E434-'10years'!$G434</f>
        <v>0.12631338464974529</v>
      </c>
      <c r="F434">
        <f>'10years'!F434-'10years'!$G434</f>
        <v>-6.5671175705262153E-2</v>
      </c>
      <c r="G434">
        <f>'10years'!H434-'10years'!$I434</f>
        <v>0.2041606399560747</v>
      </c>
    </row>
    <row r="435" spans="1:7" x14ac:dyDescent="0.35">
      <c r="A435" s="1">
        <v>26358</v>
      </c>
      <c r="B435">
        <f>'10years'!B435-'10years'!$G435</f>
        <v>0.25596847080307583</v>
      </c>
      <c r="C435">
        <f>'10years'!C435-'10years'!$G435</f>
        <v>-1.7404270591863558E-2</v>
      </c>
      <c r="D435">
        <f>'10years'!D435-'10years'!$G435</f>
        <v>0.4492427181047205</v>
      </c>
      <c r="E435">
        <f>'10years'!E435-'10years'!$G435</f>
        <v>0.1676000036041243</v>
      </c>
      <c r="F435">
        <f>'10years'!F435-'10years'!$G435</f>
        <v>-1.8826777761676183E-2</v>
      </c>
      <c r="G435">
        <f>'10years'!H435-'10years'!$I435</f>
        <v>0.2513821909487568</v>
      </c>
    </row>
    <row r="436" spans="1:7" x14ac:dyDescent="0.35">
      <c r="A436" s="1">
        <v>26388</v>
      </c>
      <c r="B436">
        <f>'10years'!B436-'10years'!$G436</f>
        <v>0.26337893641650911</v>
      </c>
      <c r="C436">
        <f>'10years'!C436-'10years'!$G436</f>
        <v>-1.027455343504613E-2</v>
      </c>
      <c r="D436">
        <f>'10years'!D436-'10years'!$G436</f>
        <v>0.4597191155102216</v>
      </c>
      <c r="E436">
        <f>'10years'!E436-'10years'!$G436</f>
        <v>0.17831689611756474</v>
      </c>
      <c r="F436">
        <f>'10years'!F436-'10years'!$G436</f>
        <v>-1.1890548321796146E-2</v>
      </c>
      <c r="G436">
        <f>'10years'!H436-'10years'!$I436</f>
        <v>0.25881404113290429</v>
      </c>
    </row>
    <row r="437" spans="1:7" x14ac:dyDescent="0.35">
      <c r="A437" s="1">
        <v>26417</v>
      </c>
      <c r="B437">
        <f>'10years'!B437-'10years'!$G437</f>
        <v>0.27207478009373331</v>
      </c>
      <c r="C437">
        <f>'10years'!C437-'10years'!$G437</f>
        <v>-1.4989462412524635E-3</v>
      </c>
      <c r="D437">
        <f>'10years'!D437-'10years'!$G437</f>
        <v>0.46718315269459398</v>
      </c>
      <c r="E437">
        <f>'10years'!E437-'10years'!$G437</f>
        <v>0.18610266991373403</v>
      </c>
      <c r="F437">
        <f>'10years'!F437-'10years'!$G437</f>
        <v>-2.6899684585475203E-3</v>
      </c>
      <c r="G437">
        <f>'10years'!H437-'10years'!$I437</f>
        <v>0.26755124351280912</v>
      </c>
    </row>
    <row r="438" spans="1:7" x14ac:dyDescent="0.35">
      <c r="A438" s="1">
        <v>26450</v>
      </c>
      <c r="B438">
        <f>'10years'!B438-'10years'!$G438</f>
        <v>0.32948432085102719</v>
      </c>
      <c r="C438">
        <f>'10years'!C438-'10years'!$G438</f>
        <v>5.5696291040187473E-2</v>
      </c>
      <c r="D438">
        <f>'10years'!D438-'10years'!$G438</f>
        <v>0.52910920099032022</v>
      </c>
      <c r="E438">
        <f>'10years'!E438-'10years'!$G438</f>
        <v>0.24764771984287104</v>
      </c>
      <c r="F438">
        <f>'10years'!F438-'10years'!$G438</f>
        <v>5.3854252464870411E-2</v>
      </c>
      <c r="G438">
        <f>'10years'!H438-'10years'!$I438</f>
        <v>0.32485678355425041</v>
      </c>
    </row>
    <row r="439" spans="1:7" x14ac:dyDescent="0.35">
      <c r="A439" s="1">
        <v>26480</v>
      </c>
      <c r="B439">
        <f>'10years'!B439-'10years'!$G439</f>
        <v>0.4170888486138693</v>
      </c>
      <c r="C439">
        <f>'10years'!C439-'10years'!$G439</f>
        <v>0.14390322728794724</v>
      </c>
      <c r="D439">
        <f>'10years'!D439-'10years'!$G439</f>
        <v>0.60816170267983494</v>
      </c>
      <c r="E439">
        <f>'10years'!E439-'10years'!$G439</f>
        <v>0.32728674178261996</v>
      </c>
      <c r="F439">
        <f>'10years'!F439-'10years'!$G439</f>
        <v>0.14293102920435419</v>
      </c>
      <c r="G439">
        <f>'10years'!H439-'10years'!$I439</f>
        <v>0.41226178403208635</v>
      </c>
    </row>
    <row r="440" spans="1:7" x14ac:dyDescent="0.35">
      <c r="A440" s="1">
        <v>26511</v>
      </c>
      <c r="B440">
        <f>'10years'!B440-'10years'!$G440</f>
        <v>0.46981825831999302</v>
      </c>
      <c r="C440">
        <f>'10years'!C440-'10years'!$G440</f>
        <v>0.19685853803840825</v>
      </c>
      <c r="D440">
        <f>'10years'!D440-'10years'!$G440</f>
        <v>0.65211943881137735</v>
      </c>
      <c r="E440">
        <f>'10years'!E440-'10years'!$G440</f>
        <v>0.37183668887352272</v>
      </c>
      <c r="F440">
        <f>'10years'!F440-'10years'!$G440</f>
        <v>0.1951558327486449</v>
      </c>
      <c r="G440">
        <f>'10years'!H440-'10years'!$I440</f>
        <v>0.4649098944898844</v>
      </c>
    </row>
    <row r="441" spans="1:7" x14ac:dyDescent="0.35">
      <c r="A441" s="1">
        <v>26542</v>
      </c>
      <c r="B441">
        <f>'10years'!B441-'10years'!$G441</f>
        <v>0.41912245126850012</v>
      </c>
      <c r="C441">
        <f>'10years'!C441-'10years'!$G441</f>
        <v>0.14633513614741878</v>
      </c>
      <c r="D441">
        <f>'10years'!D441-'10years'!$G441</f>
        <v>0.58719008721351296</v>
      </c>
      <c r="E441">
        <f>'10years'!E441-'10years'!$G441</f>
        <v>0.30687508287008969</v>
      </c>
      <c r="F441">
        <f>'10years'!F441-'10years'!$G441</f>
        <v>0.1451267418243698</v>
      </c>
      <c r="G441">
        <f>'10years'!H441-'10years'!$I441</f>
        <v>0.41436231156852799</v>
      </c>
    </row>
    <row r="442" spans="1:7" x14ac:dyDescent="0.35">
      <c r="A442" s="1">
        <v>26571</v>
      </c>
      <c r="B442">
        <f>'10years'!B442-'10years'!$G442</f>
        <v>0.43305231643593634</v>
      </c>
      <c r="C442">
        <f>'10years'!C442-'10years'!$G442</f>
        <v>0.16119147652031995</v>
      </c>
      <c r="D442">
        <f>'10years'!D442-'10years'!$G442</f>
        <v>0.60224341549675331</v>
      </c>
      <c r="E442">
        <f>'10years'!E442-'10years'!$G442</f>
        <v>0.32270078410523717</v>
      </c>
      <c r="F442">
        <f>'10years'!F442-'10years'!$G442</f>
        <v>0.16025312082191001</v>
      </c>
      <c r="G442">
        <f>'10years'!H442-'10years'!$I442</f>
        <v>0.4282948236545181</v>
      </c>
    </row>
    <row r="443" spans="1:7" x14ac:dyDescent="0.35">
      <c r="A443" s="1">
        <v>26603</v>
      </c>
      <c r="B443">
        <f>'10years'!B443-'10years'!$G443</f>
        <v>0.47118000713384767</v>
      </c>
      <c r="C443">
        <f>'10years'!C443-'10years'!$G443</f>
        <v>0.19944313101263855</v>
      </c>
      <c r="D443">
        <f>'10years'!D443-'10years'!$G443</f>
        <v>0.63357299948685863</v>
      </c>
      <c r="E443">
        <f>'10years'!E443-'10years'!$G443</f>
        <v>0.35452012604496019</v>
      </c>
      <c r="F443">
        <f>'10years'!F443-'10years'!$G443</f>
        <v>0.19640520261470762</v>
      </c>
      <c r="G443">
        <f>'10years'!H443-'10years'!$I443</f>
        <v>0.46639710322573524</v>
      </c>
    </row>
    <row r="444" spans="1:7" x14ac:dyDescent="0.35">
      <c r="A444" s="1">
        <v>26633</v>
      </c>
      <c r="B444">
        <f>'10years'!B444-'10years'!$G444</f>
        <v>0.47202248841777861</v>
      </c>
      <c r="C444">
        <f>'10years'!C444-'10years'!$G444</f>
        <v>0.20072649973443868</v>
      </c>
      <c r="D444">
        <f>'10years'!D444-'10years'!$G444</f>
        <v>0.64213577424967516</v>
      </c>
      <c r="E444">
        <f>'10years'!E444-'10years'!$G444</f>
        <v>0.36311179708921104</v>
      </c>
      <c r="F444">
        <f>'10years'!F444-'10years'!$G444</f>
        <v>0.19916947799592011</v>
      </c>
      <c r="G444">
        <f>'10years'!H444-'10years'!$I444</f>
        <v>0.46726473684184366</v>
      </c>
    </row>
    <row r="445" spans="1:7" x14ac:dyDescent="0.35">
      <c r="A445" s="1">
        <v>26662</v>
      </c>
      <c r="B445">
        <f>'10years'!B445-'10years'!$G445</f>
        <v>0.42537218182949488</v>
      </c>
      <c r="C445">
        <f>'10years'!C445-'10years'!$G445</f>
        <v>0.1559717519958177</v>
      </c>
      <c r="D445">
        <f>'10years'!D445-'10years'!$G445</f>
        <v>0.5949634698480617</v>
      </c>
      <c r="E445">
        <f>'10years'!E445-'10years'!$G445</f>
        <v>0.3171059329714927</v>
      </c>
      <c r="F445">
        <f>'10years'!F445-'10years'!$G445</f>
        <v>0.15398829519721335</v>
      </c>
      <c r="G445">
        <f>'10years'!H445-'10years'!$I445</f>
        <v>0.4208198204931568</v>
      </c>
    </row>
    <row r="446" spans="1:7" x14ac:dyDescent="0.35">
      <c r="A446" s="1">
        <v>26695</v>
      </c>
      <c r="B446">
        <f>'10years'!B446-'10years'!$G446</f>
        <v>0.42259133414945693</v>
      </c>
      <c r="C446">
        <f>'10years'!C446-'10years'!$G446</f>
        <v>0.15356760307165707</v>
      </c>
      <c r="D446">
        <f>'10years'!D446-'10years'!$G446</f>
        <v>0.58686477695577444</v>
      </c>
      <c r="E446">
        <f>'10years'!E446-'10years'!$G446</f>
        <v>0.30986538763377758</v>
      </c>
      <c r="F446">
        <f>'10years'!F446-'10years'!$G446</f>
        <v>0.15137989575033539</v>
      </c>
      <c r="G446">
        <f>'10years'!H446-'10years'!$I446</f>
        <v>0.41810265763995158</v>
      </c>
    </row>
    <row r="447" spans="1:7" x14ac:dyDescent="0.35">
      <c r="A447" s="1">
        <v>26723</v>
      </c>
      <c r="B447">
        <f>'10years'!B447-'10years'!$G447</f>
        <v>0.36552269291986184</v>
      </c>
      <c r="C447">
        <f>'10years'!C447-'10years'!$G447</f>
        <v>9.6670748472937884E-2</v>
      </c>
      <c r="D447">
        <f>'10years'!D447-'10years'!$G447</f>
        <v>0.48329421413414453</v>
      </c>
      <c r="E447">
        <f>'10years'!E447-'10years'!$G447</f>
        <v>0.20635665871392428</v>
      </c>
      <c r="F447">
        <f>'10years'!F447-'10years'!$G447</f>
        <v>9.5142887790944375E-2</v>
      </c>
      <c r="G447">
        <f>'10years'!H447-'10years'!$I447</f>
        <v>0.36122006589616173</v>
      </c>
    </row>
    <row r="448" spans="1:7" x14ac:dyDescent="0.35">
      <c r="A448" s="1">
        <v>26753</v>
      </c>
      <c r="B448">
        <f>'10years'!B448-'10years'!$G448</f>
        <v>0.35563383258558057</v>
      </c>
      <c r="C448">
        <f>'10years'!C448-'10years'!$G448</f>
        <v>8.7252432850762229E-2</v>
      </c>
      <c r="D448">
        <f>'10years'!D448-'10years'!$G448</f>
        <v>0.45178939459717116</v>
      </c>
      <c r="E448">
        <f>'10years'!E448-'10years'!$G448</f>
        <v>0.17508678490511231</v>
      </c>
      <c r="F448">
        <f>'10years'!F448-'10years'!$G448</f>
        <v>8.6098706679207826E-2</v>
      </c>
      <c r="G448">
        <f>'10years'!H448-'10years'!$I448</f>
        <v>0.35140556891355423</v>
      </c>
    </row>
    <row r="449" spans="1:7" x14ac:dyDescent="0.35">
      <c r="A449" s="1">
        <v>26784</v>
      </c>
      <c r="B449">
        <f>'10years'!B449-'10years'!$G449</f>
        <v>0.32259617388871265</v>
      </c>
      <c r="C449">
        <f>'10years'!C449-'10years'!$G449</f>
        <v>5.461397838219062E-2</v>
      </c>
      <c r="D449">
        <f>'10years'!D449-'10years'!$G449</f>
        <v>0.4180456670050634</v>
      </c>
      <c r="E449">
        <f>'10years'!E449-'10years'!$G449</f>
        <v>0.14176937621207619</v>
      </c>
      <c r="F449">
        <f>'10years'!F449-'10years'!$G449</f>
        <v>5.3761613630477267E-2</v>
      </c>
      <c r="G449">
        <f>'10years'!H449-'10years'!$I449</f>
        <v>0.31848892476871171</v>
      </c>
    </row>
    <row r="450" spans="1:7" x14ac:dyDescent="0.35">
      <c r="A450" s="1">
        <v>26815</v>
      </c>
      <c r="B450">
        <f>'10years'!B450-'10years'!$G450</f>
        <v>0.24586590494747274</v>
      </c>
      <c r="C450">
        <f>'10years'!C450-'10years'!$G450</f>
        <v>-2.2227565191912824E-2</v>
      </c>
      <c r="D450">
        <f>'10years'!D450-'10years'!$G450</f>
        <v>0.33628799720747349</v>
      </c>
      <c r="E450">
        <f>'10years'!E450-'10years'!$G450</f>
        <v>5.9606805948375197E-2</v>
      </c>
      <c r="F450">
        <f>'10years'!F450-'10years'!$G450</f>
        <v>-2.2972695412815547E-2</v>
      </c>
      <c r="G450">
        <f>'10years'!H450-'10years'!$I450</f>
        <v>0.24196402525482608</v>
      </c>
    </row>
    <row r="451" spans="1:7" x14ac:dyDescent="0.35">
      <c r="A451" s="1">
        <v>26844</v>
      </c>
      <c r="B451">
        <f>'10years'!B451-'10years'!$G451</f>
        <v>0.21548617913608692</v>
      </c>
      <c r="C451">
        <f>'10years'!C451-'10years'!$G451</f>
        <v>-5.2033017473813059E-2</v>
      </c>
      <c r="D451">
        <f>'10years'!D451-'10years'!$G451</f>
        <v>0.26682665125374272</v>
      </c>
      <c r="E451">
        <f>'10years'!E451-'10years'!$G451</f>
        <v>-1.0212789564440383E-2</v>
      </c>
      <c r="F451">
        <f>'10years'!F451-'10years'!$G451</f>
        <v>-5.3075595721636004E-2</v>
      </c>
      <c r="G451">
        <f>'10years'!H451-'10years'!$I451</f>
        <v>0.21168510331381896</v>
      </c>
    </row>
    <row r="452" spans="1:7" x14ac:dyDescent="0.35">
      <c r="A452" s="1">
        <v>26876</v>
      </c>
      <c r="B452">
        <f>'10years'!B452-'10years'!$G452</f>
        <v>0.22451503723274913</v>
      </c>
      <c r="C452">
        <f>'10years'!C452-'10years'!$G452</f>
        <v>-4.3140976237969308E-2</v>
      </c>
      <c r="D452">
        <f>'10years'!D452-'10years'!$G452</f>
        <v>0.25446305789202528</v>
      </c>
      <c r="E452">
        <f>'10years'!E452-'10years'!$G452</f>
        <v>-2.2911173919086369E-2</v>
      </c>
      <c r="F452">
        <f>'10years'!F452-'10years'!$G452</f>
        <v>-4.3893813180377439E-2</v>
      </c>
      <c r="G452">
        <f>'10years'!H452-'10years'!$I452</f>
        <v>0.22070972495329411</v>
      </c>
    </row>
    <row r="453" spans="1:7" x14ac:dyDescent="0.35">
      <c r="A453" s="1">
        <v>26907</v>
      </c>
      <c r="B453">
        <f>'10years'!B453-'10years'!$G453</f>
        <v>0.25527639379992961</v>
      </c>
      <c r="C453">
        <f>'10years'!C453-'10years'!$G453</f>
        <v>-1.2538032453480286E-2</v>
      </c>
      <c r="D453">
        <f>'10years'!D453-'10years'!$G453</f>
        <v>0.32114999485498497</v>
      </c>
      <c r="E453">
        <f>'10years'!E453-'10years'!$G453</f>
        <v>4.3136580140112235E-2</v>
      </c>
      <c r="F453">
        <f>'10years'!F453-'10years'!$G453</f>
        <v>-1.2770813730667685E-2</v>
      </c>
      <c r="G453">
        <f>'10years'!H453-'10years'!$I453</f>
        <v>0.25125356872641724</v>
      </c>
    </row>
    <row r="454" spans="1:7" x14ac:dyDescent="0.35">
      <c r="A454" s="1">
        <v>26935</v>
      </c>
      <c r="B454">
        <f>'10years'!B454-'10years'!$G454</f>
        <v>0.18117748256317512</v>
      </c>
      <c r="C454">
        <f>'10years'!C454-'10years'!$G454</f>
        <v>-8.6789285463719779E-2</v>
      </c>
      <c r="D454">
        <f>'10years'!D454-'10years'!$G454</f>
        <v>0.25298319587004681</v>
      </c>
      <c r="E454">
        <f>'10years'!E454-'10years'!$G454</f>
        <v>-2.5704787621285696E-2</v>
      </c>
      <c r="F454">
        <f>'10years'!F454-'10years'!$G454</f>
        <v>-8.7379740022921482E-2</v>
      </c>
      <c r="G454">
        <f>'10years'!H454-'10years'!$I454</f>
        <v>0.17716805517400402</v>
      </c>
    </row>
    <row r="455" spans="1:7" x14ac:dyDescent="0.35">
      <c r="A455" s="1">
        <v>26968</v>
      </c>
      <c r="B455">
        <f>'10years'!B455-'10years'!$G455</f>
        <v>0.22136177928206968</v>
      </c>
      <c r="C455">
        <f>'10years'!C455-'10years'!$G455</f>
        <v>-4.6673644054551433E-2</v>
      </c>
      <c r="D455">
        <f>'10years'!D455-'10years'!$G455</f>
        <v>0.34250516062346281</v>
      </c>
      <c r="E455">
        <f>'10years'!E455-'10years'!$G455</f>
        <v>6.3793706715875365E-2</v>
      </c>
      <c r="F455">
        <f>'10years'!F455-'10years'!$G455</f>
        <v>-4.8482308849151723E-2</v>
      </c>
      <c r="G455">
        <f>'10years'!H455-'10years'!$I455</f>
        <v>0.21704752311730857</v>
      </c>
    </row>
    <row r="456" spans="1:7" x14ac:dyDescent="0.35">
      <c r="A456" s="1">
        <v>26998</v>
      </c>
      <c r="B456">
        <f>'10years'!B456-'10years'!$G456</f>
        <v>0.19006327765976327</v>
      </c>
      <c r="C456">
        <f>'10years'!C456-'10years'!$G456</f>
        <v>-7.8221360743152557E-2</v>
      </c>
      <c r="D456">
        <f>'10years'!D456-'10years'!$G456</f>
        <v>0.31820698039904394</v>
      </c>
      <c r="E456">
        <f>'10years'!E456-'10years'!$G456</f>
        <v>3.8868638765704455E-2</v>
      </c>
      <c r="F456">
        <f>'10years'!F456-'10years'!$G456</f>
        <v>-7.893656558969897E-2</v>
      </c>
      <c r="G456">
        <f>'10years'!H456-'10years'!$I456</f>
        <v>0.18570168349703042</v>
      </c>
    </row>
    <row r="457" spans="1:7" x14ac:dyDescent="0.35">
      <c r="A457" s="1">
        <v>27029</v>
      </c>
      <c r="B457">
        <f>'10years'!B457-'10years'!$G457</f>
        <v>9.6411495466023123E-2</v>
      </c>
      <c r="C457">
        <f>'10years'!C457-'10years'!$G457</f>
        <v>-0.17154394146032503</v>
      </c>
      <c r="D457">
        <f>'10years'!D457-'10years'!$G457</f>
        <v>0.18217750052907133</v>
      </c>
      <c r="E457">
        <f>'10years'!E457-'10years'!$G457</f>
        <v>-9.8145283716008169E-2</v>
      </c>
      <c r="F457">
        <f>'10years'!F457-'10years'!$G457</f>
        <v>-0.17348732514337017</v>
      </c>
      <c r="G457">
        <f>'10years'!H457-'10years'!$I457</f>
        <v>9.2332042558873617E-2</v>
      </c>
    </row>
    <row r="458" spans="1:7" x14ac:dyDescent="0.35">
      <c r="A458" s="1">
        <v>27060</v>
      </c>
      <c r="B458">
        <f>'10years'!B458-'10years'!$G458</f>
        <v>8.6977851453425181E-2</v>
      </c>
      <c r="C458">
        <f>'10years'!C458-'10years'!$G458</f>
        <v>-0.18098796198570533</v>
      </c>
      <c r="D458">
        <f>'10years'!D458-'10years'!$G458</f>
        <v>0.1735496029544441</v>
      </c>
      <c r="E458">
        <f>'10years'!E458-'10years'!$G458</f>
        <v>-0.10684001551610045</v>
      </c>
      <c r="F458">
        <f>'10years'!F458-'10years'!$G458</f>
        <v>-0.18273372657432851</v>
      </c>
      <c r="G458">
        <f>'10years'!H458-'10years'!$I458</f>
        <v>8.2812926489683747E-2</v>
      </c>
    </row>
    <row r="459" spans="1:7" x14ac:dyDescent="0.35">
      <c r="A459" s="1">
        <v>27088</v>
      </c>
      <c r="B459">
        <f>'10years'!B459-'10years'!$G459</f>
        <v>5.488070072184148E-2</v>
      </c>
      <c r="C459">
        <f>'10years'!C459-'10years'!$G459</f>
        <v>-0.21355122711086039</v>
      </c>
      <c r="D459">
        <f>'10years'!D459-'10years'!$G459</f>
        <v>0.21161639183351721</v>
      </c>
      <c r="E459">
        <f>'10years'!E459-'10years'!$G459</f>
        <v>-6.9639389220173653E-2</v>
      </c>
      <c r="F459">
        <f>'10years'!F459-'10years'!$G459</f>
        <v>-0.21599663528823654</v>
      </c>
      <c r="G459">
        <f>'10years'!H459-'10years'!$I459</f>
        <v>5.0717226410812444E-2</v>
      </c>
    </row>
    <row r="460" spans="1:7" x14ac:dyDescent="0.35">
      <c r="A460" s="1">
        <v>27117</v>
      </c>
      <c r="B460">
        <f>'10years'!B460-'10years'!$G460</f>
        <v>3.9771751754977824E-2</v>
      </c>
      <c r="C460">
        <f>'10years'!C460-'10years'!$G460</f>
        <v>-0.22939285406424981</v>
      </c>
      <c r="D460">
        <f>'10years'!D460-'10years'!$G460</f>
        <v>0.19832608948018082</v>
      </c>
      <c r="E460">
        <f>'10years'!E460-'10years'!$G460</f>
        <v>-8.3645269713408243E-2</v>
      </c>
      <c r="F460">
        <f>'10years'!F460-'10years'!$G460</f>
        <v>-0.2298743763499167</v>
      </c>
      <c r="G460">
        <f>'10years'!H460-'10years'!$I460</f>
        <v>3.564172008576616E-2</v>
      </c>
    </row>
    <row r="461" spans="1:7" x14ac:dyDescent="0.35">
      <c r="A461" s="1">
        <v>27149</v>
      </c>
      <c r="B461">
        <f>'10years'!B461-'10years'!$G461</f>
        <v>4.9611847057051683E-3</v>
      </c>
      <c r="C461">
        <f>'10years'!C461-'10years'!$G461</f>
        <v>-0.26409208241503945</v>
      </c>
      <c r="D461">
        <f>'10years'!D461-'10years'!$G461</f>
        <v>0.15171909166527664</v>
      </c>
      <c r="E461">
        <f>'10years'!E461-'10years'!$G461</f>
        <v>-0.13075272789688119</v>
      </c>
      <c r="F461">
        <f>'10years'!F461-'10years'!$G461</f>
        <v>-0.26414938824829592</v>
      </c>
      <c r="G461">
        <f>'10years'!H461-'10years'!$I461</f>
        <v>9.2104722615449219E-4</v>
      </c>
    </row>
    <row r="462" spans="1:7" x14ac:dyDescent="0.35">
      <c r="A462" s="1">
        <v>27180</v>
      </c>
      <c r="B462">
        <f>'10years'!B462-'10years'!$G462</f>
        <v>-3.589559203937509E-2</v>
      </c>
      <c r="C462">
        <f>'10years'!C462-'10years'!$G462</f>
        <v>-0.30559028265548194</v>
      </c>
      <c r="D462">
        <f>'10years'!D462-'10years'!$G462</f>
        <v>9.934587059275457E-2</v>
      </c>
      <c r="E462">
        <f>'10years'!E462-'10years'!$G462</f>
        <v>-0.18419044861503431</v>
      </c>
      <c r="F462">
        <f>'10years'!F462-'10years'!$G462</f>
        <v>-0.30602715664879665</v>
      </c>
      <c r="G462">
        <f>'10years'!H462-'10years'!$I462</f>
        <v>-4.0028535991232239E-2</v>
      </c>
    </row>
    <row r="463" spans="1:7" x14ac:dyDescent="0.35">
      <c r="A463" s="1">
        <v>27208</v>
      </c>
      <c r="B463">
        <f>'10years'!B463-'10years'!$G463</f>
        <v>-7.6515829141118097E-2</v>
      </c>
      <c r="C463">
        <f>'10years'!C463-'10years'!$G463</f>
        <v>-0.34706532651498012</v>
      </c>
      <c r="D463">
        <f>'10years'!D463-'10years'!$G463</f>
        <v>2.6845805282563973E-2</v>
      </c>
      <c r="E463">
        <f>'10years'!E463-'10years'!$G463</f>
        <v>-0.25830278927787198</v>
      </c>
      <c r="F463">
        <f>'10years'!F463-'10years'!$G463</f>
        <v>-0.34786121205292098</v>
      </c>
      <c r="G463">
        <f>'10years'!H463-'10years'!$I463</f>
        <v>-8.069986409395824E-2</v>
      </c>
    </row>
    <row r="464" spans="1:7" x14ac:dyDescent="0.35">
      <c r="A464" s="1">
        <v>27241</v>
      </c>
      <c r="B464">
        <f>'10years'!B464-'10years'!$G464</f>
        <v>-0.10473758326324001</v>
      </c>
      <c r="C464">
        <f>'10years'!C464-'10years'!$G464</f>
        <v>-0.37564187056873566</v>
      </c>
      <c r="D464">
        <f>'10years'!D464-'10years'!$G464</f>
        <v>-1.661627716636227E-2</v>
      </c>
      <c r="E464">
        <f>'10years'!E464-'10years'!$G464</f>
        <v>-0.30282092770315439</v>
      </c>
      <c r="F464">
        <f>'10years'!F464-'10years'!$G464</f>
        <v>-0.37621579881564093</v>
      </c>
      <c r="G464">
        <f>'10years'!H464-'10years'!$I464</f>
        <v>-0.10885517652704513</v>
      </c>
    </row>
    <row r="465" spans="1:7" x14ac:dyDescent="0.35">
      <c r="A465" s="1">
        <v>27271</v>
      </c>
      <c r="B465">
        <f>'10years'!B465-'10years'!$G465</f>
        <v>-0.19024806602199429</v>
      </c>
      <c r="C465">
        <f>'10years'!C465-'10years'!$G465</f>
        <v>-0.46177460512098167</v>
      </c>
      <c r="D465">
        <f>'10years'!D465-'10years'!$G465</f>
        <v>-8.1047630295085993E-2</v>
      </c>
      <c r="E465">
        <f>'10years'!E465-'10years'!$G465</f>
        <v>-0.36842688079568275</v>
      </c>
      <c r="F465">
        <f>'10years'!F465-'10years'!$G465</f>
        <v>-0.46194221675211167</v>
      </c>
      <c r="G465">
        <f>'10years'!H465-'10years'!$I465</f>
        <v>-0.19418526023594618</v>
      </c>
    </row>
    <row r="466" spans="1:7" x14ac:dyDescent="0.35">
      <c r="A466" s="1">
        <v>27302</v>
      </c>
      <c r="B466">
        <f>'10years'!B466-'10years'!$G466</f>
        <v>-0.2547373778453399</v>
      </c>
      <c r="C466">
        <f>'10years'!C466-'10years'!$G466</f>
        <v>-0.52904417976118667</v>
      </c>
      <c r="D466">
        <f>'10years'!D466-'10years'!$G466</f>
        <v>-0.15367309589671363</v>
      </c>
      <c r="E466">
        <f>'10years'!E466-'10years'!$G466</f>
        <v>-0.44400948952474595</v>
      </c>
      <c r="F466">
        <f>'10years'!F466-'10years'!$G466</f>
        <v>-0.52975404731739006</v>
      </c>
      <c r="G466">
        <f>'10years'!H466-'10years'!$I466</f>
        <v>-0.25842122612033114</v>
      </c>
    </row>
    <row r="467" spans="1:7" x14ac:dyDescent="0.35">
      <c r="A467" s="1">
        <v>27333</v>
      </c>
      <c r="B467">
        <f>'10years'!B467-'10years'!$G467</f>
        <v>-0.38812274907215061</v>
      </c>
      <c r="C467">
        <f>'10years'!C467-'10years'!$G467</f>
        <v>-0.66291337270515394</v>
      </c>
      <c r="D467">
        <f>'10years'!D467-'10years'!$G467</f>
        <v>-0.25604836085549865</v>
      </c>
      <c r="E467">
        <f>'10years'!E467-'10years'!$G467</f>
        <v>-0.54786841645828588</v>
      </c>
      <c r="F467">
        <f>'10years'!F467-'10years'!$G467</f>
        <v>-0.66314723791477403</v>
      </c>
      <c r="G467">
        <f>'10years'!H467-'10years'!$I467</f>
        <v>-0.39152863029983109</v>
      </c>
    </row>
    <row r="468" spans="1:7" x14ac:dyDescent="0.35">
      <c r="A468" s="1">
        <v>27362</v>
      </c>
      <c r="B468">
        <f>'10years'!B468-'10years'!$G468</f>
        <v>-0.26763888495638466</v>
      </c>
      <c r="C468">
        <f>'10years'!C468-'10years'!$G468</f>
        <v>-0.54414633811570945</v>
      </c>
      <c r="D468">
        <f>'10years'!D468-'10years'!$G468</f>
        <v>-0.16452882753899645</v>
      </c>
      <c r="E468">
        <f>'10years'!E468-'10years'!$G468</f>
        <v>-0.45842612741834965</v>
      </c>
      <c r="F468">
        <f>'10years'!F468-'10years'!$G468</f>
        <v>-0.54606702089757353</v>
      </c>
      <c r="G468">
        <f>'10years'!H468-'10years'!$I468</f>
        <v>-0.27147594875772674</v>
      </c>
    </row>
    <row r="469" spans="1:7" x14ac:dyDescent="0.35">
      <c r="A469" s="1">
        <v>27394</v>
      </c>
      <c r="B469">
        <f>'10years'!B469-'10years'!$G469</f>
        <v>-0.31011144695037185</v>
      </c>
      <c r="C469">
        <f>'10years'!C469-'10years'!$G469</f>
        <v>-0.58846972329370972</v>
      </c>
      <c r="D469">
        <f>'10years'!D469-'10years'!$G469</f>
        <v>-0.20087713802452889</v>
      </c>
      <c r="E469">
        <f>'10years'!E469-'10years'!$G469</f>
        <v>-0.49802027004585581</v>
      </c>
      <c r="F469">
        <f>'10years'!F469-'10years'!$G469</f>
        <v>-0.58933135745564025</v>
      </c>
      <c r="G469">
        <f>'10years'!H469-'10years'!$I469</f>
        <v>-0.31372620128109485</v>
      </c>
    </row>
    <row r="470" spans="1:7" x14ac:dyDescent="0.35">
      <c r="A470" s="1">
        <v>27425</v>
      </c>
      <c r="B470">
        <f>'10years'!B470-'10years'!$G470</f>
        <v>-0.33274867820510901</v>
      </c>
      <c r="C470">
        <f>'10years'!C470-'10years'!$G470</f>
        <v>-0.61180970929538647</v>
      </c>
      <c r="D470">
        <f>'10years'!D470-'10years'!$G470</f>
        <v>-0.22661001109646284</v>
      </c>
      <c r="E470">
        <f>'10years'!E470-'10years'!$G470</f>
        <v>-0.5253432101821951</v>
      </c>
      <c r="F470">
        <f>'10years'!F470-'10years'!$G470</f>
        <v>-0.61262825598811332</v>
      </c>
      <c r="G470">
        <f>'10years'!H470-'10years'!$I470</f>
        <v>-0.33638299513484293</v>
      </c>
    </row>
    <row r="471" spans="1:7" x14ac:dyDescent="0.35">
      <c r="A471" s="1">
        <v>27453</v>
      </c>
      <c r="B471">
        <f>'10years'!B471-'10years'!$G471</f>
        <v>-0.26655364012907024</v>
      </c>
      <c r="C471">
        <f>'10years'!C471-'10years'!$G471</f>
        <v>-0.54645616758394855</v>
      </c>
      <c r="D471">
        <f>'10years'!D471-'10years'!$G471</f>
        <v>-0.10130823939794142</v>
      </c>
      <c r="E471">
        <f>'10years'!E471-'10years'!$G471</f>
        <v>-0.4013470706322031</v>
      </c>
      <c r="F471">
        <f>'10years'!F471-'10years'!$G471</f>
        <v>-0.54590044610289379</v>
      </c>
      <c r="G471">
        <f>'10years'!H471-'10years'!$I471</f>
        <v>-0.27043029765991822</v>
      </c>
    </row>
    <row r="472" spans="1:7" x14ac:dyDescent="0.35">
      <c r="A472" s="1">
        <v>27484</v>
      </c>
      <c r="B472">
        <f>'10years'!B472-'10years'!$G472</f>
        <v>-0.21630947512752852</v>
      </c>
      <c r="C472">
        <f>'10years'!C472-'10years'!$G472</f>
        <v>-0.49876699745927566</v>
      </c>
      <c r="D472">
        <f>'10years'!D472-'10years'!$G472</f>
        <v>-8.4754415379416637E-2</v>
      </c>
      <c r="E472">
        <f>'10years'!E472-'10years'!$G472</f>
        <v>-0.38702383610390467</v>
      </c>
      <c r="F472">
        <f>'10years'!F472-'10years'!$G472</f>
        <v>-0.49737829796763111</v>
      </c>
      <c r="G472">
        <f>'10years'!H472-'10years'!$I472</f>
        <v>-0.22033173716651255</v>
      </c>
    </row>
    <row r="473" spans="1:7" x14ac:dyDescent="0.35">
      <c r="A473" s="1">
        <v>27514</v>
      </c>
      <c r="B473">
        <f>'10years'!B473-'10years'!$G473</f>
        <v>-0.18665581871133274</v>
      </c>
      <c r="C473">
        <f>'10years'!C473-'10years'!$G473</f>
        <v>-0.4694964046384571</v>
      </c>
      <c r="D473">
        <f>'10years'!D473-'10years'!$G473</f>
        <v>-3.1205389050502186E-2</v>
      </c>
      <c r="E473">
        <f>'10years'!E473-'10years'!$G473</f>
        <v>-0.33471355996350494</v>
      </c>
      <c r="F473">
        <f>'10years'!F473-'10years'!$G473</f>
        <v>-0.46774555260195982</v>
      </c>
      <c r="G473">
        <f>'10years'!H473-'10years'!$I473</f>
        <v>-0.19078545489030763</v>
      </c>
    </row>
    <row r="474" spans="1:7" x14ac:dyDescent="0.35">
      <c r="A474" s="1">
        <v>27544</v>
      </c>
      <c r="B474">
        <f>'10years'!B474-'10years'!$G474</f>
        <v>-0.1767224821482416</v>
      </c>
      <c r="C474">
        <f>'10years'!C474-'10years'!$G474</f>
        <v>-0.46060940657817406</v>
      </c>
      <c r="D474">
        <f>'10years'!D474-'10years'!$G474</f>
        <v>-2.3106860097612536E-2</v>
      </c>
      <c r="E474">
        <f>'10years'!E474-'10years'!$G474</f>
        <v>-0.32770237031416682</v>
      </c>
      <c r="F474">
        <f>'10years'!F474-'10years'!$G474</f>
        <v>-0.45845379330883507</v>
      </c>
      <c r="G474">
        <f>'10years'!H474-'10years'!$I474</f>
        <v>-0.18084126462246664</v>
      </c>
    </row>
    <row r="475" spans="1:7" x14ac:dyDescent="0.35">
      <c r="A475" s="1">
        <v>27575</v>
      </c>
      <c r="B475">
        <f>'10years'!B475-'10years'!$G475</f>
        <v>-0.13352209835881568</v>
      </c>
      <c r="C475">
        <f>'10years'!C475-'10years'!$G475</f>
        <v>-0.41823786986596478</v>
      </c>
      <c r="D475">
        <f>'10years'!D475-'10years'!$G475</f>
        <v>2.9205504415277472E-2</v>
      </c>
      <c r="E475">
        <f>'10years'!E475-'10years'!$G475</f>
        <v>-0.2770165192902827</v>
      </c>
      <c r="F475">
        <f>'10years'!F475-'10years'!$G475</f>
        <v>-0.41714781628230146</v>
      </c>
      <c r="G475">
        <f>'10years'!H475-'10years'!$I475</f>
        <v>-0.13777807856675262</v>
      </c>
    </row>
    <row r="476" spans="1:7" x14ac:dyDescent="0.35">
      <c r="A476" s="1">
        <v>27606</v>
      </c>
      <c r="B476">
        <f>'10years'!B476-'10years'!$G476</f>
        <v>-5.6109586481780216E-2</v>
      </c>
      <c r="C476">
        <f>'10years'!C476-'10years'!$G476</f>
        <v>-0.34124284254272341</v>
      </c>
      <c r="D476">
        <f>'10years'!D476-'10years'!$G476</f>
        <v>0.1393477425894889</v>
      </c>
      <c r="E476">
        <f>'10years'!E476-'10years'!$G476</f>
        <v>-0.16766016200594658</v>
      </c>
      <c r="F476">
        <f>'10years'!F476-'10years'!$G476</f>
        <v>-0.33993479245414582</v>
      </c>
      <c r="G476">
        <f>'10years'!H476-'10years'!$I476</f>
        <v>-6.0678015981618927E-2</v>
      </c>
    </row>
    <row r="477" spans="1:7" x14ac:dyDescent="0.35">
      <c r="A477" s="1">
        <v>27635</v>
      </c>
      <c r="B477">
        <f>'10years'!B477-'10years'!$G477</f>
        <v>-0.12626054201127523</v>
      </c>
      <c r="C477">
        <f>'10years'!C477-'10years'!$G477</f>
        <v>-0.4123643068981222</v>
      </c>
      <c r="D477">
        <f>'10years'!D477-'10years'!$G477</f>
        <v>7.0325066964366023E-2</v>
      </c>
      <c r="E477">
        <f>'10years'!E477-'10years'!$G477</f>
        <v>-0.23746496548333074</v>
      </c>
      <c r="F477">
        <f>'10years'!F477-'10years'!$G477</f>
        <v>-0.41094596285122265</v>
      </c>
      <c r="G477">
        <f>'10years'!H477-'10years'!$I477</f>
        <v>-0.13046054148083686</v>
      </c>
    </row>
    <row r="478" spans="1:7" x14ac:dyDescent="0.35">
      <c r="A478" s="1">
        <v>27667</v>
      </c>
      <c r="B478">
        <f>'10years'!B478-'10years'!$G478</f>
        <v>-0.16346666959293832</v>
      </c>
      <c r="C478">
        <f>'10years'!C478-'10years'!$G478</f>
        <v>-0.45048526607687278</v>
      </c>
      <c r="D478">
        <f>'10years'!D478-'10years'!$G478</f>
        <v>1.057307692945364E-2</v>
      </c>
      <c r="E478">
        <f>'10years'!E478-'10years'!$G478</f>
        <v>-0.29800401712193403</v>
      </c>
      <c r="F478">
        <f>'10years'!F478-'10years'!$G478</f>
        <v>-0.44854451585268973</v>
      </c>
      <c r="G478">
        <f>'10years'!H478-'10years'!$I478</f>
        <v>-0.16745802903450624</v>
      </c>
    </row>
    <row r="479" spans="1:7" x14ac:dyDescent="0.35">
      <c r="A479" s="1">
        <v>27698</v>
      </c>
      <c r="B479">
        <f>'10years'!B479-'10years'!$G479</f>
        <v>-0.22014667318966197</v>
      </c>
      <c r="C479">
        <f>'10years'!C479-'10years'!$G479</f>
        <v>-0.50763645538125868</v>
      </c>
      <c r="D479">
        <f>'10years'!D479-'10years'!$G479</f>
        <v>-4.6637081824355775E-2</v>
      </c>
      <c r="E479">
        <f>'10years'!E479-'10years'!$G479</f>
        <v>-0.35622133673168044</v>
      </c>
      <c r="F479">
        <f>'10years'!F479-'10years'!$G479</f>
        <v>-0.50603559046748314</v>
      </c>
      <c r="G479">
        <f>'10years'!H479-'10years'!$I479</f>
        <v>-0.2238359669126222</v>
      </c>
    </row>
    <row r="480" spans="1:7" x14ac:dyDescent="0.35">
      <c r="A480" s="1">
        <v>27726</v>
      </c>
      <c r="B480">
        <f>'10years'!B480-'10years'!$G480</f>
        <v>-0.19349090221692555</v>
      </c>
      <c r="C480">
        <f>'10years'!C480-'10years'!$G480</f>
        <v>-0.48232292650228259</v>
      </c>
      <c r="D480">
        <f>'10years'!D480-'10years'!$G480</f>
        <v>-4.1574391916216369E-2</v>
      </c>
      <c r="E480">
        <f>'10years'!E480-'10years'!$G480</f>
        <v>-0.35251201113573649</v>
      </c>
      <c r="F480">
        <f>'10years'!F480-'10years'!$G480</f>
        <v>-0.48078979449733317</v>
      </c>
      <c r="G480">
        <f>'10years'!H480-'10years'!$I480</f>
        <v>-0.1972690868431326</v>
      </c>
    </row>
    <row r="481" spans="1:7" x14ac:dyDescent="0.35">
      <c r="A481" s="1">
        <v>27759</v>
      </c>
      <c r="B481">
        <f>'10years'!B481-'10years'!$G481</f>
        <v>-0.16604636392841021</v>
      </c>
      <c r="C481">
        <f>'10years'!C481-'10years'!$G481</f>
        <v>-0.45446018185530157</v>
      </c>
      <c r="D481">
        <f>'10years'!D481-'10years'!$G481</f>
        <v>-2.9946213535406496E-2</v>
      </c>
      <c r="E481">
        <f>'10years'!E481-'10years'!$G481</f>
        <v>-0.34102679211865139</v>
      </c>
      <c r="F481">
        <f>'10years'!F481-'10years'!$G481</f>
        <v>-0.45364473550809947</v>
      </c>
      <c r="G481">
        <f>'10years'!H481-'10years'!$I481</f>
        <v>-0.16991945139397391</v>
      </c>
    </row>
    <row r="482" spans="1:7" x14ac:dyDescent="0.35">
      <c r="A482" s="1">
        <v>27789</v>
      </c>
      <c r="B482">
        <f>'10years'!B482-'10years'!$G482</f>
        <v>-0.18474975650799386</v>
      </c>
      <c r="C482">
        <f>'10years'!C482-'10years'!$G482</f>
        <v>-0.47357528622041589</v>
      </c>
      <c r="D482">
        <f>'10years'!D482-'10years'!$G482</f>
        <v>-5.6215517481959187E-2</v>
      </c>
      <c r="E482">
        <f>'10years'!E482-'10years'!$G482</f>
        <v>-0.36827791613640382</v>
      </c>
      <c r="F482">
        <f>'10years'!F482-'10years'!$G482</f>
        <v>-0.47200636889397152</v>
      </c>
      <c r="G482">
        <f>'10years'!H482-'10years'!$I482</f>
        <v>-0.18849174332639107</v>
      </c>
    </row>
    <row r="483" spans="1:7" x14ac:dyDescent="0.35">
      <c r="A483" s="1">
        <v>27817</v>
      </c>
      <c r="B483">
        <f>'10years'!B483-'10years'!$G483</f>
        <v>-9.5427826044018449E-2</v>
      </c>
      <c r="C483">
        <f>'10years'!C483-'10years'!$G483</f>
        <v>-0.38501402295195009</v>
      </c>
      <c r="D483">
        <f>'10years'!D483-'10years'!$G483</f>
        <v>3.9365212215099366E-2</v>
      </c>
      <c r="E483">
        <f>'10years'!E483-'10years'!$G483</f>
        <v>-0.27354737489302794</v>
      </c>
      <c r="F483">
        <f>'10years'!F483-'10years'!$G483</f>
        <v>-0.38361775478297622</v>
      </c>
      <c r="G483">
        <f>'10years'!H483-'10years'!$I483</f>
        <v>-9.9567231301977976E-2</v>
      </c>
    </row>
    <row r="484" spans="1:7" x14ac:dyDescent="0.35">
      <c r="A484" s="1">
        <v>27850</v>
      </c>
      <c r="B484">
        <f>'10years'!B484-'10years'!$G484</f>
        <v>-8.9433885217963471E-2</v>
      </c>
      <c r="C484">
        <f>'10years'!C484-'10years'!$G484</f>
        <v>-0.3799074158446194</v>
      </c>
      <c r="D484">
        <f>'10years'!D484-'10years'!$G484</f>
        <v>6.6105349965447147E-2</v>
      </c>
      <c r="E484">
        <f>'10years'!E484-'10years'!$G484</f>
        <v>-0.24739841635841664</v>
      </c>
      <c r="F484">
        <f>'10years'!F484-'10years'!$G484</f>
        <v>-0.37805123926244821</v>
      </c>
      <c r="G484">
        <f>'10years'!H484-'10years'!$I484</f>
        <v>-9.3611192523102016E-2</v>
      </c>
    </row>
    <row r="485" spans="1:7" x14ac:dyDescent="0.35">
      <c r="A485" s="1">
        <v>27880</v>
      </c>
      <c r="B485">
        <f>'10years'!B485-'10years'!$G485</f>
        <v>-4.3238718354771555E-2</v>
      </c>
      <c r="C485">
        <f>'10years'!C485-'10years'!$G485</f>
        <v>-0.33400644814989877</v>
      </c>
      <c r="D485">
        <f>'10years'!D485-'10years'!$G485</f>
        <v>0.10220159503528348</v>
      </c>
      <c r="E485">
        <f>'10years'!E485-'10years'!$G485</f>
        <v>-0.21193912646915769</v>
      </c>
      <c r="F485">
        <f>'10years'!F485-'10years'!$G485</f>
        <v>-0.33461357950784243</v>
      </c>
      <c r="G485">
        <f>'10years'!H485-'10years'!$I485</f>
        <v>-4.7622507287725657E-2</v>
      </c>
    </row>
    <row r="486" spans="1:7" x14ac:dyDescent="0.35">
      <c r="A486" s="1">
        <v>27908</v>
      </c>
      <c r="B486">
        <f>'10years'!B486-'10years'!$G486</f>
        <v>-7.0355372025928675E-2</v>
      </c>
      <c r="C486">
        <f>'10years'!C486-'10years'!$G486</f>
        <v>-0.36122298858278445</v>
      </c>
      <c r="D486">
        <f>'10years'!D486-'10years'!$G486</f>
        <v>7.3485093931061618E-2</v>
      </c>
      <c r="E486">
        <f>'10years'!E486-'10years'!$G486</f>
        <v>-0.24116018647910242</v>
      </c>
      <c r="F486">
        <f>'10years'!F486-'10years'!$G486</f>
        <v>-0.36147413498645808</v>
      </c>
      <c r="G486">
        <f>'10years'!H486-'10years'!$I486</f>
        <v>-7.4580406418744971E-2</v>
      </c>
    </row>
    <row r="487" spans="1:7" x14ac:dyDescent="0.35">
      <c r="A487" s="1">
        <v>27941</v>
      </c>
      <c r="B487">
        <f>'10years'!B487-'10years'!$G487</f>
        <v>-3.4666535277193544E-2</v>
      </c>
      <c r="C487">
        <f>'10years'!C487-'10years'!$G487</f>
        <v>-0.3266249704952251</v>
      </c>
      <c r="D487">
        <f>'10years'!D487-'10years'!$G487</f>
        <v>0.11831333844172343</v>
      </c>
      <c r="E487">
        <f>'10years'!E487-'10years'!$G487</f>
        <v>-0.1967960254991119</v>
      </c>
      <c r="F487">
        <f>'10years'!F487-'10years'!$G487</f>
        <v>-0.32676120404126929</v>
      </c>
      <c r="G487">
        <f>'10years'!H487-'10years'!$I487</f>
        <v>-3.906935815511936E-2</v>
      </c>
    </row>
    <row r="488" spans="1:7" x14ac:dyDescent="0.35">
      <c r="A488" s="1">
        <v>27971</v>
      </c>
      <c r="B488">
        <f>'10years'!B488-'10years'!$G488</f>
        <v>1.3034918856283717E-2</v>
      </c>
      <c r="C488">
        <f>'10years'!C488-'10years'!$G488</f>
        <v>-0.27921306933991996</v>
      </c>
      <c r="D488">
        <f>'10years'!D488-'10years'!$G488</f>
        <v>0.17097215247653708</v>
      </c>
      <c r="E488">
        <f>'10years'!E488-'10years'!$G488</f>
        <v>-0.14477670794318076</v>
      </c>
      <c r="F488">
        <f>'10years'!F488-'10years'!$G488</f>
        <v>-0.28013827710192363</v>
      </c>
      <c r="G488">
        <f>'10years'!H488-'10years'!$I488</f>
        <v>8.4253313706095234E-3</v>
      </c>
    </row>
    <row r="489" spans="1:7" x14ac:dyDescent="0.35">
      <c r="A489" s="1">
        <v>28003</v>
      </c>
      <c r="B489">
        <f>'10years'!B489-'10years'!$G489</f>
        <v>1.6168625860653929E-2</v>
      </c>
      <c r="C489">
        <f>'10years'!C489-'10years'!$G489</f>
        <v>-0.27637555091656685</v>
      </c>
      <c r="D489">
        <f>'10years'!D489-'10years'!$G489</f>
        <v>0.17499579169698221</v>
      </c>
      <c r="E489">
        <f>'10years'!E489-'10years'!$G489</f>
        <v>-0.14097660875872853</v>
      </c>
      <c r="F489">
        <f>'10years'!F489-'10years'!$G489</f>
        <v>-0.27661468161729674</v>
      </c>
      <c r="G489">
        <f>'10years'!H489-'10years'!$I489</f>
        <v>1.1575138781327876E-2</v>
      </c>
    </row>
    <row r="490" spans="1:7" x14ac:dyDescent="0.35">
      <c r="A490" s="1">
        <v>28033</v>
      </c>
      <c r="B490">
        <f>'10years'!B490-'10years'!$G490</f>
        <v>7.9687622676841929E-2</v>
      </c>
      <c r="C490">
        <f>'10years'!C490-'10years'!$G490</f>
        <v>-0.21327968165503952</v>
      </c>
      <c r="D490">
        <f>'10years'!D490-'10years'!$G490</f>
        <v>0.24219690515322823</v>
      </c>
      <c r="E490">
        <f>'10years'!E490-'10years'!$G490</f>
        <v>-7.3712059571081401E-2</v>
      </c>
      <c r="F490">
        <f>'10years'!F490-'10years'!$G490</f>
        <v>-0.21339909631997367</v>
      </c>
      <c r="G490">
        <f>'10years'!H490-'10years'!$I490</f>
        <v>7.4799462688135421E-2</v>
      </c>
    </row>
    <row r="491" spans="1:7" x14ac:dyDescent="0.35">
      <c r="A491" s="1">
        <v>28062</v>
      </c>
      <c r="B491">
        <f>'10years'!B491-'10years'!$G491</f>
        <v>0.10481059568885831</v>
      </c>
      <c r="C491">
        <f>'10years'!C491-'10years'!$G491</f>
        <v>-0.18844194193576369</v>
      </c>
      <c r="D491">
        <f>'10years'!D491-'10years'!$G491</f>
        <v>0.26954419001077801</v>
      </c>
      <c r="E491">
        <f>'10years'!E491-'10years'!$G491</f>
        <v>-4.6580617433051419E-2</v>
      </c>
      <c r="F491">
        <f>'10years'!F491-'10years'!$G491</f>
        <v>-0.18916419323228917</v>
      </c>
      <c r="G491">
        <f>'10years'!H491-'10years'!$I491</f>
        <v>9.9811106876768196E-2</v>
      </c>
    </row>
    <row r="492" spans="1:7" x14ac:dyDescent="0.35">
      <c r="A492" s="1">
        <v>28094</v>
      </c>
      <c r="B492">
        <f>'10years'!B492-'10years'!$G492</f>
        <v>4.8500932363082727E-2</v>
      </c>
      <c r="C492">
        <f>'10years'!C492-'10years'!$G492</f>
        <v>-0.24524037879687355</v>
      </c>
      <c r="D492">
        <f>'10years'!D492-'10years'!$G492</f>
        <v>0.22800234217827975</v>
      </c>
      <c r="E492">
        <f>'10years'!E492-'10years'!$G492</f>
        <v>-8.837894405626634E-2</v>
      </c>
      <c r="F492">
        <f>'10years'!F492-'10years'!$G492</f>
        <v>-0.24640635163264402</v>
      </c>
      <c r="G492">
        <f>'10years'!H492-'10years'!$I492</f>
        <v>4.3759378363394941E-2</v>
      </c>
    </row>
    <row r="493" spans="1:7" x14ac:dyDescent="0.35">
      <c r="A493" s="1">
        <v>28125</v>
      </c>
      <c r="B493">
        <f>'10years'!B493-'10years'!$G493</f>
        <v>3.828196422293062E-2</v>
      </c>
      <c r="C493">
        <f>'10years'!C493-'10years'!$G493</f>
        <v>-0.25559432762305412</v>
      </c>
      <c r="D493">
        <f>'10years'!D493-'10years'!$G493</f>
        <v>0.22295555849902748</v>
      </c>
      <c r="E493">
        <f>'10years'!E493-'10years'!$G493</f>
        <v>-9.289302118018461E-2</v>
      </c>
      <c r="F493">
        <f>'10years'!F493-'10years'!$G493</f>
        <v>-0.25552279817129242</v>
      </c>
      <c r="G493">
        <f>'10years'!H493-'10years'!$I493</f>
        <v>3.3587851413185987E-2</v>
      </c>
    </row>
    <row r="494" spans="1:7" x14ac:dyDescent="0.35">
      <c r="A494" s="1">
        <v>28156</v>
      </c>
      <c r="B494">
        <f>'10years'!B494-'10years'!$G494</f>
        <v>8.188260239565559E-2</v>
      </c>
      <c r="C494">
        <f>'10years'!C494-'10years'!$G494</f>
        <v>-0.21221200965648701</v>
      </c>
      <c r="D494">
        <f>'10years'!D494-'10years'!$G494</f>
        <v>0.27323991885050991</v>
      </c>
      <c r="E494">
        <f>'10years'!E494-'10years'!$G494</f>
        <v>-4.2598517886127452E-2</v>
      </c>
      <c r="F494">
        <f>'10years'!F494-'10years'!$G494</f>
        <v>-0.21154299669525733</v>
      </c>
      <c r="G494">
        <f>'10years'!H494-'10years'!$I494</f>
        <v>7.6979606424354419E-2</v>
      </c>
    </row>
    <row r="495" spans="1:7" x14ac:dyDescent="0.35">
      <c r="A495" s="1">
        <v>28184</v>
      </c>
      <c r="B495">
        <f>'10years'!B495-'10years'!$G495</f>
        <v>-2.3990265154417045E-2</v>
      </c>
      <c r="C495">
        <f>'10years'!C495-'10years'!$G495</f>
        <v>-0.31794852801875262</v>
      </c>
      <c r="D495">
        <f>'10years'!D495-'10years'!$G495</f>
        <v>0.14679464036922951</v>
      </c>
      <c r="E495">
        <f>'10years'!E495-'10years'!$G495</f>
        <v>-0.16881377915746221</v>
      </c>
      <c r="F495">
        <f>'10years'!F495-'10years'!$G495</f>
        <v>-0.31707241775801354</v>
      </c>
      <c r="G495">
        <f>'10years'!H495-'10years'!$I495</f>
        <v>-2.8411676790696117E-2</v>
      </c>
    </row>
    <row r="496" spans="1:7" x14ac:dyDescent="0.35">
      <c r="A496" s="1">
        <v>28215</v>
      </c>
      <c r="B496">
        <f>'10years'!B496-'10years'!$G496</f>
        <v>-4.3355122476606667E-2</v>
      </c>
      <c r="C496">
        <f>'10years'!C496-'10years'!$G496</f>
        <v>-0.33877844430983917</v>
      </c>
      <c r="D496">
        <f>'10years'!D496-'10years'!$G496</f>
        <v>0.12337941881103198</v>
      </c>
      <c r="E496">
        <f>'10years'!E496-'10years'!$G496</f>
        <v>-0.19258958285069916</v>
      </c>
      <c r="F496">
        <f>'10years'!F496-'10years'!$G496</f>
        <v>-0.33689078415438622</v>
      </c>
      <c r="G496">
        <f>'10years'!H496-'10years'!$I496</f>
        <v>-4.7686447313310953E-2</v>
      </c>
    </row>
    <row r="497" spans="1:7" x14ac:dyDescent="0.35">
      <c r="A497" s="1">
        <v>28244</v>
      </c>
      <c r="B497">
        <f>'10years'!B497-'10years'!$G497</f>
        <v>-8.7517240754522829E-2</v>
      </c>
      <c r="C497">
        <f>'10years'!C497-'10years'!$G497</f>
        <v>-0.38326304413155721</v>
      </c>
      <c r="D497">
        <f>'10years'!D497-'10years'!$G497</f>
        <v>8.277098523941917E-2</v>
      </c>
      <c r="E497">
        <f>'10years'!E497-'10years'!$G497</f>
        <v>-0.23364392888422247</v>
      </c>
      <c r="F497">
        <f>'10years'!F497-'10years'!$G497</f>
        <v>-0.38082625039622964</v>
      </c>
      <c r="G497">
        <f>'10years'!H497-'10years'!$I497</f>
        <v>-9.1633587979789155E-2</v>
      </c>
    </row>
    <row r="498" spans="1:7" x14ac:dyDescent="0.35">
      <c r="A498" s="1">
        <v>28276</v>
      </c>
      <c r="B498">
        <f>'10years'!B498-'10years'!$G498</f>
        <v>-0.12302390877797365</v>
      </c>
      <c r="C498">
        <f>'10years'!C498-'10years'!$G498</f>
        <v>-0.41895926208005285</v>
      </c>
      <c r="D498">
        <f>'10years'!D498-'10years'!$G498</f>
        <v>5.8129752543457869E-2</v>
      </c>
      <c r="E498">
        <f>'10years'!E498-'10years'!$G498</f>
        <v>-0.25857899992155353</v>
      </c>
      <c r="F498">
        <f>'10years'!F498-'10years'!$G498</f>
        <v>-0.415690756581931</v>
      </c>
      <c r="G498">
        <f>'10years'!H498-'10years'!$I498</f>
        <v>-0.12692409146309869</v>
      </c>
    </row>
    <row r="499" spans="1:7" x14ac:dyDescent="0.35">
      <c r="A499" s="1">
        <v>28306</v>
      </c>
      <c r="B499">
        <f>'10years'!B499-'10years'!$G499</f>
        <v>-9.5986878630158756E-2</v>
      </c>
      <c r="C499">
        <f>'10years'!C499-'10years'!$G499</f>
        <v>-0.39438188774903793</v>
      </c>
      <c r="D499">
        <f>'10years'!D499-'10years'!$G499</f>
        <v>7.0189828592117642E-2</v>
      </c>
      <c r="E499">
        <f>'10years'!E499-'10years'!$G499</f>
        <v>-0.24737231691139616</v>
      </c>
      <c r="F499">
        <f>'10years'!F499-'10years'!$G499</f>
        <v>-0.39102387107639913</v>
      </c>
      <c r="G499">
        <f>'10years'!H499-'10years'!$I499</f>
        <v>-9.999269346561146E-2</v>
      </c>
    </row>
    <row r="500" spans="1:7" x14ac:dyDescent="0.35">
      <c r="A500" s="1">
        <v>28335</v>
      </c>
      <c r="B500">
        <f>'10years'!B500-'10years'!$G500</f>
        <v>-7.4137761438580529E-2</v>
      </c>
      <c r="C500">
        <f>'10years'!C500-'10years'!$G500</f>
        <v>-0.37318374507397367</v>
      </c>
      <c r="D500">
        <f>'10years'!D500-'10years'!$G500</f>
        <v>8.1944516366899922E-2</v>
      </c>
      <c r="E500">
        <f>'10years'!E500-'10years'!$G500</f>
        <v>-0.23616784915957956</v>
      </c>
      <c r="F500">
        <f>'10years'!F500-'10years'!$G500</f>
        <v>-0.36968798856297758</v>
      </c>
      <c r="G500">
        <f>'10years'!H500-'10years'!$I500</f>
        <v>-7.8156397661732768E-2</v>
      </c>
    </row>
    <row r="501" spans="1:7" x14ac:dyDescent="0.35">
      <c r="A501" s="1">
        <v>28368</v>
      </c>
      <c r="B501">
        <f>'10years'!B501-'10years'!$G501</f>
        <v>-0.12611448529025493</v>
      </c>
      <c r="C501">
        <f>'10years'!C501-'10years'!$G501</f>
        <v>-0.42530869297390561</v>
      </c>
      <c r="D501">
        <f>'10years'!D501-'10years'!$G501</f>
        <v>1.1328154085995745E-2</v>
      </c>
      <c r="E501">
        <f>'10years'!E501-'10years'!$G501</f>
        <v>-0.30687091373755893</v>
      </c>
      <c r="F501">
        <f>'10years'!F501-'10years'!$G501</f>
        <v>-0.42128121656550865</v>
      </c>
      <c r="G501">
        <f>'10years'!H501-'10years'!$I501</f>
        <v>-0.1298125031103603</v>
      </c>
    </row>
    <row r="502" spans="1:7" x14ac:dyDescent="0.35">
      <c r="A502" s="1">
        <v>28398</v>
      </c>
      <c r="B502">
        <f>'10years'!B502-'10years'!$G502</f>
        <v>-0.13189439304863648</v>
      </c>
      <c r="C502">
        <f>'10years'!C502-'10years'!$G502</f>
        <v>-0.43325638461084659</v>
      </c>
      <c r="D502">
        <f>'10years'!D502-'10years'!$G502</f>
        <v>-6.036539255992901E-3</v>
      </c>
      <c r="E502">
        <f>'10years'!E502-'10years'!$G502</f>
        <v>-0.32557306135225716</v>
      </c>
      <c r="F502">
        <f>'10years'!F502-'10years'!$G502</f>
        <v>-0.43033459741348357</v>
      </c>
      <c r="G502">
        <f>'10years'!H502-'10years'!$I502</f>
        <v>-0.13549711388934904</v>
      </c>
    </row>
    <row r="503" spans="1:7" x14ac:dyDescent="0.35">
      <c r="A503" s="1">
        <v>28429</v>
      </c>
      <c r="B503">
        <f>'10years'!B503-'10years'!$G503</f>
        <v>-0.16135654252303722</v>
      </c>
      <c r="C503">
        <f>'10years'!C503-'10years'!$G503</f>
        <v>-0.46353672502663468</v>
      </c>
      <c r="D503">
        <f>'10years'!D503-'10years'!$G503</f>
        <v>-3.0287332326315752E-2</v>
      </c>
      <c r="E503">
        <f>'10years'!E503-'10years'!$G503</f>
        <v>-0.35058712086154342</v>
      </c>
      <c r="F503">
        <f>'10years'!F503-'10years'!$G503</f>
        <v>-0.46026276971744373</v>
      </c>
      <c r="G503">
        <f>'10years'!H503-'10years'!$I503</f>
        <v>-0.16475676427816222</v>
      </c>
    </row>
    <row r="504" spans="1:7" x14ac:dyDescent="0.35">
      <c r="A504" s="1">
        <v>28459</v>
      </c>
      <c r="B504">
        <f>'10years'!B504-'10years'!$G504</f>
        <v>-0.17478703288684105</v>
      </c>
      <c r="C504">
        <f>'10years'!C504-'10years'!$G504</f>
        <v>-0.47749615696948622</v>
      </c>
      <c r="D504">
        <f>'10years'!D504-'10years'!$G504</f>
        <v>-2.0438551845607833E-2</v>
      </c>
      <c r="E504">
        <f>'10years'!E504-'10years'!$G504</f>
        <v>-0.34129169350169342</v>
      </c>
      <c r="F504">
        <f>'10years'!F504-'10years'!$G504</f>
        <v>-0.47351466342077586</v>
      </c>
      <c r="G504">
        <f>'10years'!H504-'10years'!$I504</f>
        <v>-0.17810613434670053</v>
      </c>
    </row>
    <row r="505" spans="1:7" x14ac:dyDescent="0.35">
      <c r="A505" s="1">
        <v>28489</v>
      </c>
      <c r="B505">
        <f>'10years'!B505-'10years'!$G505</f>
        <v>-0.15117378267570292</v>
      </c>
      <c r="C505">
        <f>'10years'!C505-'10years'!$G505</f>
        <v>-0.4569704893181612</v>
      </c>
      <c r="D505">
        <f>'10years'!D505-'10years'!$G505</f>
        <v>2.978167329419712E-2</v>
      </c>
      <c r="E505">
        <f>'10years'!E505-'10years'!$G505</f>
        <v>-0.29247780458307648</v>
      </c>
      <c r="F505">
        <f>'10years'!F505-'10years'!$G505</f>
        <v>-0.45342059399040213</v>
      </c>
      <c r="G505">
        <f>'10years'!H505-'10years'!$I505</f>
        <v>-0.15458553531566555</v>
      </c>
    </row>
    <row r="506" spans="1:7" x14ac:dyDescent="0.35">
      <c r="A506" s="1">
        <v>28521</v>
      </c>
      <c r="B506">
        <f>'10years'!B506-'10years'!$G506</f>
        <v>-0.17024720230295398</v>
      </c>
      <c r="C506">
        <f>'10years'!C506-'10years'!$G506</f>
        <v>-0.47660127109120443</v>
      </c>
      <c r="D506">
        <f>'10years'!D506-'10years'!$G506</f>
        <v>-7.65090248008371E-3</v>
      </c>
      <c r="E506">
        <f>'10years'!E506-'10years'!$G506</f>
        <v>-0.3305142708200377</v>
      </c>
      <c r="F506">
        <f>'10years'!F506-'10years'!$G506</f>
        <v>-0.47404922386716852</v>
      </c>
      <c r="G506">
        <f>'10years'!H506-'10years'!$I506</f>
        <v>-0.17351137786030257</v>
      </c>
    </row>
    <row r="507" spans="1:7" x14ac:dyDescent="0.35">
      <c r="A507" s="1">
        <v>28549</v>
      </c>
      <c r="B507">
        <f>'10years'!B507-'10years'!$G507</f>
        <v>-0.18753883305740904</v>
      </c>
      <c r="C507">
        <f>'10years'!C507-'10years'!$G507</f>
        <v>-0.49415542177771887</v>
      </c>
      <c r="D507">
        <f>'10years'!D507-'10years'!$G507</f>
        <v>-4.2796400907728627E-2</v>
      </c>
      <c r="E507">
        <f>'10years'!E507-'10years'!$G507</f>
        <v>-0.36582225606526131</v>
      </c>
      <c r="F507">
        <f>'10years'!F507-'10years'!$G507</f>
        <v>-0.49034629484178027</v>
      </c>
      <c r="G507">
        <f>'10years'!H507-'10years'!$I507</f>
        <v>-0.1907013345880948</v>
      </c>
    </row>
    <row r="508" spans="1:7" x14ac:dyDescent="0.35">
      <c r="A508" s="1">
        <v>28580</v>
      </c>
      <c r="B508">
        <f>'10years'!B508-'10years'!$G508</f>
        <v>-0.17905023546996701</v>
      </c>
      <c r="C508">
        <f>'10years'!C508-'10years'!$G508</f>
        <v>-0.48872197988368682</v>
      </c>
      <c r="D508">
        <f>'10years'!D508-'10years'!$G508</f>
        <v>-2.5647740648336415E-2</v>
      </c>
      <c r="E508">
        <f>'10years'!E508-'10years'!$G508</f>
        <v>-0.35043304322018698</v>
      </c>
      <c r="F508">
        <f>'10years'!F508-'10years'!$G508</f>
        <v>-0.48540750476235694</v>
      </c>
      <c r="G508">
        <f>'10years'!H508-'10years'!$I508</f>
        <v>-0.18223748162305986</v>
      </c>
    </row>
    <row r="509" spans="1:7" x14ac:dyDescent="0.35">
      <c r="A509" s="1">
        <v>28608</v>
      </c>
      <c r="B509">
        <f>'10years'!B509-'10years'!$G509</f>
        <v>-0.16616841116164882</v>
      </c>
      <c r="C509">
        <f>'10years'!C509-'10years'!$G509</f>
        <v>-0.47705355137107586</v>
      </c>
      <c r="D509">
        <f>'10years'!D509-'10years'!$G509</f>
        <v>1.301270315615688E-2</v>
      </c>
      <c r="E509">
        <f>'10years'!E509-'10years'!$G509</f>
        <v>-0.31290952817050166</v>
      </c>
      <c r="F509">
        <f>'10years'!F509-'10years'!$G509</f>
        <v>-0.47394410037134826</v>
      </c>
      <c r="G509">
        <f>'10years'!H509-'10years'!$I509</f>
        <v>-0.16940751935533571</v>
      </c>
    </row>
    <row r="510" spans="1:7" x14ac:dyDescent="0.35">
      <c r="A510" s="1">
        <v>28641</v>
      </c>
      <c r="B510">
        <f>'10years'!B510-'10years'!$G510</f>
        <v>-0.16332536211818671</v>
      </c>
      <c r="C510">
        <f>'10years'!C510-'10years'!$G510</f>
        <v>-0.47415659812341349</v>
      </c>
      <c r="D510">
        <f>'10years'!D510-'10years'!$G510</f>
        <v>-1.605025178722963E-3</v>
      </c>
      <c r="E510">
        <f>'10years'!E510-'10years'!$G510</f>
        <v>-0.32746526992762193</v>
      </c>
      <c r="F510">
        <f>'10years'!F510-'10years'!$G510</f>
        <v>-0.47216769783982415</v>
      </c>
      <c r="G510">
        <f>'10years'!H510-'10years'!$I510</f>
        <v>-0.1665837306191964</v>
      </c>
    </row>
    <row r="511" spans="1:7" x14ac:dyDescent="0.35">
      <c r="A511" s="1">
        <v>28671</v>
      </c>
      <c r="B511">
        <f>'10years'!B511-'10years'!$G511</f>
        <v>-0.1660069362145391</v>
      </c>
      <c r="C511">
        <f>'10years'!C511-'10years'!$G511</f>
        <v>-0.48016512527941169</v>
      </c>
      <c r="D511">
        <f>'10years'!D511-'10years'!$G511</f>
        <v>-9.5921052291760844E-3</v>
      </c>
      <c r="E511">
        <f>'10years'!E511-'10years'!$G511</f>
        <v>-0.33742245499610934</v>
      </c>
      <c r="F511">
        <f>'10years'!F511-'10years'!$G511</f>
        <v>-0.47839748464693432</v>
      </c>
      <c r="G511">
        <f>'10years'!H511-'10years'!$I511</f>
        <v>-0.16924703714766842</v>
      </c>
    </row>
    <row r="512" spans="1:7" x14ac:dyDescent="0.35">
      <c r="A512" s="1">
        <v>28702</v>
      </c>
      <c r="B512">
        <f>'10years'!B512-'10years'!$G512</f>
        <v>-0.18913011512593259</v>
      </c>
      <c r="C512">
        <f>'10years'!C512-'10years'!$G512</f>
        <v>-0.50422519129362553</v>
      </c>
      <c r="D512">
        <f>'10years'!D512-'10years'!$G512</f>
        <v>-3.7351748596068157E-2</v>
      </c>
      <c r="E512">
        <f>'10years'!E512-'10years'!$G512</f>
        <v>-0.3660847393780895</v>
      </c>
      <c r="F512">
        <f>'10years'!F512-'10years'!$G512</f>
        <v>-0.50164806894984237</v>
      </c>
      <c r="G512">
        <f>'10years'!H512-'10years'!$I512</f>
        <v>-0.19225760782166645</v>
      </c>
    </row>
    <row r="513" spans="1:7" x14ac:dyDescent="0.35">
      <c r="A513" s="1">
        <v>28733</v>
      </c>
      <c r="B513">
        <f>'10years'!B513-'10years'!$G513</f>
        <v>-0.12874615820998891</v>
      </c>
      <c r="C513">
        <f>'10years'!C513-'10years'!$G513</f>
        <v>-0.44445995124142468</v>
      </c>
      <c r="D513">
        <f>'10years'!D513-'10years'!$G513</f>
        <v>3.4181395028556549E-2</v>
      </c>
      <c r="E513">
        <f>'10years'!E513-'10years'!$G513</f>
        <v>-0.29517263798066495</v>
      </c>
      <c r="F513">
        <f>'10years'!F513-'10years'!$G513</f>
        <v>-0.44299648175218675</v>
      </c>
      <c r="G513">
        <f>'10years'!H513-'10years'!$I513</f>
        <v>-0.13220904143600443</v>
      </c>
    </row>
    <row r="514" spans="1:7" x14ac:dyDescent="0.35">
      <c r="A514" s="1">
        <v>28762</v>
      </c>
      <c r="B514">
        <f>'10years'!B514-'10years'!$G514</f>
        <v>-0.11584337938254907</v>
      </c>
      <c r="C514">
        <f>'10years'!C514-'10years'!$G514</f>
        <v>-0.43390234526361193</v>
      </c>
      <c r="D514">
        <f>'10years'!D514-'10years'!$G514</f>
        <v>5.2934681904484693E-2</v>
      </c>
      <c r="E514">
        <f>'10years'!E514-'10years'!$G514</f>
        <v>-0.27775906345226242</v>
      </c>
      <c r="F514">
        <f>'10years'!F514-'10years'!$G514</f>
        <v>-0.43231016917102116</v>
      </c>
      <c r="G514">
        <f>'10years'!H514-'10years'!$I514</f>
        <v>-0.11938644721771752</v>
      </c>
    </row>
    <row r="515" spans="1:7" x14ac:dyDescent="0.35">
      <c r="A515" s="1">
        <v>28794</v>
      </c>
      <c r="B515">
        <f>'10years'!B515-'10years'!$G515</f>
        <v>-0.15397065105107988</v>
      </c>
      <c r="C515">
        <f>'10years'!C515-'10years'!$G515</f>
        <v>-0.47294389758365218</v>
      </c>
      <c r="D515">
        <f>'10years'!D515-'10years'!$G515</f>
        <v>-4.7930734797496655E-4</v>
      </c>
      <c r="E515">
        <f>'10years'!E515-'10years'!$G515</f>
        <v>-0.33195689141617102</v>
      </c>
      <c r="F515">
        <f>'10years'!F515-'10years'!$G515</f>
        <v>-0.47142997830566769</v>
      </c>
      <c r="G515">
        <f>'10years'!H515-'10years'!$I515</f>
        <v>-0.15735948619957085</v>
      </c>
    </row>
    <row r="516" spans="1:7" x14ac:dyDescent="0.35">
      <c r="A516" s="1">
        <v>28824</v>
      </c>
      <c r="B516">
        <f>'10years'!B516-'10years'!$G516</f>
        <v>-0.24141799002540876</v>
      </c>
      <c r="C516">
        <f>'10years'!C516-'10years'!$G516</f>
        <v>-0.56107410550117254</v>
      </c>
      <c r="D516">
        <f>'10years'!D516-'10years'!$G516</f>
        <v>-0.1324889164162546</v>
      </c>
      <c r="E516">
        <f>'10years'!E516-'10years'!$G516</f>
        <v>-0.46463783304310557</v>
      </c>
      <c r="F516">
        <f>'10years'!F516-'10years'!$G516</f>
        <v>-0.55930211824457898</v>
      </c>
      <c r="G516">
        <f>'10years'!H516-'10years'!$I516</f>
        <v>-0.2444433898946996</v>
      </c>
    </row>
    <row r="517" spans="1:7" x14ac:dyDescent="0.35">
      <c r="A517" s="1">
        <v>28853</v>
      </c>
      <c r="B517">
        <f>'10years'!B517-'10years'!$G517</f>
        <v>-0.26515409818109714</v>
      </c>
      <c r="C517">
        <f>'10years'!C517-'10years'!$G517</f>
        <v>-0.58847644338527716</v>
      </c>
      <c r="D517">
        <f>'10years'!D517-'10years'!$G517</f>
        <v>-0.16608218119614748</v>
      </c>
      <c r="E517">
        <f>'10years'!E517-'10years'!$G517</f>
        <v>-0.50062907918408928</v>
      </c>
      <c r="F517">
        <f>'10years'!F517-'10years'!$G517</f>
        <v>-0.58677508272639822</v>
      </c>
      <c r="G517">
        <f>'10years'!H517-'10years'!$I517</f>
        <v>-0.26816690487641015</v>
      </c>
    </row>
    <row r="518" spans="1:7" x14ac:dyDescent="0.35">
      <c r="A518" s="1">
        <v>28886</v>
      </c>
      <c r="B518">
        <f>'10years'!B518-'10years'!$G518</f>
        <v>-0.21925591236517716</v>
      </c>
      <c r="C518">
        <f>'10years'!C518-'10years'!$G518</f>
        <v>-0.54353046474640898</v>
      </c>
      <c r="D518">
        <f>'10years'!D518-'10years'!$G518</f>
        <v>-0.14052046586345623</v>
      </c>
      <c r="E518">
        <f>'10years'!E518-'10years'!$G518</f>
        <v>-0.47639225209858749</v>
      </c>
      <c r="F518">
        <f>'10years'!F518-'10years'!$G518</f>
        <v>-0.54177073255322394</v>
      </c>
      <c r="G518">
        <f>'10years'!H518-'10years'!$I518</f>
        <v>-0.22273366368019687</v>
      </c>
    </row>
    <row r="519" spans="1:7" x14ac:dyDescent="0.35">
      <c r="A519" s="1">
        <v>28914</v>
      </c>
      <c r="B519">
        <f>'10years'!B519-'10years'!$G519</f>
        <v>-0.17978083087796715</v>
      </c>
      <c r="C519">
        <f>'10years'!C519-'10years'!$G519</f>
        <v>-0.50532310888495213</v>
      </c>
      <c r="D519">
        <f>'10years'!D519-'10years'!$G519</f>
        <v>-8.2942973091564509E-2</v>
      </c>
      <c r="E519">
        <f>'10years'!E519-'10years'!$G519</f>
        <v>-0.41988775277916246</v>
      </c>
      <c r="F519">
        <f>'10years'!F519-'10years'!$G519</f>
        <v>-0.50425473384785779</v>
      </c>
      <c r="G519">
        <f>'10years'!H519-'10years'!$I519</f>
        <v>-0.18366208045318411</v>
      </c>
    </row>
    <row r="520" spans="1:7" x14ac:dyDescent="0.35">
      <c r="A520" s="1">
        <v>28944</v>
      </c>
      <c r="B520">
        <f>'10years'!B520-'10years'!$G520</f>
        <v>-0.17002488346865685</v>
      </c>
      <c r="C520">
        <f>'10years'!C520-'10years'!$G520</f>
        <v>-0.49834693004501385</v>
      </c>
      <c r="D520">
        <f>'10years'!D520-'10years'!$G520</f>
        <v>-5.6231321007017554E-2</v>
      </c>
      <c r="E520">
        <f>'10years'!E520-'10years'!$G520</f>
        <v>-0.39539028089717987</v>
      </c>
      <c r="F520">
        <f>'10years'!F520-'10years'!$G520</f>
        <v>-0.49691353278411676</v>
      </c>
      <c r="G520">
        <f>'10years'!H520-'10years'!$I520</f>
        <v>-0.17410218878955996</v>
      </c>
    </row>
    <row r="521" spans="1:7" x14ac:dyDescent="0.35">
      <c r="A521" s="1">
        <v>28975</v>
      </c>
      <c r="B521">
        <f>'10years'!B521-'10years'!$G521</f>
        <v>-0.15468657061112512</v>
      </c>
      <c r="C521">
        <f>'10years'!C521-'10years'!$G521</f>
        <v>-0.48406301146773534</v>
      </c>
      <c r="D521">
        <f>'10years'!D521-'10years'!$G521</f>
        <v>-1.7454613115549078E-2</v>
      </c>
      <c r="E521">
        <f>'10years'!E521-'10years'!$G521</f>
        <v>-0.35790572529190334</v>
      </c>
      <c r="F521">
        <f>'10years'!F521-'10years'!$G521</f>
        <v>-0.48305207650769133</v>
      </c>
      <c r="G521">
        <f>'10years'!H521-'10years'!$I521</f>
        <v>-0.15910201024891268</v>
      </c>
    </row>
    <row r="522" spans="1:7" x14ac:dyDescent="0.35">
      <c r="A522" s="1">
        <v>29006</v>
      </c>
      <c r="B522">
        <f>'10years'!B522-'10years'!$G522</f>
        <v>-0.17203091735069931</v>
      </c>
      <c r="C522">
        <f>'10years'!C522-'10years'!$G522</f>
        <v>-0.50191137100480709</v>
      </c>
      <c r="D522">
        <f>'10years'!D522-'10years'!$G522</f>
        <v>-2.031979189123545E-2</v>
      </c>
      <c r="E522">
        <f>'10years'!E522-'10years'!$G522</f>
        <v>-0.36139480500945487</v>
      </c>
      <c r="F522">
        <f>'10years'!F522-'10years'!$G522</f>
        <v>-0.50137583491650961</v>
      </c>
      <c r="G522">
        <f>'10years'!H522-'10years'!$I522</f>
        <v>-0.17657859770414674</v>
      </c>
    </row>
    <row r="523" spans="1:7" x14ac:dyDescent="0.35">
      <c r="A523" s="1">
        <v>29035</v>
      </c>
      <c r="B523">
        <f>'10years'!B523-'10years'!$G523</f>
        <v>-0.19198601335573651</v>
      </c>
      <c r="C523">
        <f>'10years'!C523-'10years'!$G523</f>
        <v>-0.52512789987303288</v>
      </c>
      <c r="D523">
        <f>'10years'!D523-'10years'!$G523</f>
        <v>-2.934146804159754E-2</v>
      </c>
      <c r="E523">
        <f>'10years'!E523-'10years'!$G523</f>
        <v>-0.37271855695485234</v>
      </c>
      <c r="F523">
        <f>'10years'!F523-'10years'!$G523</f>
        <v>-0.52432354198149556</v>
      </c>
      <c r="G523">
        <f>'10years'!H523-'10years'!$I523</f>
        <v>-0.19667432794771011</v>
      </c>
    </row>
    <row r="524" spans="1:7" x14ac:dyDescent="0.35">
      <c r="A524" s="1">
        <v>29067</v>
      </c>
      <c r="B524">
        <f>'10years'!B524-'10years'!$G524</f>
        <v>-0.11444926578755332</v>
      </c>
      <c r="C524">
        <f>'10years'!C524-'10years'!$G524</f>
        <v>-0.44871523226331966</v>
      </c>
      <c r="D524">
        <f>'10years'!D524-'10years'!$G524</f>
        <v>8.2805330039136926E-2</v>
      </c>
      <c r="E524">
        <f>'10years'!E524-'10years'!$G524</f>
        <v>-0.26200112145332621</v>
      </c>
      <c r="F524">
        <f>'10years'!F524-'10years'!$G524</f>
        <v>-0.44731267725660651</v>
      </c>
      <c r="G524">
        <f>'10years'!H524-'10years'!$I524</f>
        <v>-0.11981134413718841</v>
      </c>
    </row>
    <row r="525" spans="1:7" x14ac:dyDescent="0.35">
      <c r="A525" s="1">
        <v>29098</v>
      </c>
      <c r="B525">
        <f>'10years'!B525-'10years'!$G525</f>
        <v>-5.5681666209802527E-2</v>
      </c>
      <c r="C525">
        <f>'10years'!C525-'10years'!$G525</f>
        <v>-0.3909176233627043</v>
      </c>
      <c r="D525">
        <f>'10years'!D525-'10years'!$G525</f>
        <v>0.16419740961938545</v>
      </c>
      <c r="E525">
        <f>'10years'!E525-'10years'!$G525</f>
        <v>-0.18149245870443198</v>
      </c>
      <c r="F525">
        <f>'10years'!F525-'10years'!$G525</f>
        <v>-0.39010348578876974</v>
      </c>
      <c r="G525">
        <f>'10years'!H525-'10years'!$I525</f>
        <v>-6.1557589059380025E-2</v>
      </c>
    </row>
    <row r="526" spans="1:7" x14ac:dyDescent="0.35">
      <c r="A526" s="1">
        <v>29126</v>
      </c>
      <c r="B526">
        <f>'10years'!B526-'10years'!$G526</f>
        <v>-4.4923660823976697E-2</v>
      </c>
      <c r="C526">
        <f>'10years'!C526-'10years'!$G526</f>
        <v>-0.38258278841766913</v>
      </c>
      <c r="D526">
        <f>'10years'!D526-'10years'!$G526</f>
        <v>0.18415044856685991</v>
      </c>
      <c r="E526">
        <f>'10years'!E526-'10years'!$G526</f>
        <v>-0.16305648006666562</v>
      </c>
      <c r="F526">
        <f>'10years'!F526-'10years'!$G526</f>
        <v>-0.38179761733902584</v>
      </c>
      <c r="G526">
        <f>'10years'!H526-'10years'!$I526</f>
        <v>-5.1044033285496671E-2</v>
      </c>
    </row>
    <row r="527" spans="1:7" x14ac:dyDescent="0.35">
      <c r="A527" s="1">
        <v>29159</v>
      </c>
      <c r="B527">
        <f>'10years'!B527-'10years'!$G527</f>
        <v>-2.4971306534579352E-2</v>
      </c>
      <c r="C527">
        <f>'10years'!C527-'10years'!$G527</f>
        <v>-0.36346150214907302</v>
      </c>
      <c r="D527">
        <f>'10years'!D527-'10years'!$G527</f>
        <v>0.19733472501238003</v>
      </c>
      <c r="E527">
        <f>'10years'!E527-'10years'!$G527</f>
        <v>-0.15023132316762355</v>
      </c>
      <c r="F527">
        <f>'10years'!F527-'10years'!$G527</f>
        <v>-0.36217162514340062</v>
      </c>
      <c r="G527">
        <f>'10years'!H527-'10years'!$I527</f>
        <v>-3.1431417959459917E-2</v>
      </c>
    </row>
    <row r="528" spans="1:7" x14ac:dyDescent="0.35">
      <c r="A528" s="1">
        <v>29189</v>
      </c>
      <c r="B528">
        <f>'10years'!B528-'10years'!$G528</f>
        <v>-0.122018472316199</v>
      </c>
      <c r="C528">
        <f>'10years'!C528-'10years'!$G528</f>
        <v>-0.46104566357289012</v>
      </c>
      <c r="D528">
        <f>'10years'!D528-'10years'!$G528</f>
        <v>6.2861987266293662E-2</v>
      </c>
      <c r="E528">
        <f>'10years'!E528-'10years'!$G528</f>
        <v>-0.28509989272381708</v>
      </c>
      <c r="F528">
        <f>'10years'!F528-'10years'!$G528</f>
        <v>-0.45950383753051738</v>
      </c>
      <c r="G528">
        <f>'10years'!H528-'10years'!$I528</f>
        <v>-0.12820974068303848</v>
      </c>
    </row>
    <row r="529" spans="1:7" x14ac:dyDescent="0.35">
      <c r="A529" s="1">
        <v>29220</v>
      </c>
      <c r="B529">
        <f>'10years'!B529-'10years'!$G529</f>
        <v>-5.7594633091825109E-2</v>
      </c>
      <c r="C529">
        <f>'10years'!C529-'10years'!$G529</f>
        <v>-0.39962822071130866</v>
      </c>
      <c r="D529">
        <f>'10years'!D529-'10years'!$G529</f>
        <v>0.14988172312615866</v>
      </c>
      <c r="E529">
        <f>'10years'!E529-'10years'!$G529</f>
        <v>-0.20029142533115252</v>
      </c>
      <c r="F529">
        <f>'10years'!F529-'10years'!$G529</f>
        <v>-0.39811504705728673</v>
      </c>
      <c r="G529">
        <f>'10years'!H529-'10years'!$I529</f>
        <v>-6.4695496181155221E-2</v>
      </c>
    </row>
    <row r="530" spans="1:7" x14ac:dyDescent="0.35">
      <c r="A530" s="1">
        <v>29251</v>
      </c>
      <c r="B530">
        <f>'10years'!B530-'10years'!$G530</f>
        <v>-3.0260302878490908E-2</v>
      </c>
      <c r="C530">
        <f>'10years'!C530-'10years'!$G530</f>
        <v>-0.37317694617244657</v>
      </c>
      <c r="D530">
        <f>'10years'!D530-'10years'!$G530</f>
        <v>0.21509600903449</v>
      </c>
      <c r="E530">
        <f>'10years'!E530-'10years'!$G530</f>
        <v>-0.13614916593382764</v>
      </c>
      <c r="F530">
        <f>'10years'!F530-'10years'!$G530</f>
        <v>-0.37069839037133567</v>
      </c>
      <c r="G530">
        <f>'10years'!H530-'10years'!$I530</f>
        <v>-3.7925688046880346E-2</v>
      </c>
    </row>
    <row r="531" spans="1:7" x14ac:dyDescent="0.35">
      <c r="A531" s="1">
        <v>29280</v>
      </c>
      <c r="B531">
        <f>'10years'!B531-'10years'!$G531</f>
        <v>8.3785079912201521E-2</v>
      </c>
      <c r="C531">
        <f>'10years'!C531-'10years'!$G531</f>
        <v>-0.26011995678687549</v>
      </c>
      <c r="D531">
        <f>'10years'!D531-'10years'!$G531</f>
        <v>0.31209954247342031</v>
      </c>
      <c r="E531">
        <f>'10years'!E531-'10years'!$G531</f>
        <v>-4.0004446191943988E-2</v>
      </c>
      <c r="F531">
        <f>'10years'!F531-'10years'!$G531</f>
        <v>-0.25897755047958926</v>
      </c>
      <c r="G531">
        <f>'10years'!H531-'10years'!$I531</f>
        <v>7.5252541395098849E-2</v>
      </c>
    </row>
    <row r="532" spans="1:7" x14ac:dyDescent="0.35">
      <c r="A532" s="1">
        <v>29311</v>
      </c>
      <c r="B532">
        <f>'10years'!B532-'10years'!$G532</f>
        <v>3.5582736524843339E-2</v>
      </c>
      <c r="C532">
        <f>'10years'!C532-'10years'!$G532</f>
        <v>-0.31034122194848313</v>
      </c>
      <c r="D532">
        <f>'10years'!D532-'10years'!$G532</f>
        <v>0.22745690412504671</v>
      </c>
      <c r="E532">
        <f>'10years'!E532-'10years'!$G532</f>
        <v>-0.12589757170397964</v>
      </c>
      <c r="F532">
        <f>'10years'!F532-'10years'!$G532</f>
        <v>-0.30746640155332305</v>
      </c>
      <c r="G532">
        <f>'10years'!H532-'10years'!$I532</f>
        <v>2.7029192652838763E-2</v>
      </c>
    </row>
    <row r="533" spans="1:7" x14ac:dyDescent="0.35">
      <c r="A533" s="1">
        <v>29341</v>
      </c>
      <c r="B533">
        <f>'10years'!B533-'10years'!$G533</f>
        <v>-5.6994918946224216E-2</v>
      </c>
      <c r="C533">
        <f>'10years'!C533-'10years'!$G533</f>
        <v>-0.40369116455390475</v>
      </c>
      <c r="D533">
        <f>'10years'!D533-'10years'!$G533</f>
        <v>0.12636282414048527</v>
      </c>
      <c r="E533">
        <f>'10years'!E533-'10years'!$G533</f>
        <v>-0.2281202957859001</v>
      </c>
      <c r="F533">
        <f>'10years'!F533-'10years'!$G533</f>
        <v>-0.40257954620104885</v>
      </c>
      <c r="G533">
        <f>'10years'!H533-'10years'!$I533</f>
        <v>-6.5990899292012184E-2</v>
      </c>
    </row>
    <row r="534" spans="1:7" x14ac:dyDescent="0.35">
      <c r="A534" s="1">
        <v>29371</v>
      </c>
      <c r="B534">
        <f>'10years'!B534-'10years'!$G534</f>
        <v>5.0529289511368702E-2</v>
      </c>
      <c r="C534">
        <f>'10years'!C534-'10years'!$G534</f>
        <v>-0.29747065018490648</v>
      </c>
      <c r="D534">
        <f>'10years'!D534-'10years'!$G534</f>
        <v>0.25555123635989574</v>
      </c>
      <c r="E534">
        <f>'10years'!E534-'10years'!$G534</f>
        <v>-0.10010105069044961</v>
      </c>
      <c r="F534">
        <f>'10years'!F534-'10years'!$G534</f>
        <v>-0.29493275971477306</v>
      </c>
      <c r="G534">
        <f>'10years'!H534-'10years'!$I534</f>
        <v>3.9739173516462056E-2</v>
      </c>
    </row>
    <row r="535" spans="1:7" x14ac:dyDescent="0.35">
      <c r="A535" s="1">
        <v>29402</v>
      </c>
      <c r="B535">
        <f>'10years'!B535-'10years'!$G535</f>
        <v>0.1408951014302724</v>
      </c>
      <c r="C535">
        <f>'10years'!C535-'10years'!$G535</f>
        <v>-0.20881093898521486</v>
      </c>
      <c r="D535">
        <f>'10years'!D535-'10years'!$G535</f>
        <v>0.3913731005888994</v>
      </c>
      <c r="E535">
        <f>'10years'!E535-'10years'!$G535</f>
        <v>3.431550027590613E-2</v>
      </c>
      <c r="F535">
        <f>'10years'!F535-'10years'!$G535</f>
        <v>-0.20646373591151002</v>
      </c>
      <c r="G535">
        <f>'10years'!H535-'10years'!$I535</f>
        <v>0.12933597023601084</v>
      </c>
    </row>
    <row r="536" spans="1:7" x14ac:dyDescent="0.35">
      <c r="A536" s="1">
        <v>29433</v>
      </c>
      <c r="B536">
        <f>'10years'!B536-'10years'!$G536</f>
        <v>0.20741945553178343</v>
      </c>
      <c r="C536">
        <f>'10years'!C536-'10years'!$G536</f>
        <v>-0.14317165917231844</v>
      </c>
      <c r="D536">
        <f>'10years'!D536-'10years'!$G536</f>
        <v>0.46925499021928796</v>
      </c>
      <c r="E536">
        <f>'10years'!E536-'10years'!$G536</f>
        <v>0.11152790337918961</v>
      </c>
      <c r="F536">
        <f>'10years'!F536-'10years'!$G536</f>
        <v>-0.14152817335852252</v>
      </c>
      <c r="G536">
        <f>'10years'!H536-'10years'!$I536</f>
        <v>0.1954267572191859</v>
      </c>
    </row>
    <row r="537" spans="1:7" x14ac:dyDescent="0.35">
      <c r="A537" s="1">
        <v>29462</v>
      </c>
      <c r="B537">
        <f>'10years'!B537-'10years'!$G537</f>
        <v>0.20160190432782898</v>
      </c>
      <c r="C537">
        <f>'10years'!C537-'10years'!$G537</f>
        <v>-0.14919031787235126</v>
      </c>
      <c r="D537">
        <f>'10years'!D537-'10years'!$G537</f>
        <v>0.47670931344798562</v>
      </c>
      <c r="E537">
        <f>'10years'!E537-'10years'!$G537</f>
        <v>0.11875177295670292</v>
      </c>
      <c r="F537">
        <f>'10years'!F537-'10years'!$G537</f>
        <v>-0.14807016939957385</v>
      </c>
      <c r="G537">
        <f>'10years'!H537-'10years'!$I537</f>
        <v>0.18964747042012897</v>
      </c>
    </row>
    <row r="538" spans="1:7" x14ac:dyDescent="0.35">
      <c r="A538" s="1">
        <v>29494</v>
      </c>
      <c r="B538">
        <f>'10years'!B538-'10years'!$G538</f>
        <v>0.17117056705927647</v>
      </c>
      <c r="C538">
        <f>'10years'!C538-'10years'!$G538</f>
        <v>-0.1808769470675089</v>
      </c>
      <c r="D538">
        <f>'10years'!D538-'10years'!$G538</f>
        <v>0.4469608834720149</v>
      </c>
      <c r="E538">
        <f>'10years'!E538-'10years'!$G538</f>
        <v>8.8427220950138885E-2</v>
      </c>
      <c r="F538">
        <f>'10years'!F538-'10years'!$G538</f>
        <v>-0.18046139406982986</v>
      </c>
      <c r="G538">
        <f>'10years'!H538-'10years'!$I538</f>
        <v>0.15936330644378272</v>
      </c>
    </row>
    <row r="539" spans="1:7" x14ac:dyDescent="0.35">
      <c r="A539" s="1">
        <v>29525</v>
      </c>
      <c r="B539">
        <f>'10years'!B539-'10years'!$G539</f>
        <v>0.16404534213730826</v>
      </c>
      <c r="C539">
        <f>'10years'!C539-'10years'!$G539</f>
        <v>-0.18888773332393982</v>
      </c>
      <c r="D539">
        <f>'10years'!D539-'10years'!$G539</f>
        <v>0.41588779679492194</v>
      </c>
      <c r="E539">
        <f>'10years'!E539-'10years'!$G539</f>
        <v>5.6668379482537778E-2</v>
      </c>
      <c r="F539">
        <f>'10years'!F539-'10years'!$G539</f>
        <v>-0.18844298824528605</v>
      </c>
      <c r="G539">
        <f>'10years'!H539-'10years'!$I539</f>
        <v>0.152151240936238</v>
      </c>
    </row>
    <row r="540" spans="1:7" x14ac:dyDescent="0.35">
      <c r="A540" s="1">
        <v>29553</v>
      </c>
      <c r="B540">
        <f>'10years'!B540-'10years'!$G540</f>
        <v>0.18279852554460296</v>
      </c>
      <c r="C540">
        <f>'10years'!C540-'10years'!$G540</f>
        <v>-0.1705340085101148</v>
      </c>
      <c r="D540">
        <f>'10years'!D540-'10years'!$G540</f>
        <v>0.44724639190155679</v>
      </c>
      <c r="E540">
        <f>'10years'!E540-'10years'!$G540</f>
        <v>8.7290832977704458E-2</v>
      </c>
      <c r="F540">
        <f>'10years'!F540-'10years'!$G540</f>
        <v>-0.16923795269542241</v>
      </c>
      <c r="G540">
        <f>'10years'!H540-'10years'!$I540</f>
        <v>0.17037879358432484</v>
      </c>
    </row>
    <row r="541" spans="1:7" x14ac:dyDescent="0.35">
      <c r="A541" s="1">
        <v>29586</v>
      </c>
      <c r="B541">
        <f>'10years'!B541-'10years'!$G541</f>
        <v>0.2221294845842281</v>
      </c>
      <c r="C541">
        <f>'10years'!C541-'10years'!$G541</f>
        <v>-0.13215151879448106</v>
      </c>
      <c r="D541">
        <f>'10years'!D541-'10years'!$G541</f>
        <v>0.45764582238761564</v>
      </c>
      <c r="E541">
        <f>'10years'!E541-'10years'!$G541</f>
        <v>9.7261418257816867E-2</v>
      </c>
      <c r="F541">
        <f>'10years'!F541-'10years'!$G541</f>
        <v>-0.13023025780289244</v>
      </c>
      <c r="G541">
        <f>'10years'!H541-'10years'!$I541</f>
        <v>0.20904021247808435</v>
      </c>
    </row>
    <row r="542" spans="1:7" x14ac:dyDescent="0.35">
      <c r="A542" s="1">
        <v>29616</v>
      </c>
      <c r="B542">
        <f>'10years'!B542-'10years'!$G542</f>
        <v>0.14194437722193465</v>
      </c>
      <c r="C542">
        <f>'10years'!C542-'10years'!$G542</f>
        <v>-0.21307694673339439</v>
      </c>
      <c r="D542">
        <f>'10years'!D542-'10years'!$G542</f>
        <v>0.37381998695696739</v>
      </c>
      <c r="E542">
        <f>'10years'!E542-'10years'!$G542</f>
        <v>1.2332532908430505E-2</v>
      </c>
      <c r="F542">
        <f>'10years'!F542-'10years'!$G542</f>
        <v>-0.21143968296492188</v>
      </c>
      <c r="G542">
        <f>'10years'!H542-'10years'!$I542</f>
        <v>0.12818956444740071</v>
      </c>
    </row>
    <row r="543" spans="1:7" x14ac:dyDescent="0.35">
      <c r="A543" s="1">
        <v>29644</v>
      </c>
      <c r="B543">
        <f>'10years'!B543-'10years'!$G543</f>
        <v>6.458058518576526E-2</v>
      </c>
      <c r="C543">
        <f>'10years'!C543-'10years'!$G543</f>
        <v>-0.29057720720227365</v>
      </c>
      <c r="D543">
        <f>'10years'!D543-'10years'!$G543</f>
        <v>0.29145611376030911</v>
      </c>
      <c r="E543">
        <f>'10years'!E543-'10years'!$G543</f>
        <v>-7.0340684359963879E-2</v>
      </c>
      <c r="F543">
        <f>'10years'!F543-'10years'!$G543</f>
        <v>-0.28873799157356639</v>
      </c>
      <c r="G543">
        <f>'10years'!H543-'10years'!$I543</f>
        <v>5.0840358240444861E-2</v>
      </c>
    </row>
    <row r="544" spans="1:7" x14ac:dyDescent="0.35">
      <c r="A544" s="1">
        <v>29676</v>
      </c>
      <c r="B544">
        <f>'10years'!B544-'10years'!$G544</f>
        <v>6.544553193081315E-2</v>
      </c>
      <c r="C544">
        <f>'10years'!C544-'10years'!$G544</f>
        <v>-0.29185081911638511</v>
      </c>
      <c r="D544">
        <f>'10years'!D544-'10years'!$G544</f>
        <v>0.29158422518886207</v>
      </c>
      <c r="E544">
        <f>'10years'!E544-'10years'!$G544</f>
        <v>-7.1875275601912758E-2</v>
      </c>
      <c r="F544">
        <f>'10years'!F544-'10years'!$G544</f>
        <v>-0.29095248905005056</v>
      </c>
      <c r="G544">
        <f>'10years'!H544-'10years'!$I544</f>
        <v>5.1228000787639782E-2</v>
      </c>
    </row>
    <row r="545" spans="1:7" x14ac:dyDescent="0.35">
      <c r="A545" s="1">
        <v>29706</v>
      </c>
      <c r="B545">
        <f>'10years'!B545-'10years'!$G545</f>
        <v>5.7964084903361801E-2</v>
      </c>
      <c r="C545">
        <f>'10years'!C545-'10years'!$G545</f>
        <v>-0.30047181722313532</v>
      </c>
      <c r="D545">
        <f>'10years'!D545-'10years'!$G545</f>
        <v>0.31812549375355204</v>
      </c>
      <c r="E545">
        <f>'10years'!E545-'10years'!$G545</f>
        <v>-4.6671484407500685E-2</v>
      </c>
      <c r="F545">
        <f>'10years'!F545-'10years'!$G545</f>
        <v>-0.29841694980533529</v>
      </c>
      <c r="G545">
        <f>'10years'!H545-'10years'!$I545</f>
        <v>4.3079348074159807E-2</v>
      </c>
    </row>
    <row r="546" spans="1:7" x14ac:dyDescent="0.35">
      <c r="A546" s="1">
        <v>29735</v>
      </c>
      <c r="B546">
        <f>'10years'!B546-'10years'!$G546</f>
        <v>4.1297520025780354E-3</v>
      </c>
      <c r="C546">
        <f>'10years'!C546-'10years'!$G546</f>
        <v>-0.35468715964960418</v>
      </c>
      <c r="D546">
        <f>'10years'!D546-'10years'!$G546</f>
        <v>0.27831466897144508</v>
      </c>
      <c r="E546">
        <f>'10years'!E546-'10years'!$G546</f>
        <v>-8.6959465125415081E-2</v>
      </c>
      <c r="F546">
        <f>'10years'!F546-'10years'!$G546</f>
        <v>-0.35430774214210303</v>
      </c>
      <c r="G546">
        <f>'10years'!H546-'10years'!$I546</f>
        <v>-1.0762563860089447E-2</v>
      </c>
    </row>
    <row r="547" spans="1:7" x14ac:dyDescent="0.35">
      <c r="A547" s="1">
        <v>29767</v>
      </c>
      <c r="B547">
        <f>'10years'!B547-'10years'!$G547</f>
        <v>3.4674905427352742E-2</v>
      </c>
      <c r="C547">
        <f>'10years'!C547-'10years'!$G547</f>
        <v>-0.3263199727112347</v>
      </c>
      <c r="D547">
        <f>'10years'!D547-'10years'!$G547</f>
        <v>0.32114689402578844</v>
      </c>
      <c r="E547">
        <f>'10years'!E547-'10years'!$G547</f>
        <v>-4.5625721595669466E-2</v>
      </c>
      <c r="F547">
        <f>'10years'!F547-'10years'!$G547</f>
        <v>-0.32689191902085901</v>
      </c>
      <c r="G547">
        <f>'10years'!H547-'10years'!$I547</f>
        <v>1.9075892826492247E-2</v>
      </c>
    </row>
    <row r="548" spans="1:7" x14ac:dyDescent="0.35">
      <c r="A548" s="1">
        <v>29798</v>
      </c>
      <c r="B548">
        <f>'10years'!B548-'10years'!$G548</f>
        <v>1.8629199923243522E-2</v>
      </c>
      <c r="C548">
        <f>'10years'!C548-'10years'!$G548</f>
        <v>-0.34365152494410411</v>
      </c>
      <c r="D548">
        <f>'10years'!D548-'10years'!$G548</f>
        <v>0.31145858128452497</v>
      </c>
      <c r="E548">
        <f>'10years'!E548-'10years'!$G548</f>
        <v>-5.6614940256720647E-2</v>
      </c>
      <c r="F548">
        <f>'10years'!F548-'10years'!$G548</f>
        <v>-0.34327282032905915</v>
      </c>
      <c r="G548">
        <f>'10years'!H548-'10years'!$I548</f>
        <v>2.0542746470120221E-3</v>
      </c>
    </row>
    <row r="549" spans="1:7" x14ac:dyDescent="0.35">
      <c r="A549" s="1">
        <v>29829</v>
      </c>
      <c r="B549">
        <f>'10years'!B549-'10years'!$G549</f>
        <v>4.8004921795497868E-2</v>
      </c>
      <c r="C549">
        <f>'10years'!C549-'10years'!$G549</f>
        <v>-0.31485488745960266</v>
      </c>
      <c r="D549">
        <f>'10years'!D549-'10years'!$G549</f>
        <v>0.32717940716705618</v>
      </c>
      <c r="E549">
        <f>'10years'!E549-'10years'!$G549</f>
        <v>-4.146362309244056E-2</v>
      </c>
      <c r="F549">
        <f>'10years'!F549-'10years'!$G549</f>
        <v>-0.31603685877777865</v>
      </c>
      <c r="G549">
        <f>'10years'!H549-'10years'!$I549</f>
        <v>3.0423538580715004E-2</v>
      </c>
    </row>
    <row r="550" spans="1:7" x14ac:dyDescent="0.35">
      <c r="A550" s="1">
        <v>29859</v>
      </c>
      <c r="B550">
        <f>'10years'!B550-'10years'!$G550</f>
        <v>-4.0191064861917036E-2</v>
      </c>
      <c r="C550">
        <f>'10years'!C550-'10years'!$G550</f>
        <v>-0.40555377060836961</v>
      </c>
      <c r="D550">
        <f>'10years'!D550-'10years'!$G550</f>
        <v>0.22395034522778512</v>
      </c>
      <c r="E550">
        <f>'10years'!E550-'10years'!$G550</f>
        <v>-0.1461948303284617</v>
      </c>
      <c r="F550">
        <f>'10years'!F550-'10years'!$G550</f>
        <v>-0.40497931216533289</v>
      </c>
      <c r="G550">
        <f>'10years'!H550-'10years'!$I550</f>
        <v>-5.8115591144425327E-2</v>
      </c>
    </row>
    <row r="551" spans="1:7" x14ac:dyDescent="0.35">
      <c r="A551" s="1">
        <v>29889</v>
      </c>
      <c r="B551">
        <f>'10years'!B551-'10years'!$G551</f>
        <v>-8.5844443680551441E-2</v>
      </c>
      <c r="C551">
        <f>'10years'!C551-'10years'!$G551</f>
        <v>-0.45260337211984392</v>
      </c>
      <c r="D551">
        <f>'10years'!D551-'10years'!$G551</f>
        <v>0.18512177827815024</v>
      </c>
      <c r="E551">
        <f>'10years'!E551-'10years'!$G551</f>
        <v>-0.18683151838502421</v>
      </c>
      <c r="F551">
        <f>'10years'!F551-'10years'!$G551</f>
        <v>-0.45183381000116962</v>
      </c>
      <c r="G551">
        <f>'10years'!H551-'10years'!$I551</f>
        <v>-0.10417866925017671</v>
      </c>
    </row>
    <row r="552" spans="1:7" x14ac:dyDescent="0.35">
      <c r="A552" s="1">
        <v>29920</v>
      </c>
      <c r="B552">
        <f>'10years'!B552-'10years'!$G552</f>
        <v>-1.5315196939585052E-2</v>
      </c>
      <c r="C552">
        <f>'10years'!C552-'10years'!$G552</f>
        <v>-0.38343203402034143</v>
      </c>
      <c r="D552">
        <f>'10years'!D552-'10years'!$G552</f>
        <v>0.27427936756780436</v>
      </c>
      <c r="E552">
        <f>'10years'!E552-'10years'!$G552</f>
        <v>-9.8857095312259391E-2</v>
      </c>
      <c r="F552">
        <f>'10years'!F552-'10years'!$G552</f>
        <v>-0.38249306342424316</v>
      </c>
      <c r="G552">
        <f>'10years'!H552-'10years'!$I552</f>
        <v>-3.4763866288534118E-2</v>
      </c>
    </row>
    <row r="553" spans="1:7" x14ac:dyDescent="0.35">
      <c r="A553" s="1">
        <v>29951</v>
      </c>
      <c r="B553">
        <f>'10years'!B553-'10years'!$G553</f>
        <v>1.2714621749871924E-2</v>
      </c>
      <c r="C553">
        <f>'10years'!C553-'10years'!$G553</f>
        <v>-0.35776452755321042</v>
      </c>
      <c r="D553">
        <f>'10years'!D553-'10years'!$G553</f>
        <v>0.31829132284272976</v>
      </c>
      <c r="E553">
        <f>'10years'!E553-'10years'!$G553</f>
        <v>-5.6657634642847121E-2</v>
      </c>
      <c r="F553">
        <f>'10years'!F553-'10years'!$G553</f>
        <v>-0.35584980284888879</v>
      </c>
      <c r="G553">
        <f>'10years'!H553-'10years'!$I553</f>
        <v>-7.2484536761563412E-3</v>
      </c>
    </row>
    <row r="554" spans="1:7" x14ac:dyDescent="0.35">
      <c r="A554" s="1">
        <v>29980</v>
      </c>
      <c r="B554">
        <f>'10years'!B554-'10years'!$G554</f>
        <v>-8.502753159477483E-2</v>
      </c>
      <c r="C554">
        <f>'10years'!C554-'10years'!$G554</f>
        <v>-0.45639922397521482</v>
      </c>
      <c r="D554">
        <f>'10years'!D554-'10years'!$G554</f>
        <v>0.21038816509030034</v>
      </c>
      <c r="E554">
        <f>'10years'!E554-'10years'!$G554</f>
        <v>-0.16561520015500286</v>
      </c>
      <c r="F554">
        <f>'10years'!F554-'10years'!$G554</f>
        <v>-0.45453435385060215</v>
      </c>
      <c r="G554">
        <f>'10years'!H554-'10years'!$I554</f>
        <v>-0.10432421713763018</v>
      </c>
    </row>
    <row r="555" spans="1:7" x14ac:dyDescent="0.35">
      <c r="A555" s="1">
        <v>30008</v>
      </c>
      <c r="B555">
        <f>'10years'!B555-'10years'!$G555</f>
        <v>-0.11830218569865192</v>
      </c>
      <c r="C555">
        <f>'10years'!C555-'10years'!$G555</f>
        <v>-0.48980171247644844</v>
      </c>
      <c r="D555">
        <f>'10years'!D555-'10years'!$G555</f>
        <v>0.15789944627312114</v>
      </c>
      <c r="E555">
        <f>'10years'!E555-'10years'!$G555</f>
        <v>-0.21828784562111547</v>
      </c>
      <c r="F555">
        <f>'10years'!F555-'10years'!$G555</f>
        <v>-0.48875781672873853</v>
      </c>
      <c r="G555">
        <f>'10years'!H555-'10years'!$I555</f>
        <v>-0.137156933439464</v>
      </c>
    </row>
    <row r="556" spans="1:7" x14ac:dyDescent="0.35">
      <c r="A556" s="1">
        <v>30041</v>
      </c>
      <c r="B556">
        <f>'10years'!B556-'10years'!$G556</f>
        <v>-0.19232974144378212</v>
      </c>
      <c r="C556">
        <f>'10years'!C556-'10years'!$G556</f>
        <v>-0.56774961941818547</v>
      </c>
      <c r="D556">
        <f>'10years'!D556-'10years'!$G556</f>
        <v>9.7965485165744992E-2</v>
      </c>
      <c r="E556">
        <f>'10years'!E556-'10years'!$G556</f>
        <v>-0.28054648633967916</v>
      </c>
      <c r="F556">
        <f>'10years'!F556-'10years'!$G556</f>
        <v>-0.56746614380418081</v>
      </c>
      <c r="G556">
        <f>'10years'!H556-'10years'!$I556</f>
        <v>-0.21049176995265872</v>
      </c>
    </row>
    <row r="557" spans="1:7" x14ac:dyDescent="0.35">
      <c r="A557" s="1">
        <v>30071</v>
      </c>
      <c r="B557">
        <f>'10years'!B557-'10years'!$G557</f>
        <v>-0.21013836601772806</v>
      </c>
      <c r="C557">
        <f>'10years'!C557-'10years'!$G557</f>
        <v>-0.58761048449855413</v>
      </c>
      <c r="D557">
        <f>'10years'!D557-'10years'!$G557</f>
        <v>8.8165167342538764E-2</v>
      </c>
      <c r="E557">
        <f>'10years'!E557-'10years'!$G557</f>
        <v>-0.29269965484181815</v>
      </c>
      <c r="F557">
        <f>'10years'!F557-'10years'!$G557</f>
        <v>-0.58689541938372281</v>
      </c>
      <c r="G557">
        <f>'10years'!H557-'10years'!$I557</f>
        <v>-0.22810062598379588</v>
      </c>
    </row>
    <row r="558" spans="1:7" x14ac:dyDescent="0.35">
      <c r="A558" s="1">
        <v>30099</v>
      </c>
      <c r="B558">
        <f>'10years'!B558-'10years'!$G558</f>
        <v>-0.1874357854315758</v>
      </c>
      <c r="C558">
        <f>'10years'!C558-'10years'!$G558</f>
        <v>-0.56553148362651151</v>
      </c>
      <c r="D558">
        <f>'10years'!D558-'10years'!$G558</f>
        <v>0.116503081259691</v>
      </c>
      <c r="E558">
        <f>'10years'!E558-'10years'!$G558</f>
        <v>-0.26509861908297983</v>
      </c>
      <c r="F558">
        <f>'10years'!F558-'10years'!$G558</f>
        <v>-0.56462804520701426</v>
      </c>
      <c r="G558">
        <f>'10years'!H558-'10years'!$I558</f>
        <v>-0.20574983551610027</v>
      </c>
    </row>
    <row r="559" spans="1:7" x14ac:dyDescent="0.35">
      <c r="A559" s="1">
        <v>30132</v>
      </c>
      <c r="B559">
        <f>'10years'!B559-'10years'!$G559</f>
        <v>-0.23698941089339254</v>
      </c>
      <c r="C559">
        <f>'10years'!C559-'10years'!$G559</f>
        <v>-0.61954305905536877</v>
      </c>
      <c r="D559">
        <f>'10years'!D559-'10years'!$G559</f>
        <v>7.1699722277399403E-2</v>
      </c>
      <c r="E559">
        <f>'10years'!E559-'10years'!$G559</f>
        <v>-0.31261049544751529</v>
      </c>
      <c r="F559">
        <f>'10years'!F559-'10years'!$G559</f>
        <v>-0.61847652119314223</v>
      </c>
      <c r="G559">
        <f>'10years'!H559-'10years'!$I559</f>
        <v>-0.25501428544130178</v>
      </c>
    </row>
    <row r="560" spans="1:7" x14ac:dyDescent="0.35">
      <c r="A560" s="1">
        <v>30162</v>
      </c>
      <c r="B560">
        <f>'10years'!B560-'10years'!$G560</f>
        <v>-0.23897367691763916</v>
      </c>
      <c r="C560">
        <f>'10years'!C560-'10years'!$G560</f>
        <v>-0.62317753211221505</v>
      </c>
      <c r="D560">
        <f>'10years'!D560-'10years'!$G560</f>
        <v>8.6348219020196515E-2</v>
      </c>
      <c r="E560">
        <f>'10years'!E560-'10years'!$G560</f>
        <v>-0.29967417670145591</v>
      </c>
      <c r="F560">
        <f>'10years'!F560-'10years'!$G560</f>
        <v>-0.62288641092841091</v>
      </c>
      <c r="G560">
        <f>'10years'!H560-'10years'!$I560</f>
        <v>-0.25683822982089932</v>
      </c>
    </row>
    <row r="561" spans="1:7" x14ac:dyDescent="0.35">
      <c r="A561" s="1">
        <v>30194</v>
      </c>
      <c r="B561">
        <f>'10years'!B561-'10years'!$G561</f>
        <v>-0.26489431929970308</v>
      </c>
      <c r="C561">
        <f>'10years'!C561-'10years'!$G561</f>
        <v>-0.64967507005154834</v>
      </c>
      <c r="D561">
        <f>'10years'!D561-'10years'!$G561</f>
        <v>8.4591583141956583E-2</v>
      </c>
      <c r="E561">
        <f>'10years'!E561-'10years'!$G561</f>
        <v>-0.30192963819903973</v>
      </c>
      <c r="F561">
        <f>'10years'!F561-'10years'!$G561</f>
        <v>-0.65035152296368892</v>
      </c>
      <c r="G561">
        <f>'10years'!H561-'10years'!$I561</f>
        <v>-0.28259766804682451</v>
      </c>
    </row>
    <row r="562" spans="1:7" x14ac:dyDescent="0.35">
      <c r="A562" s="1">
        <v>30224</v>
      </c>
      <c r="B562">
        <f>'10years'!B562-'10years'!$G562</f>
        <v>-0.20117721616410389</v>
      </c>
      <c r="C562">
        <f>'10years'!C562-'10years'!$G562</f>
        <v>-0.5903712245834507</v>
      </c>
      <c r="D562">
        <f>'10years'!D562-'10years'!$G562</f>
        <v>0.14870329505847391</v>
      </c>
      <c r="E562">
        <f>'10years'!E562-'10years'!$G562</f>
        <v>-0.24056417069908509</v>
      </c>
      <c r="F562">
        <f>'10years'!F562-'10years'!$G562</f>
        <v>-0.59139140308161853</v>
      </c>
      <c r="G562">
        <f>'10years'!H562-'10years'!$I562</f>
        <v>-0.21898194284055705</v>
      </c>
    </row>
    <row r="563" spans="1:7" x14ac:dyDescent="0.35">
      <c r="A563" s="1">
        <v>30253</v>
      </c>
      <c r="B563">
        <f>'10years'!B563-'10years'!$G563</f>
        <v>-0.19133397107321026</v>
      </c>
      <c r="C563">
        <f>'10years'!C563-'10years'!$G563</f>
        <v>-0.58183180412013136</v>
      </c>
      <c r="D563">
        <f>'10years'!D563-'10years'!$G563</f>
        <v>0.17881932005338563</v>
      </c>
      <c r="E563">
        <f>'10years'!E563-'10years'!$G563</f>
        <v>-0.21185776163566472</v>
      </c>
      <c r="F563">
        <f>'10years'!F563-'10years'!$G563</f>
        <v>-0.58264826754748689</v>
      </c>
      <c r="G563">
        <f>'10years'!H563-'10years'!$I563</f>
        <v>-0.20899252797165202</v>
      </c>
    </row>
    <row r="564" spans="1:7" x14ac:dyDescent="0.35">
      <c r="A564" s="1">
        <v>30285</v>
      </c>
      <c r="B564">
        <f>'10years'!B564-'10years'!$G564</f>
        <v>-0.1118363475001003</v>
      </c>
      <c r="C564">
        <f>'10years'!C564-'10years'!$G564</f>
        <v>-0.5034854611254922</v>
      </c>
      <c r="D564">
        <f>'10years'!D564-'10years'!$G564</f>
        <v>0.28745527620470024</v>
      </c>
      <c r="E564">
        <f>'10years'!E564-'10years'!$G564</f>
        <v>-0.10393420367503325</v>
      </c>
      <c r="F564">
        <f>'10years'!F564-'10years'!$G564</f>
        <v>-0.50480321185142984</v>
      </c>
      <c r="G564">
        <f>'10years'!H564-'10years'!$I564</f>
        <v>-0.12988118248369318</v>
      </c>
    </row>
    <row r="565" spans="1:7" x14ac:dyDescent="0.35">
      <c r="A565" s="1">
        <v>30316</v>
      </c>
      <c r="B565">
        <f>'10years'!B565-'10years'!$G565</f>
        <v>-0.11786759447312467</v>
      </c>
      <c r="C565">
        <f>'10years'!C565-'10years'!$G565</f>
        <v>-0.51199086920315406</v>
      </c>
      <c r="D565">
        <f>'10years'!D565-'10years'!$G565</f>
        <v>0.27484014446871963</v>
      </c>
      <c r="E565">
        <f>'10years'!E565-'10years'!$G565</f>
        <v>-0.1177545255757686</v>
      </c>
      <c r="F565">
        <f>'10years'!F565-'10years'!$G565</f>
        <v>-0.51481477023725319</v>
      </c>
      <c r="G565">
        <f>'10years'!H565-'10years'!$I565</f>
        <v>-0.1356494251363638</v>
      </c>
    </row>
    <row r="566" spans="1:7" x14ac:dyDescent="0.35">
      <c r="A566" s="1">
        <v>30347</v>
      </c>
      <c r="B566">
        <f>'10years'!B566-'10years'!$G566</f>
        <v>-0.11798815581273647</v>
      </c>
      <c r="C566">
        <f>'10years'!C566-'10years'!$G566</f>
        <v>-0.51303806213966396</v>
      </c>
      <c r="D566">
        <f>'10years'!D566-'10years'!$G566</f>
        <v>0.29503571909013715</v>
      </c>
      <c r="E566">
        <f>'10years'!E566-'10years'!$G566</f>
        <v>-9.8465200483615511E-2</v>
      </c>
      <c r="F566">
        <f>'10years'!F566-'10years'!$G566</f>
        <v>-0.51481104536469857</v>
      </c>
      <c r="G566">
        <f>'10years'!H566-'10years'!$I566</f>
        <v>-0.13554254169482194</v>
      </c>
    </row>
    <row r="567" spans="1:7" x14ac:dyDescent="0.35">
      <c r="A567" s="1">
        <v>30375</v>
      </c>
      <c r="B567">
        <f>'10years'!B567-'10years'!$G567</f>
        <v>-7.6980663202776078E-2</v>
      </c>
      <c r="C567">
        <f>'10years'!C567-'10years'!$G567</f>
        <v>-0.47269767379963934</v>
      </c>
      <c r="D567">
        <f>'10years'!D567-'10years'!$G567</f>
        <v>0.36430465481048646</v>
      </c>
      <c r="E567">
        <f>'10years'!E567-'10years'!$G567</f>
        <v>-2.9833123174118015E-2</v>
      </c>
      <c r="F567">
        <f>'10years'!F567-'10years'!$G567</f>
        <v>-0.47541218393753049</v>
      </c>
      <c r="G567">
        <f>'10years'!H567-'10years'!$I567</f>
        <v>-9.4690137612873926E-2</v>
      </c>
    </row>
    <row r="568" spans="1:7" x14ac:dyDescent="0.35">
      <c r="A568" s="1">
        <v>30406</v>
      </c>
      <c r="B568">
        <f>'10years'!B568-'10years'!$G568</f>
        <v>-2.8759158161772547E-2</v>
      </c>
      <c r="C568">
        <f>'10years'!C568-'10years'!$G568</f>
        <v>-0.42673034962151757</v>
      </c>
      <c r="D568">
        <f>'10years'!D568-'10years'!$G568</f>
        <v>0.43769327383108614</v>
      </c>
      <c r="E568">
        <f>'10years'!E568-'10years'!$G568</f>
        <v>4.275227976652296E-2</v>
      </c>
      <c r="F568">
        <f>'10years'!F568-'10years'!$G568</f>
        <v>-0.42971385202242818</v>
      </c>
      <c r="G568">
        <f>'10years'!H568-'10years'!$I568</f>
        <v>-4.6632123860435026E-2</v>
      </c>
    </row>
    <row r="569" spans="1:7" x14ac:dyDescent="0.35">
      <c r="A569" s="1">
        <v>30435</v>
      </c>
      <c r="B569">
        <f>'10years'!B569-'10years'!$G569</f>
        <v>-1.3544555704503303E-4</v>
      </c>
      <c r="C569">
        <f>'10years'!C569-'10years'!$G569</f>
        <v>-0.39982556715497375</v>
      </c>
      <c r="D569">
        <f>'10years'!D569-'10years'!$G569</f>
        <v>0.48991729080497826</v>
      </c>
      <c r="E569">
        <f>'10years'!E569-'10years'!$G569</f>
        <v>9.4025772968545196E-2</v>
      </c>
      <c r="F569">
        <f>'10years'!F569-'10years'!$G569</f>
        <v>-0.40284445823418324</v>
      </c>
      <c r="G569">
        <f>'10years'!H569-'10years'!$I569</f>
        <v>-1.8095931725237158E-2</v>
      </c>
    </row>
    <row r="570" spans="1:7" x14ac:dyDescent="0.35">
      <c r="A570" s="1">
        <v>30467</v>
      </c>
      <c r="B570">
        <f>'10years'!B570-'10years'!$G570</f>
        <v>9.3804032893352707E-2</v>
      </c>
      <c r="C570">
        <f>'10years'!C570-'10years'!$G570</f>
        <v>-0.30607148005762297</v>
      </c>
      <c r="D570">
        <f>'10years'!D570-'10years'!$G570</f>
        <v>0.58660080038307538</v>
      </c>
      <c r="E570">
        <f>'10years'!E570-'10years'!$G570</f>
        <v>0.19083368831450742</v>
      </c>
      <c r="F570">
        <f>'10years'!F570-'10years'!$G570</f>
        <v>-0.30926571663351043</v>
      </c>
      <c r="G570">
        <f>'10years'!H570-'10years'!$I570</f>
        <v>7.5258878742001656E-2</v>
      </c>
    </row>
    <row r="571" spans="1:7" x14ac:dyDescent="0.35">
      <c r="A571" s="1">
        <v>30497</v>
      </c>
      <c r="B571">
        <f>'10years'!B571-'10years'!$G571</f>
        <v>9.9245146259612449E-2</v>
      </c>
      <c r="C571">
        <f>'10years'!C571-'10years'!$G571</f>
        <v>-0.30177387673595102</v>
      </c>
      <c r="D571">
        <f>'10years'!D571-'10years'!$G571</f>
        <v>0.64706471229623497</v>
      </c>
      <c r="E571">
        <f>'10years'!E571-'10years'!$G571</f>
        <v>0.25110182555099692</v>
      </c>
      <c r="F571">
        <f>'10years'!F571-'10years'!$G571</f>
        <v>-0.30527719077106474</v>
      </c>
      <c r="G571">
        <f>'10years'!H571-'10years'!$I571</f>
        <v>8.07280161547963E-2</v>
      </c>
    </row>
    <row r="572" spans="1:7" x14ac:dyDescent="0.35">
      <c r="A572" s="1">
        <v>30526</v>
      </c>
      <c r="B572">
        <f>'10years'!B572-'10years'!$G572</f>
        <v>0.1326938293193205</v>
      </c>
      <c r="C572">
        <f>'10years'!C572-'10years'!$G572</f>
        <v>-0.26995996629795993</v>
      </c>
      <c r="D572">
        <f>'10years'!D572-'10years'!$G572</f>
        <v>0.69486256933676405</v>
      </c>
      <c r="E572">
        <f>'10years'!E572-'10years'!$G572</f>
        <v>0.29881682891016581</v>
      </c>
      <c r="F572">
        <f>'10years'!F572-'10years'!$G572</f>
        <v>-0.27220260174486288</v>
      </c>
      <c r="G572">
        <f>'10years'!H572-'10years'!$I572</f>
        <v>0.11402164467464448</v>
      </c>
    </row>
    <row r="573" spans="1:7" x14ac:dyDescent="0.35">
      <c r="A573" s="1">
        <v>30559</v>
      </c>
      <c r="B573">
        <f>'10years'!B573-'10years'!$G573</f>
        <v>7.2985052572592135E-2</v>
      </c>
      <c r="C573">
        <f>'10years'!C573-'10years'!$G573</f>
        <v>-0.32920202277612232</v>
      </c>
      <c r="D573">
        <f>'10years'!D573-'10years'!$G573</f>
        <v>0.61091115893497738</v>
      </c>
      <c r="E573">
        <f>'10years'!E573-'10years'!$G573</f>
        <v>0.21563567650047899</v>
      </c>
      <c r="F573">
        <f>'10years'!F573-'10years'!$G573</f>
        <v>-0.33228650955837891</v>
      </c>
      <c r="G573">
        <f>'10years'!H573-'10years'!$I573</f>
        <v>5.470411869097358E-2</v>
      </c>
    </row>
    <row r="574" spans="1:7" x14ac:dyDescent="0.35">
      <c r="A574" s="1">
        <v>30589</v>
      </c>
      <c r="B574">
        <f>'10years'!B574-'10years'!$G574</f>
        <v>0.11263280697711875</v>
      </c>
      <c r="C574">
        <f>'10years'!C574-'10years'!$G574</f>
        <v>-0.29068853617574386</v>
      </c>
      <c r="D574">
        <f>'10years'!D574-'10years'!$G574</f>
        <v>0.63166010173912768</v>
      </c>
      <c r="E574">
        <f>'10years'!E574-'10years'!$G574</f>
        <v>0.23647002360821401</v>
      </c>
      <c r="F574">
        <f>'10years'!F574-'10years'!$G574</f>
        <v>-0.29209876474706298</v>
      </c>
      <c r="G574">
        <f>'10years'!H574-'10years'!$I574</f>
        <v>9.4079048524808861E-2</v>
      </c>
    </row>
    <row r="575" spans="1:7" x14ac:dyDescent="0.35">
      <c r="A575" s="1">
        <v>30620</v>
      </c>
      <c r="B575">
        <f>'10years'!B575-'10years'!$G575</f>
        <v>8.9020023272764259E-2</v>
      </c>
      <c r="C575">
        <f>'10years'!C575-'10years'!$G575</f>
        <v>-0.31595979719047174</v>
      </c>
      <c r="D575">
        <f>'10years'!D575-'10years'!$G575</f>
        <v>0.57600917990781797</v>
      </c>
      <c r="E575">
        <f>'10years'!E575-'10years'!$G575</f>
        <v>0.18053247896650726</v>
      </c>
      <c r="F575">
        <f>'10years'!F575-'10years'!$G575</f>
        <v>-0.31717537414001429</v>
      </c>
      <c r="G575">
        <f>'10years'!H575-'10years'!$I575</f>
        <v>7.0606025250019577E-2</v>
      </c>
    </row>
    <row r="576" spans="1:7" x14ac:dyDescent="0.35">
      <c r="A576" s="1">
        <v>30650</v>
      </c>
      <c r="B576">
        <f>'10years'!B576-'10years'!$G576</f>
        <v>7.677931681560568E-2</v>
      </c>
      <c r="C576">
        <f>'10years'!C576-'10years'!$G576</f>
        <v>-0.32793433290171969</v>
      </c>
      <c r="D576">
        <f>'10years'!D576-'10years'!$G576</f>
        <v>0.55877120404282343</v>
      </c>
      <c r="E576">
        <f>'10years'!E576-'10years'!$G576</f>
        <v>0.16380738638717651</v>
      </c>
      <c r="F576">
        <f>'10years'!F576-'10years'!$G576</f>
        <v>-0.32978165012808636</v>
      </c>
      <c r="G576">
        <f>'10years'!H576-'10years'!$I576</f>
        <v>5.8432427691257338E-2</v>
      </c>
    </row>
    <row r="577" spans="1:7" x14ac:dyDescent="0.35">
      <c r="A577" s="1">
        <v>30680</v>
      </c>
      <c r="B577">
        <f>'10years'!B577-'10years'!$G577</f>
        <v>0.19065367592561211</v>
      </c>
      <c r="C577">
        <f>'10years'!C577-'10years'!$G577</f>
        <v>-0.21435903219428853</v>
      </c>
      <c r="D577">
        <f>'10years'!D577-'10years'!$G577</f>
        <v>0.73462617000712482</v>
      </c>
      <c r="E577">
        <f>'10years'!E577-'10years'!$G577</f>
        <v>0.34010757861278096</v>
      </c>
      <c r="F577">
        <f>'10years'!F577-'10years'!$G577</f>
        <v>-0.21538702246501851</v>
      </c>
      <c r="G577">
        <f>'10years'!H577-'10years'!$I577</f>
        <v>0.17159335777008344</v>
      </c>
    </row>
    <row r="578" spans="1:7" x14ac:dyDescent="0.35">
      <c r="A578" s="1">
        <v>30712</v>
      </c>
      <c r="B578">
        <f>'10years'!B578-'10years'!$G578</f>
        <v>0.17009202863064865</v>
      </c>
      <c r="C578">
        <f>'10years'!C578-'10years'!$G578</f>
        <v>-0.23614586619869349</v>
      </c>
      <c r="D578">
        <f>'10years'!D578-'10years'!$G578</f>
        <v>0.71796968781598491</v>
      </c>
      <c r="E578">
        <f>'10years'!E578-'10years'!$G578</f>
        <v>0.32400985276876537</v>
      </c>
      <c r="F578">
        <f>'10years'!F578-'10years'!$G578</f>
        <v>-0.23731645161666903</v>
      </c>
      <c r="G578">
        <f>'10years'!H578-'10years'!$I578</f>
        <v>0.15116969704707106</v>
      </c>
    </row>
    <row r="579" spans="1:7" x14ac:dyDescent="0.35">
      <c r="A579" s="1">
        <v>30741</v>
      </c>
      <c r="B579">
        <f>'10years'!B579-'10years'!$G579</f>
        <v>0.17258964401089161</v>
      </c>
      <c r="C579">
        <f>'10years'!C579-'10years'!$G579</f>
        <v>-0.23376621957590205</v>
      </c>
      <c r="D579">
        <f>'10years'!D579-'10years'!$G579</f>
        <v>0.64745040118100627</v>
      </c>
      <c r="E579">
        <f>'10years'!E579-'10years'!$G579</f>
        <v>0.25410765035337635</v>
      </c>
      <c r="F579">
        <f>'10years'!F579-'10years'!$G579</f>
        <v>-0.23768699423883755</v>
      </c>
      <c r="G579">
        <f>'10years'!H579-'10years'!$I579</f>
        <v>0.15364474150751928</v>
      </c>
    </row>
    <row r="580" spans="1:7" x14ac:dyDescent="0.35">
      <c r="A580" s="1">
        <v>30771</v>
      </c>
      <c r="B580">
        <f>'10years'!B580-'10years'!$G580</f>
        <v>0.14071588154749071</v>
      </c>
      <c r="C580">
        <f>'10years'!C580-'10years'!$G580</f>
        <v>-0.26550596336763155</v>
      </c>
      <c r="D580">
        <f>'10years'!D580-'10years'!$G580</f>
        <v>0.59256293107987412</v>
      </c>
      <c r="E580">
        <f>'10years'!E580-'10years'!$G580</f>
        <v>0.19966905718977523</v>
      </c>
      <c r="F580">
        <f>'10years'!F580-'10years'!$G580</f>
        <v>-0.26892259144582153</v>
      </c>
      <c r="G580">
        <f>'10years'!H580-'10years'!$I580</f>
        <v>0.12200466240042118</v>
      </c>
    </row>
    <row r="581" spans="1:7" x14ac:dyDescent="0.35">
      <c r="A581" s="1">
        <v>30802</v>
      </c>
      <c r="B581">
        <f>'10years'!B581-'10years'!$G581</f>
        <v>0.17221394082512753</v>
      </c>
      <c r="C581">
        <f>'10years'!C581-'10years'!$G581</f>
        <v>-0.23594831116658965</v>
      </c>
      <c r="D581">
        <f>'10years'!D581-'10years'!$G581</f>
        <v>0.62760615563920408</v>
      </c>
      <c r="E581">
        <f>'10years'!E581-'10years'!$G581</f>
        <v>0.23472406861534378</v>
      </c>
      <c r="F581">
        <f>'10years'!F581-'10years'!$G581</f>
        <v>-0.23943639075699763</v>
      </c>
      <c r="G581">
        <f>'10years'!H581-'10years'!$I581</f>
        <v>0.15333932126437855</v>
      </c>
    </row>
    <row r="582" spans="1:7" x14ac:dyDescent="0.35">
      <c r="A582" s="1">
        <v>30833</v>
      </c>
      <c r="B582">
        <f>'10years'!B582-'10years'!$G582</f>
        <v>0.2096813281222536</v>
      </c>
      <c r="C582">
        <f>'10years'!C582-'10years'!$G582</f>
        <v>-0.1984370716335766</v>
      </c>
      <c r="D582">
        <f>'10years'!D582-'10years'!$G582</f>
        <v>0.66683618341688167</v>
      </c>
      <c r="E582">
        <f>'10years'!E582-'10years'!$G582</f>
        <v>0.27461121133836741</v>
      </c>
      <c r="F582">
        <f>'10years'!F582-'10years'!$G582</f>
        <v>-0.20199749858777327</v>
      </c>
      <c r="G582">
        <f>'10years'!H582-'10years'!$I582</f>
        <v>0.19054432578697877</v>
      </c>
    </row>
    <row r="583" spans="1:7" x14ac:dyDescent="0.35">
      <c r="A583" s="1">
        <v>30862</v>
      </c>
      <c r="B583">
        <f>'10years'!B583-'10years'!$G583</f>
        <v>0.18646815715208609</v>
      </c>
      <c r="C583">
        <f>'10years'!C583-'10years'!$G583</f>
        <v>-0.22186879061845177</v>
      </c>
      <c r="D583">
        <f>'10years'!D583-'10years'!$G583</f>
        <v>0.66951594343249665</v>
      </c>
      <c r="E583">
        <f>'10years'!E583-'10years'!$G583</f>
        <v>0.27809705651695671</v>
      </c>
      <c r="F583">
        <f>'10years'!F583-'10years'!$G583</f>
        <v>-0.22489388568718338</v>
      </c>
      <c r="G583">
        <f>'10years'!H583-'10years'!$I583</f>
        <v>0.1674785024549541</v>
      </c>
    </row>
    <row r="584" spans="1:7" x14ac:dyDescent="0.35">
      <c r="A584" s="1">
        <v>30894</v>
      </c>
      <c r="B584">
        <f>'10years'!B584-'10years'!$G584</f>
        <v>0.21512160452599427</v>
      </c>
      <c r="C584">
        <f>'10years'!C584-'10years'!$G584</f>
        <v>-0.19530447881998847</v>
      </c>
      <c r="D584">
        <f>'10years'!D584-'10years'!$G584</f>
        <v>0.71887647164117463</v>
      </c>
      <c r="E584">
        <f>'10years'!E584-'10years'!$G584</f>
        <v>0.32759794131336473</v>
      </c>
      <c r="F584">
        <f>'10years'!F584-'10years'!$G584</f>
        <v>-0.1992806022387914</v>
      </c>
      <c r="G584">
        <f>'10years'!H584-'10years'!$I584</f>
        <v>0.19596714109118007</v>
      </c>
    </row>
    <row r="585" spans="1:7" x14ac:dyDescent="0.35">
      <c r="A585" s="1">
        <v>30925</v>
      </c>
      <c r="B585">
        <f>'10years'!B585-'10years'!$G585</f>
        <v>0.26962205372363002</v>
      </c>
      <c r="C585">
        <f>'10years'!C585-'10years'!$G585</f>
        <v>-0.14098805539075432</v>
      </c>
      <c r="D585">
        <f>'10years'!D585-'10years'!$G585</f>
        <v>0.73425146331942592</v>
      </c>
      <c r="E585">
        <f>'10years'!E585-'10years'!$G585</f>
        <v>0.34370096158611485</v>
      </c>
      <c r="F585">
        <f>'10years'!F585-'10years'!$G585</f>
        <v>-0.14630041507974578</v>
      </c>
      <c r="G585">
        <f>'10years'!H585-'10years'!$I585</f>
        <v>0.25008977186757875</v>
      </c>
    </row>
    <row r="586" spans="1:7" x14ac:dyDescent="0.35">
      <c r="A586" s="1">
        <v>30953</v>
      </c>
      <c r="B586">
        <f>'10years'!B586-'10years'!$G586</f>
        <v>0.42964725284526528</v>
      </c>
      <c r="C586">
        <f>'10years'!C586-'10years'!$G586</f>
        <v>2.0261370201167583E-2</v>
      </c>
      <c r="D586">
        <f>'10years'!D586-'10years'!$G586</f>
        <v>0.91284717474937471</v>
      </c>
      <c r="E586">
        <f>'10years'!E586-'10years'!$G586</f>
        <v>0.5239975687789431</v>
      </c>
      <c r="F586">
        <f>'10years'!F586-'10years'!$G586</f>
        <v>1.5879498087499666E-2</v>
      </c>
      <c r="G586">
        <f>'10years'!H586-'10years'!$I586</f>
        <v>0.40912073966525853</v>
      </c>
    </row>
    <row r="587" spans="1:7" x14ac:dyDescent="0.35">
      <c r="A587" s="1">
        <v>30986</v>
      </c>
      <c r="B587">
        <f>'10years'!B587-'10years'!$G587</f>
        <v>0.53460024440837195</v>
      </c>
      <c r="C587">
        <f>'10years'!C587-'10years'!$G587</f>
        <v>0.12404152471976904</v>
      </c>
      <c r="D587">
        <f>'10years'!D587-'10years'!$G587</f>
        <v>0.98648031860058438</v>
      </c>
      <c r="E587">
        <f>'10years'!E587-'10years'!$G587</f>
        <v>0.59904766029781786</v>
      </c>
      <c r="F587">
        <f>'10years'!F587-'10years'!$G587</f>
        <v>0.11926483615816608</v>
      </c>
      <c r="G587">
        <f>'10years'!H587-'10years'!$I587</f>
        <v>0.51344400552930658</v>
      </c>
    </row>
    <row r="588" spans="1:7" x14ac:dyDescent="0.35">
      <c r="A588" s="1">
        <v>31016</v>
      </c>
      <c r="B588">
        <f>'10years'!B588-'10years'!$G588</f>
        <v>0.40246600488192219</v>
      </c>
      <c r="C588">
        <f>'10years'!C588-'10years'!$G588</f>
        <v>-7.8087792522791855E-3</v>
      </c>
      <c r="D588">
        <f>'10years'!D588-'10years'!$G588</f>
        <v>0.87466221320314053</v>
      </c>
      <c r="E588">
        <f>'10years'!E588-'10years'!$G588</f>
        <v>0.48874780116139704</v>
      </c>
      <c r="F588">
        <f>'10years'!F588-'10years'!$G588</f>
        <v>-1.1537275524560853E-2</v>
      </c>
      <c r="G588">
        <f>'10years'!H588-'10years'!$I588</f>
        <v>0.38199064348745093</v>
      </c>
    </row>
    <row r="589" spans="1:7" x14ac:dyDescent="0.35">
      <c r="A589" s="1">
        <v>31047</v>
      </c>
      <c r="B589">
        <f>'10years'!B589-'10years'!$G589</f>
        <v>0.43189718850548164</v>
      </c>
      <c r="C589">
        <f>'10years'!C589-'10years'!$G589</f>
        <v>2.4333464851856057E-2</v>
      </c>
      <c r="D589">
        <f>'10years'!D589-'10years'!$G589</f>
        <v>0.90534581039166717</v>
      </c>
      <c r="E589">
        <f>'10years'!E589-'10years'!$G589</f>
        <v>0.52253402487093581</v>
      </c>
      <c r="F589">
        <f>'10years'!F589-'10years'!$G589</f>
        <v>1.9901748124640406E-2</v>
      </c>
      <c r="G589">
        <f>'10years'!H589-'10years'!$I589</f>
        <v>0.41132509089325531</v>
      </c>
    </row>
    <row r="590" spans="1:7" x14ac:dyDescent="0.35">
      <c r="A590" s="1">
        <v>31078</v>
      </c>
      <c r="B590">
        <f>'10years'!B590-'10years'!$G590</f>
        <v>0.46899947413235998</v>
      </c>
      <c r="C590">
        <f>'10years'!C590-'10years'!$G590</f>
        <v>6.019811466030478E-2</v>
      </c>
      <c r="D590">
        <f>'10years'!D590-'10years'!$G590</f>
        <v>0.95633234475153261</v>
      </c>
      <c r="E590">
        <f>'10years'!E590-'10years'!$G590</f>
        <v>0.57481272776637282</v>
      </c>
      <c r="F590">
        <f>'10years'!F590-'10years'!$G590</f>
        <v>5.6069039489304862E-2</v>
      </c>
      <c r="G590">
        <f>'10years'!H590-'10years'!$I590</f>
        <v>0.44822287033037256</v>
      </c>
    </row>
    <row r="591" spans="1:7" x14ac:dyDescent="0.35">
      <c r="A591" s="1">
        <v>31106</v>
      </c>
      <c r="B591">
        <f>'10years'!B591-'10years'!$G591</f>
        <v>0.43257670353946098</v>
      </c>
      <c r="C591">
        <f>'10years'!C591-'10years'!$G591</f>
        <v>2.3686964757957174E-2</v>
      </c>
      <c r="D591">
        <f>'10years'!D591-'10years'!$G591</f>
        <v>0.85618458166387112</v>
      </c>
      <c r="E591">
        <f>'10years'!E591-'10years'!$G591</f>
        <v>0.47543594298652936</v>
      </c>
      <c r="F591">
        <f>'10years'!F591-'10years'!$G591</f>
        <v>1.8216999469816475E-2</v>
      </c>
      <c r="G591">
        <f>'10years'!H591-'10years'!$I591</f>
        <v>0.41206116867431586</v>
      </c>
    </row>
    <row r="592" spans="1:7" x14ac:dyDescent="0.35">
      <c r="A592" s="1">
        <v>31135</v>
      </c>
      <c r="B592">
        <f>'10years'!B592-'10years'!$G592</f>
        <v>0.38802138086266136</v>
      </c>
      <c r="C592">
        <f>'10years'!C592-'10years'!$G592</f>
        <v>-1.8791281894399825E-2</v>
      </c>
      <c r="D592">
        <f>'10years'!D592-'10years'!$G592</f>
        <v>0.82408000984125862</v>
      </c>
      <c r="E592">
        <f>'10years'!E592-'10years'!$G592</f>
        <v>0.44553166511617603</v>
      </c>
      <c r="F592">
        <f>'10years'!F592-'10years'!$G592</f>
        <v>-2.4734113776444078E-2</v>
      </c>
      <c r="G592">
        <f>'10years'!H592-'10years'!$I592</f>
        <v>0.36791882273439214</v>
      </c>
    </row>
    <row r="593" spans="1:7" x14ac:dyDescent="0.35">
      <c r="A593" s="1">
        <v>31167</v>
      </c>
      <c r="B593">
        <f>'10years'!B593-'10years'!$G593</f>
        <v>0.36554034456868512</v>
      </c>
      <c r="C593">
        <f>'10years'!C593-'10years'!$G593</f>
        <v>-4.244988359209656E-2</v>
      </c>
      <c r="D593">
        <f>'10years'!D593-'10years'!$G593</f>
        <v>0.76294144951911957</v>
      </c>
      <c r="E593">
        <f>'10years'!E593-'10years'!$G593</f>
        <v>0.38541984034261856</v>
      </c>
      <c r="F593">
        <f>'10years'!F593-'10years'!$G593</f>
        <v>-4.7152247706946815E-2</v>
      </c>
      <c r="G593">
        <f>'10years'!H593-'10years'!$I593</f>
        <v>0.34577053329054586</v>
      </c>
    </row>
    <row r="594" spans="1:7" x14ac:dyDescent="0.35">
      <c r="A594" s="1">
        <v>31198</v>
      </c>
      <c r="B594">
        <f>'10years'!B594-'10years'!$G594</f>
        <v>0.3192877989227394</v>
      </c>
      <c r="C594">
        <f>'10years'!C594-'10years'!$G594</f>
        <v>-8.8261003877755373E-2</v>
      </c>
      <c r="D594">
        <f>'10years'!D594-'10years'!$G594</f>
        <v>0.71489228597152343</v>
      </c>
      <c r="E594">
        <f>'10years'!E594-'10years'!$G594</f>
        <v>0.33809733400789077</v>
      </c>
      <c r="F594">
        <f>'10years'!F594-'10years'!$G594</f>
        <v>-9.2248857555322639E-2</v>
      </c>
      <c r="G594">
        <f>'10years'!H594-'10years'!$I594</f>
        <v>0.29996585696181466</v>
      </c>
    </row>
    <row r="595" spans="1:7" x14ac:dyDescent="0.35">
      <c r="A595" s="1">
        <v>31226</v>
      </c>
      <c r="B595">
        <f>'10years'!B595-'10years'!$G595</f>
        <v>0.32647371564252703</v>
      </c>
      <c r="C595">
        <f>'10years'!C595-'10years'!$G595</f>
        <v>-8.065485116776161E-2</v>
      </c>
      <c r="D595">
        <f>'10years'!D595-'10years'!$G595</f>
        <v>0.71896969960371004</v>
      </c>
      <c r="E595">
        <f>'10years'!E595-'10years'!$G595</f>
        <v>0.34358526737320227</v>
      </c>
      <c r="F595">
        <f>'10years'!F595-'10years'!$G595</f>
        <v>-8.630789490055113E-2</v>
      </c>
      <c r="G595">
        <f>'10years'!H595-'10years'!$I595</f>
        <v>0.30728344842108068</v>
      </c>
    </row>
    <row r="596" spans="1:7" x14ac:dyDescent="0.35">
      <c r="A596" s="1">
        <v>31259</v>
      </c>
      <c r="B596">
        <f>'10years'!B596-'10years'!$G596</f>
        <v>0.30051472504614041</v>
      </c>
      <c r="C596">
        <f>'10years'!C596-'10years'!$G596</f>
        <v>-0.1076031174627079</v>
      </c>
      <c r="D596">
        <f>'10years'!D596-'10years'!$G596</f>
        <v>0.67735388627577664</v>
      </c>
      <c r="E596">
        <f>'10years'!E596-'10years'!$G596</f>
        <v>0.30259153864627852</v>
      </c>
      <c r="F596">
        <f>'10years'!F596-'10years'!$G596</f>
        <v>-0.11389429762073244</v>
      </c>
      <c r="G596">
        <f>'10years'!H596-'10years'!$I596</f>
        <v>0.28165691271571092</v>
      </c>
    </row>
    <row r="597" spans="1:7" x14ac:dyDescent="0.35">
      <c r="A597" s="1">
        <v>31289</v>
      </c>
      <c r="B597">
        <f>'10years'!B597-'10years'!$G597</f>
        <v>0.35347006255960789</v>
      </c>
      <c r="C597">
        <f>'10years'!C597-'10years'!$G597</f>
        <v>-5.4638124789768483E-2</v>
      </c>
      <c r="D597">
        <f>'10years'!D597-'10years'!$G597</f>
        <v>0.73144566541378264</v>
      </c>
      <c r="E597">
        <f>'10years'!E597-'10years'!$G597</f>
        <v>0.35702080572085926</v>
      </c>
      <c r="F597">
        <f>'10years'!F597-'10years'!$G597</f>
        <v>-6.0515641247854468E-2</v>
      </c>
      <c r="G597">
        <f>'10years'!H597-'10years'!$I597</f>
        <v>0.33443734269917869</v>
      </c>
    </row>
    <row r="598" spans="1:7" x14ac:dyDescent="0.35">
      <c r="A598" s="1">
        <v>31320</v>
      </c>
      <c r="B598">
        <f>'10years'!B598-'10years'!$G598</f>
        <v>0.36064095580375755</v>
      </c>
      <c r="C598">
        <f>'10years'!C598-'10years'!$G598</f>
        <v>-4.6881781641196607E-2</v>
      </c>
      <c r="D598">
        <f>'10years'!D598-'10years'!$G598</f>
        <v>0.74781963011797226</v>
      </c>
      <c r="E598">
        <f>'10years'!E598-'10years'!$G598</f>
        <v>0.37433407655823414</v>
      </c>
      <c r="F598">
        <f>'10years'!F598-'10years'!$G598</f>
        <v>-5.3431578223074983E-2</v>
      </c>
      <c r="G598">
        <f>'10years'!H598-'10years'!$I598</f>
        <v>0.34164258737536812</v>
      </c>
    </row>
    <row r="599" spans="1:7" x14ac:dyDescent="0.35">
      <c r="A599" s="1">
        <v>31351</v>
      </c>
      <c r="B599">
        <f>'10years'!B599-'10years'!$G599</f>
        <v>0.35913753651585423</v>
      </c>
      <c r="C599">
        <f>'10years'!C599-'10years'!$G599</f>
        <v>-4.9229823798633499E-2</v>
      </c>
      <c r="D599">
        <f>'10years'!D599-'10years'!$G599</f>
        <v>0.7388601664929737</v>
      </c>
      <c r="E599">
        <f>'10years'!E599-'10years'!$G599</f>
        <v>0.36637315844735485</v>
      </c>
      <c r="F599">
        <f>'10years'!F599-'10years'!$G599</f>
        <v>-5.4134683652771409E-2</v>
      </c>
      <c r="G599">
        <f>'10years'!H599-'10years'!$I599</f>
        <v>0.3402133166408472</v>
      </c>
    </row>
    <row r="600" spans="1:7" x14ac:dyDescent="0.35">
      <c r="A600" s="1">
        <v>31380</v>
      </c>
      <c r="B600">
        <f>'10years'!B600-'10years'!$G600</f>
        <v>0.34255534821038203</v>
      </c>
      <c r="C600">
        <f>'10years'!C600-'10years'!$G600</f>
        <v>-6.5552355507859206E-2</v>
      </c>
      <c r="D600">
        <f>'10years'!D600-'10years'!$G600</f>
        <v>0.73365776404289362</v>
      </c>
      <c r="E600">
        <f>'10years'!E600-'10years'!$G600</f>
        <v>0.36211167922673915</v>
      </c>
      <c r="F600">
        <f>'10years'!F600-'10years'!$G600</f>
        <v>-7.0183738700946963E-2</v>
      </c>
      <c r="G600">
        <f>'10years'!H600-'10years'!$I600</f>
        <v>0.3237747735847174</v>
      </c>
    </row>
    <row r="601" spans="1:7" x14ac:dyDescent="0.35">
      <c r="A601" s="1">
        <v>31412</v>
      </c>
      <c r="B601">
        <f>'10years'!B601-'10years'!$G601</f>
        <v>0.37417016920565649</v>
      </c>
      <c r="C601">
        <f>'10years'!C601-'10years'!$G601</f>
        <v>-3.3220408107659249E-2</v>
      </c>
      <c r="D601">
        <f>'10years'!D601-'10years'!$G601</f>
        <v>0.76312542857569499</v>
      </c>
      <c r="E601">
        <f>'10years'!E601-'10years'!$G601</f>
        <v>0.39226046956549743</v>
      </c>
      <c r="F601">
        <f>'10years'!F601-'10years'!$G601</f>
        <v>-3.9670562106575158E-2</v>
      </c>
      <c r="G601">
        <f>'10years'!H601-'10years'!$I601</f>
        <v>0.35543063562055721</v>
      </c>
    </row>
    <row r="602" spans="1:7" x14ac:dyDescent="0.35">
      <c r="A602" s="1">
        <v>31443</v>
      </c>
      <c r="B602">
        <f>'10years'!B602-'10years'!$G602</f>
        <v>0.42113131077827592</v>
      </c>
      <c r="C602">
        <f>'10years'!C602-'10years'!$G602</f>
        <v>1.2677023255467823E-2</v>
      </c>
      <c r="D602">
        <f>'10years'!D602-'10years'!$G602</f>
        <v>0.79948988665043785</v>
      </c>
      <c r="E602">
        <f>'10years'!E602-'10years'!$G602</f>
        <v>0.42940090679790366</v>
      </c>
      <c r="F602">
        <f>'10years'!F602-'10years'!$G602</f>
        <v>5.4782300787907801E-3</v>
      </c>
      <c r="G602">
        <f>'10years'!H602-'10years'!$I602</f>
        <v>0.40225568691771851</v>
      </c>
    </row>
    <row r="603" spans="1:7" x14ac:dyDescent="0.35">
      <c r="A603" s="1">
        <v>31471</v>
      </c>
      <c r="B603">
        <f>'10years'!B603-'10years'!$G603</f>
        <v>0.32867114567702638</v>
      </c>
      <c r="C603">
        <f>'10years'!C603-'10years'!$G603</f>
        <v>-7.9672827043666405E-2</v>
      </c>
      <c r="D603">
        <f>'10years'!D603-'10years'!$G603</f>
        <v>0.68713655666381213</v>
      </c>
      <c r="E603">
        <f>'10years'!E603-'10years'!$G603</f>
        <v>0.31763282814323057</v>
      </c>
      <c r="F603">
        <f>'10years'!F603-'10years'!$G603</f>
        <v>-8.7183480739618791E-2</v>
      </c>
      <c r="G603">
        <f>'10years'!H603-'10years'!$I603</f>
        <v>0.31040925223371207</v>
      </c>
    </row>
    <row r="604" spans="1:7" x14ac:dyDescent="0.35">
      <c r="A604" s="1">
        <v>31502</v>
      </c>
      <c r="B604">
        <f>'10years'!B604-'10years'!$G604</f>
        <v>0.39375125542262124</v>
      </c>
      <c r="C604">
        <f>'10years'!C604-'10years'!$G604</f>
        <v>-1.3781785918846712E-2</v>
      </c>
      <c r="D604">
        <f>'10years'!D604-'10years'!$G604</f>
        <v>0.72139150830696375</v>
      </c>
      <c r="E604">
        <f>'10years'!E604-'10years'!$G604</f>
        <v>0.35269774763717221</v>
      </c>
      <c r="F604">
        <f>'10years'!F604-'10years'!$G604</f>
        <v>-2.1535009539723315E-2</v>
      </c>
      <c r="G604">
        <f>'10years'!H604-'10years'!$I604</f>
        <v>0.37543208124275473</v>
      </c>
    </row>
    <row r="605" spans="1:7" x14ac:dyDescent="0.35">
      <c r="A605" s="1">
        <v>31532</v>
      </c>
      <c r="B605">
        <f>'10years'!B605-'10years'!$G605</f>
        <v>0.41056287717430973</v>
      </c>
      <c r="C605">
        <f>'10years'!C605-'10years'!$G605</f>
        <v>2.4634290971503603E-3</v>
      </c>
      <c r="D605">
        <f>'10years'!D605-'10years'!$G605</f>
        <v>0.75288649428139731</v>
      </c>
      <c r="E605">
        <f>'10years'!E605-'10years'!$G605</f>
        <v>0.38509397528385225</v>
      </c>
      <c r="F605">
        <f>'10years'!F605-'10years'!$G605</f>
        <v>-5.6314012452807205E-3</v>
      </c>
      <c r="G605">
        <f>'10years'!H605-'10years'!$I605</f>
        <v>0.39240452983690943</v>
      </c>
    </row>
    <row r="606" spans="1:7" x14ac:dyDescent="0.35">
      <c r="A606" s="1">
        <v>31562</v>
      </c>
      <c r="B606">
        <f>'10years'!B606-'10years'!$G606</f>
        <v>0.40640576160730224</v>
      </c>
      <c r="C606">
        <f>'10years'!C606-'10years'!$G606</f>
        <v>-2.2098942583939074E-3</v>
      </c>
      <c r="D606">
        <f>'10years'!D606-'10years'!$G606</f>
        <v>0.74224124612118225</v>
      </c>
      <c r="E606">
        <f>'10years'!E606-'10years'!$G606</f>
        <v>0.37479807133466303</v>
      </c>
      <c r="F606">
        <f>'10years'!F606-'10years'!$G606</f>
        <v>-9.2817364874944186E-3</v>
      </c>
      <c r="G606">
        <f>'10years'!H606-'10years'!$I606</f>
        <v>0.38842254461473047</v>
      </c>
    </row>
    <row r="607" spans="1:7" x14ac:dyDescent="0.35">
      <c r="A607" s="1">
        <v>31593</v>
      </c>
      <c r="B607">
        <f>'10years'!B607-'10years'!$G607</f>
        <v>0.45746445726681029</v>
      </c>
      <c r="C607">
        <f>'10years'!C607-'10years'!$G607</f>
        <v>5.0902097995043194E-2</v>
      </c>
      <c r="D607">
        <f>'10years'!D607-'10years'!$G607</f>
        <v>0.80267259125713708</v>
      </c>
      <c r="E607">
        <f>'10years'!E607-'10years'!$G607</f>
        <v>0.43644315891645591</v>
      </c>
      <c r="F607">
        <f>'10years'!F607-'10years'!$G607</f>
        <v>4.2802736161896116E-2</v>
      </c>
      <c r="G607">
        <f>'10years'!H607-'10years'!$I607</f>
        <v>0.43940431923117362</v>
      </c>
    </row>
    <row r="608" spans="1:7" x14ac:dyDescent="0.35">
      <c r="A608" s="1">
        <v>31624</v>
      </c>
      <c r="B608">
        <f>'10years'!B608-'10years'!$G608</f>
        <v>0.43349577274800866</v>
      </c>
      <c r="C608">
        <f>'10years'!C608-'10years'!$G608</f>
        <v>2.6461666102299164E-2</v>
      </c>
      <c r="D608">
        <f>'10years'!D608-'10years'!$G608</f>
        <v>0.75891305239826168</v>
      </c>
      <c r="E608">
        <f>'10years'!E608-'10years'!$G608</f>
        <v>0.39385190204060216</v>
      </c>
      <c r="F608">
        <f>'10years'!F608-'10years'!$G608</f>
        <v>2.0019618011972051E-2</v>
      </c>
      <c r="G608">
        <f>'10years'!H608-'10years'!$I608</f>
        <v>0.41569164404451353</v>
      </c>
    </row>
    <row r="609" spans="1:7" x14ac:dyDescent="0.35">
      <c r="A609" s="1">
        <v>31653</v>
      </c>
      <c r="B609">
        <f>'10years'!B609-'10years'!$G609</f>
        <v>0.38916746964205173</v>
      </c>
      <c r="C609">
        <f>'10years'!C609-'10years'!$G609</f>
        <v>-1.8268493475667613E-2</v>
      </c>
      <c r="D609">
        <f>'10years'!D609-'10years'!$G609</f>
        <v>0.69736349026382771</v>
      </c>
      <c r="E609">
        <f>'10years'!E609-'10years'!$G609</f>
        <v>0.33241982719146868</v>
      </c>
      <c r="F609">
        <f>'10years'!F609-'10years'!$G609</f>
        <v>-2.4425545602521526E-2</v>
      </c>
      <c r="G609">
        <f>'10years'!H609-'10years'!$I609</f>
        <v>0.37167885356501618</v>
      </c>
    </row>
    <row r="610" spans="1:7" x14ac:dyDescent="0.35">
      <c r="A610" s="1">
        <v>31685</v>
      </c>
      <c r="B610">
        <f>'10years'!B610-'10years'!$G610</f>
        <v>0.44791703643104852</v>
      </c>
      <c r="C610">
        <f>'10years'!C610-'10years'!$G610</f>
        <v>4.2378467611962511E-2</v>
      </c>
      <c r="D610">
        <f>'10years'!D610-'10years'!$G610</f>
        <v>0.76928881171146979</v>
      </c>
      <c r="E610">
        <f>'10years'!E610-'10years'!$G610</f>
        <v>0.40578161806614044</v>
      </c>
      <c r="F610">
        <f>'10years'!F610-'10years'!$G610</f>
        <v>3.7213468998068988E-2</v>
      </c>
      <c r="G610">
        <f>'10years'!H610-'10years'!$I610</f>
        <v>0.43018753137447074</v>
      </c>
    </row>
    <row r="611" spans="1:7" x14ac:dyDescent="0.35">
      <c r="A611" s="1">
        <v>31716</v>
      </c>
      <c r="B611">
        <f>'10years'!B611-'10years'!$G611</f>
        <v>0.35425167215310371</v>
      </c>
      <c r="C611">
        <f>'10years'!C611-'10years'!$G611</f>
        <v>-5.1694977368190065E-2</v>
      </c>
      <c r="D611">
        <f>'10years'!D611-'10years'!$G611</f>
        <v>0.69007157699567512</v>
      </c>
      <c r="E611">
        <f>'10years'!E611-'10years'!$G611</f>
        <v>0.32762423028880172</v>
      </c>
      <c r="F611">
        <f>'10years'!F611-'10years'!$G611</f>
        <v>-5.6624980316379192E-2</v>
      </c>
      <c r="G611">
        <f>'10years'!H611-'10years'!$I611</f>
        <v>0.33704670238230428</v>
      </c>
    </row>
    <row r="612" spans="1:7" x14ac:dyDescent="0.35">
      <c r="A612" s="1">
        <v>31744</v>
      </c>
      <c r="B612">
        <f>'10years'!B612-'10years'!$G612</f>
        <v>0.41729186150080144</v>
      </c>
      <c r="C612">
        <f>'10years'!C612-'10years'!$G612</f>
        <v>1.0452033485341961E-2</v>
      </c>
      <c r="D612">
        <f>'10years'!D612-'10years'!$G612</f>
        <v>0.76185708741850489</v>
      </c>
      <c r="E612">
        <f>'10years'!E612-'10years'!$G612</f>
        <v>0.39835616569953158</v>
      </c>
      <c r="F612">
        <f>'10years'!F612-'10years'!$G612</f>
        <v>6.4542248047971817E-3</v>
      </c>
      <c r="G612">
        <f>'10years'!H612-'10years'!$I612</f>
        <v>0.39983898360576031</v>
      </c>
    </row>
    <row r="613" spans="1:7" x14ac:dyDescent="0.35">
      <c r="A613" s="1">
        <v>31777</v>
      </c>
      <c r="B613">
        <f>'10years'!B613-'10years'!$G613</f>
        <v>0.43898276142669146</v>
      </c>
      <c r="C613">
        <f>'10years'!C613-'10years'!$G613</f>
        <v>3.4220001636357855E-2</v>
      </c>
      <c r="D613">
        <f>'10years'!D613-'10years'!$G613</f>
        <v>0.76147005036564663</v>
      </c>
      <c r="E613">
        <f>'10years'!E613-'10years'!$G613</f>
        <v>0.39913419686151008</v>
      </c>
      <c r="F613">
        <f>'10years'!F613-'10years'!$G613</f>
        <v>3.0946984267936406E-2</v>
      </c>
      <c r="G613">
        <f>'10years'!H613-'10years'!$I613</f>
        <v>0.42140083631465597</v>
      </c>
    </row>
    <row r="614" spans="1:7" x14ac:dyDescent="0.35">
      <c r="A614" s="1">
        <v>31807</v>
      </c>
      <c r="B614">
        <f>'10years'!B614-'10years'!$G614</f>
        <v>0.37044423202864385</v>
      </c>
      <c r="C614">
        <f>'10years'!C614-'10years'!$G614</f>
        <v>-3.5067895835794172E-2</v>
      </c>
      <c r="D614">
        <f>'10years'!D614-'10years'!$G614</f>
        <v>0.67184687916769237</v>
      </c>
      <c r="E614">
        <f>'10years'!E614-'10years'!$G614</f>
        <v>0.30994950624777529</v>
      </c>
      <c r="F614">
        <f>'10years'!F614-'10years'!$G614</f>
        <v>-3.6970213907638882E-2</v>
      </c>
      <c r="G614">
        <f>'10years'!H614-'10years'!$I614</f>
        <v>0.35337052396862134</v>
      </c>
    </row>
    <row r="615" spans="1:7" x14ac:dyDescent="0.35">
      <c r="A615" s="1">
        <v>31835</v>
      </c>
      <c r="B615">
        <f>'10years'!B615-'10years'!$G615</f>
        <v>0.5196496647409059</v>
      </c>
      <c r="C615">
        <f>'10years'!C615-'10years'!$G615</f>
        <v>0.1137946770147662</v>
      </c>
      <c r="D615">
        <f>'10years'!D615-'10years'!$G615</f>
        <v>0.81204360277008436</v>
      </c>
      <c r="E615">
        <f>'10years'!E615-'10years'!$G615</f>
        <v>0.45014282823235763</v>
      </c>
      <c r="F615">
        <f>'10years'!F615-'10years'!$G615</f>
        <v>0.10987399635701212</v>
      </c>
      <c r="G615">
        <f>'10years'!H615-'10years'!$I615</f>
        <v>0.50189593511273944</v>
      </c>
    </row>
    <row r="616" spans="1:7" x14ac:dyDescent="0.35">
      <c r="A616" s="1">
        <v>31867</v>
      </c>
      <c r="B616">
        <f>'10years'!B616-'10years'!$G616</f>
        <v>0.56666328259170706</v>
      </c>
      <c r="C616">
        <f>'10years'!C616-'10years'!$G616</f>
        <v>0.16323157577958858</v>
      </c>
      <c r="D616">
        <f>'10years'!D616-'10years'!$G616</f>
        <v>0.87610009741562278</v>
      </c>
      <c r="E616">
        <f>'10years'!E616-'10years'!$G616</f>
        <v>0.51592847765503747</v>
      </c>
      <c r="F616">
        <f>'10years'!F616-'10years'!$G616</f>
        <v>0.15792653083682806</v>
      </c>
      <c r="G616">
        <f>'10years'!H616-'10years'!$I616</f>
        <v>0.54884348772012981</v>
      </c>
    </row>
    <row r="617" spans="1:7" x14ac:dyDescent="0.35">
      <c r="A617" s="1">
        <v>31897</v>
      </c>
      <c r="B617">
        <f>'10years'!B617-'10years'!$G617</f>
        <v>0.59832343651008624</v>
      </c>
      <c r="C617">
        <f>'10years'!C617-'10years'!$G617</f>
        <v>0.19445198340199066</v>
      </c>
      <c r="D617">
        <f>'10years'!D617-'10years'!$G617</f>
        <v>0.89124658323945982</v>
      </c>
      <c r="E617">
        <f>'10years'!E617-'10years'!$G617</f>
        <v>0.53205371967236714</v>
      </c>
      <c r="F617">
        <f>'10years'!F617-'10years'!$G617</f>
        <v>0.19079742765354601</v>
      </c>
      <c r="G617">
        <f>'10years'!H617-'10years'!$I617</f>
        <v>0.58049546691711917</v>
      </c>
    </row>
    <row r="618" spans="1:7" x14ac:dyDescent="0.35">
      <c r="A618" s="1">
        <v>31926</v>
      </c>
      <c r="B618">
        <f>'10years'!B618-'10years'!$G618</f>
        <v>0.58950154683041966</v>
      </c>
      <c r="C618">
        <f>'10years'!C618-'10years'!$G618</f>
        <v>0.18488509822882837</v>
      </c>
      <c r="D618">
        <f>'10years'!D618-'10years'!$G618</f>
        <v>0.87293507044423824</v>
      </c>
      <c r="E618">
        <f>'10years'!E618-'10years'!$G618</f>
        <v>0.51283364839487455</v>
      </c>
      <c r="F618">
        <f>'10years'!F618-'10years'!$G618</f>
        <v>0.18033354893649745</v>
      </c>
      <c r="G618">
        <f>'10years'!H618-'10years'!$I618</f>
        <v>0.57183814406163158</v>
      </c>
    </row>
    <row r="619" spans="1:7" x14ac:dyDescent="0.35">
      <c r="A619" s="1">
        <v>31958</v>
      </c>
      <c r="B619">
        <f>'10years'!B619-'10years'!$G619</f>
        <v>0.60988507657783364</v>
      </c>
      <c r="C619">
        <f>'10years'!C619-'10years'!$G619</f>
        <v>0.20917579369318551</v>
      </c>
      <c r="D619">
        <f>'10years'!D619-'10years'!$G619</f>
        <v>0.89551185432727065</v>
      </c>
      <c r="E619">
        <f>'10years'!E619-'10years'!$G619</f>
        <v>0.53795771646131429</v>
      </c>
      <c r="F619">
        <f>'10years'!F619-'10years'!$G619</f>
        <v>0.20534474330514874</v>
      </c>
      <c r="G619">
        <f>'10years'!H619-'10years'!$I619</f>
        <v>0.59213864493157242</v>
      </c>
    </row>
    <row r="620" spans="1:7" x14ac:dyDescent="0.35">
      <c r="A620" s="1">
        <v>31989</v>
      </c>
      <c r="B620">
        <f>'10years'!B620-'10years'!$G620</f>
        <v>0.61099169177190915</v>
      </c>
      <c r="C620">
        <f>'10years'!C620-'10years'!$G620</f>
        <v>0.20994552537133315</v>
      </c>
      <c r="D620">
        <f>'10years'!D620-'10years'!$G620</f>
        <v>0.88772134648796608</v>
      </c>
      <c r="E620">
        <f>'10years'!E620-'10years'!$G620</f>
        <v>0.53088052506880845</v>
      </c>
      <c r="F620">
        <f>'10years'!F620-'10years'!$G620</f>
        <v>0.20660144723068963</v>
      </c>
      <c r="G620">
        <f>'10years'!H620-'10years'!$I620</f>
        <v>0.59336935082994202</v>
      </c>
    </row>
    <row r="621" spans="1:7" x14ac:dyDescent="0.35">
      <c r="A621" s="1">
        <v>32020</v>
      </c>
      <c r="B621">
        <f>'10years'!B621-'10years'!$G621</f>
        <v>0.66483218393383092</v>
      </c>
      <c r="C621">
        <f>'10years'!C621-'10years'!$G621</f>
        <v>0.26297033489866317</v>
      </c>
      <c r="D621">
        <f>'10years'!D621-'10years'!$G621</f>
        <v>0.95591903569039216</v>
      </c>
      <c r="E621">
        <f>'10years'!E621-'10years'!$G621</f>
        <v>0.59821283772907607</v>
      </c>
      <c r="F621">
        <f>'10years'!F621-'10years'!$G621</f>
        <v>0.25958429980153275</v>
      </c>
      <c r="G621">
        <f>'10years'!H621-'10years'!$I621</f>
        <v>0.64700435983811033</v>
      </c>
    </row>
    <row r="622" spans="1:7" x14ac:dyDescent="0.35">
      <c r="A622" s="1">
        <v>32050</v>
      </c>
      <c r="B622">
        <f>'10years'!B622-'10years'!$G622</f>
        <v>0.70742237213275683</v>
      </c>
      <c r="C622">
        <f>'10years'!C622-'10years'!$G622</f>
        <v>0.30918466538763756</v>
      </c>
      <c r="D622">
        <f>'10years'!D622-'10years'!$G622</f>
        <v>0.99266268544729552</v>
      </c>
      <c r="E622">
        <f>'10years'!E622-'10years'!$G622</f>
        <v>0.63757997591092597</v>
      </c>
      <c r="F622">
        <f>'10years'!F622-'10years'!$G622</f>
        <v>0.30611083064774025</v>
      </c>
      <c r="G622">
        <f>'10years'!H622-'10years'!$I622</f>
        <v>0.68942048242792708</v>
      </c>
    </row>
    <row r="623" spans="1:7" x14ac:dyDescent="0.35">
      <c r="A623" s="1">
        <v>32080</v>
      </c>
      <c r="B623">
        <f>'10years'!B623-'10years'!$G623</f>
        <v>0.68917144980628553</v>
      </c>
      <c r="C623">
        <f>'10years'!C623-'10years'!$G623</f>
        <v>0.29106695029472096</v>
      </c>
      <c r="D623">
        <f>'10years'!D623-'10years'!$G623</f>
        <v>0.98011305901734502</v>
      </c>
      <c r="E623">
        <f>'10years'!E623-'10years'!$G623</f>
        <v>0.62592133048135423</v>
      </c>
      <c r="F623">
        <f>'10years'!F623-'10years'!$G623</f>
        <v>0.28740878969592476</v>
      </c>
      <c r="G623">
        <f>'10years'!H623-'10years'!$I623</f>
        <v>0.67129517948698592</v>
      </c>
    </row>
    <row r="624" spans="1:7" x14ac:dyDescent="0.35">
      <c r="A624" s="1">
        <v>32111</v>
      </c>
      <c r="B624">
        <f>'10years'!B624-'10years'!$G624</f>
        <v>0.51910948044760041</v>
      </c>
      <c r="C624">
        <f>'10years'!C624-'10years'!$G624</f>
        <v>0.12101765873515746</v>
      </c>
      <c r="D624">
        <f>'10years'!D624-'10years'!$G624</f>
        <v>0.76084097303048659</v>
      </c>
      <c r="E624">
        <f>'10years'!E624-'10years'!$G624</f>
        <v>0.40737497713434601</v>
      </c>
      <c r="F624">
        <f>'10years'!F624-'10years'!$G624</f>
        <v>0.11729612353646002</v>
      </c>
      <c r="G624">
        <f>'10years'!H624-'10years'!$I624</f>
        <v>0.50223126910671212</v>
      </c>
    </row>
    <row r="625" spans="1:7" x14ac:dyDescent="0.35">
      <c r="A625" s="1">
        <v>32142</v>
      </c>
      <c r="B625">
        <f>'10years'!B625-'10years'!$G625</f>
        <v>0.41815468681767332</v>
      </c>
      <c r="C625">
        <f>'10years'!C625-'10years'!$G625</f>
        <v>2.4160050963994983E-2</v>
      </c>
      <c r="D625">
        <f>'10years'!D625-'10years'!$G625</f>
        <v>0.65646746031093883</v>
      </c>
      <c r="E625">
        <f>'10years'!E625-'10years'!$G625</f>
        <v>0.30524048643962853</v>
      </c>
      <c r="F625">
        <f>'10years'!F625-'10years'!$G625</f>
        <v>2.1526310936681448E-2</v>
      </c>
      <c r="G625">
        <f>'10years'!H625-'10years'!$I625</f>
        <v>0.40155416179870063</v>
      </c>
    </row>
    <row r="626" spans="1:7" x14ac:dyDescent="0.35">
      <c r="A626" s="1">
        <v>32171</v>
      </c>
      <c r="B626">
        <f>'10years'!B626-'10years'!$G626</f>
        <v>0.47459216081654931</v>
      </c>
      <c r="C626">
        <f>'10years'!C626-'10years'!$G626</f>
        <v>7.9728792942084237E-2</v>
      </c>
      <c r="D626">
        <f>'10years'!D626-'10years'!$G626</f>
        <v>0.7328037902236173</v>
      </c>
      <c r="E626">
        <f>'10years'!E626-'10years'!$G626</f>
        <v>0.38188193765728462</v>
      </c>
      <c r="F626">
        <f>'10years'!F626-'10years'!$G626</f>
        <v>7.9193769160472716E-2</v>
      </c>
      <c r="G626">
        <f>'10years'!H626-'10years'!$I626</f>
        <v>0.45755275896892655</v>
      </c>
    </row>
    <row r="627" spans="1:7" x14ac:dyDescent="0.35">
      <c r="A627" s="1">
        <v>32202</v>
      </c>
      <c r="B627">
        <f>'10years'!B627-'10years'!$G627</f>
        <v>0.56472077147795474</v>
      </c>
      <c r="C627">
        <f>'10years'!C627-'10years'!$G627</f>
        <v>0.16996493775038779</v>
      </c>
      <c r="D627">
        <f>'10years'!D627-'10years'!$G627</f>
        <v>0.82154248387220541</v>
      </c>
      <c r="E627">
        <f>'10years'!E627-'10years'!$G627</f>
        <v>0.47096360320817343</v>
      </c>
      <c r="F627">
        <f>'10years'!F627-'10years'!$G627</f>
        <v>0.16791785453056285</v>
      </c>
      <c r="G627">
        <f>'10years'!H627-'10years'!$I627</f>
        <v>0.54684183344084758</v>
      </c>
    </row>
    <row r="628" spans="1:7" x14ac:dyDescent="0.35">
      <c r="A628" s="1">
        <v>32233</v>
      </c>
      <c r="B628">
        <f>'10years'!B628-'10years'!$G628</f>
        <v>0.61769471799335474</v>
      </c>
      <c r="C628">
        <f>'10years'!C628-'10years'!$G628</f>
        <v>0.22464962034143188</v>
      </c>
      <c r="D628">
        <f>'10years'!D628-'10years'!$G628</f>
        <v>0.89163248810093432</v>
      </c>
      <c r="E628">
        <f>'10years'!E628-'10years'!$G628</f>
        <v>0.54242138593765166</v>
      </c>
      <c r="F628">
        <f>'10years'!F628-'10years'!$G628</f>
        <v>0.22345381628878691</v>
      </c>
      <c r="G628">
        <f>'10years'!H628-'10years'!$I628</f>
        <v>0.59956012427888616</v>
      </c>
    </row>
    <row r="629" spans="1:7" x14ac:dyDescent="0.35">
      <c r="A629" s="1">
        <v>32262</v>
      </c>
      <c r="B629">
        <f>'10years'!B629-'10years'!$G629</f>
        <v>0.56967833067824136</v>
      </c>
      <c r="C629">
        <f>'10years'!C629-'10years'!$G629</f>
        <v>0.17673888360782408</v>
      </c>
      <c r="D629">
        <f>'10years'!D629-'10years'!$G629</f>
        <v>0.84241737013185913</v>
      </c>
      <c r="E629">
        <f>'10years'!E629-'10years'!$G629</f>
        <v>0.49439092442792854</v>
      </c>
      <c r="F629">
        <f>'10years'!F629-'10years'!$G629</f>
        <v>0.17509358805449216</v>
      </c>
      <c r="G629">
        <f>'10years'!H629-'10years'!$I629</f>
        <v>0.55169023787409177</v>
      </c>
    </row>
    <row r="630" spans="1:7" x14ac:dyDescent="0.35">
      <c r="A630" s="1">
        <v>32294</v>
      </c>
      <c r="B630">
        <f>'10years'!B630-'10years'!$G630</f>
        <v>0.50735475400982466</v>
      </c>
      <c r="C630">
        <f>'10years'!C630-'10years'!$G630</f>
        <v>0.1142680197560022</v>
      </c>
      <c r="D630">
        <f>'10years'!D630-'10years'!$G630</f>
        <v>0.77754882002116688</v>
      </c>
      <c r="E630">
        <f>'10years'!E630-'10years'!$G630</f>
        <v>0.43001337093153591</v>
      </c>
      <c r="F630">
        <f>'10years'!F630-'10years'!$G630</f>
        <v>0.11485023844854858</v>
      </c>
      <c r="G630">
        <f>'10years'!H630-'10years'!$I630</f>
        <v>0.48959515546089794</v>
      </c>
    </row>
    <row r="631" spans="1:7" x14ac:dyDescent="0.35">
      <c r="A631" s="1">
        <v>32324</v>
      </c>
      <c r="B631">
        <f>'10years'!B631-'10years'!$G631</f>
        <v>0.50259258648528338</v>
      </c>
      <c r="C631">
        <f>'10years'!C631-'10years'!$G631</f>
        <v>0.11296703698908583</v>
      </c>
      <c r="D631">
        <f>'10years'!D631-'10years'!$G631</f>
        <v>0.75346496386254813</v>
      </c>
      <c r="E631">
        <f>'10years'!E631-'10years'!$G631</f>
        <v>0.40811751555722608</v>
      </c>
      <c r="F631">
        <f>'10years'!F631-'10years'!$G631</f>
        <v>0.11396453232284021</v>
      </c>
      <c r="G631">
        <f>'10years'!H631-'10years'!$I631</f>
        <v>0.48488443167271633</v>
      </c>
    </row>
    <row r="632" spans="1:7" x14ac:dyDescent="0.35">
      <c r="A632" s="1">
        <v>32353</v>
      </c>
      <c r="B632">
        <f>'10years'!B632-'10years'!$G632</f>
        <v>0.5564640415445723</v>
      </c>
      <c r="C632">
        <f>'10years'!C632-'10years'!$G632</f>
        <v>0.16657033669773913</v>
      </c>
      <c r="D632">
        <f>'10years'!D632-'10years'!$G632</f>
        <v>0.81378796750004945</v>
      </c>
      <c r="E632">
        <f>'10years'!E632-'10years'!$G632</f>
        <v>0.46924003536885994</v>
      </c>
      <c r="F632">
        <f>'10years'!F632-'10years'!$G632</f>
        <v>0.16493801750259518</v>
      </c>
      <c r="G632">
        <f>'10years'!H632-'10years'!$I632</f>
        <v>0.53844882257838567</v>
      </c>
    </row>
    <row r="633" spans="1:7" x14ac:dyDescent="0.35">
      <c r="A633" s="1">
        <v>32386</v>
      </c>
      <c r="B633">
        <f>'10years'!B633-'10years'!$G633</f>
        <v>0.50640920840095971</v>
      </c>
      <c r="C633">
        <f>'10years'!C633-'10years'!$G633</f>
        <v>0.11570350791628714</v>
      </c>
      <c r="D633">
        <f>'10years'!D633-'10years'!$G633</f>
        <v>0.75468044991330308</v>
      </c>
      <c r="E633">
        <f>'10years'!E633-'10years'!$G633</f>
        <v>0.40857082170723258</v>
      </c>
      <c r="F633">
        <f>'10years'!F633-'10years'!$G633</f>
        <v>0.11671307494541816</v>
      </c>
      <c r="G633">
        <f>'10years'!H633-'10years'!$I633</f>
        <v>0.48860817020170977</v>
      </c>
    </row>
    <row r="634" spans="1:7" x14ac:dyDescent="0.35">
      <c r="A634" s="1">
        <v>32416</v>
      </c>
      <c r="B634">
        <f>'10years'!B634-'10years'!$G634</f>
        <v>0.45038355827082244</v>
      </c>
      <c r="C634">
        <f>'10years'!C634-'10years'!$G634</f>
        <v>6.2303452656869762E-2</v>
      </c>
      <c r="D634">
        <f>'10years'!D634-'10years'!$G634</f>
        <v>0.6840732169659689</v>
      </c>
      <c r="E634">
        <f>'10years'!E634-'10years'!$G634</f>
        <v>0.33961781573336713</v>
      </c>
      <c r="F634">
        <f>'10years'!F634-'10years'!$G634</f>
        <v>6.1873372567971874E-2</v>
      </c>
      <c r="G634">
        <f>'10years'!H634-'10years'!$I634</f>
        <v>0.43288716578775421</v>
      </c>
    </row>
    <row r="635" spans="1:7" x14ac:dyDescent="0.35">
      <c r="A635" s="1">
        <v>32447</v>
      </c>
      <c r="B635">
        <f>'10years'!B635-'10years'!$G635</f>
        <v>0.490037542745275</v>
      </c>
      <c r="C635">
        <f>'10years'!C635-'10years'!$G635</f>
        <v>0.10162659000742513</v>
      </c>
      <c r="D635">
        <f>'10years'!D635-'10years'!$G635</f>
        <v>0.7257418814735348</v>
      </c>
      <c r="E635">
        <f>'10years'!E635-'10years'!$G635</f>
        <v>0.38193855331822268</v>
      </c>
      <c r="F635">
        <f>'10years'!F635-'10years'!$G635</f>
        <v>0.10072002865101881</v>
      </c>
      <c r="G635">
        <f>'10years'!H635-'10years'!$I635</f>
        <v>0.47236551168121643</v>
      </c>
    </row>
    <row r="636" spans="1:7" x14ac:dyDescent="0.35">
      <c r="A636" s="1">
        <v>32477</v>
      </c>
      <c r="B636">
        <f>'10years'!B636-'10years'!$G636</f>
        <v>0.59221750061996459</v>
      </c>
      <c r="C636">
        <f>'10years'!C636-'10years'!$G636</f>
        <v>0.20299052630948977</v>
      </c>
      <c r="D636">
        <f>'10years'!D636-'10years'!$G636</f>
        <v>0.85838633620049154</v>
      </c>
      <c r="E636">
        <f>'10years'!E636-'10years'!$G636</f>
        <v>0.51419123905906061</v>
      </c>
      <c r="F636">
        <f>'10years'!F636-'10years'!$G636</f>
        <v>0.20360291439026823</v>
      </c>
      <c r="G636">
        <f>'10years'!H636-'10years'!$I636</f>
        <v>0.57405030051544959</v>
      </c>
    </row>
    <row r="637" spans="1:7" x14ac:dyDescent="0.35">
      <c r="A637" s="1">
        <v>32507</v>
      </c>
      <c r="B637">
        <f>'10years'!B637-'10years'!$G637</f>
        <v>0.55884956742785752</v>
      </c>
      <c r="C637">
        <f>'10years'!C637-'10years'!$G637</f>
        <v>0.17283177946642292</v>
      </c>
      <c r="D637">
        <f>'10years'!D637-'10years'!$G637</f>
        <v>0.81587911894804011</v>
      </c>
      <c r="E637">
        <f>'10years'!E637-'10years'!$G637</f>
        <v>0.47325554731913178</v>
      </c>
      <c r="F637">
        <f>'10years'!F637-'10years'!$G637</f>
        <v>0.17482580895745992</v>
      </c>
      <c r="G637">
        <f>'10years'!H637-'10years'!$I637</f>
        <v>0.54080342180502505</v>
      </c>
    </row>
    <row r="638" spans="1:7" x14ac:dyDescent="0.35">
      <c r="A638" s="1">
        <v>32539</v>
      </c>
      <c r="B638">
        <f>'10years'!B638-'10years'!$G638</f>
        <v>0.56170351109402605</v>
      </c>
      <c r="C638">
        <f>'10years'!C638-'10years'!$G638</f>
        <v>0.1748506271207606</v>
      </c>
      <c r="D638">
        <f>'10years'!D638-'10years'!$G638</f>
        <v>0.83260364342735538</v>
      </c>
      <c r="E638">
        <f>'10years'!E638-'10years'!$G638</f>
        <v>0.49047808643641999</v>
      </c>
      <c r="F638">
        <f>'10years'!F638-'10years'!$G638</f>
        <v>0.17591588955553461</v>
      </c>
      <c r="G638">
        <f>'10years'!H638-'10years'!$I638</f>
        <v>0.54364909862723021</v>
      </c>
    </row>
    <row r="639" spans="1:7" x14ac:dyDescent="0.35">
      <c r="A639" s="1">
        <v>32567</v>
      </c>
      <c r="B639">
        <f>'10years'!B639-'10years'!$G639</f>
        <v>0.58722801039008732</v>
      </c>
      <c r="C639">
        <f>'10years'!C639-'10years'!$G639</f>
        <v>0.20023611988289391</v>
      </c>
      <c r="D639">
        <f>'10years'!D639-'10years'!$G639</f>
        <v>0.83637801261784772</v>
      </c>
      <c r="E639">
        <f>'10years'!E639-'10years'!$G639</f>
        <v>0.49425686963864623</v>
      </c>
      <c r="F639">
        <f>'10years'!F639-'10years'!$G639</f>
        <v>0.2028015417696627</v>
      </c>
      <c r="G639">
        <f>'10years'!H639-'10years'!$I639</f>
        <v>0.56901567528657715</v>
      </c>
    </row>
    <row r="640" spans="1:7" x14ac:dyDescent="0.35">
      <c r="A640" s="1">
        <v>32598</v>
      </c>
      <c r="B640">
        <f>'10years'!B640-'10years'!$G640</f>
        <v>0.59139073482412496</v>
      </c>
      <c r="C640">
        <f>'10years'!C640-'10years'!$G640</f>
        <v>0.2080190163131086</v>
      </c>
      <c r="D640">
        <f>'10years'!D640-'10years'!$G640</f>
        <v>0.85418246300248257</v>
      </c>
      <c r="E640">
        <f>'10years'!E640-'10years'!$G640</f>
        <v>0.51436944391633888</v>
      </c>
      <c r="F640">
        <f>'10years'!F640-'10years'!$G640</f>
        <v>0.21041792099531897</v>
      </c>
      <c r="G640">
        <f>'10years'!H640-'10years'!$I640</f>
        <v>0.57316782345651074</v>
      </c>
    </row>
    <row r="641" spans="1:7" x14ac:dyDescent="0.35">
      <c r="A641" s="1">
        <v>32626</v>
      </c>
      <c r="B641">
        <f>'10years'!B641-'10years'!$G641</f>
        <v>0.56468359534071144</v>
      </c>
      <c r="C641">
        <f>'10years'!C641-'10years'!$G641</f>
        <v>0.18129838953055089</v>
      </c>
      <c r="D641">
        <f>'10years'!D641-'10years'!$G641</f>
        <v>0.81254645366334532</v>
      </c>
      <c r="E641">
        <f>'10years'!E641-'10years'!$G641</f>
        <v>0.47352600111335796</v>
      </c>
      <c r="F641">
        <f>'10years'!F641-'10years'!$G641</f>
        <v>0.18373753380901636</v>
      </c>
      <c r="G641">
        <f>'10years'!H641-'10years'!$I641</f>
        <v>0.54662931483266952</v>
      </c>
    </row>
    <row r="642" spans="1:7" x14ac:dyDescent="0.35">
      <c r="A642" s="1">
        <v>32659</v>
      </c>
      <c r="B642">
        <f>'10years'!B642-'10years'!$G642</f>
        <v>0.60478194976787547</v>
      </c>
      <c r="C642">
        <f>'10years'!C642-'10years'!$G642</f>
        <v>0.2214492780725732</v>
      </c>
      <c r="D642">
        <f>'10years'!D642-'10years'!$G642</f>
        <v>0.84557071344513313</v>
      </c>
      <c r="E642">
        <f>'10years'!E642-'10years'!$G642</f>
        <v>0.50748625284500326</v>
      </c>
      <c r="F642">
        <f>'10years'!F642-'10years'!$G642</f>
        <v>0.22449987359780676</v>
      </c>
      <c r="G642">
        <f>'10years'!H642-'10years'!$I642</f>
        <v>0.58657064240854595</v>
      </c>
    </row>
    <row r="643" spans="1:7" x14ac:dyDescent="0.35">
      <c r="A643" s="1">
        <v>32689</v>
      </c>
      <c r="B643">
        <f>'10years'!B643-'10years'!$G643</f>
        <v>0.65329146680170935</v>
      </c>
      <c r="C643">
        <f>'10years'!C643-'10years'!$G643</f>
        <v>0.27341830598322026</v>
      </c>
      <c r="D643">
        <f>'10years'!D643-'10years'!$G643</f>
        <v>0.89589804877956492</v>
      </c>
      <c r="E643">
        <f>'10years'!E643-'10years'!$G643</f>
        <v>0.55925679906392367</v>
      </c>
      <c r="F643">
        <f>'10years'!F643-'10years'!$G643</f>
        <v>0.27624456774817463</v>
      </c>
      <c r="G643">
        <f>'10years'!H643-'10years'!$I643</f>
        <v>0.63490311929514931</v>
      </c>
    </row>
    <row r="644" spans="1:7" x14ac:dyDescent="0.35">
      <c r="A644" s="1">
        <v>32720</v>
      </c>
      <c r="B644">
        <f>'10years'!B644-'10years'!$G644</f>
        <v>0.61596248422123501</v>
      </c>
      <c r="C644">
        <f>'10years'!C644-'10years'!$G644</f>
        <v>0.23630958670074675</v>
      </c>
      <c r="D644">
        <f>'10years'!D644-'10years'!$G644</f>
        <v>0.84824546446357263</v>
      </c>
      <c r="E644">
        <f>'10years'!E644-'10years'!$G644</f>
        <v>0.51312090715761793</v>
      </c>
      <c r="F644">
        <f>'10years'!F644-'10years'!$G644</f>
        <v>0.23844746148701446</v>
      </c>
      <c r="G644">
        <f>'10years'!H644-'10years'!$I644</f>
        <v>0.59780880732447361</v>
      </c>
    </row>
    <row r="645" spans="1:7" x14ac:dyDescent="0.35">
      <c r="A645" s="1">
        <v>32751</v>
      </c>
      <c r="B645">
        <f>'10years'!B645-'10years'!$G645</f>
        <v>0.67924627370430168</v>
      </c>
      <c r="C645">
        <f>'10years'!C645-'10years'!$G645</f>
        <v>0.29984843341714718</v>
      </c>
      <c r="D645">
        <f>'10years'!D645-'10years'!$G645</f>
        <v>0.89336249855689132</v>
      </c>
      <c r="E645">
        <f>'10years'!E645-'10years'!$G645</f>
        <v>0.55911555148755254</v>
      </c>
      <c r="F645">
        <f>'10years'!F645-'10years'!$G645</f>
        <v>0.30295028870295027</v>
      </c>
      <c r="G645">
        <f>'10years'!H645-'10years'!$I645</f>
        <v>0.66086016843940332</v>
      </c>
    </row>
    <row r="646" spans="1:7" x14ac:dyDescent="0.35">
      <c r="A646" s="1">
        <v>32780</v>
      </c>
      <c r="B646">
        <f>'10years'!B646-'10years'!$G646</f>
        <v>0.64538886231153869</v>
      </c>
      <c r="C646">
        <f>'10years'!C646-'10years'!$G646</f>
        <v>0.26940960965247429</v>
      </c>
      <c r="D646">
        <f>'10years'!D646-'10years'!$G646</f>
        <v>0.85917727506996977</v>
      </c>
      <c r="E646">
        <f>'10years'!E646-'10years'!$G646</f>
        <v>0.52729083885159378</v>
      </c>
      <c r="F646">
        <f>'10years'!F646-'10years'!$G646</f>
        <v>0.27262640941854466</v>
      </c>
      <c r="G646">
        <f>'10years'!H646-'10years'!$I646</f>
        <v>0.62720986640900644</v>
      </c>
    </row>
    <row r="647" spans="1:7" x14ac:dyDescent="0.35">
      <c r="A647" s="1">
        <v>32812</v>
      </c>
      <c r="B647">
        <f>'10years'!B647-'10years'!$G647</f>
        <v>0.64227610284862124</v>
      </c>
      <c r="C647">
        <f>'10years'!C647-'10years'!$G647</f>
        <v>0.26602897817567528</v>
      </c>
      <c r="D647">
        <f>'10years'!D647-'10years'!$G647</f>
        <v>0.84811809303944607</v>
      </c>
      <c r="E647">
        <f>'10years'!E647-'10years'!$G647</f>
        <v>0.51547545959025887</v>
      </c>
      <c r="F647">
        <f>'10years'!F647-'10years'!$G647</f>
        <v>0.26857255308908035</v>
      </c>
      <c r="G647">
        <f>'10years'!H647-'10years'!$I647</f>
        <v>0.62417615257424064</v>
      </c>
    </row>
    <row r="648" spans="1:7" x14ac:dyDescent="0.35">
      <c r="A648" s="1">
        <v>32842</v>
      </c>
      <c r="B648">
        <f>'10years'!B648-'10years'!$G648</f>
        <v>0.68086657856815958</v>
      </c>
      <c r="C648">
        <f>'10years'!C648-'10years'!$G648</f>
        <v>0.30539863481433294</v>
      </c>
      <c r="D648">
        <f>'10years'!D648-'10years'!$G648</f>
        <v>0.89035170807358632</v>
      </c>
      <c r="E648">
        <f>'10years'!E648-'10years'!$G648</f>
        <v>0.55892246742976504</v>
      </c>
      <c r="F648">
        <f>'10years'!F648-'10years'!$G648</f>
        <v>0.30844940323748471</v>
      </c>
      <c r="G648">
        <f>'10years'!H648-'10years'!$I648</f>
        <v>0.66269479029850142</v>
      </c>
    </row>
    <row r="649" spans="1:7" x14ac:dyDescent="0.35">
      <c r="A649" s="1">
        <v>32871</v>
      </c>
      <c r="B649">
        <f>'10years'!B649-'10years'!$G649</f>
        <v>0.65686121697571043</v>
      </c>
      <c r="C649">
        <f>'10years'!C649-'10years'!$G649</f>
        <v>0.28571173252312843</v>
      </c>
      <c r="D649">
        <f>'10years'!D649-'10years'!$G649</f>
        <v>0.84906365887738922</v>
      </c>
      <c r="E649">
        <f>'10years'!E649-'10years'!$G649</f>
        <v>0.52047345383460009</v>
      </c>
      <c r="F649">
        <f>'10years'!F649-'10years'!$G649</f>
        <v>0.28944228966075514</v>
      </c>
      <c r="G649">
        <f>'10years'!H649-'10years'!$I649</f>
        <v>0.63900636946365719</v>
      </c>
    </row>
    <row r="650" spans="1:7" x14ac:dyDescent="0.35">
      <c r="A650" s="1">
        <v>32904</v>
      </c>
      <c r="B650">
        <f>'10years'!B650-'10years'!$G650</f>
        <v>0.6631464174045405</v>
      </c>
      <c r="C650">
        <f>'10years'!C650-'10years'!$G650</f>
        <v>0.29181008552349574</v>
      </c>
      <c r="D650">
        <f>'10years'!D650-'10years'!$G650</f>
        <v>0.83112151572729953</v>
      </c>
      <c r="E650">
        <f>'10years'!E650-'10years'!$G650</f>
        <v>0.50372986467112479</v>
      </c>
      <c r="F650">
        <f>'10years'!F650-'10years'!$G650</f>
        <v>0.29599445798120083</v>
      </c>
      <c r="G650">
        <f>'10years'!H650-'10years'!$I650</f>
        <v>0.64543035366779744</v>
      </c>
    </row>
    <row r="651" spans="1:7" x14ac:dyDescent="0.35">
      <c r="A651" s="1">
        <v>32932</v>
      </c>
      <c r="B651">
        <f>'10years'!B651-'10years'!$G651</f>
        <v>0.55570177379764818</v>
      </c>
      <c r="C651">
        <f>'10years'!C651-'10years'!$G651</f>
        <v>0.18507211636966936</v>
      </c>
      <c r="D651">
        <f>'10years'!D651-'10years'!$G651</f>
        <v>0.72049203644524429</v>
      </c>
      <c r="E651">
        <f>'10years'!E651-'10years'!$G651</f>
        <v>0.39409464886211154</v>
      </c>
      <c r="F651">
        <f>'10years'!F651-'10years'!$G651</f>
        <v>0.190825513184814</v>
      </c>
      <c r="G651">
        <f>'10years'!H651-'10years'!$I651</f>
        <v>0.53843504281725352</v>
      </c>
    </row>
    <row r="652" spans="1:7" x14ac:dyDescent="0.35">
      <c r="A652" s="1">
        <v>32962</v>
      </c>
      <c r="B652">
        <f>'10years'!B652-'10years'!$G652</f>
        <v>0.56733614919864839</v>
      </c>
      <c r="C652">
        <f>'10years'!C652-'10years'!$G652</f>
        <v>0.19991107465416769</v>
      </c>
      <c r="D652">
        <f>'10years'!D652-'10years'!$G652</f>
        <v>0.76205235837679575</v>
      </c>
      <c r="E652">
        <f>'10years'!E652-'10years'!$G652</f>
        <v>0.437793334699631</v>
      </c>
      <c r="F652">
        <f>'10years'!F652-'10years'!$G652</f>
        <v>0.20428363556817986</v>
      </c>
      <c r="G652">
        <f>'10years'!H652-'10years'!$I652</f>
        <v>0.55010955439820375</v>
      </c>
    </row>
    <row r="653" spans="1:7" x14ac:dyDescent="0.35">
      <c r="A653" s="1">
        <v>32993</v>
      </c>
      <c r="B653">
        <f>'10years'!B653-'10years'!$G653</f>
        <v>0.68032269505970366</v>
      </c>
      <c r="C653">
        <f>'10years'!C653-'10years'!$G653</f>
        <v>0.31308196843677316</v>
      </c>
      <c r="D653">
        <f>'10years'!D653-'10years'!$G653</f>
        <v>0.88721564206696812</v>
      </c>
      <c r="E653">
        <f>'10years'!E653-'10years'!$G653</f>
        <v>0.56464559505541811</v>
      </c>
      <c r="F653">
        <f>'10years'!F653-'10years'!$G653</f>
        <v>0.31896362528826505</v>
      </c>
      <c r="G653">
        <f>'10years'!H653-'10years'!$I653</f>
        <v>0.66322820598267995</v>
      </c>
    </row>
    <row r="654" spans="1:7" x14ac:dyDescent="0.35">
      <c r="A654" s="1">
        <v>33024</v>
      </c>
      <c r="B654">
        <f>'10years'!B654-'10years'!$G654</f>
        <v>0.6283917947615254</v>
      </c>
      <c r="C654">
        <f>'10years'!C654-'10years'!$G654</f>
        <v>0.26165776621311543</v>
      </c>
      <c r="D654">
        <f>'10years'!D654-'10years'!$G654</f>
        <v>0.81822748297137493</v>
      </c>
      <c r="E654">
        <f>'10years'!E654-'10years'!$G654</f>
        <v>0.49678096217950674</v>
      </c>
      <c r="F654">
        <f>'10years'!F654-'10years'!$G654</f>
        <v>0.26618745982906655</v>
      </c>
      <c r="G654">
        <f>'10years'!H654-'10years'!$I654</f>
        <v>0.61219055682537604</v>
      </c>
    </row>
    <row r="655" spans="1:7" x14ac:dyDescent="0.35">
      <c r="A655" s="1">
        <v>33053</v>
      </c>
      <c r="B655">
        <f>'10years'!B655-'10years'!$G655</f>
        <v>0.66227648401636507</v>
      </c>
      <c r="C655">
        <f>'10years'!C655-'10years'!$G655</f>
        <v>0.29870482970503076</v>
      </c>
      <c r="D655">
        <f>'10years'!D655-'10years'!$G655</f>
        <v>0.83079274443887829</v>
      </c>
      <c r="E655">
        <f>'10years'!E655-'10years'!$G655</f>
        <v>0.51148117090199374</v>
      </c>
      <c r="F655">
        <f>'10years'!F655-'10years'!$G655</f>
        <v>0.30297761950165292</v>
      </c>
      <c r="G655">
        <f>'10years'!H655-'10years'!$I655</f>
        <v>0.64602538704370271</v>
      </c>
    </row>
    <row r="656" spans="1:7" x14ac:dyDescent="0.35">
      <c r="A656" s="1">
        <v>33085</v>
      </c>
      <c r="B656">
        <f>'10years'!B656-'10years'!$G656</f>
        <v>0.63164861574350395</v>
      </c>
      <c r="C656">
        <f>'10years'!C656-'10years'!$G656</f>
        <v>0.26866157999199869</v>
      </c>
      <c r="D656">
        <f>'10years'!D656-'10years'!$G656</f>
        <v>0.79099575537618572</v>
      </c>
      <c r="E656">
        <f>'10years'!E656-'10years'!$G656</f>
        <v>0.47331202886758605</v>
      </c>
      <c r="F656">
        <f>'10years'!F656-'10years'!$G656</f>
        <v>0.27290219230707491</v>
      </c>
      <c r="G656">
        <f>'10years'!H656-'10years'!$I656</f>
        <v>0.61553874799045172</v>
      </c>
    </row>
    <row r="657" spans="1:7" x14ac:dyDescent="0.35">
      <c r="A657" s="1">
        <v>33116</v>
      </c>
      <c r="B657">
        <f>'10years'!B657-'10years'!$G657</f>
        <v>0.57088229418923286</v>
      </c>
      <c r="C657">
        <f>'10years'!C657-'10years'!$G657</f>
        <v>0.20839706811185255</v>
      </c>
      <c r="D657">
        <f>'10years'!D657-'10years'!$G657</f>
        <v>0.69451905274239123</v>
      </c>
      <c r="E657">
        <f>'10years'!E657-'10years'!$G657</f>
        <v>0.37773242986741518</v>
      </c>
      <c r="F657">
        <f>'10years'!F657-'10years'!$G657</f>
        <v>0.21418848024977577</v>
      </c>
      <c r="G657">
        <f>'10years'!H657-'10years'!$I657</f>
        <v>0.55504742077239211</v>
      </c>
    </row>
    <row r="658" spans="1:7" x14ac:dyDescent="0.35">
      <c r="A658" s="1">
        <v>33144</v>
      </c>
      <c r="B658">
        <f>'10years'!B658-'10years'!$G658</f>
        <v>0.47915453847541034</v>
      </c>
      <c r="C658">
        <f>'10years'!C658-'10years'!$G658</f>
        <v>0.11938037274151547</v>
      </c>
      <c r="D658">
        <f>'10years'!D658-'10years'!$G658</f>
        <v>0.57128961539164358</v>
      </c>
      <c r="E658">
        <f>'10years'!E658-'10years'!$G658</f>
        <v>0.25600749895474451</v>
      </c>
      <c r="F658">
        <f>'10years'!F658-'10years'!$G658</f>
        <v>0.12587048395527933</v>
      </c>
      <c r="G658">
        <f>'10years'!H658-'10years'!$I658</f>
        <v>0.463667579071525</v>
      </c>
    </row>
    <row r="659" spans="1:7" x14ac:dyDescent="0.35">
      <c r="A659" s="1">
        <v>33177</v>
      </c>
      <c r="B659">
        <f>'10years'!B659-'10years'!$G659</f>
        <v>0.41488763023952457</v>
      </c>
      <c r="C659">
        <f>'10years'!C659-'10years'!$G659</f>
        <v>5.5627947647763021E-2</v>
      </c>
      <c r="D659">
        <f>'10years'!D659-'10years'!$G659</f>
        <v>0.48426200658636698</v>
      </c>
      <c r="E659">
        <f>'10years'!E659-'10years'!$G659</f>
        <v>0.17039026349475761</v>
      </c>
      <c r="F659">
        <f>'10years'!F659-'10years'!$G659</f>
        <v>6.2128887743851058E-2</v>
      </c>
      <c r="G659">
        <f>'10years'!H659-'10years'!$I659</f>
        <v>0.39964342469893666</v>
      </c>
    </row>
    <row r="660" spans="1:7" x14ac:dyDescent="0.35">
      <c r="A660" s="1">
        <v>33207</v>
      </c>
      <c r="B660">
        <f>'10years'!B660-'10years'!$G660</f>
        <v>0.39907136549968492</v>
      </c>
      <c r="C660">
        <f>'10years'!C660-'10years'!$G660</f>
        <v>4.0288799017544008E-2</v>
      </c>
      <c r="D660">
        <f>'10years'!D660-'10years'!$G660</f>
        <v>0.447579268815538</v>
      </c>
      <c r="E660">
        <f>'10years'!E660-'10years'!$G660</f>
        <v>0.13455173313912461</v>
      </c>
      <c r="F660">
        <f>'10years'!F660-'10years'!$G660</f>
        <v>4.5234541181397248E-2</v>
      </c>
      <c r="G660">
        <f>'10years'!H660-'10years'!$I660</f>
        <v>0.38405284245344173</v>
      </c>
    </row>
    <row r="661" spans="1:7" x14ac:dyDescent="0.35">
      <c r="A661" s="1">
        <v>33238</v>
      </c>
      <c r="B661">
        <f>'10years'!B661-'10years'!$G661</f>
        <v>0.36704448817903224</v>
      </c>
      <c r="C661">
        <f>'10years'!C661-'10years'!$G661</f>
        <v>9.9311906872809885E-3</v>
      </c>
      <c r="D661">
        <f>'10years'!D661-'10years'!$G661</f>
        <v>0.47212421017128392</v>
      </c>
      <c r="E661">
        <f>'10years'!E661-'10years'!$G661</f>
        <v>0.15987530052563237</v>
      </c>
      <c r="F661">
        <f>'10years'!F661-'10years'!$G661</f>
        <v>1.5390078239204463E-2</v>
      </c>
      <c r="G661">
        <f>'10years'!H661-'10years'!$I661</f>
        <v>0.35231215789990333</v>
      </c>
    </row>
    <row r="662" spans="1:7" x14ac:dyDescent="0.35">
      <c r="A662" s="1">
        <v>33269</v>
      </c>
      <c r="B662">
        <f>'10years'!B662-'10years'!$G662</f>
        <v>0.42162705587970217</v>
      </c>
      <c r="C662">
        <f>'10years'!C662-'10years'!$G662</f>
        <v>6.3915187982132249E-2</v>
      </c>
      <c r="D662">
        <f>'10years'!D662-'10years'!$G662</f>
        <v>0.52126128953920903</v>
      </c>
      <c r="E662">
        <f>'10years'!E662-'10years'!$G662</f>
        <v>0.20973863500565093</v>
      </c>
      <c r="F662">
        <f>'10years'!F662-'10years'!$G662</f>
        <v>7.002743289842206E-2</v>
      </c>
      <c r="G662">
        <f>'10years'!H662-'10years'!$I662</f>
        <v>0.40748020683127884</v>
      </c>
    </row>
    <row r="663" spans="1:7" x14ac:dyDescent="0.35">
      <c r="A663" s="1">
        <v>33297</v>
      </c>
      <c r="B663">
        <f>'10years'!B663-'10years'!$G663</f>
        <v>0.50018940915866539</v>
      </c>
      <c r="C663">
        <f>'10years'!C663-'10years'!$G663</f>
        <v>0.14211894652137103</v>
      </c>
      <c r="D663">
        <f>'10years'!D663-'10years'!$G663</f>
        <v>0.60153751041592463</v>
      </c>
      <c r="E663">
        <f>'10years'!E663-'10years'!$G663</f>
        <v>0.29021667979503762</v>
      </c>
      <c r="F663">
        <f>'10years'!F663-'10years'!$G663</f>
        <v>0.14761167567850153</v>
      </c>
      <c r="G663">
        <f>'10years'!H663-'10years'!$I663</f>
        <v>0.48600716079356676</v>
      </c>
    </row>
    <row r="664" spans="1:7" x14ac:dyDescent="0.35">
      <c r="A664" s="1">
        <v>33325</v>
      </c>
      <c r="B664">
        <f>'10years'!B664-'10years'!$G664</f>
        <v>0.54539038592076494</v>
      </c>
      <c r="C664">
        <f>'10years'!C664-'10years'!$G664</f>
        <v>0.19030343244053238</v>
      </c>
      <c r="D664">
        <f>'10years'!D664-'10years'!$G664</f>
        <v>0.65174404791372886</v>
      </c>
      <c r="E664">
        <f>'10years'!E664-'10years'!$G664</f>
        <v>0.34216978864152381</v>
      </c>
      <c r="F664">
        <f>'10years'!F664-'10years'!$G664</f>
        <v>0.19590598096148781</v>
      </c>
      <c r="G664">
        <f>'10years'!H664-'10years'!$I664</f>
        <v>0.53133208160383028</v>
      </c>
    </row>
    <row r="665" spans="1:7" x14ac:dyDescent="0.35">
      <c r="A665" s="1">
        <v>33358</v>
      </c>
      <c r="B665">
        <f>'10years'!B665-'10years'!$G665</f>
        <v>0.53992968697993704</v>
      </c>
      <c r="C665">
        <f>'10years'!C665-'10years'!$G665</f>
        <v>0.18552300822789758</v>
      </c>
      <c r="D665">
        <f>'10years'!D665-'10years'!$G665</f>
        <v>0.6167724016978211</v>
      </c>
      <c r="E665">
        <f>'10years'!E665-'10years'!$G665</f>
        <v>0.30876198679339617</v>
      </c>
      <c r="F665">
        <f>'10years'!F665-'10years'!$G665</f>
        <v>0.19054281820978525</v>
      </c>
      <c r="G665">
        <f>'10years'!H665-'10years'!$I665</f>
        <v>0.52639427772933622</v>
      </c>
    </row>
    <row r="666" spans="1:7" x14ac:dyDescent="0.35">
      <c r="A666" s="1">
        <v>33389</v>
      </c>
      <c r="B666">
        <f>'10years'!B666-'10years'!$G666</f>
        <v>0.5633005973464813</v>
      </c>
      <c r="C666">
        <f>'10years'!C666-'10years'!$G666</f>
        <v>0.20861037897179435</v>
      </c>
      <c r="D666">
        <f>'10years'!D666-'10years'!$G666</f>
        <v>0.62470234582405548</v>
      </c>
      <c r="E666">
        <f>'10years'!E666-'10years'!$G666</f>
        <v>0.31701886377621746</v>
      </c>
      <c r="F666">
        <f>'10years'!F666-'10years'!$G666</f>
        <v>0.21502275302684803</v>
      </c>
      <c r="G666">
        <f>'10years'!H666-'10years'!$I666</f>
        <v>0.55003552387806742</v>
      </c>
    </row>
    <row r="667" spans="1:7" x14ac:dyDescent="0.35">
      <c r="A667" s="1">
        <v>33417</v>
      </c>
      <c r="B667">
        <f>'10years'!B667-'10years'!$G667</f>
        <v>0.59849628361603413</v>
      </c>
      <c r="C667">
        <f>'10years'!C667-'10years'!$G667</f>
        <v>0.24675734992622944</v>
      </c>
      <c r="D667">
        <f>'10years'!D667-'10years'!$G667</f>
        <v>0.66042872797347174</v>
      </c>
      <c r="E667">
        <f>'10years'!E667-'10years'!$G667</f>
        <v>0.35427702049879395</v>
      </c>
      <c r="F667">
        <f>'10years'!F667-'10years'!$G667</f>
        <v>0.25347327791664886</v>
      </c>
      <c r="G667">
        <f>'10years'!H667-'10years'!$I667</f>
        <v>0.58554715652214817</v>
      </c>
    </row>
    <row r="668" spans="1:7" x14ac:dyDescent="0.35">
      <c r="A668" s="1">
        <v>33450</v>
      </c>
      <c r="B668">
        <f>'10years'!B668-'10years'!$G668</f>
        <v>0.57324029850366842</v>
      </c>
      <c r="C668">
        <f>'10years'!C668-'10years'!$G668</f>
        <v>0.22220859629950529</v>
      </c>
      <c r="D668">
        <f>'10years'!D668-'10years'!$G668</f>
        <v>0.63169393556187736</v>
      </c>
      <c r="E668">
        <f>'10years'!E668-'10years'!$G668</f>
        <v>0.32724444489357585</v>
      </c>
      <c r="F668">
        <f>'10years'!F668-'10years'!$G668</f>
        <v>0.22791775111018997</v>
      </c>
      <c r="G668">
        <f>'10years'!H668-'10years'!$I668</f>
        <v>0.56122622324901172</v>
      </c>
    </row>
    <row r="669" spans="1:7" x14ac:dyDescent="0.35">
      <c r="A669" s="1">
        <v>33480</v>
      </c>
      <c r="B669">
        <f>'10years'!B669-'10years'!$G669</f>
        <v>0.61657327307004683</v>
      </c>
      <c r="C669">
        <f>'10years'!C669-'10years'!$G669</f>
        <v>0.26541784281494563</v>
      </c>
      <c r="D669">
        <f>'10years'!D669-'10years'!$G669</f>
        <v>0.68695430532891733</v>
      </c>
      <c r="E669">
        <f>'10years'!E669-'10years'!$G669</f>
        <v>0.38286431266777887</v>
      </c>
      <c r="F669">
        <f>'10years'!F669-'10years'!$G669</f>
        <v>0.27224200040329327</v>
      </c>
      <c r="G669">
        <f>'10years'!H669-'10years'!$I669</f>
        <v>0.60512426536434294</v>
      </c>
    </row>
    <row r="670" spans="1:7" x14ac:dyDescent="0.35">
      <c r="A670" s="1">
        <v>33511</v>
      </c>
      <c r="B670">
        <f>'10years'!B670-'10years'!$G670</f>
        <v>0.69079668462691979</v>
      </c>
      <c r="C670">
        <f>'10years'!C670-'10years'!$G670</f>
        <v>0.34339811944396503</v>
      </c>
      <c r="D670">
        <f>'10years'!D670-'10years'!$G670</f>
        <v>0.76650321995398896</v>
      </c>
      <c r="E670">
        <f>'10years'!E670-'10years'!$G670</f>
        <v>0.46429082017961809</v>
      </c>
      <c r="F670">
        <f>'10years'!F670-'10years'!$G670</f>
        <v>0.34860929363977222</v>
      </c>
      <c r="G670">
        <f>'10years'!H670-'10years'!$I670</f>
        <v>0.67987547203571808</v>
      </c>
    </row>
    <row r="671" spans="1:7" x14ac:dyDescent="0.35">
      <c r="A671" s="1">
        <v>33542</v>
      </c>
      <c r="B671">
        <f>'10years'!B671-'10years'!$G671</f>
        <v>0.7259730855581854</v>
      </c>
      <c r="C671">
        <f>'10years'!C671-'10years'!$G671</f>
        <v>0.37928195993809433</v>
      </c>
      <c r="D671">
        <f>'10years'!D671-'10years'!$G671</f>
        <v>0.80050055733663705</v>
      </c>
      <c r="E671">
        <f>'10years'!E671-'10years'!$G671</f>
        <v>0.50034728181837029</v>
      </c>
      <c r="F671">
        <f>'10years'!F671-'10years'!$G671</f>
        <v>0.38471876859472798</v>
      </c>
      <c r="G671">
        <f>'10years'!H671-'10years'!$I671</f>
        <v>0.71565487053306676</v>
      </c>
    </row>
    <row r="672" spans="1:7" x14ac:dyDescent="0.35">
      <c r="A672" s="1">
        <v>33571</v>
      </c>
      <c r="B672">
        <f>'10years'!B672-'10years'!$G672</f>
        <v>0.70034014323608829</v>
      </c>
      <c r="C672">
        <f>'10years'!C672-'10years'!$G672</f>
        <v>0.35520221728692003</v>
      </c>
      <c r="D672">
        <f>'10years'!D672-'10years'!$G672</f>
        <v>0.76727520290843443</v>
      </c>
      <c r="E672">
        <f>'10years'!E672-'10years'!$G672</f>
        <v>0.46860785690258022</v>
      </c>
      <c r="F672">
        <f>'10years'!F672-'10years'!$G672</f>
        <v>0.36024075428128177</v>
      </c>
      <c r="G672">
        <f>'10years'!H672-'10years'!$I672</f>
        <v>0.69070510104900507</v>
      </c>
    </row>
    <row r="673" spans="1:7" x14ac:dyDescent="0.35">
      <c r="A673" s="1">
        <v>33603</v>
      </c>
      <c r="B673">
        <f>'10years'!B673-'10years'!$G673</f>
        <v>0.63485710564143027</v>
      </c>
      <c r="C673">
        <f>'10years'!C673-'10years'!$G673</f>
        <v>0.29305627488688413</v>
      </c>
      <c r="D673">
        <f>'10years'!D673-'10years'!$G673</f>
        <v>0.69357899879213414</v>
      </c>
      <c r="E673">
        <f>'10years'!E673-'10years'!$G673</f>
        <v>0.39710086786834009</v>
      </c>
      <c r="F673">
        <f>'10years'!F673-'10years'!$G673</f>
        <v>0.29758569108958732</v>
      </c>
      <c r="G673">
        <f>'10years'!H673-'10years'!$I673</f>
        <v>0.62572691913305167</v>
      </c>
    </row>
    <row r="674" spans="1:7" x14ac:dyDescent="0.35">
      <c r="A674" s="1">
        <v>33634</v>
      </c>
      <c r="B674">
        <f>'10years'!B674-'10years'!$G674</f>
        <v>0.75330239746389194</v>
      </c>
      <c r="C674">
        <f>'10years'!C674-'10years'!$G674</f>
        <v>0.41146598812035973</v>
      </c>
      <c r="D674">
        <f>'10years'!D674-'10years'!$G674</f>
        <v>0.80544233898078521</v>
      </c>
      <c r="E674">
        <f>'10years'!E674-'10years'!$G674</f>
        <v>0.5100679128216179</v>
      </c>
      <c r="F674">
        <f>'10years'!F674-'10years'!$G674</f>
        <v>0.41637175217532296</v>
      </c>
      <c r="G674">
        <f>'10years'!H674-'10years'!$I674</f>
        <v>0.74379742082162359</v>
      </c>
    </row>
    <row r="675" spans="1:7" x14ac:dyDescent="0.35">
      <c r="A675" s="1">
        <v>33662</v>
      </c>
      <c r="B675">
        <f>'10years'!B675-'10years'!$G675</f>
        <v>0.75469465196230812</v>
      </c>
      <c r="C675">
        <f>'10years'!C675-'10years'!$G675</f>
        <v>0.41303557726698625</v>
      </c>
      <c r="D675">
        <f>'10years'!D675-'10years'!$G675</f>
        <v>0.84104056893684764</v>
      </c>
      <c r="E675">
        <f>'10years'!E675-'10years'!$G675</f>
        <v>0.54625193525871407</v>
      </c>
      <c r="F675">
        <f>'10years'!F675-'10years'!$G675</f>
        <v>0.41830387417604187</v>
      </c>
      <c r="G675">
        <f>'10years'!H675-'10years'!$I675</f>
        <v>0.7450824975320014</v>
      </c>
    </row>
    <row r="676" spans="1:7" x14ac:dyDescent="0.35">
      <c r="A676" s="1">
        <v>33694</v>
      </c>
      <c r="B676">
        <f>'10years'!B676-'10years'!$G676</f>
        <v>0.81464053568064565</v>
      </c>
      <c r="C676">
        <f>'10years'!C676-'10years'!$G676</f>
        <v>0.47809935813801929</v>
      </c>
      <c r="D676">
        <f>'10years'!D676-'10years'!$G676</f>
        <v>0.90331787305392308</v>
      </c>
      <c r="E676">
        <f>'10years'!E676-'10years'!$G676</f>
        <v>0.61132154849738041</v>
      </c>
      <c r="F676">
        <f>'10years'!F676-'10years'!$G676</f>
        <v>0.48433375311026805</v>
      </c>
      <c r="G676">
        <f>'10years'!H676-'10years'!$I676</f>
        <v>0.80476298597926821</v>
      </c>
    </row>
    <row r="677" spans="1:7" x14ac:dyDescent="0.35">
      <c r="A677" s="1">
        <v>33724</v>
      </c>
      <c r="B677">
        <f>'10years'!B677-'10years'!$G677</f>
        <v>0.80899268956740067</v>
      </c>
      <c r="C677">
        <f>'10years'!C677-'10years'!$G677</f>
        <v>0.47352861959344428</v>
      </c>
      <c r="D677">
        <f>'10years'!D677-'10years'!$G677</f>
        <v>0.89395184525948879</v>
      </c>
      <c r="E677">
        <f>'10years'!E677-'10years'!$G677</f>
        <v>0.60424958004574614</v>
      </c>
      <c r="F677">
        <f>'10years'!F677-'10years'!$G677</f>
        <v>0.47954580153444248</v>
      </c>
      <c r="G677">
        <f>'10years'!H677-'10years'!$I677</f>
        <v>0.79924136212163877</v>
      </c>
    </row>
    <row r="678" spans="1:7" x14ac:dyDescent="0.35">
      <c r="A678" s="1">
        <v>33753</v>
      </c>
      <c r="B678">
        <f>'10years'!B678-'10years'!$G678</f>
        <v>0.80477929978203733</v>
      </c>
      <c r="C678">
        <f>'10years'!C678-'10years'!$G678</f>
        <v>0.46935962037044021</v>
      </c>
      <c r="D678">
        <f>'10years'!D678-'10years'!$G678</f>
        <v>0.87488301615471986</v>
      </c>
      <c r="E678">
        <f>'10years'!E678-'10years'!$G678</f>
        <v>0.5858775129296383</v>
      </c>
      <c r="F678">
        <f>'10years'!F678-'10years'!$G678</f>
        <v>0.47601911185512424</v>
      </c>
      <c r="G678">
        <f>'10years'!H678-'10years'!$I678</f>
        <v>0.79544140331535562</v>
      </c>
    </row>
    <row r="679" spans="1:7" x14ac:dyDescent="0.35">
      <c r="A679" s="1">
        <v>33785</v>
      </c>
      <c r="B679">
        <f>'10years'!B679-'10years'!$G679</f>
        <v>0.84046383401654134</v>
      </c>
      <c r="C679">
        <f>'10years'!C679-'10years'!$G679</f>
        <v>0.51080019222990414</v>
      </c>
      <c r="D679">
        <f>'10years'!D679-'10years'!$G679</f>
        <v>0.92082979796190267</v>
      </c>
      <c r="E679">
        <f>'10years'!E679-'10years'!$G679</f>
        <v>0.63521797242746514</v>
      </c>
      <c r="F679">
        <f>'10years'!F679-'10years'!$G679</f>
        <v>0.51676904106514021</v>
      </c>
      <c r="G679">
        <f>'10years'!H679-'10years'!$I679</f>
        <v>0.8312699312560623</v>
      </c>
    </row>
    <row r="680" spans="1:7" x14ac:dyDescent="0.35">
      <c r="A680" s="1">
        <v>33816</v>
      </c>
      <c r="B680">
        <f>'10years'!B680-'10years'!$G680</f>
        <v>0.8463107716700331</v>
      </c>
      <c r="C680">
        <f>'10years'!C680-'10years'!$G680</f>
        <v>0.51719607581555094</v>
      </c>
      <c r="D680">
        <f>'10years'!D680-'10years'!$G680</f>
        <v>0.91468992552179396</v>
      </c>
      <c r="E680">
        <f>'10years'!E680-'10years'!$G680</f>
        <v>0.63075500045282018</v>
      </c>
      <c r="F680">
        <f>'10years'!F680-'10years'!$G680</f>
        <v>0.52448977937224983</v>
      </c>
      <c r="G680">
        <f>'10years'!H680-'10years'!$I680</f>
        <v>0.83728431465666109</v>
      </c>
    </row>
    <row r="681" spans="1:7" x14ac:dyDescent="0.35">
      <c r="A681" s="1">
        <v>33847</v>
      </c>
      <c r="B681">
        <f>'10years'!B681-'10years'!$G681</f>
        <v>0.90334472212236805</v>
      </c>
      <c r="C681">
        <f>'10years'!C681-'10years'!$G681</f>
        <v>0.57448250845642002</v>
      </c>
      <c r="D681">
        <f>'10years'!D681-'10years'!$G681</f>
        <v>0.96725554842331829</v>
      </c>
      <c r="E681">
        <f>'10years'!E681-'10years'!$G681</f>
        <v>0.68403875718940932</v>
      </c>
      <c r="F681">
        <f>'10years'!F681-'10years'!$G681</f>
        <v>0.58251071296295831</v>
      </c>
      <c r="G681">
        <f>'10years'!H681-'10years'!$I681</f>
        <v>0.8944461599615261</v>
      </c>
    </row>
    <row r="682" spans="1:7" x14ac:dyDescent="0.35">
      <c r="A682" s="1">
        <v>33877</v>
      </c>
      <c r="B682">
        <f>'10years'!B682-'10years'!$G682</f>
        <v>0.78876619652029256</v>
      </c>
      <c r="C682">
        <f>'10years'!C682-'10years'!$G682</f>
        <v>0.46526005025465289</v>
      </c>
      <c r="D682">
        <f>'10years'!D682-'10years'!$G682</f>
        <v>0.84525732621299654</v>
      </c>
      <c r="E682">
        <f>'10years'!E682-'10years'!$G682</f>
        <v>0.56529871904947471</v>
      </c>
      <c r="F682">
        <f>'10years'!F682-'10years'!$G682</f>
        <v>0.47397096699942254</v>
      </c>
      <c r="G682">
        <f>'10years'!H682-'10years'!$I682</f>
        <v>0.78001558122515746</v>
      </c>
    </row>
    <row r="683" spans="1:7" x14ac:dyDescent="0.35">
      <c r="A683" s="1">
        <v>33907</v>
      </c>
      <c r="B683">
        <f>'10years'!B683-'10years'!$G683</f>
        <v>0.79183290911933835</v>
      </c>
      <c r="C683">
        <f>'10years'!C683-'10years'!$G683</f>
        <v>0.46862274974818163</v>
      </c>
      <c r="D683">
        <f>'10years'!D683-'10years'!$G683</f>
        <v>0.8498744165197909</v>
      </c>
      <c r="E683">
        <f>'10years'!E683-'10years'!$G683</f>
        <v>0.57138024073907179</v>
      </c>
      <c r="F683">
        <f>'10years'!F683-'10years'!$G683</f>
        <v>0.47757837510192758</v>
      </c>
      <c r="G683">
        <f>'10years'!H683-'10years'!$I683</f>
        <v>0.78278559681290716</v>
      </c>
    </row>
    <row r="684" spans="1:7" x14ac:dyDescent="0.35">
      <c r="A684" s="1">
        <v>33938</v>
      </c>
      <c r="B684">
        <f>'10years'!B684-'10years'!$G684</f>
        <v>0.70817425027958092</v>
      </c>
      <c r="C684">
        <f>'10years'!C684-'10years'!$G684</f>
        <v>0.38610517269697131</v>
      </c>
      <c r="D684">
        <f>'10years'!D684-'10years'!$G684</f>
        <v>0.75669493652530417</v>
      </c>
      <c r="E684">
        <f>'10years'!E684-'10years'!$G684</f>
        <v>0.47946565705954147</v>
      </c>
      <c r="F684">
        <f>'10years'!F684-'10years'!$G684</f>
        <v>0.3945811005313884</v>
      </c>
      <c r="G684">
        <f>'10years'!H684-'10years'!$I684</f>
        <v>0.69904428107925298</v>
      </c>
    </row>
    <row r="685" spans="1:7" x14ac:dyDescent="0.35">
      <c r="A685" s="1">
        <v>33969</v>
      </c>
      <c r="B685">
        <f>'10years'!B685-'10years'!$G685</f>
        <v>0.70212629746680877</v>
      </c>
      <c r="C685">
        <f>'10years'!C685-'10years'!$G685</f>
        <v>0.38367345439150791</v>
      </c>
      <c r="D685">
        <f>'10years'!D685-'10years'!$G685</f>
        <v>0.74764955475524664</v>
      </c>
      <c r="E685">
        <f>'10years'!E685-'10years'!$G685</f>
        <v>0.47204764670604105</v>
      </c>
      <c r="F685">
        <f>'10years'!F685-'10years'!$G685</f>
        <v>0.39346753913157473</v>
      </c>
      <c r="G685">
        <f>'10years'!H685-'10years'!$I685</f>
        <v>0.69267274752535801</v>
      </c>
    </row>
    <row r="686" spans="1:7" x14ac:dyDescent="0.35">
      <c r="A686" s="1">
        <v>33998</v>
      </c>
      <c r="B686">
        <f>'10years'!B686-'10years'!$G686</f>
        <v>0.70270244953879857</v>
      </c>
      <c r="C686">
        <f>'10years'!C686-'10years'!$G686</f>
        <v>0.38423257272114775</v>
      </c>
      <c r="D686">
        <f>'10years'!D686-'10years'!$G686</f>
        <v>0.75694688230975427</v>
      </c>
      <c r="E686">
        <f>'10years'!E686-'10years'!$G686</f>
        <v>0.48234910373442919</v>
      </c>
      <c r="F686">
        <f>'10years'!F686-'10years'!$G686</f>
        <v>0.39272042243720229</v>
      </c>
      <c r="G686">
        <f>'10years'!H686-'10years'!$I686</f>
        <v>0.69302659087673302</v>
      </c>
    </row>
    <row r="687" spans="1:7" x14ac:dyDescent="0.35">
      <c r="A687" s="1">
        <v>34026</v>
      </c>
      <c r="B687">
        <f>'10years'!B687-'10years'!$G687</f>
        <v>0.68366953762843208</v>
      </c>
      <c r="C687">
        <f>'10years'!C687-'10years'!$G687</f>
        <v>0.36577797710347992</v>
      </c>
      <c r="D687">
        <f>'10years'!D687-'10years'!$G687</f>
        <v>0.75075445242240102</v>
      </c>
      <c r="E687">
        <f>'10years'!E687-'10years'!$G687</f>
        <v>0.47708783571217905</v>
      </c>
      <c r="F687">
        <f>'10years'!F687-'10years'!$G687</f>
        <v>0.37531701378904847</v>
      </c>
      <c r="G687">
        <f>'10years'!H687-'10years'!$I687</f>
        <v>0.6737739177268498</v>
      </c>
    </row>
    <row r="688" spans="1:7" x14ac:dyDescent="0.35">
      <c r="A688" s="1">
        <v>34059</v>
      </c>
      <c r="B688">
        <f>'10years'!B688-'10years'!$G688</f>
        <v>0.6772285675998202</v>
      </c>
      <c r="C688">
        <f>'10years'!C688-'10years'!$G688</f>
        <v>0.36265710786271943</v>
      </c>
      <c r="D688">
        <f>'10years'!D688-'10years'!$G688</f>
        <v>0.72964199390206486</v>
      </c>
      <c r="E688">
        <f>'10years'!E688-'10years'!$G688</f>
        <v>0.45757992275614723</v>
      </c>
      <c r="F688">
        <f>'10years'!F688-'10years'!$G688</f>
        <v>0.3719214527169179</v>
      </c>
      <c r="G688">
        <f>'10years'!H688-'10years'!$I688</f>
        <v>0.66702766477491071</v>
      </c>
    </row>
    <row r="689" spans="1:7" x14ac:dyDescent="0.35">
      <c r="A689" s="1">
        <v>34089</v>
      </c>
      <c r="B689">
        <f>'10years'!B689-'10years'!$G689</f>
        <v>0.66894177173687219</v>
      </c>
      <c r="C689">
        <f>'10years'!C689-'10years'!$G689</f>
        <v>0.35469194158284911</v>
      </c>
      <c r="D689">
        <f>'10years'!D689-'10years'!$G689</f>
        <v>0.71359477726045939</v>
      </c>
      <c r="E689">
        <f>'10years'!E689-'10years'!$G689</f>
        <v>0.44236854039879359</v>
      </c>
      <c r="F689">
        <f>'10years'!F689-'10years'!$G689</f>
        <v>0.36353564428955587</v>
      </c>
      <c r="G689">
        <f>'10years'!H689-'10years'!$I689</f>
        <v>0.65851935491154645</v>
      </c>
    </row>
    <row r="690" spans="1:7" x14ac:dyDescent="0.35">
      <c r="A690" s="1">
        <v>34117</v>
      </c>
      <c r="B690">
        <f>'10years'!B690-'10years'!$G690</f>
        <v>0.59060261197592046</v>
      </c>
      <c r="C690">
        <f>'10years'!C690-'10years'!$G690</f>
        <v>0.27635348220176259</v>
      </c>
      <c r="D690">
        <f>'10years'!D690-'10years'!$G690</f>
        <v>0.64293618077952908</v>
      </c>
      <c r="E690">
        <f>'10years'!E690-'10years'!$G690</f>
        <v>0.37209025903519533</v>
      </c>
      <c r="F690">
        <f>'10years'!F690-'10years'!$G690</f>
        <v>0.28529423857011005</v>
      </c>
      <c r="G690">
        <f>'10years'!H690-'10years'!$I690</f>
        <v>0.58023840514909164</v>
      </c>
    </row>
    <row r="691" spans="1:7" x14ac:dyDescent="0.35">
      <c r="A691" s="1">
        <v>34150</v>
      </c>
      <c r="B691">
        <f>'10years'!B691-'10years'!$G691</f>
        <v>0.62142956148330697</v>
      </c>
      <c r="C691">
        <f>'10years'!C691-'10years'!$G691</f>
        <v>0.30949173981962996</v>
      </c>
      <c r="D691">
        <f>'10years'!D691-'10years'!$G691</f>
        <v>0.65189770239078726</v>
      </c>
      <c r="E691">
        <f>'10years'!E691-'10years'!$G691</f>
        <v>0.38248717574636704</v>
      </c>
      <c r="F691">
        <f>'10years'!F691-'10years'!$G691</f>
        <v>0.31878244185444427</v>
      </c>
      <c r="G691">
        <f>'10years'!H691-'10years'!$I691</f>
        <v>0.61072349420363548</v>
      </c>
    </row>
    <row r="692" spans="1:7" x14ac:dyDescent="0.35">
      <c r="A692" s="1">
        <v>34180</v>
      </c>
      <c r="B692">
        <f>'10years'!B692-'10years'!$G692</f>
        <v>0.59744777959837703</v>
      </c>
      <c r="C692">
        <f>'10years'!C692-'10years'!$G692</f>
        <v>0.28624593701124934</v>
      </c>
      <c r="D692">
        <f>'10years'!D692-'10years'!$G692</f>
        <v>0.63226675789910947</v>
      </c>
      <c r="E692">
        <f>'10years'!E692-'10years'!$G692</f>
        <v>0.36345902666811836</v>
      </c>
      <c r="F692">
        <f>'10years'!F692-'10years'!$G692</f>
        <v>0.29402636343573563</v>
      </c>
      <c r="G692">
        <f>'10years'!H692-'10years'!$I692</f>
        <v>0.58662629476735617</v>
      </c>
    </row>
    <row r="693" spans="1:7" x14ac:dyDescent="0.35">
      <c r="A693" s="1">
        <v>34212</v>
      </c>
      <c r="B693">
        <f>'10years'!B693-'10years'!$G693</f>
        <v>0.62463180853706302</v>
      </c>
      <c r="C693">
        <f>'10years'!C693-'10years'!$G693</f>
        <v>0.31318782951954027</v>
      </c>
      <c r="D693">
        <f>'10years'!D693-'10years'!$G693</f>
        <v>0.65862616287401554</v>
      </c>
      <c r="E693">
        <f>'10years'!E693-'10years'!$G693</f>
        <v>0.39005356015655046</v>
      </c>
      <c r="F693">
        <f>'10years'!F693-'10years'!$G693</f>
        <v>0.32206394418491957</v>
      </c>
      <c r="G693">
        <f>'10years'!H693-'10years'!$I693</f>
        <v>0.61359286566771143</v>
      </c>
    </row>
    <row r="694" spans="1:7" x14ac:dyDescent="0.35">
      <c r="A694" s="1">
        <v>34242</v>
      </c>
      <c r="B694">
        <f>'10years'!B694-'10years'!$G694</f>
        <v>0.6466881795016528</v>
      </c>
      <c r="C694">
        <f>'10years'!C694-'10years'!$G694</f>
        <v>0.33766566510920981</v>
      </c>
      <c r="D694">
        <f>'10years'!D694-'10years'!$G694</f>
        <v>0.69226176329394384</v>
      </c>
      <c r="E694">
        <f>'10years'!E694-'10years'!$G694</f>
        <v>0.42502222899677378</v>
      </c>
      <c r="F694">
        <f>'10years'!F694-'10years'!$G694</f>
        <v>0.34540305581317554</v>
      </c>
      <c r="G694">
        <f>'10years'!H694-'10years'!$I694</f>
        <v>0.63549110193983349</v>
      </c>
    </row>
    <row r="695" spans="1:7" x14ac:dyDescent="0.35">
      <c r="A695" s="1">
        <v>34271</v>
      </c>
      <c r="B695">
        <f>'10years'!B695-'10years'!$G695</f>
        <v>0.63269826825422149</v>
      </c>
      <c r="C695">
        <f>'10years'!C695-'10years'!$G695</f>
        <v>0.32452714335728272</v>
      </c>
      <c r="D695">
        <f>'10years'!D695-'10years'!$G695</f>
        <v>0.66956560668435694</v>
      </c>
      <c r="E695">
        <f>'10years'!E695-'10years'!$G695</f>
        <v>0.40319545478341601</v>
      </c>
      <c r="F695">
        <f>'10years'!F695-'10years'!$G695</f>
        <v>0.33270482002669022</v>
      </c>
      <c r="G695">
        <f>'10years'!H695-'10years'!$I695</f>
        <v>0.62148672897044399</v>
      </c>
    </row>
    <row r="696" spans="1:7" x14ac:dyDescent="0.35">
      <c r="A696" s="1">
        <v>34303</v>
      </c>
      <c r="B696">
        <f>'10years'!B696-'10years'!$G696</f>
        <v>0.66504894810189641</v>
      </c>
      <c r="C696">
        <f>'10years'!C696-'10years'!$G696</f>
        <v>0.35707899100590823</v>
      </c>
      <c r="D696">
        <f>'10years'!D696-'10years'!$G696</f>
        <v>0.7066396006056721</v>
      </c>
      <c r="E696">
        <f>'10years'!E696-'10years'!$G696</f>
        <v>0.44091711975243553</v>
      </c>
      <c r="F696">
        <f>'10years'!F696-'10years'!$G696</f>
        <v>0.36633018122445926</v>
      </c>
      <c r="G696">
        <f>'10years'!H696-'10years'!$I696</f>
        <v>0.65361100539111927</v>
      </c>
    </row>
    <row r="697" spans="1:7" x14ac:dyDescent="0.35">
      <c r="A697" s="1">
        <v>34334</v>
      </c>
      <c r="B697">
        <f>'10years'!B697-'10years'!$G697</f>
        <v>0.64172627572425678</v>
      </c>
      <c r="C697">
        <f>'10years'!C697-'10years'!$G697</f>
        <v>0.33626542130669601</v>
      </c>
      <c r="D697">
        <f>'10years'!D697-'10years'!$G697</f>
        <v>0.66438576004397709</v>
      </c>
      <c r="E697">
        <f>'10years'!E697-'10years'!$G697</f>
        <v>0.39986644848700048</v>
      </c>
      <c r="F697">
        <f>'10years'!F697-'10years'!$G697</f>
        <v>0.34475845128898874</v>
      </c>
      <c r="G697">
        <f>'10years'!H697-'10years'!$I697</f>
        <v>0.63024020008590753</v>
      </c>
    </row>
    <row r="698" spans="1:7" x14ac:dyDescent="0.35">
      <c r="A698" s="1">
        <v>34365</v>
      </c>
      <c r="B698">
        <f>'10years'!B698-'10years'!$G698</f>
        <v>0.66146490098323696</v>
      </c>
      <c r="C698">
        <f>'10years'!C698-'10years'!$G698</f>
        <v>0.35676914229513645</v>
      </c>
      <c r="D698">
        <f>'10years'!D698-'10years'!$G698</f>
        <v>0.69545031719039763</v>
      </c>
      <c r="E698">
        <f>'10years'!E698-'10years'!$G698</f>
        <v>0.43177629160137521</v>
      </c>
      <c r="F698">
        <f>'10years'!F698-'10years'!$G698</f>
        <v>0.36494040388742999</v>
      </c>
      <c r="G698">
        <f>'10years'!H698-'10years'!$I698</f>
        <v>0.64980729694761319</v>
      </c>
    </row>
    <row r="699" spans="1:7" x14ac:dyDescent="0.35">
      <c r="A699" s="1">
        <v>34393</v>
      </c>
      <c r="B699">
        <f>'10years'!B699-'10years'!$G699</f>
        <v>0.69676978936567857</v>
      </c>
      <c r="C699">
        <f>'10years'!C699-'10years'!$G699</f>
        <v>0.39226574528414582</v>
      </c>
      <c r="D699">
        <f>'10years'!D699-'10years'!$G699</f>
        <v>0.74221207961058</v>
      </c>
      <c r="E699">
        <f>'10years'!E699-'10years'!$G699</f>
        <v>0.47889213116094376</v>
      </c>
      <c r="F699">
        <f>'10years'!F699-'10years'!$G699</f>
        <v>0.40390016638968995</v>
      </c>
      <c r="G699">
        <f>'10years'!H699-'10years'!$I699</f>
        <v>0.68500841440370941</v>
      </c>
    </row>
    <row r="700" spans="1:7" x14ac:dyDescent="0.35">
      <c r="A700" s="1">
        <v>34424</v>
      </c>
      <c r="B700">
        <f>'10years'!B700-'10years'!$G700</f>
        <v>0.707068805369095</v>
      </c>
      <c r="C700">
        <f>'10years'!C700-'10years'!$G700</f>
        <v>0.40476033661459754</v>
      </c>
      <c r="D700">
        <f>'10years'!D700-'10years'!$G700</f>
        <v>0.77272784679020168</v>
      </c>
      <c r="E700">
        <f>'10years'!E700-'10years'!$G700</f>
        <v>0.51077755997400898</v>
      </c>
      <c r="F700">
        <f>'10years'!F700-'10years'!$G700</f>
        <v>0.41589619369214637</v>
      </c>
      <c r="G700">
        <f>'10years'!H700-'10years'!$I700</f>
        <v>0.69513845287074716</v>
      </c>
    </row>
    <row r="701" spans="1:7" x14ac:dyDescent="0.35">
      <c r="A701" s="1">
        <v>34453</v>
      </c>
      <c r="B701">
        <f>'10years'!B701-'10years'!$G701</f>
        <v>0.65900150341235908</v>
      </c>
      <c r="C701">
        <f>'10years'!C701-'10years'!$G701</f>
        <v>0.35781315857858975</v>
      </c>
      <c r="D701">
        <f>'10years'!D701-'10years'!$G701</f>
        <v>0.72007056166363204</v>
      </c>
      <c r="E701">
        <f>'10years'!E701-'10years'!$G701</f>
        <v>0.45926771178794668</v>
      </c>
      <c r="F701">
        <f>'10years'!F701-'10years'!$G701</f>
        <v>0.36910666921705571</v>
      </c>
      <c r="G701">
        <f>'10years'!H701-'10years'!$I701</f>
        <v>0.64719874867633642</v>
      </c>
    </row>
    <row r="702" spans="1:7" x14ac:dyDescent="0.35">
      <c r="A702" s="1">
        <v>34485</v>
      </c>
      <c r="B702">
        <f>'10years'!B702-'10years'!$G702</f>
        <v>0.66844110826676406</v>
      </c>
      <c r="C702">
        <f>'10years'!C702-'10years'!$G702</f>
        <v>0.36742166854433655</v>
      </c>
      <c r="D702">
        <f>'10years'!D702-'10years'!$G702</f>
        <v>0.73582950825213267</v>
      </c>
      <c r="E702">
        <f>'10years'!E702-'10years'!$G702</f>
        <v>0.47560532919808551</v>
      </c>
      <c r="F702">
        <f>'10years'!F702-'10years'!$G702</f>
        <v>0.37856248361043843</v>
      </c>
      <c r="G702">
        <f>'10years'!H702-'10years'!$I702</f>
        <v>0.65672483953114202</v>
      </c>
    </row>
    <row r="703" spans="1:7" x14ac:dyDescent="0.35">
      <c r="A703" s="1">
        <v>34515</v>
      </c>
      <c r="B703">
        <f>'10years'!B703-'10years'!$G703</f>
        <v>0.73191521748443367</v>
      </c>
      <c r="C703">
        <f>'10years'!C703-'10years'!$G703</f>
        <v>0.43332456700799571</v>
      </c>
      <c r="D703">
        <f>'10years'!D703-'10years'!$G703</f>
        <v>0.80088928800228021</v>
      </c>
      <c r="E703">
        <f>'10years'!E703-'10years'!$G703</f>
        <v>0.54184936583862942</v>
      </c>
      <c r="F703">
        <f>'10years'!F703-'10years'!$G703</f>
        <v>0.44418782810300228</v>
      </c>
      <c r="G703">
        <f>'10years'!H703-'10years'!$I703</f>
        <v>0.72012805594514617</v>
      </c>
    </row>
    <row r="704" spans="1:7" x14ac:dyDescent="0.35">
      <c r="A704" s="1">
        <v>34544</v>
      </c>
      <c r="B704">
        <f>'10years'!B704-'10years'!$G704</f>
        <v>0.6952243456301348</v>
      </c>
      <c r="C704">
        <f>'10years'!C704-'10years'!$G704</f>
        <v>0.39820527212743251</v>
      </c>
      <c r="D704">
        <f>'10years'!D704-'10years'!$G704</f>
        <v>0.75953017745422002</v>
      </c>
      <c r="E704">
        <f>'10years'!E704-'10years'!$G704</f>
        <v>0.50204447902310534</v>
      </c>
      <c r="F704">
        <f>'10years'!F704-'10years'!$G704</f>
        <v>0.41034846100240152</v>
      </c>
      <c r="G704">
        <f>'10years'!H704-'10years'!$I704</f>
        <v>0.68362774665440273</v>
      </c>
    </row>
    <row r="705" spans="1:7" x14ac:dyDescent="0.35">
      <c r="A705" s="1">
        <v>34577</v>
      </c>
      <c r="B705">
        <f>'10years'!B705-'10years'!$G705</f>
        <v>0.73839638744375136</v>
      </c>
      <c r="C705">
        <f>'10years'!C705-'10years'!$G705</f>
        <v>0.44177831722196337</v>
      </c>
      <c r="D705">
        <f>'10years'!D705-'10years'!$G705</f>
        <v>0.81709792225375089</v>
      </c>
      <c r="E705">
        <f>'10years'!E705-'10years'!$G705</f>
        <v>0.56023454022984231</v>
      </c>
      <c r="F705">
        <f>'10years'!F705-'10years'!$G705</f>
        <v>0.4546887530002095</v>
      </c>
      <c r="G705">
        <f>'10years'!H705-'10years'!$I705</f>
        <v>0.72683442979479818</v>
      </c>
    </row>
    <row r="706" spans="1:7" x14ac:dyDescent="0.35">
      <c r="A706" s="1">
        <v>34607</v>
      </c>
      <c r="B706">
        <f>'10years'!B706-'10years'!$G706</f>
        <v>0.68626386073637424</v>
      </c>
      <c r="C706">
        <f>'10years'!C706-'10years'!$G706</f>
        <v>0.39216610254277318</v>
      </c>
      <c r="D706">
        <f>'10years'!D706-'10years'!$G706</f>
        <v>0.76178743831091755</v>
      </c>
      <c r="E706">
        <f>'10years'!E706-'10years'!$G706</f>
        <v>0.50631697527360697</v>
      </c>
      <c r="F706">
        <f>'10years'!F706-'10years'!$G706</f>
        <v>0.40434859149793234</v>
      </c>
      <c r="G706">
        <f>'10years'!H706-'10years'!$I706</f>
        <v>0.67511922084813047</v>
      </c>
    </row>
    <row r="707" spans="1:7" x14ac:dyDescent="0.35">
      <c r="A707" s="1">
        <v>34638</v>
      </c>
      <c r="B707">
        <f>'10years'!B707-'10years'!$G707</f>
        <v>0.66964172547821366</v>
      </c>
      <c r="C707">
        <f>'10years'!C707-'10years'!$G707</f>
        <v>0.37633960424257462</v>
      </c>
      <c r="D707">
        <f>'10years'!D707-'10years'!$G707</f>
        <v>0.74037568305187906</v>
      </c>
      <c r="E707">
        <f>'10years'!E707-'10years'!$G707</f>
        <v>0.48587834110212369</v>
      </c>
      <c r="F707">
        <f>'10years'!F707-'10years'!$G707</f>
        <v>0.38810841913057703</v>
      </c>
      <c r="G707">
        <f>'10years'!H707-'10years'!$I707</f>
        <v>0.65887925098775391</v>
      </c>
    </row>
    <row r="708" spans="1:7" x14ac:dyDescent="0.35">
      <c r="A708" s="1">
        <v>34668</v>
      </c>
      <c r="B708">
        <f>'10years'!B708-'10years'!$G708</f>
        <v>0.69023050441506473</v>
      </c>
      <c r="C708">
        <f>'10years'!C708-'10years'!$G708</f>
        <v>0.39819659212823821</v>
      </c>
      <c r="D708">
        <f>'10years'!D708-'10years'!$G708</f>
        <v>0.75446390486962556</v>
      </c>
      <c r="E708">
        <f>'10years'!E708-'10years'!$G708</f>
        <v>0.50063334661994641</v>
      </c>
      <c r="F708">
        <f>'10years'!F708-'10years'!$G708</f>
        <v>0.4100273352485162</v>
      </c>
      <c r="G708">
        <f>'10years'!H708-'10years'!$I708</f>
        <v>0.68004252771189933</v>
      </c>
    </row>
    <row r="709" spans="1:7" x14ac:dyDescent="0.35">
      <c r="A709" s="1">
        <v>34698</v>
      </c>
      <c r="B709">
        <f>'10years'!B709-'10years'!$G709</f>
        <v>0.67029173482764537</v>
      </c>
      <c r="C709">
        <f>'10years'!C709-'10years'!$G709</f>
        <v>0.37989779571161608</v>
      </c>
      <c r="D709">
        <f>'10years'!D709-'10years'!$G709</f>
        <v>0.72242386720913365</v>
      </c>
      <c r="E709">
        <f>'10years'!E709-'10years'!$G709</f>
        <v>0.46964696423315178</v>
      </c>
      <c r="F709">
        <f>'10years'!F709-'10years'!$G709</f>
        <v>0.3917925408112104</v>
      </c>
      <c r="G709">
        <f>'10years'!H709-'10years'!$I709</f>
        <v>0.66030995098178558</v>
      </c>
    </row>
    <row r="710" spans="1:7" x14ac:dyDescent="0.35">
      <c r="A710" s="1">
        <v>34730</v>
      </c>
      <c r="B710">
        <f>'10years'!B710-'10years'!$G710</f>
        <v>0.66311876259613745</v>
      </c>
      <c r="C710">
        <f>'10years'!C710-'10years'!$G710</f>
        <v>0.3736955214958535</v>
      </c>
      <c r="D710">
        <f>'10years'!D710-'10years'!$G710</f>
        <v>0.71725542908352957</v>
      </c>
      <c r="E710">
        <f>'10years'!E710-'10years'!$G710</f>
        <v>0.46544650445406988</v>
      </c>
      <c r="F710">
        <f>'10years'!F710-'10years'!$G710</f>
        <v>0.38505314396614065</v>
      </c>
      <c r="G710">
        <f>'10years'!H710-'10years'!$I710</f>
        <v>0.65323916588333475</v>
      </c>
    </row>
    <row r="711" spans="1:7" x14ac:dyDescent="0.35">
      <c r="A711" s="1">
        <v>34758</v>
      </c>
      <c r="B711">
        <f>'10years'!B711-'10years'!$G711</f>
        <v>0.62417544871649855</v>
      </c>
      <c r="C711">
        <f>'10years'!C711-'10years'!$G711</f>
        <v>0.33517917915778184</v>
      </c>
      <c r="D711">
        <f>'10years'!D711-'10years'!$G711</f>
        <v>0.66044443605282832</v>
      </c>
      <c r="E711">
        <f>'10years'!E711-'10years'!$G711</f>
        <v>0.40906531035177163</v>
      </c>
      <c r="F711">
        <f>'10years'!F711-'10years'!$G711</f>
        <v>0.34698462605025848</v>
      </c>
      <c r="G711">
        <f>'10years'!H711-'10years'!$I711</f>
        <v>0.61449556708819131</v>
      </c>
    </row>
    <row r="712" spans="1:7" x14ac:dyDescent="0.35">
      <c r="A712" s="1">
        <v>34789</v>
      </c>
      <c r="B712">
        <f>'10years'!B712-'10years'!$G712</f>
        <v>0.64621008827187953</v>
      </c>
      <c r="C712">
        <f>'10years'!C712-'10years'!$G712</f>
        <v>0.35919267801613852</v>
      </c>
      <c r="D712">
        <f>'10years'!D712-'10years'!$G712</f>
        <v>0.69043574003057984</v>
      </c>
      <c r="E712">
        <f>'10years'!E712-'10years'!$G712</f>
        <v>0.43993522282818986</v>
      </c>
      <c r="F712">
        <f>'10years'!F712-'10years'!$G712</f>
        <v>0.37096221824961351</v>
      </c>
      <c r="G712">
        <f>'10years'!H712-'10years'!$I712</f>
        <v>0.6365115557090073</v>
      </c>
    </row>
    <row r="713" spans="1:7" x14ac:dyDescent="0.35">
      <c r="A713" s="1">
        <v>34817</v>
      </c>
      <c r="B713">
        <f>'10years'!B713-'10years'!$G713</f>
        <v>0.67237041155317123</v>
      </c>
      <c r="C713">
        <f>'10years'!C713-'10years'!$G713</f>
        <v>0.38633775861636388</v>
      </c>
      <c r="D713">
        <f>'10years'!D713-'10years'!$G713</f>
        <v>0.71920606926552311</v>
      </c>
      <c r="E713">
        <f>'10years'!E713-'10years'!$G713</f>
        <v>0.46970012802640881</v>
      </c>
      <c r="F713">
        <f>'10years'!F713-'10years'!$G713</f>
        <v>0.39734330033145615</v>
      </c>
      <c r="G713">
        <f>'10years'!H713-'10years'!$I713</f>
        <v>0.66268058004645969</v>
      </c>
    </row>
    <row r="714" spans="1:7" x14ac:dyDescent="0.35">
      <c r="A714" s="1">
        <v>34850</v>
      </c>
      <c r="B714">
        <f>'10years'!B714-'10years'!$G714</f>
        <v>0.70207047587813709</v>
      </c>
      <c r="C714">
        <f>'10years'!C714-'10years'!$G714</f>
        <v>0.41619282044536132</v>
      </c>
      <c r="D714">
        <f>'10years'!D714-'10years'!$G714</f>
        <v>0.75105272067179762</v>
      </c>
      <c r="E714">
        <f>'10years'!E714-'10years'!$G714</f>
        <v>0.50184547763041487</v>
      </c>
      <c r="F714">
        <f>'10years'!F714-'10years'!$G714</f>
        <v>0.42654703346083456</v>
      </c>
      <c r="G714">
        <f>'10years'!H714-'10years'!$I714</f>
        <v>0.69245881187058878</v>
      </c>
    </row>
    <row r="715" spans="1:7" x14ac:dyDescent="0.35">
      <c r="A715" s="1">
        <v>34880</v>
      </c>
      <c r="B715">
        <f>'10years'!B715-'10years'!$G715</f>
        <v>0.68459286344402903</v>
      </c>
      <c r="C715">
        <f>'10years'!C715-'10years'!$G715</f>
        <v>0.40072434710654692</v>
      </c>
      <c r="D715">
        <f>'10years'!D715-'10years'!$G715</f>
        <v>0.72710277415524827</v>
      </c>
      <c r="E715">
        <f>'10years'!E715-'10years'!$G715</f>
        <v>0.4786761505631465</v>
      </c>
      <c r="F715">
        <f>'10years'!F715-'10years'!$G715</f>
        <v>0.41318839743314628</v>
      </c>
      <c r="G715">
        <f>'10years'!H715-'10years'!$I715</f>
        <v>0.67512115352859059</v>
      </c>
    </row>
    <row r="716" spans="1:7" x14ac:dyDescent="0.35">
      <c r="A716" s="1">
        <v>34911</v>
      </c>
      <c r="B716">
        <f>'10years'!B716-'10years'!$G716</f>
        <v>0.69191843352353355</v>
      </c>
      <c r="C716">
        <f>'10years'!C716-'10years'!$G716</f>
        <v>0.40902502571195387</v>
      </c>
      <c r="D716">
        <f>'10years'!D716-'10years'!$G716</f>
        <v>0.73708340380641846</v>
      </c>
      <c r="E716">
        <f>'10years'!E716-'10years'!$G716</f>
        <v>0.48968285484690965</v>
      </c>
      <c r="F716">
        <f>'10years'!F716-'10years'!$G716</f>
        <v>0.42139063229177665</v>
      </c>
      <c r="G716">
        <f>'10years'!H716-'10years'!$I716</f>
        <v>0.68245495963479286</v>
      </c>
    </row>
    <row r="717" spans="1:7" x14ac:dyDescent="0.35">
      <c r="A717" s="1">
        <v>34942</v>
      </c>
      <c r="B717">
        <f>'10years'!B717-'10years'!$G717</f>
        <v>0.72376364781407609</v>
      </c>
      <c r="C717">
        <f>'10years'!C717-'10years'!$G717</f>
        <v>0.44127592983646746</v>
      </c>
      <c r="D717">
        <f>'10years'!D717-'10years'!$G717</f>
        <v>0.75826686863033821</v>
      </c>
      <c r="E717">
        <f>'10years'!E717-'10years'!$G717</f>
        <v>0.51131076970589362</v>
      </c>
      <c r="F717">
        <f>'10years'!F717-'10years'!$G717</f>
        <v>0.45311698751539708</v>
      </c>
      <c r="G717">
        <f>'10years'!H717-'10years'!$I717</f>
        <v>0.71428542852767229</v>
      </c>
    </row>
    <row r="718" spans="1:7" x14ac:dyDescent="0.35">
      <c r="A718" s="1">
        <v>34971</v>
      </c>
      <c r="B718">
        <f>'10years'!B718-'10years'!$G718</f>
        <v>0.73282722302129355</v>
      </c>
      <c r="C718">
        <f>'10years'!C718-'10years'!$G718</f>
        <v>0.45249705222779668</v>
      </c>
      <c r="D718">
        <f>'10years'!D718-'10years'!$G718</f>
        <v>0.77249279423247175</v>
      </c>
      <c r="E718">
        <f>'10years'!E718-'10years'!$G718</f>
        <v>0.52650059203914812</v>
      </c>
      <c r="F718">
        <f>'10years'!F718-'10years'!$G718</f>
        <v>0.46363602451372565</v>
      </c>
      <c r="G718">
        <f>'10years'!H718-'10years'!$I718</f>
        <v>0.72334780037286439</v>
      </c>
    </row>
    <row r="719" spans="1:7" x14ac:dyDescent="0.35">
      <c r="A719" s="1">
        <v>35003</v>
      </c>
      <c r="B719">
        <f>'10years'!B719-'10years'!$G719</f>
        <v>0.79748789595073633</v>
      </c>
      <c r="C719">
        <f>'10years'!C719-'10years'!$G719</f>
        <v>0.51800121795764587</v>
      </c>
      <c r="D719">
        <f>'10years'!D719-'10years'!$G719</f>
        <v>0.8333298431389784</v>
      </c>
      <c r="E719">
        <f>'10years'!E719-'10years'!$G719</f>
        <v>0.58811389633158062</v>
      </c>
      <c r="F719">
        <f>'10years'!F719-'10years'!$G719</f>
        <v>0.52779425082572318</v>
      </c>
      <c r="G719">
        <f>'10years'!H719-'10years'!$I719</f>
        <v>0.78788339914590555</v>
      </c>
    </row>
    <row r="720" spans="1:7" x14ac:dyDescent="0.35">
      <c r="A720" s="1">
        <v>35033</v>
      </c>
      <c r="B720">
        <f>'10years'!B720-'10years'!$G720</f>
        <v>0.75877900573942325</v>
      </c>
      <c r="C720">
        <f>'10years'!C720-'10years'!$G720</f>
        <v>0.48015672336421611</v>
      </c>
      <c r="D720">
        <f>'10years'!D720-'10years'!$G720</f>
        <v>0.77894584867459971</v>
      </c>
      <c r="E720">
        <f>'10years'!E720-'10years'!$G720</f>
        <v>0.53434891525090888</v>
      </c>
      <c r="F720">
        <f>'10years'!F720-'10years'!$G720</f>
        <v>0.48996491819231425</v>
      </c>
      <c r="G720">
        <f>'10years'!H720-'10years'!$I720</f>
        <v>0.74939761985055586</v>
      </c>
    </row>
    <row r="721" spans="1:7" x14ac:dyDescent="0.35">
      <c r="A721" s="1">
        <v>35062</v>
      </c>
      <c r="B721">
        <f>'10years'!B721-'10years'!$G721</f>
        <v>0.73820724444657371</v>
      </c>
      <c r="C721">
        <f>'10years'!C721-'10years'!$G721</f>
        <v>0.46148898362259105</v>
      </c>
      <c r="D721">
        <f>'10years'!D721-'10years'!$G721</f>
        <v>0.76187884806488748</v>
      </c>
      <c r="E721">
        <f>'10years'!E721-'10years'!$G721</f>
        <v>0.51814250328894085</v>
      </c>
      <c r="F721">
        <f>'10years'!F721-'10years'!$G721</f>
        <v>0.47229898268321469</v>
      </c>
      <c r="G721">
        <f>'10years'!H721-'10years'!$I721</f>
        <v>0.72897361563311058</v>
      </c>
    </row>
    <row r="722" spans="1:7" x14ac:dyDescent="0.35">
      <c r="A722" s="1">
        <v>35095</v>
      </c>
      <c r="B722">
        <f>'10years'!B722-'10years'!$G722</f>
        <v>0.71452785072755898</v>
      </c>
      <c r="C722">
        <f>'10years'!C722-'10years'!$G722</f>
        <v>0.43877089469727704</v>
      </c>
      <c r="D722">
        <f>'10years'!D722-'10years'!$G722</f>
        <v>0.73942817305047726</v>
      </c>
      <c r="E722">
        <f>'10years'!E722-'10years'!$G722</f>
        <v>0.49638085564096013</v>
      </c>
      <c r="F722">
        <f>'10years'!F722-'10years'!$G722</f>
        <v>0.45100696678525587</v>
      </c>
      <c r="G722">
        <f>'10years'!H722-'10years'!$I722</f>
        <v>0.70548424847030056</v>
      </c>
    </row>
    <row r="723" spans="1:7" x14ac:dyDescent="0.35">
      <c r="A723" s="1">
        <v>35124</v>
      </c>
      <c r="B723">
        <f>'10years'!B723-'10years'!$G723</f>
        <v>0.74050713523408951</v>
      </c>
      <c r="C723">
        <f>'10years'!C723-'10years'!$G723</f>
        <v>0.46496734255204486</v>
      </c>
      <c r="D723">
        <f>'10years'!D723-'10years'!$G723</f>
        <v>0.75183785127731251</v>
      </c>
      <c r="E723">
        <f>'10years'!E723-'10years'!$G723</f>
        <v>0.50889066739359978</v>
      </c>
      <c r="F723">
        <f>'10years'!F723-'10years'!$G723</f>
        <v>0.47705586063456518</v>
      </c>
      <c r="G723">
        <f>'10years'!H723-'10years'!$I723</f>
        <v>0.73141623210108975</v>
      </c>
    </row>
    <row r="724" spans="1:7" x14ac:dyDescent="0.35">
      <c r="A724" s="1">
        <v>35153</v>
      </c>
      <c r="B724">
        <f>'10years'!B724-'10years'!$G724</f>
        <v>0.68796278788080545</v>
      </c>
      <c r="C724">
        <f>'10years'!C724-'10years'!$G724</f>
        <v>0.41445909389354063</v>
      </c>
      <c r="D724">
        <f>'10years'!D724-'10years'!$G724</f>
        <v>0.69813833089617261</v>
      </c>
      <c r="E724">
        <f>'10years'!E724-'10years'!$G724</f>
        <v>0.45600065400560896</v>
      </c>
      <c r="F724">
        <f>'10years'!F724-'10years'!$G724</f>
        <v>0.42596395660469422</v>
      </c>
      <c r="G724">
        <f>'10years'!H724-'10years'!$I724</f>
        <v>0.67901267831336209</v>
      </c>
    </row>
    <row r="725" spans="1:7" x14ac:dyDescent="0.35">
      <c r="A725" s="1">
        <v>35185</v>
      </c>
      <c r="B725">
        <f>'10years'!B725-'10years'!$G725</f>
        <v>0.65191338054043069</v>
      </c>
      <c r="C725">
        <f>'10years'!C725-'10years'!$G725</f>
        <v>0.37907627156004686</v>
      </c>
      <c r="D725">
        <f>'10years'!D725-'10years'!$G725</f>
        <v>0.66677922933467393</v>
      </c>
      <c r="E725">
        <f>'10years'!E725-'10years'!$G725</f>
        <v>0.42521774982651728</v>
      </c>
      <c r="F725">
        <f>'10years'!F725-'10years'!$G725</f>
        <v>0.39104413508133629</v>
      </c>
      <c r="G725">
        <f>'10years'!H725-'10years'!$I725</f>
        <v>0.64307910734489049</v>
      </c>
    </row>
    <row r="726" spans="1:7" x14ac:dyDescent="0.35">
      <c r="A726" s="1">
        <v>35216</v>
      </c>
      <c r="B726">
        <f>'10years'!B726-'10years'!$G726</f>
        <v>0.67637338513683054</v>
      </c>
      <c r="C726">
        <f>'10years'!C726-'10years'!$G726</f>
        <v>0.40386889755207345</v>
      </c>
      <c r="D726">
        <f>'10years'!D726-'10years'!$G726</f>
        <v>0.70783013311724896</v>
      </c>
      <c r="E726">
        <f>'10years'!E726-'10years'!$G726</f>
        <v>0.46653265783990228</v>
      </c>
      <c r="F726">
        <f>'10years'!F726-'10years'!$G726</f>
        <v>0.4147136869938286</v>
      </c>
      <c r="G726">
        <f>'10years'!H726-'10years'!$I726</f>
        <v>0.66744142679591167</v>
      </c>
    </row>
    <row r="727" spans="1:7" x14ac:dyDescent="0.35">
      <c r="A727" s="1">
        <v>35244</v>
      </c>
      <c r="B727">
        <f>'10years'!B727-'10years'!$G727</f>
        <v>0.65259607559431321</v>
      </c>
      <c r="C727">
        <f>'10years'!C727-'10years'!$G727</f>
        <v>0.38152735152299155</v>
      </c>
      <c r="D727">
        <f>'10years'!D727-'10years'!$G727</f>
        <v>0.67195149918899344</v>
      </c>
      <c r="E727">
        <f>'10years'!E727-'10years'!$G727</f>
        <v>0.43124584031581858</v>
      </c>
      <c r="F727">
        <f>'10years'!F727-'10years'!$G727</f>
        <v>0.39309498302100221</v>
      </c>
      <c r="G727">
        <f>'10years'!H727-'10years'!$I727</f>
        <v>0.64374606378081456</v>
      </c>
    </row>
    <row r="728" spans="1:7" x14ac:dyDescent="0.35">
      <c r="A728" s="1">
        <v>35277</v>
      </c>
      <c r="B728">
        <f>'10years'!B728-'10years'!$G728</f>
        <v>0.64389326045543394</v>
      </c>
      <c r="C728">
        <f>'10years'!C728-'10years'!$G728</f>
        <v>0.3735548298144189</v>
      </c>
      <c r="D728">
        <f>'10years'!D728-'10years'!$G728</f>
        <v>0.66337740636618703</v>
      </c>
      <c r="E728">
        <f>'10years'!E728-'10years'!$G728</f>
        <v>0.42314674806184582</v>
      </c>
      <c r="F728">
        <f>'10years'!F728-'10years'!$G728</f>
        <v>0.38420272514933318</v>
      </c>
      <c r="G728">
        <f>'10years'!H728-'10years'!$I728</f>
        <v>0.63509217721295919</v>
      </c>
    </row>
    <row r="729" spans="1:7" x14ac:dyDescent="0.35">
      <c r="A729" s="1">
        <v>35307</v>
      </c>
      <c r="B729">
        <f>'10years'!B729-'10years'!$G729</f>
        <v>0.65608435366873574</v>
      </c>
      <c r="C729">
        <f>'10years'!C729-'10years'!$G729</f>
        <v>0.38594256134221872</v>
      </c>
      <c r="D729">
        <f>'10years'!D729-'10years'!$G729</f>
        <v>0.68145363115229141</v>
      </c>
      <c r="E729">
        <f>'10years'!E729-'10years'!$G729</f>
        <v>0.44143484222470408</v>
      </c>
      <c r="F729">
        <f>'10years'!F729-'10years'!$G729</f>
        <v>0.39623528212696235</v>
      </c>
      <c r="G729">
        <f>'10years'!H729-'10years'!$I729</f>
        <v>0.6472593538471072</v>
      </c>
    </row>
    <row r="730" spans="1:7" x14ac:dyDescent="0.35">
      <c r="A730" s="1">
        <v>35338</v>
      </c>
      <c r="B730">
        <f>'10years'!B730-'10years'!$G730</f>
        <v>0.61431471033810126</v>
      </c>
      <c r="C730">
        <f>'10years'!C730-'10years'!$G730</f>
        <v>0.34576134429653282</v>
      </c>
      <c r="D730">
        <f>'10years'!D730-'10years'!$G730</f>
        <v>0.64599377556324433</v>
      </c>
      <c r="E730">
        <f>'10years'!E730-'10years'!$G730</f>
        <v>0.40670342589936559</v>
      </c>
      <c r="F730">
        <f>'10years'!F730-'10years'!$G730</f>
        <v>0.35453491310872542</v>
      </c>
      <c r="G730">
        <f>'10years'!H730-'10years'!$I730</f>
        <v>0.60561228533149158</v>
      </c>
    </row>
    <row r="731" spans="1:7" x14ac:dyDescent="0.35">
      <c r="A731" s="1">
        <v>35369</v>
      </c>
      <c r="B731">
        <f>'10years'!B731-'10years'!$G731</f>
        <v>0.73356954651595996</v>
      </c>
      <c r="C731">
        <f>'10years'!C731-'10years'!$G731</f>
        <v>0.46539040414955068</v>
      </c>
      <c r="D731">
        <f>'10years'!D731-'10years'!$G731</f>
        <v>0.74936620231123485</v>
      </c>
      <c r="E731">
        <f>'10years'!E731-'10years'!$G731</f>
        <v>0.51019689814658009</v>
      </c>
      <c r="F731">
        <f>'10years'!F731-'10years'!$G731</f>
        <v>0.47401613100504414</v>
      </c>
      <c r="G731">
        <f>'10years'!H731-'10years'!$I731</f>
        <v>0.72451246188747209</v>
      </c>
    </row>
    <row r="732" spans="1:7" x14ac:dyDescent="0.35">
      <c r="A732" s="1">
        <v>35398</v>
      </c>
      <c r="B732">
        <f>'10years'!B732-'10years'!$G732</f>
        <v>0.70983292166261935</v>
      </c>
      <c r="C732">
        <f>'10years'!C732-'10years'!$G732</f>
        <v>0.44270061398318972</v>
      </c>
      <c r="D732">
        <f>'10years'!D732-'10years'!$G732</f>
        <v>0.70958034096008826</v>
      </c>
      <c r="E732">
        <f>'10years'!E732-'10years'!$G732</f>
        <v>0.47196548427845442</v>
      </c>
      <c r="F732">
        <f>'10years'!F732-'10years'!$G732</f>
        <v>0.45123567899729333</v>
      </c>
      <c r="G732">
        <f>'10years'!H732-'10years'!$I732</f>
        <v>0.70083968809662167</v>
      </c>
    </row>
    <row r="733" spans="1:7" x14ac:dyDescent="0.35">
      <c r="A733" s="1">
        <v>35430</v>
      </c>
      <c r="B733">
        <f>'10years'!B733-'10years'!$G733</f>
        <v>0.75104668271933028</v>
      </c>
      <c r="C733">
        <f>'10years'!C733-'10years'!$G733</f>
        <v>0.48631066062990125</v>
      </c>
      <c r="D733">
        <f>'10years'!D733-'10years'!$G733</f>
        <v>0.74779716627407189</v>
      </c>
      <c r="E733">
        <f>'10years'!E733-'10years'!$G733</f>
        <v>0.5117918814845186</v>
      </c>
      <c r="F733">
        <f>'10years'!F733-'10years'!$G733</f>
        <v>0.49273944998913755</v>
      </c>
      <c r="G733">
        <f>'10years'!H733-'10years'!$I733</f>
        <v>0.74192552203771189</v>
      </c>
    </row>
    <row r="734" spans="1:7" x14ac:dyDescent="0.35">
      <c r="A734" s="1">
        <v>35461</v>
      </c>
      <c r="B734">
        <f>'10years'!B734-'10years'!$G734</f>
        <v>0.75795375653465347</v>
      </c>
      <c r="C734">
        <f>'10years'!C734-'10years'!$G734</f>
        <v>0.49402772525080807</v>
      </c>
      <c r="D734">
        <f>'10years'!D734-'10years'!$G734</f>
        <v>0.76148338606834742</v>
      </c>
      <c r="E734">
        <f>'10years'!E734-'10years'!$G734</f>
        <v>0.52605147758263038</v>
      </c>
      <c r="F734">
        <f>'10years'!F734-'10years'!$G734</f>
        <v>0.49883400655135923</v>
      </c>
      <c r="G734">
        <f>'10years'!H734-'10years'!$I734</f>
        <v>0.74882488137633096</v>
      </c>
    </row>
    <row r="735" spans="1:7" x14ac:dyDescent="0.35">
      <c r="A735" s="1">
        <v>35489</v>
      </c>
      <c r="B735">
        <f>'10years'!B735-'10years'!$G735</f>
        <v>0.70217801693937876</v>
      </c>
      <c r="C735">
        <f>'10years'!C735-'10years'!$G735</f>
        <v>0.43857735099542605</v>
      </c>
      <c r="D735">
        <f>'10years'!D735-'10years'!$G735</f>
        <v>0.68235508747603646</v>
      </c>
      <c r="E735">
        <f>'10years'!E735-'10years'!$G735</f>
        <v>0.44722689786310443</v>
      </c>
      <c r="F735">
        <f>'10years'!F735-'10years'!$G735</f>
        <v>0.44453879839550847</v>
      </c>
      <c r="G735">
        <f>'10years'!H735-'10years'!$I735</f>
        <v>0.69323776077625521</v>
      </c>
    </row>
    <row r="736" spans="1:7" x14ac:dyDescent="0.35">
      <c r="A736" s="1">
        <v>35520</v>
      </c>
      <c r="B736">
        <f>'10years'!B736-'10years'!$G736</f>
        <v>0.67453403210516627</v>
      </c>
      <c r="C736">
        <f>'10years'!C736-'10years'!$G736</f>
        <v>0.41255564021890234</v>
      </c>
      <c r="D736">
        <f>'10years'!D736-'10years'!$G736</f>
        <v>0.6454412550486277</v>
      </c>
      <c r="E736">
        <f>'10years'!E736-'10years'!$G736</f>
        <v>0.41081127501342185</v>
      </c>
      <c r="F736">
        <f>'10years'!F736-'10years'!$G736</f>
        <v>0.41936865722132954</v>
      </c>
      <c r="G736">
        <f>'10years'!H736-'10years'!$I736</f>
        <v>0.66567930373977457</v>
      </c>
    </row>
    <row r="737" spans="1:7" x14ac:dyDescent="0.35">
      <c r="A737" s="1">
        <v>35550</v>
      </c>
      <c r="B737">
        <f>'10years'!B737-'10years'!$G737</f>
        <v>0.61709807095539659</v>
      </c>
      <c r="C737">
        <f>'10years'!C737-'10years'!$G737</f>
        <v>0.35589823979513291</v>
      </c>
      <c r="D737">
        <f>'10years'!D737-'10years'!$G737</f>
        <v>0.59904035692345836</v>
      </c>
      <c r="E737">
        <f>'10years'!E737-'10years'!$G737</f>
        <v>0.36497691740850513</v>
      </c>
      <c r="F737">
        <f>'10years'!F737-'10years'!$G737</f>
        <v>0.36122222401268633</v>
      </c>
      <c r="G737">
        <f>'10years'!H737-'10years'!$I737</f>
        <v>0.60843164816226647</v>
      </c>
    </row>
    <row r="738" spans="1:7" x14ac:dyDescent="0.35">
      <c r="A738" s="1">
        <v>35580</v>
      </c>
      <c r="B738">
        <f>'10years'!B738-'10years'!$G738</f>
        <v>0.67413595142186011</v>
      </c>
      <c r="C738">
        <f>'10years'!C738-'10years'!$G738</f>
        <v>0.41352985202344072</v>
      </c>
      <c r="D738">
        <f>'10years'!D738-'10years'!$G738</f>
        <v>0.63645385327476411</v>
      </c>
      <c r="E738">
        <f>'10years'!E738-'10years'!$G738</f>
        <v>0.4035762344519398</v>
      </c>
      <c r="F738">
        <f>'10years'!F738-'10years'!$G738</f>
        <v>0.41867609043618614</v>
      </c>
      <c r="G738">
        <f>'10years'!H738-'10years'!$I738</f>
        <v>0.66532277542288298</v>
      </c>
    </row>
    <row r="739" spans="1:7" x14ac:dyDescent="0.35">
      <c r="A739" s="1">
        <v>35611</v>
      </c>
      <c r="B739">
        <f>'10years'!B739-'10years'!$G739</f>
        <v>0.7157798699685507</v>
      </c>
      <c r="C739">
        <f>'10years'!C739-'10years'!$G739</f>
        <v>0.45665583658628761</v>
      </c>
      <c r="D739">
        <f>'10years'!D739-'10years'!$G739</f>
        <v>0.68489481729003088</v>
      </c>
      <c r="E739">
        <f>'10years'!E739-'10years'!$G739</f>
        <v>0.45250734793539737</v>
      </c>
      <c r="F739">
        <f>'10years'!F739-'10years'!$G739</f>
        <v>0.46055430185500223</v>
      </c>
      <c r="G739">
        <f>'10years'!H739-'10years'!$I739</f>
        <v>0.70686286959109612</v>
      </c>
    </row>
    <row r="740" spans="1:7" x14ac:dyDescent="0.35">
      <c r="A740" s="1">
        <v>35642</v>
      </c>
      <c r="B740">
        <f>'10years'!B740-'10years'!$G740</f>
        <v>0.71184506070217091</v>
      </c>
      <c r="C740">
        <f>'10years'!C740-'10years'!$G740</f>
        <v>0.45364562893302485</v>
      </c>
      <c r="D740">
        <f>'10years'!D740-'10years'!$G740</f>
        <v>0.68162263845002458</v>
      </c>
      <c r="E740">
        <f>'10years'!E740-'10years'!$G740</f>
        <v>0.44986393894280163</v>
      </c>
      <c r="F740">
        <f>'10years'!F740-'10years'!$G740</f>
        <v>0.4578914785722088</v>
      </c>
      <c r="G740">
        <f>'10years'!H740-'10years'!$I740</f>
        <v>0.70294623110498389</v>
      </c>
    </row>
    <row r="741" spans="1:7" x14ac:dyDescent="0.35">
      <c r="A741" s="1">
        <v>35671</v>
      </c>
      <c r="B741">
        <f>'10years'!B741-'10years'!$G741</f>
        <v>0.73627066709191258</v>
      </c>
      <c r="C741">
        <f>'10years'!C741-'10years'!$G741</f>
        <v>0.47848198896684213</v>
      </c>
      <c r="D741">
        <f>'10years'!D741-'10years'!$G741</f>
        <v>0.69327304144314628</v>
      </c>
      <c r="E741">
        <f>'10years'!E741-'10years'!$G741</f>
        <v>0.46253594532622877</v>
      </c>
      <c r="F741">
        <f>'10years'!F741-'10years'!$G741</f>
        <v>0.48178934640220916</v>
      </c>
      <c r="G741">
        <f>'10years'!H741-'10years'!$I741</f>
        <v>0.7273116712734895</v>
      </c>
    </row>
    <row r="742" spans="1:7" x14ac:dyDescent="0.35">
      <c r="A742" s="1">
        <v>35703</v>
      </c>
      <c r="B742">
        <f>'10years'!B742-'10years'!$G742</f>
        <v>0.65678477621045306</v>
      </c>
      <c r="C742">
        <f>'10years'!C742-'10years'!$G742</f>
        <v>0.40085085868104797</v>
      </c>
      <c r="D742">
        <f>'10years'!D742-'10years'!$G742</f>
        <v>0.6454093697917187</v>
      </c>
      <c r="E742">
        <f>'10years'!E742-'10years'!$G742</f>
        <v>0.41555044054626644</v>
      </c>
      <c r="F742">
        <f>'10years'!F742-'10years'!$G742</f>
        <v>0.4036665349227222</v>
      </c>
      <c r="G742">
        <f>'10years'!H742-'10years'!$I742</f>
        <v>0.64806429137862498</v>
      </c>
    </row>
    <row r="743" spans="1:7" x14ac:dyDescent="0.35">
      <c r="A743" s="1">
        <v>35734</v>
      </c>
      <c r="B743">
        <f>'10years'!B743-'10years'!$G743</f>
        <v>0.71979088339375696</v>
      </c>
      <c r="C743">
        <f>'10years'!C743-'10years'!$G743</f>
        <v>0.46435852875197448</v>
      </c>
      <c r="D743">
        <f>'10years'!D743-'10years'!$G743</f>
        <v>0.70185081829843377</v>
      </c>
      <c r="E743">
        <f>'10years'!E743-'10years'!$G743</f>
        <v>0.47259558660175482</v>
      </c>
      <c r="F743">
        <f>'10years'!F743-'10years'!$G743</f>
        <v>0.46784677318643197</v>
      </c>
      <c r="G743">
        <f>'10years'!H743-'10years'!$I743</f>
        <v>0.71089793355618713</v>
      </c>
    </row>
    <row r="744" spans="1:7" x14ac:dyDescent="0.35">
      <c r="A744" s="1">
        <v>35762</v>
      </c>
      <c r="B744">
        <f>'10years'!B744-'10years'!$G744</f>
        <v>0.89834190195419072</v>
      </c>
      <c r="C744">
        <f>'10years'!C744-'10years'!$G744</f>
        <v>0.64379357987134256</v>
      </c>
      <c r="D744">
        <f>'10years'!D744-'10years'!$G744</f>
        <v>0.91559803256508943</v>
      </c>
      <c r="E744">
        <f>'10years'!E744-'10years'!$G744</f>
        <v>0.6868792452589636</v>
      </c>
      <c r="F744">
        <f>'10years'!F744-'10years'!$G744</f>
        <v>0.64629752063400847</v>
      </c>
      <c r="G744">
        <f>'10years'!H744-'10years'!$I744</f>
        <v>0.88902031763884448</v>
      </c>
    </row>
    <row r="745" spans="1:7" x14ac:dyDescent="0.35">
      <c r="A745" s="1">
        <v>35795</v>
      </c>
      <c r="B745">
        <f>'10years'!B745-'10years'!$G745</f>
        <v>1.0084219438277171</v>
      </c>
      <c r="C745">
        <f>'10years'!C745-'10years'!$G745</f>
        <v>0.75652559422997046</v>
      </c>
      <c r="D745">
        <f>'10years'!D745-'10years'!$G745</f>
        <v>0.99565812177616353</v>
      </c>
      <c r="E745">
        <f>'10years'!E745-'10years'!$G745</f>
        <v>0.76856732295163832</v>
      </c>
      <c r="F745">
        <f>'10years'!F745-'10years'!$G745</f>
        <v>0.75790195996146847</v>
      </c>
      <c r="G745">
        <f>'10years'!H745-'10years'!$I745</f>
        <v>0.99882336060617138</v>
      </c>
    </row>
    <row r="746" spans="1:7" x14ac:dyDescent="0.35">
      <c r="A746" s="1">
        <v>35825</v>
      </c>
      <c r="B746">
        <f>'10years'!B746-'10years'!$G746</f>
        <v>0.96176567022155868</v>
      </c>
      <c r="C746">
        <f>'10years'!C746-'10years'!$G746</f>
        <v>0.71106019140340027</v>
      </c>
      <c r="D746">
        <f>'10years'!D746-'10years'!$G746</f>
        <v>0.9313091941898326</v>
      </c>
      <c r="E746">
        <f>'10years'!E746-'10years'!$G746</f>
        <v>0.70520349060619814</v>
      </c>
      <c r="F746">
        <f>'10years'!F746-'10years'!$G746</f>
        <v>0.71101881416796231</v>
      </c>
      <c r="G746">
        <f>'10years'!H746-'10years'!$I746</f>
        <v>0.95230717068117698</v>
      </c>
    </row>
    <row r="747" spans="1:7" x14ac:dyDescent="0.35">
      <c r="A747" s="1">
        <v>35853</v>
      </c>
      <c r="B747">
        <f>'10years'!B747-'10years'!$G747</f>
        <v>0.93526891145196189</v>
      </c>
      <c r="C747">
        <f>'10years'!C747-'10years'!$G747</f>
        <v>0.68517956931987478</v>
      </c>
      <c r="D747">
        <f>'10years'!D747-'10years'!$G747</f>
        <v>0.88684368041581974</v>
      </c>
      <c r="E747">
        <f>'10years'!E747-'10years'!$G747</f>
        <v>0.66126781715620031</v>
      </c>
      <c r="F747">
        <f>'10years'!F747-'10years'!$G747</f>
        <v>0.68489227043501466</v>
      </c>
      <c r="G747">
        <f>'10years'!H747-'10years'!$I747</f>
        <v>0.92596693501507676</v>
      </c>
    </row>
    <row r="748" spans="1:7" x14ac:dyDescent="0.35">
      <c r="A748" s="1">
        <v>35885</v>
      </c>
      <c r="B748">
        <f>'10years'!B748-'10years'!$G748</f>
        <v>0.95539937354920323</v>
      </c>
      <c r="C748">
        <f>'10years'!C748-'10years'!$G748</f>
        <v>0.70950829023785844</v>
      </c>
      <c r="D748">
        <f>'10years'!D748-'10years'!$G748</f>
        <v>0.89018655168437921</v>
      </c>
      <c r="E748">
        <f>'10years'!E748-'10years'!$G748</f>
        <v>0.66694178800248349</v>
      </c>
      <c r="F748">
        <f>'10years'!F748-'10years'!$G748</f>
        <v>0.70832965190903363</v>
      </c>
      <c r="G748">
        <f>'10years'!H748-'10years'!$I748</f>
        <v>0.94605033054380172</v>
      </c>
    </row>
    <row r="749" spans="1:7" x14ac:dyDescent="0.35">
      <c r="A749" s="1">
        <v>35915</v>
      </c>
      <c r="B749">
        <f>'10years'!B749-'10years'!$G749</f>
        <v>1.0246182419252814</v>
      </c>
      <c r="C749">
        <f>'10years'!C749-'10years'!$G749</f>
        <v>0.77976823293217867</v>
      </c>
      <c r="D749">
        <f>'10years'!D749-'10years'!$G749</f>
        <v>0.93842977254705806</v>
      </c>
      <c r="E749">
        <f>'10years'!E749-'10years'!$G749</f>
        <v>0.71592119639305674</v>
      </c>
      <c r="F749">
        <f>'10years'!F749-'10years'!$G749</f>
        <v>0.77844005042506881</v>
      </c>
      <c r="G749">
        <f>'10years'!H749-'10years'!$I749</f>
        <v>1.0150935206742151</v>
      </c>
    </row>
    <row r="750" spans="1:7" x14ac:dyDescent="0.35">
      <c r="A750" s="1">
        <v>35944</v>
      </c>
      <c r="B750">
        <f>'10years'!B750-'10years'!$G750</f>
        <v>1.0255014515964562</v>
      </c>
      <c r="C750">
        <f>'10years'!C750-'10years'!$G750</f>
        <v>0.78123565620180702</v>
      </c>
      <c r="D750">
        <f>'10years'!D750-'10years'!$G750</f>
        <v>0.93935142573327091</v>
      </c>
      <c r="E750">
        <f>'10years'!E750-'10years'!$G750</f>
        <v>0.71711284181790247</v>
      </c>
      <c r="F750">
        <f>'10years'!F750-'10years'!$G750</f>
        <v>0.7783967717887037</v>
      </c>
      <c r="G750">
        <f>'10years'!H750-'10years'!$I750</f>
        <v>1.0160161826122449</v>
      </c>
    </row>
    <row r="751" spans="1:7" x14ac:dyDescent="0.35">
      <c r="A751" s="1">
        <v>35976</v>
      </c>
      <c r="B751">
        <f>'10years'!B751-'10years'!$G751</f>
        <v>1.0045839610855387</v>
      </c>
      <c r="C751">
        <f>'10years'!C751-'10years'!$G751</f>
        <v>0.76335721039711069</v>
      </c>
      <c r="D751">
        <f>'10years'!D751-'10years'!$G751</f>
        <v>0.91508206307429263</v>
      </c>
      <c r="E751">
        <f>'10years'!E751-'10years'!$G751</f>
        <v>0.69475118438176087</v>
      </c>
      <c r="F751">
        <f>'10years'!F751-'10years'!$G751</f>
        <v>0.76059833653303799</v>
      </c>
      <c r="G751">
        <f>'10years'!H751-'10years'!$I751</f>
        <v>0.99516801620658235</v>
      </c>
    </row>
    <row r="752" spans="1:7" x14ac:dyDescent="0.35">
      <c r="A752" s="1">
        <v>36007</v>
      </c>
      <c r="B752">
        <f>'10years'!B752-'10years'!$G752</f>
        <v>0.99981552226863069</v>
      </c>
      <c r="C752">
        <f>'10years'!C752-'10years'!$G752</f>
        <v>0.75975514540512612</v>
      </c>
      <c r="D752">
        <f>'10years'!D752-'10years'!$G752</f>
        <v>0.87540373470323796</v>
      </c>
      <c r="E752">
        <f>'10years'!E752-'10years'!$G752</f>
        <v>0.65582710333670202</v>
      </c>
      <c r="F752">
        <f>'10years'!F752-'10years'!$G752</f>
        <v>0.75816612700586439</v>
      </c>
      <c r="G752">
        <f>'10years'!H752-'10years'!$I752</f>
        <v>0.99044435635635697</v>
      </c>
    </row>
    <row r="753" spans="1:7" x14ac:dyDescent="0.35">
      <c r="A753" s="1">
        <v>36038</v>
      </c>
      <c r="B753">
        <f>'10years'!B753-'10years'!$G753</f>
        <v>0.99590743694869865</v>
      </c>
      <c r="C753">
        <f>'10years'!C753-'10years'!$G753</f>
        <v>0.75749328599591714</v>
      </c>
      <c r="D753">
        <f>'10years'!D753-'10years'!$G753</f>
        <v>0.84698942509472741</v>
      </c>
      <c r="E753">
        <f>'10years'!E753-'10years'!$G753</f>
        <v>0.63013255744472141</v>
      </c>
      <c r="F753">
        <f>'10years'!F753-'10years'!$G753</f>
        <v>0.75379324058456931</v>
      </c>
      <c r="G753">
        <f>'10years'!H753-'10years'!$I753</f>
        <v>0.98657427848141133</v>
      </c>
    </row>
    <row r="754" spans="1:7" x14ac:dyDescent="0.35">
      <c r="A754" s="1">
        <v>36068</v>
      </c>
      <c r="B754">
        <f>'10years'!B754-'10years'!$G754</f>
        <v>0.89458381863802505</v>
      </c>
      <c r="C754">
        <f>'10years'!C754-'10years'!$G754</f>
        <v>0.65924452342500328</v>
      </c>
      <c r="D754">
        <f>'10years'!D754-'10years'!$G754</f>
        <v>0.74127980942339744</v>
      </c>
      <c r="E754">
        <f>'10years'!E754-'10years'!$G754</f>
        <v>0.52610313634222305</v>
      </c>
      <c r="F754">
        <f>'10years'!F754-'10years'!$G754</f>
        <v>0.65542101766309036</v>
      </c>
      <c r="G754">
        <f>'10years'!H754-'10years'!$I754</f>
        <v>0.8856088003361906</v>
      </c>
    </row>
    <row r="755" spans="1:7" x14ac:dyDescent="0.35">
      <c r="A755" s="1">
        <v>36098</v>
      </c>
      <c r="B755">
        <f>'10years'!B755-'10years'!$G755</f>
        <v>0.91221467807695533</v>
      </c>
      <c r="C755">
        <f>'10years'!C755-'10years'!$G755</f>
        <v>0.6777433715161314</v>
      </c>
      <c r="D755">
        <f>'10years'!D755-'10years'!$G755</f>
        <v>0.7575024940709103</v>
      </c>
      <c r="E755">
        <f>'10years'!E755-'10years'!$G755</f>
        <v>0.54271780932770253</v>
      </c>
      <c r="F755">
        <f>'10years'!F755-'10years'!$G755</f>
        <v>0.6748304435063075</v>
      </c>
      <c r="G755">
        <f>'10years'!H755-'10years'!$I755</f>
        <v>0.90331161930972126</v>
      </c>
    </row>
    <row r="756" spans="1:7" x14ac:dyDescent="0.35">
      <c r="A756" s="1">
        <v>36129</v>
      </c>
      <c r="B756">
        <f>'10years'!B756-'10years'!$G756</f>
        <v>0.9572613324138084</v>
      </c>
      <c r="C756">
        <f>'10years'!C756-'10years'!$G756</f>
        <v>0.72486608622535353</v>
      </c>
      <c r="D756">
        <f>'10years'!D756-'10years'!$G756</f>
        <v>0.82009402082723604</v>
      </c>
      <c r="E756">
        <f>'10years'!E756-'10years'!$G756</f>
        <v>0.6068468874541626</v>
      </c>
      <c r="F756">
        <f>'10years'!F756-'10years'!$G756</f>
        <v>0.72068117403723253</v>
      </c>
      <c r="G756">
        <f>'10years'!H756-'10years'!$I756</f>
        <v>0.94829807979786018</v>
      </c>
    </row>
    <row r="757" spans="1:7" x14ac:dyDescent="0.35">
      <c r="A757" s="1">
        <v>36160</v>
      </c>
      <c r="B757">
        <f>'10years'!B757-'10years'!$G757</f>
        <v>1.0226034600356684</v>
      </c>
      <c r="C757">
        <f>'10years'!C757-'10years'!$G757</f>
        <v>0.79353480616453442</v>
      </c>
      <c r="D757">
        <f>'10years'!D757-'10years'!$G757</f>
        <v>0.88361819776494954</v>
      </c>
      <c r="E757">
        <f>'10years'!E757-'10years'!$G757</f>
        <v>0.67283005655261263</v>
      </c>
      <c r="F757">
        <f>'10years'!F757-'10years'!$G757</f>
        <v>0.78735050950378493</v>
      </c>
      <c r="G757">
        <f>'10years'!H757-'10years'!$I757</f>
        <v>1.0135014367865347</v>
      </c>
    </row>
    <row r="758" spans="1:7" x14ac:dyDescent="0.35">
      <c r="A758" s="1">
        <v>36189</v>
      </c>
      <c r="B758">
        <f>'10years'!B758-'10years'!$G758</f>
        <v>1.0580450732014024</v>
      </c>
      <c r="C758">
        <f>'10years'!C758-'10years'!$G758</f>
        <v>0.83072519753540353</v>
      </c>
      <c r="D758">
        <f>'10years'!D758-'10years'!$G758</f>
        <v>0.88673895681772863</v>
      </c>
      <c r="E758">
        <f>'10years'!E758-'10years'!$G758</f>
        <v>0.67726403948401015</v>
      </c>
      <c r="F758">
        <f>'10years'!F758-'10years'!$G758</f>
        <v>0.82329220469033459</v>
      </c>
      <c r="G758">
        <f>'10years'!H758-'10years'!$I758</f>
        <v>1.048968880008827</v>
      </c>
    </row>
    <row r="759" spans="1:7" x14ac:dyDescent="0.35">
      <c r="A759" s="1">
        <v>36217</v>
      </c>
      <c r="B759">
        <f>'10years'!B759-'10years'!$G759</f>
        <v>1.0360923306288314</v>
      </c>
      <c r="C759">
        <f>'10years'!C759-'10years'!$G759</f>
        <v>0.81028102589451789</v>
      </c>
      <c r="D759">
        <f>'10years'!D759-'10years'!$G759</f>
        <v>0.83949544192714809</v>
      </c>
      <c r="E759">
        <f>'10years'!E759-'10years'!$G759</f>
        <v>0.63143513604067758</v>
      </c>
      <c r="F759">
        <f>'10years'!F759-'10years'!$G759</f>
        <v>0.80087909511915223</v>
      </c>
      <c r="G759">
        <f>'10years'!H759-'10years'!$I759</f>
        <v>1.0271201472610292</v>
      </c>
    </row>
    <row r="760" spans="1:7" x14ac:dyDescent="0.35">
      <c r="A760" s="1">
        <v>36250</v>
      </c>
      <c r="B760">
        <f>'10years'!B760-'10years'!$G760</f>
        <v>1.0321702865435631</v>
      </c>
      <c r="C760">
        <f>'10years'!C760-'10years'!$G760</f>
        <v>0.80891126562620852</v>
      </c>
      <c r="D760">
        <f>'10years'!D760-'10years'!$G760</f>
        <v>0.83456434688431202</v>
      </c>
      <c r="E760">
        <f>'10years'!E760-'10years'!$G760</f>
        <v>0.62796227502805757</v>
      </c>
      <c r="F760">
        <f>'10years'!F760-'10years'!$G760</f>
        <v>0.80005983431254735</v>
      </c>
      <c r="G760">
        <f>'10years'!H760-'10years'!$I760</f>
        <v>1.0233153627917213</v>
      </c>
    </row>
    <row r="761" spans="1:7" x14ac:dyDescent="0.35">
      <c r="A761" s="1">
        <v>36280</v>
      </c>
      <c r="B761">
        <f>'10years'!B761-'10years'!$G761</f>
        <v>1.0470783149618861</v>
      </c>
      <c r="C761">
        <f>'10years'!C761-'10years'!$G761</f>
        <v>0.82495672464028602</v>
      </c>
      <c r="D761">
        <f>'10years'!D761-'10years'!$G761</f>
        <v>0.8378888076331974</v>
      </c>
      <c r="E761">
        <f>'10years'!E761-'10years'!$G761</f>
        <v>0.6323054119783571</v>
      </c>
      <c r="F761">
        <f>'10years'!F761-'10years'!$G761</f>
        <v>0.81663029121407704</v>
      </c>
      <c r="G761">
        <f>'10years'!H761-'10years'!$I761</f>
        <v>1.038385056976332</v>
      </c>
    </row>
    <row r="762" spans="1:7" x14ac:dyDescent="0.35">
      <c r="A762" s="1">
        <v>36308</v>
      </c>
      <c r="B762">
        <f>'10years'!B762-'10years'!$G762</f>
        <v>1.0379658246826817</v>
      </c>
      <c r="C762">
        <f>'10years'!C762-'10years'!$G762</f>
        <v>0.81667985857781455</v>
      </c>
      <c r="D762">
        <f>'10years'!D762-'10years'!$G762</f>
        <v>0.87742464544962817</v>
      </c>
      <c r="E762">
        <f>'10years'!E762-'10years'!$G762</f>
        <v>0.67201959827930202</v>
      </c>
      <c r="F762">
        <f>'10years'!F762-'10years'!$G762</f>
        <v>0.80915469362790815</v>
      </c>
      <c r="G762">
        <f>'10years'!H762-'10years'!$I762</f>
        <v>1.0294596263237921</v>
      </c>
    </row>
    <row r="763" spans="1:7" x14ac:dyDescent="0.35">
      <c r="A763" s="1">
        <v>36341</v>
      </c>
      <c r="B763">
        <f>'10years'!B763-'10years'!$G763</f>
        <v>0.98759325994704605</v>
      </c>
      <c r="C763">
        <f>'10years'!C763-'10years'!$G763</f>
        <v>0.7695027643557073</v>
      </c>
      <c r="D763">
        <f>'10years'!D763-'10years'!$G763</f>
        <v>0.84094269369584085</v>
      </c>
      <c r="E763">
        <f>'10years'!E763-'10years'!$G763</f>
        <v>0.63796143306438902</v>
      </c>
      <c r="F763">
        <f>'10years'!F763-'10years'!$G763</f>
        <v>0.76211780331537193</v>
      </c>
      <c r="G763">
        <f>'10years'!H763-'10years'!$I763</f>
        <v>0.97957786427853577</v>
      </c>
    </row>
    <row r="764" spans="1:7" x14ac:dyDescent="0.35">
      <c r="A764" s="1">
        <v>36371</v>
      </c>
      <c r="B764">
        <f>'10years'!B764-'10years'!$G764</f>
        <v>1.0394990762410017</v>
      </c>
      <c r="C764">
        <f>'10years'!C764-'10years'!$G764</f>
        <v>0.82245329460343131</v>
      </c>
      <c r="D764">
        <f>'10years'!D764-'10years'!$G764</f>
        <v>0.883124593362139</v>
      </c>
      <c r="E764">
        <f>'10years'!E764-'10years'!$G764</f>
        <v>0.6807454831997517</v>
      </c>
      <c r="F764">
        <f>'10years'!F764-'10years'!$G764</f>
        <v>0.8158842950967915</v>
      </c>
      <c r="G764">
        <f>'10years'!H764-'10years'!$I764</f>
        <v>1.0316107751830339</v>
      </c>
    </row>
    <row r="765" spans="1:7" x14ac:dyDescent="0.35">
      <c r="A765" s="1">
        <v>36403</v>
      </c>
      <c r="B765">
        <f>'10years'!B765-'10years'!$G765</f>
        <v>0.94315659711379229</v>
      </c>
      <c r="C765">
        <f>'10years'!C765-'10years'!$G765</f>
        <v>0.72700951522000068</v>
      </c>
      <c r="D765">
        <f>'10years'!D765-'10years'!$G765</f>
        <v>0.78876129577301057</v>
      </c>
      <c r="E765">
        <f>'10years'!E765-'10years'!$G765</f>
        <v>0.58686871590598599</v>
      </c>
      <c r="F765">
        <f>'10years'!F765-'10years'!$G765</f>
        <v>0.71947344627256715</v>
      </c>
      <c r="G765">
        <f>'10years'!H765-'10years'!$I765</f>
        <v>0.93570774777766985</v>
      </c>
    </row>
    <row r="766" spans="1:7" x14ac:dyDescent="0.35">
      <c r="A766" s="1">
        <v>36433</v>
      </c>
      <c r="B766">
        <f>'10years'!B766-'10years'!$G766</f>
        <v>0.92495084881325851</v>
      </c>
      <c r="C766">
        <f>'10years'!C766-'10years'!$G766</f>
        <v>0.71138248345865907</v>
      </c>
      <c r="D766">
        <f>'10years'!D766-'10years'!$G766</f>
        <v>0.74818920385182675</v>
      </c>
      <c r="E766">
        <f>'10years'!E766-'10years'!$G766</f>
        <v>0.5477472204477063</v>
      </c>
      <c r="F766">
        <f>'10years'!F766-'10years'!$G766</f>
        <v>0.70384440178390739</v>
      </c>
      <c r="G766">
        <f>'10years'!H766-'10years'!$I766</f>
        <v>0.91780696470695755</v>
      </c>
    </row>
    <row r="767" spans="1:7" x14ac:dyDescent="0.35">
      <c r="A767" s="1">
        <v>36462</v>
      </c>
      <c r="B767">
        <f>'10years'!B767-'10years'!$G767</f>
        <v>0.90629773907461075</v>
      </c>
      <c r="C767">
        <f>'10years'!C767-'10years'!$G767</f>
        <v>0.69396347973889938</v>
      </c>
      <c r="D767">
        <f>'10years'!D767-'10years'!$G767</f>
        <v>0.72960423765378923</v>
      </c>
      <c r="E767">
        <f>'10years'!E767-'10years'!$G767</f>
        <v>0.53116617177025649</v>
      </c>
      <c r="F767">
        <f>'10years'!F767-'10years'!$G767</f>
        <v>0.68697737160499983</v>
      </c>
      <c r="G767">
        <f>'10years'!H767-'10years'!$I767</f>
        <v>0.8993435179619258</v>
      </c>
    </row>
    <row r="768" spans="1:7" x14ac:dyDescent="0.35">
      <c r="A768" s="1">
        <v>36494</v>
      </c>
      <c r="B768">
        <f>'10years'!B768-'10years'!$G768</f>
        <v>0.98129681947377945</v>
      </c>
      <c r="C768">
        <f>'10years'!C768-'10years'!$G768</f>
        <v>0.76998854201023947</v>
      </c>
      <c r="D768">
        <f>'10years'!D768-'10years'!$G768</f>
        <v>0.79782871897124208</v>
      </c>
      <c r="E768">
        <f>'10years'!E768-'10years'!$G768</f>
        <v>0.59981136167234572</v>
      </c>
      <c r="F768">
        <f>'10years'!F768-'10years'!$G768</f>
        <v>0.76179924446250569</v>
      </c>
      <c r="G768">
        <f>'10years'!H768-'10years'!$I768</f>
        <v>0.97438117510317834</v>
      </c>
    </row>
    <row r="769" spans="1:7" x14ac:dyDescent="0.35">
      <c r="A769" s="1">
        <v>36525</v>
      </c>
      <c r="B769">
        <f>'10years'!B769-'10years'!$G769</f>
        <v>0.98411489130372098</v>
      </c>
      <c r="C769">
        <f>'10years'!C769-'10years'!$G769</f>
        <v>0.77492920507080543</v>
      </c>
      <c r="D769">
        <f>'10years'!D769-'10years'!$G769</f>
        <v>0.78859953464420629</v>
      </c>
      <c r="E769">
        <f>'10years'!E769-'10years'!$G769</f>
        <v>0.59180148913289132</v>
      </c>
      <c r="F769">
        <f>'10years'!F769-'10years'!$G769</f>
        <v>0.76642150909982254</v>
      </c>
      <c r="G769">
        <f>'10years'!H769-'10years'!$I769</f>
        <v>0.97742229225308286</v>
      </c>
    </row>
    <row r="770" spans="1:7" x14ac:dyDescent="0.35">
      <c r="A770" s="1">
        <v>36556</v>
      </c>
      <c r="B770">
        <f>'10years'!B770-'10years'!$G770</f>
        <v>1.0177735757172743</v>
      </c>
      <c r="C770">
        <f>'10years'!C770-'10years'!$G770</f>
        <v>0.80990720413346518</v>
      </c>
      <c r="D770">
        <f>'10years'!D770-'10years'!$G770</f>
        <v>0.81360209288289331</v>
      </c>
      <c r="E770">
        <f>'10years'!E770-'10years'!$G770</f>
        <v>0.61750585705336958</v>
      </c>
      <c r="F770">
        <f>'10years'!F770-'10years'!$G770</f>
        <v>0.79726759988630969</v>
      </c>
      <c r="G770">
        <f>'10years'!H770-'10years'!$I770</f>
        <v>1.0111209610979666</v>
      </c>
    </row>
    <row r="771" spans="1:7" x14ac:dyDescent="0.35">
      <c r="A771" s="1">
        <v>36585</v>
      </c>
      <c r="B771">
        <f>'10years'!B771-'10years'!$G771</f>
        <v>1.0352141180773169</v>
      </c>
      <c r="C771">
        <f>'10years'!C771-'10years'!$G771</f>
        <v>0.82830439685743351</v>
      </c>
      <c r="D771">
        <f>'10years'!D771-'10years'!$G771</f>
        <v>0.82923294995613372</v>
      </c>
      <c r="E771">
        <f>'10years'!E771-'10years'!$G771</f>
        <v>0.63355584982236057</v>
      </c>
      <c r="F771">
        <f>'10years'!F771-'10years'!$G771</f>
        <v>0.81458795127197914</v>
      </c>
      <c r="G771">
        <f>'10years'!H771-'10years'!$I771</f>
        <v>1.0286560935535816</v>
      </c>
    </row>
    <row r="772" spans="1:7" x14ac:dyDescent="0.35">
      <c r="A772" s="1">
        <v>36616</v>
      </c>
      <c r="B772">
        <f>'10years'!B772-'10years'!$G772</f>
        <v>1.0101813150875822</v>
      </c>
      <c r="C772">
        <f>'10years'!C772-'10years'!$G772</f>
        <v>0.80595283913963933</v>
      </c>
      <c r="D772">
        <f>'10years'!D772-'10years'!$G772</f>
        <v>0.7796582422015359</v>
      </c>
      <c r="E772">
        <f>'10years'!E772-'10years'!$G772</f>
        <v>0.58538317825921848</v>
      </c>
      <c r="F772">
        <f>'10years'!F772-'10years'!$G772</f>
        <v>0.79137324955970656</v>
      </c>
      <c r="G772">
        <f>'10years'!H772-'10years'!$I772</f>
        <v>1.0037597792850406</v>
      </c>
    </row>
    <row r="773" spans="1:7" x14ac:dyDescent="0.35">
      <c r="A773" s="1">
        <v>36644</v>
      </c>
      <c r="B773">
        <f>'10years'!B773-'10years'!$G773</f>
        <v>1.0686732476950374</v>
      </c>
      <c r="C773">
        <f>'10years'!C773-'10years'!$G773</f>
        <v>0.86535051940410401</v>
      </c>
      <c r="D773">
        <f>'10years'!D773-'10years'!$G773</f>
        <v>0.84254052986720573</v>
      </c>
      <c r="E773">
        <f>'10years'!E773-'10years'!$G773</f>
        <v>0.64852414830833549</v>
      </c>
      <c r="F773">
        <f>'10years'!F773-'10years'!$G773</f>
        <v>0.85030225060664666</v>
      </c>
      <c r="G773">
        <f>'10years'!H773-'10years'!$I773</f>
        <v>1.0622456624899135</v>
      </c>
    </row>
    <row r="774" spans="1:7" x14ac:dyDescent="0.35">
      <c r="A774" s="1">
        <v>36677</v>
      </c>
      <c r="B774">
        <f>'10years'!B774-'10years'!$G774</f>
        <v>1.0642132162135256</v>
      </c>
      <c r="C774">
        <f>'10years'!C774-'10years'!$G774</f>
        <v>0.86200609142456996</v>
      </c>
      <c r="D774">
        <f>'10years'!D774-'10years'!$G774</f>
        <v>0.88599399965094494</v>
      </c>
      <c r="E774">
        <f>'10years'!E774-'10years'!$G774</f>
        <v>0.69239297149174894</v>
      </c>
      <c r="F774">
        <f>'10years'!F774-'10years'!$G774</f>
        <v>0.84860427163804064</v>
      </c>
      <c r="G774">
        <f>'10years'!H774-'10years'!$I774</f>
        <v>1.058036733226464</v>
      </c>
    </row>
    <row r="775" spans="1:7" x14ac:dyDescent="0.35">
      <c r="A775" s="1">
        <v>36707</v>
      </c>
      <c r="B775">
        <f>'10years'!B775-'10years'!$G775</f>
        <v>0.96790775646338378</v>
      </c>
      <c r="C775">
        <f>'10years'!C775-'10years'!$G775</f>
        <v>0.76862035922802452</v>
      </c>
      <c r="D775">
        <f>'10years'!D775-'10years'!$G775</f>
        <v>0.82373308058019301</v>
      </c>
      <c r="E775">
        <f>'10years'!E775-'10years'!$G775</f>
        <v>0.63152333976410802</v>
      </c>
      <c r="F775">
        <f>'10years'!F775-'10years'!$G775</f>
        <v>0.75702245058280226</v>
      </c>
      <c r="G775">
        <f>'10years'!H775-'10years'!$I775</f>
        <v>0.96213846450363683</v>
      </c>
    </row>
    <row r="776" spans="1:7" x14ac:dyDescent="0.35">
      <c r="A776" s="1">
        <v>36738</v>
      </c>
      <c r="B776">
        <f>'10years'!B776-'10years'!$G776</f>
        <v>0.99725788016748207</v>
      </c>
      <c r="C776">
        <f>'10years'!C776-'10years'!$G776</f>
        <v>0.7991644851181785</v>
      </c>
      <c r="D776">
        <f>'10years'!D776-'10years'!$G776</f>
        <v>0.82114502574159043</v>
      </c>
      <c r="E776">
        <f>'10years'!E776-'10years'!$G776</f>
        <v>0.62966735373438953</v>
      </c>
      <c r="F776">
        <f>'10years'!F776-'10years'!$G776</f>
        <v>0.7862474722314523</v>
      </c>
      <c r="G776">
        <f>'10years'!H776-'10years'!$I776</f>
        <v>0.99157496704342929</v>
      </c>
    </row>
    <row r="777" spans="1:7" x14ac:dyDescent="0.35">
      <c r="A777" s="1">
        <v>36769</v>
      </c>
      <c r="B777">
        <f>'10years'!B777-'10years'!$G777</f>
        <v>0.99161582067881393</v>
      </c>
      <c r="C777">
        <f>'10years'!C777-'10years'!$G777</f>
        <v>0.79462495847961612</v>
      </c>
      <c r="D777">
        <f>'10years'!D777-'10years'!$G777</f>
        <v>0.84688035486535251</v>
      </c>
      <c r="E777">
        <f>'10years'!E777-'10years'!$G777</f>
        <v>0.65584665442757095</v>
      </c>
      <c r="F777">
        <f>'10years'!F777-'10years'!$G777</f>
        <v>0.77823799248717296</v>
      </c>
      <c r="G777">
        <f>'10years'!H777-'10years'!$I777</f>
        <v>0.98615704807187843</v>
      </c>
    </row>
    <row r="778" spans="1:7" x14ac:dyDescent="0.35">
      <c r="A778" s="1">
        <v>36798</v>
      </c>
      <c r="B778">
        <f>'10years'!B778-'10years'!$G778</f>
        <v>1.1245846304787028</v>
      </c>
      <c r="C778">
        <f>'10years'!C778-'10years'!$G778</f>
        <v>0.93010117892799404</v>
      </c>
      <c r="D778">
        <f>'10years'!D778-'10years'!$G778</f>
        <v>1.0090820579137623</v>
      </c>
      <c r="E778">
        <f>'10years'!E778-'10years'!$G778</f>
        <v>0.81958537355288308</v>
      </c>
      <c r="F778">
        <f>'10years'!F778-'10years'!$G778</f>
        <v>0.91269060284837011</v>
      </c>
      <c r="G778">
        <f>'10years'!H778-'10years'!$I778</f>
        <v>1.1190531744495136</v>
      </c>
    </row>
    <row r="779" spans="1:7" x14ac:dyDescent="0.35">
      <c r="A779" s="1">
        <v>36830</v>
      </c>
      <c r="B779">
        <f>'10years'!B779-'10years'!$G779</f>
        <v>1.1224655432496</v>
      </c>
      <c r="C779">
        <f>'10years'!C779-'10years'!$G779</f>
        <v>0.9293608476779891</v>
      </c>
      <c r="D779">
        <f>'10years'!D779-'10years'!$G779</f>
        <v>1.0626301012420392</v>
      </c>
      <c r="E779">
        <f>'10years'!E779-'10years'!$G779</f>
        <v>0.87384238543759984</v>
      </c>
      <c r="F779">
        <f>'10years'!F779-'10years'!$G779</f>
        <v>0.91131134853029039</v>
      </c>
      <c r="G779">
        <f>'10years'!H779-'10years'!$I779</f>
        <v>1.1170339026617349</v>
      </c>
    </row>
    <row r="780" spans="1:7" x14ac:dyDescent="0.35">
      <c r="A780" s="1">
        <v>36860</v>
      </c>
      <c r="B780">
        <f>'10years'!B780-'10years'!$G780</f>
        <v>1.1228768271251233</v>
      </c>
      <c r="C780">
        <f>'10years'!C780-'10years'!$G780</f>
        <v>0.93130374058562504</v>
      </c>
      <c r="D780">
        <f>'10years'!D780-'10years'!$G780</f>
        <v>1.1124693108547068</v>
      </c>
      <c r="E780">
        <f>'10years'!E780-'10years'!$G780</f>
        <v>0.92465637745013263</v>
      </c>
      <c r="F780">
        <f>'10years'!F780-'10years'!$G780</f>
        <v>0.91365181197446299</v>
      </c>
      <c r="G780">
        <f>'10years'!H780-'10years'!$I780</f>
        <v>1.1176331996572086</v>
      </c>
    </row>
    <row r="781" spans="1:7" x14ac:dyDescent="0.35">
      <c r="A781" s="1">
        <v>36889</v>
      </c>
      <c r="B781">
        <f>'10years'!B781-'10years'!$G781</f>
        <v>1.0015368993405047</v>
      </c>
      <c r="C781">
        <f>'10years'!C781-'10years'!$G781</f>
        <v>0.81271625384704538</v>
      </c>
      <c r="D781">
        <f>'10years'!D781-'10years'!$G781</f>
        <v>0.99910749858305148</v>
      </c>
      <c r="E781">
        <f>'10years'!E781-'10years'!$G781</f>
        <v>0.812967823874988</v>
      </c>
      <c r="F781">
        <f>'10years'!F781-'10years'!$G781</f>
        <v>0.79458649032328998</v>
      </c>
      <c r="G781">
        <f>'10years'!H781-'10years'!$I781</f>
        <v>0.99661497770580088</v>
      </c>
    </row>
    <row r="782" spans="1:7" x14ac:dyDescent="0.35">
      <c r="A782" s="1">
        <v>36922</v>
      </c>
      <c r="B782">
        <f>'10years'!B782-'10years'!$G782</f>
        <v>0.98378095512999697</v>
      </c>
      <c r="C782">
        <f>'10years'!C782-'10years'!$G782</f>
        <v>0.79676566324803244</v>
      </c>
      <c r="D782">
        <f>'10years'!D782-'10years'!$G782</f>
        <v>1.0197587361337013</v>
      </c>
      <c r="E782">
        <f>'10years'!E782-'10years'!$G782</f>
        <v>0.83513299302987343</v>
      </c>
      <c r="F782">
        <f>'10years'!F782-'10years'!$G782</f>
        <v>0.77806439685835671</v>
      </c>
      <c r="G782">
        <f>'10years'!H782-'10years'!$I782</f>
        <v>0.97899739612077319</v>
      </c>
    </row>
    <row r="783" spans="1:7" x14ac:dyDescent="0.35">
      <c r="A783" s="1">
        <v>36950</v>
      </c>
      <c r="B783">
        <f>'10years'!B783-'10years'!$G783</f>
        <v>0.97335990800775485</v>
      </c>
      <c r="C783">
        <f>'10years'!C783-'10years'!$G783</f>
        <v>0.78726109008566802</v>
      </c>
      <c r="D783">
        <f>'10years'!D783-'10years'!$G783</f>
        <v>0.99693350401746206</v>
      </c>
      <c r="E783">
        <f>'10years'!E783-'10years'!$G783</f>
        <v>0.81298844985200458</v>
      </c>
      <c r="F783">
        <f>'10years'!F783-'10years'!$G783</f>
        <v>0.77232581711643822</v>
      </c>
      <c r="G783">
        <f>'10years'!H783-'10years'!$I783</f>
        <v>0.9685674222231988</v>
      </c>
    </row>
    <row r="784" spans="1:7" x14ac:dyDescent="0.35">
      <c r="A784" s="1">
        <v>36980</v>
      </c>
      <c r="B784">
        <f>'10years'!B784-'10years'!$G784</f>
        <v>0.83533686279897679</v>
      </c>
      <c r="C784">
        <f>'10years'!C784-'10years'!$G784</f>
        <v>0.65170202342968131</v>
      </c>
      <c r="D784">
        <f>'10years'!D784-'10years'!$G784</f>
        <v>0.89004656736289234</v>
      </c>
      <c r="E784">
        <f>'10years'!E784-'10years'!$G784</f>
        <v>0.70766853261328388</v>
      </c>
      <c r="F784">
        <f>'10years'!F784-'10years'!$G784</f>
        <v>0.63670949227297124</v>
      </c>
      <c r="G784">
        <f>'10years'!H784-'10years'!$I784</f>
        <v>0.83086490169193006</v>
      </c>
    </row>
    <row r="785" spans="1:7" x14ac:dyDescent="0.35">
      <c r="A785" s="1">
        <v>37011</v>
      </c>
      <c r="B785">
        <f>'10years'!B785-'10years'!$G785</f>
        <v>0.75970732118912854</v>
      </c>
      <c r="C785">
        <f>'10years'!C785-'10years'!$G785</f>
        <v>0.57709679010449144</v>
      </c>
      <c r="D785">
        <f>'10years'!D785-'10years'!$G785</f>
        <v>0.82144376293342636</v>
      </c>
      <c r="E785">
        <f>'10years'!E785-'10years'!$G785</f>
        <v>0.63995043967828225</v>
      </c>
      <c r="F785">
        <f>'10years'!F785-'10years'!$G785</f>
        <v>0.56254850788055522</v>
      </c>
      <c r="G785">
        <f>'10years'!H785-'10years'!$I785</f>
        <v>0.75540509630123154</v>
      </c>
    </row>
    <row r="786" spans="1:7" x14ac:dyDescent="0.35">
      <c r="A786" s="1">
        <v>37042</v>
      </c>
      <c r="B786">
        <f>'10years'!B786-'10years'!$G786</f>
        <v>0.82208869083835689</v>
      </c>
      <c r="C786">
        <f>'10years'!C786-'10years'!$G786</f>
        <v>0.64043584381215335</v>
      </c>
      <c r="D786">
        <f>'10years'!D786-'10years'!$G786</f>
        <v>0.886904159174567</v>
      </c>
      <c r="E786">
        <f>'10years'!E786-'10years'!$G786</f>
        <v>0.70616179602652163</v>
      </c>
      <c r="F786">
        <f>'10years'!F786-'10years'!$G786</f>
        <v>0.62563698572422566</v>
      </c>
      <c r="G786">
        <f>'10years'!H786-'10years'!$I786</f>
        <v>0.81771160788532971</v>
      </c>
    </row>
    <row r="787" spans="1:7" x14ac:dyDescent="0.35">
      <c r="A787" s="1">
        <v>37071</v>
      </c>
      <c r="B787">
        <f>'10years'!B787-'10years'!$G787</f>
        <v>0.79364653091959059</v>
      </c>
      <c r="C787">
        <f>'10years'!C787-'10years'!$G787</f>
        <v>0.61414054399272611</v>
      </c>
      <c r="D787">
        <f>'10years'!D787-'10years'!$G787</f>
        <v>0.8581809405856633</v>
      </c>
      <c r="E787">
        <f>'10years'!E787-'10years'!$G787</f>
        <v>0.67881594709645721</v>
      </c>
      <c r="F787">
        <f>'10years'!F787-'10years'!$G787</f>
        <v>0.59929225767773153</v>
      </c>
      <c r="G787">
        <f>'10years'!H787-'10years'!$I787</f>
        <v>0.78933464712096502</v>
      </c>
    </row>
    <row r="788" spans="1:7" x14ac:dyDescent="0.35">
      <c r="A788" s="1">
        <v>37103</v>
      </c>
      <c r="B788">
        <f>'10years'!B788-'10years'!$G788</f>
        <v>0.81305932095080324</v>
      </c>
      <c r="C788">
        <f>'10years'!C788-'10years'!$G788</f>
        <v>0.63482573747012294</v>
      </c>
      <c r="D788">
        <f>'10years'!D788-'10years'!$G788</f>
        <v>0.88898557914464016</v>
      </c>
      <c r="E788">
        <f>'10years'!E788-'10years'!$G788</f>
        <v>0.7105113168034074</v>
      </c>
      <c r="F788">
        <f>'10years'!F788-'10years'!$G788</f>
        <v>0.6204782277806955</v>
      </c>
      <c r="G788">
        <f>'10years'!H788-'10years'!$I788</f>
        <v>0.80868243606746493</v>
      </c>
    </row>
    <row r="789" spans="1:7" x14ac:dyDescent="0.35">
      <c r="A789" s="1">
        <v>37134</v>
      </c>
      <c r="B789">
        <f>'10years'!B789-'10years'!$G789</f>
        <v>0.76839463300010724</v>
      </c>
      <c r="C789">
        <f>'10years'!C789-'10years'!$G789</f>
        <v>0.5908410408875735</v>
      </c>
      <c r="D789">
        <f>'10years'!D789-'10years'!$G789</f>
        <v>0.84810418389430975</v>
      </c>
      <c r="E789">
        <f>'10years'!E789-'10years'!$G789</f>
        <v>0.67029378050226729</v>
      </c>
      <c r="F789">
        <f>'10years'!F789-'10years'!$G789</f>
        <v>0.576006175857529</v>
      </c>
      <c r="G789">
        <f>'10years'!H789-'10years'!$I789</f>
        <v>0.76415350304395169</v>
      </c>
    </row>
    <row r="790" spans="1:7" x14ac:dyDescent="0.35">
      <c r="A790" s="1">
        <v>37162</v>
      </c>
      <c r="B790">
        <f>'10years'!B790-'10years'!$G790</f>
        <v>0.69453141058129853</v>
      </c>
      <c r="C790">
        <f>'10years'!C790-'10years'!$G790</f>
        <v>0.51903264663203186</v>
      </c>
      <c r="D790">
        <f>'10years'!D790-'10years'!$G790</f>
        <v>0.79282819296105722</v>
      </c>
      <c r="E790">
        <f>'10years'!E790-'10years'!$G790</f>
        <v>0.61664527767982613</v>
      </c>
      <c r="F790">
        <f>'10years'!F790-'10years'!$G790</f>
        <v>0.50516671588948037</v>
      </c>
      <c r="G790">
        <f>'10years'!H790-'10years'!$I790</f>
        <v>0.69047561253514633</v>
      </c>
    </row>
    <row r="791" spans="1:7" x14ac:dyDescent="0.35">
      <c r="A791" s="1">
        <v>37195</v>
      </c>
      <c r="B791">
        <f>'10years'!B791-'10years'!$G791</f>
        <v>0.63981839829218057</v>
      </c>
      <c r="C791">
        <f>'10years'!C791-'10years'!$G791</f>
        <v>0.46539377178348484</v>
      </c>
      <c r="D791">
        <f>'10years'!D791-'10years'!$G791</f>
        <v>0.69865936682794771</v>
      </c>
      <c r="E791">
        <f>'10years'!E791-'10years'!$G791</f>
        <v>0.52322286167157994</v>
      </c>
      <c r="F791">
        <f>'10years'!F791-'10years'!$G791</f>
        <v>0.4512671216471924</v>
      </c>
      <c r="G791">
        <f>'10years'!H791-'10years'!$I791</f>
        <v>0.63586811831914947</v>
      </c>
    </row>
    <row r="792" spans="1:7" x14ac:dyDescent="0.35">
      <c r="A792" s="1">
        <v>37225</v>
      </c>
      <c r="B792">
        <f>'10years'!B792-'10years'!$G792</f>
        <v>0.64659331823528698</v>
      </c>
      <c r="C792">
        <f>'10years'!C792-'10years'!$G792</f>
        <v>0.47263401615773382</v>
      </c>
      <c r="D792">
        <f>'10years'!D792-'10years'!$G792</f>
        <v>0.72610881219174828</v>
      </c>
      <c r="E792">
        <f>'10years'!E792-'10years'!$G792</f>
        <v>0.55110004088765119</v>
      </c>
      <c r="F792">
        <f>'10years'!F792-'10years'!$G792</f>
        <v>0.45817014171587256</v>
      </c>
      <c r="G792">
        <f>'10years'!H792-'10years'!$I792</f>
        <v>0.64258074776386565</v>
      </c>
    </row>
    <row r="793" spans="1:7" x14ac:dyDescent="0.35">
      <c r="A793" s="1">
        <v>37256</v>
      </c>
      <c r="B793">
        <f>'10years'!B793-'10years'!$G793</f>
        <v>0.7470063763137198</v>
      </c>
      <c r="C793">
        <f>'10years'!C793-'10years'!$G793</f>
        <v>0.57498627559416993</v>
      </c>
      <c r="D793">
        <f>'10years'!D793-'10years'!$G793</f>
        <v>0.85412672841916959</v>
      </c>
      <c r="E793">
        <f>'10years'!E793-'10years'!$G793</f>
        <v>0.6805766541226117</v>
      </c>
      <c r="F793">
        <f>'10years'!F793-'10years'!$G793</f>
        <v>0.55884049956199733</v>
      </c>
      <c r="G793">
        <f>'10years'!H793-'10years'!$I793</f>
        <v>0.74267381344963468</v>
      </c>
    </row>
    <row r="794" spans="1:7" x14ac:dyDescent="0.35">
      <c r="A794" s="1">
        <v>37287</v>
      </c>
      <c r="B794">
        <f>'10years'!B794-'10years'!$G794</f>
        <v>0.66567742667780871</v>
      </c>
      <c r="C794">
        <f>'10years'!C794-'10years'!$G794</f>
        <v>0.49477107443858914</v>
      </c>
      <c r="D794">
        <f>'10years'!D794-'10years'!$G794</f>
        <v>0.79085390168952108</v>
      </c>
      <c r="E794">
        <f>'10years'!E794-'10years'!$G794</f>
        <v>0.61816941821136284</v>
      </c>
      <c r="F794">
        <f>'10years'!F794-'10years'!$G794</f>
        <v>0.47832444116471917</v>
      </c>
      <c r="G794">
        <f>'10years'!H794-'10years'!$I794</f>
        <v>0.66137280292326572</v>
      </c>
    </row>
    <row r="795" spans="1:7" x14ac:dyDescent="0.35">
      <c r="A795" s="1">
        <v>37315</v>
      </c>
      <c r="B795">
        <f>'10years'!B795-'10years'!$G795</f>
        <v>0.67096464857398019</v>
      </c>
      <c r="C795">
        <f>'10years'!C795-'10years'!$G795</f>
        <v>0.50032171128652281</v>
      </c>
      <c r="D795">
        <f>'10years'!D795-'10years'!$G795</f>
        <v>0.77564794978645168</v>
      </c>
      <c r="E795">
        <f>'10years'!E795-'10years'!$G795</f>
        <v>0.60334708224078004</v>
      </c>
      <c r="F795">
        <f>'10years'!F795-'10years'!$G795</f>
        <v>0.48386857213546031</v>
      </c>
      <c r="G795">
        <f>'10years'!H795-'10years'!$I795</f>
        <v>0.66647001464168465</v>
      </c>
    </row>
    <row r="796" spans="1:7" x14ac:dyDescent="0.35">
      <c r="A796" s="1">
        <v>37343</v>
      </c>
      <c r="B796">
        <f>'10years'!B796-'10years'!$G796</f>
        <v>0.64506006433171037</v>
      </c>
      <c r="C796">
        <f>'10years'!C796-'10years'!$G796</f>
        <v>0.47602836381308111</v>
      </c>
      <c r="D796">
        <f>'10years'!D796-'10years'!$G796</f>
        <v>0.74227191184292418</v>
      </c>
      <c r="E796">
        <f>'10years'!E796-'10years'!$G796</f>
        <v>0.57131954822943842</v>
      </c>
      <c r="F796">
        <f>'10years'!F796-'10years'!$G796</f>
        <v>0.45965467656476444</v>
      </c>
      <c r="G796">
        <f>'10years'!H796-'10years'!$I796</f>
        <v>0.64045510652110949</v>
      </c>
    </row>
    <row r="797" spans="1:7" x14ac:dyDescent="0.35">
      <c r="A797" s="1">
        <v>37376</v>
      </c>
      <c r="B797">
        <f>'10years'!B797-'10years'!$G797</f>
        <v>0.69460737633715097</v>
      </c>
      <c r="C797">
        <f>'10years'!C797-'10years'!$G797</f>
        <v>0.52684398213482608</v>
      </c>
      <c r="D797">
        <f>'10years'!D797-'10years'!$G797</f>
        <v>0.81641490071153533</v>
      </c>
      <c r="E797">
        <f>'10years'!E797-'10years'!$G797</f>
        <v>0.64629941989229134</v>
      </c>
      <c r="F797">
        <f>'10years'!F797-'10years'!$G797</f>
        <v>0.51046685497053512</v>
      </c>
      <c r="G797">
        <f>'10years'!H797-'10years'!$I797</f>
        <v>0.68971790261385113</v>
      </c>
    </row>
    <row r="798" spans="1:7" x14ac:dyDescent="0.35">
      <c r="A798" s="1">
        <v>37407</v>
      </c>
      <c r="B798">
        <f>'10years'!B798-'10years'!$G798</f>
        <v>0.61943761002952025</v>
      </c>
      <c r="C798">
        <f>'10years'!C798-'10years'!$G798</f>
        <v>0.45225399944693168</v>
      </c>
      <c r="D798">
        <f>'10years'!D798-'10years'!$G798</f>
        <v>0.77289865355363707</v>
      </c>
      <c r="E798">
        <f>'10years'!E798-'10years'!$G798</f>
        <v>0.60337137559105924</v>
      </c>
      <c r="F798">
        <f>'10years'!F798-'10years'!$G798</f>
        <v>0.43565278608963931</v>
      </c>
      <c r="G798">
        <f>'10years'!H798-'10years'!$I798</f>
        <v>0.61454513641261421</v>
      </c>
    </row>
    <row r="799" spans="1:7" x14ac:dyDescent="0.35">
      <c r="A799" s="1">
        <v>37435</v>
      </c>
      <c r="B799">
        <f>'10years'!B799-'10years'!$G799</f>
        <v>0.61009146456206875</v>
      </c>
      <c r="C799">
        <f>'10years'!C799-'10years'!$G799</f>
        <v>0.4446892723376179</v>
      </c>
      <c r="D799">
        <f>'10years'!D799-'10years'!$G799</f>
        <v>0.76219556718789616</v>
      </c>
      <c r="E799">
        <f>'10years'!E799-'10years'!$G799</f>
        <v>0.59405821695980365</v>
      </c>
      <c r="F799">
        <f>'10years'!F799-'10years'!$G799</f>
        <v>0.42849537463755039</v>
      </c>
      <c r="G799">
        <f>'10years'!H799-'10years'!$I799</f>
        <v>0.60507825991593656</v>
      </c>
    </row>
    <row r="800" spans="1:7" x14ac:dyDescent="0.35">
      <c r="A800" s="1">
        <v>37468</v>
      </c>
      <c r="B800">
        <f>'10years'!B800-'10years'!$G800</f>
        <v>0.56232346737706229</v>
      </c>
      <c r="C800">
        <f>'10years'!C800-'10years'!$G800</f>
        <v>0.39800725493027111</v>
      </c>
      <c r="D800">
        <f>'10years'!D800-'10years'!$G800</f>
        <v>0.71050013496254905</v>
      </c>
      <c r="E800">
        <f>'10years'!E800-'10years'!$G800</f>
        <v>0.54327058727859323</v>
      </c>
      <c r="F800">
        <f>'10years'!F800-'10years'!$G800</f>
        <v>0.38179437179708908</v>
      </c>
      <c r="G800">
        <f>'10years'!H800-'10years'!$I800</f>
        <v>0.55724507928498479</v>
      </c>
    </row>
    <row r="801" spans="1:7" x14ac:dyDescent="0.35">
      <c r="A801" s="1">
        <v>37498</v>
      </c>
      <c r="B801">
        <f>'10years'!B801-'10years'!$G801</f>
        <v>0.4654679491254794</v>
      </c>
      <c r="C801">
        <f>'10years'!C801-'10years'!$G801</f>
        <v>0.301503156091258</v>
      </c>
      <c r="D801">
        <f>'10years'!D801-'10years'!$G801</f>
        <v>0.58473451871568338</v>
      </c>
      <c r="E801">
        <f>'10years'!E801-'10years'!$G801</f>
        <v>0.41789957633163022</v>
      </c>
      <c r="F801">
        <f>'10years'!F801-'10years'!$G801</f>
        <v>0.28181653703230181</v>
      </c>
      <c r="G801">
        <f>'10years'!H801-'10years'!$I801</f>
        <v>0.46045295273533515</v>
      </c>
    </row>
    <row r="802" spans="1:7" x14ac:dyDescent="0.35">
      <c r="A802" s="1">
        <v>37529</v>
      </c>
      <c r="B802">
        <f>'10years'!B802-'10years'!$G802</f>
        <v>0.49001593414403466</v>
      </c>
      <c r="C802">
        <f>'10years'!C802-'10years'!$G802</f>
        <v>0.32771780124722483</v>
      </c>
      <c r="D802">
        <f>'10years'!D802-'10years'!$G802</f>
        <v>0.61950347424219565</v>
      </c>
      <c r="E802">
        <f>'10years'!E802-'10years'!$G802</f>
        <v>0.45406699603211642</v>
      </c>
      <c r="F802">
        <f>'10years'!F802-'10years'!$G802</f>
        <v>0.30740662416024023</v>
      </c>
      <c r="G802">
        <f>'10years'!H802-'10years'!$I802</f>
        <v>0.48481769542854103</v>
      </c>
    </row>
    <row r="803" spans="1:7" x14ac:dyDescent="0.35">
      <c r="A803" s="1">
        <v>37560</v>
      </c>
      <c r="B803">
        <f>'10years'!B803-'10years'!$G803</f>
        <v>0.38476974209907455</v>
      </c>
      <c r="C803">
        <f>'10years'!C803-'10years'!$G803</f>
        <v>0.22328341346048086</v>
      </c>
      <c r="D803">
        <f>'10years'!D803-'10years'!$G803</f>
        <v>0.50178004362565121</v>
      </c>
      <c r="E803">
        <f>'10years'!E803-'10years'!$G803</f>
        <v>0.33692367672116452</v>
      </c>
      <c r="F803">
        <f>'10years'!F803-'10years'!$G803</f>
        <v>0.20321998637876293</v>
      </c>
      <c r="G803">
        <f>'10years'!H803-'10years'!$I803</f>
        <v>0.37966151774659895</v>
      </c>
    </row>
    <row r="804" spans="1:7" x14ac:dyDescent="0.35">
      <c r="A804" s="1">
        <v>37589</v>
      </c>
      <c r="B804">
        <f>'10years'!B804-'10years'!$G804</f>
        <v>0.4529002023145241</v>
      </c>
      <c r="C804">
        <f>'10years'!C804-'10years'!$G804</f>
        <v>0.29127274086076249</v>
      </c>
      <c r="D804">
        <f>'10years'!D804-'10years'!$G804</f>
        <v>0.54494345842639746</v>
      </c>
      <c r="E804">
        <f>'10years'!E804-'10years'!$G804</f>
        <v>0.37995245393782917</v>
      </c>
      <c r="F804">
        <f>'10years'!F804-'10years'!$G804</f>
        <v>0.27180933417374775</v>
      </c>
      <c r="G804">
        <f>'10years'!H804-'10years'!$I804</f>
        <v>0.44755245089744822</v>
      </c>
    </row>
    <row r="805" spans="1:7" x14ac:dyDescent="0.35">
      <c r="A805" s="1">
        <v>37621</v>
      </c>
      <c r="B805">
        <f>'10years'!B805-'10years'!$G805</f>
        <v>0.47421116038577793</v>
      </c>
      <c r="C805">
        <f>'10years'!C805-'10years'!$G805</f>
        <v>0.31420708778302942</v>
      </c>
      <c r="D805">
        <f>'10years'!D805-'10years'!$G805</f>
        <v>0.59756275231120259</v>
      </c>
      <c r="E805">
        <f>'10years'!E805-'10years'!$G805</f>
        <v>0.433825033780737</v>
      </c>
      <c r="F805">
        <f>'10years'!F805-'10years'!$G805</f>
        <v>0.29440936003620077</v>
      </c>
      <c r="G805">
        <f>'10years'!H805-'10years'!$I805</f>
        <v>0.46868582875621012</v>
      </c>
    </row>
    <row r="806" spans="1:7" x14ac:dyDescent="0.35">
      <c r="A806" s="1">
        <v>37652</v>
      </c>
      <c r="B806">
        <f>'10years'!B806-'10years'!$G806</f>
        <v>0.41372086673921538</v>
      </c>
      <c r="C806">
        <f>'10years'!C806-'10years'!$G806</f>
        <v>0.25417005953294969</v>
      </c>
      <c r="D806">
        <f>'10years'!D806-'10years'!$G806</f>
        <v>0.53610201971723925</v>
      </c>
      <c r="E806">
        <f>'10years'!E806-'10years'!$G806</f>
        <v>0.37257549742675899</v>
      </c>
      <c r="F806">
        <f>'10years'!F806-'10years'!$G806</f>
        <v>0.2354045247849943</v>
      </c>
      <c r="G806">
        <f>'10years'!H806-'10years'!$I806</f>
        <v>0.40813091006570712</v>
      </c>
    </row>
    <row r="807" spans="1:7" x14ac:dyDescent="0.35">
      <c r="A807" s="1">
        <v>37680</v>
      </c>
      <c r="B807">
        <f>'10years'!B807-'10years'!$G807</f>
        <v>0.38626948042568987</v>
      </c>
      <c r="C807">
        <f>'10years'!C807-'10years'!$G807</f>
        <v>0.22675783194666277</v>
      </c>
      <c r="D807">
        <f>'10years'!D807-'10years'!$G807</f>
        <v>0.49675352141081586</v>
      </c>
      <c r="E807">
        <f>'10years'!E807-'10years'!$G807</f>
        <v>0.33335754914503735</v>
      </c>
      <c r="F807">
        <f>'10years'!F807-'10years'!$G807</f>
        <v>0.20748030627636016</v>
      </c>
      <c r="G807">
        <f>'10years'!H807-'10years'!$I807</f>
        <v>0.38056057536137722</v>
      </c>
    </row>
    <row r="808" spans="1:7" x14ac:dyDescent="0.35">
      <c r="A808" s="1">
        <v>37711</v>
      </c>
      <c r="B808">
        <f>'10years'!B808-'10years'!$G808</f>
        <v>0.36336417000359211</v>
      </c>
      <c r="C808">
        <f>'10years'!C808-'10years'!$G808</f>
        <v>0.20482593679690786</v>
      </c>
      <c r="D808">
        <f>'10years'!D808-'10years'!$G808</f>
        <v>0.46997041657558625</v>
      </c>
      <c r="E808">
        <f>'10years'!E808-'10years'!$G808</f>
        <v>0.3075123533840578</v>
      </c>
      <c r="F808">
        <f>'10years'!F808-'10years'!$G808</f>
        <v>0.18563924822973354</v>
      </c>
      <c r="G808">
        <f>'10years'!H808-'10years'!$I808</f>
        <v>0.35751038545872582</v>
      </c>
    </row>
    <row r="809" spans="1:7" x14ac:dyDescent="0.35">
      <c r="A809" s="1">
        <v>37741</v>
      </c>
      <c r="B809">
        <f>'10years'!B809-'10years'!$G809</f>
        <v>0.3557999866336754</v>
      </c>
      <c r="C809">
        <f>'10years'!C809-'10years'!$G809</f>
        <v>0.19831877314851987</v>
      </c>
      <c r="D809">
        <f>'10years'!D809-'10years'!$G809</f>
        <v>0.4529186586643581</v>
      </c>
      <c r="E809">
        <f>'10years'!E809-'10years'!$G809</f>
        <v>0.29119094346280416</v>
      </c>
      <c r="F809">
        <f>'10years'!F809-'10years'!$G809</f>
        <v>0.17852994312629278</v>
      </c>
      <c r="G809">
        <f>'10years'!H809-'10years'!$I809</f>
        <v>0.34977709503984933</v>
      </c>
    </row>
    <row r="810" spans="1:7" x14ac:dyDescent="0.35">
      <c r="A810" s="1">
        <v>37771</v>
      </c>
      <c r="B810">
        <f>'10years'!B810-'10years'!$G810</f>
        <v>0.44475418142635981</v>
      </c>
      <c r="C810">
        <f>'10years'!C810-'10years'!$G810</f>
        <v>0.28720397136750542</v>
      </c>
      <c r="D810">
        <f>'10years'!D810-'10years'!$G810</f>
        <v>0.55569057027640678</v>
      </c>
      <c r="E810">
        <f>'10years'!E810-'10years'!$G810</f>
        <v>0.39383860263873505</v>
      </c>
      <c r="F810">
        <f>'10years'!F810-'10years'!$G810</f>
        <v>0.26676142589417395</v>
      </c>
      <c r="G810">
        <f>'10years'!H810-'10years'!$I810</f>
        <v>0.43839731953601024</v>
      </c>
    </row>
    <row r="811" spans="1:7" x14ac:dyDescent="0.35">
      <c r="A811" s="1">
        <v>37802</v>
      </c>
      <c r="B811">
        <f>'10years'!B811-'10years'!$G811</f>
        <v>0.46782607782074104</v>
      </c>
      <c r="C811">
        <f>'10years'!C811-'10years'!$G811</f>
        <v>0.31189034237046664</v>
      </c>
      <c r="D811">
        <f>'10years'!D811-'10years'!$G811</f>
        <v>0.60791763164311563</v>
      </c>
      <c r="E811">
        <f>'10years'!E811-'10years'!$G811</f>
        <v>0.4473826292878047</v>
      </c>
      <c r="F811">
        <f>'10years'!F811-'10years'!$G811</f>
        <v>0.29081941316828397</v>
      </c>
      <c r="G811">
        <f>'10years'!H811-'10years'!$I811</f>
        <v>0.46126169046460941</v>
      </c>
    </row>
    <row r="812" spans="1:7" x14ac:dyDescent="0.35">
      <c r="A812" s="1">
        <v>37833</v>
      </c>
      <c r="B812">
        <f>'10years'!B812-'10years'!$G812</f>
        <v>0.47705045079181496</v>
      </c>
      <c r="C812">
        <f>'10years'!C812-'10years'!$G812</f>
        <v>0.32187283476595607</v>
      </c>
      <c r="D812">
        <f>'10years'!D812-'10years'!$G812</f>
        <v>0.61284050885147434</v>
      </c>
      <c r="E812">
        <f>'10years'!E812-'10years'!$G812</f>
        <v>0.45287011724915893</v>
      </c>
      <c r="F812">
        <f>'10years'!F812-'10years'!$G812</f>
        <v>0.30106096278722405</v>
      </c>
      <c r="G812">
        <f>'10years'!H812-'10years'!$I812</f>
        <v>0.47028636583479333</v>
      </c>
    </row>
    <row r="813" spans="1:7" x14ac:dyDescent="0.35">
      <c r="A813" s="1">
        <v>37862</v>
      </c>
      <c r="B813">
        <f>'10years'!B813-'10years'!$G813</f>
        <v>0.49750291042681871</v>
      </c>
      <c r="C813">
        <f>'10years'!C813-'10years'!$G813</f>
        <v>0.34222931760385</v>
      </c>
      <c r="D813">
        <f>'10years'!D813-'10years'!$G813</f>
        <v>0.63863613168288103</v>
      </c>
      <c r="E813">
        <f>'10years'!E813-'10years'!$G813</f>
        <v>0.47865290938796834</v>
      </c>
      <c r="F813">
        <f>'10years'!F813-'10years'!$G813</f>
        <v>0.32069067818280184</v>
      </c>
      <c r="G813">
        <f>'10years'!H813-'10years'!$I813</f>
        <v>0.49046006929105435</v>
      </c>
    </row>
    <row r="814" spans="1:7" x14ac:dyDescent="0.35">
      <c r="A814" s="1">
        <v>37894</v>
      </c>
      <c r="B814">
        <f>'10years'!B814-'10years'!$G814</f>
        <v>0.48467067638094363</v>
      </c>
      <c r="C814">
        <f>'10years'!C814-'10years'!$G814</f>
        <v>0.33092999500743936</v>
      </c>
      <c r="D814">
        <f>'10years'!D814-'10years'!$G814</f>
        <v>0.64407353949170165</v>
      </c>
      <c r="E814">
        <f>'10years'!E814-'10years'!$G814</f>
        <v>0.48550547690098789</v>
      </c>
      <c r="F814">
        <f>'10years'!F814-'10years'!$G814</f>
        <v>0.30889273366777026</v>
      </c>
      <c r="G814">
        <f>'10years'!H814-'10years'!$I814</f>
        <v>0.47740964641862504</v>
      </c>
    </row>
    <row r="815" spans="1:7" x14ac:dyDescent="0.35">
      <c r="A815" s="1">
        <v>37925</v>
      </c>
      <c r="B815">
        <f>'10years'!B815-'10years'!$G815</f>
        <v>0.48371627861391397</v>
      </c>
      <c r="C815">
        <f>'10years'!C815-'10years'!$G815</f>
        <v>0.33072969050763978</v>
      </c>
      <c r="D815">
        <f>'10years'!D815-'10years'!$G815</f>
        <v>0.63700571231978609</v>
      </c>
      <c r="E815">
        <f>'10years'!E815-'10years'!$G815</f>
        <v>0.47883077549117159</v>
      </c>
      <c r="F815">
        <f>'10years'!F815-'10years'!$G815</f>
        <v>0.30895490776334045</v>
      </c>
      <c r="G815">
        <f>'10years'!H815-'10years'!$I815</f>
        <v>0.47623190700905038</v>
      </c>
    </row>
    <row r="816" spans="1:7" x14ac:dyDescent="0.35">
      <c r="A816" s="1">
        <v>37953</v>
      </c>
      <c r="B816">
        <f>'10years'!B816-'10years'!$G816</f>
        <v>0.51407109321144029</v>
      </c>
      <c r="C816">
        <f>'10years'!C816-'10years'!$G816</f>
        <v>0.36084105761761931</v>
      </c>
      <c r="D816">
        <f>'10years'!D816-'10years'!$G816</f>
        <v>0.67979761194436295</v>
      </c>
      <c r="E816">
        <f>'10years'!E816-'10years'!$G816</f>
        <v>0.52159672555902281</v>
      </c>
      <c r="F816">
        <f>'10years'!F816-'10years'!$G816</f>
        <v>0.33918821128399967</v>
      </c>
      <c r="G816">
        <f>'10years'!H816-'10years'!$I816</f>
        <v>0.50633703907769778</v>
      </c>
    </row>
    <row r="817" spans="1:7" x14ac:dyDescent="0.35">
      <c r="A817" s="1">
        <v>37986</v>
      </c>
      <c r="B817">
        <f>'10years'!B817-'10years'!$G817</f>
        <v>0.53085521031728478</v>
      </c>
      <c r="C817">
        <f>'10years'!C817-'10years'!$G817</f>
        <v>0.37913463029415562</v>
      </c>
      <c r="D817">
        <f>'10years'!D817-'10years'!$G817</f>
        <v>0.70649284789998879</v>
      </c>
      <c r="E817">
        <f>'10years'!E817-'10years'!$G817</f>
        <v>0.54963369279284136</v>
      </c>
      <c r="F817">
        <f>'10years'!F817-'10years'!$G817</f>
        <v>0.35778362104570638</v>
      </c>
      <c r="G817">
        <f>'10years'!H817-'10years'!$I817</f>
        <v>0.52286886740402494</v>
      </c>
    </row>
    <row r="818" spans="1:7" x14ac:dyDescent="0.35">
      <c r="A818" s="1">
        <v>38016</v>
      </c>
      <c r="B818">
        <f>'10years'!B818-'10years'!$G818</f>
        <v>0.56417848369520129</v>
      </c>
      <c r="C818">
        <f>'10years'!C818-'10years'!$G818</f>
        <v>0.41275733780864687</v>
      </c>
      <c r="D818">
        <f>'10years'!D818-'10years'!$G818</f>
        <v>0.73211723056899825</v>
      </c>
      <c r="E818">
        <f>'10years'!E818-'10years'!$G818</f>
        <v>0.57531783521954871</v>
      </c>
      <c r="F818">
        <f>'10years'!F818-'10years'!$G818</f>
        <v>0.39236229425711144</v>
      </c>
      <c r="G818">
        <f>'10years'!H818-'10years'!$I818</f>
        <v>0.55592945065061627</v>
      </c>
    </row>
    <row r="819" spans="1:7" x14ac:dyDescent="0.35">
      <c r="A819" s="1">
        <v>38044</v>
      </c>
      <c r="B819">
        <f>'10years'!B819-'10years'!$G819</f>
        <v>0.55414864525114704</v>
      </c>
      <c r="C819">
        <f>'10years'!C819-'10years'!$G819</f>
        <v>0.40304826264455218</v>
      </c>
      <c r="D819">
        <f>'10years'!D819-'10years'!$G819</f>
        <v>0.72337851764684014</v>
      </c>
      <c r="E819">
        <f>'10years'!E819-'10years'!$G819</f>
        <v>0.56694949597112099</v>
      </c>
      <c r="F819">
        <f>'10years'!F819-'10years'!$G819</f>
        <v>0.38162108428677199</v>
      </c>
      <c r="G819">
        <f>'10years'!H819-'10years'!$I819</f>
        <v>0.54567543038430699</v>
      </c>
    </row>
    <row r="820" spans="1:7" x14ac:dyDescent="0.35">
      <c r="A820" s="1">
        <v>38077</v>
      </c>
      <c r="B820">
        <f>'10years'!B820-'10years'!$G820</f>
        <v>0.59079678598056073</v>
      </c>
      <c r="C820">
        <f>'10years'!C820-'10years'!$G820</f>
        <v>0.44080497478148128</v>
      </c>
      <c r="D820">
        <f>'10years'!D820-'10years'!$G820</f>
        <v>0.75703731201262947</v>
      </c>
      <c r="E820">
        <f>'10years'!E820-'10years'!$G820</f>
        <v>0.60168222935524707</v>
      </c>
      <c r="F820">
        <f>'10years'!F820-'10years'!$G820</f>
        <v>0.418883860618533</v>
      </c>
      <c r="G820">
        <f>'10years'!H820-'10years'!$I820</f>
        <v>0.58203686791344911</v>
      </c>
    </row>
    <row r="821" spans="1:7" x14ac:dyDescent="0.35">
      <c r="A821" s="1">
        <v>38107</v>
      </c>
      <c r="B821">
        <f>'10years'!B821-'10years'!$G821</f>
        <v>0.61716353329126861</v>
      </c>
      <c r="C821">
        <f>'10years'!C821-'10years'!$G821</f>
        <v>0.46803604822827438</v>
      </c>
      <c r="D821">
        <f>'10years'!D821-'10years'!$G821</f>
        <v>0.79148635250596922</v>
      </c>
      <c r="E821">
        <f>'10years'!E821-'10years'!$G821</f>
        <v>0.6366317797416956</v>
      </c>
      <c r="F821">
        <f>'10years'!F821-'10years'!$G821</f>
        <v>0.44604667739938453</v>
      </c>
      <c r="G821">
        <f>'10years'!H821-'10years'!$I821</f>
        <v>0.60816225391853163</v>
      </c>
    </row>
    <row r="822" spans="1:7" x14ac:dyDescent="0.35">
      <c r="A822" s="1">
        <v>38135</v>
      </c>
      <c r="B822">
        <f>'10years'!B822-'10years'!$G822</f>
        <v>0.59503409931196449</v>
      </c>
      <c r="C822">
        <f>'10years'!C822-'10years'!$G822</f>
        <v>0.44608495833571338</v>
      </c>
      <c r="D822">
        <f>'10years'!D822-'10years'!$G822</f>
        <v>0.76858932398635771</v>
      </c>
      <c r="E822">
        <f>'10years'!E822-'10years'!$G822</f>
        <v>0.61392846740526741</v>
      </c>
      <c r="F822">
        <f>'10years'!F822-'10years'!$G822</f>
        <v>0.42399446399479279</v>
      </c>
      <c r="G822">
        <f>'10years'!H822-'10years'!$I822</f>
        <v>0.58586498317778624</v>
      </c>
    </row>
    <row r="823" spans="1:7" x14ac:dyDescent="0.35">
      <c r="A823" s="1">
        <v>38168</v>
      </c>
      <c r="B823">
        <f>'10years'!B823-'10years'!$G823</f>
        <v>0.59515392478728413</v>
      </c>
      <c r="C823">
        <f>'10years'!C823-'10years'!$G823</f>
        <v>0.44798162958852328</v>
      </c>
      <c r="D823">
        <f>'10years'!D823-'10years'!$G823</f>
        <v>0.77697401246348297</v>
      </c>
      <c r="E823">
        <f>'10years'!E823-'10years'!$G823</f>
        <v>0.62396832792348556</v>
      </c>
      <c r="F823">
        <f>'10years'!F823-'10years'!$G823</f>
        <v>0.42605627163212501</v>
      </c>
      <c r="G823">
        <f>'10years'!H823-'10years'!$I823</f>
        <v>0.58572016835238827</v>
      </c>
    </row>
    <row r="824" spans="1:7" x14ac:dyDescent="0.35">
      <c r="A824" s="1">
        <v>38198</v>
      </c>
      <c r="B824">
        <f>'10years'!B824-'10years'!$G824</f>
        <v>0.63461000727452244</v>
      </c>
      <c r="C824">
        <f>'10years'!C824-'10years'!$G824</f>
        <v>0.48819954959716294</v>
      </c>
      <c r="D824">
        <f>'10years'!D824-'10years'!$G824</f>
        <v>0.82296395602717332</v>
      </c>
      <c r="E824">
        <f>'10years'!E824-'10years'!$G824</f>
        <v>0.67035756166829485</v>
      </c>
      <c r="F824">
        <f>'10years'!F824-'10years'!$G824</f>
        <v>0.46598133508264961</v>
      </c>
      <c r="G824">
        <f>'10years'!H824-'10years'!$I824</f>
        <v>0.62488040302794978</v>
      </c>
    </row>
    <row r="825" spans="1:7" x14ac:dyDescent="0.35">
      <c r="A825" s="1">
        <v>38230</v>
      </c>
      <c r="B825">
        <f>'10years'!B825-'10years'!$G825</f>
        <v>0.58102106094715911</v>
      </c>
      <c r="C825">
        <f>'10years'!C825-'10years'!$G825</f>
        <v>0.43477005567989746</v>
      </c>
      <c r="D825">
        <f>'10years'!D825-'10years'!$G825</f>
        <v>0.75950380335219858</v>
      </c>
      <c r="E825">
        <f>'10years'!E825-'10years'!$G825</f>
        <v>0.60717231628687163</v>
      </c>
      <c r="F825">
        <f>'10years'!F825-'10years'!$G825</f>
        <v>0.41233754013712787</v>
      </c>
      <c r="G825">
        <f>'10years'!H825-'10years'!$I825</f>
        <v>0.57124428037260699</v>
      </c>
    </row>
    <row r="826" spans="1:7" x14ac:dyDescent="0.35">
      <c r="A826" s="1">
        <v>38260</v>
      </c>
      <c r="B826">
        <f>'10years'!B826-'10years'!$G826</f>
        <v>0.55247375473372884</v>
      </c>
      <c r="C826">
        <f>'10years'!C826-'10years'!$G826</f>
        <v>0.4074764854334445</v>
      </c>
      <c r="D826">
        <f>'10years'!D826-'10years'!$G826</f>
        <v>0.71645579265295911</v>
      </c>
      <c r="E826">
        <f>'10years'!E826-'10years'!$G826</f>
        <v>0.56529006193697384</v>
      </c>
      <c r="F826">
        <f>'10years'!F826-'10years'!$G826</f>
        <v>0.38555557760251435</v>
      </c>
      <c r="G826">
        <f>'10years'!H826-'10years'!$I826</f>
        <v>0.54262401438938124</v>
      </c>
    </row>
    <row r="827" spans="1:7" x14ac:dyDescent="0.35">
      <c r="A827" s="1">
        <v>38289</v>
      </c>
      <c r="B827">
        <f>'10years'!B827-'10years'!$G827</f>
        <v>0.58420184890111604</v>
      </c>
      <c r="C827">
        <f>'10years'!C827-'10years'!$G827</f>
        <v>0.4399194876437742</v>
      </c>
      <c r="D827">
        <f>'10years'!D827-'10years'!$G827</f>
        <v>0.76385640730463522</v>
      </c>
      <c r="E827">
        <f>'10years'!E827-'10years'!$G827</f>
        <v>0.61311276708327278</v>
      </c>
      <c r="F827">
        <f>'10years'!F827-'10years'!$G827</f>
        <v>0.41857532494425276</v>
      </c>
      <c r="G827">
        <f>'10years'!H827-'10years'!$I827</f>
        <v>0.57414107599798037</v>
      </c>
    </row>
    <row r="828" spans="1:7" x14ac:dyDescent="0.35">
      <c r="A828" s="1">
        <v>38321</v>
      </c>
      <c r="B828">
        <f>'10years'!B828-'10years'!$G828</f>
        <v>0.58027594234478297</v>
      </c>
      <c r="C828">
        <f>'10years'!C828-'10years'!$G828</f>
        <v>0.43624547460470797</v>
      </c>
      <c r="D828">
        <f>'10years'!D828-'10years'!$G828</f>
        <v>0.77658519207375942</v>
      </c>
      <c r="E828">
        <f>'10years'!E828-'10years'!$G828</f>
        <v>0.62625734962945057</v>
      </c>
      <c r="F828">
        <f>'10years'!F828-'10years'!$G828</f>
        <v>0.41533523595745425</v>
      </c>
      <c r="G828">
        <f>'10years'!H828-'10years'!$I828</f>
        <v>0.57006643487249598</v>
      </c>
    </row>
    <row r="829" spans="1:7" x14ac:dyDescent="0.35">
      <c r="A829" s="1">
        <v>38352</v>
      </c>
      <c r="B829">
        <f>'10years'!B829-'10years'!$G829</f>
        <v>0.64668353642206688</v>
      </c>
      <c r="C829">
        <f>'10years'!C829-'10years'!$G829</f>
        <v>0.50129722681559019</v>
      </c>
      <c r="D829">
        <f>'10years'!D829-'10years'!$G829</f>
        <v>0.86399561889075716</v>
      </c>
      <c r="E829">
        <f>'10years'!E829-'10years'!$G829</f>
        <v>0.71469209723246219</v>
      </c>
      <c r="F829">
        <f>'10years'!F829-'10years'!$G829</f>
        <v>0.48289396806279306</v>
      </c>
      <c r="G829">
        <f>'10years'!H829-'10years'!$I829</f>
        <v>0.63624679361207193</v>
      </c>
    </row>
    <row r="830" spans="1:7" x14ac:dyDescent="0.35">
      <c r="A830" s="1">
        <v>38383</v>
      </c>
      <c r="B830">
        <f>'10years'!B830-'10years'!$G830</f>
        <v>0.66447159376875575</v>
      </c>
      <c r="C830">
        <f>'10years'!C830-'10years'!$G830</f>
        <v>0.51982455795948024</v>
      </c>
      <c r="D830">
        <f>'10years'!D830-'10years'!$G830</f>
        <v>0.88362432048015815</v>
      </c>
      <c r="E830">
        <f>'10years'!E830-'10years'!$G830</f>
        <v>0.73486161252850302</v>
      </c>
      <c r="F830">
        <f>'10years'!F830-'10years'!$G830</f>
        <v>0.50182067534522101</v>
      </c>
      <c r="G830">
        <f>'10years'!H830-'10years'!$I830</f>
        <v>0.65398042875104423</v>
      </c>
    </row>
    <row r="831" spans="1:7" x14ac:dyDescent="0.35">
      <c r="A831" s="1">
        <v>38411</v>
      </c>
      <c r="B831">
        <f>'10years'!B831-'10years'!$G831</f>
        <v>0.62479856641829734</v>
      </c>
      <c r="C831">
        <f>'10years'!C831-'10years'!$G831</f>
        <v>0.48076872257195902</v>
      </c>
      <c r="D831">
        <f>'10years'!D831-'10years'!$G831</f>
        <v>0.84295906739019522</v>
      </c>
      <c r="E831">
        <f>'10years'!E831-'10years'!$G831</f>
        <v>0.69485652823752275</v>
      </c>
      <c r="F831">
        <f>'10years'!F831-'10years'!$G831</f>
        <v>0.46236363015758375</v>
      </c>
      <c r="G831">
        <f>'10years'!H831-'10years'!$I831</f>
        <v>0.61436585204823757</v>
      </c>
    </row>
    <row r="832" spans="1:7" x14ac:dyDescent="0.35">
      <c r="A832" s="1">
        <v>38442</v>
      </c>
      <c r="B832">
        <f>'10years'!B832-'10years'!$G832</f>
        <v>0.61208893293928024</v>
      </c>
      <c r="C832">
        <f>'10years'!C832-'10years'!$G832</f>
        <v>0.46866758290772181</v>
      </c>
      <c r="D832">
        <f>'10years'!D832-'10years'!$G832</f>
        <v>0.82523222529019491</v>
      </c>
      <c r="E832">
        <f>'10years'!E832-'10years'!$G832</f>
        <v>0.67817891785172324</v>
      </c>
      <c r="F832">
        <f>'10years'!F832-'10years'!$G832</f>
        <v>0.45037860130842033</v>
      </c>
      <c r="G832">
        <f>'10years'!H832-'10years'!$I832</f>
        <v>0.60162706169515356</v>
      </c>
    </row>
    <row r="833" spans="1:7" x14ac:dyDescent="0.35">
      <c r="A833" s="1">
        <v>38471</v>
      </c>
      <c r="B833">
        <f>'10years'!B833-'10years'!$G833</f>
        <v>0.57519916009175787</v>
      </c>
      <c r="C833">
        <f>'10years'!C833-'10years'!$G833</f>
        <v>0.43231961889894932</v>
      </c>
      <c r="D833">
        <f>'10years'!D833-'10years'!$G833</f>
        <v>0.7919596426927773</v>
      </c>
      <c r="E833">
        <f>'10years'!E833-'10years'!$G833</f>
        <v>0.6451961477383612</v>
      </c>
      <c r="F833">
        <f>'10years'!F833-'10years'!$G833</f>
        <v>0.41358225733329212</v>
      </c>
      <c r="G833">
        <f>'10years'!H833-'10years'!$I833</f>
        <v>0.56484480950229621</v>
      </c>
    </row>
    <row r="834" spans="1:7" x14ac:dyDescent="0.35">
      <c r="A834" s="1">
        <v>38503</v>
      </c>
      <c r="B834">
        <f>'10years'!B834-'10years'!$G834</f>
        <v>0.53667889613158914</v>
      </c>
      <c r="C834">
        <f>'10years'!C834-'10years'!$G834</f>
        <v>0.39408053040799951</v>
      </c>
      <c r="D834">
        <f>'10years'!D834-'10years'!$G834</f>
        <v>0.74754795678542907</v>
      </c>
      <c r="E834">
        <f>'10years'!E834-'10years'!$G834</f>
        <v>0.60123125942051692</v>
      </c>
      <c r="F834">
        <f>'10years'!F834-'10years'!$G834</f>
        <v>0.3752848349329061</v>
      </c>
      <c r="G834">
        <f>'10years'!H834-'10years'!$I834</f>
        <v>0.52643377735126506</v>
      </c>
    </row>
    <row r="835" spans="1:7" x14ac:dyDescent="0.35">
      <c r="A835" s="1">
        <v>38533</v>
      </c>
      <c r="B835">
        <f>'10years'!B835-'10years'!$G835</f>
        <v>0.53268808654793931</v>
      </c>
      <c r="C835">
        <f>'10years'!C835-'10years'!$G835</f>
        <v>0.39131465817272604</v>
      </c>
      <c r="D835">
        <f>'10years'!D835-'10years'!$G835</f>
        <v>0.76028359083553143</v>
      </c>
      <c r="E835">
        <f>'10years'!E835-'10years'!$G835</f>
        <v>0.61529771553041668</v>
      </c>
      <c r="F835">
        <f>'10years'!F835-'10years'!$G835</f>
        <v>0.3724687148090271</v>
      </c>
      <c r="G835">
        <f>'10years'!H835-'10years'!$I835</f>
        <v>0.52261108036437687</v>
      </c>
    </row>
    <row r="836" spans="1:7" x14ac:dyDescent="0.35">
      <c r="A836" s="1">
        <v>38562</v>
      </c>
      <c r="B836">
        <f>'10years'!B836-'10years'!$G836</f>
        <v>0.51600476574285792</v>
      </c>
      <c r="C836">
        <f>'10years'!C836-'10years'!$G836</f>
        <v>0.37493942825915449</v>
      </c>
      <c r="D836">
        <f>'10years'!D836-'10years'!$G836</f>
        <v>0.75288102302775939</v>
      </c>
      <c r="E836">
        <f>'10years'!E836-'10years'!$G836</f>
        <v>0.60812243128241739</v>
      </c>
      <c r="F836">
        <f>'10years'!F836-'10years'!$G836</f>
        <v>0.35661481470504408</v>
      </c>
      <c r="G836">
        <f>'10years'!H836-'10years'!$I836</f>
        <v>0.50603752655149492</v>
      </c>
    </row>
    <row r="837" spans="1:7" x14ac:dyDescent="0.35">
      <c r="A837" s="1">
        <v>38595</v>
      </c>
      <c r="B837">
        <f>'10years'!B837-'10years'!$G837</f>
        <v>0.52090782640826405</v>
      </c>
      <c r="C837">
        <f>'10years'!C837-'10years'!$G837</f>
        <v>0.3799888472376296</v>
      </c>
      <c r="D837">
        <f>'10years'!D837-'10years'!$G837</f>
        <v>0.76920564895034027</v>
      </c>
      <c r="E837">
        <f>'10years'!E837-'10years'!$G837</f>
        <v>0.62474673751725285</v>
      </c>
      <c r="F837">
        <f>'10years'!F837-'10years'!$G837</f>
        <v>0.36170652959222793</v>
      </c>
      <c r="G837">
        <f>'10years'!H837-'10years'!$I837</f>
        <v>0.51096861876858135</v>
      </c>
    </row>
    <row r="838" spans="1:7" x14ac:dyDescent="0.35">
      <c r="A838" s="1">
        <v>38625</v>
      </c>
      <c r="B838">
        <f>'10years'!B838-'10years'!$G838</f>
        <v>0.51156758626029952</v>
      </c>
      <c r="C838">
        <f>'10years'!C838-'10years'!$G838</f>
        <v>0.37127284461640131</v>
      </c>
      <c r="D838">
        <f>'10years'!D838-'10years'!$G838</f>
        <v>0.7557713612188508</v>
      </c>
      <c r="E838">
        <f>'10years'!E838-'10years'!$G838</f>
        <v>0.61242388909774825</v>
      </c>
      <c r="F838">
        <f>'10years'!F838-'10years'!$G838</f>
        <v>0.35383555789587828</v>
      </c>
      <c r="G838">
        <f>'10years'!H838-'10years'!$I838</f>
        <v>0.50171876953015726</v>
      </c>
    </row>
    <row r="839" spans="1:7" x14ac:dyDescent="0.35">
      <c r="A839" s="1">
        <v>38656</v>
      </c>
      <c r="B839">
        <f>'10years'!B839-'10years'!$G839</f>
        <v>0.48478843516788328</v>
      </c>
      <c r="C839">
        <f>'10years'!C839-'10years'!$G839</f>
        <v>0.34512098134678149</v>
      </c>
      <c r="D839">
        <f>'10years'!D839-'10years'!$G839</f>
        <v>0.74323839478363074</v>
      </c>
      <c r="E839">
        <f>'10years'!E839-'10years'!$G839</f>
        <v>0.60022256340908187</v>
      </c>
      <c r="F839">
        <f>'10years'!F839-'10years'!$G839</f>
        <v>0.3277836141139423</v>
      </c>
      <c r="G839">
        <f>'10years'!H839-'10years'!$I839</f>
        <v>0.47500097136923269</v>
      </c>
    </row>
    <row r="840" spans="1:7" x14ac:dyDescent="0.35">
      <c r="A840" s="1">
        <v>38686</v>
      </c>
      <c r="B840">
        <f>'10years'!B840-'10years'!$G840</f>
        <v>0.47599415285217739</v>
      </c>
      <c r="C840">
        <f>'10years'!C840-'10years'!$G840</f>
        <v>0.33666481557319572</v>
      </c>
      <c r="D840">
        <f>'10years'!D840-'10years'!$G840</f>
        <v>0.74537614934981922</v>
      </c>
      <c r="E840">
        <f>'10years'!E840-'10years'!$G840</f>
        <v>0.60267741871040692</v>
      </c>
      <c r="F840">
        <f>'10years'!F840-'10years'!$G840</f>
        <v>0.31853542171649285</v>
      </c>
      <c r="G840">
        <f>'10years'!H840-'10years'!$I840</f>
        <v>0.46632001584636651</v>
      </c>
    </row>
    <row r="841" spans="1:7" x14ac:dyDescent="0.35">
      <c r="A841" s="1">
        <v>38716</v>
      </c>
      <c r="B841">
        <f>'10years'!B841-'10years'!$G841</f>
        <v>0.47211184682424023</v>
      </c>
      <c r="C841">
        <f>'10years'!C841-'10years'!$G841</f>
        <v>0.3329599098809688</v>
      </c>
      <c r="D841">
        <f>'10years'!D841-'10years'!$G841</f>
        <v>0.74042059486120082</v>
      </c>
      <c r="E841">
        <f>'10years'!E841-'10years'!$G841</f>
        <v>0.59840424714735385</v>
      </c>
      <c r="F841">
        <f>'10years'!F841-'10years'!$G841</f>
        <v>0.31466810591528227</v>
      </c>
      <c r="G841">
        <f>'10years'!H841-'10years'!$I841</f>
        <v>0.4625187601024372</v>
      </c>
    </row>
    <row r="842" spans="1:7" x14ac:dyDescent="0.35">
      <c r="A842" s="1">
        <v>38748</v>
      </c>
      <c r="B842">
        <f>'10years'!B842-'10years'!$G842</f>
        <v>0.45867969197210878</v>
      </c>
      <c r="C842">
        <f>'10years'!C842-'10years'!$G842</f>
        <v>0.319939521435187</v>
      </c>
      <c r="D842">
        <f>'10years'!D842-'10years'!$G842</f>
        <v>0.73621311939176048</v>
      </c>
      <c r="E842">
        <f>'10years'!E842-'10years'!$G842</f>
        <v>0.594556797689761</v>
      </c>
      <c r="F842">
        <f>'10years'!F842-'10years'!$G842</f>
        <v>0.30067480858673235</v>
      </c>
      <c r="G842">
        <f>'10years'!H842-'10years'!$I842</f>
        <v>0.44923210139069525</v>
      </c>
    </row>
    <row r="843" spans="1:7" x14ac:dyDescent="0.35">
      <c r="A843" s="1">
        <v>38776</v>
      </c>
      <c r="B843">
        <f>'10years'!B843-'10years'!$G843</f>
        <v>0.45244035394186866</v>
      </c>
      <c r="C843">
        <f>'10years'!C843-'10years'!$G843</f>
        <v>0.31404999970398584</v>
      </c>
      <c r="D843">
        <f>'10years'!D843-'10years'!$G843</f>
        <v>0.7455278692094669</v>
      </c>
      <c r="E843">
        <f>'10years'!E843-'10years'!$G843</f>
        <v>0.60430841050713169</v>
      </c>
      <c r="F843">
        <f>'10years'!F843-'10years'!$G843</f>
        <v>0.29546918843156855</v>
      </c>
      <c r="G843">
        <f>'10years'!H843-'10years'!$I843</f>
        <v>0.44305008191287687</v>
      </c>
    </row>
    <row r="844" spans="1:7" x14ac:dyDescent="0.35">
      <c r="A844" s="1">
        <v>38807</v>
      </c>
      <c r="B844">
        <f>'10years'!B844-'10years'!$G844</f>
        <v>0.44644082129363394</v>
      </c>
      <c r="C844">
        <f>'10years'!C844-'10years'!$G844</f>
        <v>0.30816218251485683</v>
      </c>
      <c r="D844">
        <f>'10years'!D844-'10years'!$G844</f>
        <v>0.73763332265805737</v>
      </c>
      <c r="E844">
        <f>'10years'!E844-'10years'!$G844</f>
        <v>0.59711689590637729</v>
      </c>
      <c r="F844">
        <f>'10years'!F844-'10years'!$G844</f>
        <v>0.29045038437718063</v>
      </c>
      <c r="G844">
        <f>'10years'!H844-'10years'!$I844</f>
        <v>0.43709128455005075</v>
      </c>
    </row>
    <row r="845" spans="1:7" x14ac:dyDescent="0.35">
      <c r="A845" s="1">
        <v>38835</v>
      </c>
      <c r="B845">
        <f>'10years'!B845-'10years'!$G845</f>
        <v>0.44935582589703915</v>
      </c>
      <c r="C845">
        <f>'10years'!C845-'10years'!$G845</f>
        <v>0.31134916649958977</v>
      </c>
      <c r="D845">
        <f>'10years'!D845-'10years'!$G845</f>
        <v>0.73638659929157568</v>
      </c>
      <c r="E845">
        <f>'10years'!E845-'10years'!$G845</f>
        <v>0.59606919115026513</v>
      </c>
      <c r="F845">
        <f>'10years'!F845-'10years'!$G845</f>
        <v>0.29321977510858122</v>
      </c>
      <c r="G845">
        <f>'10years'!H845-'10years'!$I845</f>
        <v>0.44001734482872479</v>
      </c>
    </row>
    <row r="846" spans="1:7" x14ac:dyDescent="0.35">
      <c r="A846" s="1">
        <v>38868</v>
      </c>
      <c r="B846">
        <f>'10years'!B846-'10years'!$G846</f>
        <v>0.44757570070969255</v>
      </c>
      <c r="C846">
        <f>'10years'!C846-'10years'!$G846</f>
        <v>0.30962074305048937</v>
      </c>
      <c r="D846">
        <f>'10years'!D846-'10years'!$G846</f>
        <v>0.72239037838636388</v>
      </c>
      <c r="E846">
        <f>'10years'!E846-'10years'!$G846</f>
        <v>0.58227838369306006</v>
      </c>
      <c r="F846">
        <f>'10years'!F846-'10years'!$G846</f>
        <v>0.29295192151978178</v>
      </c>
      <c r="G846">
        <f>'10years'!H846-'10years'!$I846</f>
        <v>0.43830734124012949</v>
      </c>
    </row>
    <row r="847" spans="1:7" x14ac:dyDescent="0.35">
      <c r="A847" s="1">
        <v>38898</v>
      </c>
      <c r="B847">
        <f>'10years'!B847-'10years'!$G847</f>
        <v>0.40245570343308623</v>
      </c>
      <c r="C847">
        <f>'10years'!C847-'10years'!$G847</f>
        <v>0.26489482687003862</v>
      </c>
      <c r="D847">
        <f>'10years'!D847-'10years'!$G847</f>
        <v>0.68719556154274786</v>
      </c>
      <c r="E847">
        <f>'10years'!E847-'10years'!$G847</f>
        <v>0.54788392245010487</v>
      </c>
      <c r="F847">
        <f>'10years'!F847-'10years'!$G847</f>
        <v>0.24762478821586731</v>
      </c>
      <c r="G847">
        <f>'10years'!H847-'10years'!$I847</f>
        <v>0.39327035098337682</v>
      </c>
    </row>
    <row r="848" spans="1:7" x14ac:dyDescent="0.35">
      <c r="A848" s="1">
        <v>38929</v>
      </c>
      <c r="B848">
        <f>'10years'!B848-'10years'!$G848</f>
        <v>0.40032968227396504</v>
      </c>
      <c r="C848">
        <f>'10years'!C848-'10years'!$G848</f>
        <v>0.26304234007270066</v>
      </c>
      <c r="D848">
        <f>'10years'!D848-'10years'!$G848</f>
        <v>0.69343339054969766</v>
      </c>
      <c r="E848">
        <f>'10years'!E848-'10years'!$G848</f>
        <v>0.55433968449551463</v>
      </c>
      <c r="F848">
        <f>'10years'!F848-'10years'!$G848</f>
        <v>0.24580891527325521</v>
      </c>
      <c r="G848">
        <f>'10years'!H848-'10years'!$I848</f>
        <v>0.39114695661868204</v>
      </c>
    </row>
    <row r="849" spans="1:7" x14ac:dyDescent="0.35">
      <c r="A849" s="1">
        <v>38960</v>
      </c>
      <c r="B849">
        <f>'10years'!B849-'10years'!$G849</f>
        <v>0.44352246169804488</v>
      </c>
      <c r="C849">
        <f>'10years'!C849-'10years'!$G849</f>
        <v>0.30670010957064786</v>
      </c>
      <c r="D849">
        <f>'10years'!D849-'10years'!$G849</f>
        <v>0.7301181993937611</v>
      </c>
      <c r="E849">
        <f>'10years'!E849-'10years'!$G849</f>
        <v>0.59137441888354125</v>
      </c>
      <c r="F849">
        <f>'10years'!F849-'10years'!$G849</f>
        <v>0.28967619289078872</v>
      </c>
      <c r="G849">
        <f>'10years'!H849-'10years'!$I849</f>
        <v>0.4342755304046042</v>
      </c>
    </row>
    <row r="850" spans="1:7" x14ac:dyDescent="0.35">
      <c r="A850" s="1">
        <v>38989</v>
      </c>
      <c r="B850">
        <f>'10years'!B850-'10years'!$G850</f>
        <v>0.44526985026489507</v>
      </c>
      <c r="C850">
        <f>'10years'!C850-'10years'!$G850</f>
        <v>0.30834089349207572</v>
      </c>
      <c r="D850">
        <f>'10years'!D850-'10years'!$G850</f>
        <v>0.7279576413376172</v>
      </c>
      <c r="E850">
        <f>'10years'!E850-'10years'!$G850</f>
        <v>0.5897962849003453</v>
      </c>
      <c r="F850">
        <f>'10years'!F850-'10years'!$G850</f>
        <v>0.29162170425049938</v>
      </c>
      <c r="G850">
        <f>'10years'!H850-'10years'!$I850</f>
        <v>0.43600034104580576</v>
      </c>
    </row>
    <row r="851" spans="1:7" x14ac:dyDescent="0.35">
      <c r="A851" s="1">
        <v>39021</v>
      </c>
      <c r="B851">
        <f>'10years'!B851-'10years'!$G851</f>
        <v>0.42167603791610309</v>
      </c>
      <c r="C851">
        <f>'10years'!C851-'10years'!$G851</f>
        <v>0.28533401673239234</v>
      </c>
      <c r="D851">
        <f>'10years'!D851-'10years'!$G851</f>
        <v>0.70912840888944317</v>
      </c>
      <c r="E851">
        <f>'10years'!E851-'10years'!$G851</f>
        <v>0.57133179576772197</v>
      </c>
      <c r="F851">
        <f>'10years'!F851-'10years'!$G851</f>
        <v>0.26797336458615573</v>
      </c>
      <c r="G851">
        <f>'10years'!H851-'10years'!$I851</f>
        <v>0.41250909226273613</v>
      </c>
    </row>
    <row r="852" spans="1:7" x14ac:dyDescent="0.35">
      <c r="A852" s="1">
        <v>39051</v>
      </c>
      <c r="B852">
        <f>'10years'!B852-'10years'!$G852</f>
        <v>0.4264214786904803</v>
      </c>
      <c r="C852">
        <f>'10years'!C852-'10years'!$G852</f>
        <v>0.29035848486565441</v>
      </c>
      <c r="D852">
        <f>'10years'!D852-'10years'!$G852</f>
        <v>0.7281811977426107</v>
      </c>
      <c r="E852">
        <f>'10years'!E852-'10years'!$G852</f>
        <v>0.59050061797699072</v>
      </c>
      <c r="F852">
        <f>'10years'!F852-'10years'!$G852</f>
        <v>0.27242878434086637</v>
      </c>
      <c r="G852">
        <f>'10years'!H852-'10years'!$I852</f>
        <v>0.41727847524060113</v>
      </c>
    </row>
    <row r="853" spans="1:7" x14ac:dyDescent="0.35">
      <c r="A853" s="1">
        <v>39080</v>
      </c>
      <c r="B853">
        <f>'10years'!B853-'10years'!$G853</f>
        <v>0.37982485092969509</v>
      </c>
      <c r="C853">
        <f>'10years'!C853-'10years'!$G853</f>
        <v>0.24349911758104281</v>
      </c>
      <c r="D853">
        <f>'10years'!D853-'10years'!$G853</f>
        <v>0.69221050030006759</v>
      </c>
      <c r="E853">
        <f>'10years'!E853-'10years'!$G853</f>
        <v>0.55481097695247539</v>
      </c>
      <c r="F853">
        <f>'10years'!F853-'10years'!$G853</f>
        <v>0.22671263813783349</v>
      </c>
      <c r="G853">
        <f>'10years'!H853-'10years'!$I853</f>
        <v>0.37077727796182014</v>
      </c>
    </row>
    <row r="854" spans="1:7" x14ac:dyDescent="0.35">
      <c r="A854" s="1">
        <v>39113</v>
      </c>
      <c r="B854">
        <f>'10years'!B854-'10years'!$G854</f>
        <v>0.40852502808371249</v>
      </c>
      <c r="C854">
        <f>'10years'!C854-'10years'!$G854</f>
        <v>0.27241347665441595</v>
      </c>
      <c r="D854">
        <f>'10years'!D854-'10years'!$G854</f>
        <v>0.71384983040597239</v>
      </c>
      <c r="E854">
        <f>'10years'!E854-'10years'!$G854</f>
        <v>0.57658480360456932</v>
      </c>
      <c r="F854">
        <f>'10years'!F854-'10years'!$G854</f>
        <v>0.25587758325532151</v>
      </c>
      <c r="G854">
        <f>'10years'!H854-'10years'!$I854</f>
        <v>0.39945923855286836</v>
      </c>
    </row>
    <row r="855" spans="1:7" x14ac:dyDescent="0.35">
      <c r="A855" s="1">
        <v>39141</v>
      </c>
      <c r="B855">
        <f>'10years'!B855-'10years'!$G855</f>
        <v>0.37022867744856569</v>
      </c>
      <c r="C855">
        <f>'10years'!C855-'10years'!$G855</f>
        <v>0.2342673750396056</v>
      </c>
      <c r="D855">
        <f>'10years'!D855-'10years'!$G855</f>
        <v>0.70142131882987169</v>
      </c>
      <c r="E855">
        <f>'10years'!E855-'10years'!$G855</f>
        <v>0.56440140727185995</v>
      </c>
      <c r="F855">
        <f>'10years'!F855-'10years'!$G855</f>
        <v>0.21779509721003443</v>
      </c>
      <c r="G855">
        <f>'10years'!H855-'10years'!$I855</f>
        <v>0.36125038816872124</v>
      </c>
    </row>
    <row r="856" spans="1:7" x14ac:dyDescent="0.35">
      <c r="A856" s="1">
        <v>39171</v>
      </c>
      <c r="B856">
        <f>'10years'!B856-'10years'!$G856</f>
        <v>0.34749430714351748</v>
      </c>
      <c r="C856">
        <f>'10years'!C856-'10years'!$G856</f>
        <v>0.21121262085071235</v>
      </c>
      <c r="D856">
        <f>'10years'!D856-'10years'!$G856</f>
        <v>0.68768542363735508</v>
      </c>
      <c r="E856">
        <f>'10years'!E856-'10years'!$G856</f>
        <v>0.55116668939421443</v>
      </c>
      <c r="F856">
        <f>'10years'!F856-'10years'!$G856</f>
        <v>0.19442530603584229</v>
      </c>
      <c r="G856">
        <f>'10years'!H856-'10years'!$I856</f>
        <v>0.33856239279590472</v>
      </c>
    </row>
    <row r="857" spans="1:7" x14ac:dyDescent="0.35">
      <c r="A857" s="1">
        <v>39202</v>
      </c>
      <c r="B857">
        <f>'10years'!B857-'10years'!$G857</f>
        <v>0.39230073953460431</v>
      </c>
      <c r="C857">
        <f>'10years'!C857-'10years'!$G857</f>
        <v>0.25637006825167985</v>
      </c>
      <c r="D857">
        <f>'10years'!D857-'10years'!$G857</f>
        <v>0.72394812726515356</v>
      </c>
      <c r="E857">
        <f>'10years'!E857-'10years'!$G857</f>
        <v>0.58759080489956572</v>
      </c>
      <c r="F857">
        <f>'10years'!F857-'10years'!$G857</f>
        <v>0.2392156837753876</v>
      </c>
      <c r="G857">
        <f>'10years'!H857-'10years'!$I857</f>
        <v>0.38326252571587727</v>
      </c>
    </row>
    <row r="858" spans="1:7" x14ac:dyDescent="0.35">
      <c r="A858" s="1">
        <v>39233</v>
      </c>
      <c r="B858">
        <f>'10years'!B858-'10years'!$G858</f>
        <v>0.37924219368908019</v>
      </c>
      <c r="C858">
        <f>'10years'!C858-'10years'!$G858</f>
        <v>0.243413148854146</v>
      </c>
      <c r="D858">
        <f>'10years'!D858-'10years'!$G858</f>
        <v>0.73292321649623093</v>
      </c>
      <c r="E858">
        <f>'10years'!E858-'10years'!$G858</f>
        <v>0.59643241122851154</v>
      </c>
      <c r="F858">
        <f>'10years'!F858-'10years'!$G858</f>
        <v>0.22709208343303611</v>
      </c>
      <c r="G858">
        <f>'10years'!H858-'10years'!$I858</f>
        <v>0.37021542315742728</v>
      </c>
    </row>
    <row r="859" spans="1:7" x14ac:dyDescent="0.35">
      <c r="A859" s="1">
        <v>39262</v>
      </c>
      <c r="B859">
        <f>'10years'!B859-'10years'!$G859</f>
        <v>0.35826749104419875</v>
      </c>
      <c r="C859">
        <f>'10years'!C859-'10years'!$G859</f>
        <v>0.2222808927792066</v>
      </c>
      <c r="D859">
        <f>'10years'!D859-'10years'!$G859</f>
        <v>0.70046778186736791</v>
      </c>
      <c r="E859">
        <f>'10years'!E859-'10years'!$G859</f>
        <v>0.56443363572138772</v>
      </c>
      <c r="F859">
        <f>'10years'!F859-'10years'!$G859</f>
        <v>0.20683340926182314</v>
      </c>
      <c r="G859">
        <f>'10years'!H859-'10years'!$I859</f>
        <v>0.34934669090354031</v>
      </c>
    </row>
    <row r="860" spans="1:7" x14ac:dyDescent="0.35">
      <c r="A860" s="1">
        <v>39294</v>
      </c>
      <c r="B860">
        <f>'10years'!B860-'10years'!$G860</f>
        <v>0.30779452577443944</v>
      </c>
      <c r="C860">
        <f>'10years'!C860-'10years'!$G860</f>
        <v>0.17192184741793159</v>
      </c>
      <c r="D860">
        <f>'10years'!D860-'10years'!$G860</f>
        <v>0.65250867280185343</v>
      </c>
      <c r="E860">
        <f>'10years'!E860-'10years'!$G860</f>
        <v>0.51671050908715799</v>
      </c>
      <c r="F860">
        <f>'10years'!F860-'10years'!$G860</f>
        <v>0.15593866667570211</v>
      </c>
      <c r="G860">
        <f>'10years'!H860-'10years'!$I860</f>
        <v>0.29896306833712138</v>
      </c>
    </row>
    <row r="861" spans="1:7" x14ac:dyDescent="0.35">
      <c r="A861" s="1">
        <v>39325</v>
      </c>
      <c r="B861">
        <f>'10years'!B861-'10years'!$G861</f>
        <v>0.21667826358310438</v>
      </c>
      <c r="C861">
        <f>'10years'!C861-'10years'!$G861</f>
        <v>8.1083918414738276E-2</v>
      </c>
      <c r="D861">
        <f>'10years'!D861-'10years'!$G861</f>
        <v>0.54943490295470521</v>
      </c>
      <c r="E861">
        <f>'10years'!E861-'10years'!$G861</f>
        <v>0.41392995411527855</v>
      </c>
      <c r="F861">
        <f>'10years'!F861-'10years'!$G861</f>
        <v>6.6037456821667062E-2</v>
      </c>
      <c r="G861">
        <f>'10years'!H861-'10years'!$I861</f>
        <v>0.20806351360087572</v>
      </c>
    </row>
    <row r="862" spans="1:7" x14ac:dyDescent="0.35">
      <c r="A862" s="1">
        <v>39353</v>
      </c>
      <c r="B862">
        <f>'10years'!B862-'10years'!$G862</f>
        <v>0.27652438499766507</v>
      </c>
      <c r="C862">
        <f>'10years'!C862-'10years'!$G862</f>
        <v>0.14031886581698849</v>
      </c>
      <c r="D862">
        <f>'10years'!D862-'10years'!$G862</f>
        <v>0.57398480185751666</v>
      </c>
      <c r="E862">
        <f>'10years'!E862-'10years'!$G862</f>
        <v>0.43837001277538867</v>
      </c>
      <c r="F862">
        <f>'10years'!F862-'10years'!$G862</f>
        <v>0.12614429616900402</v>
      </c>
      <c r="G862">
        <f>'10years'!H862-'10years'!$I862</f>
        <v>0.26777853051460632</v>
      </c>
    </row>
    <row r="863" spans="1:7" x14ac:dyDescent="0.35">
      <c r="A863" s="1">
        <v>39386</v>
      </c>
      <c r="B863">
        <f>'10years'!B863-'10years'!$G863</f>
        <v>0.26429966204211541</v>
      </c>
      <c r="C863">
        <f>'10years'!C863-'10years'!$G863</f>
        <v>0.12803924759792618</v>
      </c>
      <c r="D863">
        <f>'10years'!D863-'10years'!$G863</f>
        <v>0.55276616486619612</v>
      </c>
      <c r="E863">
        <f>'10years'!E863-'10years'!$G863</f>
        <v>0.41718657826619743</v>
      </c>
      <c r="F863">
        <f>'10years'!F863-'10years'!$G863</f>
        <v>0.11316949513551644</v>
      </c>
      <c r="G863">
        <f>'10years'!H863-'10years'!$I863</f>
        <v>0.25564276673351038</v>
      </c>
    </row>
    <row r="864" spans="1:7" x14ac:dyDescent="0.35">
      <c r="A864" s="1">
        <v>39416</v>
      </c>
      <c r="B864">
        <f>'10years'!B864-'10years'!$G864</f>
        <v>0.30728734657515067</v>
      </c>
      <c r="C864">
        <f>'10years'!C864-'10years'!$G864</f>
        <v>0.17106455547833233</v>
      </c>
      <c r="D864">
        <f>'10years'!D864-'10years'!$G864</f>
        <v>0.60188808630475088</v>
      </c>
      <c r="E864">
        <f>'10years'!E864-'10years'!$G864</f>
        <v>0.46647318991275655</v>
      </c>
      <c r="F864">
        <f>'10years'!F864-'10years'!$G864</f>
        <v>0.15562518397283331</v>
      </c>
      <c r="G864">
        <f>'10years'!H864-'10years'!$I864</f>
        <v>0.29858588523321572</v>
      </c>
    </row>
    <row r="865" spans="1:7" x14ac:dyDescent="0.35">
      <c r="A865" s="1">
        <v>39447</v>
      </c>
      <c r="B865">
        <f>'10years'!B865-'10years'!$G865</f>
        <v>0.23432207719374398</v>
      </c>
      <c r="C865">
        <f>'10years'!C865-'10years'!$G865</f>
        <v>9.7634538824947992E-2</v>
      </c>
      <c r="D865">
        <f>'10years'!D865-'10years'!$G865</f>
        <v>0.53341817266881497</v>
      </c>
      <c r="E865">
        <f>'10years'!E865-'10years'!$G865</f>
        <v>0.39792889194816849</v>
      </c>
      <c r="F865">
        <f>'10years'!F865-'10years'!$G865</f>
        <v>8.1832823734845572E-2</v>
      </c>
      <c r="G865">
        <f>'10years'!H865-'10years'!$I865</f>
        <v>0.22578957690022605</v>
      </c>
    </row>
    <row r="866" spans="1:7" x14ac:dyDescent="0.35">
      <c r="A866" s="1">
        <v>39478</v>
      </c>
      <c r="B866">
        <f>'10years'!B866-'10years'!$G866</f>
        <v>0.21658019421663943</v>
      </c>
      <c r="C866">
        <f>'10years'!C866-'10years'!$G866</f>
        <v>7.9604542343078455E-2</v>
      </c>
      <c r="D866">
        <f>'10years'!D866-'10years'!$G866</f>
        <v>0.50812056416411333</v>
      </c>
      <c r="E866">
        <f>'10years'!E866-'10years'!$G866</f>
        <v>0.37220146960772182</v>
      </c>
      <c r="F866">
        <f>'10years'!F866-'10years'!$G866</f>
        <v>6.3168267988641835E-2</v>
      </c>
      <c r="G866">
        <f>'10years'!H866-'10years'!$I866</f>
        <v>0.20819464740067239</v>
      </c>
    </row>
    <row r="867" spans="1:7" x14ac:dyDescent="0.35">
      <c r="A867" s="1">
        <v>39507</v>
      </c>
      <c r="B867">
        <f>'10years'!B867-'10years'!$G867</f>
        <v>0.15553924573542299</v>
      </c>
      <c r="C867">
        <f>'10years'!C867-'10years'!$G867</f>
        <v>1.8365740387657814E-2</v>
      </c>
      <c r="D867">
        <f>'10years'!D867-'10years'!$G867</f>
        <v>0.47316067798280659</v>
      </c>
      <c r="E867">
        <f>'10years'!E867-'10years'!$G867</f>
        <v>0.33722490618378376</v>
      </c>
      <c r="F867">
        <f>'10years'!F867-'10years'!$G867</f>
        <v>3.7500447596847675E-3</v>
      </c>
      <c r="G867">
        <f>'10years'!H867-'10years'!$I867</f>
        <v>0.14733539695201969</v>
      </c>
    </row>
    <row r="868" spans="1:7" x14ac:dyDescent="0.35">
      <c r="A868" s="1">
        <v>39538</v>
      </c>
      <c r="B868">
        <f>'10years'!B868-'10years'!$G868</f>
        <v>7.2907916833308661E-2</v>
      </c>
      <c r="C868">
        <f>'10years'!C868-'10years'!$G868</f>
        <v>-6.4823901457711663E-2</v>
      </c>
      <c r="D868">
        <f>'10years'!D868-'10years'!$G868</f>
        <v>0.38653109870786473</v>
      </c>
      <c r="E868">
        <f>'10years'!E868-'10years'!$G868</f>
        <v>0.25060474835102386</v>
      </c>
      <c r="F868">
        <f>'10years'!F868-'10years'!$G868</f>
        <v>-8.0464417888482132E-2</v>
      </c>
      <c r="G868">
        <f>'10years'!H868-'10years'!$I868</f>
        <v>6.4847345821594793E-2</v>
      </c>
    </row>
    <row r="869" spans="1:7" x14ac:dyDescent="0.35">
      <c r="A869" s="1">
        <v>39568</v>
      </c>
      <c r="B869">
        <f>'10years'!B869-'10years'!$G869</f>
        <v>3.003949178147991E-2</v>
      </c>
      <c r="C869">
        <f>'10years'!C869-'10years'!$G869</f>
        <v>-0.10803873628949034</v>
      </c>
      <c r="D869">
        <f>'10years'!D869-'10years'!$G869</f>
        <v>0.33656044922857831</v>
      </c>
      <c r="E869">
        <f>'10years'!E869-'10years'!$G869</f>
        <v>0.2002491771642072</v>
      </c>
      <c r="F869">
        <f>'10years'!F869-'10years'!$G869</f>
        <v>-0.12430697690029646</v>
      </c>
      <c r="G869">
        <f>'10years'!H869-'10years'!$I869</f>
        <v>2.2074345768863246E-2</v>
      </c>
    </row>
    <row r="870" spans="1:7" x14ac:dyDescent="0.35">
      <c r="A870" s="1">
        <v>39598</v>
      </c>
      <c r="B870">
        <f>'10years'!B870-'10years'!$G870</f>
        <v>6.2406047787666674E-2</v>
      </c>
      <c r="C870">
        <f>'10years'!C870-'10years'!$G870</f>
        <v>-7.5759736100144748E-2</v>
      </c>
      <c r="D870">
        <f>'10years'!D870-'10years'!$G870</f>
        <v>0.37791861869886945</v>
      </c>
      <c r="E870">
        <f>'10years'!E870-'10years'!$G870</f>
        <v>0.24166253322077691</v>
      </c>
      <c r="F870">
        <f>'10years'!F870-'10years'!$G870</f>
        <v>-9.103158909449216E-2</v>
      </c>
      <c r="G870">
        <f>'10years'!H870-'10years'!$I870</f>
        <v>5.4406066565504396E-2</v>
      </c>
    </row>
    <row r="871" spans="1:7" x14ac:dyDescent="0.35">
      <c r="A871" s="1">
        <v>39629</v>
      </c>
      <c r="B871">
        <f>'10years'!B871-'10years'!$G871</f>
        <v>8.9922417113291075E-2</v>
      </c>
      <c r="C871">
        <f>'10years'!C871-'10years'!$G871</f>
        <v>-4.8855506154039219E-2</v>
      </c>
      <c r="D871">
        <f>'10years'!D871-'10years'!$G871</f>
        <v>0.42218490995883862</v>
      </c>
      <c r="E871">
        <f>'10years'!E871-'10years'!$G871</f>
        <v>0.28562234977142431</v>
      </c>
      <c r="F871">
        <f>'10years'!F871-'10years'!$G871</f>
        <v>-6.4482753681988747E-2</v>
      </c>
      <c r="G871">
        <f>'10years'!H871-'10years'!$I871</f>
        <v>8.1875119962737664E-2</v>
      </c>
    </row>
    <row r="872" spans="1:7" x14ac:dyDescent="0.35">
      <c r="A872" s="1">
        <v>39660</v>
      </c>
      <c r="B872">
        <f>'10years'!B872-'10years'!$G872</f>
        <v>-1.3950669632413204E-2</v>
      </c>
      <c r="C872">
        <f>'10years'!C872-'10years'!$G872</f>
        <v>-0.15321645896535618</v>
      </c>
      <c r="D872">
        <f>'10years'!D872-'10years'!$G872</f>
        <v>0.32827856741051042</v>
      </c>
      <c r="E872">
        <f>'10years'!E872-'10years'!$G872</f>
        <v>0.19139583244958014</v>
      </c>
      <c r="F872">
        <f>'10years'!F872-'10years'!$G872</f>
        <v>-0.16980698857707144</v>
      </c>
      <c r="G872">
        <f>'10years'!H872-'10years'!$I872</f>
        <v>-2.1731836920113601E-2</v>
      </c>
    </row>
    <row r="873" spans="1:7" x14ac:dyDescent="0.35">
      <c r="A873" s="1">
        <v>39689</v>
      </c>
      <c r="B873">
        <f>'10years'!B873-'10years'!$G873</f>
        <v>-9.5066158439744974E-3</v>
      </c>
      <c r="C873">
        <f>'10years'!C873-'10years'!$G873</f>
        <v>-0.14913430289435547</v>
      </c>
      <c r="D873">
        <f>'10years'!D873-'10years'!$G873</f>
        <v>0.36542556494275003</v>
      </c>
      <c r="E873">
        <f>'10years'!E873-'10years'!$G873</f>
        <v>0.22819621178443095</v>
      </c>
      <c r="F873">
        <f>'10years'!F873-'10years'!$G873</f>
        <v>-0.16624464768657043</v>
      </c>
      <c r="G873">
        <f>'10years'!H873-'10years'!$I873</f>
        <v>-1.7296052185811206E-2</v>
      </c>
    </row>
    <row r="874" spans="1:7" x14ac:dyDescent="0.35">
      <c r="A874" s="1">
        <v>39721</v>
      </c>
      <c r="B874">
        <f>'10years'!B874-'10years'!$G874</f>
        <v>0.13453485055432535</v>
      </c>
      <c r="C874">
        <f>'10years'!C874-'10years'!$G874</f>
        <v>-5.816527154255402E-3</v>
      </c>
      <c r="D874">
        <f>'10years'!D874-'10years'!$G874</f>
        <v>0.52625804451291835</v>
      </c>
      <c r="E874">
        <f>'10years'!E874-'10years'!$G874</f>
        <v>0.38894005573890778</v>
      </c>
      <c r="F874">
        <f>'10years'!F874-'10years'!$G874</f>
        <v>-2.2092536523853346E-2</v>
      </c>
      <c r="G874">
        <f>'10years'!H874-'10years'!$I874</f>
        <v>0.12640830069179376</v>
      </c>
    </row>
    <row r="875" spans="1:7" x14ac:dyDescent="0.35">
      <c r="A875" s="1">
        <v>39752</v>
      </c>
      <c r="B875">
        <f>'10years'!B875-'10years'!$G875</f>
        <v>1.112497884343866E-2</v>
      </c>
      <c r="C875">
        <f>'10years'!C875-'10years'!$G875</f>
        <v>-0.12948421725728854</v>
      </c>
      <c r="D875">
        <f>'10years'!D875-'10years'!$G875</f>
        <v>0.38799597959189636</v>
      </c>
      <c r="E875">
        <f>'10years'!E875-'10years'!$G875</f>
        <v>0.25048670196452849</v>
      </c>
      <c r="F875">
        <f>'10years'!F875-'10years'!$G875</f>
        <v>-0.14956477967424608</v>
      </c>
      <c r="G875">
        <f>'10years'!H875-'10years'!$I875</f>
        <v>3.3639704098309409E-3</v>
      </c>
    </row>
    <row r="876" spans="1:7" x14ac:dyDescent="0.35">
      <c r="A876" s="1">
        <v>39780</v>
      </c>
      <c r="B876">
        <f>'10years'!B876-'10years'!$G876</f>
        <v>-0.20359162298206424</v>
      </c>
      <c r="C876">
        <f>'10years'!C876-'10years'!$G876</f>
        <v>-0.3446266347366842</v>
      </c>
      <c r="D876">
        <f>'10years'!D876-'10years'!$G876</f>
        <v>0.12393929651184821</v>
      </c>
      <c r="E876">
        <f>'10years'!E876-'10years'!$G876</f>
        <v>-1.3630391471281866E-2</v>
      </c>
      <c r="F876">
        <f>'10years'!F876-'10years'!$G876</f>
        <v>-0.36652192745317369</v>
      </c>
      <c r="G876">
        <f>'10years'!H876-'10years'!$I876</f>
        <v>-0.21096078468895163</v>
      </c>
    </row>
    <row r="877" spans="1:7" x14ac:dyDescent="0.35">
      <c r="A877" s="1">
        <v>39813</v>
      </c>
      <c r="B877">
        <f>'10years'!B877-'10years'!$G877</f>
        <v>-0.31495257720458025</v>
      </c>
      <c r="C877">
        <f>'10years'!C877-'10years'!$G877</f>
        <v>-0.45736738444443481</v>
      </c>
      <c r="D877">
        <f>'10years'!D877-'10years'!$G877</f>
        <v>-6.3522916378400129E-3</v>
      </c>
      <c r="E877">
        <f>'10years'!E877-'10years'!$G877</f>
        <v>-0.14500401560884613</v>
      </c>
      <c r="F877">
        <f>'10years'!F877-'10years'!$G877</f>
        <v>-0.47651653709028241</v>
      </c>
      <c r="G877">
        <f>'10years'!H877-'10years'!$I877</f>
        <v>-0.32230260658879795</v>
      </c>
    </row>
    <row r="878" spans="1:7" x14ac:dyDescent="0.35">
      <c r="A878" s="1">
        <v>39843</v>
      </c>
      <c r="B878">
        <f>'10years'!B878-'10years'!$G878</f>
        <v>-0.34991263892451929</v>
      </c>
      <c r="C878">
        <f>'10years'!C878-'10years'!$G878</f>
        <v>-0.49359130349512048</v>
      </c>
      <c r="D878">
        <f>'10years'!D878-'10years'!$G878</f>
        <v>9.0531134019151693E-3</v>
      </c>
      <c r="E878">
        <f>'10years'!E878-'10years'!$G878</f>
        <v>-0.13104880524707863</v>
      </c>
      <c r="F878">
        <f>'10years'!F878-'10years'!$G878</f>
        <v>-0.51225823732830955</v>
      </c>
      <c r="G878">
        <f>'10years'!H878-'10years'!$I878</f>
        <v>-0.35742224820108914</v>
      </c>
    </row>
    <row r="879" spans="1:7" x14ac:dyDescent="0.35">
      <c r="A879" s="1">
        <v>39871</v>
      </c>
      <c r="B879">
        <f>'10years'!B879-'10years'!$G879</f>
        <v>-0.45339974239791236</v>
      </c>
      <c r="C879">
        <f>'10years'!C879-'10years'!$G879</f>
        <v>-0.59757779702538749</v>
      </c>
      <c r="D879">
        <f>'10years'!D879-'10years'!$G879</f>
        <v>-6.5013448228505188E-2</v>
      </c>
      <c r="E879">
        <f>'10years'!E879-'10years'!$G879</f>
        <v>-0.20513053718497587</v>
      </c>
      <c r="F879">
        <f>'10years'!F879-'10years'!$G879</f>
        <v>-0.61690263101721698</v>
      </c>
      <c r="G879">
        <f>'10years'!H879-'10years'!$I879</f>
        <v>-0.4609070332253884</v>
      </c>
    </row>
    <row r="880" spans="1:7" x14ac:dyDescent="0.35">
      <c r="A880" s="1">
        <v>39903</v>
      </c>
      <c r="B880">
        <f>'10years'!B880-'10years'!$G880</f>
        <v>-0.51430798096323493</v>
      </c>
      <c r="C880">
        <f>'10years'!C880-'10years'!$G880</f>
        <v>-0.66088486801573132</v>
      </c>
      <c r="D880">
        <f>'10years'!D880-'10years'!$G880</f>
        <v>-0.14944717692901777</v>
      </c>
      <c r="E880">
        <f>'10years'!E880-'10years'!$G880</f>
        <v>-0.29071532817126422</v>
      </c>
      <c r="F880">
        <f>'10years'!F880-'10years'!$G880</f>
        <v>-0.6832999173003389</v>
      </c>
      <c r="G880">
        <f>'10years'!H880-'10years'!$I880</f>
        <v>-0.52186084963947721</v>
      </c>
    </row>
    <row r="881" spans="1:7" x14ac:dyDescent="0.35">
      <c r="A881" s="1">
        <v>39933</v>
      </c>
      <c r="B881">
        <f>'10years'!B881-'10years'!$G881</f>
        <v>-0.47274963545048898</v>
      </c>
      <c r="C881">
        <f>'10years'!C881-'10years'!$G881</f>
        <v>-0.62107962054847254</v>
      </c>
      <c r="D881">
        <f>'10years'!D881-'10years'!$G881</f>
        <v>-7.7313156123794968E-2</v>
      </c>
      <c r="E881">
        <f>'10years'!E881-'10years'!$G881</f>
        <v>-0.22016870639759656</v>
      </c>
      <c r="F881">
        <f>'10years'!F881-'10years'!$G881</f>
        <v>-0.64336103749947027</v>
      </c>
      <c r="G881">
        <f>'10years'!H881-'10years'!$I881</f>
        <v>-0.48049296054114565</v>
      </c>
    </row>
    <row r="882" spans="1:7" x14ac:dyDescent="0.35">
      <c r="A882" s="1">
        <v>39962</v>
      </c>
      <c r="B882">
        <f>'10years'!B882-'10years'!$G882</f>
        <v>-0.42536176379744917</v>
      </c>
      <c r="C882">
        <f>'10years'!C882-'10years'!$G882</f>
        <v>-0.57440264070841551</v>
      </c>
      <c r="D882">
        <f>'10years'!D882-'10years'!$G882</f>
        <v>-9.769673237314036E-3</v>
      </c>
      <c r="E882">
        <f>'10years'!E882-'10years'!$G882</f>
        <v>-0.15288399449953061</v>
      </c>
      <c r="F882">
        <f>'10years'!F882-'10years'!$G882</f>
        <v>-0.59658835208740135</v>
      </c>
      <c r="G882">
        <f>'10years'!H882-'10years'!$I882</f>
        <v>-0.43338528187943925</v>
      </c>
    </row>
    <row r="883" spans="1:7" x14ac:dyDescent="0.35">
      <c r="A883" s="1">
        <v>39994</v>
      </c>
      <c r="B883">
        <f>'10years'!B883-'10years'!$G883</f>
        <v>-0.35857104428416631</v>
      </c>
      <c r="C883">
        <f>'10years'!C883-'10years'!$G883</f>
        <v>-0.50848478833594357</v>
      </c>
      <c r="D883">
        <f>'10years'!D883-'10years'!$G883</f>
        <v>4.4828832707217492E-2</v>
      </c>
      <c r="E883">
        <f>'10years'!E883-'10years'!$G883</f>
        <v>-9.8623383791856201E-2</v>
      </c>
      <c r="F883">
        <f>'10years'!F883-'10years'!$G883</f>
        <v>-0.5295943094240354</v>
      </c>
      <c r="G883">
        <f>'10years'!H883-'10years'!$I883</f>
        <v>-0.36692188023015326</v>
      </c>
    </row>
    <row r="884" spans="1:7" x14ac:dyDescent="0.35">
      <c r="A884" s="1">
        <v>40025</v>
      </c>
      <c r="B884">
        <f>'10years'!B884-'10years'!$G884</f>
        <v>-0.39724989005621891</v>
      </c>
      <c r="C884">
        <f>'10years'!C884-'10years'!$G884</f>
        <v>-0.54777592990306223</v>
      </c>
      <c r="D884">
        <f>'10years'!D884-'10years'!$G884</f>
        <v>1.0529224466025333E-2</v>
      </c>
      <c r="E884">
        <f>'10years'!E884-'10years'!$G884</f>
        <v>-0.13342226295192283</v>
      </c>
      <c r="F884">
        <f>'10years'!F884-'10years'!$G884</f>
        <v>-0.57009782663919495</v>
      </c>
      <c r="G884">
        <f>'10years'!H884-'10years'!$I884</f>
        <v>-0.40561015808425749</v>
      </c>
    </row>
    <row r="885" spans="1:7" x14ac:dyDescent="0.35">
      <c r="A885" s="1">
        <v>40056</v>
      </c>
      <c r="B885">
        <f>'10years'!B885-'10years'!$G885</f>
        <v>-0.30870118596126872</v>
      </c>
      <c r="C885">
        <f>'10years'!C885-'10years'!$G885</f>
        <v>-0.45968412233660105</v>
      </c>
      <c r="D885">
        <f>'10years'!D885-'10years'!$G885</f>
        <v>0.11817064631636232</v>
      </c>
      <c r="E885">
        <f>'10years'!E885-'10years'!$G885</f>
        <v>-2.5826401203410398E-2</v>
      </c>
      <c r="F885">
        <f>'10years'!F885-'10years'!$G885</f>
        <v>-0.48039327029774093</v>
      </c>
      <c r="G885">
        <f>'10years'!H885-'10years'!$I885</f>
        <v>-0.317390448927235</v>
      </c>
    </row>
    <row r="886" spans="1:7" x14ac:dyDescent="0.35">
      <c r="A886" s="1">
        <v>40086</v>
      </c>
      <c r="B886">
        <f>'10years'!B886-'10years'!$G886</f>
        <v>-0.27279470363019787</v>
      </c>
      <c r="C886">
        <f>'10years'!C886-'10years'!$G886</f>
        <v>-0.42479258738030801</v>
      </c>
      <c r="D886">
        <f>'10years'!D886-'10years'!$G886</f>
        <v>0.18728620016019626</v>
      </c>
      <c r="E886">
        <f>'10years'!E886-'10years'!$G886</f>
        <v>4.2959109412498364E-2</v>
      </c>
      <c r="F886">
        <f>'10years'!F886-'10years'!$G886</f>
        <v>-0.44445519603066952</v>
      </c>
      <c r="G886">
        <f>'10years'!H886-'10years'!$I886</f>
        <v>-0.28166715492060623</v>
      </c>
    </row>
    <row r="887" spans="1:7" x14ac:dyDescent="0.35">
      <c r="A887" s="1">
        <v>40116</v>
      </c>
      <c r="B887">
        <f>'10years'!B887-'10years'!$G887</f>
        <v>-0.21589800120475799</v>
      </c>
      <c r="C887">
        <f>'10years'!C887-'10years'!$G887</f>
        <v>-0.36821835556490501</v>
      </c>
      <c r="D887">
        <f>'10years'!D887-'10years'!$G887</f>
        <v>0.26706430718559759</v>
      </c>
      <c r="E887">
        <f>'10years'!E887-'10years'!$G887</f>
        <v>0.1225400365701772</v>
      </c>
      <c r="F887">
        <f>'10years'!F887-'10years'!$G887</f>
        <v>-0.38789680813701888</v>
      </c>
      <c r="G887">
        <f>'10years'!H887-'10years'!$I887</f>
        <v>-0.22499617310711706</v>
      </c>
    </row>
    <row r="888" spans="1:7" x14ac:dyDescent="0.35">
      <c r="A888" s="1">
        <v>40147</v>
      </c>
      <c r="B888">
        <f>'10years'!B888-'10years'!$G888</f>
        <v>-0.27975974734317544</v>
      </c>
      <c r="C888">
        <f>'10years'!C888-'10years'!$G888</f>
        <v>-0.4324264745762727</v>
      </c>
      <c r="D888">
        <f>'10years'!D888-'10years'!$G888</f>
        <v>0.21554196673631254</v>
      </c>
      <c r="E888">
        <f>'10years'!E888-'10years'!$G888</f>
        <v>7.1237958638939114E-2</v>
      </c>
      <c r="F888">
        <f>'10years'!F888-'10years'!$G888</f>
        <v>-0.45158840400722799</v>
      </c>
      <c r="G888">
        <f>'10years'!H888-'10years'!$I888</f>
        <v>-0.28883157217175492</v>
      </c>
    </row>
    <row r="889" spans="1:7" x14ac:dyDescent="0.35">
      <c r="A889" s="1">
        <v>40178</v>
      </c>
      <c r="B889">
        <f>'10years'!B889-'10years'!$G889</f>
        <v>-0.24505568103831621</v>
      </c>
      <c r="C889">
        <f>'10years'!C889-'10years'!$G889</f>
        <v>-0.39881273631327741</v>
      </c>
      <c r="D889">
        <f>'10years'!D889-'10years'!$G889</f>
        <v>0.26455226584584457</v>
      </c>
      <c r="E889">
        <f>'10years'!E889-'10years'!$G889</f>
        <v>0.1197313869414276</v>
      </c>
      <c r="F889">
        <f>'10years'!F889-'10years'!$G889</f>
        <v>-0.41777590390180341</v>
      </c>
      <c r="G889">
        <f>'10years'!H889-'10years'!$I889</f>
        <v>-0.25432640169917864</v>
      </c>
    </row>
    <row r="890" spans="1:7" x14ac:dyDescent="0.35">
      <c r="A890" s="1">
        <v>40207</v>
      </c>
      <c r="B890">
        <f>'10years'!B890-'10years'!$G890</f>
        <v>-0.27635088613748482</v>
      </c>
      <c r="C890">
        <f>'10years'!C890-'10years'!$G890</f>
        <v>-0.43058479089984236</v>
      </c>
      <c r="D890">
        <f>'10years'!D890-'10years'!$G890</f>
        <v>0.27137071656910083</v>
      </c>
      <c r="E890">
        <f>'10years'!E890-'10years'!$G890</f>
        <v>0.12648001345704585</v>
      </c>
      <c r="F890">
        <f>'10years'!F890-'10years'!$G890</f>
        <v>-0.4462871510458728</v>
      </c>
      <c r="G890">
        <f>'10years'!H890-'10years'!$I890</f>
        <v>-0.28557783228909672</v>
      </c>
    </row>
    <row r="891" spans="1:7" x14ac:dyDescent="0.35">
      <c r="A891" s="1">
        <v>40235</v>
      </c>
      <c r="B891">
        <f>'10years'!B891-'10years'!$G891</f>
        <v>-0.26079677754875186</v>
      </c>
      <c r="C891">
        <f>'10years'!C891-'10years'!$G891</f>
        <v>-0.41535514408984286</v>
      </c>
      <c r="D891">
        <f>'10years'!D891-'10years'!$G891</f>
        <v>0.29788806025406234</v>
      </c>
      <c r="E891">
        <f>'10years'!E891-'10years'!$G891</f>
        <v>0.15320904747304964</v>
      </c>
      <c r="F891">
        <f>'10years'!F891-'10years'!$G891</f>
        <v>-0.43069347255976997</v>
      </c>
      <c r="G891">
        <f>'10years'!H891-'10years'!$I891</f>
        <v>-0.27012294480548427</v>
      </c>
    </row>
    <row r="892" spans="1:7" x14ac:dyDescent="0.35">
      <c r="A892" s="1">
        <v>40268</v>
      </c>
      <c r="B892">
        <f>'10years'!B892-'10years'!$G892</f>
        <v>-0.21754483924377332</v>
      </c>
      <c r="C892">
        <f>'10years'!C892-'10years'!$G892</f>
        <v>-0.37308912900610602</v>
      </c>
      <c r="D892">
        <f>'10years'!D892-'10years'!$G892</f>
        <v>0.37573587427124755</v>
      </c>
      <c r="E892">
        <f>'10years'!E892-'10years'!$G892</f>
        <v>0.23104577313966379</v>
      </c>
      <c r="F892">
        <f>'10years'!F892-'10years'!$G892</f>
        <v>-0.38680566311141851</v>
      </c>
      <c r="G892">
        <f>'10years'!H892-'10years'!$I892</f>
        <v>-0.22699798343458477</v>
      </c>
    </row>
    <row r="893" spans="1:7" x14ac:dyDescent="0.35">
      <c r="A893" s="1">
        <v>40298</v>
      </c>
      <c r="B893">
        <f>'10years'!B893-'10years'!$G893</f>
        <v>-0.24268574987258051</v>
      </c>
      <c r="C893">
        <f>'10years'!C893-'10years'!$G893</f>
        <v>-0.39862697951894188</v>
      </c>
      <c r="D893">
        <f>'10years'!D893-'10years'!$G893</f>
        <v>0.34959265559408137</v>
      </c>
      <c r="E893">
        <f>'10years'!E893-'10years'!$G893</f>
        <v>0.20498612408376515</v>
      </c>
      <c r="F893">
        <f>'10years'!F893-'10years'!$G893</f>
        <v>-0.41229834401838761</v>
      </c>
      <c r="G893">
        <f>'10years'!H893-'10years'!$I893</f>
        <v>-0.25204409692902718</v>
      </c>
    </row>
    <row r="894" spans="1:7" x14ac:dyDescent="0.35">
      <c r="A894" s="1">
        <v>40326</v>
      </c>
      <c r="B894">
        <f>'10years'!B894-'10years'!$G894</f>
        <v>-0.1990426779047092</v>
      </c>
      <c r="C894">
        <f>'10years'!C894-'10years'!$G894</f>
        <v>-0.35525884623060477</v>
      </c>
      <c r="D894">
        <f>'10years'!D894-'10years'!$G894</f>
        <v>0.36973299857146502</v>
      </c>
      <c r="E894">
        <f>'10years'!E894-'10years'!$G894</f>
        <v>0.22539671094040115</v>
      </c>
      <c r="F894">
        <f>'10years'!F894-'10years'!$G894</f>
        <v>-0.3703968282808443</v>
      </c>
      <c r="G894">
        <f>'10years'!H894-'10years'!$I894</f>
        <v>-0.20843478225439638</v>
      </c>
    </row>
    <row r="895" spans="1:7" x14ac:dyDescent="0.35">
      <c r="A895" s="1">
        <v>40359</v>
      </c>
      <c r="B895">
        <f>'10years'!B895-'10years'!$G895</f>
        <v>-0.24586379396049907</v>
      </c>
      <c r="C895">
        <f>'10years'!C895-'10years'!$G895</f>
        <v>-0.40289791829293264</v>
      </c>
      <c r="D895">
        <f>'10years'!D895-'10years'!$G895</f>
        <v>0.29590473244628379</v>
      </c>
      <c r="E895">
        <f>'10years'!E895-'10years'!$G895</f>
        <v>0.15192134823677206</v>
      </c>
      <c r="F895">
        <f>'10years'!F895-'10years'!$G895</f>
        <v>-0.41914921624465196</v>
      </c>
      <c r="G895">
        <f>'10years'!H895-'10years'!$I895</f>
        <v>-0.25504137677028194</v>
      </c>
    </row>
    <row r="896" spans="1:7" x14ac:dyDescent="0.35">
      <c r="A896" s="1">
        <v>40389</v>
      </c>
      <c r="B896">
        <f>'10years'!B896-'10years'!$G896</f>
        <v>-0.30996299548583983</v>
      </c>
      <c r="C896">
        <f>'10years'!C896-'10years'!$G896</f>
        <v>-0.4677036878388543</v>
      </c>
      <c r="D896">
        <f>'10years'!D896-'10years'!$G896</f>
        <v>0.26229108149698566</v>
      </c>
      <c r="E896">
        <f>'10years'!E896-'10years'!$G896</f>
        <v>0.11806825149723399</v>
      </c>
      <c r="F896">
        <f>'10years'!F896-'10years'!$G896</f>
        <v>-0.48159287890649405</v>
      </c>
      <c r="G896">
        <f>'10years'!H896-'10years'!$I896</f>
        <v>-0.31903577493760382</v>
      </c>
    </row>
    <row r="897" spans="1:7" x14ac:dyDescent="0.35">
      <c r="A897" s="1">
        <v>40421</v>
      </c>
      <c r="B897">
        <f>'10years'!B897-'10years'!$G897</f>
        <v>-0.23875443145059383</v>
      </c>
      <c r="C897">
        <f>'10years'!C897-'10years'!$G897</f>
        <v>-0.39738143435132911</v>
      </c>
      <c r="D897">
        <f>'10years'!D897-'10years'!$G897</f>
        <v>0.32233816440298013</v>
      </c>
      <c r="E897">
        <f>'10years'!E897-'10years'!$G897</f>
        <v>0.17710899745121433</v>
      </c>
      <c r="F897">
        <f>'10years'!F897-'10years'!$G897</f>
        <v>-0.40880858917634577</v>
      </c>
      <c r="G897">
        <f>'10years'!H897-'10years'!$I897</f>
        <v>-0.24785092587544799</v>
      </c>
    </row>
    <row r="898" spans="1:7" x14ac:dyDescent="0.35">
      <c r="A898" s="1">
        <v>40451</v>
      </c>
      <c r="B898">
        <f>'10years'!B898-'10years'!$G898</f>
        <v>-0.32409551393141522</v>
      </c>
      <c r="C898">
        <f>'10years'!C898-'10years'!$G898</f>
        <v>-0.48364571950993329</v>
      </c>
      <c r="D898">
        <f>'10years'!D898-'10years'!$G898</f>
        <v>0.22494439355456675</v>
      </c>
      <c r="E898">
        <f>'10years'!E898-'10years'!$G898</f>
        <v>8.0011099035288469E-2</v>
      </c>
      <c r="F898">
        <f>'10years'!F898-'10years'!$G898</f>
        <v>-0.49427044729888814</v>
      </c>
      <c r="G898">
        <f>'10years'!H898-'10years'!$I898</f>
        <v>-0.33286248920787465</v>
      </c>
    </row>
    <row r="899" spans="1:7" x14ac:dyDescent="0.35">
      <c r="A899" s="1">
        <v>40480</v>
      </c>
      <c r="B899">
        <f>'10years'!B899-'10years'!$G899</f>
        <v>-0.20352959855147956</v>
      </c>
      <c r="C899">
        <f>'10years'!C899-'10years'!$G899</f>
        <v>-0.36389138420011236</v>
      </c>
      <c r="D899">
        <f>'10years'!D899-'10years'!$G899</f>
        <v>0.32362241908481026</v>
      </c>
      <c r="E899">
        <f>'10years'!E899-'10years'!$G899</f>
        <v>0.17839202956764</v>
      </c>
      <c r="F899">
        <f>'10years'!F899-'10years'!$G899</f>
        <v>-0.37484133065806224</v>
      </c>
      <c r="G899">
        <f>'10years'!H899-'10years'!$I899</f>
        <v>-0.21234489113211019</v>
      </c>
    </row>
    <row r="900" spans="1:7" x14ac:dyDescent="0.35">
      <c r="A900" s="1">
        <v>40512</v>
      </c>
      <c r="B900">
        <f>'10years'!B900-'10years'!$G900</f>
        <v>-0.16414875414576091</v>
      </c>
      <c r="C900">
        <f>'10years'!C900-'10years'!$G900</f>
        <v>-0.32529306257681023</v>
      </c>
      <c r="D900">
        <f>'10years'!D900-'10years'!$G900</f>
        <v>0.33999427144369321</v>
      </c>
      <c r="E900">
        <f>'10years'!E900-'10years'!$G900</f>
        <v>0.19435972526007816</v>
      </c>
      <c r="F900">
        <f>'10years'!F900-'10years'!$G900</f>
        <v>-0.33632697164833303</v>
      </c>
      <c r="G900">
        <f>'10years'!H900-'10years'!$I900</f>
        <v>-0.17273707988531006</v>
      </c>
    </row>
    <row r="901" spans="1:7" x14ac:dyDescent="0.35">
      <c r="A901" s="1">
        <v>40543</v>
      </c>
      <c r="B901">
        <f>'10years'!B901-'10years'!$G901</f>
        <v>-9.2296346620760028E-2</v>
      </c>
      <c r="C901">
        <f>'10years'!C901-'10years'!$G901</f>
        <v>-0.25448589243572139</v>
      </c>
      <c r="D901">
        <f>'10years'!D901-'10years'!$G901</f>
        <v>0.38976065902202861</v>
      </c>
      <c r="E901">
        <f>'10years'!E901-'10years'!$G901</f>
        <v>0.2440921538949119</v>
      </c>
      <c r="F901">
        <f>'10years'!F901-'10years'!$G901</f>
        <v>-0.26482940845194158</v>
      </c>
      <c r="G901">
        <f>'10years'!H901-'10years'!$I901</f>
        <v>-0.10080335498569015</v>
      </c>
    </row>
    <row r="902" spans="1:7" x14ac:dyDescent="0.35">
      <c r="A902" s="1">
        <v>40574</v>
      </c>
      <c r="B902">
        <f>'10years'!B902-'10years'!$G902</f>
        <v>-3.904533739400029E-2</v>
      </c>
      <c r="C902">
        <f>'10years'!C902-'10years'!$G902</f>
        <v>-0.20201347220494825</v>
      </c>
      <c r="D902">
        <f>'10years'!D902-'10years'!$G902</f>
        <v>0.39784545339665578</v>
      </c>
      <c r="E902">
        <f>'10years'!E902-'10years'!$G902</f>
        <v>0.25143149828515399</v>
      </c>
      <c r="F902">
        <f>'10years'!F902-'10years'!$G902</f>
        <v>-0.21165206845359941</v>
      </c>
      <c r="G902">
        <f>'10years'!H902-'10years'!$I902</f>
        <v>-4.7440835204015652E-2</v>
      </c>
    </row>
    <row r="903" spans="1:7" x14ac:dyDescent="0.35">
      <c r="A903" s="1">
        <v>40602</v>
      </c>
      <c r="B903">
        <f>'10years'!B903-'10years'!$G903</f>
        <v>-4.226043269173263E-2</v>
      </c>
      <c r="C903">
        <f>'10years'!C903-'10years'!$G903</f>
        <v>-0.20539600368315658</v>
      </c>
      <c r="D903">
        <f>'10years'!D903-'10years'!$G903</f>
        <v>0.37653328809805697</v>
      </c>
      <c r="E903">
        <f>'10years'!E903-'10years'!$G903</f>
        <v>0.23017632874204819</v>
      </c>
      <c r="F903">
        <f>'10years'!F903-'10years'!$G903</f>
        <v>-0.21725233635080454</v>
      </c>
      <c r="G903">
        <f>'10years'!H903-'10years'!$I903</f>
        <v>-5.0348637765162962E-2</v>
      </c>
    </row>
    <row r="904" spans="1:7" x14ac:dyDescent="0.35">
      <c r="A904" s="1">
        <v>40633</v>
      </c>
      <c r="B904">
        <f>'10years'!B904-'10years'!$G904</f>
        <v>6.7083552465793339E-2</v>
      </c>
      <c r="C904">
        <f>'10years'!C904-'10years'!$G904</f>
        <v>-9.6967843505094464E-2</v>
      </c>
      <c r="D904">
        <f>'10years'!D904-'10years'!$G904</f>
        <v>0.45170373475185954</v>
      </c>
      <c r="E904">
        <f>'10years'!E904-'10years'!$G904</f>
        <v>0.30525498958947317</v>
      </c>
      <c r="F904">
        <f>'10years'!F904-'10years'!$G904</f>
        <v>-0.10731016523956338</v>
      </c>
      <c r="G904">
        <f>'10years'!H904-'10years'!$I904</f>
        <v>5.8835694127201688E-2</v>
      </c>
    </row>
    <row r="905" spans="1:7" x14ac:dyDescent="0.35">
      <c r="A905" s="1">
        <v>40662</v>
      </c>
      <c r="B905">
        <f>'10years'!B905-'10years'!$G905</f>
        <v>0.12590257038960995</v>
      </c>
      <c r="C905">
        <f>'10years'!C905-'10years'!$G905</f>
        <v>-3.8699251148269775E-2</v>
      </c>
      <c r="D905">
        <f>'10years'!D905-'10years'!$G905</f>
        <v>0.50539766903075711</v>
      </c>
      <c r="E905">
        <f>'10years'!E905-'10years'!$G905</f>
        <v>0.3586133421768023</v>
      </c>
      <c r="F905">
        <f>'10years'!F905-'10years'!$G905</f>
        <v>-4.9538187844225812E-2</v>
      </c>
      <c r="G905">
        <f>'10years'!H905-'10years'!$I905</f>
        <v>0.11765145050313119</v>
      </c>
    </row>
    <row r="906" spans="1:7" x14ac:dyDescent="0.35">
      <c r="A906" s="1">
        <v>40694</v>
      </c>
      <c r="B906">
        <f>'10years'!B906-'10years'!$G906</f>
        <v>9.0707536453253024E-2</v>
      </c>
      <c r="C906">
        <f>'10years'!C906-'10years'!$G906</f>
        <v>-7.4056606033442218E-2</v>
      </c>
      <c r="D906">
        <f>'10years'!D906-'10years'!$G906</f>
        <v>0.46649199085481508</v>
      </c>
      <c r="E906">
        <f>'10years'!E906-'10years'!$G906</f>
        <v>0.31966348717990334</v>
      </c>
      <c r="F906">
        <f>'10years'!F906-'10years'!$G906</f>
        <v>-8.4650955605088729E-2</v>
      </c>
      <c r="G906">
        <f>'10years'!H906-'10years'!$I906</f>
        <v>8.2591705668855209E-2</v>
      </c>
    </row>
    <row r="907" spans="1:7" x14ac:dyDescent="0.35">
      <c r="A907" s="1">
        <v>40724</v>
      </c>
      <c r="B907">
        <f>'10years'!B907-'10years'!$G907</f>
        <v>7.8168437278088865E-2</v>
      </c>
      <c r="C907">
        <f>'10years'!C907-'10years'!$G907</f>
        <v>-8.7210905200755251E-2</v>
      </c>
      <c r="D907">
        <f>'10years'!D907-'10years'!$G907</f>
        <v>0.44978510965779317</v>
      </c>
      <c r="E907">
        <f>'10years'!E907-'10years'!$G907</f>
        <v>0.30285713180050133</v>
      </c>
      <c r="F907">
        <f>'10years'!F907-'10years'!$G907</f>
        <v>-9.754448911469038E-2</v>
      </c>
      <c r="G907">
        <f>'10years'!H907-'10years'!$I907</f>
        <v>7.0070524096277342E-2</v>
      </c>
    </row>
    <row r="908" spans="1:7" x14ac:dyDescent="0.35">
      <c r="A908" s="1">
        <v>40753</v>
      </c>
      <c r="B908">
        <f>'10years'!B908-'10years'!$G908</f>
        <v>8.7330120688329238E-2</v>
      </c>
      <c r="C908">
        <f>'10years'!C908-'10years'!$G908</f>
        <v>-7.8805347575343632E-2</v>
      </c>
      <c r="D908">
        <f>'10years'!D908-'10years'!$G908</f>
        <v>0.44934694753879345</v>
      </c>
      <c r="E908">
        <f>'10years'!E908-'10years'!$G908</f>
        <v>0.30190228009862707</v>
      </c>
      <c r="F908">
        <f>'10years'!F908-'10years'!$G908</f>
        <v>-8.9421751166467445E-2</v>
      </c>
      <c r="G908">
        <f>'10years'!H908-'10years'!$I908</f>
        <v>7.9176206029141216E-2</v>
      </c>
    </row>
    <row r="909" spans="1:7" x14ac:dyDescent="0.35">
      <c r="A909" s="1">
        <v>40786</v>
      </c>
      <c r="B909">
        <f>'10years'!B909-'10years'!$G909</f>
        <v>8.0937427801335504E-2</v>
      </c>
      <c r="C909">
        <f>'10years'!C909-'10years'!$G909</f>
        <v>-8.538160228421332E-2</v>
      </c>
      <c r="D909">
        <f>'10years'!D909-'10years'!$G909</f>
        <v>0.42944069866899715</v>
      </c>
      <c r="E909">
        <f>'10years'!E909-'10years'!$G909</f>
        <v>0.28197124229554693</v>
      </c>
      <c r="F909">
        <f>'10years'!F909-'10years'!$G909</f>
        <v>-9.5974616572442661E-2</v>
      </c>
      <c r="G909">
        <f>'10years'!H909-'10years'!$I909</f>
        <v>7.2776671549878991E-2</v>
      </c>
    </row>
    <row r="910" spans="1:7" x14ac:dyDescent="0.35">
      <c r="A910" s="1">
        <v>40816</v>
      </c>
      <c r="B910">
        <f>'10years'!B910-'10years'!$G910</f>
        <v>9.1514479064190857E-2</v>
      </c>
      <c r="C910">
        <f>'10years'!C910-'10years'!$G910</f>
        <v>-7.5612769524703305E-2</v>
      </c>
      <c r="D910">
        <f>'10years'!D910-'10years'!$G910</f>
        <v>0.41438484797762132</v>
      </c>
      <c r="E910">
        <f>'10years'!E910-'10years'!$G910</f>
        <v>0.2666567894604277</v>
      </c>
      <c r="F910">
        <f>'10years'!F910-'10years'!$G910</f>
        <v>-8.6991424242667259E-2</v>
      </c>
      <c r="G910">
        <f>'10years'!H910-'10years'!$I910</f>
        <v>8.3340711882706753E-2</v>
      </c>
    </row>
    <row r="911" spans="1:7" x14ac:dyDescent="0.35">
      <c r="A911" s="1">
        <v>40847</v>
      </c>
      <c r="B911">
        <f>'10years'!B911-'10years'!$G911</f>
        <v>0.10301769711491326</v>
      </c>
      <c r="C911">
        <f>'10years'!C911-'10years'!$G911</f>
        <v>-6.4573092769706353E-2</v>
      </c>
      <c r="D911">
        <f>'10years'!D911-'10years'!$G911</f>
        <v>0.44847067650697126</v>
      </c>
      <c r="E911">
        <f>'10years'!E911-'10years'!$G911</f>
        <v>0.30017204201995051</v>
      </c>
      <c r="F911">
        <f>'10years'!F911-'10years'!$G911</f>
        <v>-7.5636550478110909E-2</v>
      </c>
      <c r="G911">
        <f>'10years'!H911-'10years'!$I911</f>
        <v>9.4797680375824367E-2</v>
      </c>
    </row>
    <row r="912" spans="1:7" x14ac:dyDescent="0.35">
      <c r="A912" s="1">
        <v>40877</v>
      </c>
      <c r="B912">
        <f>'10years'!B912-'10years'!$G912</f>
        <v>0.17521210208484539</v>
      </c>
      <c r="C912">
        <f>'10years'!C912-'10years'!$G912</f>
        <v>7.2184219169793007E-3</v>
      </c>
      <c r="D912">
        <f>'10years'!D912-'10years'!$G912</f>
        <v>0.52155656691042185</v>
      </c>
      <c r="E912">
        <f>'10years'!E912-'10years'!$G912</f>
        <v>0.37306804337755817</v>
      </c>
      <c r="F912">
        <f>'10years'!F912-'10years'!$G912</f>
        <v>-3.3591291181498395E-3</v>
      </c>
      <c r="G912">
        <f>'10years'!H912-'10years'!$I912</f>
        <v>0.16678072981719527</v>
      </c>
    </row>
    <row r="913" spans="1:7" x14ac:dyDescent="0.35">
      <c r="A913" s="1">
        <v>40907</v>
      </c>
      <c r="B913">
        <f>'10years'!B913-'10years'!$G913</f>
        <v>0.11104656362720111</v>
      </c>
      <c r="C913">
        <f>'10years'!C913-'10years'!$G913</f>
        <v>-5.8020937692240926E-2</v>
      </c>
      <c r="D913">
        <f>'10years'!D913-'10years'!$G913</f>
        <v>0.43586462627283873</v>
      </c>
      <c r="E913">
        <f>'10years'!E913-'10years'!$G913</f>
        <v>0.28668242073180683</v>
      </c>
      <c r="F913">
        <f>'10years'!F913-'10years'!$G913</f>
        <v>-6.6564011066230888E-2</v>
      </c>
      <c r="G913">
        <f>'10years'!H913-'10years'!$I913</f>
        <v>0.10266660893327728</v>
      </c>
    </row>
    <row r="914" spans="1:7" x14ac:dyDescent="0.35">
      <c r="A914" s="1">
        <v>40939</v>
      </c>
      <c r="B914">
        <f>'10years'!B914-'10years'!$G914</f>
        <v>0.11268679496720146</v>
      </c>
      <c r="C914">
        <f>'10years'!C914-'10years'!$G914</f>
        <v>-5.6887277653391521E-2</v>
      </c>
      <c r="D914">
        <f>'10years'!D914-'10years'!$G914</f>
        <v>0.41292242514855726</v>
      </c>
      <c r="E914">
        <f>'10years'!E914-'10years'!$G914</f>
        <v>0.26314889135445085</v>
      </c>
      <c r="F914">
        <f>'10years'!F914-'10years'!$G914</f>
        <v>-6.444164883171144E-2</v>
      </c>
      <c r="G914">
        <f>'10years'!H914-'10years'!$I914</f>
        <v>0.10422488264834051</v>
      </c>
    </row>
    <row r="915" spans="1:7" x14ac:dyDescent="0.35">
      <c r="A915" s="1">
        <v>40968</v>
      </c>
      <c r="B915">
        <f>'10years'!B915-'10years'!$G915</f>
        <v>0.16293415431485458</v>
      </c>
      <c r="C915">
        <f>'10years'!C915-'10years'!$G915</f>
        <v>-6.8393674766729085E-3</v>
      </c>
      <c r="D915">
        <f>'10years'!D915-'10years'!$G915</f>
        <v>0.46227244743586438</v>
      </c>
      <c r="E915">
        <f>'10years'!E915-'10years'!$G915</f>
        <v>0.31242410034151424</v>
      </c>
      <c r="F915">
        <f>'10years'!F915-'10years'!$G915</f>
        <v>-1.4517900367215564E-2</v>
      </c>
      <c r="G915">
        <f>'10years'!H915-'10years'!$I915</f>
        <v>0.15429058487759217</v>
      </c>
    </row>
    <row r="916" spans="1:7" x14ac:dyDescent="0.35">
      <c r="A916" s="1">
        <v>40998</v>
      </c>
      <c r="B916">
        <f>'10years'!B916-'10years'!$G916</f>
        <v>0.21601464320975849</v>
      </c>
      <c r="C916">
        <f>'10years'!C916-'10years'!$G916</f>
        <v>4.5343904538150737E-2</v>
      </c>
      <c r="D916">
        <f>'10years'!D916-'10years'!$G916</f>
        <v>0.50742597329377115</v>
      </c>
      <c r="E916">
        <f>'10years'!E916-'10years'!$G916</f>
        <v>0.35703781551950953</v>
      </c>
      <c r="F916">
        <f>'10years'!F916-'10years'!$G916</f>
        <v>3.736063601385875E-2</v>
      </c>
      <c r="G916">
        <f>'10years'!H916-'10years'!$I916</f>
        <v>0.20718522519784788</v>
      </c>
    </row>
    <row r="917" spans="1:7" x14ac:dyDescent="0.35">
      <c r="A917" s="1">
        <v>41029</v>
      </c>
      <c r="B917">
        <f>'10years'!B917-'10years'!$G917</f>
        <v>0.21337148837177411</v>
      </c>
      <c r="C917">
        <f>'10years'!C917-'10years'!$G917</f>
        <v>4.2135900226927259E-2</v>
      </c>
      <c r="D917">
        <f>'10years'!D917-'10years'!$G917</f>
        <v>0.47309180546713181</v>
      </c>
      <c r="E917">
        <f>'10years'!E917-'10years'!$G917</f>
        <v>0.32212481429701123</v>
      </c>
      <c r="F917">
        <f>'10years'!F917-'10years'!$G917</f>
        <v>3.4153995941579307E-2</v>
      </c>
      <c r="G917">
        <f>'10years'!H917-'10years'!$I917</f>
        <v>0.20447468931110713</v>
      </c>
    </row>
    <row r="918" spans="1:7" x14ac:dyDescent="0.35">
      <c r="A918" s="1">
        <v>41060</v>
      </c>
      <c r="B918">
        <f>'10years'!B918-'10years'!$G918</f>
        <v>0.26227923481340443</v>
      </c>
      <c r="C918">
        <f>'10years'!C918-'10years'!$G918</f>
        <v>9.0685111023206977E-2</v>
      </c>
      <c r="D918">
        <f>'10years'!D918-'10years'!$G918</f>
        <v>0.49888657866445185</v>
      </c>
      <c r="E918">
        <f>'10years'!E918-'10years'!$G918</f>
        <v>0.34769969866158923</v>
      </c>
      <c r="F918">
        <f>'10years'!F918-'10years'!$G918</f>
        <v>8.2117576627675382E-2</v>
      </c>
      <c r="G918">
        <f>'10years'!H918-'10years'!$I918</f>
        <v>0.25321501349649944</v>
      </c>
    </row>
    <row r="919" spans="1:7" x14ac:dyDescent="0.35">
      <c r="A919" s="1">
        <v>41089</v>
      </c>
      <c r="B919">
        <f>'10years'!B919-'10years'!$G919</f>
        <v>0.21840484976294472</v>
      </c>
      <c r="C919">
        <f>'10years'!C919-'10years'!$G919</f>
        <v>4.591692608400133E-2</v>
      </c>
      <c r="D919">
        <f>'10years'!D919-'10years'!$G919</f>
        <v>0.44884874811053233</v>
      </c>
      <c r="E919">
        <f>'10years'!E919-'10years'!$G919</f>
        <v>0.29707447297999834</v>
      </c>
      <c r="F919">
        <f>'10years'!F919-'10years'!$G919</f>
        <v>3.6858402326768624E-2</v>
      </c>
      <c r="G919">
        <f>'10years'!H919-'10years'!$I919</f>
        <v>0.20937490668000436</v>
      </c>
    </row>
    <row r="920" spans="1:7" x14ac:dyDescent="0.35">
      <c r="A920" s="1">
        <v>41121</v>
      </c>
      <c r="B920">
        <f>'10years'!B920-'10years'!$G920</f>
        <v>0.31548468037466493</v>
      </c>
      <c r="C920">
        <f>'10years'!C920-'10years'!$G920</f>
        <v>0.14270195822235565</v>
      </c>
      <c r="D920">
        <f>'10years'!D920-'10years'!$G920</f>
        <v>0.55206124457930295</v>
      </c>
      <c r="E920">
        <f>'10years'!E920-'10years'!$G920</f>
        <v>0.39974385378268384</v>
      </c>
      <c r="F920">
        <f>'10years'!F920-'10years'!$G920</f>
        <v>0.13323564510058028</v>
      </c>
      <c r="G920">
        <f>'10years'!H920-'10years'!$I920</f>
        <v>0.30619201832794429</v>
      </c>
    </row>
    <row r="921" spans="1:7" x14ac:dyDescent="0.35">
      <c r="A921" s="1">
        <v>41152</v>
      </c>
      <c r="B921">
        <f>'10years'!B921-'10years'!$G921</f>
        <v>0.39311332698990675</v>
      </c>
      <c r="C921">
        <f>'10years'!C921-'10years'!$G921</f>
        <v>0.22013637197786817</v>
      </c>
      <c r="D921">
        <f>'10years'!D921-'10years'!$G921</f>
        <v>0.64911823206277752</v>
      </c>
      <c r="E921">
        <f>'10years'!E921-'10years'!$G921</f>
        <v>0.4967179002406219</v>
      </c>
      <c r="F921">
        <f>'10years'!F921-'10years'!$G921</f>
        <v>0.21380413455061476</v>
      </c>
      <c r="G921">
        <f>'10years'!H921-'10years'!$I921</f>
        <v>0.38360305932172434</v>
      </c>
    </row>
    <row r="922" spans="1:7" x14ac:dyDescent="0.35">
      <c r="A922" s="1">
        <v>41180</v>
      </c>
      <c r="B922">
        <f>'10years'!B922-'10years'!$G922</f>
        <v>0.4072007778057174</v>
      </c>
      <c r="C922">
        <f>'10years'!C922-'10years'!$G922</f>
        <v>0.23328350447513579</v>
      </c>
      <c r="D922">
        <f>'10years'!D922-'10years'!$G922</f>
        <v>0.66551140618433924</v>
      </c>
      <c r="E922">
        <f>'10years'!E922-'10years'!$G922</f>
        <v>0.51245141041189712</v>
      </c>
      <c r="F922">
        <f>'10years'!F922-'10years'!$G922</f>
        <v>0.22723966269351359</v>
      </c>
      <c r="G922">
        <f>'10years'!H922-'10years'!$I922</f>
        <v>0.39759514458757028</v>
      </c>
    </row>
    <row r="923" spans="1:7" x14ac:dyDescent="0.35">
      <c r="A923" s="1">
        <v>41213</v>
      </c>
      <c r="B923">
        <f>'10years'!B923-'10years'!$G923</f>
        <v>0.52585587867458261</v>
      </c>
      <c r="C923">
        <f>'10years'!C923-'10years'!$G923</f>
        <v>0.3518188525820054</v>
      </c>
      <c r="D923">
        <f>'10years'!D923-'10years'!$G923</f>
        <v>0.78956549423368716</v>
      </c>
      <c r="E923">
        <f>'10years'!E923-'10years'!$G923</f>
        <v>0.63612122325581111</v>
      </c>
      <c r="F923">
        <f>'10years'!F923-'10years'!$G923</f>
        <v>0.34594744424508383</v>
      </c>
      <c r="G923">
        <f>'10years'!H923-'10years'!$I923</f>
        <v>0.51594168302502297</v>
      </c>
    </row>
    <row r="924" spans="1:7" x14ac:dyDescent="0.35">
      <c r="A924" s="1">
        <v>41243</v>
      </c>
      <c r="B924">
        <f>'10years'!B924-'10years'!$G924</f>
        <v>0.44072875758563179</v>
      </c>
      <c r="C924">
        <f>'10years'!C924-'10years'!$G924</f>
        <v>0.26680653924342779</v>
      </c>
      <c r="D924">
        <f>'10years'!D924-'10years'!$G924</f>
        <v>0.72502513139065816</v>
      </c>
      <c r="E924">
        <f>'10years'!E924-'10years'!$G924</f>
        <v>0.57157652566926243</v>
      </c>
      <c r="F924">
        <f>'10years'!F924-'10years'!$G924</f>
        <v>0.26097409993328946</v>
      </c>
      <c r="G924">
        <f>'10years'!H924-'10years'!$I924</f>
        <v>0.43093145423512835</v>
      </c>
    </row>
    <row r="925" spans="1:7" x14ac:dyDescent="0.35">
      <c r="A925" s="1">
        <v>41274</v>
      </c>
      <c r="B925">
        <f>'10years'!B925-'10years'!$G925</f>
        <v>0.3981038709648439</v>
      </c>
      <c r="C925">
        <f>'10years'!C925-'10years'!$G925</f>
        <v>0.22298232527678219</v>
      </c>
      <c r="D925">
        <f>'10years'!D925-'10years'!$G925</f>
        <v>0.64951313181945092</v>
      </c>
      <c r="E925">
        <f>'10years'!E925-'10years'!$G925</f>
        <v>0.49516670089913517</v>
      </c>
      <c r="F925">
        <f>'10years'!F925-'10years'!$G925</f>
        <v>0.21790296943716103</v>
      </c>
      <c r="G925">
        <f>'10years'!H925-'10years'!$I925</f>
        <v>0.38835018943021993</v>
      </c>
    </row>
    <row r="926" spans="1:7" x14ac:dyDescent="0.35">
      <c r="A926" s="1">
        <v>41305</v>
      </c>
      <c r="B926">
        <f>'10years'!B926-'10years'!$G926</f>
        <v>0.45689975227157564</v>
      </c>
      <c r="C926">
        <f>'10years'!C926-'10years'!$G926</f>
        <v>0.28096278585612922</v>
      </c>
      <c r="D926">
        <f>'10years'!D926-'10years'!$G926</f>
        <v>0.71500186167295698</v>
      </c>
      <c r="E926">
        <f>'10years'!E926-'10years'!$G926</f>
        <v>0.5594990863064897</v>
      </c>
      <c r="F926">
        <f>'10years'!F926-'10years'!$G926</f>
        <v>0.27673318399004998</v>
      </c>
      <c r="G926">
        <f>'10years'!H926-'10years'!$I926</f>
        <v>0.44698146459797305</v>
      </c>
    </row>
    <row r="927" spans="1:7" x14ac:dyDescent="0.35">
      <c r="A927" s="1">
        <v>41333</v>
      </c>
      <c r="B927">
        <f>'10years'!B927-'10years'!$G927</f>
        <v>0.52317363478464651</v>
      </c>
      <c r="C927">
        <f>'10years'!C927-'10years'!$G927</f>
        <v>0.34716045505989213</v>
      </c>
      <c r="D927">
        <f>'10years'!D927-'10years'!$G927</f>
        <v>0.79094483062371923</v>
      </c>
      <c r="E927">
        <f>'10years'!E927-'10years'!$G927</f>
        <v>0.63542141484302972</v>
      </c>
      <c r="F927">
        <f>'10years'!F927-'10years'!$G927</f>
        <v>0.34207004081718884</v>
      </c>
      <c r="G927">
        <f>'10years'!H927-'10years'!$I927</f>
        <v>0.51307268818887586</v>
      </c>
    </row>
    <row r="928" spans="1:7" x14ac:dyDescent="0.35">
      <c r="A928" s="1">
        <v>41361</v>
      </c>
      <c r="B928">
        <f>'10years'!B928-'10years'!$G928</f>
        <v>0.54771463016678368</v>
      </c>
      <c r="C928">
        <f>'10years'!C928-'10years'!$G928</f>
        <v>0.37127366061049294</v>
      </c>
      <c r="D928">
        <f>'10years'!D928-'10years'!$G928</f>
        <v>0.820745629420915</v>
      </c>
      <c r="E928">
        <f>'10years'!E928-'10years'!$G928</f>
        <v>0.66502609939971169</v>
      </c>
      <c r="F928">
        <f>'10years'!F928-'10years'!$G928</f>
        <v>0.36644944168497862</v>
      </c>
      <c r="G928">
        <f>'10years'!H928-'10years'!$I928</f>
        <v>0.53750789379362063</v>
      </c>
    </row>
    <row r="929" spans="1:7" x14ac:dyDescent="0.35">
      <c r="A929" s="1">
        <v>41394</v>
      </c>
      <c r="B929">
        <f>'10years'!B929-'10years'!$G929</f>
        <v>0.57095929358258424</v>
      </c>
      <c r="C929">
        <f>'10years'!C929-'10years'!$G929</f>
        <v>0.39433217619432259</v>
      </c>
      <c r="D929">
        <f>'10years'!D929-'10years'!$G929</f>
        <v>0.85273239504993725</v>
      </c>
      <c r="E929">
        <f>'10years'!E929-'10years'!$G929</f>
        <v>0.69665622103728353</v>
      </c>
      <c r="F929">
        <f>'10years'!F929-'10years'!$G929</f>
        <v>0.38998270514555244</v>
      </c>
      <c r="G929">
        <f>'10years'!H929-'10years'!$I929</f>
        <v>0.56066831940693174</v>
      </c>
    </row>
    <row r="930" spans="1:7" x14ac:dyDescent="0.35">
      <c r="A930" s="1">
        <v>41425</v>
      </c>
      <c r="B930">
        <f>'10years'!B930-'10years'!$G930</f>
        <v>0.52143688026715629</v>
      </c>
      <c r="C930">
        <f>'10years'!C930-'10years'!$G930</f>
        <v>0.34497750661812687</v>
      </c>
      <c r="D930">
        <f>'10years'!D930-'10years'!$G930</f>
        <v>0.78390705438100539</v>
      </c>
      <c r="E930">
        <f>'10years'!E930-'10years'!$G930</f>
        <v>0.62815175747286101</v>
      </c>
      <c r="F930">
        <f>'10years'!F930-'10years'!$G930</f>
        <v>0.34062828337098039</v>
      </c>
      <c r="G930">
        <f>'10years'!H930-'10years'!$I930</f>
        <v>0.51117659202526422</v>
      </c>
    </row>
    <row r="931" spans="1:7" x14ac:dyDescent="0.35">
      <c r="A931" s="1">
        <v>41453</v>
      </c>
      <c r="B931">
        <f>'10years'!B931-'10years'!$G931</f>
        <v>0.49790287971805247</v>
      </c>
      <c r="C931">
        <f>'10years'!C931-'10years'!$G931</f>
        <v>0.3206779066447214</v>
      </c>
      <c r="D931">
        <f>'10years'!D931-'10years'!$G931</f>
        <v>0.73113295643441445</v>
      </c>
      <c r="E931">
        <f>'10years'!E931-'10years'!$G931</f>
        <v>0.5749823562961649</v>
      </c>
      <c r="F931">
        <f>'10years'!F931-'10years'!$G931</f>
        <v>0.31707874075359976</v>
      </c>
      <c r="G931">
        <f>'10years'!H931-'10years'!$I931</f>
        <v>0.48762482468951429</v>
      </c>
    </row>
    <row r="932" spans="1:7" x14ac:dyDescent="0.35">
      <c r="A932" s="1">
        <v>41486</v>
      </c>
      <c r="B932">
        <f>'10years'!B932-'10years'!$G932</f>
        <v>0.47663568159388325</v>
      </c>
      <c r="C932">
        <f>'10years'!C932-'10years'!$G932</f>
        <v>0.29925072514960127</v>
      </c>
      <c r="D932">
        <f>'10years'!D932-'10years'!$G932</f>
        <v>0.71675397293924248</v>
      </c>
      <c r="E932">
        <f>'10years'!E932-'10years'!$G932</f>
        <v>0.560133650596083</v>
      </c>
      <c r="F932">
        <f>'10years'!F932-'10years'!$G932</f>
        <v>0.29589981659834286</v>
      </c>
      <c r="G932">
        <f>'10years'!H932-'10years'!$I932</f>
        <v>0.46633772394121253</v>
      </c>
    </row>
    <row r="933" spans="1:7" x14ac:dyDescent="0.35">
      <c r="A933" s="1">
        <v>41516</v>
      </c>
      <c r="B933">
        <f>'10years'!B933-'10years'!$G933</f>
        <v>0.50380976845047321</v>
      </c>
      <c r="C933">
        <f>'10years'!C933-'10years'!$G933</f>
        <v>0.32644813245218773</v>
      </c>
      <c r="D933">
        <f>'10years'!D933-'10years'!$G933</f>
        <v>0.73898644538922631</v>
      </c>
      <c r="E933">
        <f>'10years'!E933-'10years'!$G933</f>
        <v>0.5824804922100506</v>
      </c>
      <c r="F933">
        <f>'10years'!F933-'10years'!$G933</f>
        <v>0.3234673457740127</v>
      </c>
      <c r="G933">
        <f>'10years'!H933-'10years'!$I933</f>
        <v>0.49341511537761562</v>
      </c>
    </row>
    <row r="934" spans="1:7" x14ac:dyDescent="0.35">
      <c r="A934" s="1">
        <v>41547</v>
      </c>
      <c r="B934">
        <f>'10years'!B934-'10years'!$G934</f>
        <v>0.46332006469381914</v>
      </c>
      <c r="C934">
        <f>'10years'!C934-'10years'!$G934</f>
        <v>0.28523310334755037</v>
      </c>
      <c r="D934">
        <f>'10years'!D934-'10years'!$G934</f>
        <v>0.67923687608474514</v>
      </c>
      <c r="E934">
        <f>'10years'!E934-'10years'!$G934</f>
        <v>0.52232839448532919</v>
      </c>
      <c r="F934">
        <f>'10years'!F934-'10years'!$G934</f>
        <v>0.28266316882382858</v>
      </c>
      <c r="G934">
        <f>'10years'!H934-'10years'!$I934</f>
        <v>0.45296503228243745</v>
      </c>
    </row>
    <row r="935" spans="1:7" x14ac:dyDescent="0.35">
      <c r="A935" s="1">
        <v>41578</v>
      </c>
      <c r="B935">
        <f>'10years'!B935-'10years'!$G935</f>
        <v>0.49921862134909922</v>
      </c>
      <c r="C935">
        <f>'10years'!C935-'10years'!$G935</f>
        <v>0.32093345072841473</v>
      </c>
      <c r="D935">
        <f>'10years'!D935-'10years'!$G935</f>
        <v>0.72726362511124432</v>
      </c>
      <c r="E935">
        <f>'10years'!E935-'10years'!$G935</f>
        <v>0.5699288191521914</v>
      </c>
      <c r="F935">
        <f>'10years'!F935-'10years'!$G935</f>
        <v>0.31796853957837623</v>
      </c>
      <c r="G935">
        <f>'10years'!H935-'10years'!$I935</f>
        <v>0.48875412286537578</v>
      </c>
    </row>
    <row r="936" spans="1:7" x14ac:dyDescent="0.35">
      <c r="A936" s="1">
        <v>41607</v>
      </c>
      <c r="B936">
        <f>'10years'!B936-'10years'!$G936</f>
        <v>0.49243606525980299</v>
      </c>
      <c r="C936">
        <f>'10years'!C936-'10years'!$G936</f>
        <v>0.31437310422003195</v>
      </c>
      <c r="D936">
        <f>'10years'!D936-'10years'!$G936</f>
        <v>0.70550465139894536</v>
      </c>
      <c r="E936">
        <f>'10years'!E936-'10years'!$G936</f>
        <v>0.54819403065889771</v>
      </c>
      <c r="F936">
        <f>'10years'!F936-'10years'!$G936</f>
        <v>0.31033509554701899</v>
      </c>
      <c r="G936">
        <f>'10years'!H936-'10years'!$I936</f>
        <v>0.48193118070900542</v>
      </c>
    </row>
    <row r="937" spans="1:7" x14ac:dyDescent="0.35">
      <c r="A937" s="1">
        <v>41639</v>
      </c>
      <c r="B937">
        <f>'10years'!B937-'10years'!$G937</f>
        <v>0.51078866686611968</v>
      </c>
      <c r="C937">
        <f>'10years'!C937-'10years'!$G937</f>
        <v>0.33209978928375272</v>
      </c>
      <c r="D937">
        <f>'10years'!D937-'10years'!$G937</f>
        <v>0.70816658172377456</v>
      </c>
      <c r="E937">
        <f>'10years'!E937-'10years'!$G937</f>
        <v>0.55057779208470081</v>
      </c>
      <c r="F937">
        <f>'10years'!F937-'10years'!$G937</f>
        <v>0.32817333449675723</v>
      </c>
      <c r="G937">
        <f>'10years'!H937-'10years'!$I937</f>
        <v>0.50019591806177433</v>
      </c>
    </row>
    <row r="938" spans="1:7" x14ac:dyDescent="0.35">
      <c r="A938" s="1">
        <v>41670</v>
      </c>
      <c r="B938">
        <f>'10years'!B938-'10years'!$G938</f>
        <v>0.49065661423645435</v>
      </c>
      <c r="C938">
        <f>'10years'!C938-'10years'!$G938</f>
        <v>0.31190500299983825</v>
      </c>
      <c r="D938">
        <f>'10years'!D938-'10years'!$G938</f>
        <v>0.68998410976931823</v>
      </c>
      <c r="E938">
        <f>'10years'!E938-'10years'!$G938</f>
        <v>0.53210001687910347</v>
      </c>
      <c r="F938">
        <f>'10years'!F938-'10years'!$G938</f>
        <v>0.30693775538203405</v>
      </c>
      <c r="G938">
        <f>'10years'!H938-'10years'!$I938</f>
        <v>0.4800539865253417</v>
      </c>
    </row>
    <row r="939" spans="1:7" x14ac:dyDescent="0.35">
      <c r="A939" s="1">
        <v>41698</v>
      </c>
      <c r="B939">
        <f>'10years'!B939-'10years'!$G939</f>
        <v>0.44587266068821552</v>
      </c>
      <c r="C939">
        <f>'10years'!C939-'10years'!$G939</f>
        <v>0.26717109082064794</v>
      </c>
      <c r="D939">
        <f>'10years'!D939-'10years'!$G939</f>
        <v>0.64516964034440938</v>
      </c>
      <c r="E939">
        <f>'10years'!E939-'10years'!$G939</f>
        <v>0.48726707964906502</v>
      </c>
      <c r="F939">
        <f>'10years'!F939-'10years'!$G939</f>
        <v>0.26292219602149536</v>
      </c>
      <c r="G939">
        <f>'10years'!H939-'10years'!$I939</f>
        <v>0.43531868240939131</v>
      </c>
    </row>
    <row r="940" spans="1:7" x14ac:dyDescent="0.35">
      <c r="A940" s="1">
        <v>41729</v>
      </c>
      <c r="B940">
        <f>'10years'!B940-'10years'!$G940</f>
        <v>0.4719281228937271</v>
      </c>
      <c r="C940">
        <f>'10years'!C940-'10years'!$G940</f>
        <v>0.29252066310675384</v>
      </c>
      <c r="D940">
        <f>'10years'!D940-'10years'!$G940</f>
        <v>0.67244088974244209</v>
      </c>
      <c r="E940">
        <f>'10years'!E940-'10years'!$G940</f>
        <v>0.51400346242150774</v>
      </c>
      <c r="F940">
        <f>'10years'!F940-'10years'!$G940</f>
        <v>0.28862794568004158</v>
      </c>
      <c r="G940">
        <f>'10years'!H940-'10years'!$I940</f>
        <v>0.46128590436742556</v>
      </c>
    </row>
    <row r="941" spans="1:7" x14ac:dyDescent="0.35">
      <c r="A941" s="1">
        <v>41759</v>
      </c>
      <c r="B941">
        <f>'10years'!B941-'10years'!$G941</f>
        <v>0.49211060395551476</v>
      </c>
      <c r="C941">
        <f>'10years'!C941-'10years'!$G941</f>
        <v>0.31249901958432824</v>
      </c>
      <c r="D941">
        <f>'10years'!D941-'10years'!$G941</f>
        <v>0.68420096848845224</v>
      </c>
      <c r="E941">
        <f>'10years'!E941-'10years'!$G941</f>
        <v>0.52533258151630813</v>
      </c>
      <c r="F941">
        <f>'10years'!F941-'10years'!$G941</f>
        <v>0.30901217952259996</v>
      </c>
      <c r="G941">
        <f>'10years'!H941-'10years'!$I941</f>
        <v>0.48137905996551433</v>
      </c>
    </row>
    <row r="942" spans="1:7" x14ac:dyDescent="0.35">
      <c r="A942" s="1">
        <v>41789</v>
      </c>
      <c r="B942">
        <f>'10years'!B942-'10years'!$G942</f>
        <v>0.51147372777457245</v>
      </c>
      <c r="C942">
        <f>'10years'!C942-'10years'!$G942</f>
        <v>0.3318234614252098</v>
      </c>
      <c r="D942">
        <f>'10years'!D942-'10years'!$G942</f>
        <v>0.70861077514031989</v>
      </c>
      <c r="E942">
        <f>'10years'!E942-'10years'!$G942</f>
        <v>0.54970592869178225</v>
      </c>
      <c r="F942">
        <f>'10years'!F942-'10years'!$G942</f>
        <v>0.32907385251689525</v>
      </c>
      <c r="G942">
        <f>'10years'!H942-'10years'!$I942</f>
        <v>0.50065578780256192</v>
      </c>
    </row>
    <row r="943" spans="1:7" x14ac:dyDescent="0.35">
      <c r="A943" s="1">
        <v>41820</v>
      </c>
      <c r="B943">
        <f>'10years'!B943-'10years'!$G943</f>
        <v>0.51998526928005306</v>
      </c>
      <c r="C943">
        <f>'10years'!C943-'10years'!$G943</f>
        <v>0.33967022651850565</v>
      </c>
      <c r="D943">
        <f>'10years'!D943-'10years'!$G943</f>
        <v>0.71219693756629932</v>
      </c>
      <c r="E943">
        <f>'10years'!E943-'10years'!$G943</f>
        <v>0.55286130293710078</v>
      </c>
      <c r="F943">
        <f>'10years'!F943-'10years'!$G943</f>
        <v>0.33698230464935675</v>
      </c>
      <c r="G943">
        <f>'10years'!H943-'10years'!$I943</f>
        <v>0.50912022808624613</v>
      </c>
    </row>
    <row r="944" spans="1:7" x14ac:dyDescent="0.35">
      <c r="A944" s="1">
        <v>41851</v>
      </c>
      <c r="B944">
        <f>'10years'!B944-'10years'!$G944</f>
        <v>0.52164263311720327</v>
      </c>
      <c r="C944">
        <f>'10years'!C944-'10years'!$G944</f>
        <v>0.34123032971218348</v>
      </c>
      <c r="D944">
        <f>'10years'!D944-'10years'!$G944</f>
        <v>0.71127303855909063</v>
      </c>
      <c r="E944">
        <f>'10years'!E944-'10years'!$G944</f>
        <v>0.55156030343592755</v>
      </c>
      <c r="F944">
        <f>'10years'!F944-'10years'!$G944</f>
        <v>0.33857526859300013</v>
      </c>
      <c r="G944">
        <f>'10years'!H944-'10years'!$I944</f>
        <v>0.51073753141436251</v>
      </c>
    </row>
    <row r="945" spans="1:7" x14ac:dyDescent="0.35">
      <c r="A945" s="1">
        <v>41880</v>
      </c>
      <c r="B945">
        <f>'10years'!B945-'10years'!$G945</f>
        <v>0.5388281195143132</v>
      </c>
      <c r="C945">
        <f>'10years'!C945-'10years'!$G945</f>
        <v>0.35828091974428178</v>
      </c>
      <c r="D945">
        <f>'10years'!D945-'10years'!$G945</f>
        <v>0.73007260330253532</v>
      </c>
      <c r="E945">
        <f>'10years'!E945-'10years'!$G945</f>
        <v>0.57028125645322136</v>
      </c>
      <c r="F945">
        <f>'10years'!F945-'10years'!$G945</f>
        <v>0.35594979864972531</v>
      </c>
      <c r="G945">
        <f>'10years'!H945-'10years'!$I945</f>
        <v>0.52784009612465432</v>
      </c>
    </row>
    <row r="946" spans="1:7" x14ac:dyDescent="0.35">
      <c r="A946" s="1">
        <v>41912</v>
      </c>
      <c r="B946">
        <f>'10years'!B946-'10years'!$G946</f>
        <v>0.56932954056832497</v>
      </c>
      <c r="C946">
        <f>'10years'!C946-'10years'!$G946</f>
        <v>0.38834282522839914</v>
      </c>
      <c r="D946">
        <f>'10years'!D946-'10years'!$G946</f>
        <v>0.76873058198159683</v>
      </c>
      <c r="E946">
        <f>'10years'!E946-'10years'!$G946</f>
        <v>0.60879452222906671</v>
      </c>
      <c r="F946">
        <f>'10years'!F946-'10years'!$G946</f>
        <v>0.38595576520064601</v>
      </c>
      <c r="G946">
        <f>'10years'!H946-'10years'!$I946</f>
        <v>0.55823702088177996</v>
      </c>
    </row>
    <row r="947" spans="1:7" x14ac:dyDescent="0.35">
      <c r="A947" s="1">
        <v>41943</v>
      </c>
      <c r="B947">
        <f>'10years'!B947-'10years'!$G947</f>
        <v>0.54950338460429204</v>
      </c>
      <c r="C947">
        <f>'10years'!C947-'10years'!$G947</f>
        <v>0.36846476266132822</v>
      </c>
      <c r="D947">
        <f>'10years'!D947-'10years'!$G947</f>
        <v>0.7253031493183828</v>
      </c>
      <c r="E947">
        <f>'10years'!E947-'10years'!$G947</f>
        <v>0.56485368587433715</v>
      </c>
      <c r="F947">
        <f>'10years'!F947-'10years'!$G947</f>
        <v>0.36602412285924668</v>
      </c>
      <c r="G947">
        <f>'10years'!H947-'10years'!$I947</f>
        <v>0.53841324930485879</v>
      </c>
    </row>
    <row r="948" spans="1:7" x14ac:dyDescent="0.35">
      <c r="A948" s="1">
        <v>41971</v>
      </c>
      <c r="B948">
        <f>'10years'!B948-'10years'!$G948</f>
        <v>0.55787372629058973</v>
      </c>
      <c r="C948">
        <f>'10years'!C948-'10years'!$G948</f>
        <v>0.37691454938908242</v>
      </c>
      <c r="D948">
        <f>'10years'!D948-'10years'!$G948</f>
        <v>0.73065929347912784</v>
      </c>
      <c r="E948">
        <f>'10years'!E948-'10years'!$G948</f>
        <v>0.57017904129197161</v>
      </c>
      <c r="F948">
        <f>'10years'!F948-'10years'!$G948</f>
        <v>0.37454179692730571</v>
      </c>
      <c r="G948">
        <f>'10years'!H948-'10years'!$I948</f>
        <v>0.54674464484179008</v>
      </c>
    </row>
    <row r="949" spans="1:7" x14ac:dyDescent="0.35">
      <c r="A949" s="1">
        <v>42004</v>
      </c>
      <c r="B949">
        <f>'10years'!B949-'10years'!$G949</f>
        <v>0.54867820380639776</v>
      </c>
      <c r="C949">
        <f>'10years'!C949-'10years'!$G949</f>
        <v>0.3697438280513734</v>
      </c>
      <c r="D949">
        <f>'10years'!D949-'10years'!$G949</f>
        <v>0.70413883777644815</v>
      </c>
      <c r="E949">
        <f>'10years'!E949-'10years'!$G949</f>
        <v>0.54315019023860733</v>
      </c>
      <c r="F949">
        <f>'10years'!F949-'10years'!$G949</f>
        <v>0.36442004686421248</v>
      </c>
      <c r="G949">
        <f>'10years'!H949-'10years'!$I949</f>
        <v>0.53755426273001117</v>
      </c>
    </row>
    <row r="950" spans="1:7" x14ac:dyDescent="0.35">
      <c r="A950" s="1">
        <v>42034</v>
      </c>
      <c r="B950">
        <f>'10years'!B950-'10years'!$G950</f>
        <v>0.52014623453456754</v>
      </c>
      <c r="C950">
        <f>'10years'!C950-'10years'!$G950</f>
        <v>0.34110890371518043</v>
      </c>
      <c r="D950">
        <f>'10years'!D950-'10years'!$G950</f>
        <v>0.67743139585619727</v>
      </c>
      <c r="E950">
        <f>'10years'!E950-'10years'!$G950</f>
        <v>0.51613173909507037</v>
      </c>
      <c r="F950">
        <f>'10years'!F950-'10years'!$G950</f>
        <v>0.33553550843546831</v>
      </c>
      <c r="G950">
        <f>'10years'!H950-'10years'!$I950</f>
        <v>0.5090495531757</v>
      </c>
    </row>
    <row r="951" spans="1:7" x14ac:dyDescent="0.35">
      <c r="A951" s="1">
        <v>42062</v>
      </c>
      <c r="B951">
        <f>'10years'!B951-'10years'!$G951</f>
        <v>0.51668520229203851</v>
      </c>
      <c r="C951">
        <f>'10years'!C951-'10years'!$G951</f>
        <v>0.33755432776449412</v>
      </c>
      <c r="D951">
        <f>'10years'!D951-'10years'!$G951</f>
        <v>0.6800053027285089</v>
      </c>
      <c r="E951">
        <f>'10years'!E951-'10years'!$G951</f>
        <v>0.51867695115498913</v>
      </c>
      <c r="F951">
        <f>'10years'!F951-'10years'!$G951</f>
        <v>0.33195082441119217</v>
      </c>
      <c r="G951">
        <f>'10years'!H951-'10years'!$I951</f>
        <v>0.50558472003316979</v>
      </c>
    </row>
    <row r="952" spans="1:7" x14ac:dyDescent="0.35">
      <c r="A952" s="1">
        <v>42094</v>
      </c>
      <c r="B952">
        <f>'10years'!B952-'10years'!$G952</f>
        <v>0.54696876775279302</v>
      </c>
      <c r="C952">
        <f>'10years'!C952-'10years'!$G952</f>
        <v>0.36742195979364078</v>
      </c>
      <c r="D952">
        <f>'10years'!D952-'10years'!$G952</f>
        <v>0.7122864097458721</v>
      </c>
      <c r="E952">
        <f>'10years'!E952-'10years'!$G952</f>
        <v>0.55040996084249683</v>
      </c>
      <c r="F952">
        <f>'10years'!F952-'10years'!$G952</f>
        <v>0.36237568927723407</v>
      </c>
      <c r="G952">
        <f>'10years'!H952-'10years'!$I952</f>
        <v>0.5357914956440446</v>
      </c>
    </row>
    <row r="953" spans="1:7" x14ac:dyDescent="0.35">
      <c r="A953" s="1">
        <v>42124</v>
      </c>
      <c r="B953">
        <f>'10years'!B953-'10years'!$G953</f>
        <v>0.55063722223681677</v>
      </c>
      <c r="C953">
        <f>'10years'!C953-'10years'!$G953</f>
        <v>0.37096559472867896</v>
      </c>
      <c r="D953">
        <f>'10years'!D953-'10years'!$G953</f>
        <v>0.71772302159890455</v>
      </c>
      <c r="E953">
        <f>'10years'!E953-'10years'!$G953</f>
        <v>0.55549035622620768</v>
      </c>
      <c r="F953">
        <f>'10years'!F953-'10years'!$G953</f>
        <v>0.36559707568540945</v>
      </c>
      <c r="G953">
        <f>'10years'!H953-'10years'!$I953</f>
        <v>0.53945531901909982</v>
      </c>
    </row>
    <row r="954" spans="1:7" x14ac:dyDescent="0.35">
      <c r="A954" s="1">
        <v>42153</v>
      </c>
      <c r="B954">
        <f>'10years'!B954-'10years'!$G954</f>
        <v>0.5760160985575431</v>
      </c>
      <c r="C954">
        <f>'10years'!C954-'10years'!$G954</f>
        <v>0.39637362418577693</v>
      </c>
      <c r="D954">
        <f>'10years'!D954-'10years'!$G954</f>
        <v>0.74921162767268745</v>
      </c>
      <c r="E954">
        <f>'10years'!E954-'10years'!$G954</f>
        <v>0.58686577231478365</v>
      </c>
      <c r="F954">
        <f>'10years'!F954-'10years'!$G954</f>
        <v>0.39146144843153108</v>
      </c>
      <c r="G954">
        <f>'10years'!H954-'10years'!$I954</f>
        <v>0.56480155791946984</v>
      </c>
    </row>
    <row r="955" spans="1:7" x14ac:dyDescent="0.35">
      <c r="A955" s="1">
        <v>42185</v>
      </c>
      <c r="B955">
        <f>'10years'!B955-'10years'!$G955</f>
        <v>0.56200768683969993</v>
      </c>
      <c r="C955">
        <f>'10years'!C955-'10years'!$G955</f>
        <v>0.3819150036925627</v>
      </c>
      <c r="D955">
        <f>'10years'!D955-'10years'!$G955</f>
        <v>0.71866200502455668</v>
      </c>
      <c r="E955">
        <f>'10years'!E955-'10years'!$G955</f>
        <v>0.55590101375294121</v>
      </c>
      <c r="F955">
        <f>'10years'!F955-'10years'!$G955</f>
        <v>0.37745951969983582</v>
      </c>
      <c r="G955">
        <f>'10years'!H955-'10years'!$I955</f>
        <v>0.5508269675677413</v>
      </c>
    </row>
    <row r="956" spans="1:7" x14ac:dyDescent="0.35">
      <c r="A956" s="1">
        <v>42216</v>
      </c>
      <c r="B956">
        <f>'10years'!B956-'10years'!$G956</f>
        <v>0.54607958692435843</v>
      </c>
      <c r="C956">
        <f>'10years'!C956-'10years'!$G956</f>
        <v>0.36590576478900405</v>
      </c>
      <c r="D956">
        <f>'10years'!D956-'10years'!$G956</f>
        <v>0.68984264401616424</v>
      </c>
      <c r="E956">
        <f>'10years'!E956-'10years'!$G956</f>
        <v>0.52669775570929889</v>
      </c>
      <c r="F956">
        <f>'10years'!F956-'10years'!$G956</f>
        <v>0.36169399373550681</v>
      </c>
      <c r="G956">
        <f>'10years'!H956-'10years'!$I956</f>
        <v>0.53493812011191633</v>
      </c>
    </row>
    <row r="957" spans="1:7" x14ac:dyDescent="0.35">
      <c r="A957" s="1">
        <v>42247</v>
      </c>
      <c r="B957">
        <f>'10years'!B957-'10years'!$G957</f>
        <v>0.53495355766099251</v>
      </c>
      <c r="C957">
        <f>'10years'!C957-'10years'!$G957</f>
        <v>0.35479200975542624</v>
      </c>
      <c r="D957">
        <f>'10years'!D957-'10years'!$G957</f>
        <v>0.6576505308466023</v>
      </c>
      <c r="E957">
        <f>'10years'!E957-'10years'!$G957</f>
        <v>0.49451216473441018</v>
      </c>
      <c r="F957">
        <f>'10years'!F957-'10years'!$G957</f>
        <v>0.3504436990782771</v>
      </c>
      <c r="G957">
        <f>'10years'!H957-'10years'!$I957</f>
        <v>0.52388606740616517</v>
      </c>
    </row>
    <row r="958" spans="1:7" x14ac:dyDescent="0.35">
      <c r="A958" s="1">
        <v>42277</v>
      </c>
      <c r="B958">
        <f>'10years'!B958-'10years'!$G958</f>
        <v>0.4931179493131066</v>
      </c>
      <c r="C958">
        <f>'10years'!C958-'10years'!$G958</f>
        <v>0.31272488685749833</v>
      </c>
      <c r="D958">
        <f>'10years'!D958-'10years'!$G958</f>
        <v>0.62197757674120835</v>
      </c>
      <c r="E958">
        <f>'10years'!E958-'10years'!$G958</f>
        <v>0.45851590301453582</v>
      </c>
      <c r="F958">
        <f>'10years'!F958-'10years'!$G958</f>
        <v>0.3081975373096868</v>
      </c>
      <c r="G958">
        <f>'10years'!H958-'10years'!$I958</f>
        <v>0.48225196891300559</v>
      </c>
    </row>
    <row r="959" spans="1:7" x14ac:dyDescent="0.35">
      <c r="A959" s="1">
        <v>42307</v>
      </c>
      <c r="B959">
        <f>'10years'!B959-'10years'!$G959</f>
        <v>0.46787068936903053</v>
      </c>
      <c r="C959">
        <f>'10years'!C959-'10years'!$G959</f>
        <v>0.28701416759767517</v>
      </c>
      <c r="D959">
        <f>'10years'!D959-'10years'!$G959</f>
        <v>0.5886997909441678</v>
      </c>
      <c r="E959">
        <f>'10years'!E959-'10years'!$G959</f>
        <v>0.42452004639262753</v>
      </c>
      <c r="F959">
        <f>'10years'!F959-'10years'!$G959</f>
        <v>0.28230174023285826</v>
      </c>
      <c r="G959">
        <f>'10years'!H959-'10years'!$I959</f>
        <v>0.45720546691420116</v>
      </c>
    </row>
    <row r="960" spans="1:7" x14ac:dyDescent="0.35">
      <c r="A960" s="1">
        <v>42338</v>
      </c>
      <c r="B960">
        <f>'10years'!B960-'10years'!$G960</f>
        <v>0.55047329538899414</v>
      </c>
      <c r="C960">
        <f>'10years'!C960-'10years'!$G960</f>
        <v>0.3692618691178946</v>
      </c>
      <c r="D960">
        <f>'10years'!D960-'10years'!$G960</f>
        <v>0.67043370148495884</v>
      </c>
      <c r="E960">
        <f>'10years'!E960-'10years'!$G960</f>
        <v>0.50591717639649381</v>
      </c>
      <c r="F960">
        <f>'10years'!F960-'10years'!$G960</f>
        <v>0.3661572045207746</v>
      </c>
      <c r="G960">
        <f>'10years'!H960-'10years'!$I960</f>
        <v>0.53976762503099573</v>
      </c>
    </row>
    <row r="961" spans="1:7" x14ac:dyDescent="0.35">
      <c r="A961" s="1">
        <v>42369</v>
      </c>
      <c r="B961">
        <f>'10years'!B961-'10years'!$G961</f>
        <v>0.52423544429411506</v>
      </c>
      <c r="C961">
        <f>'10years'!C961-'10years'!$G961</f>
        <v>0.34305065966997073</v>
      </c>
      <c r="D961">
        <f>'10years'!D961-'10years'!$G961</f>
        <v>0.63936652848692499</v>
      </c>
      <c r="E961">
        <f>'10years'!E961-'10years'!$G961</f>
        <v>0.47444383588756867</v>
      </c>
      <c r="F961">
        <f>'10years'!F961-'10years'!$G961</f>
        <v>0.34008117787500303</v>
      </c>
      <c r="G961">
        <f>'10years'!H961-'10years'!$I961</f>
        <v>0.51367768482469822</v>
      </c>
    </row>
    <row r="962" spans="1:7" x14ac:dyDescent="0.35">
      <c r="A962" s="1">
        <v>42398</v>
      </c>
      <c r="B962">
        <f>'10years'!B962-'10years'!$G962</f>
        <v>0.51382391326261501</v>
      </c>
      <c r="C962">
        <f>'10years'!C962-'10years'!$G962</f>
        <v>0.33222536631786492</v>
      </c>
      <c r="D962">
        <f>'10years'!D962-'10years'!$G962</f>
        <v>0.61358818320588493</v>
      </c>
      <c r="E962">
        <f>'10years'!E962-'10years'!$G962</f>
        <v>0.44811239677768078</v>
      </c>
      <c r="F962">
        <f>'10years'!F962-'10years'!$G962</f>
        <v>0.3284977328307821</v>
      </c>
      <c r="G962">
        <f>'10years'!H962-'10years'!$I962</f>
        <v>0.5034487142379418</v>
      </c>
    </row>
    <row r="963" spans="1:7" x14ac:dyDescent="0.35">
      <c r="A963" s="1">
        <v>42429</v>
      </c>
      <c r="B963">
        <f>'10years'!B963-'10years'!$G963</f>
        <v>0.45237606061940272</v>
      </c>
      <c r="C963">
        <f>'10years'!C963-'10years'!$G963</f>
        <v>0.27071098699428808</v>
      </c>
      <c r="D963">
        <f>'10years'!D963-'10years'!$G963</f>
        <v>0.53388913526097315</v>
      </c>
      <c r="E963">
        <f>'10years'!E963-'10years'!$G963</f>
        <v>0.36847783228778908</v>
      </c>
      <c r="F963">
        <f>'10years'!F963-'10years'!$G963</f>
        <v>0.26652353054107958</v>
      </c>
      <c r="G963">
        <f>'10years'!H963-'10years'!$I963</f>
        <v>0.44233255930158366</v>
      </c>
    </row>
    <row r="964" spans="1:7" x14ac:dyDescent="0.35">
      <c r="A964" s="1">
        <v>42460</v>
      </c>
      <c r="B964">
        <f>'10years'!B964-'10years'!$G964</f>
        <v>0.45134080205906812</v>
      </c>
      <c r="C964">
        <f>'10years'!C964-'10years'!$G964</f>
        <v>0.26929037361456576</v>
      </c>
      <c r="D964">
        <f>'10years'!D964-'10years'!$G964</f>
        <v>0.54373563757883936</v>
      </c>
      <c r="E964">
        <f>'10years'!E964-'10years'!$G964</f>
        <v>0.37772029458050138</v>
      </c>
      <c r="F964">
        <f>'10years'!F964-'10years'!$G964</f>
        <v>0.26514029532627603</v>
      </c>
      <c r="G964">
        <f>'10years'!H964-'10years'!$I964</f>
        <v>0.44151498714571913</v>
      </c>
    </row>
    <row r="965" spans="1:7" x14ac:dyDescent="0.35">
      <c r="A965" s="1">
        <v>42489</v>
      </c>
      <c r="B965">
        <f>'10years'!B965-'10years'!$G965</f>
        <v>0.49784806602624676</v>
      </c>
      <c r="C965">
        <f>'10years'!C965-'10years'!$G965</f>
        <v>0.31515220965583945</v>
      </c>
      <c r="D965">
        <f>'10years'!D965-'10years'!$G965</f>
        <v>0.59683514800759663</v>
      </c>
      <c r="E965">
        <f>'10years'!E965-'10years'!$G965</f>
        <v>0.4296050352914198</v>
      </c>
      <c r="F965">
        <f>'10years'!F965-'10years'!$G965</f>
        <v>0.3120326793724153</v>
      </c>
      <c r="G965">
        <f>'10years'!H965-'10years'!$I965</f>
        <v>0.48821389527924364</v>
      </c>
    </row>
    <row r="966" spans="1:7" x14ac:dyDescent="0.35">
      <c r="A966" s="1">
        <v>42521</v>
      </c>
      <c r="B966">
        <f>'10years'!B966-'10years'!$G966</f>
        <v>0.49359584678905222</v>
      </c>
      <c r="C966">
        <f>'10years'!C966-'10years'!$G966</f>
        <v>0.31094010778391912</v>
      </c>
      <c r="D966">
        <f>'10years'!D966-'10years'!$G966</f>
        <v>0.60139183089309434</v>
      </c>
      <c r="E966">
        <f>'10years'!E966-'10years'!$G966</f>
        <v>0.4341634676473749</v>
      </c>
      <c r="F966">
        <f>'10years'!F966-'10years'!$G966</f>
        <v>0.30681774283387586</v>
      </c>
      <c r="G966">
        <f>'10years'!H966-'10years'!$I966</f>
        <v>0.48422247944350794</v>
      </c>
    </row>
    <row r="967" spans="1:7" x14ac:dyDescent="0.35">
      <c r="A967" s="1">
        <v>42551</v>
      </c>
      <c r="B967">
        <f>'10years'!B967-'10years'!$G967</f>
        <v>0.53613500976486894</v>
      </c>
      <c r="C967">
        <f>'10years'!C967-'10years'!$G967</f>
        <v>0.35316464789055613</v>
      </c>
      <c r="D967">
        <f>'10years'!D967-'10years'!$G967</f>
        <v>0.64065189273766276</v>
      </c>
      <c r="E967">
        <f>'10years'!E967-'10years'!$G967</f>
        <v>0.47297379187719391</v>
      </c>
      <c r="F967">
        <f>'10years'!F967-'10years'!$G967</f>
        <v>0.34892533960920535</v>
      </c>
      <c r="G967">
        <f>'10years'!H967-'10years'!$I967</f>
        <v>0.52709265013061168</v>
      </c>
    </row>
    <row r="968" spans="1:7" x14ac:dyDescent="0.35">
      <c r="A968" s="1">
        <v>42580</v>
      </c>
      <c r="B968">
        <f>'10years'!B968-'10years'!$G968</f>
        <v>0.5398645871142187</v>
      </c>
      <c r="C968">
        <f>'10years'!C968-'10years'!$G968</f>
        <v>0.35653093776882239</v>
      </c>
      <c r="D968">
        <f>'10years'!D968-'10years'!$G968</f>
        <v>0.64502716424351059</v>
      </c>
      <c r="E968">
        <f>'10years'!E968-'10years'!$G968</f>
        <v>0.47681973985982884</v>
      </c>
      <c r="F968">
        <f>'10years'!F968-'10years'!$G968</f>
        <v>0.35242971204845697</v>
      </c>
      <c r="G968">
        <f>'10years'!H968-'10years'!$I968</f>
        <v>0.53115813580577598</v>
      </c>
    </row>
    <row r="969" spans="1:7" x14ac:dyDescent="0.35">
      <c r="A969" s="1">
        <v>42613</v>
      </c>
      <c r="B969">
        <f>'10years'!B969-'10years'!$G969</f>
        <v>0.5681354474854543</v>
      </c>
      <c r="C969">
        <f>'10years'!C969-'10years'!$G969</f>
        <v>0.3846314759761742</v>
      </c>
      <c r="D969">
        <f>'10years'!D969-'10years'!$G969</f>
        <v>0.69553222253037328</v>
      </c>
      <c r="E969">
        <f>'10years'!E969-'10years'!$G969</f>
        <v>0.52729016694234287</v>
      </c>
      <c r="F969">
        <f>'10years'!F969-'10years'!$G969</f>
        <v>0.3802805789593493</v>
      </c>
      <c r="G969">
        <f>'10years'!H969-'10years'!$I969</f>
        <v>0.55976559382157065</v>
      </c>
    </row>
    <row r="970" spans="1:7" x14ac:dyDescent="0.35">
      <c r="A970" s="1">
        <v>42643</v>
      </c>
      <c r="B970">
        <f>'10years'!B970-'10years'!$G970</f>
        <v>0.55210071209254319</v>
      </c>
      <c r="C970">
        <f>'10years'!C970-'10years'!$G970</f>
        <v>0.36844088244220319</v>
      </c>
      <c r="D970">
        <f>'10years'!D970-'10years'!$G970</f>
        <v>0.67518937478815721</v>
      </c>
      <c r="E970">
        <f>'10years'!E970-'10years'!$G970</f>
        <v>0.50656295540788832</v>
      </c>
      <c r="F970">
        <f>'10years'!F970-'10years'!$G970</f>
        <v>0.36457094538676915</v>
      </c>
      <c r="G970">
        <f>'10years'!H970-'10years'!$I970</f>
        <v>0.54416286076208742</v>
      </c>
    </row>
    <row r="971" spans="1:7" x14ac:dyDescent="0.35">
      <c r="A971" s="1">
        <v>42674</v>
      </c>
      <c r="B971">
        <f>'10years'!B971-'10years'!$G971</f>
        <v>0.53341758858508825</v>
      </c>
      <c r="C971">
        <f>'10years'!C971-'10years'!$G971</f>
        <v>0.34953058933721515</v>
      </c>
      <c r="D971">
        <f>'10years'!D971-'10years'!$G971</f>
        <v>0.65673880154883335</v>
      </c>
      <c r="E971">
        <f>'10years'!E971-'10years'!$G971</f>
        <v>0.48760858345022129</v>
      </c>
      <c r="F971">
        <f>'10years'!F971-'10years'!$G971</f>
        <v>0.3460890584387748</v>
      </c>
      <c r="G971">
        <f>'10years'!H971-'10years'!$I971</f>
        <v>0.52585759133936261</v>
      </c>
    </row>
    <row r="972" spans="1:7" x14ac:dyDescent="0.35">
      <c r="A972" s="1">
        <v>42704</v>
      </c>
      <c r="B972">
        <f>'10years'!B972-'10years'!$G972</f>
        <v>0.49426762000883451</v>
      </c>
      <c r="C972">
        <f>'10years'!C972-'10years'!$G972</f>
        <v>0.31029018522832108</v>
      </c>
      <c r="D972">
        <f>'10years'!D972-'10years'!$G972</f>
        <v>0.60877532240914722</v>
      </c>
      <c r="E972">
        <f>'10years'!E972-'10years'!$G972</f>
        <v>0.43977739669935656</v>
      </c>
      <c r="F972">
        <f>'10years'!F972-'10years'!$G972</f>
        <v>0.30658003624723684</v>
      </c>
      <c r="G972">
        <f>'10years'!H972-'10years'!$I972</f>
        <v>0.48712923277310916</v>
      </c>
    </row>
    <row r="973" spans="1:7" x14ac:dyDescent="0.35">
      <c r="A973" s="1">
        <v>42734</v>
      </c>
      <c r="B973">
        <f>'10years'!B973-'10years'!$G973</f>
        <v>0.51147863386782566</v>
      </c>
      <c r="C973">
        <f>'10years'!C973-'10years'!$G973</f>
        <v>0.32727904092637816</v>
      </c>
      <c r="D973">
        <f>'10years'!D973-'10years'!$G973</f>
        <v>0.6329951173033499</v>
      </c>
      <c r="E973">
        <f>'10years'!E973-'10years'!$G973</f>
        <v>0.46364793767799339</v>
      </c>
      <c r="F973">
        <f>'10years'!F973-'10years'!$G973</f>
        <v>0.32401756727871378</v>
      </c>
      <c r="G973">
        <f>'10years'!H973-'10years'!$I973</f>
        <v>0.50472974195223674</v>
      </c>
    </row>
    <row r="974" spans="1:7" x14ac:dyDescent="0.35">
      <c r="A974" s="1">
        <v>42766</v>
      </c>
      <c r="B974">
        <f>'10years'!B974-'10years'!$G974</f>
        <v>0.51864891045470696</v>
      </c>
      <c r="C974">
        <f>'10years'!C974-'10years'!$G974</f>
        <v>0.33432183548392658</v>
      </c>
      <c r="D974">
        <f>'10years'!D974-'10years'!$G974</f>
        <v>0.63777227305049244</v>
      </c>
      <c r="E974">
        <f>'10years'!E974-'10years'!$G974</f>
        <v>0.46811349687150994</v>
      </c>
      <c r="F974">
        <f>'10years'!F974-'10years'!$G974</f>
        <v>0.33130698587014606</v>
      </c>
      <c r="G974">
        <f>'10years'!H974-'10years'!$I974</f>
        <v>0.51229103136199994</v>
      </c>
    </row>
    <row r="975" spans="1:7" x14ac:dyDescent="0.35">
      <c r="A975" s="1">
        <v>42794</v>
      </c>
      <c r="B975">
        <f>'10years'!B975-'10years'!$G975</f>
        <v>0.52484571235684974</v>
      </c>
      <c r="C975">
        <f>'10years'!C975-'10years'!$G975</f>
        <v>0.34042942376697716</v>
      </c>
      <c r="D975">
        <f>'10years'!D975-'10years'!$G975</f>
        <v>0.63837264199529087</v>
      </c>
      <c r="E975">
        <f>'10years'!E975-'10years'!$G975</f>
        <v>0.46869384253987145</v>
      </c>
      <c r="F975">
        <f>'10years'!F975-'10years'!$G975</f>
        <v>0.33729952379506734</v>
      </c>
      <c r="G975">
        <f>'10years'!H975-'10years'!$I975</f>
        <v>0.51895166737855325</v>
      </c>
    </row>
    <row r="976" spans="1:7" x14ac:dyDescent="0.35">
      <c r="A976" s="1">
        <v>42825</v>
      </c>
      <c r="B976">
        <f>'10years'!B976-'10years'!$G976</f>
        <v>0.57608049846816622</v>
      </c>
      <c r="C976">
        <f>'10years'!C976-'10years'!$G976</f>
        <v>0.39160817449456053</v>
      </c>
      <c r="D976">
        <f>'10years'!D976-'10years'!$G976</f>
        <v>0.66951866060776921</v>
      </c>
      <c r="E976">
        <f>'10years'!E976-'10years'!$G976</f>
        <v>0.49945455548708728</v>
      </c>
      <c r="F976">
        <f>'10years'!F976-'10years'!$G976</f>
        <v>0.38880674599787013</v>
      </c>
      <c r="G976">
        <f>'10years'!H976-'10years'!$I976</f>
        <v>0.57048362960926413</v>
      </c>
    </row>
    <row r="977" spans="1:7" x14ac:dyDescent="0.35">
      <c r="A977" s="1">
        <v>42853</v>
      </c>
      <c r="B977">
        <f>'10years'!B977-'10years'!$G977</f>
        <v>0.57124176892294987</v>
      </c>
      <c r="C977">
        <f>'10years'!C977-'10years'!$G977</f>
        <v>0.38644460845794981</v>
      </c>
      <c r="D977">
        <f>'10years'!D977-'10years'!$G977</f>
        <v>0.66638754200300188</v>
      </c>
      <c r="E977">
        <f>'10years'!E977-'10years'!$G977</f>
        <v>0.4958203512199022</v>
      </c>
      <c r="F977">
        <f>'10years'!F977-'10years'!$G977</f>
        <v>0.38302232150490223</v>
      </c>
      <c r="G977">
        <f>'10years'!H977-'10years'!$I977</f>
        <v>0.56615317367236795</v>
      </c>
    </row>
    <row r="978" spans="1:7" x14ac:dyDescent="0.35">
      <c r="A978" s="1">
        <v>42886</v>
      </c>
      <c r="B978">
        <f>'10years'!B978-'10years'!$G978</f>
        <v>0.54672127385666203</v>
      </c>
      <c r="C978">
        <f>'10years'!C978-'10years'!$G978</f>
        <v>0.36192919131723089</v>
      </c>
      <c r="D978">
        <f>'10years'!D978-'10years'!$G978</f>
        <v>0.63929670900943725</v>
      </c>
      <c r="E978">
        <f>'10years'!E978-'10years'!$G978</f>
        <v>0.46921557785384005</v>
      </c>
      <c r="F978">
        <f>'10years'!F978-'10years'!$G978</f>
        <v>0.35787124566932471</v>
      </c>
      <c r="G978">
        <f>'10years'!H978-'10years'!$I978</f>
        <v>0.54218041135754014</v>
      </c>
    </row>
    <row r="979" spans="1:7" x14ac:dyDescent="0.35">
      <c r="A979" s="1">
        <v>42916</v>
      </c>
      <c r="B979">
        <f>'10years'!B979-'10years'!$G979</f>
        <v>0.53290219583671439</v>
      </c>
      <c r="C979">
        <f>'10years'!C979-'10years'!$G979</f>
        <v>0.34783309569382714</v>
      </c>
      <c r="D979">
        <f>'10years'!D979-'10years'!$G979</f>
        <v>0.61863548858417294</v>
      </c>
      <c r="E979">
        <f>'10years'!E979-'10years'!$G979</f>
        <v>0.44809557937829281</v>
      </c>
      <c r="F979">
        <f>'10years'!F979-'10years'!$G979</f>
        <v>0.34317134216904543</v>
      </c>
      <c r="G979">
        <f>'10years'!H979-'10years'!$I979</f>
        <v>0.52884563786083083</v>
      </c>
    </row>
    <row r="980" spans="1:7" x14ac:dyDescent="0.35">
      <c r="A980" s="1">
        <v>42947</v>
      </c>
      <c r="B980">
        <f>'10years'!B980-'10years'!$G980</f>
        <v>0.55419514096698008</v>
      </c>
      <c r="C980">
        <f>'10years'!C980-'10years'!$G980</f>
        <v>0.36892681261285332</v>
      </c>
      <c r="D980">
        <f>'10years'!D980-'10years'!$G980</f>
        <v>0.64755101182330654</v>
      </c>
      <c r="E980">
        <f>'10years'!E980-'10years'!$G980</f>
        <v>0.476544365074967</v>
      </c>
      <c r="F980">
        <f>'10years'!F980-'10years'!$G980</f>
        <v>0.36462789169440923</v>
      </c>
      <c r="G980">
        <f>'10years'!H980-'10years'!$I980</f>
        <v>0.55054404574139681</v>
      </c>
    </row>
    <row r="981" spans="1:7" x14ac:dyDescent="0.35">
      <c r="A981" s="1">
        <v>42978</v>
      </c>
      <c r="B981">
        <f>'10years'!B981-'10years'!$G981</f>
        <v>0.60025655692738589</v>
      </c>
      <c r="C981">
        <f>'10years'!C981-'10years'!$G981</f>
        <v>0.41458754016496169</v>
      </c>
      <c r="D981">
        <f>'10years'!D981-'10years'!$G981</f>
        <v>0.70171699719289649</v>
      </c>
      <c r="E981">
        <f>'10years'!E981-'10years'!$G981</f>
        <v>0.53011226292442526</v>
      </c>
      <c r="F981">
        <f>'10years'!F981-'10years'!$G981</f>
        <v>0.41018002212397864</v>
      </c>
      <c r="G981">
        <f>'10years'!H981-'10years'!$I981</f>
        <v>0.59697988859480633</v>
      </c>
    </row>
    <row r="982" spans="1:7" x14ac:dyDescent="0.35">
      <c r="A982" s="1">
        <v>43007</v>
      </c>
      <c r="B982">
        <f>'10years'!B982-'10years'!$G982</f>
        <v>0.59184003556835907</v>
      </c>
      <c r="C982">
        <f>'10years'!C982-'10years'!$G982</f>
        <v>0.40589331714602284</v>
      </c>
      <c r="D982">
        <f>'10years'!D982-'10years'!$G982</f>
        <v>0.6942999846173421</v>
      </c>
      <c r="E982">
        <f>'10years'!E982-'10years'!$G982</f>
        <v>0.52236670710239586</v>
      </c>
      <c r="F982">
        <f>'10years'!F982-'10years'!$G982</f>
        <v>0.40221019514479273</v>
      </c>
      <c r="G982">
        <f>'10years'!H982-'10years'!$I982</f>
        <v>0.58902921399235364</v>
      </c>
    </row>
    <row r="983" spans="1:7" x14ac:dyDescent="0.35">
      <c r="A983" s="1">
        <v>43039</v>
      </c>
      <c r="B983">
        <f>'10years'!B983-'10years'!$G983</f>
        <v>0.57928497880953</v>
      </c>
      <c r="C983">
        <f>'10years'!C983-'10years'!$G983</f>
        <v>0.39353788858143557</v>
      </c>
      <c r="D983">
        <f>'10years'!D983-'10years'!$G983</f>
        <v>0.70007498804774415</v>
      </c>
      <c r="E983">
        <f>'10years'!E983-'10years'!$G983</f>
        <v>0.52790723552147978</v>
      </c>
      <c r="F983">
        <f>'10years'!F983-'10years'!$G983</f>
        <v>0.39042018285607161</v>
      </c>
      <c r="G983">
        <f>'10years'!H983-'10years'!$I983</f>
        <v>0.57675914038337606</v>
      </c>
    </row>
    <row r="984" spans="1:7" x14ac:dyDescent="0.35">
      <c r="A984" s="1">
        <v>43069</v>
      </c>
      <c r="B984">
        <f>'10years'!B984-'10years'!$G984</f>
        <v>0.58648591579199549</v>
      </c>
      <c r="C984">
        <f>'10years'!C984-'10years'!$G984</f>
        <v>0.40068692464425015</v>
      </c>
      <c r="D984">
        <f>'10years'!D984-'10years'!$G984</f>
        <v>0.69914618942818474</v>
      </c>
      <c r="E984">
        <f>'10years'!E984-'10years'!$G984</f>
        <v>0.52694170326110235</v>
      </c>
      <c r="F984">
        <f>'10years'!F984-'10years'!$G984</f>
        <v>0.39811096745636099</v>
      </c>
      <c r="G984">
        <f>'10years'!H984-'10years'!$I984</f>
        <v>0.58423563377005827</v>
      </c>
    </row>
    <row r="985" spans="1:7" x14ac:dyDescent="0.35">
      <c r="A985" s="1">
        <v>43098</v>
      </c>
      <c r="B985">
        <f>'10years'!B985-'10years'!$G985</f>
        <v>0.64969542882096021</v>
      </c>
      <c r="C985">
        <f>'10years'!C985-'10years'!$G985</f>
        <v>0.46365040081073139</v>
      </c>
      <c r="D985">
        <f>'10years'!D985-'10years'!$G985</f>
        <v>0.77582919011371732</v>
      </c>
      <c r="E985">
        <f>'10years'!E985-'10years'!$G985</f>
        <v>0.60339449426742653</v>
      </c>
      <c r="F985">
        <f>'10years'!F985-'10years'!$G985</f>
        <v>0.46084483993369196</v>
      </c>
      <c r="G985">
        <f>'10years'!H985-'10years'!$I985</f>
        <v>0.64770560824569667</v>
      </c>
    </row>
    <row r="986" spans="1:7" x14ac:dyDescent="0.35">
      <c r="A986" s="1">
        <v>43131</v>
      </c>
      <c r="B986">
        <f>'10years'!B986-'10years'!$G986</f>
        <v>0.66544879800992196</v>
      </c>
      <c r="C986">
        <f>'10years'!C986-'10years'!$G986</f>
        <v>0.47980847675060478</v>
      </c>
      <c r="D986">
        <f>'10years'!D986-'10years'!$G986</f>
        <v>0.80223310691239313</v>
      </c>
      <c r="E986">
        <f>'10years'!E986-'10years'!$G986</f>
        <v>0.630056167798416</v>
      </c>
      <c r="F986">
        <f>'10years'!F986-'10years'!$G986</f>
        <v>0.47759899390449978</v>
      </c>
      <c r="G986">
        <f>'10years'!H986-'10years'!$I986</f>
        <v>0.66363598502302557</v>
      </c>
    </row>
    <row r="987" spans="1:7" x14ac:dyDescent="0.35">
      <c r="A987" s="1">
        <v>43159</v>
      </c>
      <c r="B987">
        <f>'10years'!B987-'10years'!$G987</f>
        <v>0.76647149739374365</v>
      </c>
      <c r="C987">
        <f>'10years'!C987-'10years'!$G987</f>
        <v>0.580861954289007</v>
      </c>
      <c r="D987">
        <f>'10years'!D987-'10years'!$G987</f>
        <v>0.87838798307406263</v>
      </c>
      <c r="E987">
        <f>'10years'!E987-'10years'!$G987</f>
        <v>0.70618857956116665</v>
      </c>
      <c r="F987">
        <f>'10years'!F987-'10years'!$G987</f>
        <v>0.57694006862700098</v>
      </c>
      <c r="G987">
        <f>'10years'!H987-'10years'!$I987</f>
        <v>0.76461016313175145</v>
      </c>
    </row>
    <row r="988" spans="1:7" x14ac:dyDescent="0.35">
      <c r="A988" s="1">
        <v>43188</v>
      </c>
      <c r="B988">
        <f>'10years'!B988-'10years'!$G988</f>
        <v>0.76119349758714105</v>
      </c>
      <c r="C988">
        <f>'10years'!C988-'10years'!$G988</f>
        <v>0.57578458605795757</v>
      </c>
      <c r="D988">
        <f>'10years'!D988-'10years'!$G988</f>
        <v>0.86645124631094927</v>
      </c>
      <c r="E988">
        <f>'10years'!E988-'10years'!$G988</f>
        <v>0.69430911660626049</v>
      </c>
      <c r="F988">
        <f>'10years'!F988-'10years'!$G988</f>
        <v>0.57344874548132929</v>
      </c>
      <c r="G988">
        <f>'10years'!H988-'10years'!$I988</f>
        <v>0.75935179212662796</v>
      </c>
    </row>
    <row r="989" spans="1:7" x14ac:dyDescent="0.35">
      <c r="A989" s="1">
        <v>43220</v>
      </c>
      <c r="B989">
        <f>'10years'!B989-'10years'!$G989</f>
        <v>0.74284506607709822</v>
      </c>
      <c r="C989">
        <f>'10years'!C989-'10years'!$G989</f>
        <v>0.55745728659462723</v>
      </c>
      <c r="D989">
        <f>'10years'!D989-'10years'!$G989</f>
        <v>0.87042970335156755</v>
      </c>
      <c r="E989">
        <f>'10years'!E989-'10years'!$G989</f>
        <v>0.69785955491462182</v>
      </c>
      <c r="F989">
        <f>'10years'!F989-'10years'!$G989</f>
        <v>0.55606375453339374</v>
      </c>
      <c r="G989">
        <f>'10years'!H989-'10years'!$I989</f>
        <v>0.74109963010559055</v>
      </c>
    </row>
    <row r="990" spans="1:7" x14ac:dyDescent="0.35">
      <c r="A990" s="1">
        <v>43251</v>
      </c>
      <c r="B990">
        <f>'10years'!B990-'10years'!$G990</f>
        <v>0.70643286659013471</v>
      </c>
      <c r="C990">
        <f>'10years'!C990-'10years'!$G990</f>
        <v>0.52109279362870842</v>
      </c>
      <c r="D990">
        <f>'10years'!D990-'10years'!$G990</f>
        <v>0.83104234555828649</v>
      </c>
      <c r="E990">
        <f>'10years'!E990-'10years'!$G990</f>
        <v>0.65850813652379481</v>
      </c>
      <c r="F990">
        <f>'10years'!F990-'10years'!$G990</f>
        <v>0.51970682145132718</v>
      </c>
      <c r="G990">
        <f>'10years'!H990-'10years'!$I990</f>
        <v>0.70477236788146769</v>
      </c>
    </row>
    <row r="991" spans="1:7" x14ac:dyDescent="0.35">
      <c r="A991" s="1">
        <v>43280</v>
      </c>
      <c r="B991">
        <f>'10years'!B991-'10years'!$G991</f>
        <v>0.71564018972616394</v>
      </c>
      <c r="C991">
        <f>'10years'!C991-'10years'!$G991</f>
        <v>0.53013549023326401</v>
      </c>
      <c r="D991">
        <f>'10years'!D991-'10years'!$G991</f>
        <v>0.82300851491383731</v>
      </c>
      <c r="E991">
        <f>'10years'!E991-'10years'!$G991</f>
        <v>0.6503803334452003</v>
      </c>
      <c r="F991">
        <f>'10years'!F991-'10years'!$G991</f>
        <v>0.52901629593176192</v>
      </c>
      <c r="G991">
        <f>'10years'!H991-'10years'!$I991</f>
        <v>0.71402866559879818</v>
      </c>
    </row>
    <row r="992" spans="1:7" x14ac:dyDescent="0.35">
      <c r="A992" s="1">
        <v>43312</v>
      </c>
      <c r="B992">
        <f>'10years'!B992-'10years'!$G992</f>
        <v>0.79420805041228237</v>
      </c>
      <c r="C992">
        <f>'10years'!C992-'10years'!$G992</f>
        <v>0.60902863593652667</v>
      </c>
      <c r="D992">
        <f>'10years'!D992-'10years'!$G992</f>
        <v>0.91966573210751146</v>
      </c>
      <c r="E992">
        <f>'10years'!E992-'10years'!$G992</f>
        <v>0.74696517729693279</v>
      </c>
      <c r="F992">
        <f>'10years'!F992-'10years'!$G992</f>
        <v>0.60863080717603668</v>
      </c>
      <c r="G992">
        <f>'10years'!H992-'10years'!$I992</f>
        <v>0.7925879012106396</v>
      </c>
    </row>
    <row r="993" spans="1:7" x14ac:dyDescent="0.35">
      <c r="A993" s="1">
        <v>43343</v>
      </c>
      <c r="B993">
        <f>'10years'!B993-'10years'!$G993</f>
        <v>0.83094167233778782</v>
      </c>
      <c r="C993">
        <f>'10years'!C993-'10years'!$G993</f>
        <v>0.6459555317695993</v>
      </c>
      <c r="D993">
        <f>'10years'!D993-'10years'!$G993</f>
        <v>0.9494009793666387</v>
      </c>
      <c r="E993">
        <f>'10years'!E993-'10years'!$G993</f>
        <v>0.77697459449243622</v>
      </c>
      <c r="F993">
        <f>'10years'!F993-'10years'!$G993</f>
        <v>0.64654888857126958</v>
      </c>
      <c r="G993">
        <f>'10years'!H993-'10years'!$I993</f>
        <v>0.82931186318440098</v>
      </c>
    </row>
    <row r="994" spans="1:7" x14ac:dyDescent="0.35">
      <c r="A994" s="1">
        <v>43371</v>
      </c>
      <c r="B994">
        <f>'10years'!B994-'10years'!$G994</f>
        <v>0.84548021696964404</v>
      </c>
      <c r="C994">
        <f>'10years'!C994-'10years'!$G994</f>
        <v>0.66048513227159655</v>
      </c>
      <c r="D994">
        <f>'10years'!D994-'10years'!$G994</f>
        <v>0.94231328894421096</v>
      </c>
      <c r="E994">
        <f>'10years'!E994-'10years'!$G994</f>
        <v>0.76984942239395671</v>
      </c>
      <c r="F994">
        <f>'10years'!F994-'10years'!$G994</f>
        <v>0.66117281289817309</v>
      </c>
      <c r="G994">
        <f>'10years'!H994-'10years'!$I994</f>
        <v>0.84378408307538288</v>
      </c>
    </row>
    <row r="995" spans="1:7" x14ac:dyDescent="0.35">
      <c r="A995" s="1">
        <v>43404</v>
      </c>
      <c r="B995">
        <f>'10years'!B995-'10years'!$G995</f>
        <v>0.92491595852122521</v>
      </c>
      <c r="C995">
        <f>'10years'!C995-'10years'!$G995</f>
        <v>0.74029425669344451</v>
      </c>
      <c r="D995">
        <f>'10years'!D995-'10years'!$G995</f>
        <v>1.0355185839191516</v>
      </c>
      <c r="E995">
        <f>'10years'!E995-'10years'!$G995</f>
        <v>0.86312897036513792</v>
      </c>
      <c r="F995">
        <f>'10years'!F995-'10years'!$G995</f>
        <v>0.74466066019867383</v>
      </c>
      <c r="G995">
        <f>'10years'!H995-'10years'!$I995</f>
        <v>0.92311764255263995</v>
      </c>
    </row>
    <row r="996" spans="1:7" x14ac:dyDescent="0.35">
      <c r="A996" s="1">
        <v>43434</v>
      </c>
      <c r="B996">
        <f>'10years'!B996-'10years'!$G996</f>
        <v>1.0182126889233836</v>
      </c>
      <c r="C996">
        <f>'10years'!C996-'10years'!$G996</f>
        <v>0.8339307149908628</v>
      </c>
      <c r="D996">
        <f>'10years'!D996-'10years'!$G996</f>
        <v>1.1683321289135764</v>
      </c>
      <c r="E996">
        <f>'10years'!E996-'10years'!$G996</f>
        <v>0.99611353288734628</v>
      </c>
      <c r="F996">
        <f>'10years'!F996-'10years'!$G996</f>
        <v>0.83936262735605749</v>
      </c>
      <c r="G996">
        <f>'10years'!H996-'10years'!$I996</f>
        <v>1.0161216757088698</v>
      </c>
    </row>
    <row r="997" spans="1:7" x14ac:dyDescent="0.35">
      <c r="A997" s="1">
        <v>43465</v>
      </c>
      <c r="B997">
        <f>'10years'!B997-'10years'!$G997</f>
        <v>1.0978458502485253</v>
      </c>
      <c r="C997">
        <f>'10years'!C997-'10years'!$G997</f>
        <v>0.91408754422002225</v>
      </c>
      <c r="D997">
        <f>'10years'!D997-'10years'!$G997</f>
        <v>1.2822931579228323</v>
      </c>
      <c r="E997">
        <f>'10years'!E997-'10years'!$G997</f>
        <v>1.1107155255122301</v>
      </c>
      <c r="F997">
        <f>'10years'!F997-'10years'!$G997</f>
        <v>0.91850458718498817</v>
      </c>
      <c r="G997">
        <f>'10years'!H997-'10years'!$I997</f>
        <v>1.0954067758986663</v>
      </c>
    </row>
    <row r="998" spans="1:7" x14ac:dyDescent="0.35">
      <c r="A998" s="1">
        <v>43496</v>
      </c>
      <c r="B998">
        <f>'10years'!B998-'10years'!$G998</f>
        <v>1.006210596568627</v>
      </c>
      <c r="C998">
        <f>'10years'!C998-'10years'!$G998</f>
        <v>0.82348983771141371</v>
      </c>
      <c r="D998">
        <f>'10years'!D998-'10years'!$G998</f>
        <v>1.1552176915915953</v>
      </c>
      <c r="E998">
        <f>'10years'!E998-'10years'!$G998</f>
        <v>0.98473620767090275</v>
      </c>
      <c r="F998">
        <f>'10years'!F998-'10years'!$G998</f>
        <v>0.82945591022376708</v>
      </c>
      <c r="G998">
        <f>'10years'!H998-'10years'!$I998</f>
        <v>1.0037168094579774</v>
      </c>
    </row>
    <row r="999" spans="1:7" x14ac:dyDescent="0.35">
      <c r="A999" s="1">
        <v>43524</v>
      </c>
      <c r="B999">
        <f>'10years'!B999-'10years'!$G999</f>
        <v>1.1431670351834087</v>
      </c>
      <c r="C999">
        <f>'10years'!C999-'10years'!$G999</f>
        <v>0.9604244437663465</v>
      </c>
      <c r="D999">
        <f>'10years'!D999-'10years'!$G999</f>
        <v>1.3036841473876257</v>
      </c>
      <c r="E999">
        <f>'10years'!E999-'10years'!$G999</f>
        <v>1.1329650792413291</v>
      </c>
      <c r="F999">
        <f>'10years'!F999-'10years'!$G999</f>
        <v>0.96684184531189077</v>
      </c>
      <c r="G999">
        <f>'10years'!H999-'10years'!$I999</f>
        <v>1.1403819639597246</v>
      </c>
    </row>
    <row r="1000" spans="1:7" x14ac:dyDescent="0.35">
      <c r="A1000" s="1">
        <v>43553</v>
      </c>
      <c r="B1000">
        <f>'10years'!B1000-'10years'!$G1000</f>
        <v>1.2604174332263942</v>
      </c>
      <c r="C1000">
        <f>'10years'!C1000-'10years'!$G1000</f>
        <v>1.0791645389536844</v>
      </c>
      <c r="D1000">
        <f>'10years'!D1000-'10years'!$G1000</f>
        <v>1.4378834977920065</v>
      </c>
      <c r="E1000">
        <f>'10years'!E1000-'10years'!$G1000</f>
        <v>1.2680361025551181</v>
      </c>
      <c r="F1000">
        <f>'10years'!F1000-'10years'!$G1000</f>
        <v>1.0882512629656929</v>
      </c>
      <c r="G1000">
        <f>'10years'!H1000-'10years'!$I1000</f>
        <v>1.257383746240115</v>
      </c>
    </row>
    <row r="1001" spans="1:7" x14ac:dyDescent="0.35">
      <c r="A1001" s="1">
        <v>43585</v>
      </c>
      <c r="B1001">
        <f>'10years'!B1001-'10years'!$G1001</f>
        <v>1.2045318766962616</v>
      </c>
      <c r="C1001">
        <f>'10years'!C1001-'10years'!$G1001</f>
        <v>1.0248156320240049</v>
      </c>
      <c r="D1001">
        <f>'10years'!D1001-'10years'!$G1001</f>
        <v>1.3564665452105036</v>
      </c>
      <c r="E1001">
        <f>'10years'!E1001-'10years'!$G1001</f>
        <v>1.187835697838417</v>
      </c>
      <c r="F1001">
        <f>'10years'!F1001-'10years'!$G1001</f>
        <v>1.0328576867627488</v>
      </c>
      <c r="G1001">
        <f>'10years'!H1001-'10years'!$I1001</f>
        <v>1.2014374946905715</v>
      </c>
    </row>
    <row r="1002" spans="1:7" x14ac:dyDescent="0.35">
      <c r="A1002" s="1">
        <v>43616</v>
      </c>
      <c r="B1002">
        <f>'10years'!B1002-'10years'!$G1002</f>
        <v>1.1606191835256516</v>
      </c>
      <c r="C1002">
        <f>'10years'!C1002-'10years'!$G1002</f>
        <v>0.9813326721715252</v>
      </c>
      <c r="D1002">
        <f>'10years'!D1002-'10years'!$G1002</f>
        <v>1.2421022359416276</v>
      </c>
      <c r="E1002">
        <f>'10years'!E1002-'10years'!$G1002</f>
        <v>1.0738101805026044</v>
      </c>
      <c r="F1002">
        <f>'10years'!F1002-'10years'!$G1002</f>
        <v>0.98818624646065922</v>
      </c>
      <c r="G1002">
        <f>'10years'!H1002-'10years'!$I1002</f>
        <v>1.1574493418765597</v>
      </c>
    </row>
    <row r="1003" spans="1:7" x14ac:dyDescent="0.35">
      <c r="A1003" s="1">
        <v>43644</v>
      </c>
      <c r="B1003">
        <f>'10years'!B1003-'10years'!$G1003</f>
        <v>1.0591279924886194</v>
      </c>
      <c r="C1003">
        <f>'10years'!C1003-'10years'!$G1003</f>
        <v>0.88016605325516206</v>
      </c>
      <c r="D1003">
        <f>'10years'!D1003-'10years'!$G1003</f>
        <v>1.1295305416854324</v>
      </c>
      <c r="E1003">
        <f>'10years'!E1003-'10years'!$G1003</f>
        <v>0.96123532320418104</v>
      </c>
      <c r="F1003">
        <f>'10years'!F1003-'10years'!$G1003</f>
        <v>0.88578010627622561</v>
      </c>
      <c r="G1003">
        <f>'10years'!H1003-'10years'!$I1003</f>
        <v>1.0560128721402107</v>
      </c>
    </row>
    <row r="1004" spans="1:7" x14ac:dyDescent="0.35">
      <c r="A1004" s="1">
        <v>43677</v>
      </c>
      <c r="B1004">
        <f>'10years'!B1004-'10years'!$G1004</f>
        <v>1.1123722187249021</v>
      </c>
      <c r="C1004">
        <f>'10years'!C1004-'10years'!$G1004</f>
        <v>0.93363763784247955</v>
      </c>
      <c r="D1004">
        <f>'10years'!D1004-'10years'!$G1004</f>
        <v>1.1937505500233228</v>
      </c>
      <c r="E1004">
        <f>'10years'!E1004-'10years'!$G1004</f>
        <v>1.0254647529910257</v>
      </c>
      <c r="F1004">
        <f>'10years'!F1004-'10years'!$G1004</f>
        <v>0.94035010219940784</v>
      </c>
      <c r="G1004">
        <f>'10years'!H1004-'10years'!$I1004</f>
        <v>1.1091796439595347</v>
      </c>
    </row>
    <row r="1005" spans="1:7" x14ac:dyDescent="0.35">
      <c r="A1005" s="1">
        <v>43707</v>
      </c>
      <c r="B1005">
        <f>'10years'!B1005-'10years'!$G1005</f>
        <v>1.0626381248655576</v>
      </c>
      <c r="C1005">
        <f>'10years'!C1005-'10years'!$G1005</f>
        <v>0.88404539846089936</v>
      </c>
      <c r="D1005">
        <f>'10years'!D1005-'10years'!$G1005</f>
        <v>1.1240528031087011</v>
      </c>
      <c r="E1005">
        <f>'10years'!E1005-'10years'!$G1005</f>
        <v>0.95572972675866019</v>
      </c>
      <c r="F1005">
        <f>'10years'!F1005-'10years'!$G1005</f>
        <v>0.88974078888282193</v>
      </c>
      <c r="G1005">
        <f>'10years'!H1005-'10years'!$I1005</f>
        <v>1.0594086900921895</v>
      </c>
    </row>
    <row r="1006" spans="1:7" x14ac:dyDescent="0.35">
      <c r="A1006" s="1">
        <v>43738</v>
      </c>
      <c r="B1006">
        <f>'10years'!B1006-'10years'!$G1006</f>
        <v>1.0190106838639961</v>
      </c>
      <c r="C1006">
        <f>'10years'!C1006-'10years'!$G1006</f>
        <v>0.84056260616241985</v>
      </c>
      <c r="D1006">
        <f>'10years'!D1006-'10years'!$G1006</f>
        <v>1.0487308166757463</v>
      </c>
      <c r="E1006">
        <f>'10years'!E1006-'10years'!$G1006</f>
        <v>0.88020724388423388</v>
      </c>
      <c r="F1006">
        <f>'10years'!F1006-'10years'!$G1006</f>
        <v>0.84543751458493399</v>
      </c>
      <c r="G1006">
        <f>'10years'!H1006-'10years'!$I1006</f>
        <v>1.0158111182930973</v>
      </c>
    </row>
    <row r="1007" spans="1:7" x14ac:dyDescent="0.35">
      <c r="A1007" s="1">
        <v>43769</v>
      </c>
      <c r="B1007">
        <f>'10years'!B1007-'10years'!$G1007</f>
        <v>1.0031274871763225</v>
      </c>
      <c r="C1007">
        <f>'10years'!C1007-'10years'!$G1007</f>
        <v>0.82471364715776829</v>
      </c>
      <c r="D1007">
        <f>'10years'!D1007-'10years'!$G1007</f>
        <v>1.0320432717389334</v>
      </c>
      <c r="E1007">
        <f>'10years'!E1007-'10years'!$G1007</f>
        <v>0.86318304704810789</v>
      </c>
      <c r="F1007">
        <f>'10years'!F1007-'10years'!$G1007</f>
        <v>0.82890782551596498</v>
      </c>
      <c r="G1007">
        <f>'10years'!H1007-'10years'!$I1007</f>
        <v>0.99988246940895253</v>
      </c>
    </row>
    <row r="1008" spans="1:7" x14ac:dyDescent="0.35">
      <c r="A1008" s="1">
        <v>43798</v>
      </c>
      <c r="B1008">
        <f>'10years'!B1008-'10years'!$G1008</f>
        <v>1.0353762082584677</v>
      </c>
      <c r="C1008">
        <f>'10years'!C1008-'10years'!$G1008</f>
        <v>0.85695894537347872</v>
      </c>
      <c r="D1008">
        <f>'10years'!D1008-'10years'!$G1008</f>
        <v>1.0713050232812353</v>
      </c>
      <c r="E1008">
        <f>'10years'!E1008-'10years'!$G1008</f>
        <v>0.9022307910300924</v>
      </c>
      <c r="F1008">
        <f>'10years'!F1008-'10years'!$G1008</f>
        <v>0.86140782860771026</v>
      </c>
      <c r="G1008">
        <f>'10years'!H1008-'10years'!$I1008</f>
        <v>1.0320378239075945</v>
      </c>
    </row>
    <row r="1009" spans="1:7" x14ac:dyDescent="0.35">
      <c r="A1009" s="1">
        <v>43830</v>
      </c>
      <c r="B1009">
        <f>'10years'!B1009-'10years'!$G1009</f>
        <v>1.0150699295398646</v>
      </c>
      <c r="C1009">
        <f>'10years'!C1009-'10years'!$G1009</f>
        <v>0.83698186274219877</v>
      </c>
      <c r="D1009">
        <f>'10years'!D1009-'10years'!$G1009</f>
        <v>1.0542035537369165</v>
      </c>
      <c r="E1009">
        <f>'10years'!E1009-'10years'!$G1009</f>
        <v>0.88521823744197148</v>
      </c>
      <c r="F1009">
        <f>'10years'!F1009-'10years'!$G1009</f>
        <v>0.84167837390310529</v>
      </c>
      <c r="G1009">
        <f>'10years'!H1009-'10years'!$I1009</f>
        <v>1.0117469127131296</v>
      </c>
    </row>
    <row r="1010" spans="1:7" x14ac:dyDescent="0.35">
      <c r="A1010" s="1">
        <v>43861</v>
      </c>
      <c r="B1010">
        <f>'10years'!B1010-'10years'!$G1010</f>
        <v>1.022902409310994</v>
      </c>
      <c r="C1010">
        <f>'10years'!C1010-'10years'!$G1010</f>
        <v>0.84480143427127508</v>
      </c>
      <c r="D1010">
        <f>'10years'!D1010-'10years'!$G1010</f>
        <v>1.0373673777593628</v>
      </c>
      <c r="E1010">
        <f>'10years'!E1010-'10years'!$G1010</f>
        <v>0.86798128517996953</v>
      </c>
      <c r="F1010">
        <f>'10years'!F1010-'10years'!$G1010</f>
        <v>0.84951837833435184</v>
      </c>
      <c r="G1010">
        <f>'10years'!H1010-'10years'!$I1010</f>
        <v>1.0195147092646351</v>
      </c>
    </row>
    <row r="1011" spans="1:7" x14ac:dyDescent="0.35">
      <c r="A1011" s="1">
        <v>43889</v>
      </c>
      <c r="B1011">
        <f>'10years'!B1011-'10years'!$G1011</f>
        <v>1.0525981991880955</v>
      </c>
      <c r="C1011">
        <f>'10years'!C1011-'10years'!$G1011</f>
        <v>0.87430100678108902</v>
      </c>
      <c r="D1011">
        <f>'10years'!D1011-'10years'!$G1011</f>
        <v>1.0478460347342593</v>
      </c>
      <c r="E1011">
        <f>'10years'!E1011-'10years'!$G1011</f>
        <v>0.8781587758784819</v>
      </c>
      <c r="F1011">
        <f>'10years'!F1011-'10years'!$G1011</f>
        <v>0.87876766714133625</v>
      </c>
      <c r="G1011">
        <f>'10years'!H1011-'10years'!$I1011</f>
        <v>1.0491414527070586</v>
      </c>
    </row>
    <row r="1012" spans="1:7" x14ac:dyDescent="0.35">
      <c r="A1012" s="1">
        <v>43921</v>
      </c>
      <c r="B1012">
        <f>'10years'!B1012-'10years'!$G1012</f>
        <v>0.95445055799450462</v>
      </c>
      <c r="C1012">
        <f>'10years'!C1012-'10years'!$G1012</f>
        <v>0.7762691041986598</v>
      </c>
      <c r="D1012">
        <f>'10years'!D1012-'10years'!$G1012</f>
        <v>0.93101765897470057</v>
      </c>
      <c r="E1012">
        <f>'10years'!E1012-'10years'!$G1012</f>
        <v>0.76055467501448271</v>
      </c>
      <c r="F1012">
        <f>'10years'!F1012-'10years'!$G1012</f>
        <v>0.78029539847040152</v>
      </c>
      <c r="G1012">
        <f>'10years'!H1012-'10years'!$I1012</f>
        <v>0.95110301530434427</v>
      </c>
    </row>
    <row r="1013" spans="1:7" x14ac:dyDescent="0.35">
      <c r="A1013" s="1">
        <v>43951</v>
      </c>
      <c r="B1013">
        <f>'10years'!B1013-'10years'!$G1013</f>
        <v>0.79425108273900991</v>
      </c>
      <c r="C1013">
        <f>'10years'!C1013-'10years'!$G1013</f>
        <v>0.615988568843155</v>
      </c>
      <c r="D1013">
        <f>'10years'!D1013-'10years'!$G1013</f>
        <v>0.69733728500429981</v>
      </c>
      <c r="E1013">
        <f>'10years'!E1013-'10years'!$G1013</f>
        <v>0.52614630146699382</v>
      </c>
      <c r="F1013">
        <f>'10years'!F1013-'10years'!$G1013</f>
        <v>0.61913777622278188</v>
      </c>
      <c r="G1013">
        <f>'10years'!H1013-'10years'!$I1013</f>
        <v>0.79114570176878063</v>
      </c>
    </row>
    <row r="1014" spans="1:7" x14ac:dyDescent="0.35">
      <c r="A1014" s="1">
        <v>43980</v>
      </c>
      <c r="B1014">
        <f>'10years'!B1014-'10years'!$G1014</f>
        <v>0.88293273879523637</v>
      </c>
      <c r="C1014">
        <f>'10years'!C1014-'10years'!$G1014</f>
        <v>0.70443719105937896</v>
      </c>
      <c r="D1014">
        <f>'10years'!D1014-'10years'!$G1014</f>
        <v>0.78915561388498157</v>
      </c>
      <c r="E1014">
        <f>'10years'!E1014-'10years'!$G1014</f>
        <v>0.61755276152807026</v>
      </c>
      <c r="F1014">
        <f>'10years'!F1014-'10years'!$G1014</f>
        <v>0.70714966736541163</v>
      </c>
      <c r="G1014">
        <f>'10years'!H1014-'10years'!$I1014</f>
        <v>0.87975653031194812</v>
      </c>
    </row>
    <row r="1015" spans="1:7" x14ac:dyDescent="0.35">
      <c r="A1015" s="1">
        <v>44012</v>
      </c>
      <c r="B1015">
        <f>'10years'!B1015-'10years'!$G1015</f>
        <v>0.99250796409958442</v>
      </c>
      <c r="C1015">
        <f>'10years'!C1015-'10years'!$G1015</f>
        <v>0.81406348568056908</v>
      </c>
      <c r="D1015">
        <f>'10years'!D1015-'10years'!$G1015</f>
        <v>0.89320660701706922</v>
      </c>
      <c r="E1015">
        <f>'10years'!E1015-'10years'!$G1015</f>
        <v>0.72112391142327992</v>
      </c>
      <c r="F1015">
        <f>'10years'!F1015-'10years'!$G1015</f>
        <v>0.81620312038724618</v>
      </c>
      <c r="G1015">
        <f>'10years'!H1015-'10years'!$I1015</f>
        <v>0.98918684737803186</v>
      </c>
    </row>
    <row r="1016" spans="1:7" x14ac:dyDescent="0.35">
      <c r="A1016" s="1">
        <v>44043</v>
      </c>
      <c r="B1016">
        <f>'10years'!B1016-'10years'!$G1016</f>
        <v>1.0558055561659425</v>
      </c>
      <c r="C1016">
        <f>'10years'!C1016-'10years'!$G1016</f>
        <v>0.87745657466714322</v>
      </c>
      <c r="D1016">
        <f>'10years'!D1016-'10years'!$G1016</f>
        <v>0.95821679429416173</v>
      </c>
      <c r="E1016">
        <f>'10years'!E1016-'10years'!$G1016</f>
        <v>0.78587311570757779</v>
      </c>
      <c r="F1016">
        <f>'10years'!F1016-'10years'!$G1016</f>
        <v>0.87809046137446733</v>
      </c>
      <c r="G1016">
        <f>'10years'!H1016-'10years'!$I1016</f>
        <v>1.0523551249179697</v>
      </c>
    </row>
    <row r="1017" spans="1:7" x14ac:dyDescent="0.35">
      <c r="A1017" s="1">
        <v>44074</v>
      </c>
      <c r="B1017">
        <f>'10years'!B1017-'10years'!$G1017</f>
        <v>1.0450807180190398</v>
      </c>
      <c r="C1017">
        <f>'10years'!C1017-'10years'!$G1017</f>
        <v>0.86721266410648434</v>
      </c>
      <c r="D1017">
        <f>'10years'!D1017-'10years'!$G1017</f>
        <v>0.93703352718897692</v>
      </c>
      <c r="E1017">
        <f>'10years'!E1017-'10years'!$G1017</f>
        <v>0.76563632369791312</v>
      </c>
      <c r="F1017">
        <f>'10years'!F1017-'10years'!$G1017</f>
        <v>0.86725922427571556</v>
      </c>
      <c r="G1017">
        <f>'10years'!H1017-'10years'!$I1017</f>
        <v>1.041614235553423</v>
      </c>
    </row>
    <row r="1018" spans="1:7" x14ac:dyDescent="0.35">
      <c r="A1018" s="1">
        <v>44104</v>
      </c>
      <c r="B1018">
        <f>'10years'!B1018-'10years'!$G1018</f>
        <v>1.1429214434969999</v>
      </c>
      <c r="C1018">
        <f>'10years'!C1018-'10years'!$G1018</f>
        <v>0.96562252825701256</v>
      </c>
      <c r="D1018">
        <f>'10years'!D1018-'10years'!$G1018</f>
        <v>1.016040054670539</v>
      </c>
      <c r="E1018">
        <f>'10years'!E1018-'10years'!$G1018</f>
        <v>0.84447826002297122</v>
      </c>
      <c r="F1018">
        <f>'10years'!F1018-'10years'!$G1018</f>
        <v>0.96513241770313796</v>
      </c>
      <c r="G1018">
        <f>'10years'!H1018-'10years'!$I1018</f>
        <v>1.1392936699649248</v>
      </c>
    </row>
    <row r="1019" spans="1:7" x14ac:dyDescent="0.35">
      <c r="A1019" s="1">
        <v>44134</v>
      </c>
      <c r="B1019">
        <f>'10years'!B1019-'10years'!$G1019</f>
        <v>1.0372139218968042</v>
      </c>
      <c r="C1019">
        <f>'10years'!C1019-'10years'!$G1019</f>
        <v>0.86029686563942898</v>
      </c>
      <c r="D1019">
        <f>'10years'!D1019-'10years'!$G1019</f>
        <v>0.91104382349972157</v>
      </c>
      <c r="E1019">
        <f>'10years'!E1019-'10years'!$G1019</f>
        <v>0.73933387114958071</v>
      </c>
      <c r="F1019">
        <f>'10years'!F1019-'10years'!$G1019</f>
        <v>0.86085535189584794</v>
      </c>
      <c r="G1019">
        <f>'10years'!H1019-'10years'!$I1019</f>
        <v>1.0337338949894859</v>
      </c>
    </row>
    <row r="1020" spans="1:7" x14ac:dyDescent="0.35">
      <c r="A1020" s="1">
        <v>44165</v>
      </c>
      <c r="B1020">
        <f>'10years'!B1020-'10years'!$G1020</f>
        <v>0.98267945379971477</v>
      </c>
      <c r="C1020">
        <f>'10years'!C1020-'10years'!$G1020</f>
        <v>0.80624150131645989</v>
      </c>
      <c r="D1020">
        <f>'10years'!D1020-'10years'!$G1020</f>
        <v>0.87613789899228811</v>
      </c>
      <c r="E1020">
        <f>'10years'!E1020-'10years'!$G1020</f>
        <v>0.70469697675706611</v>
      </c>
      <c r="F1020">
        <f>'10years'!F1020-'10years'!$G1020</f>
        <v>0.80684462402692292</v>
      </c>
      <c r="G1020">
        <f>'10years'!H1020-'10years'!$I1020</f>
        <v>0.97929779441556786</v>
      </c>
    </row>
    <row r="1021" spans="1:7" x14ac:dyDescent="0.35">
      <c r="A1021" s="1">
        <v>44196</v>
      </c>
      <c r="B1021">
        <f>'10years'!B1021-'10years'!$G1021</f>
        <v>1.0701674966377168</v>
      </c>
      <c r="C1021">
        <f>'10years'!C1021-'10years'!$G1021</f>
        <v>0.89434855100017652</v>
      </c>
      <c r="D1021">
        <f>'10years'!D1021-'10years'!$G1021</f>
        <v>0.98444231547122074</v>
      </c>
      <c r="E1021">
        <f>'10years'!E1021-'10years'!$G1021</f>
        <v>0.8130498575911278</v>
      </c>
      <c r="F1021">
        <f>'10years'!F1021-'10years'!$G1021</f>
        <v>0.89465602299199931</v>
      </c>
      <c r="G1021">
        <f>'10years'!H1021-'10years'!$I1021</f>
        <v>1.0666606885539553</v>
      </c>
    </row>
    <row r="1022" spans="1:7" x14ac:dyDescent="0.35">
      <c r="A1022" s="1">
        <v>44225</v>
      </c>
      <c r="B1022">
        <f>'10years'!B1022-'10years'!$G1022</f>
        <v>1.0498031058268382</v>
      </c>
      <c r="C1022">
        <f>'10years'!C1022-'10years'!$G1022</f>
        <v>0.87428391680214057</v>
      </c>
      <c r="D1022">
        <f>'10years'!D1022-'10years'!$G1022</f>
        <v>0.96042954656368762</v>
      </c>
      <c r="E1022">
        <f>'10years'!E1022-'10years'!$G1022</f>
        <v>0.78921917492909843</v>
      </c>
      <c r="F1022">
        <f>'10years'!F1022-'10years'!$G1022</f>
        <v>0.8721090128954363</v>
      </c>
      <c r="G1022">
        <f>'10years'!H1022-'10years'!$I1022</f>
        <v>1.0463234593577675</v>
      </c>
    </row>
    <row r="1023" spans="1:7" x14ac:dyDescent="0.35">
      <c r="A1023" s="1">
        <v>44253</v>
      </c>
      <c r="B1023">
        <f>'10years'!B1023-'10years'!$G1023</f>
        <v>1.0218516769734038</v>
      </c>
      <c r="C1023">
        <f>'10years'!C1023-'10years'!$G1023</f>
        <v>0.84634563520958617</v>
      </c>
      <c r="D1023">
        <f>'10years'!D1023-'10years'!$G1023</f>
        <v>0.93677765529792412</v>
      </c>
      <c r="E1023">
        <f>'10years'!E1023-'10years'!$G1023</f>
        <v>0.76542327784260022</v>
      </c>
      <c r="F1023">
        <f>'10years'!F1023-'10years'!$G1023</f>
        <v>0.84386250048034972</v>
      </c>
      <c r="G1023">
        <f>'10years'!H1023-'10years'!$I1023</f>
        <v>1.0184230812369854</v>
      </c>
    </row>
    <row r="1024" spans="1:7" x14ac:dyDescent="0.35">
      <c r="A1024" s="1">
        <v>44286</v>
      </c>
      <c r="B1024">
        <f>'10years'!B1024-'10years'!$G1024</f>
        <v>1.0166983705288966</v>
      </c>
      <c r="C1024">
        <f>'10years'!C1024-'10years'!$G1024</f>
        <v>0.84183345222011519</v>
      </c>
      <c r="D1024">
        <f>'10years'!D1024-'10years'!$G1024</f>
        <v>0.95472299919086656</v>
      </c>
      <c r="E1024">
        <f>'10years'!E1024-'10years'!$G1024</f>
        <v>0.78349407769625157</v>
      </c>
      <c r="F1024">
        <f>'10years'!F1024-'10years'!$G1024</f>
        <v>0.83915652626714388</v>
      </c>
      <c r="G1024">
        <f>'10years'!H1024-'10years'!$I1024</f>
        <v>1.0132668600702277</v>
      </c>
    </row>
    <row r="1025" spans="1:7" x14ac:dyDescent="0.35">
      <c r="A1025" s="1">
        <v>44316</v>
      </c>
      <c r="B1025">
        <f>'10years'!B1025-'10years'!$G1025</f>
        <v>1.0519747132860129</v>
      </c>
      <c r="C1025">
        <f>'10years'!C1025-'10years'!$G1025</f>
        <v>0.87721975454399459</v>
      </c>
      <c r="D1025">
        <f>'10years'!D1025-'10years'!$G1025</f>
        <v>0.99404340757100407</v>
      </c>
      <c r="E1025">
        <f>'10years'!E1025-'10years'!$G1025</f>
        <v>0.82250284521491679</v>
      </c>
      <c r="F1025">
        <f>'10years'!F1025-'10years'!$G1025</f>
        <v>0.87507186536245829</v>
      </c>
      <c r="G1025">
        <f>'10years'!H1025-'10years'!$I1025</f>
        <v>1.0484906692779017</v>
      </c>
    </row>
    <row r="1026" spans="1:7" x14ac:dyDescent="0.35">
      <c r="A1026" s="1">
        <v>44344</v>
      </c>
      <c r="B1026">
        <f>'10years'!B1026-'10years'!$G1026</f>
        <v>1.0717622691411348</v>
      </c>
      <c r="C1026">
        <f>'10years'!C1026-'10years'!$G1026</f>
        <v>0.8971294817447788</v>
      </c>
      <c r="D1026">
        <f>'10years'!D1026-'10years'!$G1026</f>
        <v>1.006579798997314</v>
      </c>
      <c r="E1026">
        <f>'10years'!E1026-'10years'!$G1026</f>
        <v>0.83502047114700151</v>
      </c>
      <c r="F1026">
        <f>'10years'!F1026-'10years'!$G1026</f>
        <v>0.89441686096533513</v>
      </c>
      <c r="G1026">
        <f>'10years'!H1026-'10years'!$I1026</f>
        <v>1.0682298862785045</v>
      </c>
    </row>
    <row r="1027" spans="1:7" x14ac:dyDescent="0.35">
      <c r="A1027" s="1">
        <v>44377</v>
      </c>
      <c r="B1027">
        <f>'10years'!B1027-'10years'!$G1027</f>
        <v>1.0865652089247995</v>
      </c>
      <c r="C1027">
        <f>'10years'!C1027-'10years'!$G1027</f>
        <v>0.91260048087477497</v>
      </c>
      <c r="D1027">
        <f>'10years'!D1027-'10years'!$G1027</f>
        <v>1.0274574210905989</v>
      </c>
      <c r="E1027">
        <f>'10years'!E1027-'10years'!$G1027</f>
        <v>0.85615128989206468</v>
      </c>
      <c r="F1027">
        <f>'10years'!F1027-'10years'!$G1027</f>
        <v>0.91045464610578986</v>
      </c>
      <c r="G1027">
        <f>'10years'!H1027-'10years'!$I1027</f>
        <v>1.0829826815417998</v>
      </c>
    </row>
    <row r="1028" spans="1:7" x14ac:dyDescent="0.35">
      <c r="A1028" s="1">
        <v>44407</v>
      </c>
      <c r="B1028">
        <f>'10years'!B1028-'10years'!$G1028</f>
        <v>1.1203562115566772</v>
      </c>
      <c r="C1028">
        <f>'10years'!C1028-'10years'!$G1028</f>
        <v>0.94675060502228892</v>
      </c>
      <c r="D1028">
        <f>'10years'!D1028-'10years'!$G1028</f>
        <v>1.0447041622310076</v>
      </c>
      <c r="E1028">
        <f>'10years'!E1028-'10years'!$G1028</f>
        <v>0.87347369228926652</v>
      </c>
      <c r="F1028">
        <f>'10years'!F1028-'10years'!$G1028</f>
        <v>0.94444623299698094</v>
      </c>
      <c r="G1028">
        <f>'10years'!H1028-'10years'!$I1028</f>
        <v>1.1166473937110122</v>
      </c>
    </row>
    <row r="1029" spans="1:7" x14ac:dyDescent="0.35">
      <c r="A1029" s="1">
        <v>44439</v>
      </c>
      <c r="B1029">
        <f>'10years'!B1029-'10years'!$G1029</f>
        <v>1.1574915249948186</v>
      </c>
      <c r="C1029">
        <f>'10years'!C1029-'10years'!$G1029</f>
        <v>0.98399494700342416</v>
      </c>
      <c r="D1029">
        <f>'10years'!D1029-'10years'!$G1029</f>
        <v>1.0853438271765485</v>
      </c>
      <c r="E1029">
        <f>'10years'!E1029-'10years'!$G1029</f>
        <v>0.91395854841040336</v>
      </c>
      <c r="F1029">
        <f>'10years'!F1029-'10years'!$G1029</f>
        <v>0.98165125038095979</v>
      </c>
      <c r="G1029">
        <f>'10years'!H1029-'10years'!$I1029</f>
        <v>1.1537033325696666</v>
      </c>
    </row>
    <row r="1030" spans="1:7" x14ac:dyDescent="0.35">
      <c r="A1030" s="1">
        <v>44469</v>
      </c>
      <c r="B1030">
        <f>'10years'!B1030-'10years'!$G1030</f>
        <v>1.2301276384136239</v>
      </c>
      <c r="C1030">
        <f>'10years'!C1030-'10years'!$G1030</f>
        <v>1.0575171117804916</v>
      </c>
      <c r="D1030">
        <f>'10years'!D1030-'10years'!$G1030</f>
        <v>1.160179046418307</v>
      </c>
      <c r="E1030">
        <f>'10years'!E1030-'10years'!$G1030</f>
        <v>0.98904744204110107</v>
      </c>
      <c r="F1030">
        <f>'10years'!F1030-'10years'!$G1030</f>
        <v>1.055045716557067</v>
      </c>
      <c r="G1030">
        <f>'10years'!H1030-'10years'!$I1030</f>
        <v>1.2262249785957691</v>
      </c>
    </row>
    <row r="1031" spans="1:7" x14ac:dyDescent="0.35">
      <c r="A1031" s="1">
        <v>44498</v>
      </c>
      <c r="B1031">
        <f>'10years'!B1031-'10years'!$G1031</f>
        <v>1.25178173488386</v>
      </c>
      <c r="C1031">
        <f>'10years'!C1031-'10years'!$G1031</f>
        <v>1.0795447649748369</v>
      </c>
      <c r="D1031">
        <f>'10years'!D1031-'10years'!$G1031</f>
        <v>1.2080579281874215</v>
      </c>
      <c r="E1031">
        <f>'10years'!E1031-'10years'!$G1031</f>
        <v>1.0369988996500645</v>
      </c>
      <c r="F1031">
        <f>'10years'!F1031-'10years'!$G1031</f>
        <v>1.0767248476232549</v>
      </c>
      <c r="G1031">
        <f>'10years'!H1031-'10years'!$I1031</f>
        <v>1.2478260171224109</v>
      </c>
    </row>
    <row r="1032" spans="1:7" x14ac:dyDescent="0.35">
      <c r="A1032" s="1">
        <v>44530</v>
      </c>
      <c r="B1032">
        <f>'10years'!B1032-'10years'!$G1032</f>
        <v>1.2219578825993438</v>
      </c>
      <c r="C1032">
        <f>'10years'!C1032-'10years'!$G1032</f>
        <v>1.0501862513096694</v>
      </c>
      <c r="D1032">
        <f>'10years'!D1032-'10years'!$G1032</f>
        <v>1.145066508627145</v>
      </c>
      <c r="E1032">
        <f>'10years'!E1032-'10years'!$G1032</f>
        <v>0.97416904229666756</v>
      </c>
      <c r="F1032">
        <f>'10years'!F1032-'10years'!$G1032</f>
        <v>1.046858128906224</v>
      </c>
      <c r="G1032">
        <f>'10years'!H1032-'10years'!$I1032</f>
        <v>1.2179621323968215</v>
      </c>
    </row>
    <row r="1033" spans="1:7" x14ac:dyDescent="0.35">
      <c r="A1033" s="1">
        <v>44561</v>
      </c>
      <c r="B1033">
        <f>'10years'!B1033-'10years'!$G1033</f>
        <v>1.2181168458445513</v>
      </c>
      <c r="C1033">
        <f>'10years'!C1033-'10years'!$G1033</f>
        <v>1.047544117324738</v>
      </c>
      <c r="D1033">
        <f>'10years'!D1033-'10years'!$G1033</f>
        <v>1.1286619004112419</v>
      </c>
      <c r="E1033">
        <f>'10years'!E1033-'10years'!$G1033</f>
        <v>0.95834164662059629</v>
      </c>
      <c r="F1033">
        <f>'10years'!F1033-'10years'!$G1033</f>
        <v>1.0440806383530055</v>
      </c>
      <c r="G1033">
        <f>'10years'!H1033-'10years'!$I1033</f>
        <v>1.214059919853705</v>
      </c>
    </row>
    <row r="1034" spans="1:7" x14ac:dyDescent="0.35">
      <c r="A1034" s="1">
        <v>44592</v>
      </c>
      <c r="B1034">
        <f>'10years'!B1034-'10years'!$G1034</f>
        <v>1.2460357652658676</v>
      </c>
      <c r="C1034">
        <f>'10years'!C1034-'10years'!$G1034</f>
        <v>1.0759619248578094</v>
      </c>
      <c r="D1034">
        <f>'10years'!D1034-'10years'!$G1034</f>
        <v>1.1796264229242119</v>
      </c>
      <c r="E1034">
        <f>'10years'!E1034-'10years'!$G1034</f>
        <v>1.0095217853660348</v>
      </c>
      <c r="F1034">
        <f>'10years'!F1034-'10years'!$G1034</f>
        <v>1.0728013914796657</v>
      </c>
      <c r="G1034">
        <f>'10years'!H1034-'10years'!$I1034</f>
        <v>1.2418625484090895</v>
      </c>
    </row>
    <row r="1035" spans="1:7" x14ac:dyDescent="0.35">
      <c r="A1035" s="1">
        <v>44620</v>
      </c>
      <c r="B1035">
        <f>'10years'!B1035-'10years'!$G1035</f>
        <v>1.1634591029530288</v>
      </c>
      <c r="C1035">
        <f>'10years'!C1035-'10years'!$G1035</f>
        <v>0.99374262352204745</v>
      </c>
      <c r="D1035">
        <f>'10years'!D1035-'10years'!$G1035</f>
        <v>1.096587750405547</v>
      </c>
      <c r="E1035">
        <f>'10years'!E1035-'10years'!$G1035</f>
        <v>0.92657510334974091</v>
      </c>
      <c r="F1035">
        <f>'10years'!F1035-'10years'!$G1035</f>
        <v>0.99136968386982982</v>
      </c>
      <c r="G1035">
        <f>'10years'!H1035-'10years'!$I1035</f>
        <v>1.1594034691020494</v>
      </c>
    </row>
    <row r="1036" spans="1:7" x14ac:dyDescent="0.35">
      <c r="A1036" s="1">
        <v>44651</v>
      </c>
      <c r="B1036">
        <f>'10years'!B1036-'10years'!$G1036</f>
        <v>1.1026193006366585</v>
      </c>
      <c r="C1036">
        <f>'10years'!C1036-'10years'!$G1036</f>
        <v>0.93388142003968877</v>
      </c>
      <c r="D1036">
        <f>'10years'!D1036-'10years'!$G1036</f>
        <v>1.0533458197578165</v>
      </c>
      <c r="E1036">
        <f>'10years'!E1036-'10years'!$G1036</f>
        <v>0.88371252545057999</v>
      </c>
      <c r="F1036">
        <f>'10years'!F1036-'10years'!$G1036</f>
        <v>0.93106119984775404</v>
      </c>
      <c r="G1036">
        <f>'10years'!H1036-'10years'!$I1036</f>
        <v>1.0986226577716529</v>
      </c>
    </row>
    <row r="1037" spans="1:7" x14ac:dyDescent="0.35">
      <c r="A1037" s="1">
        <v>44680</v>
      </c>
      <c r="B1037">
        <f>'10years'!B1037-'10years'!$G1037</f>
        <v>1.1066512354235789</v>
      </c>
      <c r="C1037">
        <f>'10years'!C1037-'10years'!$G1037</f>
        <v>0.93812712628094741</v>
      </c>
      <c r="D1037">
        <f>'10years'!D1037-'10years'!$G1037</f>
        <v>1.0565564641626566</v>
      </c>
      <c r="E1037">
        <f>'10years'!E1037-'10years'!$G1037</f>
        <v>0.88689245013125562</v>
      </c>
      <c r="F1037">
        <f>'10years'!F1037-'10years'!$G1037</f>
        <v>0.93459032057430869</v>
      </c>
      <c r="G1037">
        <f>'10years'!H1037-'10years'!$I1037</f>
        <v>1.1025726449460205</v>
      </c>
    </row>
    <row r="1038" spans="1:7" x14ac:dyDescent="0.35">
      <c r="A1038" s="1">
        <v>44712</v>
      </c>
      <c r="B1038">
        <f>'10years'!B1038-'10years'!$G1038</f>
        <v>1.0344379703060764</v>
      </c>
      <c r="C1038">
        <f>'10years'!C1038-'10years'!$G1038</f>
        <v>0.86629910156473544</v>
      </c>
      <c r="D1038">
        <f>'10years'!D1038-'10years'!$G1038</f>
        <v>1.0080826000344518</v>
      </c>
      <c r="E1038">
        <f>'10years'!E1038-'10years'!$G1038</f>
        <v>0.83855885172140221</v>
      </c>
      <c r="F1038">
        <f>'10years'!F1038-'10years'!$G1038</f>
        <v>0.86338714484851264</v>
      </c>
      <c r="G1038">
        <f>'10years'!H1038-'10years'!$I1038</f>
        <v>1.0304781105678895</v>
      </c>
    </row>
    <row r="1039" spans="1:7" x14ac:dyDescent="0.35">
      <c r="A1039" s="1">
        <v>44742</v>
      </c>
      <c r="B1039">
        <f>'10years'!B1039-'10years'!$G1039</f>
        <v>1.0865265317050914</v>
      </c>
      <c r="C1039">
        <f>'10years'!C1039-'10years'!$G1039</f>
        <v>0.91921375860395549</v>
      </c>
      <c r="D1039">
        <f>'10years'!D1039-'10years'!$G1039</f>
        <v>1.0780934686702286</v>
      </c>
      <c r="E1039">
        <f>'10years'!E1039-'10years'!$G1039</f>
        <v>0.90884885976059304</v>
      </c>
      <c r="F1039">
        <f>'10years'!F1039-'10years'!$G1039</f>
        <v>0.91768129969269796</v>
      </c>
      <c r="G1039">
        <f>'10years'!H1039-'10years'!$I1039</f>
        <v>1.0823709577599594</v>
      </c>
    </row>
    <row r="1040" spans="1:7" x14ac:dyDescent="0.35">
      <c r="A1040" s="1">
        <v>44771</v>
      </c>
      <c r="B1040">
        <f>'10years'!B1040-'10years'!$G1040</f>
        <v>0.98002198294448761</v>
      </c>
      <c r="C1040">
        <f>'10years'!C1040-'10years'!$G1040</f>
        <v>0.81283647576934936</v>
      </c>
      <c r="D1040">
        <f>'10years'!D1040-'10years'!$G1040</f>
        <v>0.96384011642493861</v>
      </c>
      <c r="E1040">
        <f>'10years'!E1040-'10years'!$G1040</f>
        <v>0.79450738774881935</v>
      </c>
      <c r="F1040">
        <f>'10years'!F1040-'10years'!$G1040</f>
        <v>0.81084666105253089</v>
      </c>
      <c r="G1040">
        <f>'10years'!H1040-'10years'!$I1040</f>
        <v>0.97598039972394135</v>
      </c>
    </row>
    <row r="1041" spans="1:7" x14ac:dyDescent="0.35">
      <c r="A1041" s="1">
        <v>44804</v>
      </c>
      <c r="B1041">
        <f>'10years'!B1041-'10years'!$G1041</f>
        <v>1.0428202302757374</v>
      </c>
      <c r="C1041">
        <f>'10years'!C1041-'10years'!$G1041</f>
        <v>0.87574151502041753</v>
      </c>
      <c r="D1041">
        <f>'10years'!D1041-'10years'!$G1041</f>
        <v>1.0317285646033683</v>
      </c>
      <c r="E1041">
        <f>'10years'!E1041-'10years'!$G1041</f>
        <v>0.86230419528228763</v>
      </c>
      <c r="F1041">
        <f>'10years'!F1041-'10years'!$G1041</f>
        <v>0.87296318956325303</v>
      </c>
      <c r="G1041">
        <f>'10years'!H1041-'10years'!$I1041</f>
        <v>1.0386516191388973</v>
      </c>
    </row>
    <row r="1042" spans="1:7" x14ac:dyDescent="0.35">
      <c r="A1042" s="1">
        <v>44834</v>
      </c>
      <c r="B1042">
        <f>'10years'!B1042-'10years'!$G1042</f>
        <v>0.98781274605695946</v>
      </c>
      <c r="C1042">
        <f>'10years'!C1042-'10years'!$G1042</f>
        <v>0.82159163586895656</v>
      </c>
      <c r="D1042">
        <f>'10years'!D1042-'10years'!$G1042</f>
        <v>0.97582908326331297</v>
      </c>
      <c r="E1042">
        <f>'10years'!E1042-'10years'!$G1042</f>
        <v>0.80667449398456026</v>
      </c>
      <c r="F1042">
        <f>'10years'!F1042-'10years'!$G1042</f>
        <v>0.8186184772736802</v>
      </c>
      <c r="G1042">
        <f>'10years'!H1042-'10years'!$I1042</f>
        <v>0.98373227951905617</v>
      </c>
    </row>
    <row r="1043" spans="1:7" x14ac:dyDescent="0.35">
      <c r="A1043" s="1">
        <v>44865</v>
      </c>
      <c r="B1043">
        <f>'10years'!B1043-'10years'!$G1043</f>
        <v>0.88475435709381212</v>
      </c>
      <c r="C1043">
        <f>'10years'!C1043-'10years'!$G1043</f>
        <v>0.71871253225295528</v>
      </c>
      <c r="D1043">
        <f>'10years'!D1043-'10years'!$G1043</f>
        <v>0.87234394529167925</v>
      </c>
      <c r="E1043">
        <f>'10years'!E1043-'10years'!$G1043</f>
        <v>0.70297059865958356</v>
      </c>
      <c r="F1043">
        <f>'10years'!F1043-'10years'!$G1043</f>
        <v>0.71469583031183226</v>
      </c>
      <c r="G1043">
        <f>'10years'!H1043-'10years'!$I1043</f>
        <v>0.88082746132832623</v>
      </c>
    </row>
    <row r="1044" spans="1:7" x14ac:dyDescent="0.35">
      <c r="A1044" s="1">
        <v>44895</v>
      </c>
      <c r="B1044">
        <f>'10years'!B1044-'10years'!$G1044</f>
        <v>0.96312740721090995</v>
      </c>
      <c r="C1044">
        <f>'10years'!C1044-'10years'!$G1044</f>
        <v>0.79732598455947512</v>
      </c>
      <c r="D1044">
        <f>'10years'!D1044-'10years'!$G1044</f>
        <v>0.95462630714446073</v>
      </c>
      <c r="E1044">
        <f>'10years'!E1044-'10years'!$G1044</f>
        <v>0.78544152134036116</v>
      </c>
      <c r="F1044">
        <f>'10years'!F1044-'10years'!$G1044</f>
        <v>0.79430621059747653</v>
      </c>
      <c r="G1044">
        <f>'10years'!H1044-'10years'!$I1044</f>
        <v>0.95890929184563323</v>
      </c>
    </row>
    <row r="1045" spans="1:7" x14ac:dyDescent="0.35">
      <c r="A1045" s="1">
        <v>44925</v>
      </c>
      <c r="B1045">
        <f>'10years'!B1045-'10years'!$G1045</f>
        <v>1.0009238727265095</v>
      </c>
      <c r="C1045">
        <f>'10years'!C1045-'10years'!$G1045</f>
        <v>0.83611078347925849</v>
      </c>
      <c r="D1045">
        <f>'10years'!D1045-'10years'!$G1045</f>
        <v>0.99725959851611856</v>
      </c>
      <c r="E1045">
        <f>'10years'!E1045-'10years'!$G1045</f>
        <v>0.82872862579511475</v>
      </c>
      <c r="F1045">
        <f>'10years'!F1045-'10years'!$G1045</f>
        <v>0.83378291934931115</v>
      </c>
      <c r="G1045">
        <f>'10years'!H1045-'10years'!$I1045</f>
        <v>0.99640291026241723</v>
      </c>
    </row>
    <row r="1046" spans="1:7" x14ac:dyDescent="0.35">
      <c r="A1046" s="1">
        <v>44957</v>
      </c>
      <c r="B1046">
        <f>'10years'!B1046-'10years'!$G1046</f>
        <v>0.94037380985455399</v>
      </c>
      <c r="C1046">
        <f>'10years'!C1046-'10years'!$G1046</f>
        <v>0.77659133580959394</v>
      </c>
      <c r="D1046">
        <f>'10years'!D1046-'10years'!$G1046</f>
        <v>0.93238507733209697</v>
      </c>
      <c r="E1046">
        <f>'10years'!E1046-'10years'!$G1046</f>
        <v>0.76474227022730168</v>
      </c>
      <c r="F1046">
        <f>'10years'!F1046-'10years'!$G1046</f>
        <v>0.7743626453314707</v>
      </c>
      <c r="G1046">
        <f>'10years'!H1046-'10years'!$I1046</f>
        <v>0.93572885021071528</v>
      </c>
    </row>
    <row r="1047" spans="1:7" x14ac:dyDescent="0.35">
      <c r="A1047" s="1">
        <v>44985</v>
      </c>
      <c r="B1047">
        <f>'10years'!B1047-'10years'!$G1047</f>
        <v>0.94684103809192321</v>
      </c>
      <c r="C1047">
        <f>'10years'!C1047-'10years'!$G1047</f>
        <v>0.78329570569239482</v>
      </c>
      <c r="D1047">
        <f>'10years'!D1047-'10years'!$G1047</f>
        <v>0.9377305879987039</v>
      </c>
      <c r="E1047">
        <f>'10years'!E1047-'10years'!$G1047</f>
        <v>0.77003835398507614</v>
      </c>
      <c r="F1047">
        <f>'10years'!F1047-'10years'!$G1047</f>
        <v>0.7807334125299723</v>
      </c>
      <c r="G1047">
        <f>'10years'!H1047-'10years'!$I1047</f>
        <v>0.94188469578369016</v>
      </c>
    </row>
    <row r="1048" spans="1:7" x14ac:dyDescent="0.35">
      <c r="A1048" s="1">
        <v>45016</v>
      </c>
      <c r="B1048">
        <f>'10years'!B1048-'10years'!$G1048</f>
        <v>0.91270691619870936</v>
      </c>
      <c r="C1048">
        <f>'10years'!C1048-'10years'!$G1048</f>
        <v>0.74980104008188375</v>
      </c>
      <c r="D1048">
        <f>'10years'!D1048-'10years'!$G1048</f>
        <v>0.89649626059879628</v>
      </c>
      <c r="E1048">
        <f>'10years'!E1048-'10years'!$G1048</f>
        <v>0.72888313793483972</v>
      </c>
      <c r="F1048">
        <f>'10years'!F1048-'10years'!$G1048</f>
        <v>0.74667979236040116</v>
      </c>
      <c r="G1048">
        <f>'10years'!H1048-'10years'!$I1048</f>
        <v>0.90758759519740106</v>
      </c>
    </row>
    <row r="1049" spans="1:7" x14ac:dyDescent="0.35">
      <c r="A1049" s="1">
        <v>45044</v>
      </c>
      <c r="B1049">
        <f>'10years'!B1049-'10years'!$G1049</f>
        <v>0.90990332339373348</v>
      </c>
      <c r="C1049">
        <f>'10years'!C1049-'10years'!$G1049</f>
        <v>0.7469577193420549</v>
      </c>
      <c r="D1049">
        <f>'10years'!D1049-'10years'!$G1049</f>
        <v>0.85611812853705205</v>
      </c>
      <c r="E1049">
        <f>'10years'!E1049-'10years'!$G1049</f>
        <v>0.68819219168387713</v>
      </c>
      <c r="F1049">
        <f>'10years'!F1049-'10years'!$G1049</f>
        <v>0.74320203945028451</v>
      </c>
      <c r="G1049">
        <f>'10years'!H1049-'10years'!$I1049</f>
        <v>0.9044854268021596</v>
      </c>
    </row>
    <row r="1050" spans="1:7" x14ac:dyDescent="0.35">
      <c r="A1050" s="1">
        <v>45077</v>
      </c>
      <c r="B1050">
        <f>'10years'!B1050-'10years'!$G1050</f>
        <v>0.90343379946651958</v>
      </c>
      <c r="C1050">
        <f>'10years'!C1050-'10years'!$G1050</f>
        <v>0.7406466612724325</v>
      </c>
      <c r="D1050">
        <f>'10years'!D1050-'10years'!$G1050</f>
        <v>0.84210494942330105</v>
      </c>
      <c r="E1050">
        <f>'10years'!E1050-'10years'!$G1050</f>
        <v>0.67405837292396442</v>
      </c>
      <c r="F1050">
        <f>'10years'!F1050-'10years'!$G1050</f>
        <v>0.7376956239425978</v>
      </c>
      <c r="G1050">
        <f>'10years'!H1050-'10years'!$I1050</f>
        <v>0.89772942851020776</v>
      </c>
    </row>
    <row r="1051" spans="1:7" x14ac:dyDescent="0.35">
      <c r="A1051" s="1">
        <v>45107</v>
      </c>
      <c r="B1051">
        <f>'10years'!B1051-'10years'!$G1051</f>
        <v>0.88592356060126498</v>
      </c>
      <c r="C1051">
        <f>'10years'!C1051-'10years'!$G1051</f>
        <v>0.72383042737214076</v>
      </c>
      <c r="D1051">
        <f>'10years'!D1051-'10years'!$G1051</f>
        <v>0.78340851037057568</v>
      </c>
      <c r="E1051">
        <f>'10years'!E1051-'10years'!$G1051</f>
        <v>0.61536313405958776</v>
      </c>
      <c r="F1051">
        <f>'10years'!F1051-'10years'!$G1051</f>
        <v>0.71978410691584394</v>
      </c>
      <c r="G1051">
        <f>'10years'!H1051-'10years'!$I1051</f>
        <v>0.87998934546678065</v>
      </c>
    </row>
    <row r="1052" spans="1:7" x14ac:dyDescent="0.35">
      <c r="A1052" s="1">
        <v>45138</v>
      </c>
      <c r="B1052">
        <f>'10years'!B1052-'10years'!$G1052</f>
        <v>0.94898806241938582</v>
      </c>
      <c r="C1052">
        <f>'10years'!C1052-'10years'!$G1052</f>
        <v>0.78718065238822965</v>
      </c>
      <c r="D1052">
        <f>'10years'!D1052-'10years'!$G1052</f>
        <v>0.85294647491496067</v>
      </c>
      <c r="E1052">
        <f>'10years'!E1052-'10years'!$G1052</f>
        <v>0.6848390463507259</v>
      </c>
      <c r="F1052">
        <f>'10years'!F1052-'10years'!$G1052</f>
        <v>0.78217819158041713</v>
      </c>
      <c r="G1052">
        <f>'10years'!H1052-'10years'!$I1052</f>
        <v>0.94258445264652213</v>
      </c>
    </row>
    <row r="1053" spans="1:7" x14ac:dyDescent="0.35">
      <c r="A1053" s="1">
        <v>45169</v>
      </c>
      <c r="B1053">
        <f>'10years'!B1053-'10years'!$G1053</f>
        <v>0.93032908797498526</v>
      </c>
      <c r="C1053">
        <f>'10years'!C1053-'10years'!$G1053</f>
        <v>0.76887649646110767</v>
      </c>
      <c r="D1053">
        <f>'10years'!D1053-'10years'!$G1053</f>
        <v>0.83365802970003</v>
      </c>
      <c r="E1053">
        <f>'10years'!E1053-'10years'!$G1053</f>
        <v>0.66549350873807467</v>
      </c>
      <c r="F1053">
        <f>'10years'!F1053-'10years'!$G1053</f>
        <v>0.76405579029223447</v>
      </c>
      <c r="G1053">
        <f>'10years'!H1053-'10years'!$I1053</f>
        <v>0.92354317119645035</v>
      </c>
    </row>
    <row r="1054" spans="1:7" x14ac:dyDescent="0.35">
      <c r="A1054" s="1">
        <v>45198</v>
      </c>
      <c r="B1054">
        <f>'10years'!B1054-'10years'!$G1054</f>
        <v>0.93886538755628535</v>
      </c>
      <c r="C1054">
        <f>'10years'!C1054-'10years'!$G1054</f>
        <v>0.77799052564236759</v>
      </c>
      <c r="D1054">
        <f>'10years'!D1054-'10years'!$G1054</f>
        <v>0.82771555667396757</v>
      </c>
      <c r="E1054">
        <f>'10years'!E1054-'10years'!$G1054</f>
        <v>0.65945705297164436</v>
      </c>
      <c r="F1054">
        <f>'10years'!F1054-'10years'!$G1054</f>
        <v>0.77242599701500114</v>
      </c>
      <c r="G1054">
        <f>'10years'!H1054-'10years'!$I1054</f>
        <v>0.93162617325586172</v>
      </c>
    </row>
    <row r="1055" spans="1:7" x14ac:dyDescent="0.35">
      <c r="A1055" s="1">
        <v>45230</v>
      </c>
      <c r="B1055">
        <f>'10years'!B1055-'10years'!$G1055</f>
        <v>0.86840895889207981</v>
      </c>
      <c r="C1055">
        <f>'10years'!C1055-'10years'!$G1055</f>
        <v>0.70801066953717817</v>
      </c>
      <c r="D1055">
        <f>'10years'!D1055-'10years'!$G1055</f>
        <v>0.74781229336754929</v>
      </c>
      <c r="E1055">
        <f>'10years'!E1055-'10years'!$G1055</f>
        <v>0.57949820436672872</v>
      </c>
      <c r="F1055">
        <f>'10years'!F1055-'10years'!$G1055</f>
        <v>0.70262018091028966</v>
      </c>
      <c r="G1055">
        <f>'10years'!H1055-'10years'!$I1055</f>
        <v>0.86094373970136973</v>
      </c>
    </row>
    <row r="1056" spans="1:7" x14ac:dyDescent="0.35">
      <c r="A1056" s="1">
        <v>45260</v>
      </c>
      <c r="B1056">
        <f>'10years'!B1056-'10years'!$G1056</f>
        <v>0.8090123167218124</v>
      </c>
      <c r="C1056">
        <f>'10years'!C1056-'10years'!$G1056</f>
        <v>0.64893071672384917</v>
      </c>
      <c r="D1056">
        <f>'10years'!D1056-'10years'!$G1056</f>
        <v>0.67409103667161929</v>
      </c>
      <c r="E1056">
        <f>'10years'!E1056-'10years'!$G1056</f>
        <v>0.50579942619164342</v>
      </c>
      <c r="F1056">
        <f>'10years'!F1056-'10years'!$G1056</f>
        <v>0.6438514814306675</v>
      </c>
      <c r="G1056">
        <f>'10years'!H1056-'10years'!$I1056</f>
        <v>0.80124574858925213</v>
      </c>
    </row>
    <row r="1057" spans="1:7" x14ac:dyDescent="0.35">
      <c r="A1057" s="1">
        <v>45289</v>
      </c>
      <c r="B1057">
        <f>'10years'!B1057-'10years'!$G1057</f>
        <v>0.85328163408823632</v>
      </c>
      <c r="C1057">
        <f>'10years'!C1057-'10years'!$G1057</f>
        <v>0.69345076421708929</v>
      </c>
      <c r="D1057">
        <f>'10years'!D1057-'10years'!$G1057</f>
        <v>0.72559922010164013</v>
      </c>
      <c r="E1057">
        <f>'10years'!E1057-'10years'!$G1057</f>
        <v>0.55679654658475219</v>
      </c>
      <c r="F1057">
        <f>'10years'!F1057-'10years'!$G1057</f>
        <v>0.68904902805010804</v>
      </c>
      <c r="G1057">
        <f>'10years'!H1057-'10years'!$I1057</f>
        <v>0.84505334503776064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78"/>
  <sheetViews>
    <sheetView workbookViewId="0">
      <selection activeCell="B2" sqref="B2"/>
    </sheetView>
  </sheetViews>
  <sheetFormatPr defaultRowHeight="14.5" x14ac:dyDescent="0.35"/>
  <cols>
    <col min="1" max="1" width="10.08984375" bestFit="1" customWidth="1"/>
  </cols>
  <sheetData>
    <row r="1" spans="1:9" x14ac:dyDescent="0.35">
      <c r="A1" t="s">
        <v>0</v>
      </c>
      <c r="B1" t="str">
        <f>'10years'!B1</f>
        <v>vw_ret</v>
      </c>
      <c r="C1" t="str">
        <f>'10years'!C1</f>
        <v>vw_ret_xd</v>
      </c>
      <c r="D1" t="str">
        <f>'10years'!D1</f>
        <v>ew_ret</v>
      </c>
      <c r="E1" t="str">
        <f>'10years'!E1</f>
        <v>ew_ret_xd</v>
      </c>
      <c r="F1" t="str">
        <f>'10years'!F1</f>
        <v>ret_index</v>
      </c>
      <c r="G1" t="s">
        <v>17</v>
      </c>
      <c r="H1" t="s">
        <v>19</v>
      </c>
      <c r="I1" t="s">
        <v>22</v>
      </c>
    </row>
    <row r="2" spans="1:9" x14ac:dyDescent="0.35">
      <c r="A2" s="1">
        <v>9497</v>
      </c>
      <c r="B2" cm="1">
        <f t="array" ref="B2">(PRODUCT(1+sp500_monthly!B3:B122)^(1/120)-1)*100</f>
        <v>0.35840694297402109</v>
      </c>
      <c r="C2" cm="1">
        <f t="array" ref="C2">(PRODUCT(1+sp500_monthly!C3:C122)^(1/120)-1)*100</f>
        <v>-3.6418724817410819E-2</v>
      </c>
      <c r="D2" cm="1">
        <f t="array" ref="D2">(PRODUCT(1+sp500_monthly!D3:D122)^(1/120)-1)*100</f>
        <v>0.46917131986929927</v>
      </c>
      <c r="E2" cm="1">
        <f t="array" ref="E2">(PRODUCT(1+sp500_monthly!E3:E122)^(1/120)-1)*100</f>
        <v>0.12666983858009573</v>
      </c>
      <c r="F2" cm="1">
        <f t="array" ref="F2">(PRODUCT(1+sp500_monthly!K3:K122)^(1/120)-1)*100</f>
        <v>6.2497390281990306E-2</v>
      </c>
      <c r="G2" cm="1">
        <f t="array" ref="G2">(PRODUCT(1+sp500_monthly!L3:L122)^(1/120)-1)</f>
        <v>0.14061091979691764</v>
      </c>
      <c r="H2" cm="1">
        <f t="array" ref="H2">(PRODUCT(1+sp500_monthly!N3:N122)^(1/120)-1)*100</f>
        <v>0</v>
      </c>
      <c r="I2" cm="1">
        <f t="array" ref="I2">(PRODUCT(1+sp500_monthly!O3:O122)^(1/120)-1)*100</f>
        <v>0</v>
      </c>
    </row>
    <row r="3" spans="1:9" x14ac:dyDescent="0.35">
      <c r="A3" s="1">
        <v>9527</v>
      </c>
      <c r="B3" cm="1">
        <f t="array" ref="B3">(PRODUCT(1+sp500_monthly!B4:B123)^(1/120)-1)*100</f>
        <v>0.41793204391131766</v>
      </c>
      <c r="C3" cm="1">
        <f t="array" ref="C3">(PRODUCT(1+sp500_monthly!C4:C123)^(1/120)-1)*100</f>
        <v>2.3428503363853714E-2</v>
      </c>
      <c r="D3" cm="1">
        <f t="array" ref="D3">(PRODUCT(1+sp500_monthly!D4:D123)^(1/120)-1)*100</f>
        <v>0.55370233604870034</v>
      </c>
      <c r="E3" cm="1">
        <f t="array" ref="E3">(PRODUCT(1+sp500_monthly!E4:E123)^(1/120)-1)*100</f>
        <v>0.21225821178956217</v>
      </c>
      <c r="F3" cm="1">
        <f t="array" ref="F3">(PRODUCT(1+sp500_monthly!K4:K123)^(1/120)-1)*100</f>
        <v>9.6895124109175335E-2</v>
      </c>
      <c r="G3" cm="1">
        <f t="array" ref="G3">(PRODUCT(1+sp500_monthly!L4:L123)^(1/120)-1)</f>
        <v>0.14070550251845848</v>
      </c>
      <c r="H3" cm="1">
        <f t="array" ref="H3">(PRODUCT(1+sp500_monthly!N4:N123)^(1/120)-1)*100</f>
        <v>0</v>
      </c>
      <c r="I3" cm="1">
        <f t="array" ref="I3">(PRODUCT(1+sp500_monthly!O4:O123)^(1/120)-1)*100</f>
        <v>0</v>
      </c>
    </row>
    <row r="4" spans="1:9" x14ac:dyDescent="0.35">
      <c r="A4" s="1">
        <v>9555</v>
      </c>
      <c r="B4" cm="1">
        <f t="array" ref="B4">(PRODUCT(1+sp500_monthly!B5:B124)^(1/120)-1)*100</f>
        <v>0.46486780546972639</v>
      </c>
      <c r="C4" cm="1">
        <f t="array" ref="C4">(PRODUCT(1+sp500_monthly!C5:C124)^(1/120)-1)*100</f>
        <v>7.1195549015645732E-2</v>
      </c>
      <c r="D4" cm="1">
        <f t="array" ref="D4">(PRODUCT(1+sp500_monthly!D5:D124)^(1/120)-1)*100</f>
        <v>0.62557204609341444</v>
      </c>
      <c r="E4" cm="1">
        <f t="array" ref="E4">(PRODUCT(1+sp500_monthly!E5:E124)^(1/120)-1)*100</f>
        <v>0.28444305436601258</v>
      </c>
      <c r="F4" cm="1">
        <f t="array" ref="F4">(PRODUCT(1+sp500_monthly!K5:K124)^(1/120)-1)*100</f>
        <v>0.14827741810301553</v>
      </c>
      <c r="G4" cm="1">
        <f t="array" ref="G4">(PRODUCT(1+sp500_monthly!L5:L124)^(1/120)-1)</f>
        <v>0.14080009308306929</v>
      </c>
      <c r="H4" cm="1">
        <f t="array" ref="H4">(PRODUCT(1+sp500_monthly!N5:N124)^(1/120)-1)*100</f>
        <v>0</v>
      </c>
      <c r="I4" cm="1">
        <f t="array" ref="I4">(PRODUCT(1+sp500_monthly!O5:O124)^(1/120)-1)*100</f>
        <v>0</v>
      </c>
    </row>
    <row r="5" spans="1:9" x14ac:dyDescent="0.35">
      <c r="A5" s="1">
        <v>9587</v>
      </c>
      <c r="B5" cm="1">
        <f t="array" ref="B5">(PRODUCT(1+sp500_monthly!B6:B125)^(1/120)-1)*100</f>
        <v>0.53453496634543463</v>
      </c>
      <c r="C5" cm="1">
        <f t="array" ref="C5">(PRODUCT(1+sp500_monthly!C6:C125)^(1/120)-1)*100</f>
        <v>0.14230707099323059</v>
      </c>
      <c r="D5" cm="1">
        <f t="array" ref="D5">(PRODUCT(1+sp500_monthly!D6:D125)^(1/120)-1)*100</f>
        <v>0.68520698587963835</v>
      </c>
      <c r="E5" cm="1">
        <f t="array" ref="E5">(PRODUCT(1+sp500_monthly!E6:E125)^(1/120)-1)*100</f>
        <v>0.34680785111513845</v>
      </c>
      <c r="F5" cm="1">
        <f t="array" ref="F5">(PRODUCT(1+sp500_monthly!K6:K125)^(1/120)-1)*100</f>
        <v>0.22011304659064201</v>
      </c>
      <c r="G5" cm="1">
        <f t="array" ref="G5">(PRODUCT(1+sp500_monthly!L6:L125)^(1/120)-1)</f>
        <v>0.14098836560937622</v>
      </c>
      <c r="H5" cm="1">
        <f t="array" ref="H5">(PRODUCT(1+sp500_monthly!N6:N125)^(1/120)-1)*100</f>
        <v>0</v>
      </c>
      <c r="I5" cm="1">
        <f t="array" ref="I5">(PRODUCT(1+sp500_monthly!O6:O125)^(1/120)-1)*100</f>
        <v>0</v>
      </c>
    </row>
    <row r="6" spans="1:9" x14ac:dyDescent="0.35">
      <c r="A6" s="1">
        <v>9617</v>
      </c>
      <c r="B6" cm="1">
        <f t="array" ref="B6">(PRODUCT(1+sp500_monthly!B7:B126)^(1/120)-1)*100</f>
        <v>0.43525435012610192</v>
      </c>
      <c r="C6" cm="1">
        <f t="array" ref="C6">(PRODUCT(1+sp500_monthly!C7:C126)^(1/120)-1)*100</f>
        <v>4.5667556790740527E-2</v>
      </c>
      <c r="D6" cm="1">
        <f t="array" ref="D6">(PRODUCT(1+sp500_monthly!D7:D126)^(1/120)-1)*100</f>
        <v>0.57325399819179168</v>
      </c>
      <c r="E6" cm="1">
        <f t="array" ref="E6">(PRODUCT(1+sp500_monthly!E7:E126)^(1/120)-1)*100</f>
        <v>0.23772943675959279</v>
      </c>
      <c r="F6" cm="1">
        <f t="array" ref="F6">(PRODUCT(1+sp500_monthly!K7:K126)^(1/120)-1)*100</f>
        <v>0.13442391226861083</v>
      </c>
      <c r="G6" cm="1">
        <f t="array" ref="G6">(PRODUCT(1+sp500_monthly!L7:L126)^(1/120)-1)</f>
        <v>0.14117666920733574</v>
      </c>
      <c r="H6" cm="1">
        <f t="array" ref="H6">(PRODUCT(1+sp500_monthly!N7:N126)^(1/120)-1)*100</f>
        <v>0</v>
      </c>
      <c r="I6" cm="1">
        <f t="array" ref="I6">(PRODUCT(1+sp500_monthly!O7:O126)^(1/120)-1)*100</f>
        <v>0</v>
      </c>
    </row>
    <row r="7" spans="1:9" x14ac:dyDescent="0.35">
      <c r="A7" s="1">
        <v>9645</v>
      </c>
      <c r="B7" cm="1">
        <f t="array" ref="B7">(PRODUCT(1+sp500_monthly!B8:B127)^(1/120)-1)*100</f>
        <v>0.46724208860686733</v>
      </c>
      <c r="C7" cm="1">
        <f t="array" ref="C7">(PRODUCT(1+sp500_monthly!C8:C127)^(1/120)-1)*100</f>
        <v>7.6413077876558155E-2</v>
      </c>
      <c r="D7" cm="1">
        <f t="array" ref="D7">(PRODUCT(1+sp500_monthly!D8:D127)^(1/120)-1)*100</f>
        <v>0.61440272719526234</v>
      </c>
      <c r="E7" cm="1">
        <f t="array" ref="E7">(PRODUCT(1+sp500_monthly!E8:E127)^(1/120)-1)*100</f>
        <v>0.27916446232278957</v>
      </c>
      <c r="F7" cm="1">
        <f t="array" ref="F7">(PRODUCT(1+sp500_monthly!K8:K127)^(1/120)-1)*100</f>
        <v>0.16537572035646431</v>
      </c>
      <c r="G7" cm="1">
        <f t="array" ref="G7">(PRODUCT(1+sp500_monthly!L8:L127)^(1/120)-1)</f>
        <v>0.14136500388207573</v>
      </c>
      <c r="H7" cm="1">
        <f t="array" ref="H7">(PRODUCT(1+sp500_monthly!N8:N127)^(1/120)-1)*100</f>
        <v>0</v>
      </c>
      <c r="I7" cm="1">
        <f t="array" ref="I7">(PRODUCT(1+sp500_monthly!O8:O127)^(1/120)-1)*100</f>
        <v>0</v>
      </c>
    </row>
    <row r="8" spans="1:9" x14ac:dyDescent="0.35">
      <c r="A8" s="1">
        <v>9678</v>
      </c>
      <c r="B8" cm="1">
        <f t="array" ref="B8">(PRODUCT(1+sp500_monthly!B9:B128)^(1/120)-1)*100</f>
        <v>0.44809758872066396</v>
      </c>
      <c r="C8" cm="1">
        <f t="array" ref="C8">(PRODUCT(1+sp500_monthly!C9:C128)^(1/120)-1)*100</f>
        <v>5.9822764746897406E-2</v>
      </c>
      <c r="D8" cm="1">
        <f t="array" ref="D8">(PRODUCT(1+sp500_monthly!D9:D128)^(1/120)-1)*100</f>
        <v>0.58780572021681632</v>
      </c>
      <c r="E8" cm="1">
        <f t="array" ref="E8">(PRODUCT(1+sp500_monthly!E9:E128)^(1/120)-1)*100</f>
        <v>0.25573494191601931</v>
      </c>
      <c r="F8" cm="1">
        <f t="array" ref="F8">(PRODUCT(1+sp500_monthly!K9:K128)^(1/120)-1)*100</f>
        <v>0.15521019162827443</v>
      </c>
      <c r="G8" cm="1">
        <f t="array" ref="G8">(PRODUCT(1+sp500_monthly!L9:L128)^(1/120)-1)</f>
        <v>0.14164618336481682</v>
      </c>
      <c r="H8" cm="1">
        <f t="array" ref="H8">(PRODUCT(1+sp500_monthly!N9:N128)^(1/120)-1)*100</f>
        <v>0</v>
      </c>
      <c r="I8" cm="1">
        <f t="array" ref="I8">(PRODUCT(1+sp500_monthly!O9:O128)^(1/120)-1)*100</f>
        <v>0</v>
      </c>
    </row>
    <row r="9" spans="1:9" x14ac:dyDescent="0.35">
      <c r="A9" s="1">
        <v>9709</v>
      </c>
      <c r="B9" cm="1">
        <f t="array" ref="B9">(PRODUCT(1+sp500_monthly!B10:B129)^(1/120)-1)*100</f>
        <v>0.47426954348517292</v>
      </c>
      <c r="C9" cm="1">
        <f t="array" ref="C9">(PRODUCT(1+sp500_monthly!C10:C129)^(1/120)-1)*100</f>
        <v>8.6842961173871913E-2</v>
      </c>
      <c r="D9" cm="1">
        <f t="array" ref="D9">(PRODUCT(1+sp500_monthly!D10:D129)^(1/120)-1)*100</f>
        <v>0.6266782145339711</v>
      </c>
      <c r="E9" cm="1">
        <f t="array" ref="E9">(PRODUCT(1+sp500_monthly!E10:E129)^(1/120)-1)*100</f>
        <v>0.29610177795926784</v>
      </c>
      <c r="F9" cm="1">
        <f t="array" ref="F9">(PRODUCT(1+sp500_monthly!K10:K129)^(1/120)-1)*100</f>
        <v>0.17306510444436984</v>
      </c>
      <c r="G9" cm="1">
        <f t="array" ref="G9">(PRODUCT(1+sp500_monthly!L10:L129)^(1/120)-1)</f>
        <v>0.13985045074161051</v>
      </c>
      <c r="H9" cm="1">
        <f t="array" ref="H9">(PRODUCT(1+sp500_monthly!N10:N129)^(1/120)-1)*100</f>
        <v>0</v>
      </c>
      <c r="I9" cm="1">
        <f t="array" ref="I9">(PRODUCT(1+sp500_monthly!O10:O129)^(1/120)-1)*100</f>
        <v>0</v>
      </c>
    </row>
    <row r="10" spans="1:9" x14ac:dyDescent="0.35">
      <c r="A10" s="1">
        <v>9740</v>
      </c>
      <c r="B10" cm="1">
        <f t="array" ref="B10">(PRODUCT(1+sp500_monthly!B11:B130)^(1/120)-1)*100</f>
        <v>0.46140900191740108</v>
      </c>
      <c r="C10" cm="1">
        <f t="array" ref="C10">(PRODUCT(1+sp500_monthly!C11:C130)^(1/120)-1)*100</f>
        <v>7.3056310706465233E-2</v>
      </c>
      <c r="D10" cm="1">
        <f t="array" ref="D10">(PRODUCT(1+sp500_monthly!D11:D130)^(1/120)-1)*100</f>
        <v>0.63092645489277732</v>
      </c>
      <c r="E10" cm="1">
        <f t="array" ref="E10">(PRODUCT(1+sp500_monthly!E11:E130)^(1/120)-1)*100</f>
        <v>0.30061005307762123</v>
      </c>
      <c r="F10" cm="1">
        <f t="array" ref="F10">(PRODUCT(1+sp500_monthly!K11:K130)^(1/120)-1)*100</f>
        <v>0.1662681395946386</v>
      </c>
      <c r="G10" cm="1">
        <f t="array" ref="G10">(PRODUCT(1+sp500_monthly!L11:L130)^(1/120)-1)</f>
        <v>0.13792060091028269</v>
      </c>
      <c r="H10" cm="1">
        <f t="array" ref="H10">(PRODUCT(1+sp500_monthly!N11:N130)^(1/120)-1)*100</f>
        <v>0</v>
      </c>
      <c r="I10" cm="1">
        <f t="array" ref="I10">(PRODUCT(1+sp500_monthly!O11:O130)^(1/120)-1)*100</f>
        <v>0</v>
      </c>
    </row>
    <row r="11" spans="1:9" x14ac:dyDescent="0.35">
      <c r="A11" s="1">
        <v>9770</v>
      </c>
      <c r="B11" cm="1">
        <f t="array" ref="B11">(PRODUCT(1+sp500_monthly!B12:B131)^(1/120)-1)*100</f>
        <v>0.45427204660990483</v>
      </c>
      <c r="C11" cm="1">
        <f t="array" ref="C11">(PRODUCT(1+sp500_monthly!C12:C131)^(1/120)-1)*100</f>
        <v>6.6831166492353766E-2</v>
      </c>
      <c r="D11" cm="1">
        <f t="array" ref="D11">(PRODUCT(1+sp500_monthly!D12:D131)^(1/120)-1)*100</f>
        <v>0.6328024501831564</v>
      </c>
      <c r="E11" cm="1">
        <f t="array" ref="E11">(PRODUCT(1+sp500_monthly!E12:E131)^(1/120)-1)*100</f>
        <v>0.30447877123127576</v>
      </c>
      <c r="F11" cm="1">
        <f t="array" ref="F11">(PRODUCT(1+sp500_monthly!K12:K131)^(1/120)-1)*100</f>
        <v>0.14841301546795194</v>
      </c>
      <c r="G11" cm="1">
        <f t="array" ref="G11">(PRODUCT(1+sp500_monthly!L12:L131)^(1/120)-1)</f>
        <v>0.13605344277252973</v>
      </c>
      <c r="H11" cm="1">
        <f t="array" ref="H11">(PRODUCT(1+sp500_monthly!N12:N131)^(1/120)-1)*100</f>
        <v>0</v>
      </c>
      <c r="I11" cm="1">
        <f t="array" ref="I11">(PRODUCT(1+sp500_monthly!O12:O131)^(1/120)-1)*100</f>
        <v>0</v>
      </c>
    </row>
    <row r="12" spans="1:9" x14ac:dyDescent="0.35">
      <c r="A12" s="1">
        <v>9800</v>
      </c>
      <c r="B12" cm="1">
        <f t="array" ref="B12">(PRODUCT(1+sp500_monthly!B13:B132)^(1/120)-1)*100</f>
        <v>0.54149425681273566</v>
      </c>
      <c r="C12" cm="1">
        <f t="array" ref="C12">(PRODUCT(1+sp500_monthly!C13:C132)^(1/120)-1)*100</f>
        <v>0.15488307469335716</v>
      </c>
      <c r="D12" cm="1">
        <f t="array" ref="D12">(PRODUCT(1+sp500_monthly!D13:D132)^(1/120)-1)*100</f>
        <v>0.70254651154915138</v>
      </c>
      <c r="E12" cm="1">
        <f t="array" ref="E12">(PRODUCT(1+sp500_monthly!E13:E132)^(1/120)-1)*100</f>
        <v>0.37499964498577398</v>
      </c>
      <c r="F12" cm="1">
        <f t="array" ref="F12">(PRODUCT(1+sp500_monthly!K13:K132)^(1/120)-1)*100</f>
        <v>0.23534753627341143</v>
      </c>
      <c r="G12" cm="1">
        <f t="array" ref="G12">(PRODUCT(1+sp500_monthly!L13:L132)^(1/120)-1)</f>
        <v>0.13361516606125301</v>
      </c>
      <c r="H12" cm="1">
        <f t="array" ref="H12">(PRODUCT(1+sp500_monthly!N13:N132)^(1/120)-1)*100</f>
        <v>0</v>
      </c>
      <c r="I12" cm="1">
        <f t="array" ref="I12">(PRODUCT(1+sp500_monthly!O13:O132)^(1/120)-1)*100</f>
        <v>0</v>
      </c>
    </row>
    <row r="13" spans="1:9" x14ac:dyDescent="0.35">
      <c r="A13" s="1">
        <v>9831</v>
      </c>
      <c r="B13" cm="1">
        <f t="array" ref="B13">(PRODUCT(1+sp500_monthly!B14:B133)^(1/120)-1)*100</f>
        <v>0.5281138570222943</v>
      </c>
      <c r="C13" cm="1">
        <f t="array" ref="C13">(PRODUCT(1+sp500_monthly!C14:C133)^(1/120)-1)*100</f>
        <v>0.13860681017570098</v>
      </c>
      <c r="D13" cm="1">
        <f t="array" ref="D13">(PRODUCT(1+sp500_monthly!D14:D133)^(1/120)-1)*100</f>
        <v>0.7004989091436542</v>
      </c>
      <c r="E13" cm="1">
        <f t="array" ref="E13">(PRODUCT(1+sp500_monthly!E14:E133)^(1/120)-1)*100</f>
        <v>0.37052188803621267</v>
      </c>
      <c r="F13" cm="1">
        <f t="array" ref="F13">(PRODUCT(1+sp500_monthly!K14:K133)^(1/120)-1)*100</f>
        <v>0.22028219183796161</v>
      </c>
      <c r="G13" cm="1">
        <f t="array" ref="G13">(PRODUCT(1+sp500_monthly!L14:L133)^(1/120)-1)</f>
        <v>0.13116093479096702</v>
      </c>
      <c r="H13" cm="1">
        <f t="array" ref="H13">(PRODUCT(1+sp500_monthly!N14:N133)^(1/120)-1)*100</f>
        <v>0</v>
      </c>
      <c r="I13" cm="1">
        <f t="array" ref="I13">(PRODUCT(1+sp500_monthly!O14:O133)^(1/120)-1)*100</f>
        <v>0</v>
      </c>
    </row>
    <row r="14" spans="1:9" x14ac:dyDescent="0.35">
      <c r="A14" s="1">
        <v>9862</v>
      </c>
      <c r="B14" cm="1">
        <f t="array" ref="B14">(PRODUCT(1+sp500_monthly!B15:B134)^(1/120)-1)*100</f>
        <v>0.50336109631052839</v>
      </c>
      <c r="C14" cm="1">
        <f t="array" ref="C14">(PRODUCT(1+sp500_monthly!C15:C134)^(1/120)-1)*100</f>
        <v>0.11571692484722007</v>
      </c>
      <c r="D14" cm="1">
        <f t="array" ref="D14">(PRODUCT(1+sp500_monthly!D15:D134)^(1/120)-1)*100</f>
        <v>0.69343618160735421</v>
      </c>
      <c r="E14" cm="1">
        <f t="array" ref="E14">(PRODUCT(1+sp500_monthly!E15:E134)^(1/120)-1)*100</f>
        <v>0.36631908329527452</v>
      </c>
      <c r="F14" cm="1">
        <f t="array" ref="F14">(PRODUCT(1+sp500_monthly!K15:K134)^(1/120)-1)*100</f>
        <v>0.20170401049897091</v>
      </c>
      <c r="G14" cm="1">
        <f t="array" ref="G14">(PRODUCT(1+sp500_monthly!L15:L134)^(1/120)-1)</f>
        <v>0.12883633934735039</v>
      </c>
      <c r="H14" cm="1">
        <f t="array" ref="H14">(PRODUCT(1+sp500_monthly!N15:N134)^(1/120)-1)*100</f>
        <v>0</v>
      </c>
      <c r="I14" cm="1">
        <f t="array" ref="I14">(PRODUCT(1+sp500_monthly!O15:O134)^(1/120)-1)*100</f>
        <v>0</v>
      </c>
    </row>
    <row r="15" spans="1:9" x14ac:dyDescent="0.35">
      <c r="A15" s="1">
        <v>9893</v>
      </c>
      <c r="B15" cm="1">
        <f t="array" ref="B15">(PRODUCT(1+sp500_monthly!B16:B135)^(1/120)-1)*100</f>
        <v>0.53595180789980379</v>
      </c>
      <c r="C15" cm="1">
        <f t="array" ref="C15">(PRODUCT(1+sp500_monthly!C16:C135)^(1/120)-1)*100</f>
        <v>0.14982939017167407</v>
      </c>
      <c r="D15" cm="1">
        <f t="array" ref="D15">(PRODUCT(1+sp500_monthly!D16:D135)^(1/120)-1)*100</f>
        <v>0.738131227832306</v>
      </c>
      <c r="E15" cm="1">
        <f t="array" ref="E15">(PRODUCT(1+sp500_monthly!E16:E135)^(1/120)-1)*100</f>
        <v>0.41288506461485408</v>
      </c>
      <c r="F15" cm="1">
        <f t="array" ref="F15">(PRODUCT(1+sp500_monthly!K16:K135)^(1/120)-1)*100</f>
        <v>0.25023947718390005</v>
      </c>
      <c r="G15" cm="1">
        <f t="array" ref="G15">(PRODUCT(1+sp500_monthly!L16:L135)^(1/120)-1)</f>
        <v>0.12683261766921827</v>
      </c>
      <c r="H15" cm="1">
        <f t="array" ref="H15">(PRODUCT(1+sp500_monthly!N16:N135)^(1/120)-1)*100</f>
        <v>0</v>
      </c>
      <c r="I15" cm="1">
        <f t="array" ref="I15">(PRODUCT(1+sp500_monthly!O16:O135)^(1/120)-1)*100</f>
        <v>0</v>
      </c>
    </row>
    <row r="16" spans="1:9" x14ac:dyDescent="0.35">
      <c r="A16" s="1">
        <v>9921</v>
      </c>
      <c r="B16" cm="1">
        <f t="array" ref="B16">(PRODUCT(1+sp500_monthly!B17:B136)^(1/120)-1)*100</f>
        <v>0.51400216510837371</v>
      </c>
      <c r="C16" cm="1">
        <f t="array" ref="C16">(PRODUCT(1+sp500_monthly!C17:C136)^(1/120)-1)*100</f>
        <v>0.12935800728299807</v>
      </c>
      <c r="D16" cm="1">
        <f t="array" ref="D16">(PRODUCT(1+sp500_monthly!D17:D136)^(1/120)-1)*100</f>
        <v>0.72772999337982203</v>
      </c>
      <c r="E16" cm="1">
        <f t="array" ref="E16">(PRODUCT(1+sp500_monthly!E17:E136)^(1/120)-1)*100</f>
        <v>0.40258832533373035</v>
      </c>
      <c r="F16" cm="1">
        <f t="array" ref="F16">(PRODUCT(1+sp500_monthly!K17:K136)^(1/120)-1)*100</f>
        <v>0.22341611050993304</v>
      </c>
      <c r="G16" cm="1">
        <f t="array" ref="G16">(PRODUCT(1+sp500_monthly!L17:L136)^(1/120)-1)</f>
        <v>0.12485011385972467</v>
      </c>
      <c r="H16" cm="1">
        <f t="array" ref="H16">(PRODUCT(1+sp500_monthly!N17:N136)^(1/120)-1)*100</f>
        <v>0</v>
      </c>
      <c r="I16" cm="1">
        <f t="array" ref="I16">(PRODUCT(1+sp500_monthly!O17:O136)^(1/120)-1)*100</f>
        <v>0</v>
      </c>
    </row>
    <row r="17" spans="1:9" x14ac:dyDescent="0.35">
      <c r="A17" s="1">
        <v>9952</v>
      </c>
      <c r="B17" cm="1">
        <f t="array" ref="B17">(PRODUCT(1+sp500_monthly!B18:B137)^(1/120)-1)*100</f>
        <v>0.50494417787145807</v>
      </c>
      <c r="C17" cm="1">
        <f t="array" ref="C17">(PRODUCT(1+sp500_monthly!C18:C137)^(1/120)-1)*100</f>
        <v>0.12195858547092708</v>
      </c>
      <c r="D17" cm="1">
        <f t="array" ref="D17">(PRODUCT(1+sp500_monthly!D18:D137)^(1/120)-1)*100</f>
        <v>0.74860739115121255</v>
      </c>
      <c r="E17" cm="1">
        <f t="array" ref="E17">(PRODUCT(1+sp500_monthly!E18:E137)^(1/120)-1)*100</f>
        <v>0.42570191615527442</v>
      </c>
      <c r="F17" cm="1">
        <f t="array" ref="F17">(PRODUCT(1+sp500_monthly!K18:K137)^(1/120)-1)*100</f>
        <v>0.21011786577185276</v>
      </c>
      <c r="G17" cm="1">
        <f t="array" ref="G17">(PRODUCT(1+sp500_monthly!L18:L137)^(1/120)-1)</f>
        <v>0.12248653521557595</v>
      </c>
      <c r="H17" cm="1">
        <f t="array" ref="H17">(PRODUCT(1+sp500_monthly!N18:N137)^(1/120)-1)*100</f>
        <v>0</v>
      </c>
      <c r="I17" cm="1">
        <f t="array" ref="I17">(PRODUCT(1+sp500_monthly!O18:O137)^(1/120)-1)*100</f>
        <v>0</v>
      </c>
    </row>
    <row r="18" spans="1:9" x14ac:dyDescent="0.35">
      <c r="A18" s="1">
        <v>9982</v>
      </c>
      <c r="B18" cm="1">
        <f t="array" ref="B18">(PRODUCT(1+sp500_monthly!B19:B138)^(1/120)-1)*100</f>
        <v>0.42371794594870948</v>
      </c>
      <c r="C18" cm="1">
        <f t="array" ref="C18">(PRODUCT(1+sp500_monthly!C19:C138)^(1/120)-1)*100</f>
        <v>4.201773909073836E-2</v>
      </c>
      <c r="D18" cm="1">
        <f t="array" ref="D18">(PRODUCT(1+sp500_monthly!D19:D138)^(1/120)-1)*100</f>
        <v>0.66567367992071969</v>
      </c>
      <c r="E18" cm="1">
        <f t="array" ref="E18">(PRODUCT(1+sp500_monthly!E19:E138)^(1/120)-1)*100</f>
        <v>0.34449449449762692</v>
      </c>
      <c r="F18" cm="1">
        <f t="array" ref="F18">(PRODUCT(1+sp500_monthly!K19:K138)^(1/120)-1)*100</f>
        <v>0.12339817596402902</v>
      </c>
      <c r="G18" cm="1">
        <f t="array" ref="G18">(PRODUCT(1+sp500_monthly!L19:L138)^(1/120)-1)</f>
        <v>0.12067719274377575</v>
      </c>
      <c r="H18" cm="1">
        <f t="array" ref="H18">(PRODUCT(1+sp500_monthly!N19:N138)^(1/120)-1)*100</f>
        <v>0</v>
      </c>
      <c r="I18" cm="1">
        <f t="array" ref="I18">(PRODUCT(1+sp500_monthly!O19:O138)^(1/120)-1)*100</f>
        <v>0</v>
      </c>
    </row>
    <row r="19" spans="1:9" x14ac:dyDescent="0.35">
      <c r="A19" s="1">
        <v>10013</v>
      </c>
      <c r="B19" cm="1">
        <f t="array" ref="B19">(PRODUCT(1+sp500_monthly!B20:B139)^(1/120)-1)*100</f>
        <v>0.36833150142441262</v>
      </c>
      <c r="C19" cm="1">
        <f t="array" ref="C19">(PRODUCT(1+sp500_monthly!C20:C139)^(1/120)-1)*100</f>
        <v>-1.4057050967730689E-2</v>
      </c>
      <c r="D19" cm="1">
        <f t="array" ref="D19">(PRODUCT(1+sp500_monthly!D20:D139)^(1/120)-1)*100</f>
        <v>0.58995560187782292</v>
      </c>
      <c r="E19" cm="1">
        <f t="array" ref="E19">(PRODUCT(1+sp500_monthly!E20:E139)^(1/120)-1)*100</f>
        <v>0.26854830645637318</v>
      </c>
      <c r="F19" cm="1">
        <f t="array" ref="F19">(PRODUCT(1+sp500_monthly!K20:K139)^(1/120)-1)*100</f>
        <v>7.2259888391656979E-2</v>
      </c>
      <c r="G19" cm="1">
        <f t="array" ref="G19">(PRODUCT(1+sp500_monthly!L20:L139)^(1/120)-1)</f>
        <v>0.11877277095970484</v>
      </c>
      <c r="H19" cm="1">
        <f t="array" ref="H19">(PRODUCT(1+sp500_monthly!N20:N139)^(1/120)-1)*100</f>
        <v>0</v>
      </c>
      <c r="I19" cm="1">
        <f t="array" ref="I19">(PRODUCT(1+sp500_monthly!O20:O139)^(1/120)-1)*100</f>
        <v>0</v>
      </c>
    </row>
    <row r="20" spans="1:9" x14ac:dyDescent="0.35">
      <c r="A20" s="1">
        <v>10043</v>
      </c>
      <c r="B20" cm="1">
        <f t="array" ref="B20">(PRODUCT(1+sp500_monthly!B21:B140)^(1/120)-1)*100</f>
        <v>0.33929232250888841</v>
      </c>
      <c r="C20" cm="1">
        <f t="array" ref="C20">(PRODUCT(1+sp500_monthly!C21:C140)^(1/120)-1)*100</f>
        <v>-4.2009895078087833E-2</v>
      </c>
      <c r="D20" cm="1">
        <f t="array" ref="D20">(PRODUCT(1+sp500_monthly!D21:D140)^(1/120)-1)*100</f>
        <v>0.54599236483476865</v>
      </c>
      <c r="E20" cm="1">
        <f t="array" ref="E20">(PRODUCT(1+sp500_monthly!E21:E140)^(1/120)-1)*100</f>
        <v>0.2260739584865501</v>
      </c>
      <c r="F20" cm="1">
        <f t="array" ref="F20">(PRODUCT(1+sp500_monthly!K21:K140)^(1/120)-1)*100</f>
        <v>3.4817579987267422E-2</v>
      </c>
      <c r="G20" cm="1">
        <f t="array" ref="G20">(PRODUCT(1+sp500_monthly!L21:L140)^(1/120)-1)</f>
        <v>0.11689524883990976</v>
      </c>
      <c r="H20" cm="1">
        <f t="array" ref="H20">(PRODUCT(1+sp500_monthly!N21:N140)^(1/120)-1)*100</f>
        <v>0</v>
      </c>
      <c r="I20" cm="1">
        <f t="array" ref="I20">(PRODUCT(1+sp500_monthly!O21:O140)^(1/120)-1)*100</f>
        <v>0</v>
      </c>
    </row>
    <row r="21" spans="1:9" x14ac:dyDescent="0.35">
      <c r="A21" s="1">
        <v>10073</v>
      </c>
      <c r="B21" cm="1">
        <f t="array" ref="B21">(PRODUCT(1+sp500_monthly!B22:B141)^(1/120)-1)*100</f>
        <v>0.35043021752549919</v>
      </c>
      <c r="C21" cm="1">
        <f t="array" ref="C21">(PRODUCT(1+sp500_monthly!C22:C141)^(1/120)-1)*100</f>
        <v>-2.9531516523029211E-2</v>
      </c>
      <c r="D21" cm="1">
        <f t="array" ref="D21">(PRODUCT(1+sp500_monthly!D22:D141)^(1/120)-1)*100</f>
        <v>0.58220361005569821</v>
      </c>
      <c r="E21" cm="1">
        <f t="array" ref="E21">(PRODUCT(1+sp500_monthly!E22:E141)^(1/120)-1)*100</f>
        <v>0.26371935647555578</v>
      </c>
      <c r="F21" cm="1">
        <f t="array" ref="F21">(PRODUCT(1+sp500_monthly!K22:K141)^(1/120)-1)*100</f>
        <v>6.3745432238349053E-2</v>
      </c>
      <c r="G21" cm="1">
        <f t="array" ref="G21">(PRODUCT(1+sp500_monthly!L22:L141)^(1/120)-1)</f>
        <v>0.11473052173123399</v>
      </c>
      <c r="H21" cm="1">
        <f t="array" ref="H21">(PRODUCT(1+sp500_monthly!N22:N141)^(1/120)-1)*100</f>
        <v>0</v>
      </c>
      <c r="I21" cm="1">
        <f t="array" ref="I21">(PRODUCT(1+sp500_monthly!O22:O141)^(1/120)-1)*100</f>
        <v>0</v>
      </c>
    </row>
    <row r="22" spans="1:9" x14ac:dyDescent="0.35">
      <c r="A22" s="1">
        <v>10105</v>
      </c>
      <c r="B22" cm="1">
        <f t="array" ref="B22">(PRODUCT(1+sp500_monthly!B23:B142)^(1/120)-1)*100</f>
        <v>0.27910955143393146</v>
      </c>
      <c r="C22" cm="1">
        <f t="array" ref="C22">(PRODUCT(1+sp500_monthly!C23:C142)^(1/120)-1)*100</f>
        <v>-0.10128405917296801</v>
      </c>
      <c r="D22" cm="1">
        <f t="array" ref="D22">(PRODUCT(1+sp500_monthly!D23:D142)^(1/120)-1)*100</f>
        <v>0.51038726884145014</v>
      </c>
      <c r="E22" cm="1">
        <f t="array" ref="E22">(PRODUCT(1+sp500_monthly!E23:E142)^(1/120)-1)*100</f>
        <v>0.19137617353319758</v>
      </c>
      <c r="F22" cm="1">
        <f t="array" ref="F22">(PRODUCT(1+sp500_monthly!K23:K142)^(1/120)-1)*100</f>
        <v>-2.0014187806527417E-2</v>
      </c>
      <c r="G22" cm="1">
        <f t="array" ref="G22">(PRODUCT(1+sp500_monthly!L23:L142)^(1/120)-1)</f>
        <v>0.11262328370690722</v>
      </c>
      <c r="H22" cm="1">
        <f t="array" ref="H22">(PRODUCT(1+sp500_monthly!N23:N142)^(1/120)-1)*100</f>
        <v>0</v>
      </c>
      <c r="I22" cm="1">
        <f t="array" ref="I22">(PRODUCT(1+sp500_monthly!O23:O142)^(1/120)-1)*100</f>
        <v>0</v>
      </c>
    </row>
    <row r="23" spans="1:9" x14ac:dyDescent="0.35">
      <c r="A23" s="1">
        <v>10135</v>
      </c>
      <c r="B23" cm="1">
        <f t="array" ref="B23">(PRODUCT(1+sp500_monthly!B24:B143)^(1/120)-1)*100</f>
        <v>0.11042507773284527</v>
      </c>
      <c r="C23" cm="1">
        <f t="array" ref="C23">(PRODUCT(1+sp500_monthly!C24:C143)^(1/120)-1)*100</f>
        <v>-0.27017187328044479</v>
      </c>
      <c r="D23" cm="1">
        <f t="array" ref="D23">(PRODUCT(1+sp500_monthly!D24:D143)^(1/120)-1)*100</f>
        <v>0.30316998391377581</v>
      </c>
      <c r="E23" cm="1">
        <f t="array" ref="E23">(PRODUCT(1+sp500_monthly!E24:E143)^(1/120)-1)*100</f>
        <v>-1.4859217545204473E-2</v>
      </c>
      <c r="F23" cm="1">
        <f t="array" ref="F23">(PRODUCT(1+sp500_monthly!K24:K143)^(1/120)-1)*100</f>
        <v>-0.18287088114445904</v>
      </c>
      <c r="G23" cm="1">
        <f t="array" ref="G23">(PRODUCT(1+sp500_monthly!L24:L143)^(1/120)-1)</f>
        <v>0.11122041243729641</v>
      </c>
      <c r="H23" cm="1">
        <f t="array" ref="H23">(PRODUCT(1+sp500_monthly!N24:N143)^(1/120)-1)*100</f>
        <v>0</v>
      </c>
      <c r="I23" cm="1">
        <f t="array" ref="I23">(PRODUCT(1+sp500_monthly!O24:O143)^(1/120)-1)*100</f>
        <v>0</v>
      </c>
    </row>
    <row r="24" spans="1:9" x14ac:dyDescent="0.35">
      <c r="A24" s="1">
        <v>10166</v>
      </c>
      <c r="B24" cm="1">
        <f t="array" ref="B24">(PRODUCT(1+sp500_monthly!B25:B144)^(1/120)-1)*100</f>
        <v>6.0003138091691E-2</v>
      </c>
      <c r="C24" cm="1">
        <f t="array" ref="C24">(PRODUCT(1+sp500_monthly!C25:C144)^(1/120)-1)*100</f>
        <v>-0.31942980627550632</v>
      </c>
      <c r="D24" cm="1">
        <f t="array" ref="D24">(PRODUCT(1+sp500_monthly!D25:D144)^(1/120)-1)*100</f>
        <v>0.24304243947506077</v>
      </c>
      <c r="E24" cm="1">
        <f t="array" ref="E24">(PRODUCT(1+sp500_monthly!E25:E144)^(1/120)-1)*100</f>
        <v>-7.4136851209694044E-2</v>
      </c>
      <c r="F24" cm="1">
        <f t="array" ref="F24">(PRODUCT(1+sp500_monthly!K25:K144)^(1/120)-1)*100</f>
        <v>-0.22673655249897395</v>
      </c>
      <c r="G24" cm="1">
        <f t="array" ref="G24">(PRODUCT(1+sp500_monthly!L25:L144)^(1/120)-1)</f>
        <v>0.10933903534601663</v>
      </c>
      <c r="H24" cm="1">
        <f t="array" ref="H24">(PRODUCT(1+sp500_monthly!N25:N144)^(1/120)-1)*100</f>
        <v>0</v>
      </c>
      <c r="I24" cm="1">
        <f t="array" ref="I24">(PRODUCT(1+sp500_monthly!O25:O144)^(1/120)-1)*100</f>
        <v>0</v>
      </c>
    </row>
    <row r="25" spans="1:9" x14ac:dyDescent="0.35">
      <c r="A25" s="1">
        <v>10196</v>
      </c>
      <c r="B25" cm="1">
        <f t="array" ref="B25">(PRODUCT(1+sp500_monthly!B26:B145)^(1/120)-1)*100</f>
        <v>-7.0176275661992804E-2</v>
      </c>
      <c r="C25" cm="1">
        <f t="array" ref="C25">(PRODUCT(1+sp500_monthly!C26:C145)^(1/120)-1)*100</f>
        <v>-0.45882847010858541</v>
      </c>
      <c r="D25" cm="1">
        <f t="array" ref="D25">(PRODUCT(1+sp500_monthly!D26:D145)^(1/120)-1)*100</f>
        <v>9.8074506270462436E-2</v>
      </c>
      <c r="E25" cm="1">
        <f t="array" ref="E25">(PRODUCT(1+sp500_monthly!E26:E145)^(1/120)-1)*100</f>
        <v>-0.22595754039024252</v>
      </c>
      <c r="F25" cm="1">
        <f t="array" ref="F25">(PRODUCT(1+sp500_monthly!K26:K145)^(1/120)-1)*100</f>
        <v>-0.36980699441903075</v>
      </c>
      <c r="G25" cm="1">
        <f t="array" ref="G25">(PRODUCT(1+sp500_monthly!L26:L145)^(1/120)-1)</f>
        <v>0.10776103558569838</v>
      </c>
      <c r="H25" cm="1">
        <f t="array" ref="H25">(PRODUCT(1+sp500_monthly!N26:N145)^(1/120)-1)*100</f>
        <v>0</v>
      </c>
      <c r="I25" cm="1">
        <f t="array" ref="I25">(PRODUCT(1+sp500_monthly!O26:O145)^(1/120)-1)*100</f>
        <v>0</v>
      </c>
    </row>
    <row r="26" spans="1:9" x14ac:dyDescent="0.35">
      <c r="A26" s="1">
        <v>10227</v>
      </c>
      <c r="B26" cm="1">
        <f t="array" ref="B26">(PRODUCT(1+sp500_monthly!B27:B146)^(1/120)-1)*100</f>
        <v>-0.12514132870289352</v>
      </c>
      <c r="C26" cm="1">
        <f t="array" ref="C26">(PRODUCT(1+sp500_monthly!C27:C146)^(1/120)-1)*100</f>
        <v>-0.51586291196393796</v>
      </c>
      <c r="D26" cm="1">
        <f t="array" ref="D26">(PRODUCT(1+sp500_monthly!D27:D146)^(1/120)-1)*100</f>
        <v>1.6354571403809359E-4</v>
      </c>
      <c r="E26" cm="1">
        <f t="array" ref="E26">(PRODUCT(1+sp500_monthly!E27:E146)^(1/120)-1)*100</f>
        <v>-0.32567427902825408</v>
      </c>
      <c r="F26" cm="1">
        <f t="array" ref="F26">(PRODUCT(1+sp500_monthly!K27:K146)^(1/120)-1)*100</f>
        <v>-0.42839113986586908</v>
      </c>
      <c r="G26" cm="1">
        <f t="array" ref="G26">(PRODUCT(1+sp500_monthly!L27:L146)^(1/120)-1)</f>
        <v>0.10592689539677935</v>
      </c>
      <c r="H26" cm="1">
        <f t="array" ref="H26">(PRODUCT(1+sp500_monthly!N27:N146)^(1/120)-1)*100</f>
        <v>0</v>
      </c>
      <c r="I26" cm="1">
        <f t="array" ref="I26">(PRODUCT(1+sp500_monthly!O27:O146)^(1/120)-1)*100</f>
        <v>0</v>
      </c>
    </row>
    <row r="27" spans="1:9" x14ac:dyDescent="0.35">
      <c r="A27" s="1">
        <v>10258</v>
      </c>
      <c r="B27" cm="1">
        <f t="array" ref="B27">(PRODUCT(1+sp500_monthly!B28:B147)^(1/120)-1)*100</f>
        <v>-0.10907887837385832</v>
      </c>
      <c r="C27" cm="1">
        <f t="array" ref="C27">(PRODUCT(1+sp500_monthly!C28:C147)^(1/120)-1)*100</f>
        <v>-0.49905076786536107</v>
      </c>
      <c r="D27" cm="1">
        <f t="array" ref="D27">(PRODUCT(1+sp500_monthly!D28:D147)^(1/120)-1)*100</f>
        <v>-5.5024809583303913E-3</v>
      </c>
      <c r="E27" cm="1">
        <f t="array" ref="E27">(PRODUCT(1+sp500_monthly!E28:E147)^(1/120)-1)*100</f>
        <v>-0.33062186092687185</v>
      </c>
      <c r="F27" cm="1">
        <f t="array" ref="F27">(PRODUCT(1+sp500_monthly!K28:K147)^(1/120)-1)*100</f>
        <v>-0.41321215515670584</v>
      </c>
      <c r="G27" cm="1">
        <f t="array" ref="G27">(PRODUCT(1+sp500_monthly!L28:L147)^(1/120)-1)</f>
        <v>0.10387230248587365</v>
      </c>
      <c r="H27" cm="1">
        <f t="array" ref="H27">(PRODUCT(1+sp500_monthly!N28:N147)^(1/120)-1)*100</f>
        <v>0</v>
      </c>
      <c r="I27" cm="1">
        <f t="array" ref="I27">(PRODUCT(1+sp500_monthly!O28:O147)^(1/120)-1)*100</f>
        <v>0</v>
      </c>
    </row>
    <row r="28" spans="1:9" x14ac:dyDescent="0.35">
      <c r="A28" s="1">
        <v>10287</v>
      </c>
      <c r="B28" cm="1">
        <f t="array" ref="B28">(PRODUCT(1+sp500_monthly!B29:B148)^(1/120)-1)*100</f>
        <v>-4.5533252748142239E-2</v>
      </c>
      <c r="C28" cm="1">
        <f t="array" ref="C28">(PRODUCT(1+sp500_monthly!C29:C148)^(1/120)-1)*100</f>
        <v>-0.43588495236603908</v>
      </c>
      <c r="D28" cm="1">
        <f t="array" ref="D28">(PRODUCT(1+sp500_monthly!D29:D148)^(1/120)-1)*100</f>
        <v>8.0700479008544157E-2</v>
      </c>
      <c r="E28" cm="1">
        <f t="array" ref="E28">(PRODUCT(1+sp500_monthly!E29:E148)^(1/120)-1)*100</f>
        <v>-0.24510909762923694</v>
      </c>
      <c r="F28" cm="1">
        <f t="array" ref="F28">(PRODUCT(1+sp500_monthly!K29:K148)^(1/120)-1)*100</f>
        <v>-0.34943244285248198</v>
      </c>
      <c r="G28" cm="1">
        <f t="array" ref="G28">(PRODUCT(1+sp500_monthly!L29:L148)^(1/120)-1)</f>
        <v>0.10125207439700978</v>
      </c>
      <c r="H28" cm="1">
        <f t="array" ref="H28">(PRODUCT(1+sp500_monthly!N29:N148)^(1/120)-1)*100</f>
        <v>0</v>
      </c>
      <c r="I28" cm="1">
        <f t="array" ref="I28">(PRODUCT(1+sp500_monthly!O29:O148)^(1/120)-1)*100</f>
        <v>0</v>
      </c>
    </row>
    <row r="29" spans="1:9" x14ac:dyDescent="0.35">
      <c r="A29" s="1">
        <v>10318</v>
      </c>
      <c r="B29" cm="1">
        <f t="array" ref="B29">(PRODUCT(1+sp500_monthly!B30:B149)^(1/120)-1)*100</f>
        <v>-0.37292770201110548</v>
      </c>
      <c r="C29" cm="1">
        <f t="array" ref="C29">(PRODUCT(1+sp500_monthly!C30:C149)^(1/120)-1)*100</f>
        <v>-0.76320279726193041</v>
      </c>
      <c r="D29" cm="1">
        <f t="array" ref="D29">(PRODUCT(1+sp500_monthly!D30:D149)^(1/120)-1)*100</f>
        <v>-0.28492701743485505</v>
      </c>
      <c r="E29" cm="1">
        <f t="array" ref="E29">(PRODUCT(1+sp500_monthly!E30:E149)^(1/120)-1)*100</f>
        <v>-0.6102294309481282</v>
      </c>
      <c r="F29" cm="1">
        <f t="array" ref="F29">(PRODUCT(1+sp500_monthly!K30:K149)^(1/120)-1)*100</f>
        <v>-0.67371166269485361</v>
      </c>
      <c r="G29" cm="1">
        <f t="array" ref="G29">(PRODUCT(1+sp500_monthly!L30:L149)^(1/120)-1)</f>
        <v>9.8825641255586572E-2</v>
      </c>
      <c r="H29" cm="1">
        <f t="array" ref="H29">(PRODUCT(1+sp500_monthly!N30:N149)^(1/120)-1)*100</f>
        <v>0</v>
      </c>
      <c r="I29" cm="1">
        <f t="array" ref="I29">(PRODUCT(1+sp500_monthly!O30:O149)^(1/120)-1)*100</f>
        <v>0</v>
      </c>
    </row>
    <row r="30" spans="1:9" x14ac:dyDescent="0.35">
      <c r="A30" s="1">
        <v>10348</v>
      </c>
      <c r="B30" cm="1">
        <f t="array" ref="B30">(PRODUCT(1+sp500_monthly!B31:B150)^(1/120)-1)*100</f>
        <v>-0.29051091498850656</v>
      </c>
      <c r="C30" cm="1">
        <f t="array" ref="C30">(PRODUCT(1+sp500_monthly!C31:C150)^(1/120)-1)*100</f>
        <v>-0.68073252780733728</v>
      </c>
      <c r="D30" cm="1">
        <f t="array" ref="D30">(PRODUCT(1+sp500_monthly!D31:D150)^(1/120)-1)*100</f>
        <v>-0.1734098779573312</v>
      </c>
      <c r="E30" cm="1">
        <f t="array" ref="E30">(PRODUCT(1+sp500_monthly!E31:E150)^(1/120)-1)*100</f>
        <v>-0.49832152119503315</v>
      </c>
      <c r="F30" cm="1">
        <f t="array" ref="F30">(PRODUCT(1+sp500_monthly!K31:K150)^(1/120)-1)*100</f>
        <v>-0.5907698670163497</v>
      </c>
      <c r="G30" cm="1">
        <f t="array" ref="G30">(PRODUCT(1+sp500_monthly!L31:L150)^(1/120)-1)</f>
        <v>9.7097262463654355E-2</v>
      </c>
      <c r="H30" cm="1">
        <f t="array" ref="H30">(PRODUCT(1+sp500_monthly!N31:N150)^(1/120)-1)*100</f>
        <v>0</v>
      </c>
      <c r="I30" cm="1">
        <f t="array" ref="I30">(PRODUCT(1+sp500_monthly!O31:O150)^(1/120)-1)*100</f>
        <v>0</v>
      </c>
    </row>
    <row r="31" spans="1:9" x14ac:dyDescent="0.35">
      <c r="A31" s="1">
        <v>10379</v>
      </c>
      <c r="B31" cm="1">
        <f t="array" ref="B31">(PRODUCT(1+sp500_monthly!B32:B151)^(1/120)-1)*100</f>
        <v>-0.33457570714402474</v>
      </c>
      <c r="C31" cm="1">
        <f t="array" ref="C31">(PRODUCT(1+sp500_monthly!C32:C151)^(1/120)-1)*100</f>
        <v>-0.72584958920700604</v>
      </c>
      <c r="D31" cm="1">
        <f t="array" ref="D31">(PRODUCT(1+sp500_monthly!D32:D151)^(1/120)-1)*100</f>
        <v>-0.22339603479646364</v>
      </c>
      <c r="E31" cm="1">
        <f t="array" ref="E31">(PRODUCT(1+sp500_monthly!E32:E151)^(1/120)-1)*100</f>
        <v>-0.54861718911261015</v>
      </c>
      <c r="F31" cm="1">
        <f t="array" ref="F31">(PRODUCT(1+sp500_monthly!K32:K151)^(1/120)-1)*100</f>
        <v>-0.63874078069403595</v>
      </c>
      <c r="G31" cm="1">
        <f t="array" ref="G31">(PRODUCT(1+sp500_monthly!L32:L151)^(1/120)-1)</f>
        <v>9.4561954617598865E-2</v>
      </c>
      <c r="H31" cm="1">
        <f t="array" ref="H31">(PRODUCT(1+sp500_monthly!N32:N151)^(1/120)-1)*100</f>
        <v>0</v>
      </c>
      <c r="I31" cm="1">
        <f t="array" ref="I31">(PRODUCT(1+sp500_monthly!O32:O151)^(1/120)-1)*100</f>
        <v>0</v>
      </c>
    </row>
    <row r="32" spans="1:9" x14ac:dyDescent="0.35">
      <c r="A32" s="1">
        <v>10409</v>
      </c>
      <c r="B32" cm="1">
        <f t="array" ref="B32">(PRODUCT(1+sp500_monthly!B33:B152)^(1/120)-1)*100</f>
        <v>-0.11766079348781711</v>
      </c>
      <c r="C32" cm="1">
        <f t="array" ref="C32">(PRODUCT(1+sp500_monthly!C33:C152)^(1/120)-1)*100</f>
        <v>-0.50879679381178322</v>
      </c>
      <c r="D32" cm="1">
        <f t="array" ref="D32">(PRODUCT(1+sp500_monthly!D33:D152)^(1/120)-1)*100</f>
        <v>3.9785943572301363E-2</v>
      </c>
      <c r="E32" cm="1">
        <f t="array" ref="E32">(PRODUCT(1+sp500_monthly!E33:E152)^(1/120)-1)*100</f>
        <v>-0.28419548180033116</v>
      </c>
      <c r="F32" cm="1">
        <f t="array" ref="F32">(PRODUCT(1+sp500_monthly!K33:K152)^(1/120)-1)*100</f>
        <v>-0.42147367637263011</v>
      </c>
      <c r="G32" cm="1">
        <f t="array" ref="G32">(PRODUCT(1+sp500_monthly!L33:L152)^(1/120)-1)</f>
        <v>9.2101711781199747E-2</v>
      </c>
      <c r="H32" cm="1">
        <f t="array" ref="H32">(PRODUCT(1+sp500_monthly!N33:N152)^(1/120)-1)*100</f>
        <v>0</v>
      </c>
      <c r="I32" cm="1">
        <f t="array" ref="I32">(PRODUCT(1+sp500_monthly!O33:O152)^(1/120)-1)*100</f>
        <v>0</v>
      </c>
    </row>
    <row r="33" spans="1:9" x14ac:dyDescent="0.35">
      <c r="A33" s="1">
        <v>10440</v>
      </c>
      <c r="B33" cm="1">
        <f t="array" ref="B33">(PRODUCT(1+sp500_monthly!B34:B153)^(1/120)-1)*100</f>
        <v>-6.60326359832486E-2</v>
      </c>
      <c r="C33" cm="1">
        <f t="array" ref="C33">(PRODUCT(1+sp500_monthly!C34:C153)^(1/120)-1)*100</f>
        <v>-0.45652789831123197</v>
      </c>
      <c r="D33" cm="1">
        <f t="array" ref="D33">(PRODUCT(1+sp500_monthly!D34:D153)^(1/120)-1)*100</f>
        <v>0.10592832665712315</v>
      </c>
      <c r="E33" cm="1">
        <f t="array" ref="E33">(PRODUCT(1+sp500_monthly!E34:E153)^(1/120)-1)*100</f>
        <v>-0.21705241247981233</v>
      </c>
      <c r="F33" cm="1">
        <f t="array" ref="F33">(PRODUCT(1+sp500_monthly!K34:K153)^(1/120)-1)*100</f>
        <v>-0.37356833751420737</v>
      </c>
      <c r="G33" cm="1">
        <f t="array" ref="G33">(PRODUCT(1+sp500_monthly!L34:L153)^(1/120)-1)</f>
        <v>8.9486696889290673E-2</v>
      </c>
      <c r="H33" cm="1">
        <f t="array" ref="H33">(PRODUCT(1+sp500_monthly!N34:N153)^(1/120)-1)*100</f>
        <v>0</v>
      </c>
      <c r="I33" cm="1">
        <f t="array" ref="I33">(PRODUCT(1+sp500_monthly!O34:O153)^(1/120)-1)*100</f>
        <v>0</v>
      </c>
    </row>
    <row r="34" spans="1:9" x14ac:dyDescent="0.35">
      <c r="A34" s="1">
        <v>10471</v>
      </c>
      <c r="B34" cm="1">
        <f t="array" ref="B34">(PRODUCT(1+sp500_monthly!B35:B154)^(1/120)-1)*100</f>
        <v>-0.14438004907268986</v>
      </c>
      <c r="C34" cm="1">
        <f t="array" ref="C34">(PRODUCT(1+sp500_monthly!C35:C154)^(1/120)-1)*100</f>
        <v>-0.53394684939502834</v>
      </c>
      <c r="D34" cm="1">
        <f t="array" ref="D34">(PRODUCT(1+sp500_monthly!D35:D154)^(1/120)-1)*100</f>
        <v>8.0215292808105687E-5</v>
      </c>
      <c r="E34" cm="1">
        <f t="array" ref="E34">(PRODUCT(1+sp500_monthly!E35:E154)^(1/120)-1)*100</f>
        <v>-0.32223694125469438</v>
      </c>
      <c r="F34" cm="1">
        <f t="array" ref="F34">(PRODUCT(1+sp500_monthly!K35:K154)^(1/120)-1)*100</f>
        <v>-0.45597194883153502</v>
      </c>
      <c r="G34" cm="1">
        <f t="array" ref="G34">(PRODUCT(1+sp500_monthly!L35:L154)^(1/120)-1)</f>
        <v>8.6968976478072335E-2</v>
      </c>
      <c r="H34" cm="1">
        <f t="array" ref="H34">(PRODUCT(1+sp500_monthly!N35:N154)^(1/120)-1)*100</f>
        <v>0</v>
      </c>
      <c r="I34" cm="1">
        <f t="array" ref="I34">(PRODUCT(1+sp500_monthly!O35:O154)^(1/120)-1)*100</f>
        <v>0</v>
      </c>
    </row>
    <row r="35" spans="1:9" x14ac:dyDescent="0.35">
      <c r="A35" s="1">
        <v>10500</v>
      </c>
      <c r="B35" cm="1">
        <f t="array" ref="B35">(PRODUCT(1+sp500_monthly!B36:B155)^(1/120)-1)*100</f>
        <v>-0.1488496163280506</v>
      </c>
      <c r="C35" cm="1">
        <f t="array" ref="C35">(PRODUCT(1+sp500_monthly!C36:C155)^(1/120)-1)*100</f>
        <v>-0.53889443955287275</v>
      </c>
      <c r="D35" cm="1">
        <f t="array" ref="D35">(PRODUCT(1+sp500_monthly!D36:D155)^(1/120)-1)*100</f>
        <v>-2.3287402011129554E-2</v>
      </c>
      <c r="E35" cm="1">
        <f t="array" ref="E35">(PRODUCT(1+sp500_monthly!E36:E155)^(1/120)-1)*100</f>
        <v>-0.34543813235017318</v>
      </c>
      <c r="F35" cm="1">
        <f t="array" ref="F35">(PRODUCT(1+sp500_monthly!K36:K155)^(1/120)-1)*100</f>
        <v>-0.46332200187040318</v>
      </c>
      <c r="G35" cm="1">
        <f t="array" ref="G35">(PRODUCT(1+sp500_monthly!L36:L155)^(1/120)-1)</f>
        <v>8.4985129776560253E-2</v>
      </c>
      <c r="H35" cm="1">
        <f t="array" ref="H35">(PRODUCT(1+sp500_monthly!N36:N155)^(1/120)-1)*100</f>
        <v>0</v>
      </c>
      <c r="I35" cm="1">
        <f t="array" ref="I35">(PRODUCT(1+sp500_monthly!O36:O155)^(1/120)-1)*100</f>
        <v>0</v>
      </c>
    </row>
    <row r="36" spans="1:9" x14ac:dyDescent="0.35">
      <c r="A36" s="1">
        <v>10532</v>
      </c>
      <c r="B36" cm="1">
        <f t="array" ref="B36">(PRODUCT(1+sp500_monthly!B37:B156)^(1/120)-1)*100</f>
        <v>-9.7035481868534834E-2</v>
      </c>
      <c r="C36" cm="1">
        <f t="array" ref="C36">(PRODUCT(1+sp500_monthly!C37:C156)^(1/120)-1)*100</f>
        <v>-0.4864065178868282</v>
      </c>
      <c r="D36" cm="1">
        <f t="array" ref="D36">(PRODUCT(1+sp500_monthly!D37:D156)^(1/120)-1)*100</f>
        <v>8.8300731017176837E-2</v>
      </c>
      <c r="E36" cm="1">
        <f t="array" ref="E36">(PRODUCT(1+sp500_monthly!E37:E156)^(1/120)-1)*100</f>
        <v>-0.23281852360216293</v>
      </c>
      <c r="F36" cm="1">
        <f t="array" ref="F36">(PRODUCT(1+sp500_monthly!K37:K156)^(1/120)-1)*100</f>
        <v>-0.41451211581382541</v>
      </c>
      <c r="G36" cm="1">
        <f t="array" ref="G36">(PRODUCT(1+sp500_monthly!L37:L156)^(1/120)-1)</f>
        <v>8.1972704823716214E-2</v>
      </c>
      <c r="H36" cm="1">
        <f t="array" ref="H36">(PRODUCT(1+sp500_monthly!N37:N156)^(1/120)-1)*100</f>
        <v>0</v>
      </c>
      <c r="I36" cm="1">
        <f t="array" ref="I36">(PRODUCT(1+sp500_monthly!O37:O156)^(1/120)-1)*100</f>
        <v>0</v>
      </c>
    </row>
    <row r="37" spans="1:9" x14ac:dyDescent="0.35">
      <c r="A37" s="1">
        <v>10562</v>
      </c>
      <c r="B37" cm="1">
        <f t="array" ref="B37">(PRODUCT(1+sp500_monthly!B38:B157)^(1/120)-1)*100</f>
        <v>-0.21563138696685247</v>
      </c>
      <c r="C37" cm="1">
        <f t="array" ref="C37">(PRODUCT(1+sp500_monthly!C38:C157)^(1/120)-1)*100</f>
        <v>-0.60551508656738751</v>
      </c>
      <c r="D37" cm="1">
        <f t="array" ref="D37">(PRODUCT(1+sp500_monthly!D38:D157)^(1/120)-1)*100</f>
        <v>-5.1299663947523833E-2</v>
      </c>
      <c r="E37" cm="1">
        <f t="array" ref="E37">(PRODUCT(1+sp500_monthly!E38:E157)^(1/120)-1)*100</f>
        <v>-0.37306195928592523</v>
      </c>
      <c r="F37" cm="1">
        <f t="array" ref="F37">(PRODUCT(1+sp500_monthly!K38:K157)^(1/120)-1)*100</f>
        <v>-0.53663060000460616</v>
      </c>
      <c r="G37" cm="1">
        <f t="array" ref="G37">(PRODUCT(1+sp500_monthly!L38:L157)^(1/120)-1)</f>
        <v>7.8516295330058439E-2</v>
      </c>
      <c r="H37" cm="1">
        <f t="array" ref="H37">(PRODUCT(1+sp500_monthly!N38:N157)^(1/120)-1)*100</f>
        <v>0</v>
      </c>
      <c r="I37" cm="1">
        <f t="array" ref="I37">(PRODUCT(1+sp500_monthly!O38:O157)^(1/120)-1)*100</f>
        <v>0</v>
      </c>
    </row>
    <row r="38" spans="1:9" x14ac:dyDescent="0.35">
      <c r="A38" s="1">
        <v>10593</v>
      </c>
      <c r="B38" cm="1">
        <f t="array" ref="B38">(PRODUCT(1+sp500_monthly!B39:B158)^(1/120)-1)*100</f>
        <v>-0.18434209595505902</v>
      </c>
      <c r="C38" cm="1">
        <f t="array" ref="C38">(PRODUCT(1+sp500_monthly!C39:C158)^(1/120)-1)*100</f>
        <v>-0.57418877113346589</v>
      </c>
      <c r="D38" cm="1">
        <f t="array" ref="D38">(PRODUCT(1+sp500_monthly!D39:D158)^(1/120)-1)*100</f>
        <v>-2.1078561478971025E-2</v>
      </c>
      <c r="E38" cm="1">
        <f t="array" ref="E38">(PRODUCT(1+sp500_monthly!E39:E158)^(1/120)-1)*100</f>
        <v>-0.34144875839003941</v>
      </c>
      <c r="F38" cm="1">
        <f t="array" ref="F38">(PRODUCT(1+sp500_monthly!K39:K158)^(1/120)-1)*100</f>
        <v>-0.50833450593722462</v>
      </c>
      <c r="G38" cm="1">
        <f t="array" ref="G38">(PRODUCT(1+sp500_monthly!L39:L158)^(1/120)-1)</f>
        <v>7.7992722732670883E-2</v>
      </c>
      <c r="H38" cm="1">
        <f t="array" ref="H38">(PRODUCT(1+sp500_monthly!N39:N158)^(1/120)-1)*100</f>
        <v>0</v>
      </c>
      <c r="I38" cm="1">
        <f t="array" ref="I38">(PRODUCT(1+sp500_monthly!O39:O158)^(1/120)-1)*100</f>
        <v>0</v>
      </c>
    </row>
    <row r="39" spans="1:9" x14ac:dyDescent="0.35">
      <c r="A39" s="1">
        <v>10624</v>
      </c>
      <c r="B39" cm="1">
        <f t="array" ref="B39">(PRODUCT(1+sp500_monthly!B40:B159)^(1/120)-1)*100</f>
        <v>-0.29001081441230037</v>
      </c>
      <c r="C39" cm="1">
        <f t="array" ref="C39">(PRODUCT(1+sp500_monthly!C40:C159)^(1/120)-1)*100</f>
        <v>-0.67892387709544977</v>
      </c>
      <c r="D39" cm="1">
        <f t="array" ref="D39">(PRODUCT(1+sp500_monthly!D40:D159)^(1/120)-1)*100</f>
        <v>-0.15274377019468544</v>
      </c>
      <c r="E39" cm="1">
        <f t="array" ref="E39">(PRODUCT(1+sp500_monthly!E40:E159)^(1/120)-1)*100</f>
        <v>-0.47211840551437678</v>
      </c>
      <c r="F39" cm="1">
        <f t="array" ref="F39">(PRODUCT(1+sp500_monthly!K40:K159)^(1/120)-1)*100</f>
        <v>-0.61348206138834849</v>
      </c>
      <c r="G39" cm="1">
        <f t="array" ref="G39">(PRODUCT(1+sp500_monthly!L40:L159)^(1/120)-1)</f>
        <v>7.5276734081731966E-2</v>
      </c>
      <c r="H39" cm="1">
        <f t="array" ref="H39">(PRODUCT(1+sp500_monthly!N40:N159)^(1/120)-1)*100</f>
        <v>0</v>
      </c>
      <c r="I39" cm="1">
        <f t="array" ref="I39">(PRODUCT(1+sp500_monthly!O40:O159)^(1/120)-1)*100</f>
        <v>0</v>
      </c>
    </row>
    <row r="40" spans="1:9" x14ac:dyDescent="0.35">
      <c r="A40" s="1">
        <v>10652</v>
      </c>
      <c r="B40" cm="1">
        <f t="array" ref="B40">(PRODUCT(1+sp500_monthly!B41:B160)^(1/120)-1)*100</f>
        <v>-0.25392120995773038</v>
      </c>
      <c r="C40" cm="1">
        <f t="array" ref="C40">(PRODUCT(1+sp500_monthly!C41:C160)^(1/120)-1)*100</f>
        <v>-0.64424834958940469</v>
      </c>
      <c r="D40" cm="1">
        <f t="array" ref="D40">(PRODUCT(1+sp500_monthly!D41:D160)^(1/120)-1)*100</f>
        <v>-0.10014883965672183</v>
      </c>
      <c r="E40" cm="1">
        <f t="array" ref="E40">(PRODUCT(1+sp500_monthly!E41:E160)^(1/120)-1)*100</f>
        <v>-0.41991406155222899</v>
      </c>
      <c r="F40" cm="1">
        <f t="array" ref="F40">(PRODUCT(1+sp500_monthly!K41:K160)^(1/120)-1)*100</f>
        <v>-0.58213105284619093</v>
      </c>
      <c r="G40" cm="1">
        <f t="array" ref="G40">(PRODUCT(1+sp500_monthly!L41:L160)^(1/120)-1)</f>
        <v>7.2613938380542864E-2</v>
      </c>
      <c r="H40" cm="1">
        <f t="array" ref="H40">(PRODUCT(1+sp500_monthly!N41:N160)^(1/120)-1)*100</f>
        <v>0</v>
      </c>
      <c r="I40" cm="1">
        <f t="array" ref="I40">(PRODUCT(1+sp500_monthly!O41:O160)^(1/120)-1)*100</f>
        <v>0</v>
      </c>
    </row>
    <row r="41" spans="1:9" x14ac:dyDescent="0.35">
      <c r="A41" s="1">
        <v>10680</v>
      </c>
      <c r="B41" cm="1">
        <f t="array" ref="B41">(PRODUCT(1+sp500_monthly!B42:B161)^(1/120)-1)*100</f>
        <v>-0.3743523887516309</v>
      </c>
      <c r="C41" cm="1">
        <f t="array" ref="C41">(PRODUCT(1+sp500_monthly!C42:C161)^(1/120)-1)*100</f>
        <v>-0.76462784561845965</v>
      </c>
      <c r="D41" cm="1">
        <f t="array" ref="D41">(PRODUCT(1+sp500_monthly!D42:D161)^(1/120)-1)*100</f>
        <v>-0.27091644523458136</v>
      </c>
      <c r="E41" cm="1">
        <f t="array" ref="E41">(PRODUCT(1+sp500_monthly!E42:E161)^(1/120)-1)*100</f>
        <v>-0.59023646900142612</v>
      </c>
      <c r="F41" cm="1">
        <f t="array" ref="F41">(PRODUCT(1+sp500_monthly!K42:K161)^(1/120)-1)*100</f>
        <v>-0.70068134245149238</v>
      </c>
      <c r="G41" cm="1">
        <f t="array" ref="G41">(PRODUCT(1+sp500_monthly!L42:L161)^(1/120)-1)</f>
        <v>6.9911501506854767E-2</v>
      </c>
      <c r="H41" cm="1">
        <f t="array" ref="H41">(PRODUCT(1+sp500_monthly!N42:N161)^(1/120)-1)*100</f>
        <v>0</v>
      </c>
      <c r="I41" cm="1">
        <f t="array" ref="I41">(PRODUCT(1+sp500_monthly!O42:O161)^(1/120)-1)*100</f>
        <v>0</v>
      </c>
    </row>
    <row r="42" spans="1:9" x14ac:dyDescent="0.35">
      <c r="A42" s="1">
        <v>10713</v>
      </c>
      <c r="B42" cm="1">
        <f t="array" ref="B42">(PRODUCT(1+sp500_monthly!B43:B162)^(1/120)-1)*100</f>
        <v>-0.39593820573592398</v>
      </c>
      <c r="C42" cm="1">
        <f t="array" ref="C42">(PRODUCT(1+sp500_monthly!C43:C162)^(1/120)-1)*100</f>
        <v>-0.78607910972283701</v>
      </c>
      <c r="D42" cm="1">
        <f t="array" ref="D42">(PRODUCT(1+sp500_monthly!D43:D162)^(1/120)-1)*100</f>
        <v>-0.27431348888258267</v>
      </c>
      <c r="E42" cm="1">
        <f t="array" ref="E42">(PRODUCT(1+sp500_monthly!E43:E162)^(1/120)-1)*100</f>
        <v>-0.5930061177999213</v>
      </c>
      <c r="F42" cm="1">
        <f t="array" ref="F42">(PRODUCT(1+sp500_monthly!K43:K162)^(1/120)-1)*100</f>
        <v>-0.7183975612018112</v>
      </c>
      <c r="G42" cm="1">
        <f t="array" ref="G42">(PRODUCT(1+sp500_monthly!L43:L162)^(1/120)-1)</f>
        <v>6.7173499089341115E-2</v>
      </c>
      <c r="H42" cm="1">
        <f t="array" ref="H42">(PRODUCT(1+sp500_monthly!N43:N162)^(1/120)-1)*100</f>
        <v>0</v>
      </c>
      <c r="I42" cm="1">
        <f t="array" ref="I42">(PRODUCT(1+sp500_monthly!O43:O162)^(1/120)-1)*100</f>
        <v>0</v>
      </c>
    </row>
    <row r="43" spans="1:9" x14ac:dyDescent="0.35">
      <c r="A43" s="1">
        <v>10744</v>
      </c>
      <c r="B43" cm="1">
        <f t="array" ref="B43">(PRODUCT(1+sp500_monthly!B44:B163)^(1/120)-1)*100</f>
        <v>-0.30508959860370277</v>
      </c>
      <c r="C43" cm="1">
        <f t="array" ref="C43">(PRODUCT(1+sp500_monthly!C44:C163)^(1/120)-1)*100</f>
        <v>-0.69614624086161703</v>
      </c>
      <c r="D43" cm="1">
        <f t="array" ref="D43">(PRODUCT(1+sp500_monthly!D44:D163)^(1/120)-1)*100</f>
        <v>-0.17780421466895291</v>
      </c>
      <c r="E43" cm="1">
        <f t="array" ref="E43">(PRODUCT(1+sp500_monthly!E44:E163)^(1/120)-1)*100</f>
        <v>-0.49621626461032742</v>
      </c>
      <c r="F43" cm="1">
        <f t="array" ref="F43">(PRODUCT(1+sp500_monthly!K44:K163)^(1/120)-1)*100</f>
        <v>-0.63219813571590011</v>
      </c>
      <c r="G43" cm="1">
        <f t="array" ref="G43">(PRODUCT(1+sp500_monthly!L44:L163)^(1/120)-1)</f>
        <v>6.4023833414026621E-2</v>
      </c>
      <c r="H43" cm="1">
        <f t="array" ref="H43">(PRODUCT(1+sp500_monthly!N44:N163)^(1/120)-1)*100</f>
        <v>0</v>
      </c>
      <c r="I43" cm="1">
        <f t="array" ref="I43">(PRODUCT(1+sp500_monthly!O44:O163)^(1/120)-1)*100</f>
        <v>0</v>
      </c>
    </row>
    <row r="44" spans="1:9" x14ac:dyDescent="0.35">
      <c r="A44" s="1">
        <v>10773</v>
      </c>
      <c r="B44" cm="1">
        <f t="array" ref="B44">(PRODUCT(1+sp500_monthly!B45:B164)^(1/120)-1)*100</f>
        <v>-0.44641266662415191</v>
      </c>
      <c r="C44" cm="1">
        <f t="array" ref="C44">(PRODUCT(1+sp500_monthly!C45:C164)^(1/120)-1)*100</f>
        <v>-0.83837504655799311</v>
      </c>
      <c r="D44" cm="1">
        <f t="array" ref="D44">(PRODUCT(1+sp500_monthly!D45:D164)^(1/120)-1)*100</f>
        <v>-0.34577978867770254</v>
      </c>
      <c r="E44" cm="1">
        <f t="array" ref="E44">(PRODUCT(1+sp500_monthly!E45:E164)^(1/120)-1)*100</f>
        <v>-0.66423036988828565</v>
      </c>
      <c r="F44" cm="1">
        <f t="array" ref="F44">(PRODUCT(1+sp500_monthly!K45:K164)^(1/120)-1)*100</f>
        <v>-0.7748591335479782</v>
      </c>
      <c r="G44" cm="1">
        <f t="array" ref="G44">(PRODUCT(1+sp500_monthly!L45:L164)^(1/120)-1)</f>
        <v>6.0405579515369068E-2</v>
      </c>
      <c r="H44" cm="1">
        <f t="array" ref="H44">(PRODUCT(1+sp500_monthly!N45:N164)^(1/120)-1)*100</f>
        <v>0</v>
      </c>
      <c r="I44" cm="1">
        <f t="array" ref="I44">(PRODUCT(1+sp500_monthly!O45:O164)^(1/120)-1)*100</f>
        <v>0</v>
      </c>
    </row>
    <row r="45" spans="1:9" x14ac:dyDescent="0.35">
      <c r="A45" s="1">
        <v>10805</v>
      </c>
      <c r="B45" cm="1">
        <f t="array" ref="B45">(PRODUCT(1+sp500_monthly!B46:B165)^(1/120)-1)*100</f>
        <v>-0.39933259983553349</v>
      </c>
      <c r="C45" cm="1">
        <f t="array" ref="C45">(PRODUCT(1+sp500_monthly!C46:C165)^(1/120)-1)*100</f>
        <v>-0.7907505539887838</v>
      </c>
      <c r="D45" cm="1">
        <f t="array" ref="D45">(PRODUCT(1+sp500_monthly!D46:D165)^(1/120)-1)*100</f>
        <v>-0.27004240279197012</v>
      </c>
      <c r="E45" cm="1">
        <f t="array" ref="E45">(PRODUCT(1+sp500_monthly!E46:E165)^(1/120)-1)*100</f>
        <v>-0.58779465683204135</v>
      </c>
      <c r="F45" cm="1">
        <f t="array" ref="F45">(PRODUCT(1+sp500_monthly!K46:K165)^(1/120)-1)*100</f>
        <v>-0.72644247638968817</v>
      </c>
      <c r="G45" cm="1">
        <f t="array" ref="G45">(PRODUCT(1+sp500_monthly!L46:L165)^(1/120)-1)</f>
        <v>5.7888527063942208E-2</v>
      </c>
      <c r="H45" cm="1">
        <f t="array" ref="H45">(PRODUCT(1+sp500_monthly!N46:N165)^(1/120)-1)*100</f>
        <v>0</v>
      </c>
      <c r="I45" cm="1">
        <f t="array" ref="I45">(PRODUCT(1+sp500_monthly!O46:O165)^(1/120)-1)*100</f>
        <v>0</v>
      </c>
    </row>
    <row r="46" spans="1:9" x14ac:dyDescent="0.35">
      <c r="A46" s="1">
        <v>10835</v>
      </c>
      <c r="B46" cm="1">
        <f t="array" ref="B46">(PRODUCT(1+sp500_monthly!B47:B166)^(1/120)-1)*100</f>
        <v>-0.53252357470697786</v>
      </c>
      <c r="C46" cm="1">
        <f t="array" ref="C46">(PRODUCT(1+sp500_monthly!C47:C166)^(1/120)-1)*100</f>
        <v>-0.92515297142028441</v>
      </c>
      <c r="D46" cm="1">
        <f t="array" ref="D46">(PRODUCT(1+sp500_monthly!D47:D166)^(1/120)-1)*100</f>
        <v>-0.42380836320878856</v>
      </c>
      <c r="E46" cm="1">
        <f t="array" ref="E46">(PRODUCT(1+sp500_monthly!E47:E166)^(1/120)-1)*100</f>
        <v>-0.74158687330282413</v>
      </c>
      <c r="F46" cm="1">
        <f t="array" ref="F46">(PRODUCT(1+sp500_monthly!K47:K166)^(1/120)-1)*100</f>
        <v>-0.86499073508393698</v>
      </c>
      <c r="G46" cm="1">
        <f t="array" ref="G46">(PRODUCT(1+sp500_monthly!L47:L166)^(1/120)-1)</f>
        <v>5.4838081436542785E-2</v>
      </c>
      <c r="H46" cm="1">
        <f t="array" ref="H46">(PRODUCT(1+sp500_monthly!N47:N166)^(1/120)-1)*100</f>
        <v>0</v>
      </c>
      <c r="I46" cm="1">
        <f t="array" ref="I46">(PRODUCT(1+sp500_monthly!O47:O166)^(1/120)-1)*100</f>
        <v>0</v>
      </c>
    </row>
    <row r="47" spans="1:9" x14ac:dyDescent="0.35">
      <c r="A47" s="1">
        <v>10866</v>
      </c>
      <c r="B47" cm="1">
        <f t="array" ref="B47">(PRODUCT(1+sp500_monthly!B48:B167)^(1/120)-1)*100</f>
        <v>-0.35100635914986356</v>
      </c>
      <c r="C47" cm="1">
        <f t="array" ref="C47">(PRODUCT(1+sp500_monthly!C48:C167)^(1/120)-1)*100</f>
        <v>-0.74503695048062646</v>
      </c>
      <c r="D47" cm="1">
        <f t="array" ref="D47">(PRODUCT(1+sp500_monthly!D48:D167)^(1/120)-1)*100</f>
        <v>-0.13335172745709833</v>
      </c>
      <c r="E47" cm="1">
        <f t="array" ref="E47">(PRODUCT(1+sp500_monthly!E48:E167)^(1/120)-1)*100</f>
        <v>-0.45128656247218624</v>
      </c>
      <c r="F47" cm="1">
        <f t="array" ref="F47">(PRODUCT(1+sp500_monthly!K48:K167)^(1/120)-1)*100</f>
        <v>-0.69757941047600136</v>
      </c>
      <c r="G47" cm="1">
        <f t="array" ref="G47">(PRODUCT(1+sp500_monthly!L48:L167)^(1/120)-1)</f>
        <v>5.22906144658144E-2</v>
      </c>
      <c r="H47" cm="1">
        <f t="array" ref="H47">(PRODUCT(1+sp500_monthly!N48:N167)^(1/120)-1)*100</f>
        <v>0</v>
      </c>
      <c r="I47" cm="1">
        <f t="array" ref="I47">(PRODUCT(1+sp500_monthly!O48:O167)^(1/120)-1)*100</f>
        <v>0</v>
      </c>
    </row>
    <row r="48" spans="1:9" x14ac:dyDescent="0.35">
      <c r="A48" s="1">
        <v>10897</v>
      </c>
      <c r="B48" cm="1">
        <f t="array" ref="B48">(PRODUCT(1+sp500_monthly!B49:B168)^(1/120)-1)*100</f>
        <v>-0.19397878769785715</v>
      </c>
      <c r="C48" cm="1">
        <f t="array" ref="C48">(PRODUCT(1+sp500_monthly!C49:C168)^(1/120)-1)*100</f>
        <v>-0.58726243374846998</v>
      </c>
      <c r="D48" cm="1">
        <f t="array" ref="D48">(PRODUCT(1+sp500_monthly!D49:D168)^(1/120)-1)*100</f>
        <v>-1.8300529014081413E-3</v>
      </c>
      <c r="E48" cm="1">
        <f t="array" ref="E48">(PRODUCT(1+sp500_monthly!E49:E168)^(1/120)-1)*100</f>
        <v>-0.31866747928995798</v>
      </c>
      <c r="F48" cm="1">
        <f t="array" ref="F48">(PRODUCT(1+sp500_monthly!K49:K168)^(1/120)-1)*100</f>
        <v>-0.52569374642227329</v>
      </c>
      <c r="G48" cm="1">
        <f t="array" ref="G48">(PRODUCT(1+sp500_monthly!L49:L168)^(1/120)-1)</f>
        <v>4.8977299129698393E-2</v>
      </c>
      <c r="H48" cm="1">
        <f t="array" ref="H48">(PRODUCT(1+sp500_monthly!N49:N168)^(1/120)-1)*100</f>
        <v>0</v>
      </c>
      <c r="I48" cm="1">
        <f t="array" ref="I48">(PRODUCT(1+sp500_monthly!O49:O168)^(1/120)-1)*100</f>
        <v>0</v>
      </c>
    </row>
    <row r="49" spans="1:9" x14ac:dyDescent="0.35">
      <c r="A49" s="1">
        <v>10924</v>
      </c>
      <c r="B49" cm="1">
        <f t="array" ref="B49">(PRODUCT(1+sp500_monthly!B50:B169)^(1/120)-1)*100</f>
        <v>-0.11696084451380262</v>
      </c>
      <c r="C49" cm="1">
        <f t="array" ref="C49">(PRODUCT(1+sp500_monthly!C50:C169)^(1/120)-1)*100</f>
        <v>-0.51499963836917351</v>
      </c>
      <c r="D49" cm="1">
        <f t="array" ref="D49">(PRODUCT(1+sp500_monthly!D50:D169)^(1/120)-1)*100</f>
        <v>2.7348484785338911E-2</v>
      </c>
      <c r="E49" cm="1">
        <f t="array" ref="E49">(PRODUCT(1+sp500_monthly!E50:E169)^(1/120)-1)*100</f>
        <v>-0.29167657052679985</v>
      </c>
      <c r="F49" cm="1">
        <f t="array" ref="F49">(PRODUCT(1+sp500_monthly!K50:K169)^(1/120)-1)*100</f>
        <v>-0.44838239199396224</v>
      </c>
      <c r="G49" cm="1">
        <f t="array" ref="G49">(PRODUCT(1+sp500_monthly!L50:L169)^(1/120)-1)</f>
        <v>4.622899469144981E-2</v>
      </c>
      <c r="H49" cm="1">
        <f t="array" ref="H49">(PRODUCT(1+sp500_monthly!N50:N169)^(1/120)-1)*100</f>
        <v>0</v>
      </c>
      <c r="I49" cm="1">
        <f t="array" ref="I49">(PRODUCT(1+sp500_monthly!O50:O169)^(1/120)-1)*100</f>
        <v>0</v>
      </c>
    </row>
    <row r="50" spans="1:9" x14ac:dyDescent="0.35">
      <c r="A50" s="1">
        <v>10958</v>
      </c>
      <c r="B50" cm="1">
        <f t="array" ref="B50">(PRODUCT(1+sp500_monthly!B51:B170)^(1/120)-1)*100</f>
        <v>-0.11661752476729292</v>
      </c>
      <c r="C50" cm="1">
        <f t="array" ref="C50">(PRODUCT(1+sp500_monthly!C51:C170)^(1/120)-1)*100</f>
        <v>-0.51534636900321118</v>
      </c>
      <c r="D50" cm="1">
        <f t="array" ref="D50">(PRODUCT(1+sp500_monthly!D51:D170)^(1/120)-1)*100</f>
        <v>3.5888868466926738E-2</v>
      </c>
      <c r="E50" cm="1">
        <f t="array" ref="E50">(PRODUCT(1+sp500_monthly!E51:E170)^(1/120)-1)*100</f>
        <v>-0.28210314146097648</v>
      </c>
      <c r="F50" cm="1">
        <f t="array" ref="F50">(PRODUCT(1+sp500_monthly!K51:K170)^(1/120)-1)*100</f>
        <v>-0.44964959011432049</v>
      </c>
      <c r="G50" cm="1">
        <f t="array" ref="G50">(PRODUCT(1+sp500_monthly!L51:L170)^(1/120)-1)</f>
        <v>4.3487890768685755E-2</v>
      </c>
      <c r="H50" cm="1">
        <f t="array" ref="H50">(PRODUCT(1+sp500_monthly!N51:N170)^(1/120)-1)*100</f>
        <v>0</v>
      </c>
      <c r="I50" cm="1">
        <f t="array" ref="I50">(PRODUCT(1+sp500_monthly!O51:O170)^(1/120)-1)*100</f>
        <v>0</v>
      </c>
    </row>
    <row r="51" spans="1:9" x14ac:dyDescent="0.35">
      <c r="A51" s="1">
        <v>10989</v>
      </c>
      <c r="B51" cm="1">
        <f t="array" ref="B51">(PRODUCT(1+sp500_monthly!B52:B171)^(1/120)-1)*100</f>
        <v>-0.19525299138205554</v>
      </c>
      <c r="C51" cm="1">
        <f t="array" ref="C51">(PRODUCT(1+sp500_monthly!C52:C171)^(1/120)-1)*100</f>
        <v>-0.59238329597017803</v>
      </c>
      <c r="D51" cm="1">
        <f t="array" ref="D51">(PRODUCT(1+sp500_monthly!D52:D171)^(1/120)-1)*100</f>
        <v>-5.4542636808596612E-2</v>
      </c>
      <c r="E51" cm="1">
        <f t="array" ref="E51">(PRODUCT(1+sp500_monthly!E52:E171)^(1/120)-1)*100</f>
        <v>-0.37085820009460368</v>
      </c>
      <c r="F51" cm="1">
        <f t="array" ref="F51">(PRODUCT(1+sp500_monthly!K52:K171)^(1/120)-1)*100</f>
        <v>-0.52963999165855924</v>
      </c>
      <c r="G51" cm="1">
        <f t="array" ref="G51">(PRODUCT(1+sp500_monthly!L52:L171)^(1/120)-1)</f>
        <v>4.2349125882015448E-2</v>
      </c>
      <c r="H51" cm="1">
        <f t="array" ref="H51">(PRODUCT(1+sp500_monthly!N52:N171)^(1/120)-1)*100</f>
        <v>0</v>
      </c>
      <c r="I51" cm="1">
        <f t="array" ref="I51">(PRODUCT(1+sp500_monthly!O52:O171)^(1/120)-1)*100</f>
        <v>0</v>
      </c>
    </row>
    <row r="52" spans="1:9" x14ac:dyDescent="0.35">
      <c r="A52" s="1">
        <v>11017</v>
      </c>
      <c r="B52" cm="1">
        <f t="array" ref="B52">(PRODUCT(1+sp500_monthly!B53:B172)^(1/120)-1)*100</f>
        <v>-0.2057770757034616</v>
      </c>
      <c r="C52" cm="1">
        <f t="array" ref="C52">(PRODUCT(1+sp500_monthly!C53:C172)^(1/120)-1)*100</f>
        <v>-0.60430703065023073</v>
      </c>
      <c r="D52" cm="1">
        <f t="array" ref="D52">(PRODUCT(1+sp500_monthly!D53:D172)^(1/120)-1)*100</f>
        <v>-7.1755936497408523E-2</v>
      </c>
      <c r="E52" cm="1">
        <f t="array" ref="E52">(PRODUCT(1+sp500_monthly!E53:E172)^(1/120)-1)*100</f>
        <v>-0.38875928728044906</v>
      </c>
      <c r="F52" cm="1">
        <f t="array" ref="F52">(PRODUCT(1+sp500_monthly!K53:K172)^(1/120)-1)*100</f>
        <v>-0.54178794230586025</v>
      </c>
      <c r="G52" cm="1">
        <f t="array" ref="G52">(PRODUCT(1+sp500_monthly!L53:L172)^(1/120)-1)</f>
        <v>4.0072655709522564E-2</v>
      </c>
      <c r="H52" cm="1">
        <f t="array" ref="H52">(PRODUCT(1+sp500_monthly!N53:N172)^(1/120)-1)*100</f>
        <v>0</v>
      </c>
      <c r="I52" cm="1">
        <f t="array" ref="I52">(PRODUCT(1+sp500_monthly!O53:O172)^(1/120)-1)*100</f>
        <v>0</v>
      </c>
    </row>
    <row r="53" spans="1:9" x14ac:dyDescent="0.35">
      <c r="A53" s="1">
        <v>11048</v>
      </c>
      <c r="B53" cm="1">
        <f t="array" ref="B53">(PRODUCT(1+sp500_monthly!B54:B173)^(1/120)-1)*100</f>
        <v>-0.25265335065570715</v>
      </c>
      <c r="C53" cm="1">
        <f t="array" ref="C53">(PRODUCT(1+sp500_monthly!C54:C173)^(1/120)-1)*100</f>
        <v>-0.65116838159027246</v>
      </c>
      <c r="D53" cm="1">
        <f t="array" ref="D53">(PRODUCT(1+sp500_monthly!D54:D173)^(1/120)-1)*100</f>
        <v>-0.10707619106502531</v>
      </c>
      <c r="E53" cm="1">
        <f t="array" ref="E53">(PRODUCT(1+sp500_monthly!E54:E173)^(1/120)-1)*100</f>
        <v>-0.42330791982290172</v>
      </c>
      <c r="F53" cm="1">
        <f t="array" ref="F53">(PRODUCT(1+sp500_monthly!K54:K173)^(1/120)-1)*100</f>
        <v>-0.5973209066091334</v>
      </c>
      <c r="G53" cm="1">
        <f t="array" ref="G53">(PRODUCT(1+sp500_monthly!L54:L173)^(1/120)-1)</f>
        <v>3.7474817323128962E-2</v>
      </c>
      <c r="H53" cm="1">
        <f t="array" ref="H53">(PRODUCT(1+sp500_monthly!N54:N173)^(1/120)-1)*100</f>
        <v>0</v>
      </c>
      <c r="I53" cm="1">
        <f t="array" ref="I53">(PRODUCT(1+sp500_monthly!O54:O173)^(1/120)-1)*100</f>
        <v>0</v>
      </c>
    </row>
    <row r="54" spans="1:9" x14ac:dyDescent="0.35">
      <c r="A54" s="1">
        <v>11078</v>
      </c>
      <c r="B54" cm="1">
        <f t="array" ref="B54">(PRODUCT(1+sp500_monthly!B55:B174)^(1/120)-1)*100</f>
        <v>-0.24471647953734355</v>
      </c>
      <c r="C54" cm="1">
        <f t="array" ref="C54">(PRODUCT(1+sp500_monthly!C55:C174)^(1/120)-1)*100</f>
        <v>-0.64310114853859401</v>
      </c>
      <c r="D54" cm="1">
        <f t="array" ref="D54">(PRODUCT(1+sp500_monthly!D55:D174)^(1/120)-1)*100</f>
        <v>-7.6713300506281445E-2</v>
      </c>
      <c r="E54" cm="1">
        <f t="array" ref="E54">(PRODUCT(1+sp500_monthly!E55:E174)^(1/120)-1)*100</f>
        <v>-0.39226857146926752</v>
      </c>
      <c r="F54" cm="1">
        <f t="array" ref="F54">(PRODUCT(1+sp500_monthly!K55:K174)^(1/120)-1)*100</f>
        <v>-0.59344178199346453</v>
      </c>
      <c r="G54" cm="1">
        <f t="array" ref="G54">(PRODUCT(1+sp500_monthly!L55:L174)^(1/120)-1)</f>
        <v>3.5828093725725374E-2</v>
      </c>
      <c r="H54" cm="1">
        <f t="array" ref="H54">(PRODUCT(1+sp500_monthly!N55:N174)^(1/120)-1)*100</f>
        <v>0</v>
      </c>
      <c r="I54" cm="1">
        <f t="array" ref="I54">(PRODUCT(1+sp500_monthly!O55:O174)^(1/120)-1)*100</f>
        <v>0</v>
      </c>
    </row>
    <row r="55" spans="1:9" x14ac:dyDescent="0.35">
      <c r="A55" s="1">
        <v>11107</v>
      </c>
      <c r="B55" cm="1">
        <f t="array" ref="B55">(PRODUCT(1+sp500_monthly!B56:B175)^(1/120)-1)*100</f>
        <v>-0.45404754544441372</v>
      </c>
      <c r="C55" cm="1">
        <f t="array" ref="C55">(PRODUCT(1+sp500_monthly!C56:C175)^(1/120)-1)*100</f>
        <v>-0.85707177744619445</v>
      </c>
      <c r="D55" cm="1">
        <f t="array" ref="D55">(PRODUCT(1+sp500_monthly!D56:D175)^(1/120)-1)*100</f>
        <v>-0.34026707137283507</v>
      </c>
      <c r="E55" cm="1">
        <f t="array" ref="E55">(PRODUCT(1+sp500_monthly!E56:E175)^(1/120)-1)*100</f>
        <v>-0.65711242888579768</v>
      </c>
      <c r="F55" cm="1">
        <f t="array" ref="F55">(PRODUCT(1+sp500_monthly!K56:K175)^(1/120)-1)*100</f>
        <v>-0.80629981014046503</v>
      </c>
      <c r="G55" cm="1">
        <f t="array" ref="G55">(PRODUCT(1+sp500_monthly!L56:L175)^(1/120)-1)</f>
        <v>3.3661042521499596E-2</v>
      </c>
      <c r="H55" cm="1">
        <f t="array" ref="H55">(PRODUCT(1+sp500_monthly!N56:N175)^(1/120)-1)*100</f>
        <v>0</v>
      </c>
      <c r="I55" cm="1">
        <f t="array" ref="I55">(PRODUCT(1+sp500_monthly!O56:O175)^(1/120)-1)*100</f>
        <v>0</v>
      </c>
    </row>
    <row r="56" spans="1:9" x14ac:dyDescent="0.35">
      <c r="A56" s="1">
        <v>11139</v>
      </c>
      <c r="B56" cm="1">
        <f t="array" ref="B56">(PRODUCT(1+sp500_monthly!B57:B176)^(1/120)-1)*100</f>
        <v>-0.24724826822611901</v>
      </c>
      <c r="C56" cm="1">
        <f t="array" ref="C56">(PRODUCT(1+sp500_monthly!C57:C176)^(1/120)-1)*100</f>
        <v>-0.65140117059342417</v>
      </c>
      <c r="D56" cm="1">
        <f t="array" ref="D56">(PRODUCT(1+sp500_monthly!D57:D176)^(1/120)-1)*100</f>
        <v>-0.1012029298348871</v>
      </c>
      <c r="E56" cm="1">
        <f t="array" ref="E56">(PRODUCT(1+sp500_monthly!E57:E176)^(1/120)-1)*100</f>
        <v>-0.41716628673127421</v>
      </c>
      <c r="F56" cm="1">
        <f t="array" ref="F56">(PRODUCT(1+sp500_monthly!K57:K176)^(1/120)-1)*100</f>
        <v>-0.59645482030348251</v>
      </c>
      <c r="G56" cm="1">
        <f t="array" ref="G56">(PRODUCT(1+sp500_monthly!L57:L176)^(1/120)-1)</f>
        <v>3.160423776006982E-2</v>
      </c>
      <c r="H56" cm="1">
        <f t="array" ref="H56">(PRODUCT(1+sp500_monthly!N57:N176)^(1/120)-1)*100</f>
        <v>0</v>
      </c>
      <c r="I56" cm="1">
        <f t="array" ref="I56">(PRODUCT(1+sp500_monthly!O57:O176)^(1/120)-1)*100</f>
        <v>0</v>
      </c>
    </row>
    <row r="57" spans="1:9" x14ac:dyDescent="0.35">
      <c r="A57" s="1">
        <v>11170</v>
      </c>
      <c r="B57" cm="1">
        <f t="array" ref="B57">(PRODUCT(1+sp500_monthly!B58:B177)^(1/120)-1)*100</f>
        <v>-0.2517604283605035</v>
      </c>
      <c r="C57" cm="1">
        <f t="array" ref="C57">(PRODUCT(1+sp500_monthly!C58:C177)^(1/120)-1)*100</f>
        <v>-0.65498843060922685</v>
      </c>
      <c r="D57" cm="1">
        <f t="array" ref="D57">(PRODUCT(1+sp500_monthly!D58:D177)^(1/120)-1)*100</f>
        <v>-0.10686427614605698</v>
      </c>
      <c r="E57" cm="1">
        <f t="array" ref="E57">(PRODUCT(1+sp500_monthly!E58:E177)^(1/120)-1)*100</f>
        <v>-0.42101022584042358</v>
      </c>
      <c r="F57" cm="1">
        <f t="array" ref="F57">(PRODUCT(1+sp500_monthly!K58:K177)^(1/120)-1)*100</f>
        <v>-0.60093763165152136</v>
      </c>
      <c r="G57" cm="1">
        <f t="array" ref="G57">(PRODUCT(1+sp500_monthly!L58:L177)^(1/120)-1)</f>
        <v>3.0123477457060011E-2</v>
      </c>
      <c r="H57" cm="1">
        <f t="array" ref="H57">(PRODUCT(1+sp500_monthly!N58:N177)^(1/120)-1)*100</f>
        <v>0</v>
      </c>
      <c r="I57" cm="1">
        <f t="array" ref="I57">(PRODUCT(1+sp500_monthly!O58:O177)^(1/120)-1)*100</f>
        <v>0</v>
      </c>
    </row>
    <row r="58" spans="1:9" x14ac:dyDescent="0.35">
      <c r="A58" s="1">
        <v>11199</v>
      </c>
      <c r="B58" cm="1">
        <f t="array" ref="B58">(PRODUCT(1+sp500_monthly!B59:B178)^(1/120)-1)*100</f>
        <v>-0.23213710859911751</v>
      </c>
      <c r="C58" cm="1">
        <f t="array" ref="C58">(PRODUCT(1+sp500_monthly!C59:C178)^(1/120)-1)*100</f>
        <v>-0.63874928319825885</v>
      </c>
      <c r="D58" cm="1">
        <f t="array" ref="D58">(PRODUCT(1+sp500_monthly!D59:D178)^(1/120)-1)*100</f>
        <v>-8.6203371185555877E-2</v>
      </c>
      <c r="E58" cm="1">
        <f t="array" ref="E58">(PRODUCT(1+sp500_monthly!E59:E178)^(1/120)-1)*100</f>
        <v>-0.40156751527723467</v>
      </c>
      <c r="F58" cm="1">
        <f t="array" ref="F58">(PRODUCT(1+sp500_monthly!K59:K178)^(1/120)-1)*100</f>
        <v>-0.5857077195866256</v>
      </c>
      <c r="G58" cm="1">
        <f t="array" ref="G58">(PRODUCT(1+sp500_monthly!L59:L178)^(1/120)-1)</f>
        <v>2.9297752283842682E-2</v>
      </c>
      <c r="H58" cm="1">
        <f t="array" ref="H58">(PRODUCT(1+sp500_monthly!N59:N178)^(1/120)-1)*100</f>
        <v>0</v>
      </c>
      <c r="I58" cm="1">
        <f t="array" ref="I58">(PRODUCT(1+sp500_monthly!O59:O178)^(1/120)-1)*100</f>
        <v>0</v>
      </c>
    </row>
    <row r="59" spans="1:9" x14ac:dyDescent="0.35">
      <c r="A59" s="1">
        <v>11231</v>
      </c>
      <c r="B59" cm="1">
        <f t="array" ref="B59">(PRODUCT(1+sp500_monthly!B60:B179)^(1/120)-1)*100</f>
        <v>-0.11068290698504901</v>
      </c>
      <c r="C59" cm="1">
        <f t="array" ref="C59">(PRODUCT(1+sp500_monthly!C60:C179)^(1/120)-1)*100</f>
        <v>-0.51729479649981203</v>
      </c>
      <c r="D59" cm="1">
        <f t="array" ref="D59">(PRODUCT(1+sp500_monthly!D60:D179)^(1/120)-1)*100</f>
        <v>3.8877632918943306E-2</v>
      </c>
      <c r="E59" cm="1">
        <f t="array" ref="E59">(PRODUCT(1+sp500_monthly!E60:E179)^(1/120)-1)*100</f>
        <v>-0.27530798711659088</v>
      </c>
      <c r="F59" cm="1">
        <f t="array" ref="F59">(PRODUCT(1+sp500_monthly!K60:K179)^(1/120)-1)*100</f>
        <v>-0.46236598654256778</v>
      </c>
      <c r="G59" cm="1">
        <f t="array" ref="G59">(PRODUCT(1+sp500_monthly!L60:L179)^(1/120)-1)</f>
        <v>2.7593525186859091E-2</v>
      </c>
      <c r="H59" cm="1">
        <f t="array" ref="H59">(PRODUCT(1+sp500_monthly!N60:N179)^(1/120)-1)*100</f>
        <v>0</v>
      </c>
      <c r="I59" cm="1">
        <f t="array" ref="I59">(PRODUCT(1+sp500_monthly!O60:O179)^(1/120)-1)*100</f>
        <v>0</v>
      </c>
    </row>
    <row r="60" spans="1:9" x14ac:dyDescent="0.35">
      <c r="A60" s="1">
        <v>11262</v>
      </c>
      <c r="B60" cm="1">
        <f t="array" ref="B60">(PRODUCT(1+sp500_monthly!B61:B180)^(1/120)-1)*100</f>
        <v>-4.0600511050259414E-3</v>
      </c>
      <c r="C60" cm="1">
        <f t="array" ref="C60">(PRODUCT(1+sp500_monthly!C61:C180)^(1/120)-1)*100</f>
        <v>-0.40967124015759415</v>
      </c>
      <c r="D60" cm="1">
        <f t="array" ref="D60">(PRODUCT(1+sp500_monthly!D61:D180)^(1/120)-1)*100</f>
        <v>0.15968079490731313</v>
      </c>
      <c r="E60" cm="1">
        <f t="array" ref="E60">(PRODUCT(1+sp500_monthly!E61:E180)^(1/120)-1)*100</f>
        <v>-0.15313330132631364</v>
      </c>
      <c r="F60" cm="1">
        <f t="array" ref="F60">(PRODUCT(1+sp500_monthly!K61:K180)^(1/120)-1)*100</f>
        <v>-0.35315538782068057</v>
      </c>
      <c r="G60" cm="1">
        <f t="array" ref="G60">(PRODUCT(1+sp500_monthly!L61:L180)^(1/120)-1)</f>
        <v>2.6855826417875539E-2</v>
      </c>
      <c r="H60" cm="1">
        <f t="array" ref="H60">(PRODUCT(1+sp500_monthly!N61:N180)^(1/120)-1)*100</f>
        <v>0</v>
      </c>
      <c r="I60" cm="1">
        <f t="array" ref="I60">(PRODUCT(1+sp500_monthly!O61:O180)^(1/120)-1)*100</f>
        <v>0</v>
      </c>
    </row>
    <row r="61" spans="1:9" x14ac:dyDescent="0.35">
      <c r="A61" s="1">
        <v>11291</v>
      </c>
      <c r="B61" cm="1">
        <f t="array" ref="B61">(PRODUCT(1+sp500_monthly!B62:B181)^(1/120)-1)*100</f>
        <v>-1.2342226551120827E-2</v>
      </c>
      <c r="C61" cm="1">
        <f t="array" ref="C61">(PRODUCT(1+sp500_monthly!C62:C181)^(1/120)-1)*100</f>
        <v>-0.42588677313138978</v>
      </c>
      <c r="D61" cm="1">
        <f t="array" ref="D61">(PRODUCT(1+sp500_monthly!D62:D181)^(1/120)-1)*100</f>
        <v>0.12921045377256579</v>
      </c>
      <c r="E61" cm="1">
        <f t="array" ref="E61">(PRODUCT(1+sp500_monthly!E62:E181)^(1/120)-1)*100</f>
        <v>-0.18827776766091597</v>
      </c>
      <c r="F61" cm="1">
        <f t="array" ref="F61">(PRODUCT(1+sp500_monthly!K62:K181)^(1/120)-1)*100</f>
        <v>-0.37080866924964484</v>
      </c>
      <c r="G61" cm="1">
        <f t="array" ref="G61">(PRODUCT(1+sp500_monthly!L62:L181)^(1/120)-1)</f>
        <v>2.581052641483339E-2</v>
      </c>
      <c r="H61" cm="1">
        <f t="array" ref="H61">(PRODUCT(1+sp500_monthly!N62:N181)^(1/120)-1)*100</f>
        <v>0</v>
      </c>
      <c r="I61" cm="1">
        <f t="array" ref="I61">(PRODUCT(1+sp500_monthly!O62:O181)^(1/120)-1)*100</f>
        <v>0</v>
      </c>
    </row>
    <row r="62" spans="1:9" x14ac:dyDescent="0.35">
      <c r="A62" s="1">
        <v>11323</v>
      </c>
      <c r="B62" cm="1">
        <f t="array" ref="B62">(PRODUCT(1+sp500_monthly!B63:B182)^(1/120)-1)*100</f>
        <v>5.1907984264620843E-2</v>
      </c>
      <c r="C62" cm="1">
        <f t="array" ref="C62">(PRODUCT(1+sp500_monthly!C63:C182)^(1/120)-1)*100</f>
        <v>-0.36081108309627963</v>
      </c>
      <c r="D62" cm="1">
        <f t="array" ref="D62">(PRODUCT(1+sp500_monthly!D63:D182)^(1/120)-1)*100</f>
        <v>0.19877882363110722</v>
      </c>
      <c r="E62" cm="1">
        <f t="array" ref="E62">(PRODUCT(1+sp500_monthly!E63:E182)^(1/120)-1)*100</f>
        <v>-0.11654791465676162</v>
      </c>
      <c r="F62" cm="1">
        <f t="array" ref="F62">(PRODUCT(1+sp500_monthly!K63:K182)^(1/120)-1)*100</f>
        <v>-0.3091037156361609</v>
      </c>
      <c r="G62" cm="1">
        <f t="array" ref="G62">(PRODUCT(1+sp500_monthly!L63:L182)^(1/120)-1)</f>
        <v>2.4691052946868686E-2</v>
      </c>
      <c r="H62" cm="1">
        <f t="array" ref="H62">(PRODUCT(1+sp500_monthly!N63:N182)^(1/120)-1)*100</f>
        <v>0</v>
      </c>
      <c r="I62" cm="1">
        <f t="array" ref="I62">(PRODUCT(1+sp500_monthly!O63:O182)^(1/120)-1)*100</f>
        <v>0</v>
      </c>
    </row>
    <row r="63" spans="1:9" x14ac:dyDescent="0.35">
      <c r="A63" s="1">
        <v>11354</v>
      </c>
      <c r="B63" cm="1">
        <f t="array" ref="B63">(PRODUCT(1+sp500_monthly!B64:B183)^(1/120)-1)*100</f>
        <v>-3.5139175837772818E-2</v>
      </c>
      <c r="C63" cm="1">
        <f t="array" ref="C63">(PRODUCT(1+sp500_monthly!C64:C183)^(1/120)-1)*100</f>
        <v>-0.44642921414544956</v>
      </c>
      <c r="D63" cm="1">
        <f t="array" ref="D63">(PRODUCT(1+sp500_monthly!D64:D183)^(1/120)-1)*100</f>
        <v>0.10467097384883051</v>
      </c>
      <c r="E63" cm="1">
        <f t="array" ref="E63">(PRODUCT(1+sp500_monthly!E64:E183)^(1/120)-1)*100</f>
        <v>-0.20860098589481346</v>
      </c>
      <c r="F63" cm="1">
        <f t="array" ref="F63">(PRODUCT(1+sp500_monthly!K64:K183)^(1/120)-1)*100</f>
        <v>-0.38976994674448928</v>
      </c>
      <c r="G63" cm="1">
        <f t="array" ref="G63">(PRODUCT(1+sp500_monthly!L64:L183)^(1/120)-1)</f>
        <v>2.3412590309399572E-2</v>
      </c>
      <c r="H63" cm="1">
        <f t="array" ref="H63">(PRODUCT(1+sp500_monthly!N64:N183)^(1/120)-1)*100</f>
        <v>0</v>
      </c>
      <c r="I63" cm="1">
        <f t="array" ref="I63">(PRODUCT(1+sp500_monthly!O64:O183)^(1/120)-1)*100</f>
        <v>0</v>
      </c>
    </row>
    <row r="64" spans="1:9" x14ac:dyDescent="0.35">
      <c r="A64" s="1">
        <v>11382</v>
      </c>
      <c r="B64" cm="1">
        <f t="array" ref="B64">(PRODUCT(1+sp500_monthly!B65:B184)^(1/120)-1)*100</f>
        <v>-0.12668954979584424</v>
      </c>
      <c r="C64" cm="1">
        <f t="array" ref="C64">(PRODUCT(1+sp500_monthly!C65:C184)^(1/120)-1)*100</f>
        <v>-0.53992205690750472</v>
      </c>
      <c r="D64" cm="1">
        <f t="array" ref="D64">(PRODUCT(1+sp500_monthly!D65:D184)^(1/120)-1)*100</f>
        <v>5.8854497853921828E-3</v>
      </c>
      <c r="E64" cm="1">
        <f t="array" ref="E64">(PRODUCT(1+sp500_monthly!E65:E184)^(1/120)-1)*100</f>
        <v>-0.30871790436348689</v>
      </c>
      <c r="F64" cm="1">
        <f t="array" ref="F64">(PRODUCT(1+sp500_monthly!K65:K184)^(1/120)-1)*100</f>
        <v>-0.49205496686364203</v>
      </c>
      <c r="G64" cm="1">
        <f t="array" ref="G64">(PRODUCT(1+sp500_monthly!L65:L184)^(1/120)-1)</f>
        <v>2.2992471464941655E-2</v>
      </c>
      <c r="H64" cm="1">
        <f t="array" ref="H64">(PRODUCT(1+sp500_monthly!N65:N184)^(1/120)-1)*100</f>
        <v>0</v>
      </c>
      <c r="I64" cm="1">
        <f t="array" ref="I64">(PRODUCT(1+sp500_monthly!O65:O184)^(1/120)-1)*100</f>
        <v>0</v>
      </c>
    </row>
    <row r="65" spans="1:9" x14ac:dyDescent="0.35">
      <c r="A65" s="1">
        <v>11413</v>
      </c>
      <c r="B65" cm="1">
        <f t="array" ref="B65">(PRODUCT(1+sp500_monthly!B66:B185)^(1/120)-1)*100</f>
        <v>-5.9865810489867499E-2</v>
      </c>
      <c r="C65" cm="1">
        <f t="array" ref="C65">(PRODUCT(1+sp500_monthly!C66:C185)^(1/120)-1)*100</f>
        <v>-0.47321779638623829</v>
      </c>
      <c r="D65" cm="1">
        <f t="array" ref="D65">(PRODUCT(1+sp500_monthly!D66:D185)^(1/120)-1)*100</f>
        <v>8.677630577218487E-2</v>
      </c>
      <c r="E65" cm="1">
        <f t="array" ref="E65">(PRODUCT(1+sp500_monthly!E66:E185)^(1/120)-1)*100</f>
        <v>-0.22627659156663205</v>
      </c>
      <c r="F65" cm="1">
        <f t="array" ref="F65">(PRODUCT(1+sp500_monthly!K66:K185)^(1/120)-1)*100</f>
        <v>-0.42927084780586267</v>
      </c>
      <c r="G65" cm="1">
        <f t="array" ref="G65">(PRODUCT(1+sp500_monthly!L66:L185)^(1/120)-1)</f>
        <v>2.203584731971775E-2</v>
      </c>
      <c r="H65" cm="1">
        <f t="array" ref="H65">(PRODUCT(1+sp500_monthly!N66:N185)^(1/120)-1)*100</f>
        <v>0</v>
      </c>
      <c r="I65" cm="1">
        <f t="array" ref="I65">(PRODUCT(1+sp500_monthly!O66:O185)^(1/120)-1)*100</f>
        <v>0</v>
      </c>
    </row>
    <row r="66" spans="1:9" x14ac:dyDescent="0.35">
      <c r="A66" s="1">
        <v>11443</v>
      </c>
      <c r="B66" cm="1">
        <f t="array" ref="B66">(PRODUCT(1+sp500_monthly!B67:B186)^(1/120)-1)*100</f>
        <v>-3.2048745538193479E-2</v>
      </c>
      <c r="C66" cm="1">
        <f t="array" ref="C66">(PRODUCT(1+sp500_monthly!C67:C186)^(1/120)-1)*100</f>
        <v>-0.44438195291388594</v>
      </c>
      <c r="D66" cm="1">
        <f t="array" ref="D66">(PRODUCT(1+sp500_monthly!D67:D186)^(1/120)-1)*100</f>
        <v>0.14261441717153822</v>
      </c>
      <c r="E66" cm="1">
        <f t="array" ref="E66">(PRODUCT(1+sp500_monthly!E67:E186)^(1/120)-1)*100</f>
        <v>-0.16800092804994948</v>
      </c>
      <c r="F66" cm="1">
        <f t="array" ref="F66">(PRODUCT(1+sp500_monthly!K67:K186)^(1/120)-1)*100</f>
        <v>-0.40164463004220829</v>
      </c>
      <c r="G66" cm="1">
        <f t="array" ref="G66">(PRODUCT(1+sp500_monthly!L67:L186)^(1/120)-1)</f>
        <v>2.1295043042109052E-2</v>
      </c>
      <c r="H66" cm="1">
        <f t="array" ref="H66">(PRODUCT(1+sp500_monthly!N67:N186)^(1/120)-1)*100</f>
        <v>0</v>
      </c>
      <c r="I66" cm="1">
        <f t="array" ref="I66">(PRODUCT(1+sp500_monthly!O67:O186)^(1/120)-1)*100</f>
        <v>0</v>
      </c>
    </row>
    <row r="67" spans="1:9" x14ac:dyDescent="0.35">
      <c r="A67" s="1">
        <v>11472</v>
      </c>
      <c r="B67" cm="1">
        <f t="array" ref="B67">(PRODUCT(1+sp500_monthly!B68:B187)^(1/120)-1)*100</f>
        <v>0.10234823871084764</v>
      </c>
      <c r="C67" cm="1">
        <f t="array" ref="C67">(PRODUCT(1+sp500_monthly!C68:C187)^(1/120)-1)*100</f>
        <v>-0.31447806691320412</v>
      </c>
      <c r="D67" cm="1">
        <f t="array" ref="D67">(PRODUCT(1+sp500_monthly!D68:D187)^(1/120)-1)*100</f>
        <v>0.27600759298200828</v>
      </c>
      <c r="E67" cm="1">
        <f t="array" ref="E67">(PRODUCT(1+sp500_monthly!E68:E187)^(1/120)-1)*100</f>
        <v>-3.6745961385997727E-2</v>
      </c>
      <c r="F67" cm="1">
        <f t="array" ref="F67">(PRODUCT(1+sp500_monthly!K68:K187)^(1/120)-1)*100</f>
        <v>-0.27554597333838693</v>
      </c>
      <c r="G67" cm="1">
        <f t="array" ref="G67">(PRODUCT(1+sp500_monthly!L68:L187)^(1/120)-1)</f>
        <v>2.0561865888346631E-2</v>
      </c>
      <c r="H67" cm="1">
        <f t="array" ref="H67">(PRODUCT(1+sp500_monthly!N68:N187)^(1/120)-1)*100</f>
        <v>0</v>
      </c>
      <c r="I67" cm="1">
        <f t="array" ref="I67">(PRODUCT(1+sp500_monthly!O68:O187)^(1/120)-1)*100</f>
        <v>0</v>
      </c>
    </row>
    <row r="68" spans="1:9" x14ac:dyDescent="0.35">
      <c r="A68" s="1">
        <v>11504</v>
      </c>
      <c r="B68" cm="1">
        <f t="array" ref="B68">(PRODUCT(1+sp500_monthly!B69:B188)^(1/120)-1)*100</f>
        <v>3.6033649516720168E-2</v>
      </c>
      <c r="C68" cm="1">
        <f t="array" ref="C68">(PRODUCT(1+sp500_monthly!C69:C188)^(1/120)-1)*100</f>
        <v>-0.38063513032794427</v>
      </c>
      <c r="D68" cm="1">
        <f t="array" ref="D68">(PRODUCT(1+sp500_monthly!D69:D188)^(1/120)-1)*100</f>
        <v>0.17912526655221583</v>
      </c>
      <c r="E68" cm="1">
        <f t="array" ref="E68">(PRODUCT(1+sp500_monthly!E69:E188)^(1/120)-1)*100</f>
        <v>-0.13270432890889472</v>
      </c>
      <c r="F68" cm="1">
        <f t="array" ref="F68">(PRODUCT(1+sp500_monthly!K69:K188)^(1/120)-1)*100</f>
        <v>-0.3404043038784943</v>
      </c>
      <c r="G68" cm="1">
        <f t="array" ref="G68">(PRODUCT(1+sp500_monthly!L69:L188)^(1/120)-1)</f>
        <v>1.9907546534164267E-2</v>
      </c>
      <c r="H68" cm="1">
        <f t="array" ref="H68">(PRODUCT(1+sp500_monthly!N69:N188)^(1/120)-1)*100</f>
        <v>0</v>
      </c>
      <c r="I68" cm="1">
        <f t="array" ref="I68">(PRODUCT(1+sp500_monthly!O69:O188)^(1/120)-1)*100</f>
        <v>0</v>
      </c>
    </row>
    <row r="69" spans="1:9" x14ac:dyDescent="0.35">
      <c r="A69" s="1">
        <v>11535</v>
      </c>
      <c r="B69" cm="1">
        <f t="array" ref="B69">(PRODUCT(1+sp500_monthly!B70:B189)^(1/120)-1)*100</f>
        <v>0.14780240941911771</v>
      </c>
      <c r="C69" cm="1">
        <f t="array" ref="C69">(PRODUCT(1+sp500_monthly!C70:C189)^(1/120)-1)*100</f>
        <v>-0.26770592242441049</v>
      </c>
      <c r="D69" cm="1">
        <f t="array" ref="D69">(PRODUCT(1+sp500_monthly!D70:D189)^(1/120)-1)*100</f>
        <v>0.35120098111405262</v>
      </c>
      <c r="E69" cm="1">
        <f t="array" ref="E69">(PRODUCT(1+sp500_monthly!E70:E189)^(1/120)-1)*100</f>
        <v>4.1622676698893635E-2</v>
      </c>
      <c r="F69" cm="1">
        <f t="array" ref="F69">(PRODUCT(1+sp500_monthly!K70:K189)^(1/120)-1)*100</f>
        <v>-0.23201459387716117</v>
      </c>
      <c r="G69" cm="1">
        <f t="array" ref="G69">(PRODUCT(1+sp500_monthly!L70:L189)^(1/120)-1)</f>
        <v>1.9663561941665186E-2</v>
      </c>
      <c r="H69" cm="1">
        <f t="array" ref="H69">(PRODUCT(1+sp500_monthly!N70:N189)^(1/120)-1)*100</f>
        <v>0</v>
      </c>
      <c r="I69" cm="1">
        <f t="array" ref="I69">(PRODUCT(1+sp500_monthly!O70:O189)^(1/120)-1)*100</f>
        <v>0</v>
      </c>
    </row>
    <row r="70" spans="1:9" x14ac:dyDescent="0.35">
      <c r="A70" s="1">
        <v>11566</v>
      </c>
      <c r="B70" cm="1">
        <f t="array" ref="B70">(PRODUCT(1+sp500_monthly!B71:B190)^(1/120)-1)*100</f>
        <v>0.14040633383758383</v>
      </c>
      <c r="C70" cm="1">
        <f t="array" ref="C70">(PRODUCT(1+sp500_monthly!C71:C190)^(1/120)-1)*100</f>
        <v>-0.27774933517846767</v>
      </c>
      <c r="D70" cm="1">
        <f t="array" ref="D70">(PRODUCT(1+sp500_monthly!D71:D190)^(1/120)-1)*100</f>
        <v>0.3519795371414558</v>
      </c>
      <c r="E70" cm="1">
        <f t="array" ref="E70">(PRODUCT(1+sp500_monthly!E71:E190)^(1/120)-1)*100</f>
        <v>4.0622282154578748E-2</v>
      </c>
      <c r="F70" cm="1">
        <f t="array" ref="F70">(PRODUCT(1+sp500_monthly!K71:K190)^(1/120)-1)*100</f>
        <v>-0.24708107623899744</v>
      </c>
      <c r="G70" cm="1">
        <f t="array" ref="G70">(PRODUCT(1+sp500_monthly!L71:L190)^(1/120)-1)</f>
        <v>1.9496958522361663E-2</v>
      </c>
      <c r="H70" cm="1">
        <f t="array" ref="H70">(PRODUCT(1+sp500_monthly!N71:N190)^(1/120)-1)*100</f>
        <v>0</v>
      </c>
      <c r="I70" cm="1">
        <f t="array" ref="I70">(PRODUCT(1+sp500_monthly!O71:O190)^(1/120)-1)*100</f>
        <v>0</v>
      </c>
    </row>
    <row r="71" spans="1:9" x14ac:dyDescent="0.35">
      <c r="A71" s="1">
        <v>11596</v>
      </c>
      <c r="B71" cm="1">
        <f t="array" ref="B71">(PRODUCT(1+sp500_monthly!B72:B191)^(1/120)-1)*100</f>
        <v>0.41746221206249157</v>
      </c>
      <c r="C71" cm="1">
        <f t="array" ref="C71">(PRODUCT(1+sp500_monthly!C72:C191)^(1/120)-1)*100</f>
        <v>-5.7454765671760555E-4</v>
      </c>
      <c r="D71" cm="1">
        <f t="array" ref="D71">(PRODUCT(1+sp500_monthly!D72:D191)^(1/120)-1)*100</f>
        <v>0.64185107817567033</v>
      </c>
      <c r="E71" cm="1">
        <f t="array" ref="E71">(PRODUCT(1+sp500_monthly!E72:E191)^(1/120)-1)*100</f>
        <v>0.33104245858719406</v>
      </c>
      <c r="F71" cm="1">
        <f t="array" ref="F71">(PRODUCT(1+sp500_monthly!K72:K191)^(1/120)-1)*100</f>
        <v>4.1033723022176893E-2</v>
      </c>
      <c r="G71" cm="1">
        <f t="array" ref="G71">(PRODUCT(1+sp500_monthly!L72:L191)^(1/120)-1)</f>
        <v>1.9330382324487028E-2</v>
      </c>
      <c r="H71" cm="1">
        <f t="array" ref="H71">(PRODUCT(1+sp500_monthly!N72:N191)^(1/120)-1)*100</f>
        <v>0</v>
      </c>
      <c r="I71" cm="1">
        <f t="array" ref="I71">(PRODUCT(1+sp500_monthly!O72:O191)^(1/120)-1)*100</f>
        <v>0</v>
      </c>
    </row>
    <row r="72" spans="1:9" x14ac:dyDescent="0.35">
      <c r="A72" s="1">
        <v>11627</v>
      </c>
      <c r="B72" cm="1">
        <f t="array" ref="B72">(PRODUCT(1+sp500_monthly!B73:B192)^(1/120)-1)*100</f>
        <v>0.29977562722349749</v>
      </c>
      <c r="C72" cm="1">
        <f t="array" ref="C72">(PRODUCT(1+sp500_monthly!C73:C192)^(1/120)-1)*100</f>
        <v>-0.11595261166522652</v>
      </c>
      <c r="D72" cm="1">
        <f t="array" ref="D72">(PRODUCT(1+sp500_monthly!D73:D192)^(1/120)-1)*100</f>
        <v>0.52002977895544422</v>
      </c>
      <c r="E72" cm="1">
        <f t="array" ref="E72">(PRODUCT(1+sp500_monthly!E73:E192)^(1/120)-1)*100</f>
        <v>0.21247314162466946</v>
      </c>
      <c r="F72" cm="1">
        <f t="array" ref="F72">(PRODUCT(1+sp500_monthly!K73:K192)^(1/120)-1)*100</f>
        <v>-8.5744130012543884E-2</v>
      </c>
      <c r="G72" cm="1">
        <f t="array" ref="G72">(PRODUCT(1+sp500_monthly!L73:L192)^(1/120)-1)</f>
        <v>1.8521099070754721E-2</v>
      </c>
      <c r="H72" cm="1">
        <f t="array" ref="H72">(PRODUCT(1+sp500_monthly!N73:N192)^(1/120)-1)*100</f>
        <v>0</v>
      </c>
      <c r="I72" cm="1">
        <f t="array" ref="I72">(PRODUCT(1+sp500_monthly!O73:O192)^(1/120)-1)*100</f>
        <v>0</v>
      </c>
    </row>
    <row r="73" spans="1:9" x14ac:dyDescent="0.35">
      <c r="A73" s="1">
        <v>11657</v>
      </c>
      <c r="B73" cm="1">
        <f t="array" ref="B73">(PRODUCT(1+sp500_monthly!B74:B193)^(1/120)-1)*100</f>
        <v>0.36761739750892364</v>
      </c>
      <c r="C73" cm="1">
        <f t="array" ref="C73">(PRODUCT(1+sp500_monthly!C74:C193)^(1/120)-1)*100</f>
        <v>-5.5307757936506885E-2</v>
      </c>
      <c r="D73" cm="1">
        <f t="array" ref="D73">(PRODUCT(1+sp500_monthly!D74:D193)^(1/120)-1)*100</f>
        <v>0.58661547446041684</v>
      </c>
      <c r="E73" cm="1">
        <f t="array" ref="E73">(PRODUCT(1+sp500_monthly!E74:E193)^(1/120)-1)*100</f>
        <v>0.27191365764902553</v>
      </c>
      <c r="F73" cm="1">
        <f t="array" ref="F73">(PRODUCT(1+sp500_monthly!K74:K193)^(1/120)-1)*100</f>
        <v>-3.5841421551097152E-2</v>
      </c>
      <c r="G73" cm="1">
        <f t="array" ref="G73">(PRODUCT(1+sp500_monthly!L74:L193)^(1/120)-1)</f>
        <v>1.7189373528688767E-2</v>
      </c>
      <c r="H73" cm="1">
        <f t="array" ref="H73">(PRODUCT(1+sp500_monthly!N74:N193)^(1/120)-1)*100</f>
        <v>0</v>
      </c>
      <c r="I73" cm="1">
        <f t="array" ref="I73">(PRODUCT(1+sp500_monthly!O74:O193)^(1/120)-1)*100</f>
        <v>0</v>
      </c>
    </row>
    <row r="74" spans="1:9" x14ac:dyDescent="0.35">
      <c r="A74" s="1">
        <v>11688</v>
      </c>
      <c r="B74" cm="1">
        <f t="array" ref="B74">(PRODUCT(1+sp500_monthly!B75:B194)^(1/120)-1)*100</f>
        <v>0.45829757804689564</v>
      </c>
      <c r="C74" cm="1">
        <f t="array" ref="C74">(PRODUCT(1+sp500_monthly!C75:C194)^(1/120)-1)*100</f>
        <v>3.6265452428763112E-2</v>
      </c>
      <c r="D74" cm="1">
        <f t="array" ref="D74">(PRODUCT(1+sp500_monthly!D75:D194)^(1/120)-1)*100</f>
        <v>0.70894206880525168</v>
      </c>
      <c r="E74" cm="1">
        <f t="array" ref="E74">(PRODUCT(1+sp500_monthly!E75:E194)^(1/120)-1)*100</f>
        <v>0.39404455286693452</v>
      </c>
      <c r="F74" cm="1">
        <f t="array" ref="F74">(PRODUCT(1+sp500_monthly!K75:K194)^(1/120)-1)*100</f>
        <v>5.6551411428440446E-2</v>
      </c>
      <c r="G74" cm="1">
        <f t="array" ref="G74">(PRODUCT(1+sp500_monthly!L75:L194)^(1/120)-1)</f>
        <v>1.631345618155855E-2</v>
      </c>
      <c r="H74" cm="1">
        <f t="array" ref="H74">(PRODUCT(1+sp500_monthly!N75:N194)^(1/120)-1)*100</f>
        <v>0</v>
      </c>
      <c r="I74" cm="1">
        <f t="array" ref="I74">(PRODUCT(1+sp500_monthly!O75:O194)^(1/120)-1)*100</f>
        <v>0</v>
      </c>
    </row>
    <row r="75" spans="1:9" x14ac:dyDescent="0.35">
      <c r="A75" s="1">
        <v>11718</v>
      </c>
      <c r="B75" cm="1">
        <f t="array" ref="B75">(PRODUCT(1+sp500_monthly!B76:B195)^(1/120)-1)*100</f>
        <v>0.49263803128181127</v>
      </c>
      <c r="C75" cm="1">
        <f t="array" ref="C75">(PRODUCT(1+sp500_monthly!C76:C195)^(1/120)-1)*100</f>
        <v>7.1051589217940858E-2</v>
      </c>
      <c r="D75" cm="1">
        <f t="array" ref="D75">(PRODUCT(1+sp500_monthly!D76:D195)^(1/120)-1)*100</f>
        <v>0.73231802699573745</v>
      </c>
      <c r="E75" cm="1">
        <f t="array" ref="E75">(PRODUCT(1+sp500_monthly!E76:E195)^(1/120)-1)*100</f>
        <v>0.41938563156531661</v>
      </c>
      <c r="F75" cm="1">
        <f t="array" ref="F75">(PRODUCT(1+sp500_monthly!K76:K195)^(1/120)-1)*100</f>
        <v>9.1951357407471512E-2</v>
      </c>
      <c r="G75" cm="1">
        <f t="array" ref="G75">(PRODUCT(1+sp500_monthly!L76:L195)^(1/120)-1)</f>
        <v>1.4729145596539706E-2</v>
      </c>
      <c r="H75" cm="1">
        <f t="array" ref="H75">(PRODUCT(1+sp500_monthly!N76:N195)^(1/120)-1)*100</f>
        <v>0</v>
      </c>
      <c r="I75" cm="1">
        <f t="array" ref="I75">(PRODUCT(1+sp500_monthly!O76:O195)^(1/120)-1)*100</f>
        <v>0</v>
      </c>
    </row>
    <row r="76" spans="1:9" x14ac:dyDescent="0.35">
      <c r="A76" s="1">
        <v>11748</v>
      </c>
      <c r="B76" cm="1">
        <f t="array" ref="B76">(PRODUCT(1+sp500_monthly!B77:B196)^(1/120)-1)*100</f>
        <v>0.4340349201156668</v>
      </c>
      <c r="C76" cm="1">
        <f t="array" ref="C76">(PRODUCT(1+sp500_monthly!C77:C196)^(1/120)-1)*100</f>
        <v>1.3368483893794192E-2</v>
      </c>
      <c r="D76" cm="1">
        <f t="array" ref="D76">(PRODUCT(1+sp500_monthly!D77:D196)^(1/120)-1)*100</f>
        <v>0.69252856500434667</v>
      </c>
      <c r="E76" cm="1">
        <f t="array" ref="E76">(PRODUCT(1+sp500_monthly!E77:E196)^(1/120)-1)*100</f>
        <v>0.3787385453715153</v>
      </c>
      <c r="F76" cm="1">
        <f t="array" ref="F76">(PRODUCT(1+sp500_monthly!K77:K196)^(1/120)-1)*100</f>
        <v>2.962779294370943E-2</v>
      </c>
      <c r="G76" cm="1">
        <f t="array" ref="G76">(PRODUCT(1+sp500_monthly!L77:L196)^(1/120)-1)</f>
        <v>1.3064126279462629E-2</v>
      </c>
      <c r="H76" cm="1">
        <f t="array" ref="H76">(PRODUCT(1+sp500_monthly!N77:N196)^(1/120)-1)*100</f>
        <v>0</v>
      </c>
      <c r="I76" cm="1">
        <f t="array" ref="I76">(PRODUCT(1+sp500_monthly!O77:O196)^(1/120)-1)*100</f>
        <v>0</v>
      </c>
    </row>
    <row r="77" spans="1:9" x14ac:dyDescent="0.35">
      <c r="A77" s="1">
        <v>11779</v>
      </c>
      <c r="B77" cm="1">
        <f t="array" ref="B77">(PRODUCT(1+sp500_monthly!B78:B197)^(1/120)-1)*100</f>
        <v>0.4845823948514294</v>
      </c>
      <c r="C77" cm="1">
        <f t="array" ref="C77">(PRODUCT(1+sp500_monthly!C78:C197)^(1/120)-1)*100</f>
        <v>6.4712741241312877E-2</v>
      </c>
      <c r="D77" cm="1">
        <f t="array" ref="D77">(PRODUCT(1+sp500_monthly!D78:D197)^(1/120)-1)*100</f>
        <v>0.77732483410863917</v>
      </c>
      <c r="E77" cm="1">
        <f t="array" ref="E77">(PRODUCT(1+sp500_monthly!E78:E197)^(1/120)-1)*100</f>
        <v>0.46271078926389819</v>
      </c>
      <c r="F77" cm="1">
        <f t="array" ref="F77">(PRODUCT(1+sp500_monthly!K78:K197)^(1/120)-1)*100</f>
        <v>7.6235317010264758E-2</v>
      </c>
      <c r="G77" cm="1">
        <f t="array" ref="G77">(PRODUCT(1+sp500_monthly!L78:L197)^(1/120)-1)</f>
        <v>1.1895811646579713E-2</v>
      </c>
      <c r="H77" cm="1">
        <f t="array" ref="H77">(PRODUCT(1+sp500_monthly!N78:N197)^(1/120)-1)*100</f>
        <v>0</v>
      </c>
      <c r="I77" cm="1">
        <f t="array" ref="I77">(PRODUCT(1+sp500_monthly!O78:O197)^(1/120)-1)*100</f>
        <v>0</v>
      </c>
    </row>
    <row r="78" spans="1:9" x14ac:dyDescent="0.35">
      <c r="A78" s="1">
        <v>11809</v>
      </c>
      <c r="B78" cm="1">
        <f t="array" ref="B78">(PRODUCT(1+sp500_monthly!B79:B198)^(1/120)-1)*100</f>
        <v>0.64469463057490461</v>
      </c>
      <c r="C78" cm="1">
        <f t="array" ref="C78">(PRODUCT(1+sp500_monthly!C79:C198)^(1/120)-1)*100</f>
        <v>0.2245912652447446</v>
      </c>
      <c r="D78" cm="1">
        <f t="array" ref="D78">(PRODUCT(1+sp500_monthly!D79:D198)^(1/120)-1)*100</f>
        <v>0.92543099086523917</v>
      </c>
      <c r="E78" cm="1">
        <f t="array" ref="E78">(PRODUCT(1+sp500_monthly!E79:E198)^(1/120)-1)*100</f>
        <v>0.60947468855712117</v>
      </c>
      <c r="F78" cm="1">
        <f t="array" ref="F78">(PRODUCT(1+sp500_monthly!K79:K198)^(1/120)-1)*100</f>
        <v>0.22775475516192412</v>
      </c>
      <c r="G78" cm="1">
        <f t="array" ref="G78">(PRODUCT(1+sp500_monthly!L79:L198)^(1/120)-1)</f>
        <v>1.1100018362637964E-2</v>
      </c>
      <c r="H78" cm="1">
        <f t="array" ref="H78">(PRODUCT(1+sp500_monthly!N79:N198)^(1/120)-1)*100</f>
        <v>0</v>
      </c>
      <c r="I78" cm="1">
        <f t="array" ref="I78">(PRODUCT(1+sp500_monthly!O79:O198)^(1/120)-1)*100</f>
        <v>0</v>
      </c>
    </row>
    <row r="79" spans="1:9" x14ac:dyDescent="0.35">
      <c r="A79" s="1">
        <v>11840</v>
      </c>
      <c r="B79" cm="1">
        <f t="array" ref="B79">(PRODUCT(1+sp500_monthly!B80:B199)^(1/120)-1)*100</f>
        <v>0.92361555555626751</v>
      </c>
      <c r="C79" cm="1">
        <f t="array" ref="C79">(PRODUCT(1+sp500_monthly!C80:C199)^(1/120)-1)*100</f>
        <v>0.50308389719595503</v>
      </c>
      <c r="D79" cm="1">
        <f t="array" ref="D79">(PRODUCT(1+sp500_monthly!D80:D199)^(1/120)-1)*100</f>
        <v>1.2569012883369757</v>
      </c>
      <c r="E79" cm="1">
        <f t="array" ref="E79">(PRODUCT(1+sp500_monthly!E80:E199)^(1/120)-1)*100</f>
        <v>0.93976835171627471</v>
      </c>
      <c r="F79" cm="1">
        <f t="array" ref="F79">(PRODUCT(1+sp500_monthly!K80:K199)^(1/120)-1)*100</f>
        <v>0.50177937188311539</v>
      </c>
      <c r="G79" cm="1">
        <f t="array" ref="G79">(PRODUCT(1+sp500_monthly!L80:L199)^(1/120)-1)</f>
        <v>1.0858140726969667E-2</v>
      </c>
      <c r="H79" cm="1">
        <f t="array" ref="H79">(PRODUCT(1+sp500_monthly!N80:N199)^(1/120)-1)*100</f>
        <v>0</v>
      </c>
      <c r="I79" cm="1">
        <f t="array" ref="I79">(PRODUCT(1+sp500_monthly!O80:O199)^(1/120)-1)*100</f>
        <v>0</v>
      </c>
    </row>
    <row r="80" spans="1:9" x14ac:dyDescent="0.35">
      <c r="A80" s="1">
        <v>11870</v>
      </c>
      <c r="B80" cm="1">
        <f t="array" ref="B80">(PRODUCT(1+sp500_monthly!B81:B200)^(1/120)-1)*100</f>
        <v>0.94086398270800675</v>
      </c>
      <c r="C80" cm="1">
        <f t="array" ref="C80">(PRODUCT(1+sp500_monthly!C81:C200)^(1/120)-1)*100</f>
        <v>0.52265189367923792</v>
      </c>
      <c r="D80" cm="1">
        <f t="array" ref="D80">(PRODUCT(1+sp500_monthly!D81:D200)^(1/120)-1)*100</f>
        <v>1.2429809419562066</v>
      </c>
      <c r="E80" cm="1">
        <f t="array" ref="E80">(PRODUCT(1+sp500_monthly!E81:E200)^(1/120)-1)*100</f>
        <v>0.92688975167962706</v>
      </c>
      <c r="F80" cm="1">
        <f t="array" ref="F80">(PRODUCT(1+sp500_monthly!K81:K200)^(1/120)-1)*100</f>
        <v>0.52458494230473995</v>
      </c>
      <c r="G80" cm="1">
        <f t="array" ref="G80">(PRODUCT(1+sp500_monthly!L81:L200)^(1/120)-1)</f>
        <v>1.0858140726969667E-2</v>
      </c>
      <c r="H80" cm="1">
        <f t="array" ref="H80">(PRODUCT(1+sp500_monthly!N81:N200)^(1/120)-1)*100</f>
        <v>0</v>
      </c>
      <c r="I80" cm="1">
        <f t="array" ref="I80">(PRODUCT(1+sp500_monthly!O81:O200)^(1/120)-1)*100</f>
        <v>0</v>
      </c>
    </row>
    <row r="81" spans="1:9" x14ac:dyDescent="0.35">
      <c r="A81" s="1">
        <v>11900</v>
      </c>
      <c r="B81" cm="1">
        <f t="array" ref="B81">(PRODUCT(1+sp500_monthly!B82:B201)^(1/120)-1)*100</f>
        <v>0.69283104686777008</v>
      </c>
      <c r="C81" cm="1">
        <f t="array" ref="C81">(PRODUCT(1+sp500_monthly!C82:C201)^(1/120)-1)*100</f>
        <v>0.27536118460786962</v>
      </c>
      <c r="D81" cm="1">
        <f t="array" ref="D81">(PRODUCT(1+sp500_monthly!D82:D201)^(1/120)-1)*100</f>
        <v>0.9162764257073075</v>
      </c>
      <c r="E81" cm="1">
        <f t="array" ref="E81">(PRODUCT(1+sp500_monthly!E82:E201)^(1/120)-1)*100</f>
        <v>0.60077067668311557</v>
      </c>
      <c r="F81" cm="1">
        <f t="array" ref="F81">(PRODUCT(1+sp500_monthly!K82:K201)^(1/120)-1)*100</f>
        <v>0.28274218511965543</v>
      </c>
      <c r="G81" cm="1">
        <f t="array" ref="G81">(PRODUCT(1+sp500_monthly!L82:L201)^(1/120)-1)</f>
        <v>1.0858140726969667E-2</v>
      </c>
      <c r="H81" cm="1">
        <f t="array" ref="H81">(PRODUCT(1+sp500_monthly!N82:N201)^(1/120)-1)*100</f>
        <v>0</v>
      </c>
      <c r="I81" cm="1">
        <f t="array" ref="I81">(PRODUCT(1+sp500_monthly!O82:O201)^(1/120)-1)*100</f>
        <v>0</v>
      </c>
    </row>
    <row r="82" spans="1:9" x14ac:dyDescent="0.35">
      <c r="A82" s="1">
        <v>11932</v>
      </c>
      <c r="B82" cm="1">
        <f t="array" ref="B82">(PRODUCT(1+sp500_monthly!B83:B202)^(1/120)-1)*100</f>
        <v>0.422452351699798</v>
      </c>
      <c r="C82" cm="1">
        <f t="array" ref="C82">(PRODUCT(1+sp500_monthly!C83:C202)^(1/120)-1)*100</f>
        <v>4.3227129202128012E-3</v>
      </c>
      <c r="D82" cm="1">
        <f t="array" ref="D82">(PRODUCT(1+sp500_monthly!D83:D202)^(1/120)-1)*100</f>
        <v>0.49076441312807528</v>
      </c>
      <c r="E82" cm="1">
        <f t="array" ref="E82">(PRODUCT(1+sp500_monthly!E83:E202)^(1/120)-1)*100</f>
        <v>0.17384238264763763</v>
      </c>
      <c r="F82" cm="1">
        <f t="array" ref="F82">(PRODUCT(1+sp500_monthly!K83:K202)^(1/120)-1)*100</f>
        <v>2.253966325729273E-2</v>
      </c>
      <c r="G82" cm="1">
        <f t="array" ref="G82">(PRODUCT(1+sp500_monthly!L83:L202)^(1/120)-1)</f>
        <v>1.0858140726969667E-2</v>
      </c>
      <c r="H82" cm="1">
        <f t="array" ref="H82">(PRODUCT(1+sp500_monthly!N83:N202)^(1/120)-1)*100</f>
        <v>0</v>
      </c>
      <c r="I82" cm="1">
        <f t="array" ref="I82">(PRODUCT(1+sp500_monthly!O83:O202)^(1/120)-1)*100</f>
        <v>0</v>
      </c>
    </row>
    <row r="83" spans="1:9" x14ac:dyDescent="0.35">
      <c r="A83" s="1">
        <v>11962</v>
      </c>
      <c r="B83" cm="1">
        <f t="array" ref="B83">(PRODUCT(1+sp500_monthly!B84:B203)^(1/120)-1)*100</f>
        <v>0.4742705773077116</v>
      </c>
      <c r="C83" cm="1">
        <f t="array" ref="C83">(PRODUCT(1+sp500_monthly!C84:C203)^(1/120)-1)*100</f>
        <v>5.6012202421817925E-2</v>
      </c>
      <c r="D83" cm="1">
        <f t="array" ref="D83">(PRODUCT(1+sp500_monthly!D84:D203)^(1/120)-1)*100</f>
        <v>0.58962764283880809</v>
      </c>
      <c r="E83" cm="1">
        <f t="array" ref="E83">(PRODUCT(1+sp500_monthly!E84:E203)^(1/120)-1)*100</f>
        <v>0.27083500674436323</v>
      </c>
      <c r="F83" cm="1">
        <f t="array" ref="F83">(PRODUCT(1+sp500_monthly!K84:K203)^(1/120)-1)*100</f>
        <v>7.5883527411346741E-2</v>
      </c>
      <c r="G83" cm="1">
        <f t="array" ref="G83">(PRODUCT(1+sp500_monthly!L84:L203)^(1/120)-1)</f>
        <v>1.0858140726969667E-2</v>
      </c>
      <c r="H83" cm="1">
        <f t="array" ref="H83">(PRODUCT(1+sp500_monthly!N84:N203)^(1/120)-1)*100</f>
        <v>0</v>
      </c>
      <c r="I83" cm="1">
        <f t="array" ref="I83">(PRODUCT(1+sp500_monthly!O84:O203)^(1/120)-1)*100</f>
        <v>0</v>
      </c>
    </row>
    <row r="84" spans="1:9" x14ac:dyDescent="0.35">
      <c r="A84" s="1">
        <v>11993</v>
      </c>
      <c r="B84" cm="1">
        <f t="array" ref="B84">(PRODUCT(1+sp500_monthly!B85:B204)^(1/120)-1)*100</f>
        <v>0.65771530343261553</v>
      </c>
      <c r="C84" cm="1">
        <f t="array" ref="C84">(PRODUCT(1+sp500_monthly!C85:C204)^(1/120)-1)*100</f>
        <v>0.23865581185542606</v>
      </c>
      <c r="D84" cm="1">
        <f t="array" ref="D84">(PRODUCT(1+sp500_monthly!D85:D204)^(1/120)-1)*100</f>
        <v>0.85177261312285868</v>
      </c>
      <c r="E84" cm="1">
        <f t="array" ref="E84">(PRODUCT(1+sp500_monthly!E85:E204)^(1/120)-1)*100</f>
        <v>0.53212587142941192</v>
      </c>
      <c r="F84" cm="1">
        <f t="array" ref="F84">(PRODUCT(1+sp500_monthly!K85:K204)^(1/120)-1)*100</f>
        <v>0.25253173908068582</v>
      </c>
      <c r="G84" cm="1">
        <f t="array" ref="G84">(PRODUCT(1+sp500_monthly!L85:L204)^(1/120)-1)</f>
        <v>1.0940328308458591E-2</v>
      </c>
      <c r="H84" cm="1">
        <f t="array" ref="H84">(PRODUCT(1+sp500_monthly!N85:N204)^(1/120)-1)*100</f>
        <v>0</v>
      </c>
      <c r="I84" cm="1">
        <f t="array" ref="I84">(PRODUCT(1+sp500_monthly!O85:O204)^(1/120)-1)*100</f>
        <v>0</v>
      </c>
    </row>
    <row r="85" spans="1:9" x14ac:dyDescent="0.35">
      <c r="A85" s="1">
        <v>12023</v>
      </c>
      <c r="B85" cm="1">
        <f t="array" ref="B85">(PRODUCT(1+sp500_monthly!B86:B205)^(1/120)-1)*100</f>
        <v>0.69902669139136897</v>
      </c>
      <c r="C85" cm="1">
        <f t="array" ref="C85">(PRODUCT(1+sp500_monthly!C86:C205)^(1/120)-1)*100</f>
        <v>0.2749265745100038</v>
      </c>
      <c r="D85" cm="1">
        <f t="array" ref="D85">(PRODUCT(1+sp500_monthly!D86:D205)^(1/120)-1)*100</f>
        <v>0.9077006510401997</v>
      </c>
      <c r="E85" cm="1">
        <f t="array" ref="E85">(PRODUCT(1+sp500_monthly!E86:E205)^(1/120)-1)*100</f>
        <v>0.58039563582978904</v>
      </c>
      <c r="F85" cm="1">
        <f t="array" ref="F85">(PRODUCT(1+sp500_monthly!K86:K205)^(1/120)-1)*100</f>
        <v>0.29165312160321921</v>
      </c>
      <c r="G85" cm="1">
        <f t="array" ref="G85">(PRODUCT(1+sp500_monthly!L86:L205)^(1/120)-1)</f>
        <v>1.1022522572189164E-2</v>
      </c>
      <c r="H85" cm="1">
        <f t="array" ref="H85">(PRODUCT(1+sp500_monthly!N86:N205)^(1/120)-1)*100</f>
        <v>0</v>
      </c>
      <c r="I85" cm="1">
        <f t="array" ref="I85">(PRODUCT(1+sp500_monthly!O86:O205)^(1/120)-1)*100</f>
        <v>0</v>
      </c>
    </row>
    <row r="86" spans="1:9" x14ac:dyDescent="0.35">
      <c r="A86" s="1">
        <v>12054</v>
      </c>
      <c r="B86" cm="1">
        <f t="array" ref="B86">(PRODUCT(1+sp500_monthly!B87:B206)^(1/120)-1)*100</f>
        <v>0.69583342240664425</v>
      </c>
      <c r="C86" cm="1">
        <f t="array" ref="C86">(PRODUCT(1+sp500_monthly!C87:C206)^(1/120)-1)*100</f>
        <v>0.27230559805915266</v>
      </c>
      <c r="D86" cm="1">
        <f t="array" ref="D86">(PRODUCT(1+sp500_monthly!D87:D206)^(1/120)-1)*100</f>
        <v>0.92886185571650071</v>
      </c>
      <c r="E86" cm="1">
        <f t="array" ref="E86">(PRODUCT(1+sp500_monthly!E87:E206)^(1/120)-1)*100</f>
        <v>0.59771697370858412</v>
      </c>
      <c r="F86" cm="1">
        <f t="array" ref="F86">(PRODUCT(1+sp500_monthly!K87:K206)^(1/120)-1)*100</f>
        <v>0.2914624148102174</v>
      </c>
      <c r="G86" cm="1">
        <f t="array" ref="G86">(PRODUCT(1+sp500_monthly!L87:L206)^(1/120)-1)</f>
        <v>1.1187741122225425E-2</v>
      </c>
      <c r="H86" cm="1">
        <f t="array" ref="H86">(PRODUCT(1+sp500_monthly!N87:N206)^(1/120)-1)*100</f>
        <v>0</v>
      </c>
      <c r="I86" cm="1">
        <f t="array" ref="I86">(PRODUCT(1+sp500_monthly!O87:O206)^(1/120)-1)*100</f>
        <v>0</v>
      </c>
    </row>
    <row r="87" spans="1:9" x14ac:dyDescent="0.35">
      <c r="A87" s="1">
        <v>12085</v>
      </c>
      <c r="B87" cm="1">
        <f t="array" ref="B87">(PRODUCT(1+sp500_monthly!B88:B207)^(1/120)-1)*100</f>
        <v>0.74291055590252064</v>
      </c>
      <c r="C87" cm="1">
        <f t="array" ref="C87">(PRODUCT(1+sp500_monthly!C88:C207)^(1/120)-1)*100</f>
        <v>0.31923907765527559</v>
      </c>
      <c r="D87" cm="1">
        <f t="array" ref="D87">(PRODUCT(1+sp500_monthly!D88:D207)^(1/120)-1)*100</f>
        <v>0.98463151919341296</v>
      </c>
      <c r="E87" cm="1">
        <f t="array" ref="E87">(PRODUCT(1+sp500_monthly!E88:E207)^(1/120)-1)*100</f>
        <v>0.65327150108578369</v>
      </c>
      <c r="F87" cm="1">
        <f t="array" ref="F87">(PRODUCT(1+sp500_monthly!K88:K207)^(1/120)-1)*100</f>
        <v>0.34326534387192353</v>
      </c>
      <c r="G87" cm="1">
        <f t="array" ref="G87">(PRODUCT(1+sp500_monthly!L88:L207)^(1/120)-1)</f>
        <v>1.1352986671827603E-2</v>
      </c>
      <c r="H87" cm="1">
        <f t="array" ref="H87">(PRODUCT(1+sp500_monthly!N88:N207)^(1/120)-1)*100</f>
        <v>0</v>
      </c>
      <c r="I87" cm="1">
        <f t="array" ref="I87">(PRODUCT(1+sp500_monthly!O88:O207)^(1/120)-1)*100</f>
        <v>0</v>
      </c>
    </row>
    <row r="88" spans="1:9" x14ac:dyDescent="0.35">
      <c r="A88" s="1">
        <v>12113</v>
      </c>
      <c r="B88" cm="1">
        <f t="array" ref="B88">(PRODUCT(1+sp500_monthly!B89:B208)^(1/120)-1)*100</f>
        <v>0.957021428977467</v>
      </c>
      <c r="C88" cm="1">
        <f t="array" ref="C88">(PRODUCT(1+sp500_monthly!C89:C208)^(1/120)-1)*100</f>
        <v>0.53446495762221602</v>
      </c>
      <c r="D88" cm="1">
        <f t="array" ref="D88">(PRODUCT(1+sp500_monthly!D89:D208)^(1/120)-1)*100</f>
        <v>1.2642769511658658</v>
      </c>
      <c r="E88" cm="1">
        <f t="array" ref="E88">(PRODUCT(1+sp500_monthly!E89:E208)^(1/120)-1)*100</f>
        <v>0.93163406596648013</v>
      </c>
      <c r="F88" cm="1">
        <f t="array" ref="F88">(PRODUCT(1+sp500_monthly!K89:K208)^(1/120)-1)*100</f>
        <v>0.55526280983604348</v>
      </c>
      <c r="G88" cm="1">
        <f t="array" ref="G88">(PRODUCT(1+sp500_monthly!L89:L208)^(1/120)-1)</f>
        <v>1.1858941466202477E-2</v>
      </c>
      <c r="H88" cm="1">
        <f t="array" ref="H88">(PRODUCT(1+sp500_monthly!N89:N208)^(1/120)-1)*100</f>
        <v>0</v>
      </c>
      <c r="I88" cm="1">
        <f t="array" ref="I88">(PRODUCT(1+sp500_monthly!O89:O208)^(1/120)-1)*100</f>
        <v>0</v>
      </c>
    </row>
    <row r="89" spans="1:9" x14ac:dyDescent="0.35">
      <c r="A89" s="1">
        <v>12144</v>
      </c>
      <c r="B89" cm="1">
        <f t="array" ref="B89">(PRODUCT(1+sp500_monthly!B90:B209)^(1/120)-1)*100</f>
        <v>0.97368646502642431</v>
      </c>
      <c r="C89" cm="1">
        <f t="array" ref="C89">(PRODUCT(1+sp500_monthly!C90:C209)^(1/120)-1)*100</f>
        <v>0.55260617076722252</v>
      </c>
      <c r="D89" cm="1">
        <f t="array" ref="D89">(PRODUCT(1+sp500_monthly!D90:D209)^(1/120)-1)*100</f>
        <v>1.2698731567575949</v>
      </c>
      <c r="E89" cm="1">
        <f t="array" ref="E89">(PRODUCT(1+sp500_monthly!E90:E209)^(1/120)-1)*100</f>
        <v>0.9364091626864024</v>
      </c>
      <c r="F89" cm="1">
        <f t="array" ref="F89">(PRODUCT(1+sp500_monthly!K90:K209)^(1/120)-1)*100</f>
        <v>0.57065403674863013</v>
      </c>
      <c r="G89" cm="1">
        <f t="array" ref="G89">(PRODUCT(1+sp500_monthly!L90:L209)^(1/120)-1)</f>
        <v>1.1777473988063614E-2</v>
      </c>
      <c r="H89" cm="1">
        <f t="array" ref="H89">(PRODUCT(1+sp500_monthly!N90:N209)^(1/120)-1)*100</f>
        <v>0</v>
      </c>
      <c r="I89" cm="1">
        <f t="array" ref="I89">(PRODUCT(1+sp500_monthly!O90:O209)^(1/120)-1)*100</f>
        <v>0</v>
      </c>
    </row>
    <row r="90" spans="1:9" x14ac:dyDescent="0.35">
      <c r="A90" s="1">
        <v>12173</v>
      </c>
      <c r="B90" cm="1">
        <f t="array" ref="B90">(PRODUCT(1+sp500_monthly!B91:B210)^(1/120)-1)*100</f>
        <v>0.68543040147934775</v>
      </c>
      <c r="C90" cm="1">
        <f t="array" ref="C90">(PRODUCT(1+sp500_monthly!C91:C210)^(1/120)-1)*100</f>
        <v>0.26570066208166931</v>
      </c>
      <c r="D90" cm="1">
        <f t="array" ref="D90">(PRODUCT(1+sp500_monthly!D91:D210)^(1/120)-1)*100</f>
        <v>0.93983273434714576</v>
      </c>
      <c r="E90" cm="1">
        <f t="array" ref="E90">(PRODUCT(1+sp500_monthly!E91:E210)^(1/120)-1)*100</f>
        <v>0.60722099101291338</v>
      </c>
      <c r="F90" cm="1">
        <f t="array" ref="F90">(PRODUCT(1+sp500_monthly!K91:K210)^(1/120)-1)*100</f>
        <v>0.27661651201447146</v>
      </c>
      <c r="G90" cm="1">
        <f t="array" ref="G90">(PRODUCT(1+sp500_monthly!L91:L210)^(1/120)-1)</f>
        <v>1.1223244485054407E-2</v>
      </c>
      <c r="H90" cm="1">
        <f t="array" ref="H90">(PRODUCT(1+sp500_monthly!N91:N210)^(1/120)-1)*100</f>
        <v>0</v>
      </c>
      <c r="I90" cm="1">
        <f t="array" ref="I90">(PRODUCT(1+sp500_monthly!O91:O210)^(1/120)-1)*100</f>
        <v>0</v>
      </c>
    </row>
    <row r="91" spans="1:9" x14ac:dyDescent="0.35">
      <c r="A91" s="1">
        <v>12205</v>
      </c>
      <c r="B91" cm="1">
        <f t="array" ref="B91">(PRODUCT(1+sp500_monthly!B92:B211)^(1/120)-1)*100</f>
        <v>0.59338296711304306</v>
      </c>
      <c r="C91" cm="1">
        <f t="array" ref="C91">(PRODUCT(1+sp500_monthly!C92:C211)^(1/120)-1)*100</f>
        <v>0.17173992651084991</v>
      </c>
      <c r="D91" cm="1">
        <f t="array" ref="D91">(PRODUCT(1+sp500_monthly!D92:D211)^(1/120)-1)*100</f>
        <v>0.76714238033390725</v>
      </c>
      <c r="E91" cm="1">
        <f t="array" ref="E91">(PRODUCT(1+sp500_monthly!E92:E211)^(1/120)-1)*100</f>
        <v>0.43251952494050006</v>
      </c>
      <c r="F91" cm="1">
        <f t="array" ref="F91">(PRODUCT(1+sp500_monthly!K92:K211)^(1/120)-1)*100</f>
        <v>0.19027347408646644</v>
      </c>
      <c r="G91" cm="1">
        <f t="array" ref="G91">(PRODUCT(1+sp500_monthly!L92:L211)^(1/120)-1)</f>
        <v>1.1141828188585112E-2</v>
      </c>
      <c r="H91" cm="1">
        <f t="array" ref="H91">(PRODUCT(1+sp500_monthly!N92:N211)^(1/120)-1)*100</f>
        <v>0</v>
      </c>
      <c r="I91" cm="1">
        <f t="array" ref="I91">(PRODUCT(1+sp500_monthly!O92:O211)^(1/120)-1)*100</f>
        <v>0</v>
      </c>
    </row>
    <row r="92" spans="1:9" x14ac:dyDescent="0.35">
      <c r="A92" s="1">
        <v>12235</v>
      </c>
      <c r="B92" cm="1">
        <f t="array" ref="B92">(PRODUCT(1+sp500_monthly!B93:B212)^(1/120)-1)*100</f>
        <v>0.50341396425332974</v>
      </c>
      <c r="C92" cm="1">
        <f t="array" ref="C92">(PRODUCT(1+sp500_monthly!C93:C212)^(1/120)-1)*100</f>
        <v>8.1001093130428359E-2</v>
      </c>
      <c r="D92" cm="1">
        <f t="array" ref="D92">(PRODUCT(1+sp500_monthly!D93:D212)^(1/120)-1)*100</f>
        <v>0.62029960459173417</v>
      </c>
      <c r="E92" cm="1">
        <f t="array" ref="E92">(PRODUCT(1+sp500_monthly!E93:E212)^(1/120)-1)*100</f>
        <v>0.28389557936832066</v>
      </c>
      <c r="F92" cm="1">
        <f t="array" ref="F92">(PRODUCT(1+sp500_monthly!K93:K212)^(1/120)-1)*100</f>
        <v>0.10336711859237901</v>
      </c>
      <c r="G92" cm="1">
        <f t="array" ref="G92">(PRODUCT(1+sp500_monthly!L93:L212)^(1/120)-1)</f>
        <v>1.1224038835215833E-2</v>
      </c>
      <c r="H92" cm="1">
        <f t="array" ref="H92">(PRODUCT(1+sp500_monthly!N93:N212)^(1/120)-1)*100</f>
        <v>0</v>
      </c>
      <c r="I92" cm="1">
        <f t="array" ref="I92">(PRODUCT(1+sp500_monthly!O93:O212)^(1/120)-1)*100</f>
        <v>0</v>
      </c>
    </row>
    <row r="93" spans="1:9" x14ac:dyDescent="0.35">
      <c r="A93" s="1">
        <v>12266</v>
      </c>
      <c r="B93" cm="1">
        <f t="array" ref="B93">(PRODUCT(1+sp500_monthly!B94:B213)^(1/120)-1)*100</f>
        <v>0.53188507843515698</v>
      </c>
      <c r="C93" cm="1">
        <f t="array" ref="C93">(PRODUCT(1+sp500_monthly!C94:C213)^(1/120)-1)*100</f>
        <v>0.10901249136001656</v>
      </c>
      <c r="D93" cm="1">
        <f t="array" ref="D93">(PRODUCT(1+sp500_monthly!D94:D213)^(1/120)-1)*100</f>
        <v>0.64611504740588188</v>
      </c>
      <c r="E93" cm="1">
        <f t="array" ref="E93">(PRODUCT(1+sp500_monthly!E94:E213)^(1/120)-1)*100</f>
        <v>0.30901440976041084</v>
      </c>
      <c r="F93" cm="1">
        <f t="array" ref="F93">(PRODUCT(1+sp500_monthly!K94:K213)^(1/120)-1)*100</f>
        <v>0.13367761777682841</v>
      </c>
      <c r="G93" cm="1">
        <f t="array" ref="G93">(PRODUCT(1+sp500_monthly!L94:L213)^(1/120)-1)</f>
        <v>1.1306256165963591E-2</v>
      </c>
      <c r="H93" cm="1">
        <f t="array" ref="H93">(PRODUCT(1+sp500_monthly!N94:N213)^(1/120)-1)*100</f>
        <v>0</v>
      </c>
      <c r="I93" cm="1">
        <f t="array" ref="I93">(PRODUCT(1+sp500_monthly!O94:O213)^(1/120)-1)*100</f>
        <v>0</v>
      </c>
    </row>
    <row r="94" spans="1:9" x14ac:dyDescent="0.35">
      <c r="A94" s="1">
        <v>12297</v>
      </c>
      <c r="B94" cm="1">
        <f t="array" ref="B94">(PRODUCT(1+sp500_monthly!B95:B214)^(1/120)-1)*100</f>
        <v>0.44802271197765808</v>
      </c>
      <c r="C94" cm="1">
        <f t="array" ref="C94">(PRODUCT(1+sp500_monthly!C95:C214)^(1/120)-1)*100</f>
        <v>2.3570284807084008E-2</v>
      </c>
      <c r="D94" cm="1">
        <f t="array" ref="D94">(PRODUCT(1+sp500_monthly!D95:D214)^(1/120)-1)*100</f>
        <v>0.54896638628727512</v>
      </c>
      <c r="E94" cm="1">
        <f t="array" ref="E94">(PRODUCT(1+sp500_monthly!E95:E214)^(1/120)-1)*100</f>
        <v>0.21023933734309885</v>
      </c>
      <c r="F94" cm="1">
        <f t="array" ref="F94">(PRODUCT(1+sp500_monthly!K95:K214)^(1/120)-1)*100</f>
        <v>5.1726896932535738E-2</v>
      </c>
      <c r="G94" cm="1">
        <f t="array" ref="G94">(PRODUCT(1+sp500_monthly!L95:L214)^(1/120)-1)</f>
        <v>1.1306256165963591E-2</v>
      </c>
      <c r="H94" cm="1">
        <f t="array" ref="H94">(PRODUCT(1+sp500_monthly!N95:N214)^(1/120)-1)*100</f>
        <v>0</v>
      </c>
      <c r="I94" cm="1">
        <f t="array" ref="I94">(PRODUCT(1+sp500_monthly!O95:O214)^(1/120)-1)*100</f>
        <v>0</v>
      </c>
    </row>
    <row r="95" spans="1:9" x14ac:dyDescent="0.35">
      <c r="A95" s="1">
        <v>12327</v>
      </c>
      <c r="B95" cm="1">
        <f t="array" ref="B95">(PRODUCT(1+sp500_monthly!B96:B215)^(1/120)-1)*100</f>
        <v>0.57595851554386179</v>
      </c>
      <c r="C95" cm="1">
        <f t="array" ref="C95">(PRODUCT(1+sp500_monthly!C96:C215)^(1/120)-1)*100</f>
        <v>0.15048128352137535</v>
      </c>
      <c r="D95" cm="1">
        <f t="array" ref="D95">(PRODUCT(1+sp500_monthly!D96:D215)^(1/120)-1)*100</f>
        <v>0.71023361283912845</v>
      </c>
      <c r="E95" cm="1">
        <f t="array" ref="E95">(PRODUCT(1+sp500_monthly!E96:E215)^(1/120)-1)*100</f>
        <v>0.37000108776261698</v>
      </c>
      <c r="F95" cm="1">
        <f t="array" ref="F95">(PRODUCT(1+sp500_monthly!K96:K215)^(1/120)-1)*100</f>
        <v>0.17190849742245717</v>
      </c>
      <c r="G95" cm="1">
        <f t="array" ref="G95">(PRODUCT(1+sp500_monthly!L96:L215)^(1/120)-1)</f>
        <v>1.1388480181371952E-2</v>
      </c>
      <c r="H95" cm="1">
        <f t="array" ref="H95">(PRODUCT(1+sp500_monthly!N96:N215)^(1/120)-1)*100</f>
        <v>0</v>
      </c>
      <c r="I95" cm="1">
        <f t="array" ref="I95">(PRODUCT(1+sp500_monthly!O96:O215)^(1/120)-1)*100</f>
        <v>0</v>
      </c>
    </row>
    <row r="96" spans="1:9" x14ac:dyDescent="0.35">
      <c r="A96" s="1">
        <v>12358</v>
      </c>
      <c r="B96" cm="1">
        <f t="array" ref="B96">(PRODUCT(1+sp500_monthly!B97:B216)^(1/120)-1)*100</f>
        <v>0.64578005507958114</v>
      </c>
      <c r="C96" cm="1">
        <f t="array" ref="C96">(PRODUCT(1+sp500_monthly!C97:C216)^(1/120)-1)*100</f>
        <v>0.22017560233771327</v>
      </c>
      <c r="D96" cm="1">
        <f t="array" ref="D96">(PRODUCT(1+sp500_monthly!D97:D216)^(1/120)-1)*100</f>
        <v>0.80905464969638352</v>
      </c>
      <c r="E96" cm="1">
        <f t="array" ref="E96">(PRODUCT(1+sp500_monthly!E97:E216)^(1/120)-1)*100</f>
        <v>0.46792711523595543</v>
      </c>
      <c r="F96" cm="1">
        <f t="array" ref="F96">(PRODUCT(1+sp500_monthly!K97:K216)^(1/120)-1)*100</f>
        <v>0.2381571093294399</v>
      </c>
      <c r="G96" cm="1">
        <f t="array" ref="G96">(PRODUCT(1+sp500_monthly!L97:L216)^(1/120)-1)</f>
        <v>1.1553758535205016E-2</v>
      </c>
      <c r="H96" cm="1">
        <f t="array" ref="H96">(PRODUCT(1+sp500_monthly!N97:N216)^(1/120)-1)*100</f>
        <v>0</v>
      </c>
      <c r="I96" cm="1">
        <f t="array" ref="I96">(PRODUCT(1+sp500_monthly!O97:O216)^(1/120)-1)*100</f>
        <v>0</v>
      </c>
    </row>
    <row r="97" spans="1:9" x14ac:dyDescent="0.35">
      <c r="A97" s="1">
        <v>12387</v>
      </c>
      <c r="B97" cm="1">
        <f t="array" ref="B97">(PRODUCT(1+sp500_monthly!B98:B217)^(1/120)-1)*100</f>
        <v>0.5012380326645971</v>
      </c>
      <c r="C97" cm="1">
        <f t="array" ref="C97">(PRODUCT(1+sp500_monthly!C98:C217)^(1/120)-1)*100</f>
        <v>7.1322819246000257E-2</v>
      </c>
      <c r="D97" cm="1">
        <f t="array" ref="D97">(PRODUCT(1+sp500_monthly!D98:D217)^(1/120)-1)*100</f>
        <v>0.64699183621461653</v>
      </c>
      <c r="E97" cm="1">
        <f t="array" ref="E97">(PRODUCT(1+sp500_monthly!E98:E217)^(1/120)-1)*100</f>
        <v>0.29783727223260392</v>
      </c>
      <c r="F97" cm="1">
        <f t="array" ref="F97">(PRODUCT(1+sp500_monthly!K98:K217)^(1/120)-1)*100</f>
        <v>9.1041927280066659E-2</v>
      </c>
      <c r="G97" cm="1">
        <f t="array" ref="G97">(PRODUCT(1+sp500_monthly!L98:L217)^(1/120)-1)</f>
        <v>1.1636002673734769E-2</v>
      </c>
      <c r="H97" cm="1">
        <f t="array" ref="H97">(PRODUCT(1+sp500_monthly!N98:N217)^(1/120)-1)*100</f>
        <v>0</v>
      </c>
      <c r="I97" cm="1">
        <f t="array" ref="I97">(PRODUCT(1+sp500_monthly!O98:O217)^(1/120)-1)*100</f>
        <v>0</v>
      </c>
    </row>
    <row r="98" spans="1:9" x14ac:dyDescent="0.35">
      <c r="A98" s="1">
        <v>12418</v>
      </c>
      <c r="B98" cm="1">
        <f t="array" ref="B98">(PRODUCT(1+sp500_monthly!B99:B218)^(1/120)-1)*100</f>
        <v>0.53608426968942968</v>
      </c>
      <c r="C98" cm="1">
        <f t="array" ref="C98">(PRODUCT(1+sp500_monthly!C99:C218)^(1/120)-1)*100</f>
        <v>0.10388176742479605</v>
      </c>
      <c r="D98" cm="1">
        <f t="array" ref="D98">(PRODUCT(1+sp500_monthly!D99:D218)^(1/120)-1)*100</f>
        <v>0.7039218091325905</v>
      </c>
      <c r="E98" cm="1">
        <f t="array" ref="E98">(PRODUCT(1+sp500_monthly!E99:E218)^(1/120)-1)*100</f>
        <v>0.35222366203362387</v>
      </c>
      <c r="F98" cm="1">
        <f t="array" ref="F98">(PRODUCT(1+sp500_monthly!K99:K218)^(1/120)-1)*100</f>
        <v>0.12047906687926435</v>
      </c>
      <c r="G98" cm="1">
        <f t="array" ref="G98">(PRODUCT(1+sp500_monthly!L99:L218)^(1/120)-1)</f>
        <v>1.1718253499104714E-2</v>
      </c>
      <c r="H98" cm="1">
        <f t="array" ref="H98">(PRODUCT(1+sp500_monthly!N99:N218)^(1/120)-1)*100</f>
        <v>0</v>
      </c>
      <c r="I98" cm="1">
        <f t="array" ref="I98">(PRODUCT(1+sp500_monthly!O99:O218)^(1/120)-1)*100</f>
        <v>0</v>
      </c>
    </row>
    <row r="99" spans="1:9" x14ac:dyDescent="0.35">
      <c r="A99" s="1">
        <v>12450</v>
      </c>
      <c r="B99" cm="1">
        <f t="array" ref="B99">(PRODUCT(1+sp500_monthly!B100:B219)^(1/120)-1)*100</f>
        <v>0.46034775627503688</v>
      </c>
      <c r="C99" cm="1">
        <f t="array" ref="C99">(PRODUCT(1+sp500_monthly!C100:C219)^(1/120)-1)*100</f>
        <v>2.8435529285419925E-2</v>
      </c>
      <c r="D99" cm="1">
        <f t="array" ref="D99">(PRODUCT(1+sp500_monthly!D100:D219)^(1/120)-1)*100</f>
        <v>0.58021223380564368</v>
      </c>
      <c r="E99" cm="1">
        <f t="array" ref="E99">(PRODUCT(1+sp500_monthly!E100:E219)^(1/120)-1)*100</f>
        <v>0.22858003655872317</v>
      </c>
      <c r="F99" cm="1">
        <f t="array" ref="F99">(PRODUCT(1+sp500_monthly!K100:K219)^(1/120)-1)*100</f>
        <v>4.926009703507539E-2</v>
      </c>
      <c r="G99" cm="1">
        <f t="array" ref="G99">(PRODUCT(1+sp500_monthly!L100:L219)^(1/120)-1)</f>
        <v>1.1556127158227403E-2</v>
      </c>
      <c r="H99" cm="1">
        <f t="array" ref="H99">(PRODUCT(1+sp500_monthly!N100:N219)^(1/120)-1)*100</f>
        <v>0</v>
      </c>
      <c r="I99" cm="1">
        <f t="array" ref="I99">(PRODUCT(1+sp500_monthly!O100:O219)^(1/120)-1)*100</f>
        <v>0</v>
      </c>
    </row>
    <row r="100" spans="1:9" x14ac:dyDescent="0.35">
      <c r="A100" s="1">
        <v>12478</v>
      </c>
      <c r="B100" cm="1">
        <f t="array" ref="B100">(PRODUCT(1+sp500_monthly!B101:B220)^(1/120)-1)*100</f>
        <v>0.4937140331862544</v>
      </c>
      <c r="C100" cm="1">
        <f t="array" ref="C100">(PRODUCT(1+sp500_monthly!C101:C220)^(1/120)-1)*100</f>
        <v>6.0301602464019055E-2</v>
      </c>
      <c r="D100" cm="1">
        <f t="array" ref="D100">(PRODUCT(1+sp500_monthly!D101:D220)^(1/120)-1)*100</f>
        <v>0.62444963016443644</v>
      </c>
      <c r="E100" cm="1">
        <f t="array" ref="E100">(PRODUCT(1+sp500_monthly!E101:E220)^(1/120)-1)*100</f>
        <v>0.27115401592909816</v>
      </c>
      <c r="F100" cm="1">
        <f t="array" ref="F100">(PRODUCT(1+sp500_monthly!K101:K220)^(1/120)-1)*100</f>
        <v>7.8328936658733639E-2</v>
      </c>
      <c r="G100" cm="1">
        <f t="array" ref="G100">(PRODUCT(1+sp500_monthly!L101:L220)^(1/120)-1)</f>
        <v>1.1638371489337551E-2</v>
      </c>
      <c r="H100" cm="1">
        <f t="array" ref="H100">(PRODUCT(1+sp500_monthly!N101:N220)^(1/120)-1)*100</f>
        <v>0</v>
      </c>
      <c r="I100" cm="1">
        <f t="array" ref="I100">(PRODUCT(1+sp500_monthly!O101:O220)^(1/120)-1)*100</f>
        <v>0</v>
      </c>
    </row>
    <row r="101" spans="1:9" x14ac:dyDescent="0.35">
      <c r="A101" s="1">
        <v>12509</v>
      </c>
      <c r="B101" cm="1">
        <f t="array" ref="B101">(PRODUCT(1+sp500_monthly!B102:B221)^(1/120)-1)*100</f>
        <v>0.50690330962075425</v>
      </c>
      <c r="C101" cm="1">
        <f t="array" ref="C101">(PRODUCT(1+sp500_monthly!C102:C221)^(1/120)-1)*100</f>
        <v>7.2559687164863718E-2</v>
      </c>
      <c r="D101" cm="1">
        <f t="array" ref="D101">(PRODUCT(1+sp500_monthly!D102:D221)^(1/120)-1)*100</f>
        <v>0.64999762909252468</v>
      </c>
      <c r="E101" cm="1">
        <f t="array" ref="E101">(PRODUCT(1+sp500_monthly!E102:E221)^(1/120)-1)*100</f>
        <v>0.29431085395847933</v>
      </c>
      <c r="F101" cm="1">
        <f t="array" ref="F101">(PRODUCT(1+sp500_monthly!K102:K221)^(1/120)-1)*100</f>
        <v>9.3098154199533489E-2</v>
      </c>
      <c r="G101" cm="1">
        <f t="array" ref="G101">(PRODUCT(1+sp500_monthly!L102:L221)^(1/120)-1)</f>
        <v>1.1638371489337551E-2</v>
      </c>
      <c r="H101" cm="1">
        <f t="array" ref="H101">(PRODUCT(1+sp500_monthly!N102:N221)^(1/120)-1)*100</f>
        <v>0</v>
      </c>
      <c r="I101" cm="1">
        <f t="array" ref="I101">(PRODUCT(1+sp500_monthly!O102:O221)^(1/120)-1)*100</f>
        <v>0</v>
      </c>
    </row>
    <row r="102" spans="1:9" x14ac:dyDescent="0.35">
      <c r="A102" s="1">
        <v>12539</v>
      </c>
      <c r="B102" cm="1">
        <f t="array" ref="B102">(PRODUCT(1+sp500_monthly!B103:B222)^(1/120)-1)*100</f>
        <v>0.51805654085539388</v>
      </c>
      <c r="C102" cm="1">
        <f t="array" ref="C102">(PRODUCT(1+sp500_monthly!C103:C222)^(1/120)-1)*100</f>
        <v>8.4060023958687502E-2</v>
      </c>
      <c r="D102" cm="1">
        <f t="array" ref="D102">(PRODUCT(1+sp500_monthly!D103:D222)^(1/120)-1)*100</f>
        <v>0.629064677887059</v>
      </c>
      <c r="E102" cm="1">
        <f t="array" ref="E102">(PRODUCT(1+sp500_monthly!E103:E222)^(1/120)-1)*100</f>
        <v>0.27403145549136365</v>
      </c>
      <c r="F102" cm="1">
        <f t="array" ref="F102">(PRODUCT(1+sp500_monthly!K103:K222)^(1/120)-1)*100</f>
        <v>0.10543542404481965</v>
      </c>
      <c r="G102" cm="1">
        <f t="array" ref="G102">(PRODUCT(1+sp500_monthly!L103:L222)^(1/120)-1)</f>
        <v>1.1803690679728307E-2</v>
      </c>
      <c r="H102" cm="1">
        <f t="array" ref="H102">(PRODUCT(1+sp500_monthly!N103:N222)^(1/120)-1)*100</f>
        <v>0</v>
      </c>
      <c r="I102" cm="1">
        <f t="array" ref="I102">(PRODUCT(1+sp500_monthly!O103:O222)^(1/120)-1)*100</f>
        <v>0</v>
      </c>
    </row>
    <row r="103" spans="1:9" x14ac:dyDescent="0.35">
      <c r="A103" s="1">
        <v>12570</v>
      </c>
      <c r="B103" cm="1">
        <f t="array" ref="B103">(PRODUCT(1+sp500_monthly!B104:B223)^(1/120)-1)*100</f>
        <v>0.62653631629450146</v>
      </c>
      <c r="C103" cm="1">
        <f t="array" ref="C103">(PRODUCT(1+sp500_monthly!C104:C223)^(1/120)-1)*100</f>
        <v>0.18910900111039908</v>
      </c>
      <c r="D103" cm="1">
        <f t="array" ref="D103">(PRODUCT(1+sp500_monthly!D104:D223)^(1/120)-1)*100</f>
        <v>0.76104615170724532</v>
      </c>
      <c r="E103" cm="1">
        <f t="array" ref="E103">(PRODUCT(1+sp500_monthly!E104:E223)^(1/120)-1)*100</f>
        <v>0.403132475954604</v>
      </c>
      <c r="F103" cm="1">
        <f t="array" ref="F103">(PRODUCT(1+sp500_monthly!K104:K223)^(1/120)-1)*100</f>
        <v>0.20926191780019643</v>
      </c>
      <c r="G103" cm="1">
        <f t="array" ref="G103">(PRODUCT(1+sp500_monthly!L104:L223)^(1/120)-1)</f>
        <v>1.1969036886131601E-2</v>
      </c>
      <c r="H103" cm="1">
        <f t="array" ref="H103">(PRODUCT(1+sp500_monthly!N104:N223)^(1/120)-1)*100</f>
        <v>0</v>
      </c>
      <c r="I103" cm="1">
        <f t="array" ref="I103">(PRODUCT(1+sp500_monthly!O104:O223)^(1/120)-1)*100</f>
        <v>0</v>
      </c>
    </row>
    <row r="104" spans="1:9" x14ac:dyDescent="0.35">
      <c r="A104" s="1">
        <v>12600</v>
      </c>
      <c r="B104" cm="1">
        <f t="array" ref="B104">(PRODUCT(1+sp500_monthly!B105:B224)^(1/120)-1)*100</f>
        <v>0.65114439571525295</v>
      </c>
      <c r="C104" cm="1">
        <f t="array" ref="C104">(PRODUCT(1+sp500_monthly!C105:C224)^(1/120)-1)*100</f>
        <v>0.21222759238896938</v>
      </c>
      <c r="D104" cm="1">
        <f t="array" ref="D104">(PRODUCT(1+sp500_monthly!D105:D224)^(1/120)-1)*100</f>
        <v>0.80123026707121792</v>
      </c>
      <c r="E104" cm="1">
        <f t="array" ref="E104">(PRODUCT(1+sp500_monthly!E105:E224)^(1/120)-1)*100</f>
        <v>0.44157613261912587</v>
      </c>
      <c r="F104" cm="1">
        <f t="array" ref="F104">(PRODUCT(1+sp500_monthly!K105:K224)^(1/120)-1)*100</f>
        <v>0.23361165156650099</v>
      </c>
      <c r="G104" cm="1">
        <f t="array" ref="G104">(PRODUCT(1+sp500_monthly!L105:L224)^(1/120)-1)</f>
        <v>1.2134410112961902E-2</v>
      </c>
      <c r="H104" cm="1">
        <f t="array" ref="H104">(PRODUCT(1+sp500_monthly!N105:N224)^(1/120)-1)*100</f>
        <v>0</v>
      </c>
      <c r="I104" cm="1">
        <f t="array" ref="I104">(PRODUCT(1+sp500_monthly!O105:O224)^(1/120)-1)*100</f>
        <v>0</v>
      </c>
    </row>
    <row r="105" spans="1:9" x14ac:dyDescent="0.35">
      <c r="A105" s="1">
        <v>12631</v>
      </c>
      <c r="B105" cm="1">
        <f t="array" ref="B105">(PRODUCT(1+sp500_monthly!B106:B225)^(1/120)-1)*100</f>
        <v>0.74176813708666245</v>
      </c>
      <c r="C105" cm="1">
        <f t="array" ref="C105">(PRODUCT(1+sp500_monthly!C106:C225)^(1/120)-1)*100</f>
        <v>0.30325200185894463</v>
      </c>
      <c r="D105" cm="1">
        <f t="array" ref="D105">(PRODUCT(1+sp500_monthly!D106:D225)^(1/120)-1)*100</f>
        <v>0.96577601807548152</v>
      </c>
      <c r="E105" cm="1">
        <f t="array" ref="E105">(PRODUCT(1+sp500_monthly!E106:E225)^(1/120)-1)*100</f>
        <v>0.60636665009474733</v>
      </c>
      <c r="F105" cm="1">
        <f t="array" ref="F105">(PRODUCT(1+sp500_monthly!K106:K225)^(1/120)-1)*100</f>
        <v>0.31831210059587445</v>
      </c>
      <c r="G105" cm="1">
        <f t="array" ref="G105">(PRODUCT(1+sp500_monthly!L106:L225)^(1/120)-1)</f>
        <v>1.2299810364635011E-2</v>
      </c>
      <c r="H105" cm="1">
        <f t="array" ref="H105">(PRODUCT(1+sp500_monthly!N106:N225)^(1/120)-1)*100</f>
        <v>0</v>
      </c>
      <c r="I105" cm="1">
        <f t="array" ref="I105">(PRODUCT(1+sp500_monthly!O106:O225)^(1/120)-1)*100</f>
        <v>0</v>
      </c>
    </row>
    <row r="106" spans="1:9" x14ac:dyDescent="0.35">
      <c r="A106" s="1">
        <v>12662</v>
      </c>
      <c r="B106" cm="1">
        <f t="array" ref="B106">(PRODUCT(1+sp500_monthly!B107:B226)^(1/120)-1)*100</f>
        <v>0.70617773356711488</v>
      </c>
      <c r="C106" cm="1">
        <f t="array" ref="C106">(PRODUCT(1+sp500_monthly!C107:C226)^(1/120)-1)*100</f>
        <v>0.2680133917819072</v>
      </c>
      <c r="D106" cm="1">
        <f t="array" ref="D106">(PRODUCT(1+sp500_monthly!D107:D226)^(1/120)-1)*100</f>
        <v>0.90823317382091595</v>
      </c>
      <c r="E106" cm="1">
        <f t="array" ref="E106">(PRODUCT(1+sp500_monthly!E107:E226)^(1/120)-1)*100</f>
        <v>0.54779464854768367</v>
      </c>
      <c r="F106" cm="1">
        <f t="array" ref="F106">(PRODUCT(1+sp500_monthly!K107:K226)^(1/120)-1)*100</f>
        <v>0.28144007046029262</v>
      </c>
      <c r="G106" cm="1">
        <f t="array" ref="G106">(PRODUCT(1+sp500_monthly!L107:L226)^(1/120)-1)</f>
        <v>1.2465237645567395E-2</v>
      </c>
      <c r="H106" cm="1">
        <f t="array" ref="H106">(PRODUCT(1+sp500_monthly!N107:N226)^(1/120)-1)*100</f>
        <v>0</v>
      </c>
      <c r="I106" cm="1">
        <f t="array" ref="I106">(PRODUCT(1+sp500_monthly!O107:O226)^(1/120)-1)*100</f>
        <v>0</v>
      </c>
    </row>
    <row r="107" spans="1:9" x14ac:dyDescent="0.35">
      <c r="A107" s="1">
        <v>12691</v>
      </c>
      <c r="B107" cm="1">
        <f t="array" ref="B107">(PRODUCT(1+sp500_monthly!B108:B227)^(1/120)-1)*100</f>
        <v>0.70577808507346074</v>
      </c>
      <c r="C107" cm="1">
        <f t="array" ref="C107">(PRODUCT(1+sp500_monthly!C108:C227)^(1/120)-1)*100</f>
        <v>0.26802093543825123</v>
      </c>
      <c r="D107" cm="1">
        <f t="array" ref="D107">(PRODUCT(1+sp500_monthly!D108:D227)^(1/120)-1)*100</f>
        <v>0.89612760400639146</v>
      </c>
      <c r="E107" cm="1">
        <f t="array" ref="E107">(PRODUCT(1+sp500_monthly!E108:E227)^(1/120)-1)*100</f>
        <v>0.53573325867604105</v>
      </c>
      <c r="F107" cm="1">
        <f t="array" ref="F107">(PRODUCT(1+sp500_monthly!K108:K227)^(1/120)-1)*100</f>
        <v>0.28340736500298558</v>
      </c>
      <c r="G107" cm="1">
        <f t="array" ref="G107">(PRODUCT(1+sp500_monthly!L108:L227)^(1/120)-1)</f>
        <v>1.2548366955244195E-2</v>
      </c>
      <c r="H107" cm="1">
        <f t="array" ref="H107">(PRODUCT(1+sp500_monthly!N108:N227)^(1/120)-1)*100</f>
        <v>0</v>
      </c>
      <c r="I107" cm="1">
        <f t="array" ref="I107">(PRODUCT(1+sp500_monthly!O108:O227)^(1/120)-1)*100</f>
        <v>0</v>
      </c>
    </row>
    <row r="108" spans="1:9" x14ac:dyDescent="0.35">
      <c r="A108" s="1">
        <v>12723</v>
      </c>
      <c r="B108" cm="1">
        <f t="array" ref="B108">(PRODUCT(1+sp500_monthly!B109:B228)^(1/120)-1)*100</f>
        <v>0.73569246546554279</v>
      </c>
      <c r="C108" cm="1">
        <f t="array" ref="C108">(PRODUCT(1+sp500_monthly!C109:C228)^(1/120)-1)*100</f>
        <v>0.29756968280409968</v>
      </c>
      <c r="D108" cm="1">
        <f t="array" ref="D108">(PRODUCT(1+sp500_monthly!D109:D228)^(1/120)-1)*100</f>
        <v>0.92726102439366631</v>
      </c>
      <c r="E108" cm="1">
        <f t="array" ref="E108">(PRODUCT(1+sp500_monthly!E109:E228)^(1/120)-1)*100</f>
        <v>0.5664131378966708</v>
      </c>
      <c r="F108" cm="1">
        <f t="array" ref="F108">(PRODUCT(1+sp500_monthly!K109:K228)^(1/120)-1)*100</f>
        <v>0.31047653773261796</v>
      </c>
      <c r="G108" cm="1">
        <f t="array" ref="G108">(PRODUCT(1+sp500_monthly!L109:L228)^(1/120)-1)</f>
        <v>1.27138348546183E-2</v>
      </c>
      <c r="H108" cm="1">
        <f t="array" ref="H108">(PRODUCT(1+sp500_monthly!N109:N228)^(1/120)-1)*100</f>
        <v>0</v>
      </c>
      <c r="I108" cm="1">
        <f t="array" ref="I108">(PRODUCT(1+sp500_monthly!O109:O228)^(1/120)-1)*100</f>
        <v>0</v>
      </c>
    </row>
    <row r="109" spans="1:9" x14ac:dyDescent="0.35">
      <c r="A109" s="1">
        <v>12753</v>
      </c>
      <c r="B109" cm="1">
        <f t="array" ref="B109">(PRODUCT(1+sp500_monthly!B110:B229)^(1/120)-1)*100</f>
        <v>0.68082581119921493</v>
      </c>
      <c r="C109" cm="1">
        <f t="array" ref="C109">(PRODUCT(1+sp500_monthly!C110:C229)^(1/120)-1)*100</f>
        <v>0.2375952454523933</v>
      </c>
      <c r="D109" cm="1">
        <f t="array" ref="D109">(PRODUCT(1+sp500_monthly!D110:D229)^(1/120)-1)*100</f>
        <v>0.8653964684187665</v>
      </c>
      <c r="E109" cm="1">
        <f t="array" ref="E109">(PRODUCT(1+sp500_monthly!E110:E229)^(1/120)-1)*100</f>
        <v>0.49895655461074107</v>
      </c>
      <c r="F109" cm="1">
        <f t="array" ref="F109">(PRODUCT(1+sp500_monthly!K110:K229)^(1/120)-1)*100</f>
        <v>0.24721619693384156</v>
      </c>
      <c r="G109" cm="1">
        <f t="array" ref="G109">(PRODUCT(1+sp500_monthly!L110:L229)^(1/120)-1)</f>
        <v>1.2879329794306393E-2</v>
      </c>
      <c r="H109" cm="1">
        <f t="array" ref="H109">(PRODUCT(1+sp500_monthly!N110:N229)^(1/120)-1)*100</f>
        <v>0</v>
      </c>
      <c r="I109" cm="1">
        <f t="array" ref="I109">(PRODUCT(1+sp500_monthly!O110:O229)^(1/120)-1)*100</f>
        <v>0</v>
      </c>
    </row>
    <row r="110" spans="1:9" x14ac:dyDescent="0.35">
      <c r="A110" s="1">
        <v>12784</v>
      </c>
      <c r="B110" cm="1">
        <f t="array" ref="B110">(PRODUCT(1+sp500_monthly!B111:B230)^(1/120)-1)*100</f>
        <v>0.71815650065709669</v>
      </c>
      <c r="C110" cm="1">
        <f t="array" ref="C110">(PRODUCT(1+sp500_monthly!C111:C230)^(1/120)-1)*100</f>
        <v>0.27488991968820375</v>
      </c>
      <c r="D110" cm="1">
        <f t="array" ref="D110">(PRODUCT(1+sp500_monthly!D111:D230)^(1/120)-1)*100</f>
        <v>0.9432562681115142</v>
      </c>
      <c r="E110" cm="1">
        <f t="array" ref="E110">(PRODUCT(1+sp500_monthly!E111:E230)^(1/120)-1)*100</f>
        <v>0.57634806435036268</v>
      </c>
      <c r="F110" cm="1">
        <f t="array" ref="F110">(PRODUCT(1+sp500_monthly!K111:K230)^(1/120)-1)*100</f>
        <v>0.27953002655343173</v>
      </c>
      <c r="G110" cm="1">
        <f t="array" ref="G110">(PRODUCT(1+sp500_monthly!L111:L230)^(1/120)-1)</f>
        <v>1.296249310336739E-2</v>
      </c>
      <c r="H110" cm="1">
        <f t="array" ref="H110">(PRODUCT(1+sp500_monthly!N111:N230)^(1/120)-1)*100</f>
        <v>0</v>
      </c>
      <c r="I110" cm="1">
        <f t="array" ref="I110">(PRODUCT(1+sp500_monthly!O111:O230)^(1/120)-1)*100</f>
        <v>0</v>
      </c>
    </row>
    <row r="111" spans="1:9" x14ac:dyDescent="0.35">
      <c r="A111" s="1">
        <v>12815</v>
      </c>
      <c r="B111" cm="1">
        <f t="array" ref="B111">(PRODUCT(1+sp500_monthly!B112:B231)^(1/120)-1)*100</f>
        <v>0.76443238989540863</v>
      </c>
      <c r="C111" cm="1">
        <f t="array" ref="C111">(PRODUCT(1+sp500_monthly!C112:C231)^(1/120)-1)*100</f>
        <v>0.32125052031684032</v>
      </c>
      <c r="D111" cm="1">
        <f t="array" ref="D111">(PRODUCT(1+sp500_monthly!D112:D231)^(1/120)-1)*100</f>
        <v>1.0172120800893136</v>
      </c>
      <c r="E111" cm="1">
        <f t="array" ref="E111">(PRODUCT(1+sp500_monthly!E112:E231)^(1/120)-1)*100</f>
        <v>0.65011305511197826</v>
      </c>
      <c r="F111" cm="1">
        <f t="array" ref="F111">(PRODUCT(1+sp500_monthly!K112:K231)^(1/120)-1)*100</f>
        <v>0.32736033453477642</v>
      </c>
      <c r="G111" cm="1">
        <f t="array" ref="G111">(PRODUCT(1+sp500_monthly!L112:L231)^(1/120)-1)</f>
        <v>1.3128028678109915E-2</v>
      </c>
      <c r="H111" cm="1">
        <f t="array" ref="H111">(PRODUCT(1+sp500_monthly!N112:N231)^(1/120)-1)*100</f>
        <v>0</v>
      </c>
      <c r="I111" cm="1">
        <f t="array" ref="I111">(PRODUCT(1+sp500_monthly!O112:O231)^(1/120)-1)*100</f>
        <v>0</v>
      </c>
    </row>
    <row r="112" spans="1:9" x14ac:dyDescent="0.35">
      <c r="A112" s="1">
        <v>12843</v>
      </c>
      <c r="B112" cm="1">
        <f t="array" ref="B112">(PRODUCT(1+sp500_monthly!B113:B232)^(1/120)-1)*100</f>
        <v>0.85238839634538266</v>
      </c>
      <c r="C112" cm="1">
        <f t="array" ref="C112">(PRODUCT(1+sp500_monthly!C113:C232)^(1/120)-1)*100</f>
        <v>0.40926697368832698</v>
      </c>
      <c r="D112" cm="1">
        <f t="array" ref="D112">(PRODUCT(1+sp500_monthly!D113:D232)^(1/120)-1)*100</f>
        <v>1.1543943461985284</v>
      </c>
      <c r="E112" cm="1">
        <f t="array" ref="E112">(PRODUCT(1+sp500_monthly!E113:E232)^(1/120)-1)*100</f>
        <v>0.78575285853628163</v>
      </c>
      <c r="F112" cm="1">
        <f t="array" ref="F112">(PRODUCT(1+sp500_monthly!K113:K232)^(1/120)-1)*100</f>
        <v>0.41113345938221801</v>
      </c>
      <c r="G112" cm="1">
        <f t="array" ref="G112">(PRODUCT(1+sp500_monthly!L113:L232)^(1/120)-1)</f>
        <v>1.3128028678109915E-2</v>
      </c>
      <c r="H112" cm="1">
        <f t="array" ref="H112">(PRODUCT(1+sp500_monthly!N113:N232)^(1/120)-1)*100</f>
        <v>0</v>
      </c>
      <c r="I112" cm="1">
        <f t="array" ref="I112">(PRODUCT(1+sp500_monthly!O113:O232)^(1/120)-1)*100</f>
        <v>0</v>
      </c>
    </row>
    <row r="113" spans="1:9" x14ac:dyDescent="0.35">
      <c r="A113" s="1">
        <v>12873</v>
      </c>
      <c r="B113" cm="1">
        <f t="array" ref="B113">(PRODUCT(1+sp500_monthly!B114:B233)^(1/120)-1)*100</f>
        <v>0.84346382223527971</v>
      </c>
      <c r="C113" cm="1">
        <f t="array" ref="C113">(PRODUCT(1+sp500_monthly!C114:C233)^(1/120)-1)*100</f>
        <v>0.40084091292571511</v>
      </c>
      <c r="D113" cm="1">
        <f t="array" ref="D113">(PRODUCT(1+sp500_monthly!D114:D233)^(1/120)-1)*100</f>
        <v>1.1612834919683124</v>
      </c>
      <c r="E113" cm="1">
        <f t="array" ref="E113">(PRODUCT(1+sp500_monthly!E114:E233)^(1/120)-1)*100</f>
        <v>0.79278511746803115</v>
      </c>
      <c r="F113" cm="1">
        <f t="array" ref="F113">(PRODUCT(1+sp500_monthly!K114:K233)^(1/120)-1)*100</f>
        <v>0.39785176239464093</v>
      </c>
      <c r="G113" cm="1">
        <f t="array" ref="G113">(PRODUCT(1+sp500_monthly!L114:L233)^(1/120)-1)</f>
        <v>1.3211212406801787E-2</v>
      </c>
      <c r="H113" cm="1">
        <f t="array" ref="H113">(PRODUCT(1+sp500_monthly!N114:N233)^(1/120)-1)*100</f>
        <v>0</v>
      </c>
      <c r="I113" cm="1">
        <f t="array" ref="I113">(PRODUCT(1+sp500_monthly!O114:O233)^(1/120)-1)*100</f>
        <v>0</v>
      </c>
    </row>
    <row r="114" spans="1:9" x14ac:dyDescent="0.35">
      <c r="A114" s="1">
        <v>12904</v>
      </c>
      <c r="B114" cm="1">
        <f t="array" ref="B114">(PRODUCT(1+sp500_monthly!B115:B234)^(1/120)-1)*100</f>
        <v>0.83887673367382121</v>
      </c>
      <c r="C114" cm="1">
        <f t="array" ref="C114">(PRODUCT(1+sp500_monthly!C115:C234)^(1/120)-1)*100</f>
        <v>0.39633597974826351</v>
      </c>
      <c r="D114" cm="1">
        <f t="array" ref="D114">(PRODUCT(1+sp500_monthly!D115:D234)^(1/120)-1)*100</f>
        <v>1.1750631395501809</v>
      </c>
      <c r="E114" cm="1">
        <f t="array" ref="E114">(PRODUCT(1+sp500_monthly!E115:E234)^(1/120)-1)*100</f>
        <v>0.80662247052765146</v>
      </c>
      <c r="F114" cm="1">
        <f t="array" ref="F114">(PRODUCT(1+sp500_monthly!K115:K234)^(1/120)-1)*100</f>
        <v>0.39198589040838616</v>
      </c>
      <c r="G114" cm="1">
        <f t="array" ref="G114">(PRODUCT(1+sp500_monthly!L115:L234)^(1/120)-1)</f>
        <v>1.3376788626576319E-2</v>
      </c>
      <c r="H114" cm="1">
        <f t="array" ref="H114">(PRODUCT(1+sp500_monthly!N115:N234)^(1/120)-1)*100</f>
        <v>0</v>
      </c>
      <c r="I114" cm="1">
        <f t="array" ref="I114">(PRODUCT(1+sp500_monthly!O115:O234)^(1/120)-1)*100</f>
        <v>0</v>
      </c>
    </row>
    <row r="115" spans="1:9" x14ac:dyDescent="0.35">
      <c r="A115" s="1">
        <v>12935</v>
      </c>
      <c r="B115" cm="1">
        <f t="array" ref="B115">(PRODUCT(1+sp500_monthly!B116:B235)^(1/120)-1)*100</f>
        <v>0.82410239000934027</v>
      </c>
      <c r="C115" cm="1">
        <f t="array" ref="C115">(PRODUCT(1+sp500_monthly!C116:C235)^(1/120)-1)*100</f>
        <v>0.37879547511190381</v>
      </c>
      <c r="D115" cm="1">
        <f t="array" ref="D115">(PRODUCT(1+sp500_monthly!D116:D235)^(1/120)-1)*100</f>
        <v>1.1582073558191741</v>
      </c>
      <c r="E115" cm="1">
        <f t="array" ref="E115">(PRODUCT(1+sp500_monthly!E116:E235)^(1/120)-1)*100</f>
        <v>0.78720065633157699</v>
      </c>
      <c r="F115" cm="1">
        <f t="array" ref="F115">(PRODUCT(1+sp500_monthly!K116:K235)^(1/120)-1)*100</f>
        <v>0.37489931592729064</v>
      </c>
      <c r="G115" cm="1">
        <f t="array" ref="G115">(PRODUCT(1+sp500_monthly!L116:L235)^(1/120)-1)</f>
        <v>1.3542391904366013E-2</v>
      </c>
      <c r="H115" cm="1">
        <f t="array" ref="H115">(PRODUCT(1+sp500_monthly!N116:N235)^(1/120)-1)*100</f>
        <v>0</v>
      </c>
      <c r="I115" cm="1">
        <f t="array" ref="I115">(PRODUCT(1+sp500_monthly!O116:O235)^(1/120)-1)*100</f>
        <v>0</v>
      </c>
    </row>
    <row r="116" spans="1:9" x14ac:dyDescent="0.35">
      <c r="A116" s="1">
        <v>12964</v>
      </c>
      <c r="B116" cm="1">
        <f t="array" ref="B116">(PRODUCT(1+sp500_monthly!B117:B236)^(1/120)-1)*100</f>
        <v>0.76884955740874616</v>
      </c>
      <c r="C116" cm="1">
        <f t="array" ref="C116">(PRODUCT(1+sp500_monthly!C117:C236)^(1/120)-1)*100</f>
        <v>0.3245778115214204</v>
      </c>
      <c r="D116" cm="1">
        <f t="array" ref="D116">(PRODUCT(1+sp500_monthly!D117:D236)^(1/120)-1)*100</f>
        <v>1.1449749639875106</v>
      </c>
      <c r="E116" cm="1">
        <f t="array" ref="E116">(PRODUCT(1+sp500_monthly!E117:E236)^(1/120)-1)*100</f>
        <v>0.77423802225105032</v>
      </c>
      <c r="F116" cm="1">
        <f t="array" ref="F116">(PRODUCT(1+sp500_monthly!K117:K236)^(1/120)-1)*100</f>
        <v>0.31721384710738931</v>
      </c>
      <c r="G116" cm="1">
        <f t="array" ref="G116">(PRODUCT(1+sp500_monthly!L117:L236)^(1/120)-1)</f>
        <v>1.3625609654699167E-2</v>
      </c>
      <c r="H116" cm="1">
        <f t="array" ref="H116">(PRODUCT(1+sp500_monthly!N117:N236)^(1/120)-1)*100</f>
        <v>0</v>
      </c>
      <c r="I116" cm="1">
        <f t="array" ref="I116">(PRODUCT(1+sp500_monthly!O117:O236)^(1/120)-1)*100</f>
        <v>0</v>
      </c>
    </row>
    <row r="117" spans="1:9" x14ac:dyDescent="0.35">
      <c r="A117" s="1">
        <v>12996</v>
      </c>
      <c r="B117" cm="1">
        <f t="array" ref="B117">(PRODUCT(1+sp500_monthly!B118:B237)^(1/120)-1)*100</f>
        <v>0.68301373437555934</v>
      </c>
      <c r="C117" cm="1">
        <f t="array" ref="C117">(PRODUCT(1+sp500_monthly!C118:C237)^(1/120)-1)*100</f>
        <v>0.23935327625190794</v>
      </c>
      <c r="D117" cm="1">
        <f t="array" ref="D117">(PRODUCT(1+sp500_monthly!D118:D237)^(1/120)-1)*100</f>
        <v>1.0443296994038231</v>
      </c>
      <c r="E117" cm="1">
        <f t="array" ref="E117">(PRODUCT(1+sp500_monthly!E118:E237)^(1/120)-1)*100</f>
        <v>0.67433525739490907</v>
      </c>
      <c r="F117" cm="1">
        <f t="array" ref="F117">(PRODUCT(1+sp500_monthly!K118:K237)^(1/120)-1)*100</f>
        <v>0.23358923583363111</v>
      </c>
      <c r="G117" cm="1">
        <f t="array" ref="G117">(PRODUCT(1+sp500_monthly!L118:L237)^(1/120)-1)</f>
        <v>1.3791253594144459E-2</v>
      </c>
      <c r="H117" cm="1">
        <f t="array" ref="H117">(PRODUCT(1+sp500_monthly!N118:N237)^(1/120)-1)*100</f>
        <v>0</v>
      </c>
      <c r="I117" cm="1">
        <f t="array" ref="I117">(PRODUCT(1+sp500_monthly!O118:O237)^(1/120)-1)*100</f>
        <v>0</v>
      </c>
    </row>
    <row r="118" spans="1:9" x14ac:dyDescent="0.35">
      <c r="A118" s="1">
        <v>13027</v>
      </c>
      <c r="B118" cm="1">
        <f t="array" ref="B118">(PRODUCT(1+sp500_monthly!B119:B238)^(1/120)-1)*100</f>
        <v>0.70978815352649161</v>
      </c>
      <c r="C118" cm="1">
        <f t="array" ref="C118">(PRODUCT(1+sp500_monthly!C119:C238)^(1/120)-1)*100</f>
        <v>0.26504611056963334</v>
      </c>
      <c r="D118" cm="1">
        <f t="array" ref="D118">(PRODUCT(1+sp500_monthly!D119:D238)^(1/120)-1)*100</f>
        <v>1.0292585667456722</v>
      </c>
      <c r="E118" cm="1">
        <f t="array" ref="E118">(PRODUCT(1+sp500_monthly!E119:E238)^(1/120)-1)*100</f>
        <v>0.65711851061467375</v>
      </c>
      <c r="F118" cm="1">
        <f t="array" ref="F118">(PRODUCT(1+sp500_monthly!K119:K238)^(1/120)-1)*100</f>
        <v>0.26277201620836799</v>
      </c>
      <c r="G118" cm="1">
        <f t="array" ref="G118">(PRODUCT(1+sp500_monthly!L119:L238)^(1/120)-1)</f>
        <v>1.3956924602671616E-2</v>
      </c>
      <c r="H118" cm="1">
        <f t="array" ref="H118">(PRODUCT(1+sp500_monthly!N119:N238)^(1/120)-1)*100</f>
        <v>0</v>
      </c>
      <c r="I118" cm="1">
        <f t="array" ref="I118">(PRODUCT(1+sp500_monthly!O119:O238)^(1/120)-1)*100</f>
        <v>0</v>
      </c>
    </row>
    <row r="119" spans="1:9" x14ac:dyDescent="0.35">
      <c r="A119" s="1">
        <v>13057</v>
      </c>
      <c r="B119" cm="1">
        <f t="array" ref="B119">(PRODUCT(1+sp500_monthly!B120:B239)^(1/120)-1)*100</f>
        <v>0.7266691821798732</v>
      </c>
      <c r="C119" cm="1">
        <f t="array" ref="C119">(PRODUCT(1+sp500_monthly!C120:C239)^(1/120)-1)*100</f>
        <v>0.28269917673418021</v>
      </c>
      <c r="D119" cm="1">
        <f t="array" ref="D119">(PRODUCT(1+sp500_monthly!D120:D239)^(1/120)-1)*100</f>
        <v>1.0776709568975029</v>
      </c>
      <c r="E119" cm="1">
        <f t="array" ref="E119">(PRODUCT(1+sp500_monthly!E120:E239)^(1/120)-1)*100</f>
        <v>0.70605992335368573</v>
      </c>
      <c r="F119" cm="1">
        <f t="array" ref="F119">(PRODUCT(1+sp500_monthly!K120:K239)^(1/120)-1)*100</f>
        <v>0.27737941325800541</v>
      </c>
      <c r="G119" cm="1">
        <f t="array" ref="G119">(PRODUCT(1+sp500_monthly!L120:L239)^(1/120)-1)</f>
        <v>1.4122622684704433E-2</v>
      </c>
      <c r="H119" cm="1">
        <f t="array" ref="H119">(PRODUCT(1+sp500_monthly!N120:N239)^(1/120)-1)*100</f>
        <v>0</v>
      </c>
      <c r="I119" cm="1">
        <f t="array" ref="I119">(PRODUCT(1+sp500_monthly!O120:O239)^(1/120)-1)*100</f>
        <v>0</v>
      </c>
    </row>
    <row r="120" spans="1:9" x14ac:dyDescent="0.35">
      <c r="A120" s="1">
        <v>13088</v>
      </c>
      <c r="B120" cm="1">
        <f t="array" ref="B120">(PRODUCT(1+sp500_monthly!B121:B240)^(1/120)-1)*100</f>
        <v>0.69394460562841598</v>
      </c>
      <c r="C120" cm="1">
        <f t="array" ref="C120">(PRODUCT(1+sp500_monthly!C121:C240)^(1/120)-1)*100</f>
        <v>0.25025780442464729</v>
      </c>
      <c r="D120" cm="1">
        <f t="array" ref="D120">(PRODUCT(1+sp500_monthly!D121:D240)^(1/120)-1)*100</f>
        <v>1.0559995284187718</v>
      </c>
      <c r="E120" cm="1">
        <f t="array" ref="E120">(PRODUCT(1+sp500_monthly!E121:E240)^(1/120)-1)*100</f>
        <v>0.68481870491383656</v>
      </c>
      <c r="F120" cm="1">
        <f t="array" ref="F120">(PRODUCT(1+sp500_monthly!K121:K240)^(1/120)-1)*100</f>
        <v>0.24186265165007104</v>
      </c>
      <c r="G120" cm="1">
        <f t="array" ref="G120">(PRODUCT(1+sp500_monthly!L121:L240)^(1/120)-1)</f>
        <v>1.4288347844666927E-2</v>
      </c>
      <c r="H120" cm="1">
        <f t="array" ref="H120">(PRODUCT(1+sp500_monthly!N121:N240)^(1/120)-1)*100</f>
        <v>0</v>
      </c>
      <c r="I120" cm="1">
        <f t="array" ref="I120">(PRODUCT(1+sp500_monthly!O121:O240)^(1/120)-1)*100</f>
        <v>0</v>
      </c>
    </row>
    <row r="121" spans="1:9" x14ac:dyDescent="0.35">
      <c r="A121" s="1">
        <v>13118</v>
      </c>
      <c r="B121" cm="1">
        <f t="array" ref="B121">(PRODUCT(1+sp500_monthly!B122:B241)^(1/120)-1)*100</f>
        <v>0.68834794590260096</v>
      </c>
      <c r="C121" cm="1">
        <f t="array" ref="C121">(PRODUCT(1+sp500_monthly!C122:C241)^(1/120)-1)*100</f>
        <v>0.24222352385483426</v>
      </c>
      <c r="D121" cm="1">
        <f t="array" ref="D121">(PRODUCT(1+sp500_monthly!D122:D241)^(1/120)-1)*100</f>
        <v>1.0239046977638777</v>
      </c>
      <c r="E121" cm="1">
        <f t="array" ref="E121">(PRODUCT(1+sp500_monthly!E122:E241)^(1/120)-1)*100</f>
        <v>0.64859608848302219</v>
      </c>
      <c r="F121" cm="1">
        <f t="array" ref="F121">(PRODUCT(1+sp500_monthly!K122:K241)^(1/120)-1)*100</f>
        <v>0.23630335700974836</v>
      </c>
      <c r="G121" cm="1">
        <f t="array" ref="G121">(PRODUCT(1+sp500_monthly!L122:L241)^(1/120)-1)</f>
        <v>1.4288347844666927E-2</v>
      </c>
      <c r="H121" cm="1">
        <f t="array" ref="H121">(PRODUCT(1+sp500_monthly!N122:N241)^(1/120)-1)*100</f>
        <v>0</v>
      </c>
      <c r="I121" cm="1">
        <f t="array" ref="I121">(PRODUCT(1+sp500_monthly!O122:O241)^(1/120)-1)*100</f>
        <v>0</v>
      </c>
    </row>
    <row r="122" spans="1:9" x14ac:dyDescent="0.35">
      <c r="A122" s="1">
        <v>13149</v>
      </c>
      <c r="B122" cm="1">
        <f t="array" ref="B122">(PRODUCT(1+sp500_monthly!B123:B242)^(1/120)-1)*100</f>
        <v>0.66482270644641073</v>
      </c>
      <c r="C122" cm="1">
        <f t="array" ref="C122">(PRODUCT(1+sp500_monthly!C123:C242)^(1/120)-1)*100</f>
        <v>0.21940550228882749</v>
      </c>
      <c r="D122" cm="1">
        <f t="array" ref="D122">(PRODUCT(1+sp500_monthly!D123:D242)^(1/120)-1)*100</f>
        <v>0.99341503342782467</v>
      </c>
      <c r="E122" cm="1">
        <f t="array" ref="E122">(PRODUCT(1+sp500_monthly!E123:E242)^(1/120)-1)*100</f>
        <v>0.61869658340911737</v>
      </c>
      <c r="F122" cm="1">
        <f t="array" ref="F122">(PRODUCT(1+sp500_monthly!K123:K242)^(1/120)-1)*100</f>
        <v>0.21412422844528933</v>
      </c>
      <c r="G122" cm="1">
        <f t="array" ref="G122">(PRODUCT(1+sp500_monthly!L123:L242)^(1/120)-1)</f>
        <v>1.4454100086984001E-2</v>
      </c>
      <c r="H122" cm="1">
        <f t="array" ref="H122">(PRODUCT(1+sp500_monthly!N123:N242)^(1/120)-1)*100</f>
        <v>0</v>
      </c>
      <c r="I122" cm="1">
        <f t="array" ref="I122">(PRODUCT(1+sp500_monthly!O123:O242)^(1/120)-1)*100</f>
        <v>0</v>
      </c>
    </row>
    <row r="123" spans="1:9" x14ac:dyDescent="0.35">
      <c r="A123" s="1">
        <v>13180</v>
      </c>
      <c r="B123" cm="1">
        <f t="array" ref="B123">(PRODUCT(1+sp500_monthly!B124:B243)^(1/120)-1)*100</f>
        <v>0.66299872306667673</v>
      </c>
      <c r="C123" cm="1">
        <f t="array" ref="C123">(PRODUCT(1+sp500_monthly!C124:C243)^(1/120)-1)*100</f>
        <v>0.21809968074792963</v>
      </c>
      <c r="D123" cm="1">
        <f t="array" ref="D123">(PRODUCT(1+sp500_monthly!D124:D243)^(1/120)-1)*100</f>
        <v>0.97802909576738539</v>
      </c>
      <c r="E123" cm="1">
        <f t="array" ref="E123">(PRODUCT(1+sp500_monthly!E124:E243)^(1/120)-1)*100</f>
        <v>0.60357368129442257</v>
      </c>
      <c r="F123" cm="1">
        <f t="array" ref="F123">(PRODUCT(1+sp500_monthly!K124:K243)^(1/120)-1)*100</f>
        <v>0.2173900928492678</v>
      </c>
      <c r="G123" cm="1">
        <f t="array" ref="G123">(PRODUCT(1+sp500_monthly!L124:L243)^(1/120)-1)</f>
        <v>1.4619879416081893E-2</v>
      </c>
      <c r="H123" cm="1">
        <f t="array" ref="H123">(PRODUCT(1+sp500_monthly!N124:N243)^(1/120)-1)*100</f>
        <v>0</v>
      </c>
      <c r="I123" cm="1">
        <f t="array" ref="I123">(PRODUCT(1+sp500_monthly!O124:O243)^(1/120)-1)*100</f>
        <v>0</v>
      </c>
    </row>
    <row r="124" spans="1:9" x14ac:dyDescent="0.35">
      <c r="A124" s="1">
        <v>13209</v>
      </c>
      <c r="B124" cm="1">
        <f t="array" ref="B124">(PRODUCT(1+sp500_monthly!B125:B244)^(1/120)-1)*100</f>
        <v>0.587861616790053</v>
      </c>
      <c r="C124" cm="1">
        <f t="array" ref="C124">(PRODUCT(1+sp500_monthly!C125:C244)^(1/120)-1)*100</f>
        <v>0.14211228300662349</v>
      </c>
      <c r="D124" cm="1">
        <f t="array" ref="D124">(PRODUCT(1+sp500_monthly!D125:D244)^(1/120)-1)*100</f>
        <v>0.87751468790462361</v>
      </c>
      <c r="E124" cm="1">
        <f t="array" ref="E124">(PRODUCT(1+sp500_monthly!E125:E244)^(1/120)-1)*100</f>
        <v>0.50202612516483391</v>
      </c>
      <c r="F124" cm="1">
        <f t="array" ref="F124">(PRODUCT(1+sp500_monthly!K125:K244)^(1/120)-1)*100</f>
        <v>0.14339881175591263</v>
      </c>
      <c r="G124" cm="1">
        <f t="array" ref="G124">(PRODUCT(1+sp500_monthly!L125:L244)^(1/120)-1)</f>
        <v>1.4785685836386397E-2</v>
      </c>
      <c r="H124" cm="1">
        <f t="array" ref="H124">(PRODUCT(1+sp500_monthly!N125:N244)^(1/120)-1)*100</f>
        <v>0</v>
      </c>
      <c r="I124" cm="1">
        <f t="array" ref="I124">(PRODUCT(1+sp500_monthly!O125:O244)^(1/120)-1)*100</f>
        <v>0</v>
      </c>
    </row>
    <row r="125" spans="1:9" x14ac:dyDescent="0.35">
      <c r="A125" s="1">
        <v>13240</v>
      </c>
      <c r="B125" cm="1">
        <f t="array" ref="B125">(PRODUCT(1+sp500_monthly!B126:B245)^(1/120)-1)*100</f>
        <v>0.60815304347605625</v>
      </c>
      <c r="C125" cm="1">
        <f t="array" ref="C125">(PRODUCT(1+sp500_monthly!C126:C245)^(1/120)-1)*100</f>
        <v>0.16204576130616211</v>
      </c>
      <c r="D125" cm="1">
        <f t="array" ref="D125">(PRODUCT(1+sp500_monthly!D126:D245)^(1/120)-1)*100</f>
        <v>0.92138407138544487</v>
      </c>
      <c r="E125" cm="1">
        <f t="array" ref="E125">(PRODUCT(1+sp500_monthly!E126:E245)^(1/120)-1)*100</f>
        <v>0.54510678567989412</v>
      </c>
      <c r="F125" cm="1">
        <f t="array" ref="F125">(PRODUCT(1+sp500_monthly!K126:K245)^(1/120)-1)*100</f>
        <v>0.16021118804880885</v>
      </c>
      <c r="G125" cm="1">
        <f t="array" ref="G125">(PRODUCT(1+sp500_monthly!L126:L245)^(1/120)-1)</f>
        <v>1.4868192745999265E-2</v>
      </c>
      <c r="H125" cm="1">
        <f t="array" ref="H125">(PRODUCT(1+sp500_monthly!N126:N245)^(1/120)-1)*100</f>
        <v>0</v>
      </c>
      <c r="I125" cm="1">
        <f t="array" ref="I125">(PRODUCT(1+sp500_monthly!O126:O245)^(1/120)-1)*100</f>
        <v>0</v>
      </c>
    </row>
    <row r="126" spans="1:9" x14ac:dyDescent="0.35">
      <c r="A126" s="1">
        <v>13270</v>
      </c>
      <c r="B126" cm="1">
        <f t="array" ref="B126">(PRODUCT(1+sp500_monthly!B127:B246)^(1/120)-1)*100</f>
        <v>0.7053599259974952</v>
      </c>
      <c r="C126" cm="1">
        <f t="array" ref="C126">(PRODUCT(1+sp500_monthly!C127:C246)^(1/120)-1)*100</f>
        <v>0.25867738790925632</v>
      </c>
      <c r="D126" cm="1">
        <f t="array" ref="D126">(PRODUCT(1+sp500_monthly!D127:D246)^(1/120)-1)*100</f>
        <v>1.0305768787187475</v>
      </c>
      <c r="E126" cm="1">
        <f t="array" ref="E126">(PRODUCT(1+sp500_monthly!E127:E246)^(1/120)-1)*100</f>
        <v>0.65392496455212168</v>
      </c>
      <c r="F126" cm="1">
        <f t="array" ref="F126">(PRODUCT(1+sp500_monthly!K127:K246)^(1/120)-1)*100</f>
        <v>0.25802489158506248</v>
      </c>
      <c r="G126" cm="1">
        <f t="array" ref="G126">(PRODUCT(1+sp500_monthly!L127:L246)^(1/120)-1)</f>
        <v>1.495070636381679E-2</v>
      </c>
      <c r="H126" cm="1">
        <f t="array" ref="H126">(PRODUCT(1+sp500_monthly!N127:N246)^(1/120)-1)*100</f>
        <v>0</v>
      </c>
      <c r="I126" cm="1">
        <f t="array" ref="I126">(PRODUCT(1+sp500_monthly!O127:O246)^(1/120)-1)*100</f>
        <v>0</v>
      </c>
    </row>
    <row r="127" spans="1:9" x14ac:dyDescent="0.35">
      <c r="A127" s="1">
        <v>13299</v>
      </c>
      <c r="B127" cm="1">
        <f t="array" ref="B127">(PRODUCT(1+sp500_monthly!B128:B247)^(1/120)-1)*100</f>
        <v>0.68575332761844354</v>
      </c>
      <c r="C127" cm="1">
        <f t="array" ref="C127">(PRODUCT(1+sp500_monthly!C128:C247)^(1/120)-1)*100</f>
        <v>0.23949279792343514</v>
      </c>
      <c r="D127" cm="1">
        <f t="array" ref="D127">(PRODUCT(1+sp500_monthly!D128:D247)^(1/120)-1)*100</f>
        <v>1.0148567994771929</v>
      </c>
      <c r="E127" cm="1">
        <f t="array" ref="E127">(PRODUCT(1+sp500_monthly!E128:E247)^(1/120)-1)*100</f>
        <v>0.63632289968840183</v>
      </c>
      <c r="F127" cm="1">
        <f t="array" ref="F127">(PRODUCT(1+sp500_monthly!K128:K247)^(1/120)-1)*100</f>
        <v>0.23914877081483432</v>
      </c>
      <c r="G127" cm="1">
        <f t="array" ref="G127">(PRODUCT(1+sp500_monthly!L128:L247)^(1/120)-1)</f>
        <v>1.5033226690384538E-2</v>
      </c>
      <c r="H127" cm="1">
        <f t="array" ref="H127">(PRODUCT(1+sp500_monthly!N128:N247)^(1/120)-1)*100</f>
        <v>0</v>
      </c>
      <c r="I127" cm="1">
        <f t="array" ref="I127">(PRODUCT(1+sp500_monthly!O128:O247)^(1/120)-1)*100</f>
        <v>0</v>
      </c>
    </row>
    <row r="128" spans="1:9" x14ac:dyDescent="0.35">
      <c r="A128" s="1">
        <v>13331</v>
      </c>
      <c r="B128" cm="1">
        <f t="array" ref="B128">(PRODUCT(1+sp500_monthly!B129:B248)^(1/120)-1)*100</f>
        <v>0.62875580027565992</v>
      </c>
      <c r="C128" cm="1">
        <f t="array" ref="C128">(PRODUCT(1+sp500_monthly!C129:C248)^(1/120)-1)*100</f>
        <v>0.1832700215870009</v>
      </c>
      <c r="D128" cm="1">
        <f t="array" ref="D128">(PRODUCT(1+sp500_monthly!D129:D248)^(1/120)-1)*100</f>
        <v>0.96445805019127473</v>
      </c>
      <c r="E128" cm="1">
        <f t="array" ref="E128">(PRODUCT(1+sp500_monthly!E129:E248)^(1/120)-1)*100</f>
        <v>0.58642205065650987</v>
      </c>
      <c r="F128" cm="1">
        <f t="array" ref="F128">(PRODUCT(1+sp500_monthly!K129:K248)^(1/120)-1)*100</f>
        <v>0.180704240427354</v>
      </c>
      <c r="G128" cm="1">
        <f t="array" ref="G128">(PRODUCT(1+sp500_monthly!L129:L248)^(1/120)-1)</f>
        <v>1.5033226690384538E-2</v>
      </c>
      <c r="H128" cm="1">
        <f t="array" ref="H128">(PRODUCT(1+sp500_monthly!N129:N248)^(1/120)-1)*100</f>
        <v>0</v>
      </c>
      <c r="I128" cm="1">
        <f t="array" ref="I128">(PRODUCT(1+sp500_monthly!O129:O248)^(1/120)-1)*100</f>
        <v>0</v>
      </c>
    </row>
    <row r="129" spans="1:9" x14ac:dyDescent="0.35">
      <c r="A129" s="1">
        <v>13362</v>
      </c>
      <c r="B129" cm="1">
        <f t="array" ref="B129">(PRODUCT(1+sp500_monthly!B130:B249)^(1/120)-1)*100</f>
        <v>0.54610539173007844</v>
      </c>
      <c r="C129" cm="1">
        <f t="array" ref="C129">(PRODUCT(1+sp500_monthly!C130:C249)^(1/120)-1)*100</f>
        <v>0.10090397162365594</v>
      </c>
      <c r="D129" cm="1">
        <f t="array" ref="D129">(PRODUCT(1+sp500_monthly!D130:D249)^(1/120)-1)*100</f>
        <v>0.85793266455767014</v>
      </c>
      <c r="E129" cm="1">
        <f t="array" ref="E129">(PRODUCT(1+sp500_monthly!E130:E249)^(1/120)-1)*100</f>
        <v>0.48046335552998087</v>
      </c>
      <c r="F129" cm="1">
        <f t="array" ref="F129">(PRODUCT(1+sp500_monthly!K130:K249)^(1/120)-1)*100</f>
        <v>0.10419892044200019</v>
      </c>
      <c r="G129" cm="1">
        <f t="array" ref="G129">(PRODUCT(1+sp500_monthly!L130:L249)^(1/120)-1)</f>
        <v>1.5199100658776166E-2</v>
      </c>
      <c r="H129" cm="1">
        <f t="array" ref="H129">(PRODUCT(1+sp500_monthly!N130:N249)^(1/120)-1)*100</f>
        <v>0</v>
      </c>
      <c r="I129" cm="1">
        <f t="array" ref="I129">(PRODUCT(1+sp500_monthly!O130:O249)^(1/120)-1)*100</f>
        <v>0</v>
      </c>
    </row>
    <row r="130" spans="1:9" x14ac:dyDescent="0.35">
      <c r="A130" s="1">
        <v>13393</v>
      </c>
      <c r="B130" cm="1">
        <f t="array" ref="B130">(PRODUCT(1+sp500_monthly!B131:B250)^(1/120)-1)*100</f>
        <v>0.4746044615962175</v>
      </c>
      <c r="C130" cm="1">
        <f t="array" ref="C130">(PRODUCT(1+sp500_monthly!C131:C250)^(1/120)-1)*100</f>
        <v>2.9952668071242528E-2</v>
      </c>
      <c r="D130" cm="1">
        <f t="array" ref="D130">(PRODUCT(1+sp500_monthly!D131:D250)^(1/120)-1)*100</f>
        <v>0.77222108486219021</v>
      </c>
      <c r="E130" cm="1">
        <f t="array" ref="E130">(PRODUCT(1+sp500_monthly!E131:E250)^(1/120)-1)*100</f>
        <v>0.39327046731774118</v>
      </c>
      <c r="F130" cm="1">
        <f t="array" ref="F130">(PRODUCT(1+sp500_monthly!K131:K250)^(1/120)-1)*100</f>
        <v>3.3707677594385643E-2</v>
      </c>
      <c r="G130" cm="1">
        <f t="array" ref="G130">(PRODUCT(1+sp500_monthly!L131:L250)^(1/120)-1)</f>
        <v>1.5281641180983296E-2</v>
      </c>
      <c r="H130" cm="1">
        <f t="array" ref="H130">(PRODUCT(1+sp500_monthly!N131:N250)^(1/120)-1)*100</f>
        <v>0</v>
      </c>
      <c r="I130" cm="1">
        <f t="array" ref="I130">(PRODUCT(1+sp500_monthly!O131:O250)^(1/120)-1)*100</f>
        <v>0</v>
      </c>
    </row>
    <row r="131" spans="1:9" x14ac:dyDescent="0.35">
      <c r="A131" s="1">
        <v>13423</v>
      </c>
      <c r="B131" cm="1">
        <f t="array" ref="B131">(PRODUCT(1+sp500_monthly!B132:B251)^(1/120)-1)*100</f>
        <v>0.37857453423797427</v>
      </c>
      <c r="C131" cm="1">
        <f t="array" ref="C131">(PRODUCT(1+sp500_monthly!C132:C251)^(1/120)-1)*100</f>
        <v>-6.5328661229169249E-2</v>
      </c>
      <c r="D131" cm="1">
        <f t="array" ref="D131">(PRODUCT(1+sp500_monthly!D132:D251)^(1/120)-1)*100</f>
        <v>0.64434511259090499</v>
      </c>
      <c r="E131" cm="1">
        <f t="array" ref="E131">(PRODUCT(1+sp500_monthly!E132:E251)^(1/120)-1)*100</f>
        <v>0.26541078544519703</v>
      </c>
      <c r="F131" cm="1">
        <f t="array" ref="F131">(PRODUCT(1+sp500_monthly!K132:K251)^(1/120)-1)*100</f>
        <v>-5.651620644304689E-2</v>
      </c>
      <c r="G131" cm="1">
        <f t="array" ref="G131">(PRODUCT(1+sp500_monthly!L132:L251)^(1/120)-1)</f>
        <v>1.5447555744595221E-2</v>
      </c>
      <c r="H131" cm="1">
        <f t="array" ref="H131">(PRODUCT(1+sp500_monthly!N132:N251)^(1/120)-1)*100</f>
        <v>0</v>
      </c>
      <c r="I131" cm="1">
        <f t="array" ref="I131">(PRODUCT(1+sp500_monthly!O132:O251)^(1/120)-1)*100</f>
        <v>0</v>
      </c>
    </row>
    <row r="132" spans="1:9" x14ac:dyDescent="0.35">
      <c r="A132" s="1">
        <v>13454</v>
      </c>
      <c r="B132" cm="1">
        <f t="array" ref="B132">(PRODUCT(1+sp500_monthly!B133:B252)^(1/120)-1)*100</f>
        <v>0.31237702577722182</v>
      </c>
      <c r="C132" cm="1">
        <f t="array" ref="C132">(PRODUCT(1+sp500_monthly!C133:C252)^(1/120)-1)*100</f>
        <v>-0.13144187801935603</v>
      </c>
      <c r="D132" cm="1">
        <f t="array" ref="D132">(PRODUCT(1+sp500_monthly!D133:D252)^(1/120)-1)*100</f>
        <v>0.60177352615029545</v>
      </c>
      <c r="E132" cm="1">
        <f t="array" ref="E132">(PRODUCT(1+sp500_monthly!E133:E252)^(1/120)-1)*100</f>
        <v>0.22326363200260158</v>
      </c>
      <c r="F132" cm="1">
        <f t="array" ref="F132">(PRODUCT(1+sp500_monthly!K133:K252)^(1/120)-1)*100</f>
        <v>-0.12339788579701638</v>
      </c>
      <c r="G132" cm="1">
        <f t="array" ref="G132">(PRODUCT(1+sp500_monthly!L133:L252)^(1/120)-1)</f>
        <v>1.5530116467384003E-2</v>
      </c>
      <c r="H132" cm="1">
        <f t="array" ref="H132">(PRODUCT(1+sp500_monthly!N133:N252)^(1/120)-1)*100</f>
        <v>0</v>
      </c>
      <c r="I132" cm="1">
        <f t="array" ref="I132">(PRODUCT(1+sp500_monthly!O133:O252)^(1/120)-1)*100</f>
        <v>0</v>
      </c>
    </row>
    <row r="133" spans="1:9" x14ac:dyDescent="0.35">
      <c r="A133" s="1">
        <v>13484</v>
      </c>
      <c r="B133" cm="1">
        <f t="array" ref="B133">(PRODUCT(1+sp500_monthly!B134:B253)^(1/120)-1)*100</f>
        <v>0.30032541693503223</v>
      </c>
      <c r="C133" cm="1">
        <f t="array" ref="C133">(PRODUCT(1+sp500_monthly!C134:C253)^(1/120)-1)*100</f>
        <v>-0.14100335061368874</v>
      </c>
      <c r="D133" cm="1">
        <f t="array" ref="D133">(PRODUCT(1+sp500_monthly!D134:D253)^(1/120)-1)*100</f>
        <v>0.57505339886920748</v>
      </c>
      <c r="E133" cm="1">
        <f t="array" ref="E133">(PRODUCT(1+sp500_monthly!E134:E253)^(1/120)-1)*100</f>
        <v>0.19499396452495876</v>
      </c>
      <c r="F133" cm="1">
        <f t="array" ref="F133">(PRODUCT(1+sp500_monthly!K134:K253)^(1/120)-1)*100</f>
        <v>-0.13636508653774859</v>
      </c>
      <c r="G133" cm="1">
        <f t="array" ref="G133">(PRODUCT(1+sp500_monthly!L134:L253)^(1/120)-1)</f>
        <v>1.5696071636151165E-2</v>
      </c>
      <c r="H133" cm="1">
        <f t="array" ref="H133">(PRODUCT(1+sp500_monthly!N134:N253)^(1/120)-1)*100</f>
        <v>0</v>
      </c>
      <c r="I133" cm="1">
        <f t="array" ref="I133">(PRODUCT(1+sp500_monthly!O134:O253)^(1/120)-1)*100</f>
        <v>0</v>
      </c>
    </row>
    <row r="134" spans="1:9" x14ac:dyDescent="0.35">
      <c r="A134" s="1">
        <v>13515</v>
      </c>
      <c r="B134" cm="1">
        <f t="array" ref="B134">(PRODUCT(1+sp500_monthly!B135:B254)^(1/120)-1)*100</f>
        <v>0.34178513231455376</v>
      </c>
      <c r="C134" cm="1">
        <f t="array" ref="C134">(PRODUCT(1+sp500_monthly!C135:C254)^(1/120)-1)*100</f>
        <v>-0.10069235354075445</v>
      </c>
      <c r="D134" cm="1">
        <f t="array" ref="D134">(PRODUCT(1+sp500_monthly!D135:D254)^(1/120)-1)*100</f>
        <v>0.60246638842671452</v>
      </c>
      <c r="E134" cm="1">
        <f t="array" ref="E134">(PRODUCT(1+sp500_monthly!E135:E254)^(1/120)-1)*100</f>
        <v>0.2211367841906009</v>
      </c>
      <c r="F134" cm="1">
        <f t="array" ref="F134">(PRODUCT(1+sp500_monthly!K135:K254)^(1/120)-1)*100</f>
        <v>-9.6534647224211234E-2</v>
      </c>
      <c r="G134" cm="1">
        <f t="array" ref="G134">(PRODUCT(1+sp500_monthly!L135:L254)^(1/120)-1)</f>
        <v>1.5946292113450999E-2</v>
      </c>
      <c r="H134" cm="1">
        <f t="array" ref="H134">(PRODUCT(1+sp500_monthly!N135:N254)^(1/120)-1)*100</f>
        <v>0</v>
      </c>
      <c r="I134" cm="1">
        <f t="array" ref="I134">(PRODUCT(1+sp500_monthly!O135:O254)^(1/120)-1)*100</f>
        <v>0</v>
      </c>
    </row>
    <row r="135" spans="1:9" x14ac:dyDescent="0.35">
      <c r="A135" s="1">
        <v>13545</v>
      </c>
      <c r="B135" cm="1">
        <f t="array" ref="B135">(PRODUCT(1+sp500_monthly!B136:B255)^(1/120)-1)*100</f>
        <v>0.32989682426269873</v>
      </c>
      <c r="C135" cm="1">
        <f t="array" ref="C135">(PRODUCT(1+sp500_monthly!C136:C255)^(1/120)-1)*100</f>
        <v>-0.11280403957548701</v>
      </c>
      <c r="D135" cm="1">
        <f t="array" ref="D135">(PRODUCT(1+sp500_monthly!D136:D255)^(1/120)-1)*100</f>
        <v>0.57646816164722559</v>
      </c>
      <c r="E135" cm="1">
        <f t="array" ref="E135">(PRODUCT(1+sp500_monthly!E136:E255)^(1/120)-1)*100</f>
        <v>0.19532329415601346</v>
      </c>
      <c r="F135" cm="1">
        <f t="array" ref="F135">(PRODUCT(1+sp500_monthly!K136:K255)^(1/120)-1)*100</f>
        <v>-0.10808977338611081</v>
      </c>
      <c r="G135" cm="1">
        <f t="array" ref="G135">(PRODUCT(1+sp500_monthly!L136:L255)^(1/120)-1)</f>
        <v>1.6112315292510004E-2</v>
      </c>
      <c r="H135" cm="1">
        <f t="array" ref="H135">(PRODUCT(1+sp500_monthly!N136:N255)^(1/120)-1)*100</f>
        <v>0</v>
      </c>
      <c r="I135" cm="1">
        <f t="array" ref="I135">(PRODUCT(1+sp500_monthly!O136:O255)^(1/120)-1)*100</f>
        <v>0</v>
      </c>
    </row>
    <row r="136" spans="1:9" x14ac:dyDescent="0.35">
      <c r="A136" s="1">
        <v>13573</v>
      </c>
      <c r="B136" cm="1">
        <f t="array" ref="B136">(PRODUCT(1+sp500_monthly!B137:B256)^(1/120)-1)*100</f>
        <v>0.30761271778707577</v>
      </c>
      <c r="C136" cm="1">
        <f t="array" ref="C136">(PRODUCT(1+sp500_monthly!C137:C256)^(1/120)-1)*100</f>
        <v>-0.13820175832086612</v>
      </c>
      <c r="D136" cm="1">
        <f t="array" ref="D136">(PRODUCT(1+sp500_monthly!D137:D256)^(1/120)-1)*100</f>
        <v>0.54472554249791472</v>
      </c>
      <c r="E136" cm="1">
        <f t="array" ref="E136">(PRODUCT(1+sp500_monthly!E137:E256)^(1/120)-1)*100</f>
        <v>0.16083124994512588</v>
      </c>
      <c r="F136" cm="1">
        <f t="array" ref="F136">(PRODUCT(1+sp500_monthly!K137:K256)^(1/120)-1)*100</f>
        <v>-0.13245428994703712</v>
      </c>
      <c r="G136" cm="1">
        <f t="array" ref="G136">(PRODUCT(1+sp500_monthly!L137:L256)^(1/120)-1)</f>
        <v>1.6194930063416324E-2</v>
      </c>
      <c r="H136" cm="1">
        <f t="array" ref="H136">(PRODUCT(1+sp500_monthly!N137:N256)^(1/120)-1)*100</f>
        <v>0</v>
      </c>
      <c r="I136" cm="1">
        <f t="array" ref="I136">(PRODUCT(1+sp500_monthly!O137:O256)^(1/120)-1)*100</f>
        <v>0</v>
      </c>
    </row>
    <row r="137" spans="1:9" x14ac:dyDescent="0.35">
      <c r="A137" s="1">
        <v>13605</v>
      </c>
      <c r="B137" cm="1">
        <f t="array" ref="B137">(PRODUCT(1+sp500_monthly!B138:B257)^(1/120)-1)*100</f>
        <v>0.29791295445671384</v>
      </c>
      <c r="C137" cm="1">
        <f t="array" ref="C137">(PRODUCT(1+sp500_monthly!C138:C257)^(1/120)-1)*100</f>
        <v>-0.14787832599870709</v>
      </c>
      <c r="D137" cm="1">
        <f t="array" ref="D137">(PRODUCT(1+sp500_monthly!D138:D257)^(1/120)-1)*100</f>
        <v>0.50767045205990513</v>
      </c>
      <c r="E137" cm="1">
        <f t="array" ref="E137">(PRODUCT(1+sp500_monthly!E138:E257)^(1/120)-1)*100</f>
        <v>0.12354114248345205</v>
      </c>
      <c r="F137" cm="1">
        <f t="array" ref="F137">(PRODUCT(1+sp500_monthly!K138:K257)^(1/120)-1)*100</f>
        <v>-0.13873921123411792</v>
      </c>
      <c r="G137" cm="1">
        <f t="array" ref="G137">(PRODUCT(1+sp500_monthly!L138:L257)^(1/120)-1)</f>
        <v>1.6360993874212637E-2</v>
      </c>
      <c r="H137" cm="1">
        <f t="array" ref="H137">(PRODUCT(1+sp500_monthly!N138:N257)^(1/120)-1)*100</f>
        <v>0</v>
      </c>
      <c r="I137" cm="1">
        <f t="array" ref="I137">(PRODUCT(1+sp500_monthly!O138:O257)^(1/120)-1)*100</f>
        <v>0</v>
      </c>
    </row>
    <row r="138" spans="1:9" x14ac:dyDescent="0.35">
      <c r="A138" s="1">
        <v>13635</v>
      </c>
      <c r="B138" cm="1">
        <f t="array" ref="B138">(PRODUCT(1+sp500_monthly!B139:B258)^(1/120)-1)*100</f>
        <v>0.33446170508175666</v>
      </c>
      <c r="C138" cm="1">
        <f t="array" ref="C138">(PRODUCT(1+sp500_monthly!C139:C258)^(1/120)-1)*100</f>
        <v>-0.11177858641400196</v>
      </c>
      <c r="D138" cm="1">
        <f t="array" ref="D138">(PRODUCT(1+sp500_monthly!D139:D258)^(1/120)-1)*100</f>
        <v>0.52806666401850055</v>
      </c>
      <c r="E138" cm="1">
        <f t="array" ref="E138">(PRODUCT(1+sp500_monthly!E139:E258)^(1/120)-1)*100</f>
        <v>0.14332463816606467</v>
      </c>
      <c r="F138" cm="1">
        <f t="array" ref="F138">(PRODUCT(1+sp500_monthly!K139:K258)^(1/120)-1)*100</f>
        <v>-9.9503846029502796E-2</v>
      </c>
      <c r="G138" cm="1">
        <f t="array" ref="G138">(PRODUCT(1+sp500_monthly!L139:L258)^(1/120)-1)</f>
        <v>1.6360993874212637E-2</v>
      </c>
      <c r="H138" cm="1">
        <f t="array" ref="H138">(PRODUCT(1+sp500_monthly!N139:N258)^(1/120)-1)*100</f>
        <v>0</v>
      </c>
      <c r="I138" cm="1">
        <f t="array" ref="I138">(PRODUCT(1+sp500_monthly!O139:O258)^(1/120)-1)*100</f>
        <v>0</v>
      </c>
    </row>
    <row r="139" spans="1:9" x14ac:dyDescent="0.35">
      <c r="A139" s="1">
        <v>13663</v>
      </c>
      <c r="B139" cm="1">
        <f t="array" ref="B139">(PRODUCT(1+sp500_monthly!B140:B259)^(1/120)-1)*100</f>
        <v>0.33841229416646801</v>
      </c>
      <c r="C139" cm="1">
        <f t="array" ref="C139">(PRODUCT(1+sp500_monthly!C140:C259)^(1/120)-1)*100</f>
        <v>-0.11075504162770811</v>
      </c>
      <c r="D139" cm="1">
        <f t="array" ref="D139">(PRODUCT(1+sp500_monthly!D140:D259)^(1/120)-1)*100</f>
        <v>0.53576356363862487</v>
      </c>
      <c r="E139" cm="1">
        <f t="array" ref="E139">(PRODUCT(1+sp500_monthly!E140:E259)^(1/120)-1)*100</f>
        <v>0.14750138984640504</v>
      </c>
      <c r="F139" cm="1">
        <f t="array" ref="F139">(PRODUCT(1+sp500_monthly!K140:K259)^(1/120)-1)*100</f>
        <v>-9.8300939438444868E-2</v>
      </c>
      <c r="G139" cm="1">
        <f t="array" ref="G139">(PRODUCT(1+sp500_monthly!L140:L259)^(1/120)-1)</f>
        <v>1.611785769607077E-2</v>
      </c>
      <c r="H139" cm="1">
        <f t="array" ref="H139">(PRODUCT(1+sp500_monthly!N140:N259)^(1/120)-1)*100</f>
        <v>0</v>
      </c>
      <c r="I139" cm="1">
        <f t="array" ref="I139">(PRODUCT(1+sp500_monthly!O140:O259)^(1/120)-1)*100</f>
        <v>0</v>
      </c>
    </row>
    <row r="140" spans="1:9" x14ac:dyDescent="0.35">
      <c r="A140" s="1">
        <v>13696</v>
      </c>
      <c r="B140" cm="1">
        <f t="array" ref="B140">(PRODUCT(1+sp500_monthly!B141:B260)^(1/120)-1)*100</f>
        <v>0.4286641137309477</v>
      </c>
      <c r="C140" cm="1">
        <f t="array" ref="C140">(PRODUCT(1+sp500_monthly!C141:C260)^(1/120)-1)*100</f>
        <v>-1.9774033355002274E-2</v>
      </c>
      <c r="D140" cm="1">
        <f t="array" ref="D140">(PRODUCT(1+sp500_monthly!D141:D260)^(1/120)-1)*100</f>
        <v>0.64399408033708472</v>
      </c>
      <c r="E140" cm="1">
        <f t="array" ref="E140">(PRODUCT(1+sp500_monthly!E141:E260)^(1/120)-1)*100</f>
        <v>0.25626406544299041</v>
      </c>
      <c r="F140" cm="1">
        <f t="array" ref="F140">(PRODUCT(1+sp500_monthly!K141:K260)^(1/120)-1)*100</f>
        <v>-1.0349054374547695E-2</v>
      </c>
      <c r="G140" cm="1">
        <f t="array" ref="G140">(PRODUCT(1+sp500_monthly!L141:L260)^(1/120)-1)</f>
        <v>1.611785769607077E-2</v>
      </c>
      <c r="H140" cm="1">
        <f t="array" ref="H140">(PRODUCT(1+sp500_monthly!N141:N260)^(1/120)-1)*100</f>
        <v>0</v>
      </c>
      <c r="I140" cm="1">
        <f t="array" ref="I140">(PRODUCT(1+sp500_monthly!O141:O260)^(1/120)-1)*100</f>
        <v>0</v>
      </c>
    </row>
    <row r="141" spans="1:9" x14ac:dyDescent="0.35">
      <c r="A141" s="1">
        <v>13727</v>
      </c>
      <c r="B141" cm="1">
        <f t="array" ref="B141">(PRODUCT(1+sp500_monthly!B142:B261)^(1/120)-1)*100</f>
        <v>0.3821568336890957</v>
      </c>
      <c r="C141" cm="1">
        <f t="array" ref="C141">(PRODUCT(1+sp500_monthly!C142:C261)^(1/120)-1)*100</f>
        <v>-6.6295719252240648E-2</v>
      </c>
      <c r="D141" cm="1">
        <f t="array" ref="D141">(PRODUCT(1+sp500_monthly!D142:D261)^(1/120)-1)*100</f>
        <v>0.59763734670006396</v>
      </c>
      <c r="E141" cm="1">
        <f t="array" ref="E141">(PRODUCT(1+sp500_monthly!E142:E261)^(1/120)-1)*100</f>
        <v>0.20979557653897363</v>
      </c>
      <c r="F141" cm="1">
        <f t="array" ref="F141">(PRODUCT(1+sp500_monthly!K142:K261)^(1/120)-1)*100</f>
        <v>-6.2119233154089848E-2</v>
      </c>
      <c r="G141" cm="1">
        <f t="array" ref="G141">(PRODUCT(1+sp500_monthly!L142:L261)^(1/120)-1)</f>
        <v>1.611785769607077E-2</v>
      </c>
      <c r="H141" cm="1">
        <f t="array" ref="H141">(PRODUCT(1+sp500_monthly!N142:N261)^(1/120)-1)*100</f>
        <v>0</v>
      </c>
      <c r="I141" cm="1">
        <f t="array" ref="I141">(PRODUCT(1+sp500_monthly!O142:O261)^(1/120)-1)*100</f>
        <v>0</v>
      </c>
    </row>
    <row r="142" spans="1:9" x14ac:dyDescent="0.35">
      <c r="A142" s="1">
        <v>13758</v>
      </c>
      <c r="B142" cm="1">
        <f t="array" ref="B142">(PRODUCT(1+sp500_monthly!B143:B262)^(1/120)-1)*100</f>
        <v>0.40658020196717715</v>
      </c>
      <c r="C142" cm="1">
        <f t="array" ref="C142">(PRODUCT(1+sp500_monthly!C143:C262)^(1/120)-1)*100</f>
        <v>-4.2678444259980353E-2</v>
      </c>
      <c r="D142" cm="1">
        <f t="array" ref="D142">(PRODUCT(1+sp500_monthly!D143:D262)^(1/120)-1)*100</f>
        <v>0.6277373870428038</v>
      </c>
      <c r="E142" cm="1">
        <f t="array" ref="E142">(PRODUCT(1+sp500_monthly!E143:E262)^(1/120)-1)*100</f>
        <v>0.23830694208986092</v>
      </c>
      <c r="F142" cm="1">
        <f t="array" ref="F142">(PRODUCT(1+sp500_monthly!K143:K262)^(1/120)-1)*100</f>
        <v>-3.8269399551849048E-2</v>
      </c>
      <c r="G142" cm="1">
        <f t="array" ref="G142">(PRODUCT(1+sp500_monthly!L143:L262)^(1/120)-1)</f>
        <v>1.620047291760085E-2</v>
      </c>
      <c r="H142" cm="1">
        <f t="array" ref="H142">(PRODUCT(1+sp500_monthly!N143:N262)^(1/120)-1)*100</f>
        <v>0</v>
      </c>
      <c r="I142" cm="1">
        <f t="array" ref="I142">(PRODUCT(1+sp500_monthly!O143:O262)^(1/120)-1)*100</f>
        <v>0</v>
      </c>
    </row>
    <row r="143" spans="1:9" x14ac:dyDescent="0.35">
      <c r="A143" s="1">
        <v>13788</v>
      </c>
      <c r="B143" cm="1">
        <f t="array" ref="B143">(PRODUCT(1+sp500_monthly!B144:B263)^(1/120)-1)*100</f>
        <v>0.52411785959816104</v>
      </c>
      <c r="C143" cm="1">
        <f t="array" ref="C143">(PRODUCT(1+sp500_monthly!C144:C263)^(1/120)-1)*100</f>
        <v>7.5115703725892047E-2</v>
      </c>
      <c r="D143" cm="1">
        <f t="array" ref="D143">(PRODUCT(1+sp500_monthly!D144:D263)^(1/120)-1)*100</f>
        <v>0.78709663216629533</v>
      </c>
      <c r="E143" cm="1">
        <f t="array" ref="E143">(PRODUCT(1+sp500_monthly!E144:E263)^(1/120)-1)*100</f>
        <v>0.39659428079517056</v>
      </c>
      <c r="F143" cm="1">
        <f t="array" ref="F143">(PRODUCT(1+sp500_monthly!K144:K263)^(1/120)-1)*100</f>
        <v>7.8018168587146164E-2</v>
      </c>
      <c r="G143" cm="1">
        <f t="array" ref="G143">(PRODUCT(1+sp500_monthly!L144:L263)^(1/120)-1)</f>
        <v>1.6361792260250363E-2</v>
      </c>
      <c r="H143" cm="1">
        <f t="array" ref="H143">(PRODUCT(1+sp500_monthly!N144:N263)^(1/120)-1)*100</f>
        <v>0</v>
      </c>
      <c r="I143" cm="1">
        <f t="array" ref="I143">(PRODUCT(1+sp500_monthly!O144:O263)^(1/120)-1)*100</f>
        <v>0</v>
      </c>
    </row>
    <row r="144" spans="1:9" x14ac:dyDescent="0.35">
      <c r="A144" s="1">
        <v>13818</v>
      </c>
      <c r="B144" cm="1">
        <f t="array" ref="B144">(PRODUCT(1+sp500_monthly!B145:B264)^(1/120)-1)*100</f>
        <v>0.63203701699701131</v>
      </c>
      <c r="C144" cm="1">
        <f t="array" ref="C144">(PRODUCT(1+sp500_monthly!C145:C264)^(1/120)-1)*100</f>
        <v>0.18246340160661401</v>
      </c>
      <c r="D144" cm="1">
        <f t="array" ref="D144">(PRODUCT(1+sp500_monthly!D145:D264)^(1/120)-1)*100</f>
        <v>0.89614805728652769</v>
      </c>
      <c r="E144" cm="1">
        <f t="array" ref="E144">(PRODUCT(1+sp500_monthly!E145:E264)^(1/120)-1)*100</f>
        <v>0.50532273784467119</v>
      </c>
      <c r="F144" cm="1">
        <f t="array" ref="F144">(PRODUCT(1+sp500_monthly!K145:K264)^(1/120)-1)*100</f>
        <v>0.18503960112925544</v>
      </c>
      <c r="G144" cm="1">
        <f t="array" ref="G144">(PRODUCT(1+sp500_monthly!L145:L264)^(1/120)-1)</f>
        <v>1.6687641634381079E-2</v>
      </c>
      <c r="H144" cm="1">
        <f t="array" ref="H144">(PRODUCT(1+sp500_monthly!N145:N264)^(1/120)-1)*100</f>
        <v>0</v>
      </c>
      <c r="I144" cm="1">
        <f t="array" ref="I144">(PRODUCT(1+sp500_monthly!O145:O264)^(1/120)-1)*100</f>
        <v>0</v>
      </c>
    </row>
    <row r="145" spans="1:9" x14ac:dyDescent="0.35">
      <c r="A145" s="1">
        <v>13849</v>
      </c>
      <c r="B145" cm="1">
        <f t="array" ref="B145">(PRODUCT(1+sp500_monthly!B146:B265)^(1/120)-1)*100</f>
        <v>0.6909778115589793</v>
      </c>
      <c r="C145" cm="1">
        <f t="array" ref="C145">(PRODUCT(1+sp500_monthly!C146:C265)^(1/120)-1)*100</f>
        <v>0.24563351529609534</v>
      </c>
      <c r="D145" cm="1">
        <f t="array" ref="D145">(PRODUCT(1+sp500_monthly!D146:D265)^(1/120)-1)*100</f>
        <v>0.94565547321878718</v>
      </c>
      <c r="E145" cm="1">
        <f t="array" ref="E145">(PRODUCT(1+sp500_monthly!E146:E265)^(1/120)-1)*100</f>
        <v>0.55586768899058558</v>
      </c>
      <c r="F145" cm="1">
        <f t="array" ref="F145">(PRODUCT(1+sp500_monthly!K146:K265)^(1/120)-1)*100</f>
        <v>0.24992183060481565</v>
      </c>
      <c r="G145" cm="1">
        <f t="array" ref="G145">(PRODUCT(1+sp500_monthly!L146:L265)^(1/120)-1)</f>
        <v>1.7013595477033849E-2</v>
      </c>
      <c r="H145" cm="1">
        <f t="array" ref="H145">(PRODUCT(1+sp500_monthly!N146:N265)^(1/120)-1)*100</f>
        <v>0</v>
      </c>
      <c r="I145" cm="1">
        <f t="array" ref="I145">(PRODUCT(1+sp500_monthly!O146:O265)^(1/120)-1)*100</f>
        <v>0</v>
      </c>
    </row>
    <row r="146" spans="1:9" x14ac:dyDescent="0.35">
      <c r="A146" s="1">
        <v>13880</v>
      </c>
      <c r="B146" cm="1">
        <f t="array" ref="B146">(PRODUCT(1+sp500_monthly!B147:B266)^(1/120)-1)*100</f>
        <v>0.75580255062430712</v>
      </c>
      <c r="C146" cm="1">
        <f t="array" ref="C146">(PRODUCT(1+sp500_monthly!C147:C266)^(1/120)-1)*100</f>
        <v>0.31201405627965251</v>
      </c>
      <c r="D146" cm="1">
        <f t="array" ref="D146">(PRODUCT(1+sp500_monthly!D147:D266)^(1/120)-1)*100</f>
        <v>1.0616861086225393</v>
      </c>
      <c r="E146" cm="1">
        <f t="array" ref="E146">(PRODUCT(1+sp500_monthly!E147:E266)^(1/120)-1)*100</f>
        <v>0.67270976834985508</v>
      </c>
      <c r="F146" cm="1">
        <f t="array" ref="F146">(PRODUCT(1+sp500_monthly!K147:K266)^(1/120)-1)*100</f>
        <v>0.31024763098976837</v>
      </c>
      <c r="G146" cm="1">
        <f t="array" ref="G146">(PRODUCT(1+sp500_monthly!L147:L266)^(1/120)-1)</f>
        <v>1.766605822353351E-2</v>
      </c>
      <c r="H146" cm="1">
        <f t="array" ref="H146">(PRODUCT(1+sp500_monthly!N147:N266)^(1/120)-1)*100</f>
        <v>0</v>
      </c>
      <c r="I146" cm="1">
        <f t="array" ref="I146">(PRODUCT(1+sp500_monthly!O147:O266)^(1/120)-1)*100</f>
        <v>0</v>
      </c>
    </row>
    <row r="147" spans="1:9" x14ac:dyDescent="0.35">
      <c r="A147" s="1">
        <v>13911</v>
      </c>
      <c r="B147" cm="1">
        <f t="array" ref="B147">(PRODUCT(1+sp500_monthly!B148:B267)^(1/120)-1)*100</f>
        <v>0.71335691346499086</v>
      </c>
      <c r="C147" cm="1">
        <f t="array" ref="C147">(PRODUCT(1+sp500_monthly!C148:C267)^(1/120)-1)*100</f>
        <v>0.2696270521114208</v>
      </c>
      <c r="D147" cm="1">
        <f t="array" ref="D147">(PRODUCT(1+sp500_monthly!D148:D267)^(1/120)-1)*100</f>
        <v>1.0427955816729506</v>
      </c>
      <c r="E147" cm="1">
        <f t="array" ref="E147">(PRODUCT(1+sp500_monthly!E148:E267)^(1/120)-1)*100</f>
        <v>0.65378878173334432</v>
      </c>
      <c r="F147" cm="1">
        <f t="array" ref="F147">(PRODUCT(1+sp500_monthly!K148:K267)^(1/120)-1)*100</f>
        <v>0.26522824029391323</v>
      </c>
      <c r="G147" cm="1">
        <f t="array" ref="G147">(PRODUCT(1+sp500_monthly!L148:L267)^(1/120)-1)</f>
        <v>1.8240002593722826E-2</v>
      </c>
      <c r="H147" cm="1">
        <f t="array" ref="H147">(PRODUCT(1+sp500_monthly!N148:N267)^(1/120)-1)*100</f>
        <v>0</v>
      </c>
      <c r="I147" cm="1">
        <f t="array" ref="I147">(PRODUCT(1+sp500_monthly!O148:O267)^(1/120)-1)*100</f>
        <v>0</v>
      </c>
    </row>
    <row r="148" spans="1:9" x14ac:dyDescent="0.35">
      <c r="A148" s="1">
        <v>13939</v>
      </c>
      <c r="B148" cm="1">
        <f t="array" ref="B148">(PRODUCT(1+sp500_monthly!B149:B268)^(1/120)-1)*100</f>
        <v>0.62548171450165224</v>
      </c>
      <c r="C148" cm="1">
        <f t="array" ref="C148">(PRODUCT(1+sp500_monthly!C149:C268)^(1/120)-1)*100</f>
        <v>0.17917737557435753</v>
      </c>
      <c r="D148" cm="1">
        <f t="array" ref="D148">(PRODUCT(1+sp500_monthly!D149:D268)^(1/120)-1)*100</f>
        <v>0.93320934257861143</v>
      </c>
      <c r="E148" cm="1">
        <f t="array" ref="E148">(PRODUCT(1+sp500_monthly!E149:E268)^(1/120)-1)*100</f>
        <v>0.54135753815112153</v>
      </c>
      <c r="F148" cm="1">
        <f t="array" ref="F148">(PRODUCT(1+sp500_monthly!K149:K268)^(1/120)-1)*100</f>
        <v>0.17575051075471304</v>
      </c>
      <c r="G148" cm="1">
        <f t="array" ref="G148">(PRODUCT(1+sp500_monthly!L149:L268)^(1/120)-1)</f>
        <v>1.8814270657659726E-2</v>
      </c>
      <c r="H148" cm="1">
        <f t="array" ref="H148">(PRODUCT(1+sp500_monthly!N149:N268)^(1/120)-1)*100</f>
        <v>0</v>
      </c>
      <c r="I148" cm="1">
        <f t="array" ref="I148">(PRODUCT(1+sp500_monthly!O149:O268)^(1/120)-1)*100</f>
        <v>0</v>
      </c>
    </row>
    <row r="149" spans="1:9" x14ac:dyDescent="0.35">
      <c r="A149" s="1">
        <v>13970</v>
      </c>
      <c r="B149" cm="1">
        <f t="array" ref="B149">(PRODUCT(1+sp500_monthly!B150:B269)^(1/120)-1)*100</f>
        <v>0.93745492352259596</v>
      </c>
      <c r="C149" cm="1">
        <f t="array" ref="C149">(PRODUCT(1+sp500_monthly!C150:C269)^(1/120)-1)*100</f>
        <v>0.49066674489506301</v>
      </c>
      <c r="D149" cm="1">
        <f t="array" ref="D149">(PRODUCT(1+sp500_monthly!D150:D269)^(1/120)-1)*100</f>
        <v>1.3227746303040577</v>
      </c>
      <c r="E149" cm="1">
        <f t="array" ref="E149">(PRODUCT(1+sp500_monthly!E150:E269)^(1/120)-1)*100</f>
        <v>0.92969760613119679</v>
      </c>
      <c r="F149" cm="1">
        <f t="array" ref="F149">(PRODUCT(1+sp500_monthly!K150:K269)^(1/120)-1)*100</f>
        <v>0.47889129596327962</v>
      </c>
      <c r="G149" cm="1">
        <f t="array" ref="G149">(PRODUCT(1+sp500_monthly!L150:L269)^(1/120)-1)</f>
        <v>1.9631585752585945E-2</v>
      </c>
      <c r="H149" cm="1">
        <f t="array" ref="H149">(PRODUCT(1+sp500_monthly!N150:N269)^(1/120)-1)*100</f>
        <v>0</v>
      </c>
      <c r="I149" cm="1">
        <f t="array" ref="I149">(PRODUCT(1+sp500_monthly!O150:O269)^(1/120)-1)*100</f>
        <v>0</v>
      </c>
    </row>
    <row r="150" spans="1:9" x14ac:dyDescent="0.35">
      <c r="A150" s="1">
        <v>14000</v>
      </c>
      <c r="B150" cm="1">
        <f t="array" ref="B150">(PRODUCT(1+sp500_monthly!B151:B270)^(1/120)-1)*100</f>
        <v>0.85084618628024078</v>
      </c>
      <c r="C150" cm="1">
        <f t="array" ref="C150">(PRODUCT(1+sp500_monthly!C151:C270)^(1/120)-1)*100</f>
        <v>0.40383188802455283</v>
      </c>
      <c r="D150" cm="1">
        <f t="array" ref="D150">(PRODUCT(1+sp500_monthly!D151:D270)^(1/120)-1)*100</f>
        <v>1.2052110714463105</v>
      </c>
      <c r="E150" cm="1">
        <f t="array" ref="E150">(PRODUCT(1+sp500_monthly!E151:E270)^(1/120)-1)*100</f>
        <v>0.81240894562892851</v>
      </c>
      <c r="F150" cm="1">
        <f t="array" ref="F150">(PRODUCT(1+sp500_monthly!K151:K270)^(1/120)-1)*100</f>
        <v>0.39027452318414202</v>
      </c>
      <c r="G150" cm="1">
        <f t="array" ref="G150">(PRODUCT(1+sp500_monthly!L151:L270)^(1/120)-1)</f>
        <v>2.0201130067558415E-2</v>
      </c>
      <c r="H150" cm="1">
        <f t="array" ref="H150">(PRODUCT(1+sp500_monthly!N151:N270)^(1/120)-1)*100</f>
        <v>0</v>
      </c>
      <c r="I150" cm="1">
        <f t="array" ref="I150">(PRODUCT(1+sp500_monthly!O151:O270)^(1/120)-1)*100</f>
        <v>0</v>
      </c>
    </row>
    <row r="151" spans="1:9" x14ac:dyDescent="0.35">
      <c r="A151" s="1">
        <v>14031</v>
      </c>
      <c r="B151" cm="1">
        <f t="array" ref="B151">(PRODUCT(1+sp500_monthly!B152:B271)^(1/120)-1)*100</f>
        <v>0.95297967231371405</v>
      </c>
      <c r="C151" cm="1">
        <f t="array" ref="C151">(PRODUCT(1+sp500_monthly!C152:C271)^(1/120)-1)*100</f>
        <v>0.5057886836620451</v>
      </c>
      <c r="D151" cm="1">
        <f t="array" ref="D151">(PRODUCT(1+sp500_monthly!D152:D271)^(1/120)-1)*100</f>
        <v>1.3058087930631013</v>
      </c>
      <c r="E151" cm="1">
        <f t="array" ref="E151">(PRODUCT(1+sp500_monthly!E152:E271)^(1/120)-1)*100</f>
        <v>0.90984756332348482</v>
      </c>
      <c r="F151" cm="1">
        <f t="array" ref="F151">(PRODUCT(1+sp500_monthly!K152:K271)^(1/120)-1)*100</f>
        <v>0.49122009041893122</v>
      </c>
      <c r="G151" cm="1">
        <f t="array" ref="G151">(PRODUCT(1+sp500_monthly!L152:L271)^(1/120)-1)</f>
        <v>2.0855637769585433E-2</v>
      </c>
      <c r="H151" cm="1">
        <f t="array" ref="H151">(PRODUCT(1+sp500_monthly!N152:N271)^(1/120)-1)*100</f>
        <v>0</v>
      </c>
      <c r="I151" cm="1">
        <f t="array" ref="I151">(PRODUCT(1+sp500_monthly!O152:O271)^(1/120)-1)*100</f>
        <v>0</v>
      </c>
    </row>
    <row r="152" spans="1:9" x14ac:dyDescent="0.35">
      <c r="A152" s="1">
        <v>14061</v>
      </c>
      <c r="B152" cm="1">
        <f t="array" ref="B152">(PRODUCT(1+sp500_monthly!B153:B272)^(1/120)-1)*100</f>
        <v>0.76948034637815965</v>
      </c>
      <c r="C152" cm="1">
        <f t="array" ref="C152">(PRODUCT(1+sp500_monthly!C153:C272)^(1/120)-1)*100</f>
        <v>0.32261116228469167</v>
      </c>
      <c r="D152" cm="1">
        <f t="array" ref="D152">(PRODUCT(1+sp500_monthly!D153:D272)^(1/120)-1)*100</f>
        <v>1.089862696890509</v>
      </c>
      <c r="E152" cm="1">
        <f t="array" ref="E152">(PRODUCT(1+sp500_monthly!E153:E272)^(1/120)-1)*100</f>
        <v>0.69379158834037558</v>
      </c>
      <c r="F152" cm="1">
        <f t="array" ref="F152">(PRODUCT(1+sp500_monthly!K153:K272)^(1/120)-1)*100</f>
        <v>0.30901433490952979</v>
      </c>
      <c r="G152" cm="1">
        <f t="array" ref="G152">(PRODUCT(1+sp500_monthly!L153:L272)^(1/120)-1)</f>
        <v>2.1589025970653264E-2</v>
      </c>
      <c r="H152" cm="1">
        <f t="array" ref="H152">(PRODUCT(1+sp500_monthly!N153:N272)^(1/120)-1)*100</f>
        <v>0</v>
      </c>
      <c r="I152" cm="1">
        <f t="array" ref="I152">(PRODUCT(1+sp500_monthly!O153:O272)^(1/120)-1)*100</f>
        <v>0</v>
      </c>
    </row>
    <row r="153" spans="1:9" x14ac:dyDescent="0.35">
      <c r="A153" s="1">
        <v>14091</v>
      </c>
      <c r="B153" cm="1">
        <f t="array" ref="B153">(PRODUCT(1+sp500_monthly!B154:B273)^(1/120)-1)*100</f>
        <v>0.66390410632022334</v>
      </c>
      <c r="C153" cm="1">
        <f t="array" ref="C153">(PRODUCT(1+sp500_monthly!C154:C273)^(1/120)-1)*100</f>
        <v>0.21742870242227319</v>
      </c>
      <c r="D153" cm="1">
        <f t="array" ref="D153">(PRODUCT(1+sp500_monthly!D154:D273)^(1/120)-1)*100</f>
        <v>0.97433600444372104</v>
      </c>
      <c r="E153" cm="1">
        <f t="array" ref="E153">(PRODUCT(1+sp500_monthly!E154:E273)^(1/120)-1)*100</f>
        <v>0.57819196163029218</v>
      </c>
      <c r="F153" cm="1">
        <f t="array" ref="F153">(PRODUCT(1+sp500_monthly!K154:K273)^(1/120)-1)*100</f>
        <v>0.20476659009842635</v>
      </c>
      <c r="G153" cm="1">
        <f t="array" ref="G153">(PRODUCT(1+sp500_monthly!L154:L273)^(1/120)-1)</f>
        <v>2.2330043491058271E-2</v>
      </c>
      <c r="H153" cm="1">
        <f t="array" ref="H153">(PRODUCT(1+sp500_monthly!N154:N273)^(1/120)-1)*100</f>
        <v>0</v>
      </c>
      <c r="I153" cm="1">
        <f t="array" ref="I153">(PRODUCT(1+sp500_monthly!O154:O273)^(1/120)-1)*100</f>
        <v>0</v>
      </c>
    </row>
    <row r="154" spans="1:9" x14ac:dyDescent="0.35">
      <c r="A154" s="1">
        <v>14123</v>
      </c>
      <c r="B154" cm="1">
        <f t="array" ref="B154">(PRODUCT(1+sp500_monthly!B155:B274)^(1/120)-1)*100</f>
        <v>0.69885887256408985</v>
      </c>
      <c r="C154" cm="1">
        <f t="array" ref="C154">(PRODUCT(1+sp500_monthly!C155:C274)^(1/120)-1)*100</f>
        <v>0.2491675753053979</v>
      </c>
      <c r="D154" cm="1">
        <f t="array" ref="D154">(PRODUCT(1+sp500_monthly!D155:D274)^(1/120)-1)*100</f>
        <v>1.040459838340646</v>
      </c>
      <c r="E154" cm="1">
        <f t="array" ref="E154">(PRODUCT(1+sp500_monthly!E155:E274)^(1/120)-1)*100</f>
        <v>0.64077829803266262</v>
      </c>
      <c r="F154" cm="1">
        <f t="array" ref="F154">(PRODUCT(1+sp500_monthly!K155:K274)^(1/120)-1)*100</f>
        <v>0.23428491517671901</v>
      </c>
      <c r="G154" cm="1">
        <f t="array" ref="G154">(PRODUCT(1+sp500_monthly!L155:L274)^(1/120)-1)</f>
        <v>2.3064490913155877E-2</v>
      </c>
      <c r="H154" cm="1">
        <f t="array" ref="H154">(PRODUCT(1+sp500_monthly!N155:N274)^(1/120)-1)*100</f>
        <v>0</v>
      </c>
      <c r="I154" cm="1">
        <f t="array" ref="I154">(PRODUCT(1+sp500_monthly!O155:O274)^(1/120)-1)*100</f>
        <v>0</v>
      </c>
    </row>
    <row r="155" spans="1:9" x14ac:dyDescent="0.35">
      <c r="A155" s="1">
        <v>14153</v>
      </c>
      <c r="B155" cm="1">
        <f t="array" ref="B155">(PRODUCT(1+sp500_monthly!B156:B275)^(1/120)-1)*100</f>
        <v>0.66179350115151969</v>
      </c>
      <c r="C155" cm="1">
        <f t="array" ref="C155">(PRODUCT(1+sp500_monthly!C156:C275)^(1/120)-1)*100</f>
        <v>0.21122501724073484</v>
      </c>
      <c r="D155" cm="1">
        <f t="array" ref="D155">(PRODUCT(1+sp500_monthly!D156:D275)^(1/120)-1)*100</f>
        <v>1.0109856739051182</v>
      </c>
      <c r="E155" cm="1">
        <f t="array" ref="E155">(PRODUCT(1+sp500_monthly!E156:E275)^(1/120)-1)*100</f>
        <v>0.61015483740114451</v>
      </c>
      <c r="F155" cm="1">
        <f t="array" ref="F155">(PRODUCT(1+sp500_monthly!K156:K275)^(1/120)-1)*100</f>
        <v>0.19642717919565733</v>
      </c>
      <c r="G155" cm="1">
        <f t="array" ref="G155">(PRODUCT(1+sp500_monthly!L156:L275)^(1/120)-1)</f>
        <v>2.3230053925963778E-2</v>
      </c>
      <c r="H155" cm="1">
        <f t="array" ref="H155">(PRODUCT(1+sp500_monthly!N156:N275)^(1/120)-1)*100</f>
        <v>0</v>
      </c>
      <c r="I155" cm="1">
        <f t="array" ref="I155">(PRODUCT(1+sp500_monthly!O156:O275)^(1/120)-1)*100</f>
        <v>0</v>
      </c>
    </row>
    <row r="156" spans="1:9" x14ac:dyDescent="0.35">
      <c r="A156" s="1">
        <v>14184</v>
      </c>
      <c r="B156" cm="1">
        <f t="array" ref="B156">(PRODUCT(1+sp500_monthly!B157:B276)^(1/120)-1)*100</f>
        <v>0.65483075706500582</v>
      </c>
      <c r="C156" cm="1">
        <f t="array" ref="C156">(PRODUCT(1+sp500_monthly!C157:C276)^(1/120)-1)*100</f>
        <v>0.20252333939836387</v>
      </c>
      <c r="D156" cm="1">
        <f t="array" ref="D156">(PRODUCT(1+sp500_monthly!D157:D276)^(1/120)-1)*100</f>
        <v>0.94158893596265614</v>
      </c>
      <c r="E156" cm="1">
        <f t="array" ref="E156">(PRODUCT(1+sp500_monthly!E157:E276)^(1/120)-1)*100</f>
        <v>0.53967543209645363</v>
      </c>
      <c r="F156" cm="1">
        <f t="array" ref="F156">(PRODUCT(1+sp500_monthly!K157:K276)^(1/120)-1)*100</f>
        <v>0.190044428994951</v>
      </c>
      <c r="G156" cm="1">
        <f t="array" ref="G156">(PRODUCT(1+sp500_monthly!L157:L276)^(1/120)-1)</f>
        <v>2.3479670491772131E-2</v>
      </c>
      <c r="H156" cm="1">
        <f t="array" ref="H156">(PRODUCT(1+sp500_monthly!N157:N276)^(1/120)-1)*100</f>
        <v>0</v>
      </c>
      <c r="I156" cm="1">
        <f t="array" ref="I156">(PRODUCT(1+sp500_monthly!O157:O276)^(1/120)-1)*100</f>
        <v>0</v>
      </c>
    </row>
    <row r="157" spans="1:9" x14ac:dyDescent="0.35">
      <c r="A157" s="1">
        <v>14214</v>
      </c>
      <c r="B157" cm="1">
        <f t="array" ref="B157">(PRODUCT(1+sp500_monthly!B158:B277)^(1/120)-1)*100</f>
        <v>0.5903045470911028</v>
      </c>
      <c r="C157" cm="1">
        <f t="array" ref="C157">(PRODUCT(1+sp500_monthly!C158:C277)^(1/120)-1)*100</f>
        <v>0.13313054243606626</v>
      </c>
      <c r="D157" cm="1">
        <f t="array" ref="D157">(PRODUCT(1+sp500_monthly!D158:D277)^(1/120)-1)*100</f>
        <v>0.88240189691863868</v>
      </c>
      <c r="E157" cm="1">
        <f t="array" ref="E157">(PRODUCT(1+sp500_monthly!E158:E277)^(1/120)-1)*100</f>
        <v>0.47466150417669883</v>
      </c>
      <c r="F157" cm="1">
        <f t="array" ref="F157">(PRODUCT(1+sp500_monthly!K158:K277)^(1/120)-1)*100</f>
        <v>0.12280662948613852</v>
      </c>
      <c r="G157" cm="1">
        <f t="array" ref="G157">(PRODUCT(1+sp500_monthly!L158:L277)^(1/120)-1)</f>
        <v>2.4342282305217733E-2</v>
      </c>
      <c r="H157" cm="1">
        <f t="array" ref="H157">(PRODUCT(1+sp500_monthly!N158:N277)^(1/120)-1)*100</f>
        <v>0</v>
      </c>
      <c r="I157" cm="1">
        <f t="array" ref="I157">(PRODUCT(1+sp500_monthly!O158:O277)^(1/120)-1)*100</f>
        <v>0</v>
      </c>
    </row>
    <row r="158" spans="1:9" x14ac:dyDescent="0.35">
      <c r="A158" s="1">
        <v>14245</v>
      </c>
      <c r="B158" cm="1">
        <f t="array" ref="B158">(PRODUCT(1+sp500_monthly!B159:B278)^(1/120)-1)*100</f>
        <v>0.58316771700341885</v>
      </c>
      <c r="C158" cm="1">
        <f t="array" ref="C158">(PRODUCT(1+sp500_monthly!C159:C278)^(1/120)-1)*100</f>
        <v>0.12360790280634415</v>
      </c>
      <c r="D158" cm="1">
        <f t="array" ref="D158">(PRODUCT(1+sp500_monthly!D159:D278)^(1/120)-1)*100</f>
        <v>0.85329619314769012</v>
      </c>
      <c r="E158" cm="1">
        <f t="array" ref="E158">(PRODUCT(1+sp500_monthly!E159:E278)^(1/120)-1)*100</f>
        <v>0.44195091695178323</v>
      </c>
      <c r="F158" cm="1">
        <f t="array" ref="F158">(PRODUCT(1+sp500_monthly!K159:K278)^(1/120)-1)*100</f>
        <v>0.11699915525549276</v>
      </c>
      <c r="G158" cm="1">
        <f t="array" ref="G158">(PRODUCT(1+sp500_monthly!L159:L278)^(1/120)-1)</f>
        <v>2.4677132313512873E-2</v>
      </c>
      <c r="H158" cm="1">
        <f t="array" ref="H158">(PRODUCT(1+sp500_monthly!N159:N278)^(1/120)-1)*100</f>
        <v>0</v>
      </c>
      <c r="I158" cm="1">
        <f t="array" ref="I158">(PRODUCT(1+sp500_monthly!O159:O278)^(1/120)-1)*100</f>
        <v>0</v>
      </c>
    </row>
    <row r="159" spans="1:9" x14ac:dyDescent="0.35">
      <c r="A159" s="1">
        <v>14276</v>
      </c>
      <c r="B159" cm="1">
        <f t="array" ref="B159">(PRODUCT(1+sp500_monthly!B160:B279)^(1/120)-1)*100</f>
        <v>0.64671221450214311</v>
      </c>
      <c r="C159" cm="1">
        <f t="array" ref="C159">(PRODUCT(1+sp500_monthly!C160:C279)^(1/120)-1)*100</f>
        <v>0.1865058172465961</v>
      </c>
      <c r="D159" cm="1">
        <f t="array" ref="D159">(PRODUCT(1+sp500_monthly!D160:D279)^(1/120)-1)*100</f>
        <v>0.93916997488485698</v>
      </c>
      <c r="E159" cm="1">
        <f t="array" ref="E159">(PRODUCT(1+sp500_monthly!E160:E279)^(1/120)-1)*100</f>
        <v>0.52694589551787185</v>
      </c>
      <c r="F159" cm="1">
        <f t="array" ref="F159">(PRODUCT(1+sp500_monthly!K160:K279)^(1/120)-1)*100</f>
        <v>0.17766320650947076</v>
      </c>
      <c r="G159" cm="1">
        <f t="array" ref="G159">(PRODUCT(1+sp500_monthly!L160:L279)^(1/120)-1)</f>
        <v>2.5577198311960148E-2</v>
      </c>
      <c r="H159" cm="1">
        <f t="array" ref="H159">(PRODUCT(1+sp500_monthly!N160:N279)^(1/120)-1)*100</f>
        <v>0</v>
      </c>
      <c r="I159" cm="1">
        <f t="array" ref="I159">(PRODUCT(1+sp500_monthly!O160:O279)^(1/120)-1)*100</f>
        <v>0</v>
      </c>
    </row>
    <row r="160" spans="1:9" x14ac:dyDescent="0.35">
      <c r="A160" s="1">
        <v>14304</v>
      </c>
      <c r="B160" cm="1">
        <f t="array" ref="B160">(PRODUCT(1+sp500_monthly!B161:B280)^(1/120)-1)*100</f>
        <v>0.58744034046480653</v>
      </c>
      <c r="C160" cm="1">
        <f t="array" ref="C160">(PRODUCT(1+sp500_monthly!C161:C280)^(1/120)-1)*100</f>
        <v>0.12296057717446907</v>
      </c>
      <c r="D160" cm="1">
        <f t="array" ref="D160">(PRODUCT(1+sp500_monthly!D161:D280)^(1/120)-1)*100</f>
        <v>0.87129542099990687</v>
      </c>
      <c r="E160" cm="1">
        <f t="array" ref="E160">(PRODUCT(1+sp500_monthly!E161:E280)^(1/120)-1)*100</f>
        <v>0.45444236610159283</v>
      </c>
      <c r="F160" cm="1">
        <f t="array" ref="F160">(PRODUCT(1+sp500_monthly!K161:K280)^(1/120)-1)*100</f>
        <v>0.11738899537669933</v>
      </c>
      <c r="G160" cm="1">
        <f t="array" ref="G160">(PRODUCT(1+sp500_monthly!L161:L280)^(1/120)-1)</f>
        <v>2.6228880672078958E-2</v>
      </c>
      <c r="H160" cm="1">
        <f t="array" ref="H160">(PRODUCT(1+sp500_monthly!N161:N280)^(1/120)-1)*100</f>
        <v>0</v>
      </c>
      <c r="I160" cm="1">
        <f t="array" ref="I160">(PRODUCT(1+sp500_monthly!O161:O280)^(1/120)-1)*100</f>
        <v>0</v>
      </c>
    </row>
    <row r="161" spans="1:9" x14ac:dyDescent="0.35">
      <c r="A161" s="1">
        <v>14335</v>
      </c>
      <c r="B161" cm="1">
        <f t="array" ref="B161">(PRODUCT(1+sp500_monthly!B162:B281)^(1/120)-1)*100</f>
        <v>0.73695325121461153</v>
      </c>
      <c r="C161" cm="1">
        <f t="array" ref="C161">(PRODUCT(1+sp500_monthly!C162:C281)^(1/120)-1)*100</f>
        <v>0.27127313026213962</v>
      </c>
      <c r="D161" cm="1">
        <f t="array" ref="D161">(PRODUCT(1+sp500_monthly!D162:D281)^(1/120)-1)*100</f>
        <v>1.0884838945632858</v>
      </c>
      <c r="E161" cm="1">
        <f t="array" ref="E161">(PRODUCT(1+sp500_monthly!E162:E281)^(1/120)-1)*100</f>
        <v>0.66952612514750154</v>
      </c>
      <c r="F161" cm="1">
        <f t="array" ref="F161">(PRODUCT(1+sp500_monthly!K162:K281)^(1/120)-1)*100</f>
        <v>0.2636491574145472</v>
      </c>
      <c r="G161" cm="1">
        <f t="array" ref="G161">(PRODUCT(1+sp500_monthly!L162:L281)^(1/120)-1)</f>
        <v>2.7130309710543088E-2</v>
      </c>
      <c r="H161" cm="1">
        <f t="array" ref="H161">(PRODUCT(1+sp500_monthly!N162:N281)^(1/120)-1)*100</f>
        <v>0</v>
      </c>
      <c r="I161" cm="1">
        <f t="array" ref="I161">(PRODUCT(1+sp500_monthly!O162:O281)^(1/120)-1)*100</f>
        <v>0</v>
      </c>
    </row>
    <row r="162" spans="1:9" x14ac:dyDescent="0.35">
      <c r="A162" s="1">
        <v>14364</v>
      </c>
      <c r="B162" cm="1">
        <f t="array" ref="B162">(PRODUCT(1+sp500_monthly!B163:B282)^(1/120)-1)*100</f>
        <v>0.72668285762831353</v>
      </c>
      <c r="C162" cm="1">
        <f t="array" ref="C162">(PRODUCT(1+sp500_monthly!C163:C282)^(1/120)-1)*100</f>
        <v>0.25950583830809393</v>
      </c>
      <c r="D162" cm="1">
        <f t="array" ref="D162">(PRODUCT(1+sp500_monthly!D163:D282)^(1/120)-1)*100</f>
        <v>1.0572312920448024</v>
      </c>
      <c r="E162" cm="1">
        <f t="array" ref="E162">(PRODUCT(1+sp500_monthly!E163:E282)^(1/120)-1)*100</f>
        <v>0.6376538040985702</v>
      </c>
      <c r="F162" cm="1">
        <f t="array" ref="F162">(PRODUCT(1+sp500_monthly!K163:K282)^(1/120)-1)*100</f>
        <v>0.25028322787170598</v>
      </c>
      <c r="G162" cm="1">
        <f t="array" ref="G162">(PRODUCT(1+sp500_monthly!L163:L282)^(1/120)-1)</f>
        <v>2.7868205669805857E-2</v>
      </c>
      <c r="H162" cm="1">
        <f t="array" ref="H162">(PRODUCT(1+sp500_monthly!N163:N282)^(1/120)-1)*100</f>
        <v>0</v>
      </c>
      <c r="I162" cm="1">
        <f t="array" ref="I162">(PRODUCT(1+sp500_monthly!O163:O282)^(1/120)-1)*100</f>
        <v>0</v>
      </c>
    </row>
    <row r="163" spans="1:9" x14ac:dyDescent="0.35">
      <c r="A163" s="1">
        <v>14396</v>
      </c>
      <c r="B163" cm="1">
        <f t="array" ref="B163">(PRODUCT(1+sp500_monthly!B164:B283)^(1/120)-1)*100</f>
        <v>0.64520353193018298</v>
      </c>
      <c r="C163" cm="1">
        <f t="array" ref="C163">(PRODUCT(1+sp500_monthly!C164:C283)^(1/120)-1)*100</f>
        <v>0.17594732699213189</v>
      </c>
      <c r="D163" cm="1">
        <f t="array" ref="D163">(PRODUCT(1+sp500_monthly!D164:D283)^(1/120)-1)*100</f>
        <v>0.96600291489534751</v>
      </c>
      <c r="E163" cm="1">
        <f t="array" ref="E163">(PRODUCT(1+sp500_monthly!E164:E283)^(1/120)-1)*100</f>
        <v>0.54156735098167541</v>
      </c>
      <c r="F163" cm="1">
        <f t="array" ref="F163">(PRODUCT(1+sp500_monthly!K164:K283)^(1/120)-1)*100</f>
        <v>0.16808162748276345</v>
      </c>
      <c r="G163" cm="1">
        <f t="array" ref="G163">(PRODUCT(1+sp500_monthly!L164:L283)^(1/120)-1)</f>
        <v>2.8599621401847131E-2</v>
      </c>
      <c r="H163" cm="1">
        <f t="array" ref="H163">(PRODUCT(1+sp500_monthly!N164:N283)^(1/120)-1)*100</f>
        <v>0</v>
      </c>
      <c r="I163" cm="1">
        <f t="array" ref="I163">(PRODUCT(1+sp500_monthly!O164:O283)^(1/120)-1)*100</f>
        <v>0</v>
      </c>
    </row>
    <row r="164" spans="1:9" x14ac:dyDescent="0.35">
      <c r="A164" s="1">
        <v>14426</v>
      </c>
      <c r="B164" cm="1">
        <f t="array" ref="B164">(PRODUCT(1+sp500_monthly!B165:B284)^(1/120)-1)*100</f>
        <v>0.70019202593409879</v>
      </c>
      <c r="C164" cm="1">
        <f t="array" ref="C164">(PRODUCT(1+sp500_monthly!C165:C284)^(1/120)-1)*100</f>
        <v>0.230002417527575</v>
      </c>
      <c r="D164" cm="1">
        <f t="array" ref="D164">(PRODUCT(1+sp500_monthly!D165:D284)^(1/120)-1)*100</f>
        <v>1.0450706351566641</v>
      </c>
      <c r="E164" cm="1">
        <f t="array" ref="E164">(PRODUCT(1+sp500_monthly!E165:E284)^(1/120)-1)*100</f>
        <v>0.61978255925063674</v>
      </c>
      <c r="F164" cm="1">
        <f t="array" ref="F164">(PRODUCT(1+sp500_monthly!K165:K284)^(1/120)-1)*100</f>
        <v>0.22135385132542318</v>
      </c>
      <c r="G164" cm="1">
        <f t="array" ref="G164">(PRODUCT(1+sp500_monthly!L165:L284)^(1/120)-1)</f>
        <v>2.9331557598448299E-2</v>
      </c>
      <c r="H164" cm="1">
        <f t="array" ref="H164">(PRODUCT(1+sp500_monthly!N165:N284)^(1/120)-1)*100</f>
        <v>0</v>
      </c>
      <c r="I164" cm="1">
        <f t="array" ref="I164">(PRODUCT(1+sp500_monthly!O165:O284)^(1/120)-1)*100</f>
        <v>0</v>
      </c>
    </row>
    <row r="165" spans="1:9" x14ac:dyDescent="0.35">
      <c r="A165" s="1">
        <v>14457</v>
      </c>
      <c r="B165" cm="1">
        <f t="array" ref="B165">(PRODUCT(1+sp500_monthly!B166:B285)^(1/120)-1)*100</f>
        <v>0.66269108505598862</v>
      </c>
      <c r="C165" cm="1">
        <f t="array" ref="C165">(PRODUCT(1+sp500_monthly!C166:C285)^(1/120)-1)*100</f>
        <v>0.19254938148689504</v>
      </c>
      <c r="D165" cm="1">
        <f t="array" ref="D165">(PRODUCT(1+sp500_monthly!D166:D285)^(1/120)-1)*100</f>
        <v>0.97269070610856989</v>
      </c>
      <c r="E165" cm="1">
        <f t="array" ref="E165">(PRODUCT(1+sp500_monthly!E166:E285)^(1/120)-1)*100</f>
        <v>0.54727374968777109</v>
      </c>
      <c r="F165" cm="1">
        <f t="array" ref="F165">(PRODUCT(1+sp500_monthly!K166:K285)^(1/120)-1)*100</f>
        <v>0.18556773919560232</v>
      </c>
      <c r="G165" cm="1">
        <f t="array" ref="G165">(PRODUCT(1+sp500_monthly!L166:L285)^(1/120)-1)</f>
        <v>3.0071034946076658E-2</v>
      </c>
      <c r="H165" cm="1">
        <f t="array" ref="H165">(PRODUCT(1+sp500_monthly!N166:N285)^(1/120)-1)*100</f>
        <v>0</v>
      </c>
      <c r="I165" cm="1">
        <f t="array" ref="I165">(PRODUCT(1+sp500_monthly!O166:O285)^(1/120)-1)*100</f>
        <v>0</v>
      </c>
    </row>
    <row r="166" spans="1:9" x14ac:dyDescent="0.35">
      <c r="A166" s="1">
        <v>14488</v>
      </c>
      <c r="B166" cm="1">
        <f t="array" ref="B166">(PRODUCT(1+sp500_monthly!B167:B286)^(1/120)-1)*100</f>
        <v>0.73948119687157199</v>
      </c>
      <c r="C166" cm="1">
        <f t="array" ref="C166">(PRODUCT(1+sp500_monthly!C167:C286)^(1/120)-1)*100</f>
        <v>0.2656316923725921</v>
      </c>
      <c r="D166" cm="1">
        <f t="array" ref="D166">(PRODUCT(1+sp500_monthly!D167:D286)^(1/120)-1)*100</f>
        <v>1.0846979305485727</v>
      </c>
      <c r="E166" cm="1">
        <f t="array" ref="E166">(PRODUCT(1+sp500_monthly!E167:E286)^(1/120)-1)*100</f>
        <v>0.65408508883773031</v>
      </c>
      <c r="F166" cm="1">
        <f t="array" ref="F166">(PRODUCT(1+sp500_monthly!K167:K286)^(1/120)-1)*100</f>
        <v>0.25739762823400181</v>
      </c>
      <c r="G166" cm="1">
        <f t="array" ref="G166">(PRODUCT(1+sp500_monthly!L167:L286)^(1/120)-1)</f>
        <v>3.0897380463561719E-2</v>
      </c>
      <c r="H166" cm="1">
        <f t="array" ref="H166">(PRODUCT(1+sp500_monthly!N167:N286)^(1/120)-1)*100</f>
        <v>0</v>
      </c>
      <c r="I166" cm="1">
        <f t="array" ref="I166">(PRODUCT(1+sp500_monthly!O167:O286)^(1/120)-1)*100</f>
        <v>0</v>
      </c>
    </row>
    <row r="167" spans="1:9" x14ac:dyDescent="0.35">
      <c r="A167" s="1">
        <v>14518</v>
      </c>
      <c r="B167" cm="1">
        <f t="array" ref="B167">(PRODUCT(1+sp500_monthly!B168:B287)^(1/120)-1)*100</f>
        <v>0.62247565508750657</v>
      </c>
      <c r="C167" cm="1">
        <f t="array" ref="C167">(PRODUCT(1+sp500_monthly!C168:C287)^(1/120)-1)*100</f>
        <v>0.14918061779705116</v>
      </c>
      <c r="D167" cm="1">
        <f t="array" ref="D167">(PRODUCT(1+sp500_monthly!D168:D287)^(1/120)-1)*100</f>
        <v>0.84517974339324287</v>
      </c>
      <c r="E167" cm="1">
        <f t="array" ref="E167">(PRODUCT(1+sp500_monthly!E168:E287)^(1/120)-1)*100</f>
        <v>0.41438456541798008</v>
      </c>
      <c r="F167" cm="1">
        <f t="array" ref="F167">(PRODUCT(1+sp500_monthly!K168:K287)^(1/120)-1)*100</f>
        <v>0.14969310217116671</v>
      </c>
      <c r="G167" cm="1">
        <f t="array" ref="G167">(PRODUCT(1+sp500_monthly!L168:L287)^(1/120)-1)</f>
        <v>3.1552443426200227E-2</v>
      </c>
      <c r="H167" cm="1">
        <f t="array" ref="H167">(PRODUCT(1+sp500_monthly!N168:N287)^(1/120)-1)*100</f>
        <v>0</v>
      </c>
      <c r="I167" cm="1">
        <f t="array" ref="I167">(PRODUCT(1+sp500_monthly!O168:O287)^(1/120)-1)*100</f>
        <v>0</v>
      </c>
    </row>
    <row r="168" spans="1:9" x14ac:dyDescent="0.35">
      <c r="A168" s="1">
        <v>14549</v>
      </c>
      <c r="B168" cm="1">
        <f t="array" ref="B168">(PRODUCT(1+sp500_monthly!B169:B288)^(1/120)-1)*100</f>
        <v>0.66137073733121277</v>
      </c>
      <c r="C168" cm="1">
        <f t="array" ref="C168">(PRODUCT(1+sp500_monthly!C169:C288)^(1/120)-1)*100</f>
        <v>0.18744291992249806</v>
      </c>
      <c r="D168" cm="1">
        <f t="array" ref="D168">(PRODUCT(1+sp500_monthly!D169:D288)^(1/120)-1)*100</f>
        <v>0.88978148577008032</v>
      </c>
      <c r="E168" cm="1">
        <f t="array" ref="E168">(PRODUCT(1+sp500_monthly!E169:E288)^(1/120)-1)*100</f>
        <v>0.45771567121770662</v>
      </c>
      <c r="F168" cm="1">
        <f t="array" ref="F168">(PRODUCT(1+sp500_monthly!K169:K288)^(1/120)-1)*100</f>
        <v>0.18625278917514532</v>
      </c>
      <c r="G168" cm="1">
        <f t="array" ref="G168">(PRODUCT(1+sp500_monthly!L169:L288)^(1/120)-1)</f>
        <v>3.2293516270196498E-2</v>
      </c>
      <c r="H168" cm="1">
        <f t="array" ref="H168">(PRODUCT(1+sp500_monthly!N169:N288)^(1/120)-1)*100</f>
        <v>0</v>
      </c>
      <c r="I168" cm="1">
        <f t="array" ref="I168">(PRODUCT(1+sp500_monthly!O169:O288)^(1/120)-1)*100</f>
        <v>0</v>
      </c>
    </row>
    <row r="169" spans="1:9" x14ac:dyDescent="0.35">
      <c r="A169" s="1">
        <v>14579</v>
      </c>
      <c r="B169" cm="1">
        <f t="array" ref="B169">(PRODUCT(1+sp500_monthly!B170:B289)^(1/120)-1)*100</f>
        <v>0.71331047693441452</v>
      </c>
      <c r="C169" cm="1">
        <f t="array" ref="C169">(PRODUCT(1+sp500_monthly!C170:C289)^(1/120)-1)*100</f>
        <v>0.23168377680284902</v>
      </c>
      <c r="D169" cm="1">
        <f t="array" ref="D169">(PRODUCT(1+sp500_monthly!D170:D289)^(1/120)-1)*100</f>
        <v>0.98075525527843155</v>
      </c>
      <c r="E169" cm="1">
        <f t="array" ref="E169">(PRODUCT(1+sp500_monthly!E170:E289)^(1/120)-1)*100</f>
        <v>0.54373910323941566</v>
      </c>
      <c r="F169" cm="1">
        <f t="array" ref="F169">(PRODUCT(1+sp500_monthly!K170:K289)^(1/120)-1)*100</f>
        <v>0.22933947208676475</v>
      </c>
      <c r="G169" cm="1">
        <f t="array" ref="G169">(PRODUCT(1+sp500_monthly!L170:L289)^(1/120)-1)</f>
        <v>3.2955781814939078E-2</v>
      </c>
      <c r="H169" cm="1">
        <f t="array" ref="H169">(PRODUCT(1+sp500_monthly!N170:N289)^(1/120)-1)*100</f>
        <v>0</v>
      </c>
      <c r="I169" cm="1">
        <f t="array" ref="I169">(PRODUCT(1+sp500_monthly!O170:O289)^(1/120)-1)*100</f>
        <v>0</v>
      </c>
    </row>
    <row r="170" spans="1:9" x14ac:dyDescent="0.35">
      <c r="A170" s="1">
        <v>14609</v>
      </c>
      <c r="B170" cm="1">
        <f t="array" ref="B170">(PRODUCT(1+sp500_monthly!B171:B290)^(1/120)-1)*100</f>
        <v>0.73172552195466256</v>
      </c>
      <c r="C170" cm="1">
        <f t="array" ref="C170">(PRODUCT(1+sp500_monthly!C171:C290)^(1/120)-1)*100</f>
        <v>0.25016704039046989</v>
      </c>
      <c r="D170" cm="1">
        <f t="array" ref="D170">(PRODUCT(1+sp500_monthly!D171:D290)^(1/120)-1)*100</f>
        <v>1.0151336836850211</v>
      </c>
      <c r="E170" cm="1">
        <f t="array" ref="E170">(PRODUCT(1+sp500_monthly!E171:E290)^(1/120)-1)*100</f>
        <v>0.57697571299673012</v>
      </c>
      <c r="F170" cm="1">
        <f t="array" ref="F170">(PRODUCT(1+sp500_monthly!K171:K290)^(1/120)-1)*100</f>
        <v>0.24535399642569011</v>
      </c>
      <c r="G170" cm="1">
        <f t="array" ref="G170">(PRODUCT(1+sp500_monthly!L171:L290)^(1/120)-1)</f>
        <v>3.3697862824809466E-2</v>
      </c>
      <c r="H170" cm="1">
        <f t="array" ref="H170">(PRODUCT(1+sp500_monthly!N171:N290)^(1/120)-1)*100</f>
        <v>0</v>
      </c>
      <c r="I170" cm="1">
        <f t="array" ref="I170">(PRODUCT(1+sp500_monthly!O171:O290)^(1/120)-1)*100</f>
        <v>0</v>
      </c>
    </row>
    <row r="171" spans="1:9" x14ac:dyDescent="0.35">
      <c r="A171" s="1">
        <v>14641</v>
      </c>
      <c r="B171" cm="1">
        <f t="array" ref="B171">(PRODUCT(1+sp500_monthly!B172:B291)^(1/120)-1)*100</f>
        <v>0.77882833558353681</v>
      </c>
      <c r="C171" cm="1">
        <f t="array" ref="C171">(PRODUCT(1+sp500_monthly!C172:C291)^(1/120)-1)*100</f>
        <v>0.29660595245211141</v>
      </c>
      <c r="D171" cm="1">
        <f t="array" ref="D171">(PRODUCT(1+sp500_monthly!D172:D291)^(1/120)-1)*100</f>
        <v>1.080942512508476</v>
      </c>
      <c r="E171" cm="1">
        <f t="array" ref="E171">(PRODUCT(1+sp500_monthly!E172:E291)^(1/120)-1)*100</f>
        <v>0.64169916189968923</v>
      </c>
      <c r="F171" cm="1">
        <f t="array" ref="F171">(PRODUCT(1+sp500_monthly!K172:K291)^(1/120)-1)*100</f>
        <v>0.28965425354963159</v>
      </c>
      <c r="G171" cm="1">
        <f t="array" ref="G171">(PRODUCT(1+sp500_monthly!L172:L291)^(1/120)-1)</f>
        <v>3.4440476949683108E-2</v>
      </c>
      <c r="H171" cm="1">
        <f t="array" ref="H171">(PRODUCT(1+sp500_monthly!N172:N291)^(1/120)-1)*100</f>
        <v>0</v>
      </c>
      <c r="I171" cm="1">
        <f t="array" ref="I171">(PRODUCT(1+sp500_monthly!O172:O291)^(1/120)-1)*100</f>
        <v>0</v>
      </c>
    </row>
    <row r="172" spans="1:9" x14ac:dyDescent="0.35">
      <c r="A172" s="1">
        <v>14670</v>
      </c>
      <c r="B172" cm="1">
        <f t="array" ref="B172">(PRODUCT(1+sp500_monthly!B173:B292)^(1/120)-1)*100</f>
        <v>0.78416967423891037</v>
      </c>
      <c r="C172" cm="1">
        <f t="array" ref="C172">(PRODUCT(1+sp500_monthly!C173:C292)^(1/120)-1)*100</f>
        <v>0.29914047199417482</v>
      </c>
      <c r="D172" cm="1">
        <f t="array" ref="D172">(PRODUCT(1+sp500_monthly!D173:D292)^(1/120)-1)*100</f>
        <v>1.0828460859810152</v>
      </c>
      <c r="E172" cm="1">
        <f t="array" ref="E172">(PRODUCT(1+sp500_monthly!E173:E292)^(1/120)-1)*100</f>
        <v>0.64094519074615608</v>
      </c>
      <c r="F172" cm="1">
        <f t="array" ref="F172">(PRODUCT(1+sp500_monthly!K173:K292)^(1/120)-1)*100</f>
        <v>0.29241606696612799</v>
      </c>
      <c r="G172" cm="1">
        <f t="array" ref="G172">(PRODUCT(1+sp500_monthly!L173:L292)^(1/120)-1)</f>
        <v>3.5183624572553196E-2</v>
      </c>
      <c r="H172" cm="1">
        <f t="array" ref="H172">(PRODUCT(1+sp500_monthly!N173:N292)^(1/120)-1)*100</f>
        <v>0</v>
      </c>
      <c r="I172" cm="1">
        <f t="array" ref="I172">(PRODUCT(1+sp500_monthly!O173:O292)^(1/120)-1)*100</f>
        <v>0</v>
      </c>
    </row>
    <row r="173" spans="1:9" x14ac:dyDescent="0.35">
      <c r="A173" s="1">
        <v>14700</v>
      </c>
      <c r="B173" cm="1">
        <f t="array" ref="B173">(PRODUCT(1+sp500_monthly!B174:B293)^(1/120)-1)*100</f>
        <v>0.7797031968543422</v>
      </c>
      <c r="C173" cm="1">
        <f t="array" ref="C173">(PRODUCT(1+sp500_monthly!C174:C293)^(1/120)-1)*100</f>
        <v>0.29335059643098571</v>
      </c>
      <c r="D173" cm="1">
        <f t="array" ref="D173">(PRODUCT(1+sp500_monthly!D174:D293)^(1/120)-1)*100</f>
        <v>1.0783682712139475</v>
      </c>
      <c r="E173" cm="1">
        <f t="array" ref="E173">(PRODUCT(1+sp500_monthly!E174:E293)^(1/120)-1)*100</f>
        <v>0.63447483142018424</v>
      </c>
      <c r="F173" cm="1">
        <f t="array" ref="F173">(PRODUCT(1+sp500_monthly!K174:K293)^(1/120)-1)*100</f>
        <v>0.28757905996117383</v>
      </c>
      <c r="G173" cm="1">
        <f t="array" ref="G173">(PRODUCT(1+sp500_monthly!L174:L293)^(1/120)-1)</f>
        <v>3.6006147319179505E-2</v>
      </c>
      <c r="H173" cm="1">
        <f t="array" ref="H173">(PRODUCT(1+sp500_monthly!N174:N293)^(1/120)-1)*100</f>
        <v>0</v>
      </c>
      <c r="I173" cm="1">
        <f t="array" ref="I173">(PRODUCT(1+sp500_monthly!O174:O293)^(1/120)-1)*100</f>
        <v>0</v>
      </c>
    </row>
    <row r="174" spans="1:9" x14ac:dyDescent="0.35">
      <c r="A174" s="1">
        <v>14731</v>
      </c>
      <c r="B174" cm="1">
        <f t="array" ref="B174">(PRODUCT(1+sp500_monthly!B175:B294)^(1/120)-1)*100</f>
        <v>0.82116021763238844</v>
      </c>
      <c r="C174" cm="1">
        <f t="array" ref="C174">(PRODUCT(1+sp500_monthly!C175:C294)^(1/120)-1)*100</f>
        <v>0.3349660029176027</v>
      </c>
      <c r="D174" cm="1">
        <f t="array" ref="D174">(PRODUCT(1+sp500_monthly!D175:D294)^(1/120)-1)*100</f>
        <v>1.1019637611133781</v>
      </c>
      <c r="E174" cm="1">
        <f t="array" ref="E174">(PRODUCT(1+sp500_monthly!E175:E294)^(1/120)-1)*100</f>
        <v>0.65758024472537535</v>
      </c>
      <c r="F174" cm="1">
        <f t="array" ref="F174">(PRODUCT(1+sp500_monthly!K175:K294)^(1/120)-1)*100</f>
        <v>0.32856748600271768</v>
      </c>
      <c r="G174" cm="1">
        <f t="array" ref="G174">(PRODUCT(1+sp500_monthly!L175:L294)^(1/120)-1)</f>
        <v>3.6750419728095007E-2</v>
      </c>
      <c r="H174" cm="1">
        <f t="array" ref="H174">(PRODUCT(1+sp500_monthly!N175:N294)^(1/120)-1)*100</f>
        <v>0</v>
      </c>
      <c r="I174" cm="1">
        <f t="array" ref="I174">(PRODUCT(1+sp500_monthly!O175:O294)^(1/120)-1)*100</f>
        <v>0</v>
      </c>
    </row>
    <row r="175" spans="1:9" x14ac:dyDescent="0.35">
      <c r="A175" s="1">
        <v>14762</v>
      </c>
      <c r="B175" cm="1">
        <f t="array" ref="B175">(PRODUCT(1+sp500_monthly!B176:B295)^(1/120)-1)*100</f>
        <v>1.0812137119321052</v>
      </c>
      <c r="C175" cm="1">
        <f t="array" ref="C175">(PRODUCT(1+sp500_monthly!C176:C295)^(1/120)-1)*100</f>
        <v>0.59536184983510765</v>
      </c>
      <c r="D175" cm="1">
        <f t="array" ref="D175">(PRODUCT(1+sp500_monthly!D176:D295)^(1/120)-1)*100</f>
        <v>1.4037283899236641</v>
      </c>
      <c r="E175" cm="1">
        <f t="array" ref="E175">(PRODUCT(1+sp500_monthly!E176:E295)^(1/120)-1)*100</f>
        <v>0.95600883363069489</v>
      </c>
      <c r="F175" cm="1">
        <f t="array" ref="F175">(PRODUCT(1+sp500_monthly!K176:K295)^(1/120)-1)*100</f>
        <v>0.59007365936079026</v>
      </c>
      <c r="G175" cm="1">
        <f t="array" ref="G175">(PRODUCT(1+sp500_monthly!L176:L295)^(1/120)-1)</f>
        <v>3.7748883833857105E-2</v>
      </c>
      <c r="H175" cm="1">
        <f t="array" ref="H175">(PRODUCT(1+sp500_monthly!N176:N295)^(1/120)-1)*100</f>
        <v>0</v>
      </c>
      <c r="I175" cm="1">
        <f t="array" ref="I175">(PRODUCT(1+sp500_monthly!O176:O295)^(1/120)-1)*100</f>
        <v>0</v>
      </c>
    </row>
    <row r="176" spans="1:9" x14ac:dyDescent="0.35">
      <c r="A176" s="1">
        <v>14791</v>
      </c>
      <c r="B176" cm="1">
        <f t="array" ref="B176">(PRODUCT(1+sp500_monthly!B177:B296)^(1/120)-1)*100</f>
        <v>0.96712644723435659</v>
      </c>
      <c r="C176" cm="1">
        <f t="array" ref="C176">(PRODUCT(1+sp500_monthly!C177:C296)^(1/120)-1)*100</f>
        <v>0.48234770700903429</v>
      </c>
      <c r="D176" cm="1">
        <f t="array" ref="D176">(PRODUCT(1+sp500_monthly!D177:D296)^(1/120)-1)*100</f>
        <v>1.239504268197944</v>
      </c>
      <c r="E176" cm="1">
        <f t="array" ref="E176">(PRODUCT(1+sp500_monthly!E177:E296)^(1/120)-1)*100</f>
        <v>0.79247442424581482</v>
      </c>
      <c r="F176" cm="1">
        <f t="array" ref="F176">(PRODUCT(1+sp500_monthly!K177:K296)^(1/120)-1)*100</f>
        <v>0.47815236420647445</v>
      </c>
      <c r="G176" cm="1">
        <f t="array" ref="G176">(PRODUCT(1+sp500_monthly!L177:L296)^(1/120)-1)</f>
        <v>3.8573444850837912E-2</v>
      </c>
      <c r="H176" cm="1">
        <f t="array" ref="H176">(PRODUCT(1+sp500_monthly!N177:N296)^(1/120)-1)*100</f>
        <v>0</v>
      </c>
      <c r="I176" cm="1">
        <f t="array" ref="I176">(PRODUCT(1+sp500_monthly!O177:O296)^(1/120)-1)*100</f>
        <v>0</v>
      </c>
    </row>
    <row r="177" spans="1:9" x14ac:dyDescent="0.35">
      <c r="A177" s="1">
        <v>14823</v>
      </c>
      <c r="B177" cm="1">
        <f t="array" ref="B177">(PRODUCT(1+sp500_monthly!B178:B297)^(1/120)-1)*100</f>
        <v>0.95390408881648181</v>
      </c>
      <c r="C177" cm="1">
        <f t="array" ref="C177">(PRODUCT(1+sp500_monthly!C178:C297)^(1/120)-1)*100</f>
        <v>0.46923141311689953</v>
      </c>
      <c r="D177" cm="1">
        <f t="array" ref="D177">(PRODUCT(1+sp500_monthly!D178:D297)^(1/120)-1)*100</f>
        <v>1.2562204412974731</v>
      </c>
      <c r="E177" cm="1">
        <f t="array" ref="E177">(PRODUCT(1+sp500_monthly!E178:E297)^(1/120)-1)*100</f>
        <v>0.80906756922110024</v>
      </c>
      <c r="F177" cm="1">
        <f t="array" ref="F177">(PRODUCT(1+sp500_monthly!K178:K297)^(1/120)-1)*100</f>
        <v>0.45961076198377526</v>
      </c>
      <c r="G177" cm="1">
        <f t="array" ref="G177">(PRODUCT(1+sp500_monthly!L178:L297)^(1/120)-1)</f>
        <v>3.9312478271906981E-2</v>
      </c>
      <c r="H177" cm="1">
        <f t="array" ref="H177">(PRODUCT(1+sp500_monthly!N178:N297)^(1/120)-1)*100</f>
        <v>0</v>
      </c>
      <c r="I177" cm="1">
        <f t="array" ref="I177">(PRODUCT(1+sp500_monthly!O178:O297)^(1/120)-1)*100</f>
        <v>0</v>
      </c>
    </row>
    <row r="178" spans="1:9" x14ac:dyDescent="0.35">
      <c r="A178" s="1">
        <v>14854</v>
      </c>
      <c r="B178" cm="1">
        <f t="array" ref="B178">(PRODUCT(1+sp500_monthly!B179:B298)^(1/120)-1)*100</f>
        <v>0.96411406607563865</v>
      </c>
      <c r="C178" cm="1">
        <f t="array" ref="C178">(PRODUCT(1+sp500_monthly!C179:C298)^(1/120)-1)*100</f>
        <v>0.47321400176616457</v>
      </c>
      <c r="D178" cm="1">
        <f t="array" ref="D178">(PRODUCT(1+sp500_monthly!D179:D298)^(1/120)-1)*100</f>
        <v>1.2625927370337964</v>
      </c>
      <c r="E178" cm="1">
        <f t="array" ref="E178">(PRODUCT(1+sp500_monthly!E179:E298)^(1/120)-1)*100</f>
        <v>0.81127859399725555</v>
      </c>
      <c r="F178" cm="1">
        <f t="array" ref="F178">(PRODUCT(1+sp500_monthly!K179:K298)^(1/120)-1)*100</f>
        <v>0.46471175874283066</v>
      </c>
      <c r="G178" cm="1">
        <f t="array" ref="G178">(PRODUCT(1+sp500_monthly!L179:L298)^(1/120)-1)</f>
        <v>4.0225399809779461E-2</v>
      </c>
      <c r="H178" cm="1">
        <f t="array" ref="H178">(PRODUCT(1+sp500_monthly!N179:N298)^(1/120)-1)*100</f>
        <v>0</v>
      </c>
      <c r="I178" cm="1">
        <f t="array" ref="I178">(PRODUCT(1+sp500_monthly!O179:O298)^(1/120)-1)*100</f>
        <v>0</v>
      </c>
    </row>
    <row r="179" spans="1:9" x14ac:dyDescent="0.35">
      <c r="A179" s="1">
        <v>14884</v>
      </c>
      <c r="B179" cm="1">
        <f t="array" ref="B179">(PRODUCT(1+sp500_monthly!B180:B299)^(1/120)-1)*100</f>
        <v>1.0008415421868699</v>
      </c>
      <c r="C179" cm="1">
        <f t="array" ref="C179">(PRODUCT(1+sp500_monthly!C180:C299)^(1/120)-1)*100</f>
        <v>0.51083624538961203</v>
      </c>
      <c r="D179" cm="1">
        <f t="array" ref="D179">(PRODUCT(1+sp500_monthly!D180:D299)^(1/120)-1)*100</f>
        <v>1.3054821465765976</v>
      </c>
      <c r="E179" cm="1">
        <f t="array" ref="E179">(PRODUCT(1+sp500_monthly!E180:E299)^(1/120)-1)*100</f>
        <v>0.85420897078276603</v>
      </c>
      <c r="F179" cm="1">
        <f t="array" ref="F179">(PRODUCT(1+sp500_monthly!K180:K299)^(1/120)-1)*100</f>
        <v>0.5023798099604182</v>
      </c>
      <c r="G179" cm="1">
        <f t="array" ref="G179">(PRODUCT(1+sp500_monthly!L180:L299)^(1/120)-1)</f>
        <v>4.1051928584628916E-2</v>
      </c>
      <c r="H179" cm="1">
        <f t="array" ref="H179">(PRODUCT(1+sp500_monthly!N180:N299)^(1/120)-1)*100</f>
        <v>0</v>
      </c>
      <c r="I179" cm="1">
        <f t="array" ref="I179">(PRODUCT(1+sp500_monthly!O180:O299)^(1/120)-1)*100</f>
        <v>0</v>
      </c>
    </row>
    <row r="180" spans="1:9" x14ac:dyDescent="0.35">
      <c r="A180" s="1">
        <v>14915</v>
      </c>
      <c r="B180" cm="1">
        <f t="array" ref="B180">(PRODUCT(1+sp500_monthly!B181:B300)^(1/120)-1)*100</f>
        <v>0.97091594569969075</v>
      </c>
      <c r="C180" cm="1">
        <f t="array" ref="C180">(PRODUCT(1+sp500_monthly!C181:C300)^(1/120)-1)*100</f>
        <v>0.4807087628119211</v>
      </c>
      <c r="D180" cm="1">
        <f t="array" ref="D180">(PRODUCT(1+sp500_monthly!D181:D300)^(1/120)-1)*100</f>
        <v>1.2490259795687075</v>
      </c>
      <c r="E180" cm="1">
        <f t="array" ref="E180">(PRODUCT(1+sp500_monthly!E181:E300)^(1/120)-1)*100</f>
        <v>0.79691261768037869</v>
      </c>
      <c r="F180" cm="1">
        <f t="array" ref="F180">(PRODUCT(1+sp500_monthly!K181:K300)^(1/120)-1)*100</f>
        <v>0.47345682578501247</v>
      </c>
      <c r="G180" cm="1">
        <f t="array" ref="G180">(PRODUCT(1+sp500_monthly!L181:L300)^(1/120)-1)</f>
        <v>4.2035568375727861E-2</v>
      </c>
      <c r="H180" cm="1">
        <f t="array" ref="H180">(PRODUCT(1+sp500_monthly!N181:N300)^(1/120)-1)*100</f>
        <v>0</v>
      </c>
      <c r="I180" cm="1">
        <f t="array" ref="I180">(PRODUCT(1+sp500_monthly!O181:O300)^(1/120)-1)*100</f>
        <v>0</v>
      </c>
    </row>
    <row r="181" spans="1:9" x14ac:dyDescent="0.35">
      <c r="A181" s="1">
        <v>14945</v>
      </c>
      <c r="B181" cm="1">
        <f t="array" ref="B181">(PRODUCT(1+sp500_monthly!B182:B301)^(1/120)-1)*100</f>
        <v>1.0147257288777967</v>
      </c>
      <c r="C181" cm="1">
        <f t="array" ref="C181">(PRODUCT(1+sp500_monthly!C182:C301)^(1/120)-1)*100</f>
        <v>0.51745436728034555</v>
      </c>
      <c r="D181" cm="1">
        <f t="array" ref="D181">(PRODUCT(1+sp500_monthly!D182:D301)^(1/120)-1)*100</f>
        <v>1.31102632076745</v>
      </c>
      <c r="E181" cm="1">
        <f t="array" ref="E181">(PRODUCT(1+sp500_monthly!E182:E301)^(1/120)-1)*100</f>
        <v>0.85439623353440464</v>
      </c>
      <c r="F181" cm="1">
        <f t="array" ref="F181">(PRODUCT(1+sp500_monthly!K182:K301)^(1/120)-1)*100</f>
        <v>0.5088970835968043</v>
      </c>
      <c r="G181" cm="1">
        <f t="array" ref="G181">(PRODUCT(1+sp500_monthly!L182:L301)^(1/120)-1)</f>
        <v>4.2942186278696948E-2</v>
      </c>
      <c r="H181" cm="1">
        <f t="array" ref="H181">(PRODUCT(1+sp500_monthly!N182:N301)^(1/120)-1)*100</f>
        <v>0</v>
      </c>
      <c r="I181" cm="1">
        <f t="array" ref="I181">(PRODUCT(1+sp500_monthly!O182:O301)^(1/120)-1)*100</f>
        <v>0</v>
      </c>
    </row>
    <row r="182" spans="1:9" x14ac:dyDescent="0.35">
      <c r="A182" s="1">
        <v>14976</v>
      </c>
      <c r="B182" cm="1">
        <f t="array" ref="B182">(PRODUCT(1+sp500_monthly!B183:B302)^(1/120)-1)*100</f>
        <v>1.0576836321480654</v>
      </c>
      <c r="C182" cm="1">
        <f t="array" ref="C182">(PRODUCT(1+sp500_monthly!C183:C302)^(1/120)-1)*100</f>
        <v>0.5612384004433979</v>
      </c>
      <c r="D182" cm="1">
        <f t="array" ref="D182">(PRODUCT(1+sp500_monthly!D183:D302)^(1/120)-1)*100</f>
        <v>1.3876302228789328</v>
      </c>
      <c r="E182" cm="1">
        <f t="array" ref="E182">(PRODUCT(1+sp500_monthly!E183:E302)^(1/120)-1)*100</f>
        <v>0.93006345499209164</v>
      </c>
      <c r="F182" cm="1">
        <f t="array" ref="F182">(PRODUCT(1+sp500_monthly!K183:K302)^(1/120)-1)*100</f>
        <v>0.54904973501235244</v>
      </c>
      <c r="G182" cm="1">
        <f t="array" ref="G182">(PRODUCT(1+sp500_monthly!L183:L302)^(1/120)-1)</f>
        <v>4.3849592980097718E-2</v>
      </c>
      <c r="H182" cm="1">
        <f t="array" ref="H182">(PRODUCT(1+sp500_monthly!N183:N302)^(1/120)-1)*100</f>
        <v>0</v>
      </c>
      <c r="I182" cm="1">
        <f t="array" ref="I182">(PRODUCT(1+sp500_monthly!O183:O302)^(1/120)-1)*100</f>
        <v>0</v>
      </c>
    </row>
    <row r="183" spans="1:9" x14ac:dyDescent="0.35">
      <c r="A183" s="1">
        <v>15007</v>
      </c>
      <c r="B183" cm="1">
        <f t="array" ref="B183">(PRODUCT(1+sp500_monthly!B184:B303)^(1/120)-1)*100</f>
        <v>1.1501082957406705</v>
      </c>
      <c r="C183" cm="1">
        <f t="array" ref="C183">(PRODUCT(1+sp500_monthly!C184:C303)^(1/120)-1)*100</f>
        <v>0.65292966696046673</v>
      </c>
      <c r="D183" cm="1">
        <f t="array" ref="D183">(PRODUCT(1+sp500_monthly!D184:D303)^(1/120)-1)*100</f>
        <v>1.46317927829267</v>
      </c>
      <c r="E183" cm="1">
        <f t="array" ref="E183">(PRODUCT(1+sp500_monthly!E184:E303)^(1/120)-1)*100</f>
        <v>1.0059550664462957</v>
      </c>
      <c r="F183" cm="1">
        <f t="array" ref="F183">(PRODUCT(1+sp500_monthly!K184:K303)^(1/120)-1)*100</f>
        <v>0.64029442599402575</v>
      </c>
      <c r="G183" cm="1">
        <f t="array" ref="G183">(PRODUCT(1+sp500_monthly!L184:L303)^(1/120)-1)</f>
        <v>4.5000792851866755E-2</v>
      </c>
      <c r="H183" cm="1">
        <f t="array" ref="H183">(PRODUCT(1+sp500_monthly!N184:N303)^(1/120)-1)*100</f>
        <v>0</v>
      </c>
      <c r="I183" cm="1">
        <f t="array" ref="I183">(PRODUCT(1+sp500_monthly!O184:O303)^(1/120)-1)*100</f>
        <v>0</v>
      </c>
    </row>
    <row r="184" spans="1:9" x14ac:dyDescent="0.35">
      <c r="A184" s="1">
        <v>15035</v>
      </c>
      <c r="B184" cm="1">
        <f t="array" ref="B184">(PRODUCT(1+sp500_monthly!B185:B304)^(1/120)-1)*100</f>
        <v>1.1662779598681672</v>
      </c>
      <c r="C184" cm="1">
        <f t="array" ref="C184">(PRODUCT(1+sp500_monthly!C185:C304)^(1/120)-1)*100</f>
        <v>0.66704382277027463</v>
      </c>
      <c r="D184" cm="1">
        <f t="array" ref="D184">(PRODUCT(1+sp500_monthly!D185:D304)^(1/120)-1)*100</f>
        <v>1.4805405820721429</v>
      </c>
      <c r="E184" cm="1">
        <f t="array" ref="E184">(PRODUCT(1+sp500_monthly!E185:E304)^(1/120)-1)*100</f>
        <v>1.0212195305613792</v>
      </c>
      <c r="F184" cm="1">
        <f t="array" ref="F184">(PRODUCT(1+sp500_monthly!K185:K304)^(1/120)-1)*100</f>
        <v>0.65828654140294152</v>
      </c>
      <c r="G184" cm="1">
        <f t="array" ref="G184">(PRODUCT(1+sp500_monthly!L185:L304)^(1/120)-1)</f>
        <v>4.5918710947562502E-2</v>
      </c>
      <c r="H184" cm="1">
        <f t="array" ref="H184">(PRODUCT(1+sp500_monthly!N185:N304)^(1/120)-1)*100</f>
        <v>0</v>
      </c>
      <c r="I184" cm="1">
        <f t="array" ref="I184">(PRODUCT(1+sp500_monthly!O185:O304)^(1/120)-1)*100</f>
        <v>0</v>
      </c>
    </row>
    <row r="185" spans="1:9" x14ac:dyDescent="0.35">
      <c r="A185" s="1">
        <v>15066</v>
      </c>
      <c r="B185" cm="1">
        <f t="array" ref="B185">(PRODUCT(1+sp500_monthly!B186:B305)^(1/120)-1)*100</f>
        <v>1.1439635403620363</v>
      </c>
      <c r="C185" cm="1">
        <f t="array" ref="C185">(PRODUCT(1+sp500_monthly!C186:C305)^(1/120)-1)*100</f>
        <v>0.64685617441799792</v>
      </c>
      <c r="D185" cm="1">
        <f t="array" ref="D185">(PRODUCT(1+sp500_monthly!D186:D305)^(1/120)-1)*100</f>
        <v>1.4465764769994838</v>
      </c>
      <c r="E185" cm="1">
        <f t="array" ref="E185">(PRODUCT(1+sp500_monthly!E186:E305)^(1/120)-1)*100</f>
        <v>0.98738781782312657</v>
      </c>
      <c r="F185" cm="1">
        <f t="array" ref="F185">(PRODUCT(1+sp500_monthly!K186:K305)^(1/120)-1)*100</f>
        <v>0.63937854759139601</v>
      </c>
      <c r="G185" cm="1">
        <f t="array" ref="G185">(PRODUCT(1+sp500_monthly!L186:L305)^(1/120)-1)</f>
        <v>4.674190852505733E-2</v>
      </c>
      <c r="H185" cm="1">
        <f t="array" ref="H185">(PRODUCT(1+sp500_monthly!N186:N305)^(1/120)-1)*100</f>
        <v>0</v>
      </c>
      <c r="I185" cm="1">
        <f t="array" ref="I185">(PRODUCT(1+sp500_monthly!O186:O305)^(1/120)-1)*100</f>
        <v>0</v>
      </c>
    </row>
    <row r="186" spans="1:9" x14ac:dyDescent="0.35">
      <c r="A186" s="1">
        <v>15096</v>
      </c>
      <c r="B186" cm="1">
        <f t="array" ref="B186">(PRODUCT(1+sp500_monthly!B187:B306)^(1/120)-1)*100</f>
        <v>1.2384994761574619</v>
      </c>
      <c r="C186" cm="1">
        <f t="array" ref="C186">(PRODUCT(1+sp500_monthly!C187:C306)^(1/120)-1)*100</f>
        <v>0.74113702510476553</v>
      </c>
      <c r="D186" cm="1">
        <f t="array" ref="D186">(PRODUCT(1+sp500_monthly!D187:D306)^(1/120)-1)*100</f>
        <v>1.5322806197006766</v>
      </c>
      <c r="E186" cm="1">
        <f t="array" ref="E186">(PRODUCT(1+sp500_monthly!E187:E306)^(1/120)-1)*100</f>
        <v>1.0719560159393904</v>
      </c>
      <c r="F186" cm="1">
        <f t="array" ref="F186">(PRODUCT(1+sp500_monthly!K187:K306)^(1/120)-1)*100</f>
        <v>0.73544818651629651</v>
      </c>
      <c r="G186" cm="1">
        <f t="array" ref="G186">(PRODUCT(1+sp500_monthly!L187:L306)^(1/120)-1)</f>
        <v>4.7896298160281736E-2</v>
      </c>
      <c r="H186" cm="1">
        <f t="array" ref="H186">(PRODUCT(1+sp500_monthly!N187:N306)^(1/120)-1)*100</f>
        <v>0</v>
      </c>
      <c r="I186" cm="1">
        <f t="array" ref="I186">(PRODUCT(1+sp500_monthly!O187:O306)^(1/120)-1)*100</f>
        <v>0</v>
      </c>
    </row>
    <row r="187" spans="1:9" x14ac:dyDescent="0.35">
      <c r="A187" s="1">
        <v>15127</v>
      </c>
      <c r="B187" cm="1">
        <f t="array" ref="B187">(PRODUCT(1+sp500_monthly!B188:B307)^(1/120)-1)*100</f>
        <v>1.2017773116405506</v>
      </c>
      <c r="C187" cm="1">
        <f t="array" ref="C187">(PRODUCT(1+sp500_monthly!C188:C307)^(1/120)-1)*100</f>
        <v>0.70427639871262215</v>
      </c>
      <c r="D187" cm="1">
        <f t="array" ref="D187">(PRODUCT(1+sp500_monthly!D188:D307)^(1/120)-1)*100</f>
        <v>1.5152232520099007</v>
      </c>
      <c r="E187" cm="1">
        <f t="array" ref="E187">(PRODUCT(1+sp500_monthly!E188:E307)^(1/120)-1)*100</f>
        <v>1.0531132139310229</v>
      </c>
      <c r="F187" cm="1">
        <f t="array" ref="F187">(PRODUCT(1+sp500_monthly!K188:K307)^(1/120)-1)*100</f>
        <v>0.69708891751896207</v>
      </c>
      <c r="G187" cm="1">
        <f t="array" ref="G187">(PRODUCT(1+sp500_monthly!L188:L307)^(1/120)-1)</f>
        <v>4.8886404866310462E-2</v>
      </c>
      <c r="H187" cm="1">
        <f t="array" ref="H187">(PRODUCT(1+sp500_monthly!N188:N307)^(1/120)-1)*100</f>
        <v>0</v>
      </c>
      <c r="I187" cm="1">
        <f t="array" ref="I187">(PRODUCT(1+sp500_monthly!O188:O307)^(1/120)-1)*100</f>
        <v>0</v>
      </c>
    </row>
    <row r="188" spans="1:9" x14ac:dyDescent="0.35">
      <c r="A188" s="1">
        <v>15157</v>
      </c>
      <c r="B188" cm="1">
        <f t="array" ref="B188">(PRODUCT(1+sp500_monthly!B189:B308)^(1/120)-1)*100</f>
        <v>1.1314898668979945</v>
      </c>
      <c r="C188" cm="1">
        <f t="array" ref="C188">(PRODUCT(1+sp500_monthly!C189:C308)^(1/120)-1)*100</f>
        <v>0.63737574156095267</v>
      </c>
      <c r="D188" cm="1">
        <f t="array" ref="D188">(PRODUCT(1+sp500_monthly!D189:D308)^(1/120)-1)*100</f>
        <v>1.4297023717527946</v>
      </c>
      <c r="E188" cm="1">
        <f t="array" ref="E188">(PRODUCT(1+sp500_monthly!E189:E308)^(1/120)-1)*100</f>
        <v>0.96931610660546674</v>
      </c>
      <c r="F188" cm="1">
        <f t="array" ref="F188">(PRODUCT(1+sp500_monthly!K189:K308)^(1/120)-1)*100</f>
        <v>0.63126986791366413</v>
      </c>
      <c r="G188" cm="1">
        <f t="array" ref="G188">(PRODUCT(1+sp500_monthly!L189:L308)^(1/120)-1)</f>
        <v>4.9877447076444925E-2</v>
      </c>
      <c r="H188" cm="1">
        <f t="array" ref="H188">(PRODUCT(1+sp500_monthly!N189:N308)^(1/120)-1)*100</f>
        <v>0</v>
      </c>
      <c r="I188" cm="1">
        <f t="array" ref="I188">(PRODUCT(1+sp500_monthly!O189:O308)^(1/120)-1)*100</f>
        <v>0</v>
      </c>
    </row>
    <row r="189" spans="1:9" x14ac:dyDescent="0.35">
      <c r="A189" s="1">
        <v>15188</v>
      </c>
      <c r="B189" cm="1">
        <f t="array" ref="B189">(PRODUCT(1+sp500_monthly!B190:B309)^(1/120)-1)*100</f>
        <v>1.1424439384470908</v>
      </c>
      <c r="C189" cm="1">
        <f t="array" ref="C189">(PRODUCT(1+sp500_monthly!C190:C309)^(1/120)-1)*100</f>
        <v>0.64873532974651926</v>
      </c>
      <c r="D189" cm="1">
        <f t="array" ref="D189">(PRODUCT(1+sp500_monthly!D190:D309)^(1/120)-1)*100</f>
        <v>1.3910210800079703</v>
      </c>
      <c r="E189" cm="1">
        <f t="array" ref="E189">(PRODUCT(1+sp500_monthly!E190:E309)^(1/120)-1)*100</f>
        <v>0.93061182185056879</v>
      </c>
      <c r="F189" cm="1">
        <f t="array" ref="F189">(PRODUCT(1+sp500_monthly!K190:K309)^(1/120)-1)*100</f>
        <v>0.64223323198162596</v>
      </c>
      <c r="G189" cm="1">
        <f t="array" ref="G189">(PRODUCT(1+sp500_monthly!L190:L309)^(1/120)-1)</f>
        <v>5.0688430275931395E-2</v>
      </c>
      <c r="H189" cm="1">
        <f t="array" ref="H189">(PRODUCT(1+sp500_monthly!N190:N309)^(1/120)-1)*100</f>
        <v>0</v>
      </c>
      <c r="I189" cm="1">
        <f t="array" ref="I189">(PRODUCT(1+sp500_monthly!O190:O309)^(1/120)-1)*100</f>
        <v>0</v>
      </c>
    </row>
    <row r="190" spans="1:9" x14ac:dyDescent="0.35">
      <c r="A190" s="1">
        <v>15218</v>
      </c>
      <c r="B190" cm="1">
        <f t="array" ref="B190">(PRODUCT(1+sp500_monthly!B191:B310)^(1/120)-1)*100</f>
        <v>1.1846909276251427</v>
      </c>
      <c r="C190" cm="1">
        <f t="array" ref="C190">(PRODUCT(1+sp500_monthly!C191:C310)^(1/120)-1)*100</f>
        <v>0.68855054898098178</v>
      </c>
      <c r="D190" cm="1">
        <f t="array" ref="D190">(PRODUCT(1+sp500_monthly!D191:D310)^(1/120)-1)*100</f>
        <v>1.4316542395002463</v>
      </c>
      <c r="E190" cm="1">
        <f t="array" ref="E190">(PRODUCT(1+sp500_monthly!E191:E310)^(1/120)-1)*100</f>
        <v>0.96872999892700928</v>
      </c>
      <c r="F190" cm="1">
        <f t="array" ref="F190">(PRODUCT(1+sp500_monthly!K191:K310)^(1/120)-1)*100</f>
        <v>0.68185521471206822</v>
      </c>
      <c r="G190" cm="1">
        <f t="array" ref="G190">(PRODUCT(1+sp500_monthly!L191:L310)^(1/120)-1)</f>
        <v>5.1671873199333085E-2</v>
      </c>
      <c r="H190" cm="1">
        <f t="array" ref="H190">(PRODUCT(1+sp500_monthly!N191:N310)^(1/120)-1)*100</f>
        <v>0</v>
      </c>
      <c r="I190" cm="1">
        <f t="array" ref="I190">(PRODUCT(1+sp500_monthly!O191:O310)^(1/120)-1)*100</f>
        <v>0</v>
      </c>
    </row>
    <row r="191" spans="1:9" x14ac:dyDescent="0.35">
      <c r="A191" s="1">
        <v>15249</v>
      </c>
      <c r="B191" cm="1">
        <f t="array" ref="B191">(PRODUCT(1+sp500_monthly!B192:B311)^(1/120)-1)*100</f>
        <v>1.1933274490841361</v>
      </c>
      <c r="C191" cm="1">
        <f t="array" ref="C191">(PRODUCT(1+sp500_monthly!C192:C311)^(1/120)-1)*100</f>
        <v>0.69925759300251134</v>
      </c>
      <c r="D191" cm="1">
        <f t="array" ref="D191">(PRODUCT(1+sp500_monthly!D192:D311)^(1/120)-1)*100</f>
        <v>1.4682531861880399</v>
      </c>
      <c r="E191" cm="1">
        <f t="array" ref="E191">(PRODUCT(1+sp500_monthly!E192:E311)^(1/120)-1)*100</f>
        <v>1.0064580425978464</v>
      </c>
      <c r="F191" cm="1">
        <f t="array" ref="F191">(PRODUCT(1+sp500_monthly!K192:K311)^(1/120)-1)*100</f>
        <v>0.68932027114545491</v>
      </c>
      <c r="G191" cm="1">
        <f t="array" ref="G191">(PRODUCT(1+sp500_monthly!L192:L311)^(1/120)-1)</f>
        <v>5.257826446240399E-2</v>
      </c>
      <c r="H191" cm="1">
        <f t="array" ref="H191">(PRODUCT(1+sp500_monthly!N192:N311)^(1/120)-1)*100</f>
        <v>0</v>
      </c>
      <c r="I191" cm="1">
        <f t="array" ref="I191">(PRODUCT(1+sp500_monthly!O192:O311)^(1/120)-1)*100</f>
        <v>0</v>
      </c>
    </row>
    <row r="192" spans="1:9" x14ac:dyDescent="0.35">
      <c r="A192" s="1">
        <v>15280</v>
      </c>
      <c r="B192" cm="1">
        <f t="array" ref="B192">(PRODUCT(1+sp500_monthly!B193:B312)^(1/120)-1)*100</f>
        <v>1.2383454279662365</v>
      </c>
      <c r="C192" cm="1">
        <f t="array" ref="C192">(PRODUCT(1+sp500_monthly!C193:C312)^(1/120)-1)*100</f>
        <v>0.74376615990303652</v>
      </c>
      <c r="D192" cm="1">
        <f t="array" ref="D192">(PRODUCT(1+sp500_monthly!D193:D312)^(1/120)-1)*100</f>
        <v>1.5173859158712277</v>
      </c>
      <c r="E192" cm="1">
        <f t="array" ref="E192">(PRODUCT(1+sp500_monthly!E193:E312)^(1/120)-1)*100</f>
        <v>1.0541699138364891</v>
      </c>
      <c r="F192" cm="1">
        <f t="array" ref="F192">(PRODUCT(1+sp500_monthly!K193:K312)^(1/120)-1)*100</f>
        <v>0.73736214463600014</v>
      </c>
      <c r="G192" cm="1">
        <f t="array" ref="G192">(PRODUCT(1+sp500_monthly!L193:L312)^(1/120)-1)</f>
        <v>5.3880933817131993E-2</v>
      </c>
      <c r="H192" cm="1">
        <f t="array" ref="H192">(PRODUCT(1+sp500_monthly!N193:N312)^(1/120)-1)*100</f>
        <v>0</v>
      </c>
      <c r="I192" cm="1">
        <f t="array" ref="I192">(PRODUCT(1+sp500_monthly!O193:O312)^(1/120)-1)*100</f>
        <v>0</v>
      </c>
    </row>
    <row r="193" spans="1:9" x14ac:dyDescent="0.35">
      <c r="A193" s="1">
        <v>15309</v>
      </c>
      <c r="B193" cm="1">
        <f t="array" ref="B193">(PRODUCT(1+sp500_monthly!B194:B313)^(1/120)-1)*100</f>
        <v>1.2691901121477889</v>
      </c>
      <c r="C193" cm="1">
        <f t="array" ref="C193">(PRODUCT(1+sp500_monthly!C194:C313)^(1/120)-1)*100</f>
        <v>0.77772410914136447</v>
      </c>
      <c r="D193" cm="1">
        <f t="array" ref="D193">(PRODUCT(1+sp500_monthly!D194:D313)^(1/120)-1)*100</f>
        <v>1.5735585362791626</v>
      </c>
      <c r="E193" cm="1">
        <f t="array" ref="E193">(PRODUCT(1+sp500_monthly!E194:E313)^(1/120)-1)*100</f>
        <v>1.11206893461131</v>
      </c>
      <c r="F193" cm="1">
        <f t="array" ref="F193">(PRODUCT(1+sp500_monthly!K194:K313)^(1/120)-1)*100</f>
        <v>0.77128082019053412</v>
      </c>
      <c r="G193" cm="1">
        <f t="array" ref="G193">(PRODUCT(1+sp500_monthly!L194:L313)^(1/120)-1)</f>
        <v>5.4797857721836873E-2</v>
      </c>
      <c r="H193" cm="1">
        <f t="array" ref="H193">(PRODUCT(1+sp500_monthly!N194:N313)^(1/120)-1)*100</f>
        <v>0</v>
      </c>
      <c r="I193" cm="1">
        <f t="array" ref="I193">(PRODUCT(1+sp500_monthly!O194:O313)^(1/120)-1)*100</f>
        <v>0</v>
      </c>
    </row>
    <row r="194" spans="1:9" x14ac:dyDescent="0.35">
      <c r="A194" s="1">
        <v>15341</v>
      </c>
      <c r="B194" cm="1">
        <f t="array" ref="B194">(PRODUCT(1+sp500_monthly!B195:B314)^(1/120)-1)*100</f>
        <v>1.3372168115176164</v>
      </c>
      <c r="C194" cm="1">
        <f t="array" ref="C194">(PRODUCT(1+sp500_monthly!C195:C314)^(1/120)-1)*100</f>
        <v>0.84917740575145562</v>
      </c>
      <c r="D194" cm="1">
        <f t="array" ref="D194">(PRODUCT(1+sp500_monthly!D195:D314)^(1/120)-1)*100</f>
        <v>1.650887297977377</v>
      </c>
      <c r="E194" cm="1">
        <f t="array" ref="E194">(PRODUCT(1+sp500_monthly!E195:E314)^(1/120)-1)*100</f>
        <v>1.1922881392362195</v>
      </c>
      <c r="F194" cm="1">
        <f t="array" ref="F194">(PRODUCT(1+sp500_monthly!K195:K314)^(1/120)-1)*100</f>
        <v>0.8420664489232621</v>
      </c>
      <c r="G194" cm="1">
        <f t="array" ref="G194">(PRODUCT(1+sp500_monthly!L195:L314)^(1/120)-1)</f>
        <v>5.5706943138028819E-2</v>
      </c>
      <c r="H194" cm="1">
        <f t="array" ref="H194">(PRODUCT(1+sp500_monthly!N195:N314)^(1/120)-1)*100</f>
        <v>0</v>
      </c>
      <c r="I194" cm="1">
        <f t="array" ref="I194">(PRODUCT(1+sp500_monthly!O195:O314)^(1/120)-1)*100</f>
        <v>0</v>
      </c>
    </row>
    <row r="195" spans="1:9" x14ac:dyDescent="0.35">
      <c r="A195" s="1">
        <v>15372</v>
      </c>
      <c r="B195" cm="1">
        <f t="array" ref="B195">(PRODUCT(1+sp500_monthly!B196:B315)^(1/120)-1)*100</f>
        <v>1.333484698348264</v>
      </c>
      <c r="C195" cm="1">
        <f t="array" ref="C195">(PRODUCT(1+sp500_monthly!C196:C315)^(1/120)-1)*100</f>
        <v>0.84559953479885763</v>
      </c>
      <c r="D195" cm="1">
        <f t="array" ref="D195">(PRODUCT(1+sp500_monthly!D196:D315)^(1/120)-1)*100</f>
        <v>1.5863821882605933</v>
      </c>
      <c r="E195" cm="1">
        <f t="array" ref="E195">(PRODUCT(1+sp500_monthly!E196:E315)^(1/120)-1)*100</f>
        <v>1.1275108780911092</v>
      </c>
      <c r="F195" cm="1">
        <f t="array" ref="F195">(PRODUCT(1+sp500_monthly!K196:K315)^(1/120)-1)*100</f>
        <v>0.84352158357763329</v>
      </c>
      <c r="G195" cm="1">
        <f t="array" ref="G195">(PRODUCT(1+sp500_monthly!L196:L315)^(1/120)-1)</f>
        <v>5.6762819824640598E-2</v>
      </c>
      <c r="H195" cm="1">
        <f t="array" ref="H195">(PRODUCT(1+sp500_monthly!N196:N315)^(1/120)-1)*100</f>
        <v>0</v>
      </c>
      <c r="I195" cm="1">
        <f t="array" ref="I195">(PRODUCT(1+sp500_monthly!O196:O315)^(1/120)-1)*100</f>
        <v>0</v>
      </c>
    </row>
    <row r="196" spans="1:9" x14ac:dyDescent="0.35">
      <c r="A196" s="1">
        <v>15400</v>
      </c>
      <c r="B196" cm="1">
        <f t="array" ref="B196">(PRODUCT(1+sp500_monthly!B197:B316)^(1/120)-1)*100</f>
        <v>1.326931628804684</v>
      </c>
      <c r="C196" cm="1">
        <f t="array" ref="C196">(PRODUCT(1+sp500_monthly!C197:C316)^(1/120)-1)*100</f>
        <v>0.83598039361560961</v>
      </c>
      <c r="D196" cm="1">
        <f t="array" ref="D196">(PRODUCT(1+sp500_monthly!D197:D316)^(1/120)-1)*100</f>
        <v>1.5788739677685681</v>
      </c>
      <c r="E196" cm="1">
        <f t="array" ref="E196">(PRODUCT(1+sp500_monthly!E197:E316)^(1/120)-1)*100</f>
        <v>1.1175248501421597</v>
      </c>
      <c r="F196" cm="1">
        <f t="array" ref="F196">(PRODUCT(1+sp500_monthly!K197:K316)^(1/120)-1)*100</f>
        <v>0.83356717288622928</v>
      </c>
      <c r="G196" cm="1">
        <f t="array" ref="G196">(PRODUCT(1+sp500_monthly!L197:L316)^(1/120)-1)</f>
        <v>5.7673598758105182E-2</v>
      </c>
      <c r="H196" cm="1">
        <f t="array" ref="H196">(PRODUCT(1+sp500_monthly!N197:N316)^(1/120)-1)*100</f>
        <v>0</v>
      </c>
      <c r="I196" cm="1">
        <f t="array" ref="I196">(PRODUCT(1+sp500_monthly!O197:O316)^(1/120)-1)*100</f>
        <v>0</v>
      </c>
    </row>
    <row r="197" spans="1:9" x14ac:dyDescent="0.35">
      <c r="A197" s="1">
        <v>15431</v>
      </c>
      <c r="B197" cm="1">
        <f t="array" ref="B197">(PRODUCT(1+sp500_monthly!B198:B317)^(1/120)-1)*100</f>
        <v>1.4263402706225836</v>
      </c>
      <c r="C197" cm="1">
        <f t="array" ref="C197">(PRODUCT(1+sp500_monthly!C198:C317)^(1/120)-1)*100</f>
        <v>0.9382430466258862</v>
      </c>
      <c r="D197" cm="1">
        <f t="array" ref="D197">(PRODUCT(1+sp500_monthly!D198:D317)^(1/120)-1)*100</f>
        <v>1.681936937054096</v>
      </c>
      <c r="E197" cm="1">
        <f t="array" ref="E197">(PRODUCT(1+sp500_monthly!E198:E317)^(1/120)-1)*100</f>
        <v>1.2232043443626273</v>
      </c>
      <c r="F197" cm="1">
        <f t="array" ref="F197">(PRODUCT(1+sp500_monthly!K198:K317)^(1/120)-1)*100</f>
        <v>0.93152824216402585</v>
      </c>
      <c r="G197" cm="1">
        <f t="array" ref="G197">(PRODUCT(1+sp500_monthly!L198:L317)^(1/120)-1)</f>
        <v>5.850604810160065E-2</v>
      </c>
      <c r="H197" cm="1">
        <f t="array" ref="H197">(PRODUCT(1+sp500_monthly!N198:N317)^(1/120)-1)*100</f>
        <v>0</v>
      </c>
      <c r="I197" cm="1">
        <f t="array" ref="I197">(PRODUCT(1+sp500_monthly!O198:O317)^(1/120)-1)*100</f>
        <v>0</v>
      </c>
    </row>
    <row r="198" spans="1:9" x14ac:dyDescent="0.35">
      <c r="A198" s="1">
        <v>15461</v>
      </c>
      <c r="B198" cm="1">
        <f t="array" ref="B198">(PRODUCT(1+sp500_monthly!B199:B318)^(1/120)-1)*100</f>
        <v>1.4233169389110456</v>
      </c>
      <c r="C198" cm="1">
        <f t="array" ref="C198">(PRODUCT(1+sp500_monthly!C199:C318)^(1/120)-1)*100</f>
        <v>0.93565783340481268</v>
      </c>
      <c r="D198" cm="1">
        <f t="array" ref="D198">(PRODUCT(1+sp500_monthly!D199:D318)^(1/120)-1)*100</f>
        <v>1.6892780065649093</v>
      </c>
      <c r="E198" cm="1">
        <f t="array" ref="E198">(PRODUCT(1+sp500_monthly!E199:E318)^(1/120)-1)*100</f>
        <v>1.2322817964453892</v>
      </c>
      <c r="F198" cm="1">
        <f t="array" ref="F198">(PRODUCT(1+sp500_monthly!K199:K318)^(1/120)-1)*100</f>
        <v>0.93206370504814728</v>
      </c>
      <c r="G198" cm="1">
        <f t="array" ref="G198">(PRODUCT(1+sp500_monthly!L199:L318)^(1/120)-1)</f>
        <v>5.9418329449382856E-2</v>
      </c>
      <c r="H198" cm="1">
        <f t="array" ref="H198">(PRODUCT(1+sp500_monthly!N199:N318)^(1/120)-1)*100</f>
        <v>0</v>
      </c>
      <c r="I198" cm="1">
        <f t="array" ref="I198">(PRODUCT(1+sp500_monthly!O199:O318)^(1/120)-1)*100</f>
        <v>0</v>
      </c>
    </row>
    <row r="199" spans="1:9" x14ac:dyDescent="0.35">
      <c r="A199" s="1">
        <v>15490</v>
      </c>
      <c r="B199" cm="1">
        <f t="array" ref="B199">(PRODUCT(1+sp500_monthly!B200:B319)^(1/120)-1)*100</f>
        <v>1.3938807634952477</v>
      </c>
      <c r="C199" cm="1">
        <f t="array" ref="C199">(PRODUCT(1+sp500_monthly!C200:C319)^(1/120)-1)*100</f>
        <v>0.90590817377849131</v>
      </c>
      <c r="D199" cm="1">
        <f t="array" ref="D199">(PRODUCT(1+sp500_monthly!D200:D319)^(1/120)-1)*100</f>
        <v>1.6809721610947959</v>
      </c>
      <c r="E199" cm="1">
        <f t="array" ref="E199">(PRODUCT(1+sp500_monthly!E200:E319)^(1/120)-1)*100</f>
        <v>1.2225078580462956</v>
      </c>
      <c r="F199" cm="1">
        <f t="array" ref="F199">(PRODUCT(1+sp500_monthly!K200:K319)^(1/120)-1)*100</f>
        <v>0.89917001854535883</v>
      </c>
      <c r="G199" cm="1">
        <f t="array" ref="G199">(PRODUCT(1+sp500_monthly!L200:L319)^(1/120)-1)</f>
        <v>6.0236682552217813E-2</v>
      </c>
      <c r="H199" cm="1">
        <f t="array" ref="H199">(PRODUCT(1+sp500_monthly!N200:N319)^(1/120)-1)*100</f>
        <v>0</v>
      </c>
      <c r="I199" cm="1">
        <f t="array" ref="I199">(PRODUCT(1+sp500_monthly!O200:O319)^(1/120)-1)*100</f>
        <v>0</v>
      </c>
    </row>
    <row r="200" spans="1:9" x14ac:dyDescent="0.35">
      <c r="A200" s="1">
        <v>15522</v>
      </c>
      <c r="B200" cm="1">
        <f t="array" ref="B200">(PRODUCT(1+sp500_monthly!B201:B320)^(1/120)-1)*100</f>
        <v>1.4136985731541429</v>
      </c>
      <c r="C200" cm="1">
        <f t="array" ref="C200">(PRODUCT(1+sp500_monthly!C201:C320)^(1/120)-1)*100</f>
        <v>0.92940840097379684</v>
      </c>
      <c r="D200" cm="1">
        <f t="array" ref="D200">(PRODUCT(1+sp500_monthly!D201:D320)^(1/120)-1)*100</f>
        <v>1.7015682380848718</v>
      </c>
      <c r="E200" cm="1">
        <f t="array" ref="E200">(PRODUCT(1+sp500_monthly!E201:E320)^(1/120)-1)*100</f>
        <v>1.2449527340199662</v>
      </c>
      <c r="F200" cm="1">
        <f t="array" ref="F200">(PRODUCT(1+sp500_monthly!K201:K320)^(1/120)-1)*100</f>
        <v>0.92173460243683003</v>
      </c>
      <c r="G200" cm="1">
        <f t="array" ref="G200">(PRODUCT(1+sp500_monthly!L201:L320)^(1/120)-1)</f>
        <v>6.1297089706565E-2</v>
      </c>
      <c r="H200" cm="1">
        <f t="array" ref="H200">(PRODUCT(1+sp500_monthly!N201:N320)^(1/120)-1)*100</f>
        <v>0</v>
      </c>
      <c r="I200" cm="1">
        <f t="array" ref="I200">(PRODUCT(1+sp500_monthly!O201:O320)^(1/120)-1)*100</f>
        <v>0</v>
      </c>
    </row>
    <row r="201" spans="1:9" x14ac:dyDescent="0.35">
      <c r="A201" s="1">
        <v>15553</v>
      </c>
      <c r="B201" cm="1">
        <f t="array" ref="B201">(PRODUCT(1+sp500_monthly!B202:B321)^(1/120)-1)*100</f>
        <v>1.3997984753089998</v>
      </c>
      <c r="C201" cm="1">
        <f t="array" ref="C201">(PRODUCT(1+sp500_monthly!C202:C321)^(1/120)-1)*100</f>
        <v>0.91575566680175413</v>
      </c>
      <c r="D201" cm="1">
        <f t="array" ref="D201">(PRODUCT(1+sp500_monthly!D202:D321)^(1/120)-1)*100</f>
        <v>1.6740328449343256</v>
      </c>
      <c r="E201" cm="1">
        <f t="array" ref="E201">(PRODUCT(1+sp500_monthly!E202:E321)^(1/120)-1)*100</f>
        <v>1.2174771626501046</v>
      </c>
      <c r="F201" cm="1">
        <f t="array" ref="F201">(PRODUCT(1+sp500_monthly!K202:K321)^(1/120)-1)*100</f>
        <v>0.91049090394561549</v>
      </c>
      <c r="G201" cm="1">
        <f t="array" ref="G201">(PRODUCT(1+sp500_monthly!L202:L321)^(1/120)-1)</f>
        <v>6.2272189650018017E-2</v>
      </c>
      <c r="H201" cm="1">
        <f t="array" ref="H201">(PRODUCT(1+sp500_monthly!N202:N321)^(1/120)-1)*100</f>
        <v>0</v>
      </c>
      <c r="I201" cm="1">
        <f t="array" ref="I201">(PRODUCT(1+sp500_monthly!O202:O321)^(1/120)-1)*100</f>
        <v>0</v>
      </c>
    </row>
    <row r="202" spans="1:9" x14ac:dyDescent="0.35">
      <c r="A202" s="1">
        <v>15584</v>
      </c>
      <c r="B202" cm="1">
        <f t="array" ref="B202">(PRODUCT(1+sp500_monthly!B203:B322)^(1/120)-1)*100</f>
        <v>1.3821229896821441</v>
      </c>
      <c r="C202" cm="1">
        <f t="array" ref="C202">(PRODUCT(1+sp500_monthly!C203:C322)^(1/120)-1)*100</f>
        <v>0.89673187323833226</v>
      </c>
      <c r="D202" cm="1">
        <f t="array" ref="D202">(PRODUCT(1+sp500_monthly!D203:D322)^(1/120)-1)*100</f>
        <v>1.6603216984366176</v>
      </c>
      <c r="E202" cm="1">
        <f t="array" ref="E202">(PRODUCT(1+sp500_monthly!E203:E322)^(1/120)-1)*100</f>
        <v>1.2025489975636017</v>
      </c>
      <c r="F202" cm="1">
        <f t="array" ref="F202">(PRODUCT(1+sp500_monthly!K203:K322)^(1/120)-1)*100</f>
        <v>0.89227930412087986</v>
      </c>
      <c r="G202" cm="1">
        <f t="array" ref="G202">(PRODUCT(1+sp500_monthly!L203:L322)^(1/120)-1)</f>
        <v>6.3248185497086329E-2</v>
      </c>
      <c r="H202" cm="1">
        <f t="array" ref="H202">(PRODUCT(1+sp500_monthly!N203:N322)^(1/120)-1)*100</f>
        <v>0</v>
      </c>
      <c r="I202" cm="1">
        <f t="array" ref="I202">(PRODUCT(1+sp500_monthly!O203:O322)^(1/120)-1)*100</f>
        <v>0</v>
      </c>
    </row>
    <row r="203" spans="1:9" x14ac:dyDescent="0.35">
      <c r="A203" s="1">
        <v>15614</v>
      </c>
      <c r="B203" cm="1">
        <f t="array" ref="B203">(PRODUCT(1+sp500_monthly!B204:B323)^(1/120)-1)*100</f>
        <v>1.3397336960162542</v>
      </c>
      <c r="C203" cm="1">
        <f t="array" ref="C203">(PRODUCT(1+sp500_monthly!C204:C323)^(1/120)-1)*100</f>
        <v>0.85671929775197331</v>
      </c>
      <c r="D203" cm="1">
        <f t="array" ref="D203">(PRODUCT(1+sp500_monthly!D204:D323)^(1/120)-1)*100</f>
        <v>1.6016179725912183</v>
      </c>
      <c r="E203" cm="1">
        <f t="array" ref="E203">(PRODUCT(1+sp500_monthly!E204:E323)^(1/120)-1)*100</f>
        <v>1.1462444132932958</v>
      </c>
      <c r="F203" cm="1">
        <f t="array" ref="F203">(PRODUCT(1+sp500_monthly!K204:K323)^(1/120)-1)*100</f>
        <v>0.85352443076598394</v>
      </c>
      <c r="G203" cm="1">
        <f t="array" ref="G203">(PRODUCT(1+sp500_monthly!L204:L323)^(1/120)-1)</f>
        <v>6.4301865236816136E-2</v>
      </c>
      <c r="H203" cm="1">
        <f t="array" ref="H203">(PRODUCT(1+sp500_monthly!N204:N323)^(1/120)-1)*100</f>
        <v>0</v>
      </c>
      <c r="I203" cm="1">
        <f t="array" ref="I203">(PRODUCT(1+sp500_monthly!O204:O323)^(1/120)-1)*100</f>
        <v>0</v>
      </c>
    </row>
    <row r="204" spans="1:9" x14ac:dyDescent="0.35">
      <c r="A204" s="1">
        <v>15645</v>
      </c>
      <c r="B204" cm="1">
        <f t="array" ref="B204">(PRODUCT(1+sp500_monthly!B205:B324)^(1/120)-1)*100</f>
        <v>1.2845664859797878</v>
      </c>
      <c r="C204" cm="1">
        <f t="array" ref="C204">(PRODUCT(1+sp500_monthly!C205:C324)^(1/120)-1)*100</f>
        <v>0.80170819582356945</v>
      </c>
      <c r="D204" cm="1">
        <f t="array" ref="D204">(PRODUCT(1+sp500_monthly!D205:D324)^(1/120)-1)*100</f>
        <v>1.5032661380755652</v>
      </c>
      <c r="E204" cm="1">
        <f t="array" ref="E204">(PRODUCT(1+sp500_monthly!E205:E324)^(1/120)-1)*100</f>
        <v>1.0471151386077571</v>
      </c>
      <c r="F204" cm="1">
        <f t="array" ref="F204">(PRODUCT(1+sp500_monthly!K205:K324)^(1/120)-1)*100</f>
        <v>0.80039436407863818</v>
      </c>
      <c r="G204" cm="1">
        <f t="array" ref="G204">(PRODUCT(1+sp500_monthly!L205:L324)^(1/120)-1)</f>
        <v>6.5202196964881498E-2</v>
      </c>
      <c r="H204" cm="1">
        <f t="array" ref="H204">(PRODUCT(1+sp500_monthly!N205:N324)^(1/120)-1)*100</f>
        <v>0</v>
      </c>
      <c r="I204" cm="1">
        <f t="array" ref="I204">(PRODUCT(1+sp500_monthly!O205:O324)^(1/120)-1)*100</f>
        <v>0</v>
      </c>
    </row>
    <row r="205" spans="1:9" x14ac:dyDescent="0.35">
      <c r="A205" s="1">
        <v>15675</v>
      </c>
      <c r="B205" cm="1">
        <f t="array" ref="B205">(PRODUCT(1+sp500_monthly!B206:B325)^(1/120)-1)*100</f>
        <v>1.3385769547912929</v>
      </c>
      <c r="C205" cm="1">
        <f t="array" ref="C205">(PRODUCT(1+sp500_monthly!C206:C325)^(1/120)-1)*100</f>
        <v>0.85567349078290444</v>
      </c>
      <c r="D205" cm="1">
        <f t="array" ref="D205">(PRODUCT(1+sp500_monthly!D206:D325)^(1/120)-1)*100</f>
        <v>1.5934581197009745</v>
      </c>
      <c r="E205" cm="1">
        <f t="array" ref="E205">(PRODUCT(1+sp500_monthly!E206:E325)^(1/120)-1)*100</f>
        <v>1.139007467946751</v>
      </c>
      <c r="F205" cm="1">
        <f t="array" ref="F205">(PRODUCT(1+sp500_monthly!K206:K325)^(1/120)-1)*100</f>
        <v>0.85025305623336322</v>
      </c>
      <c r="G205" cm="1">
        <f t="array" ref="G205">(PRODUCT(1+sp500_monthly!L206:L325)^(1/120)-1)</f>
        <v>6.5786011159667757E-2</v>
      </c>
      <c r="H205" cm="1">
        <f t="array" ref="H205">(PRODUCT(1+sp500_monthly!N206:N325)^(1/120)-1)*100</f>
        <v>0</v>
      </c>
      <c r="I205" cm="1">
        <f t="array" ref="I205">(PRODUCT(1+sp500_monthly!O206:O325)^(1/120)-1)*100</f>
        <v>0</v>
      </c>
    </row>
    <row r="206" spans="1:9" x14ac:dyDescent="0.35">
      <c r="A206" s="1">
        <v>15706</v>
      </c>
      <c r="B206" cm="1">
        <f t="array" ref="B206">(PRODUCT(1+sp500_monthly!B207:B326)^(1/120)-1)*100</f>
        <v>1.3230060202928939</v>
      </c>
      <c r="C206" cm="1">
        <f t="array" ref="C206">(PRODUCT(1+sp500_monthly!C207:C326)^(1/120)-1)*100</f>
        <v>0.84381017661545599</v>
      </c>
      <c r="D206" cm="1">
        <f t="array" ref="D206">(PRODUCT(1+sp500_monthly!D207:D326)^(1/120)-1)*100</f>
        <v>1.5853311451706986</v>
      </c>
      <c r="E206" cm="1">
        <f t="array" ref="E206">(PRODUCT(1+sp500_monthly!E207:E326)^(1/120)-1)*100</f>
        <v>1.1350506607748834</v>
      </c>
      <c r="F206" cm="1">
        <f t="array" ref="F206">(PRODUCT(1+sp500_monthly!K207:K326)^(1/120)-1)*100</f>
        <v>0.83720401247489029</v>
      </c>
      <c r="G206" cm="1">
        <f t="array" ref="G206">(PRODUCT(1+sp500_monthly!L207:L326)^(1/120)-1)</f>
        <v>6.6842205886509687E-2</v>
      </c>
      <c r="H206" cm="1">
        <f t="array" ref="H206">(PRODUCT(1+sp500_monthly!N207:N326)^(1/120)-1)*100</f>
        <v>0</v>
      </c>
      <c r="I206" cm="1">
        <f t="array" ref="I206">(PRODUCT(1+sp500_monthly!O207:O326)^(1/120)-1)*100</f>
        <v>0</v>
      </c>
    </row>
    <row r="207" spans="1:9" x14ac:dyDescent="0.35">
      <c r="A207" s="1">
        <v>15736</v>
      </c>
      <c r="B207" cm="1">
        <f t="array" ref="B207">(PRODUCT(1+sp500_monthly!B208:B327)^(1/120)-1)*100</f>
        <v>1.2587224718530576</v>
      </c>
      <c r="C207" cm="1">
        <f t="array" ref="C207">(PRODUCT(1+sp500_monthly!C208:C327)^(1/120)-1)*100</f>
        <v>0.78040871156577207</v>
      </c>
      <c r="D207" cm="1">
        <f t="array" ref="D207">(PRODUCT(1+sp500_monthly!D208:D327)^(1/120)-1)*100</f>
        <v>1.4883348875125657</v>
      </c>
      <c r="E207" cm="1">
        <f t="array" ref="E207">(PRODUCT(1+sp500_monthly!E208:E327)^(1/120)-1)*100</f>
        <v>1.038596582475293</v>
      </c>
      <c r="F207" cm="1">
        <f t="array" ref="F207">(PRODUCT(1+sp500_monthly!K208:K327)^(1/120)-1)*100</f>
        <v>0.773046305884173</v>
      </c>
      <c r="G207" cm="1">
        <f t="array" ref="G207">(PRODUCT(1+sp500_monthly!L208:L327)^(1/120)-1)</f>
        <v>6.7899447303108706E-2</v>
      </c>
      <c r="H207" cm="1">
        <f t="array" ref="H207">(PRODUCT(1+sp500_monthly!N208:N327)^(1/120)-1)*100</f>
        <v>0</v>
      </c>
      <c r="I207" cm="1">
        <f t="array" ref="I207">(PRODUCT(1+sp500_monthly!O208:O327)^(1/120)-1)*100</f>
        <v>0</v>
      </c>
    </row>
    <row r="208" spans="1:9" x14ac:dyDescent="0.35">
      <c r="A208" s="1">
        <v>15764</v>
      </c>
      <c r="B208" cm="1">
        <f t="array" ref="B208">(PRODUCT(1+sp500_monthly!B209:B328)^(1/120)-1)*100</f>
        <v>1.2043744475591645</v>
      </c>
      <c r="C208" cm="1">
        <f t="array" ref="C208">(PRODUCT(1+sp500_monthly!C209:C328)^(1/120)-1)*100</f>
        <v>0.72222491892481866</v>
      </c>
      <c r="D208" cm="1">
        <f t="array" ref="D208">(PRODUCT(1+sp500_monthly!D209:D328)^(1/120)-1)*100</f>
        <v>1.3906094446581418</v>
      </c>
      <c r="E208" cm="1">
        <f t="array" ref="E208">(PRODUCT(1+sp500_monthly!E209:E328)^(1/120)-1)*100</f>
        <v>0.93808819782974506</v>
      </c>
      <c r="F208" cm="1">
        <f t="array" ref="F208">(PRODUCT(1+sp500_monthly!K209:K328)^(1/120)-1)*100</f>
        <v>0.71617177694767165</v>
      </c>
      <c r="G208" cm="1">
        <f t="array" ref="G208">(PRODUCT(1+sp500_monthly!L209:L328)^(1/120)-1)</f>
        <v>6.8802822356930138E-2</v>
      </c>
      <c r="H208" cm="1">
        <f t="array" ref="H208">(PRODUCT(1+sp500_monthly!N209:N328)^(1/120)-1)*100</f>
        <v>0</v>
      </c>
      <c r="I208" cm="1">
        <f t="array" ref="I208">(PRODUCT(1+sp500_monthly!O209:O328)^(1/120)-1)*100</f>
        <v>0</v>
      </c>
    </row>
    <row r="209" spans="1:9" x14ac:dyDescent="0.35">
      <c r="A209" s="1">
        <v>15796</v>
      </c>
      <c r="B209" cm="1">
        <f t="array" ref="B209">(PRODUCT(1+sp500_monthly!B210:B329)^(1/120)-1)*100</f>
        <v>1.1367194992234042</v>
      </c>
      <c r="C209" cm="1">
        <f t="array" ref="C209">(PRODUCT(1+sp500_monthly!C210:C329)^(1/120)-1)*100</f>
        <v>0.65645541894503445</v>
      </c>
      <c r="D209" cm="1">
        <f t="array" ref="D209">(PRODUCT(1+sp500_monthly!D210:D329)^(1/120)-1)*100</f>
        <v>1.3031337154518541</v>
      </c>
      <c r="E209" cm="1">
        <f t="array" ref="E209">(PRODUCT(1+sp500_monthly!E210:E329)^(1/120)-1)*100</f>
        <v>0.85141885088415581</v>
      </c>
      <c r="F209" cm="1">
        <f t="array" ref="F209">(PRODUCT(1+sp500_monthly!K210:K329)^(1/120)-1)*100</f>
        <v>0.65306121676209639</v>
      </c>
      <c r="G209" cm="1">
        <f t="array" ref="G209">(PRODUCT(1+sp500_monthly!L210:L329)^(1/120)-1)</f>
        <v>7.0014423308274454E-2</v>
      </c>
      <c r="H209" cm="1">
        <f t="array" ref="H209">(PRODUCT(1+sp500_monthly!N210:N329)^(1/120)-1)*100</f>
        <v>0</v>
      </c>
      <c r="I209" cm="1">
        <f t="array" ref="I209">(PRODUCT(1+sp500_monthly!O210:O329)^(1/120)-1)*100</f>
        <v>0</v>
      </c>
    </row>
    <row r="210" spans="1:9" x14ac:dyDescent="0.35">
      <c r="A210" s="1">
        <v>15826</v>
      </c>
      <c r="B210" cm="1">
        <f t="array" ref="B210">(PRODUCT(1+sp500_monthly!B211:B330)^(1/120)-1)*100</f>
        <v>1.1120996378293446</v>
      </c>
      <c r="C210" cm="1">
        <f t="array" ref="C210">(PRODUCT(1+sp500_monthly!C211:C330)^(1/120)-1)*100</f>
        <v>0.63169040596633419</v>
      </c>
      <c r="D210" cm="1">
        <f t="array" ref="D210">(PRODUCT(1+sp500_monthly!D211:D330)^(1/120)-1)*100</f>
        <v>1.2417332646301737</v>
      </c>
      <c r="E210" cm="1">
        <f t="array" ref="E210">(PRODUCT(1+sp500_monthly!E211:E330)^(1/120)-1)*100</f>
        <v>0.78941061043156235</v>
      </c>
      <c r="F210" cm="1">
        <f t="array" ref="F210">(PRODUCT(1+sp500_monthly!K211:K330)^(1/120)-1)*100</f>
        <v>0.62981816810896429</v>
      </c>
      <c r="G210" cm="1">
        <f t="array" ref="G210">(PRODUCT(1+sp500_monthly!L211:L330)^(1/120)-1)</f>
        <v>7.1074808394689049E-2</v>
      </c>
      <c r="H210" cm="1">
        <f t="array" ref="H210">(PRODUCT(1+sp500_monthly!N211:N330)^(1/120)-1)*100</f>
        <v>0</v>
      </c>
      <c r="I210" cm="1">
        <f t="array" ref="I210">(PRODUCT(1+sp500_monthly!O211:O330)^(1/120)-1)*100</f>
        <v>0</v>
      </c>
    </row>
    <row r="211" spans="1:9" x14ac:dyDescent="0.35">
      <c r="A211" s="1">
        <v>15855</v>
      </c>
      <c r="B211" cm="1">
        <f t="array" ref="B211">(PRODUCT(1+sp500_monthly!B212:B331)^(1/120)-1)*100</f>
        <v>1.075046615074049</v>
      </c>
      <c r="C211" cm="1">
        <f t="array" ref="C211">(PRODUCT(1+sp500_monthly!C212:C331)^(1/120)-1)*100</f>
        <v>0.59197104300756642</v>
      </c>
      <c r="D211" cm="1">
        <f t="array" ref="D211">(PRODUCT(1+sp500_monthly!D212:D331)^(1/120)-1)*100</f>
        <v>1.1918537716549382</v>
      </c>
      <c r="E211" cm="1">
        <f t="array" ref="E211">(PRODUCT(1+sp500_monthly!E212:E331)^(1/120)-1)*100</f>
        <v>0.73747178250245238</v>
      </c>
      <c r="F211" cm="1">
        <f t="array" ref="F211">(PRODUCT(1+sp500_monthly!K212:K331)^(1/120)-1)*100</f>
        <v>0.59029272274697675</v>
      </c>
      <c r="G211" cm="1">
        <f t="array" ref="G211">(PRODUCT(1+sp500_monthly!L212:L331)^(1/120)-1)</f>
        <v>7.2212938255844739E-2</v>
      </c>
      <c r="H211" cm="1">
        <f t="array" ref="H211">(PRODUCT(1+sp500_monthly!N212:N331)^(1/120)-1)*100</f>
        <v>0</v>
      </c>
      <c r="I211" cm="1">
        <f t="array" ref="I211">(PRODUCT(1+sp500_monthly!O212:O331)^(1/120)-1)*100</f>
        <v>0</v>
      </c>
    </row>
    <row r="212" spans="1:9" x14ac:dyDescent="0.35">
      <c r="A212" s="1">
        <v>15887</v>
      </c>
      <c r="B212" cm="1">
        <f t="array" ref="B212">(PRODUCT(1+sp500_monthly!B213:B332)^(1/120)-1)*100</f>
        <v>1.0448752668386074</v>
      </c>
      <c r="C212" cm="1">
        <f t="array" ref="C212">(PRODUCT(1+sp500_monthly!C213:C332)^(1/120)-1)*100</f>
        <v>0.56405049645218419</v>
      </c>
      <c r="D212" cm="1">
        <f t="array" ref="D212">(PRODUCT(1+sp500_monthly!D213:D332)^(1/120)-1)*100</f>
        <v>1.1685793593305016</v>
      </c>
      <c r="E212" cm="1">
        <f t="array" ref="E212">(PRODUCT(1+sp500_monthly!E213:E332)^(1/120)-1)*100</f>
        <v>0.71518553143938846</v>
      </c>
      <c r="F212" cm="1">
        <f t="array" ref="F212">(PRODUCT(1+sp500_monthly!K213:K332)^(1/120)-1)*100</f>
        <v>0.56007114933533941</v>
      </c>
      <c r="G212" cm="1">
        <f t="array" ref="G212">(PRODUCT(1+sp500_monthly!L213:L332)^(1/120)-1)</f>
        <v>7.3428404933944869E-2</v>
      </c>
      <c r="H212" cm="1">
        <f t="array" ref="H212">(PRODUCT(1+sp500_monthly!N213:N332)^(1/120)-1)*100</f>
        <v>0</v>
      </c>
      <c r="I212" cm="1">
        <f t="array" ref="I212">(PRODUCT(1+sp500_monthly!O213:O332)^(1/120)-1)*100</f>
        <v>0</v>
      </c>
    </row>
    <row r="213" spans="1:9" x14ac:dyDescent="0.35">
      <c r="A213" s="1">
        <v>15918</v>
      </c>
      <c r="B213" cm="1">
        <f t="array" ref="B213">(PRODUCT(1+sp500_monthly!B214:B333)^(1/120)-1)*100</f>
        <v>1.112705098022948</v>
      </c>
      <c r="C213" cm="1">
        <f t="array" ref="C213">(PRODUCT(1+sp500_monthly!C214:C333)^(1/120)-1)*100</f>
        <v>0.63137109656667967</v>
      </c>
      <c r="D213" cm="1">
        <f t="array" ref="D213">(PRODUCT(1+sp500_monthly!D214:D333)^(1/120)-1)*100</f>
        <v>1.2457731315513421</v>
      </c>
      <c r="E213" cm="1">
        <f t="array" ref="E213">(PRODUCT(1+sp500_monthly!E214:E333)^(1/120)-1)*100</f>
        <v>0.79142801069793656</v>
      </c>
      <c r="F213" cm="1">
        <f t="array" ref="F213">(PRODUCT(1+sp500_monthly!K214:K333)^(1/120)-1)*100</f>
        <v>0.62774828985232567</v>
      </c>
      <c r="G213" cm="1">
        <f t="array" ref="G213">(PRODUCT(1+sp500_monthly!L214:L333)^(1/120)-1)</f>
        <v>7.4414650903243951E-2</v>
      </c>
      <c r="H213" cm="1">
        <f t="array" ref="H213">(PRODUCT(1+sp500_monthly!N214:N333)^(1/120)-1)*100</f>
        <v>0</v>
      </c>
      <c r="I213" cm="1">
        <f t="array" ref="I213">(PRODUCT(1+sp500_monthly!O214:O333)^(1/120)-1)*100</f>
        <v>0</v>
      </c>
    </row>
    <row r="214" spans="1:9" x14ac:dyDescent="0.35">
      <c r="A214" s="1">
        <v>15949</v>
      </c>
      <c r="B214" cm="1">
        <f t="array" ref="B214">(PRODUCT(1+sp500_monthly!B215:B334)^(1/120)-1)*100</f>
        <v>1.0558441122969997</v>
      </c>
      <c r="C214" cm="1">
        <f t="array" ref="C214">(PRODUCT(1+sp500_monthly!C215:C334)^(1/120)-1)*100</f>
        <v>0.5704470039468168</v>
      </c>
      <c r="D214" cm="1">
        <f t="array" ref="D214">(PRODUCT(1+sp500_monthly!D215:D334)^(1/120)-1)*100</f>
        <v>1.1930608136687892</v>
      </c>
      <c r="E214" cm="1">
        <f t="array" ref="E214">(PRODUCT(1+sp500_monthly!E215:E334)^(1/120)-1)*100</f>
        <v>0.7360370622029544</v>
      </c>
      <c r="F214" cm="1">
        <f t="array" ref="F214">(PRODUCT(1+sp500_monthly!K215:K334)^(1/120)-1)*100</f>
        <v>0.56928718602289319</v>
      </c>
      <c r="G214" cm="1">
        <f t="array" ref="G214">(PRODUCT(1+sp500_monthly!L215:L334)^(1/120)-1)</f>
        <v>7.555632969904047E-2</v>
      </c>
      <c r="H214" cm="1">
        <f t="array" ref="H214">(PRODUCT(1+sp500_monthly!N215:N334)^(1/120)-1)*100</f>
        <v>0</v>
      </c>
      <c r="I214" cm="1">
        <f t="array" ref="I214">(PRODUCT(1+sp500_monthly!O215:O334)^(1/120)-1)*100</f>
        <v>0</v>
      </c>
    </row>
    <row r="215" spans="1:9" x14ac:dyDescent="0.35">
      <c r="A215" s="1">
        <v>15979</v>
      </c>
      <c r="B215" cm="1">
        <f t="array" ref="B215">(PRODUCT(1+sp500_monthly!B216:B335)^(1/120)-1)*100</f>
        <v>1.0348417461311765</v>
      </c>
      <c r="C215" cm="1">
        <f t="array" ref="C215">(PRODUCT(1+sp500_monthly!C216:C335)^(1/120)-1)*100</f>
        <v>0.55118039397104024</v>
      </c>
      <c r="D215" cm="1">
        <f t="array" ref="D215">(PRODUCT(1+sp500_monthly!D216:D335)^(1/120)-1)*100</f>
        <v>1.1569879081314349</v>
      </c>
      <c r="E215" cm="1">
        <f t="array" ref="E215">(PRODUCT(1+sp500_monthly!E216:E335)^(1/120)-1)*100</f>
        <v>0.70037028850000738</v>
      </c>
      <c r="F215" cm="1">
        <f t="array" ref="F215">(PRODUCT(1+sp500_monthly!K216:K335)^(1/120)-1)*100</f>
        <v>0.55071151728520729</v>
      </c>
      <c r="G215" cm="1">
        <f t="array" ref="G215">(PRODUCT(1+sp500_monthly!L216:L335)^(1/120)-1)</f>
        <v>7.6622206818795169E-2</v>
      </c>
      <c r="H215" cm="1">
        <f t="array" ref="H215">(PRODUCT(1+sp500_monthly!N216:N335)^(1/120)-1)*100</f>
        <v>0</v>
      </c>
      <c r="I215" cm="1">
        <f t="array" ref="I215">(PRODUCT(1+sp500_monthly!O216:O335)^(1/120)-1)*100</f>
        <v>0</v>
      </c>
    </row>
    <row r="216" spans="1:9" x14ac:dyDescent="0.35">
      <c r="A216" s="1">
        <v>16009</v>
      </c>
      <c r="B216" cm="1">
        <f t="array" ref="B216">(PRODUCT(1+sp500_monthly!B217:B336)^(1/120)-1)*100</f>
        <v>1.0866389551196454</v>
      </c>
      <c r="C216" cm="1">
        <f t="array" ref="C216">(PRODUCT(1+sp500_monthly!C217:C336)^(1/120)-1)*100</f>
        <v>0.6024613015551461</v>
      </c>
      <c r="D216" cm="1">
        <f t="array" ref="D216">(PRODUCT(1+sp500_monthly!D217:D336)^(1/120)-1)*100</f>
        <v>1.1935018881086723</v>
      </c>
      <c r="E216" cm="1">
        <f t="array" ref="E216">(PRODUCT(1+sp500_monthly!E217:E336)^(1/120)-1)*100</f>
        <v>0.73603973415488078</v>
      </c>
      <c r="F216" cm="1">
        <f t="array" ref="F216">(PRODUCT(1+sp500_monthly!K217:K336)^(1/120)-1)*100</f>
        <v>0.60354915456981573</v>
      </c>
      <c r="G216" cm="1">
        <f t="array" ref="G216">(PRODUCT(1+sp500_monthly!L217:L336)^(1/120)-1)</f>
        <v>7.7453849144626163E-2</v>
      </c>
      <c r="H216" cm="1">
        <f t="array" ref="H216">(PRODUCT(1+sp500_monthly!N217:N336)^(1/120)-1)*100</f>
        <v>0</v>
      </c>
      <c r="I216" cm="1">
        <f t="array" ref="I216">(PRODUCT(1+sp500_monthly!O217:O336)^(1/120)-1)*100</f>
        <v>0</v>
      </c>
    </row>
    <row r="217" spans="1:9" x14ac:dyDescent="0.35">
      <c r="A217" s="1">
        <v>16040</v>
      </c>
      <c r="B217" cm="1">
        <f t="array" ref="B217">(PRODUCT(1+sp500_monthly!B218:B337)^(1/120)-1)*100</f>
        <v>1.1649194632771032</v>
      </c>
      <c r="C217" cm="1">
        <f t="array" ref="C217">(PRODUCT(1+sp500_monthly!C218:C337)^(1/120)-1)*100</f>
        <v>0.67878354086516879</v>
      </c>
      <c r="D217" cm="1">
        <f t="array" ref="D217">(PRODUCT(1+sp500_monthly!D218:D337)^(1/120)-1)*100</f>
        <v>1.3079538132601209</v>
      </c>
      <c r="E217" cm="1">
        <f t="array" ref="E217">(PRODUCT(1+sp500_monthly!E218:E337)^(1/120)-1)*100</f>
        <v>0.85229447544765691</v>
      </c>
      <c r="F217" cm="1">
        <f t="array" ref="F217">(PRODUCT(1+sp500_monthly!K218:K337)^(1/120)-1)*100</f>
        <v>0.67687437351884316</v>
      </c>
      <c r="G217" cm="1">
        <f t="array" ref="G217">(PRODUCT(1+sp500_monthly!L218:L337)^(1/120)-1)</f>
        <v>7.787954759146376E-2</v>
      </c>
      <c r="H217" cm="1">
        <f t="array" ref="H217">(PRODUCT(1+sp500_monthly!N218:N337)^(1/120)-1)*100</f>
        <v>0</v>
      </c>
      <c r="I217" cm="1">
        <f t="array" ref="I217">(PRODUCT(1+sp500_monthly!O218:O337)^(1/120)-1)*100</f>
        <v>0</v>
      </c>
    </row>
    <row r="218" spans="1:9" x14ac:dyDescent="0.35">
      <c r="A218" s="1">
        <v>16071</v>
      </c>
      <c r="B218" cm="1">
        <f t="array" ref="B218">(PRODUCT(1+sp500_monthly!B219:B338)^(1/120)-1)*100</f>
        <v>1.1090984769921652</v>
      </c>
      <c r="C218" cm="1">
        <f t="array" ref="C218">(PRODUCT(1+sp500_monthly!C219:C338)^(1/120)-1)*100</f>
        <v>0.62479844323211076</v>
      </c>
      <c r="D218" cm="1">
        <f t="array" ref="D218">(PRODUCT(1+sp500_monthly!D219:D338)^(1/120)-1)*100</f>
        <v>1.2178881192738356</v>
      </c>
      <c r="E218" cm="1">
        <f t="array" ref="E218">(PRODUCT(1+sp500_monthly!E219:E338)^(1/120)-1)*100</f>
        <v>0.76203254672890797</v>
      </c>
      <c r="F218" cm="1">
        <f t="array" ref="F218">(PRODUCT(1+sp500_monthly!K219:K338)^(1/120)-1)*100</f>
        <v>0.63049567819668528</v>
      </c>
      <c r="G218" cm="1">
        <f t="array" ref="G218">(PRODUCT(1+sp500_monthly!L219:L338)^(1/120)-1)</f>
        <v>7.871216115660018E-2</v>
      </c>
      <c r="H218" cm="1">
        <f t="array" ref="H218">(PRODUCT(1+sp500_monthly!N219:N338)^(1/120)-1)*100</f>
        <v>0</v>
      </c>
      <c r="I218" cm="1">
        <f t="array" ref="I218">(PRODUCT(1+sp500_monthly!O219:O338)^(1/120)-1)*100</f>
        <v>0</v>
      </c>
    </row>
    <row r="219" spans="1:9" x14ac:dyDescent="0.35">
      <c r="A219" s="1">
        <v>16102</v>
      </c>
      <c r="B219" cm="1">
        <f t="array" ref="B219">(PRODUCT(1+sp500_monthly!B220:B339)^(1/120)-1)*100</f>
        <v>1.1374584426353529</v>
      </c>
      <c r="C219" cm="1">
        <f t="array" ref="C219">(PRODUCT(1+sp500_monthly!C220:C339)^(1/120)-1)*100</f>
        <v>0.65338674244923567</v>
      </c>
      <c r="D219" cm="1">
        <f t="array" ref="D219">(PRODUCT(1+sp500_monthly!D220:D339)^(1/120)-1)*100</f>
        <v>1.2325607234026537</v>
      </c>
      <c r="E219" cm="1">
        <f t="array" ref="E219">(PRODUCT(1+sp500_monthly!E220:E339)^(1/120)-1)*100</f>
        <v>0.77688613782787019</v>
      </c>
      <c r="F219" cm="1">
        <f t="array" ref="F219">(PRODUCT(1+sp500_monthly!K220:K339)^(1/120)-1)*100</f>
        <v>0.65952811152354407</v>
      </c>
      <c r="G219" cm="1">
        <f t="array" ref="G219">(PRODUCT(1+sp500_monthly!L220:L339)^(1/120)-1)</f>
        <v>7.9384778922604315E-2</v>
      </c>
      <c r="H219" cm="1">
        <f t="array" ref="H219">(PRODUCT(1+sp500_monthly!N220:N339)^(1/120)-1)*100</f>
        <v>0</v>
      </c>
      <c r="I219" cm="1">
        <f t="array" ref="I219">(PRODUCT(1+sp500_monthly!O220:O339)^(1/120)-1)*100</f>
        <v>0</v>
      </c>
    </row>
    <row r="220" spans="1:9" x14ac:dyDescent="0.35">
      <c r="A220" s="1">
        <v>16131</v>
      </c>
      <c r="B220" cm="1">
        <f t="array" ref="B220">(PRODUCT(1+sp500_monthly!B221:B340)^(1/120)-1)*100</f>
        <v>1.1428316799880323</v>
      </c>
      <c r="C220" cm="1">
        <f t="array" ref="C220">(PRODUCT(1+sp500_monthly!C221:C340)^(1/120)-1)*100</f>
        <v>0.65515011109755772</v>
      </c>
      <c r="D220" cm="1">
        <f t="array" ref="D220">(PRODUCT(1+sp500_monthly!D221:D340)^(1/120)-1)*100</f>
        <v>1.2187701810768781</v>
      </c>
      <c r="E220" cm="1">
        <f t="array" ref="E220">(PRODUCT(1+sp500_monthly!E221:E340)^(1/120)-1)*100</f>
        <v>0.76018487878117824</v>
      </c>
      <c r="F220" cm="1">
        <f t="array" ref="F220">(PRODUCT(1+sp500_monthly!K221:K340)^(1/120)-1)*100</f>
        <v>0.66390321817424436</v>
      </c>
      <c r="G220" cm="1">
        <f t="array" ref="G220">(PRODUCT(1+sp500_monthly!L221:L340)^(1/120)-1)</f>
        <v>7.9727536616476025E-2</v>
      </c>
      <c r="H220" cm="1">
        <f t="array" ref="H220">(PRODUCT(1+sp500_monthly!N221:N340)^(1/120)-1)*100</f>
        <v>0</v>
      </c>
      <c r="I220" cm="1">
        <f t="array" ref="I220">(PRODUCT(1+sp500_monthly!O221:O340)^(1/120)-1)*100</f>
        <v>0</v>
      </c>
    </row>
    <row r="221" spans="1:9" x14ac:dyDescent="0.35">
      <c r="A221" s="1">
        <v>16162</v>
      </c>
      <c r="B221" cm="1">
        <f t="array" ref="B221">(PRODUCT(1+sp500_monthly!B222:B341)^(1/120)-1)*100</f>
        <v>1.1504043406680653</v>
      </c>
      <c r="C221" cm="1">
        <f t="array" ref="C221">(PRODUCT(1+sp500_monthly!C222:C341)^(1/120)-1)*100</f>
        <v>0.6642645584218787</v>
      </c>
      <c r="D221" cm="1">
        <f t="array" ref="D221">(PRODUCT(1+sp500_monthly!D222:D341)^(1/120)-1)*100</f>
        <v>1.2116496269845012</v>
      </c>
      <c r="E221" cm="1">
        <f t="array" ref="E221">(PRODUCT(1+sp500_monthly!E222:E341)^(1/120)-1)*100</f>
        <v>0.75340856471475259</v>
      </c>
      <c r="F221" cm="1">
        <f t="array" ref="F221">(PRODUCT(1+sp500_monthly!K222:K341)^(1/120)-1)*100</f>
        <v>0.67479582107077274</v>
      </c>
      <c r="G221" cm="1">
        <f t="array" ref="G221">(PRODUCT(1+sp500_monthly!L222:L341)^(1/120)-1)</f>
        <v>8.0241955065446735E-2</v>
      </c>
      <c r="H221" cm="1">
        <f t="array" ref="H221">(PRODUCT(1+sp500_monthly!N222:N341)^(1/120)-1)*100</f>
        <v>0</v>
      </c>
      <c r="I221" cm="1">
        <f t="array" ref="I221">(PRODUCT(1+sp500_monthly!O222:O341)^(1/120)-1)*100</f>
        <v>0</v>
      </c>
    </row>
    <row r="222" spans="1:9" x14ac:dyDescent="0.35">
      <c r="A222" s="1">
        <v>16191</v>
      </c>
      <c r="B222" cm="1">
        <f t="array" ref="B222">(PRODUCT(1+sp500_monthly!B223:B342)^(1/120)-1)*100</f>
        <v>1.2007644796083738</v>
      </c>
      <c r="C222" cm="1">
        <f t="array" ref="C222">(PRODUCT(1+sp500_monthly!C223:C342)^(1/120)-1)*100</f>
        <v>0.71426237945557691</v>
      </c>
      <c r="D222" cm="1">
        <f t="array" ref="D222">(PRODUCT(1+sp500_monthly!D223:D342)^(1/120)-1)*100</f>
        <v>1.255980685652025</v>
      </c>
      <c r="E222" cm="1">
        <f t="array" ref="E222">(PRODUCT(1+sp500_monthly!E223:E342)^(1/120)-1)*100</f>
        <v>0.79671577706308394</v>
      </c>
      <c r="F222" cm="1">
        <f t="array" ref="F222">(PRODUCT(1+sp500_monthly!K223:K342)^(1/120)-1)*100</f>
        <v>0.72547562999238924</v>
      </c>
      <c r="G222" cm="1">
        <f t="array" ref="G222">(PRODUCT(1+sp500_monthly!L223:L342)^(1/120)-1)</f>
        <v>8.0751759531240586E-2</v>
      </c>
      <c r="H222" cm="1">
        <f t="array" ref="H222">(PRODUCT(1+sp500_monthly!N223:N342)^(1/120)-1)*100</f>
        <v>0</v>
      </c>
      <c r="I222" cm="1">
        <f t="array" ref="I222">(PRODUCT(1+sp500_monthly!O223:O342)^(1/120)-1)*100</f>
        <v>0</v>
      </c>
    </row>
    <row r="223" spans="1:9" x14ac:dyDescent="0.35">
      <c r="A223" s="1">
        <v>16223</v>
      </c>
      <c r="B223" cm="1">
        <f t="array" ref="B223">(PRODUCT(1+sp500_monthly!B224:B343)^(1/120)-1)*100</f>
        <v>1.1958745783543723</v>
      </c>
      <c r="C223" cm="1">
        <f t="array" ref="C223">(PRODUCT(1+sp500_monthly!C224:C343)^(1/120)-1)*100</f>
        <v>0.70838966829975814</v>
      </c>
      <c r="D223" cm="1">
        <f t="array" ref="D223">(PRODUCT(1+sp500_monthly!D224:D343)^(1/120)-1)*100</f>
        <v>1.2487280126879163</v>
      </c>
      <c r="E223" cm="1">
        <f t="array" ref="E223">(PRODUCT(1+sp500_monthly!E224:E343)^(1/120)-1)*100</f>
        <v>0.78830662501108151</v>
      </c>
      <c r="F223" cm="1">
        <f t="array" ref="F223">(PRODUCT(1+sp500_monthly!K224:K343)^(1/120)-1)*100</f>
        <v>0.71937966944439768</v>
      </c>
      <c r="G223" cm="1">
        <f t="array" ref="G223">(PRODUCT(1+sp500_monthly!L224:L343)^(1/120)-1)</f>
        <v>8.0924976146182104E-2</v>
      </c>
      <c r="H223" cm="1">
        <f t="array" ref="H223">(PRODUCT(1+sp500_monthly!N224:N343)^(1/120)-1)*100</f>
        <v>0</v>
      </c>
      <c r="I223" cm="1">
        <f t="array" ref="I223">(PRODUCT(1+sp500_monthly!O224:O343)^(1/120)-1)*100</f>
        <v>0</v>
      </c>
    </row>
    <row r="224" spans="1:9" x14ac:dyDescent="0.35">
      <c r="A224" s="1">
        <v>16253</v>
      </c>
      <c r="B224" cm="1">
        <f t="array" ref="B224">(PRODUCT(1+sp500_monthly!B225:B344)^(1/120)-1)*100</f>
        <v>1.1531511689297336</v>
      </c>
      <c r="C224" cm="1">
        <f t="array" ref="C224">(PRODUCT(1+sp500_monthly!C225:C344)^(1/120)-1)*100</f>
        <v>0.66808389129187074</v>
      </c>
      <c r="D224" cm="1">
        <f t="array" ref="D224">(PRODUCT(1+sp500_monthly!D225:D344)^(1/120)-1)*100</f>
        <v>1.1972677713836255</v>
      </c>
      <c r="E224" cm="1">
        <f t="array" ref="E224">(PRODUCT(1+sp500_monthly!E225:E344)^(1/120)-1)*100</f>
        <v>0.73774933672776655</v>
      </c>
      <c r="F224" cm="1">
        <f t="array" ref="F224">(PRODUCT(1+sp500_monthly!K225:K344)^(1/120)-1)*100</f>
        <v>0.67820330981827048</v>
      </c>
      <c r="G224" cm="1">
        <f t="array" ref="G224">(PRODUCT(1+sp500_monthly!L225:L344)^(1/120)-1)</f>
        <v>8.1183619339555424E-2</v>
      </c>
      <c r="H224" cm="1">
        <f t="array" ref="H224">(PRODUCT(1+sp500_monthly!N225:N344)^(1/120)-1)*100</f>
        <v>0</v>
      </c>
      <c r="I224" cm="1">
        <f t="array" ref="I224">(PRODUCT(1+sp500_monthly!O225:O344)^(1/120)-1)*100</f>
        <v>0</v>
      </c>
    </row>
    <row r="225" spans="1:9" x14ac:dyDescent="0.35">
      <c r="A225" s="1">
        <v>16284</v>
      </c>
      <c r="B225" cm="1">
        <f t="array" ref="B225">(PRODUCT(1+sp500_monthly!B226:B345)^(1/120)-1)*100</f>
        <v>1.217829541046811</v>
      </c>
      <c r="C225" cm="1">
        <f t="array" ref="C225">(PRODUCT(1+sp500_monthly!C226:C345)^(1/120)-1)*100</f>
        <v>0.7327143471315356</v>
      </c>
      <c r="D225" cm="1">
        <f t="array" ref="D225">(PRODUCT(1+sp500_monthly!D226:D345)^(1/120)-1)*100</f>
        <v>1.2565353336448482</v>
      </c>
      <c r="E225" cm="1">
        <f t="array" ref="E225">(PRODUCT(1+sp500_monthly!E226:E345)^(1/120)-1)*100</f>
        <v>0.79669460819997706</v>
      </c>
      <c r="F225" cm="1">
        <f t="array" ref="F225">(PRODUCT(1+sp500_monthly!K226:K345)^(1/120)-1)*100</f>
        <v>0.74250502812855945</v>
      </c>
      <c r="G225" cm="1">
        <f t="array" ref="G225">(PRODUCT(1+sp500_monthly!L226:L345)^(1/120)-1)</f>
        <v>8.1356905170478555E-2</v>
      </c>
      <c r="H225" cm="1">
        <f t="array" ref="H225">(PRODUCT(1+sp500_monthly!N226:N345)^(1/120)-1)*100</f>
        <v>0</v>
      </c>
      <c r="I225" cm="1">
        <f t="array" ref="I225">(PRODUCT(1+sp500_monthly!O226:O345)^(1/120)-1)*100</f>
        <v>0</v>
      </c>
    </row>
    <row r="226" spans="1:9" x14ac:dyDescent="0.35">
      <c r="A226" s="1">
        <v>16315</v>
      </c>
      <c r="B226" cm="1">
        <f t="array" ref="B226">(PRODUCT(1+sp500_monthly!B227:B346)^(1/120)-1)*100</f>
        <v>1.1833975894201876</v>
      </c>
      <c r="C226" cm="1">
        <f t="array" ref="C226">(PRODUCT(1+sp500_monthly!C227:C346)^(1/120)-1)*100</f>
        <v>0.69616696590577565</v>
      </c>
      <c r="D226" cm="1">
        <f t="array" ref="D226">(PRODUCT(1+sp500_monthly!D227:D346)^(1/120)-1)*100</f>
        <v>1.2126688362994242</v>
      </c>
      <c r="E226" cm="1">
        <f t="array" ref="E226">(PRODUCT(1+sp500_monthly!E227:E346)^(1/120)-1)*100</f>
        <v>0.75077560277121425</v>
      </c>
      <c r="F226" cm="1">
        <f t="array" ref="F226">(PRODUCT(1+sp500_monthly!K227:K346)^(1/120)-1)*100</f>
        <v>0.70623392238828853</v>
      </c>
      <c r="G226" cm="1">
        <f t="array" ref="G226">(PRODUCT(1+sp500_monthly!L227:L346)^(1/120)-1)</f>
        <v>8.1530218774648278E-2</v>
      </c>
      <c r="H226" cm="1">
        <f t="array" ref="H226">(PRODUCT(1+sp500_monthly!N227:N346)^(1/120)-1)*100</f>
        <v>-2.1549995614877915E-2</v>
      </c>
      <c r="I226" cm="1">
        <f t="array" ref="I226">(PRODUCT(1+sp500_monthly!O227:O346)^(1/120)-1)*100</f>
        <v>7.2687362659973331E-4</v>
      </c>
    </row>
    <row r="227" spans="1:9" x14ac:dyDescent="0.35">
      <c r="A227" s="1">
        <v>16345</v>
      </c>
      <c r="B227" cm="1">
        <f t="array" ref="B227">(PRODUCT(1+sp500_monthly!B228:B347)^(1/120)-1)*100</f>
        <v>1.2508465012557535</v>
      </c>
      <c r="C227" cm="1">
        <f t="array" ref="C227">(PRODUCT(1+sp500_monthly!C228:C347)^(1/120)-1)*100</f>
        <v>0.76408072093365753</v>
      </c>
      <c r="D227" cm="1">
        <f t="array" ref="D227">(PRODUCT(1+sp500_monthly!D228:D347)^(1/120)-1)*100</f>
        <v>1.2584083736457252</v>
      </c>
      <c r="E227" cm="1">
        <f t="array" ref="E227">(PRODUCT(1+sp500_monthly!E228:E347)^(1/120)-1)*100</f>
        <v>0.79581561570214454</v>
      </c>
      <c r="F227" cm="1">
        <f t="array" ref="F227">(PRODUCT(1+sp500_monthly!K228:K347)^(1/120)-1)*100</f>
        <v>0.77590246400132123</v>
      </c>
      <c r="G227" cm="1">
        <f t="array" ref="G227">(PRODUCT(1+sp500_monthly!L228:L347)^(1/120)-1)</f>
        <v>8.2128606274749716E-2</v>
      </c>
      <c r="H227" cm="1">
        <f t="array" ref="H227">(PRODUCT(1+sp500_monthly!N228:N347)^(1/120)-1)*100</f>
        <v>4.5761524100051965E-2</v>
      </c>
      <c r="I227" cm="1">
        <f t="array" ref="I227">(PRODUCT(1+sp500_monthly!O228:O347)^(1/120)-1)*100</f>
        <v>2.7189612395117635E-3</v>
      </c>
    </row>
    <row r="228" spans="1:9" x14ac:dyDescent="0.35">
      <c r="A228" s="1">
        <v>16376</v>
      </c>
      <c r="B228" cm="1">
        <f t="array" ref="B228">(PRODUCT(1+sp500_monthly!B229:B348)^(1/120)-1)*100</f>
        <v>1.2335842124634011</v>
      </c>
      <c r="C228" cm="1">
        <f t="array" ref="C228">(PRODUCT(1+sp500_monthly!C229:C348)^(1/120)-1)*100</f>
        <v>0.74738908117586433</v>
      </c>
      <c r="D228" cm="1">
        <f t="array" ref="D228">(PRODUCT(1+sp500_monthly!D229:D348)^(1/120)-1)*100</f>
        <v>1.2575776234106995</v>
      </c>
      <c r="E228" cm="1">
        <f t="array" ref="E228">(PRODUCT(1+sp500_monthly!E229:E348)^(1/120)-1)*100</f>
        <v>0.79514831451816814</v>
      </c>
      <c r="F228" cm="1">
        <f t="array" ref="F228">(PRODUCT(1+sp500_monthly!K229:K348)^(1/120)-1)*100</f>
        <v>0.75936681978434617</v>
      </c>
      <c r="G228" cm="1">
        <f t="array" ref="G228">(PRODUCT(1+sp500_monthly!L229:L348)^(1/120)-1)</f>
        <v>8.2472235268600702E-2</v>
      </c>
      <c r="H228" cm="1">
        <f t="array" ref="H228">(PRODUCT(1+sp500_monthly!N229:N348)^(1/120)-1)*100</f>
        <v>3.3535063172296375E-2</v>
      </c>
      <c r="I228" cm="1">
        <f t="array" ref="I228">(PRODUCT(1+sp500_monthly!O229:O348)^(1/120)-1)*100</f>
        <v>6.1044094993301101E-3</v>
      </c>
    </row>
    <row r="229" spans="1:9" x14ac:dyDescent="0.35">
      <c r="A229" s="1">
        <v>16406</v>
      </c>
      <c r="B229" cm="1">
        <f t="array" ref="B229">(PRODUCT(1+sp500_monthly!B230:B349)^(1/120)-1)*100</f>
        <v>1.2962691946511784</v>
      </c>
      <c r="C229" cm="1">
        <f t="array" ref="C229">(PRODUCT(1+sp500_monthly!C230:C349)^(1/120)-1)*100</f>
        <v>0.80924508439372822</v>
      </c>
      <c r="D229" cm="1">
        <f t="array" ref="D229">(PRODUCT(1+sp500_monthly!D230:D349)^(1/120)-1)*100</f>
        <v>1.3332473834545056</v>
      </c>
      <c r="E229" cm="1">
        <f t="array" ref="E229">(PRODUCT(1+sp500_monthly!E230:E349)^(1/120)-1)*100</f>
        <v>0.87112523597245861</v>
      </c>
      <c r="F229" cm="1">
        <f t="array" ref="F229">(PRODUCT(1+sp500_monthly!K230:K349)^(1/120)-1)*100</f>
        <v>0.82135670483891587</v>
      </c>
      <c r="G229" cm="1">
        <f t="array" ref="G229">(PRODUCT(1+sp500_monthly!L230:L349)^(1/120)-1)</f>
        <v>8.2731248689371206E-2</v>
      </c>
      <c r="H229" cm="1">
        <f t="array" ref="H229">(PRODUCT(1+sp500_monthly!N230:N349)^(1/120)-1)*100</f>
        <v>0.10793595980924664</v>
      </c>
      <c r="I229" cm="1">
        <f t="array" ref="I229">(PRODUCT(1+sp500_monthly!O230:O349)^(1/120)-1)*100</f>
        <v>4.7350256844547189E-3</v>
      </c>
    </row>
    <row r="230" spans="1:9" x14ac:dyDescent="0.35">
      <c r="A230" s="1">
        <v>16436</v>
      </c>
      <c r="B230" cm="1">
        <f t="array" ref="B230">(PRODUCT(1+sp500_monthly!B231:B350)^(1/120)-1)*100</f>
        <v>1.3039183942079591</v>
      </c>
      <c r="C230" cm="1">
        <f t="array" ref="C230">(PRODUCT(1+sp500_monthly!C231:C350)^(1/120)-1)*100</f>
        <v>0.81833660759194071</v>
      </c>
      <c r="D230" cm="1">
        <f t="array" ref="D230">(PRODUCT(1+sp500_monthly!D231:D350)^(1/120)-1)*100</f>
        <v>1.332029361001652</v>
      </c>
      <c r="E230" cm="1">
        <f t="array" ref="E230">(PRODUCT(1+sp500_monthly!E231:E350)^(1/120)-1)*100</f>
        <v>0.87031391034799732</v>
      </c>
      <c r="F230" cm="1">
        <f t="array" ref="F230">(PRODUCT(1+sp500_monthly!K231:K350)^(1/120)-1)*100</f>
        <v>0.83404081818689857</v>
      </c>
      <c r="G230" cm="1">
        <f t="array" ref="G230">(PRODUCT(1+sp500_monthly!L231:L350)^(1/120)-1)</f>
        <v>8.3247098207619441E-2</v>
      </c>
      <c r="H230" cm="1">
        <f t="array" ref="H230">(PRODUCT(1+sp500_monthly!N231:N350)^(1/120)-1)*100</f>
        <v>0.15235965064706036</v>
      </c>
      <c r="I230" cm="1">
        <f t="array" ref="I230">(PRODUCT(1+sp500_monthly!O231:O350)^(1/120)-1)*100</f>
        <v>5.712712505978601E-3</v>
      </c>
    </row>
    <row r="231" spans="1:9" x14ac:dyDescent="0.35">
      <c r="A231" s="1">
        <v>16468</v>
      </c>
      <c r="B231" cm="1">
        <f t="array" ref="B231">(PRODUCT(1+sp500_monthly!B232:B351)^(1/120)-1)*100</f>
        <v>1.3090544908497703</v>
      </c>
      <c r="C231" cm="1">
        <f t="array" ref="C231">(PRODUCT(1+sp500_monthly!C232:C351)^(1/120)-1)*100</f>
        <v>0.82397570445620349</v>
      </c>
      <c r="D231" cm="1">
        <f t="array" ref="D231">(PRODUCT(1+sp500_monthly!D232:D351)^(1/120)-1)*100</f>
        <v>1.3157403880739604</v>
      </c>
      <c r="E231" cm="1">
        <f t="array" ref="E231">(PRODUCT(1+sp500_monthly!E232:E351)^(1/120)-1)*100</f>
        <v>0.85479122019991305</v>
      </c>
      <c r="F231" cm="1">
        <f t="array" ref="F231">(PRODUCT(1+sp500_monthly!K232:K351)^(1/120)-1)*100</f>
        <v>0.83714918325075161</v>
      </c>
      <c r="G231" cm="1">
        <f t="array" ref="G231">(PRODUCT(1+sp500_monthly!L232:L351)^(1/120)-1)</f>
        <v>8.3675085547972428E-2</v>
      </c>
      <c r="H231" cm="1">
        <f t="array" ref="H231">(PRODUCT(1+sp500_monthly!N232:N351)^(1/120)-1)*100</f>
        <v>0.16731232183795353</v>
      </c>
      <c r="I231" cm="1">
        <f t="array" ref="I231">(PRODUCT(1+sp500_monthly!O232:O351)^(1/120)-1)*100</f>
        <v>6.3791529382184464E-3</v>
      </c>
    </row>
    <row r="232" spans="1:9" x14ac:dyDescent="0.35">
      <c r="A232" s="1">
        <v>16496</v>
      </c>
      <c r="B232" cm="1">
        <f t="array" ref="B232">(PRODUCT(1+sp500_monthly!B233:B352)^(1/120)-1)*100</f>
        <v>1.2637037445320853</v>
      </c>
      <c r="C232" cm="1">
        <f t="array" ref="C232">(PRODUCT(1+sp500_monthly!C233:C352)^(1/120)-1)*100</f>
        <v>0.77676125663022066</v>
      </c>
      <c r="D232" cm="1">
        <f t="array" ref="D232">(PRODUCT(1+sp500_monthly!D233:D352)^(1/120)-1)*100</f>
        <v>1.2652606557970847</v>
      </c>
      <c r="E232" cm="1">
        <f t="array" ref="E232">(PRODUCT(1+sp500_monthly!E233:E352)^(1/120)-1)*100</f>
        <v>0.80322727948125561</v>
      </c>
      <c r="F232" cm="1">
        <f t="array" ref="F232">(PRODUCT(1+sp500_monthly!K233:K352)^(1/120)-1)*100</f>
        <v>0.78989163475458035</v>
      </c>
      <c r="G232" cm="1">
        <f t="array" ref="G232">(PRODUCT(1+sp500_monthly!L233:L352)^(1/120)-1)</f>
        <v>8.4274659756909287E-2</v>
      </c>
      <c r="H232" cm="1">
        <f t="array" ref="H232">(PRODUCT(1+sp500_monthly!N233:N352)^(1/120)-1)*100</f>
        <v>0.17697001807852608</v>
      </c>
      <c r="I232" cm="1">
        <f t="array" ref="I232">(PRODUCT(1+sp500_monthly!O233:O352)^(1/120)-1)*100</f>
        <v>5.5737505745723226E-3</v>
      </c>
    </row>
    <row r="233" spans="1:9" x14ac:dyDescent="0.35">
      <c r="A233" s="1">
        <v>16527</v>
      </c>
      <c r="B233" cm="1">
        <f t="array" ref="B233">(PRODUCT(1+sp500_monthly!B234:B353)^(1/120)-1)*100</f>
        <v>1.2977460762924498</v>
      </c>
      <c r="C233" cm="1">
        <f t="array" ref="C233">(PRODUCT(1+sp500_monthly!C234:C353)^(1/120)-1)*100</f>
        <v>0.81218634188859884</v>
      </c>
      <c r="D233" cm="1">
        <f t="array" ref="D233">(PRODUCT(1+sp500_monthly!D234:D353)^(1/120)-1)*100</f>
        <v>1.2939261346077924</v>
      </c>
      <c r="E233" cm="1">
        <f t="array" ref="E233">(PRODUCT(1+sp500_monthly!E234:E353)^(1/120)-1)*100</f>
        <v>0.8315526209734081</v>
      </c>
      <c r="F233" cm="1">
        <f t="array" ref="F233">(PRODUCT(1+sp500_monthly!K234:K353)^(1/120)-1)*100</f>
        <v>0.82546331741200074</v>
      </c>
      <c r="G233" cm="1">
        <f t="array" ref="G233">(PRODUCT(1+sp500_monthly!L234:L353)^(1/120)-1)</f>
        <v>8.4957132165353721E-2</v>
      </c>
      <c r="H233" cm="1">
        <f t="array" ref="H233">(PRODUCT(1+sp500_monthly!N234:N353)^(1/120)-1)*100</f>
        <v>0.17603059395694398</v>
      </c>
      <c r="I233" cm="1">
        <f t="array" ref="I233">(PRODUCT(1+sp500_monthly!O234:O353)^(1/120)-1)*100</f>
        <v>7.339443429255077E-3</v>
      </c>
    </row>
    <row r="234" spans="1:9" x14ac:dyDescent="0.35">
      <c r="A234" s="1">
        <v>16557</v>
      </c>
      <c r="B234" cm="1">
        <f t="array" ref="B234">(PRODUCT(1+sp500_monthly!B235:B354)^(1/120)-1)*100</f>
        <v>1.2575822463087416</v>
      </c>
      <c r="C234" cm="1">
        <f t="array" ref="C234">(PRODUCT(1+sp500_monthly!C235:C354)^(1/120)-1)*100</f>
        <v>0.77225689283415555</v>
      </c>
      <c r="D234" cm="1">
        <f t="array" ref="D234">(PRODUCT(1+sp500_monthly!D235:D354)^(1/120)-1)*100</f>
        <v>1.2314983777217847</v>
      </c>
      <c r="E234" cm="1">
        <f t="array" ref="E234">(PRODUCT(1+sp500_monthly!E235:E354)^(1/120)-1)*100</f>
        <v>0.76918257472902152</v>
      </c>
      <c r="F234" cm="1">
        <f t="array" ref="F234">(PRODUCT(1+sp500_monthly!K235:K354)^(1/120)-1)*100</f>
        <v>0.78573899935192593</v>
      </c>
      <c r="G234" cm="1">
        <f t="array" ref="G234">(PRODUCT(1+sp500_monthly!L235:L354)^(1/120)-1)</f>
        <v>8.5551773611172832E-2</v>
      </c>
      <c r="H234" cm="1">
        <f t="array" ref="H234">(PRODUCT(1+sp500_monthly!N235:N354)^(1/120)-1)*100</f>
        <v>0.2086513331135853</v>
      </c>
      <c r="I234" cm="1">
        <f t="array" ref="I234">(PRODUCT(1+sp500_monthly!O235:O354)^(1/120)-1)*100</f>
        <v>8.1724249739734134E-3</v>
      </c>
    </row>
    <row r="235" spans="1:9" x14ac:dyDescent="0.35">
      <c r="A235" s="1">
        <v>16588</v>
      </c>
      <c r="B235" cm="1">
        <f t="array" ref="B235">(PRODUCT(1+sp500_monthly!B236:B355)^(1/120)-1)*100</f>
        <v>1.2462501099263168</v>
      </c>
      <c r="C235" cm="1">
        <f t="array" ref="C235">(PRODUCT(1+sp500_monthly!C236:C355)^(1/120)-1)*100</f>
        <v>0.76164399584079945</v>
      </c>
      <c r="D235" cm="1">
        <f t="array" ref="D235">(PRODUCT(1+sp500_monthly!D236:D355)^(1/120)-1)*100</f>
        <v>1.2156177880768615</v>
      </c>
      <c r="E235" cm="1">
        <f t="array" ref="E235">(PRODUCT(1+sp500_monthly!E236:E355)^(1/120)-1)*100</f>
        <v>0.75328974496455814</v>
      </c>
      <c r="F235" cm="1">
        <f t="array" ref="F235">(PRODUCT(1+sp500_monthly!K236:K355)^(1/120)-1)*100</f>
        <v>0.77506572912915406</v>
      </c>
      <c r="G235" cm="1">
        <f t="array" ref="G235">(PRODUCT(1+sp500_monthly!L236:L355)^(1/120)-1)</f>
        <v>8.647008141102086E-2</v>
      </c>
      <c r="H235" cm="1">
        <f t="array" ref="H235">(PRODUCT(1+sp500_monthly!N236:N355)^(1/120)-1)*100</f>
        <v>0.21462997846133369</v>
      </c>
      <c r="I235" cm="1">
        <f t="array" ref="I235">(PRODUCT(1+sp500_monthly!O236:O355)^(1/120)-1)*100</f>
        <v>9.9607928851996874E-3</v>
      </c>
    </row>
    <row r="236" spans="1:9" x14ac:dyDescent="0.35">
      <c r="A236" s="1">
        <v>16618</v>
      </c>
      <c r="B236" cm="1">
        <f t="array" ref="B236">(PRODUCT(1+sp500_monthly!B237:B356)^(1/120)-1)*100</f>
        <v>1.3102130912440835</v>
      </c>
      <c r="C236" cm="1">
        <f t="array" ref="C236">(PRODUCT(1+sp500_monthly!C237:C356)^(1/120)-1)*100</f>
        <v>0.82612035604647804</v>
      </c>
      <c r="D236" cm="1">
        <f t="array" ref="D236">(PRODUCT(1+sp500_monthly!D237:D356)^(1/120)-1)*100</f>
        <v>1.2029275551630247</v>
      </c>
      <c r="E236" cm="1">
        <f t="array" ref="E236">(PRODUCT(1+sp500_monthly!E237:E356)^(1/120)-1)*100</f>
        <v>0.73998505698613659</v>
      </c>
      <c r="F236" cm="1">
        <f t="array" ref="F236">(PRODUCT(1+sp500_monthly!K237:K356)^(1/120)-1)*100</f>
        <v>0.84430935235166871</v>
      </c>
      <c r="G236" cm="1">
        <f t="array" ref="G236">(PRODUCT(1+sp500_monthly!L237:L356)^(1/120)-1)</f>
        <v>8.7153935678471628E-2</v>
      </c>
      <c r="H236" cm="1">
        <f t="array" ref="H236">(PRODUCT(1+sp500_monthly!N237:N356)^(1/120)-1)*100</f>
        <v>0.28180283999901246</v>
      </c>
      <c r="I236" cm="1">
        <f t="array" ref="I236">(PRODUCT(1+sp500_monthly!O237:O356)^(1/120)-1)*100</f>
        <v>1.2663874251583884E-2</v>
      </c>
    </row>
    <row r="237" spans="1:9" x14ac:dyDescent="0.35">
      <c r="A237" s="1">
        <v>16649</v>
      </c>
      <c r="B237" cm="1">
        <f t="array" ref="B237">(PRODUCT(1+sp500_monthly!B238:B357)^(1/120)-1)*100</f>
        <v>1.3759341006609027</v>
      </c>
      <c r="C237" cm="1">
        <f t="array" ref="C237">(PRODUCT(1+sp500_monthly!C238:C357)^(1/120)-1)*100</f>
        <v>0.89187583291541195</v>
      </c>
      <c r="D237" cm="1">
        <f t="array" ref="D237">(PRODUCT(1+sp500_monthly!D238:D357)^(1/120)-1)*100</f>
        <v>1.2356070590941348</v>
      </c>
      <c r="E237" cm="1">
        <f t="array" ref="E237">(PRODUCT(1+sp500_monthly!E238:E357)^(1/120)-1)*100</f>
        <v>0.77230764962457066</v>
      </c>
      <c r="F237" cm="1">
        <f t="array" ref="F237">(PRODUCT(1+sp500_monthly!K238:K357)^(1/120)-1)*100</f>
        <v>0.91086636637625062</v>
      </c>
      <c r="G237" cm="1">
        <f t="array" ref="G237">(PRODUCT(1+sp500_monthly!L238:L357)^(1/120)-1)</f>
        <v>8.7749781144595529E-2</v>
      </c>
      <c r="H237" cm="1">
        <f t="array" ref="H237">(PRODUCT(1+sp500_monthly!N238:N357)^(1/120)-1)*100</f>
        <v>0.32708651430357616</v>
      </c>
      <c r="I237" cm="1">
        <f t="array" ref="I237">(PRODUCT(1+sp500_monthly!O238:O357)^(1/120)-1)*100</f>
        <v>1.1938195158966991E-2</v>
      </c>
    </row>
    <row r="238" spans="1:9" x14ac:dyDescent="0.35">
      <c r="A238" s="1">
        <v>16680</v>
      </c>
      <c r="B238" cm="1">
        <f t="array" ref="B238">(PRODUCT(1+sp500_monthly!B239:B358)^(1/120)-1)*100</f>
        <v>1.3262910718323528</v>
      </c>
      <c r="C238" cm="1">
        <f t="array" ref="C238">(PRODUCT(1+sp500_monthly!C239:C358)^(1/120)-1)*100</f>
        <v>0.84063089187913498</v>
      </c>
      <c r="D238" cm="1">
        <f t="array" ref="D238">(PRODUCT(1+sp500_monthly!D239:D358)^(1/120)-1)*100</f>
        <v>1.2018009407470664</v>
      </c>
      <c r="E238" cm="1">
        <f t="array" ref="E238">(PRODUCT(1+sp500_monthly!E239:E358)^(1/120)-1)*100</f>
        <v>0.73761396238183341</v>
      </c>
      <c r="F238" cm="1">
        <f t="array" ref="F238">(PRODUCT(1+sp500_monthly!K239:K358)^(1/120)-1)*100</f>
        <v>0.85688840177113867</v>
      </c>
      <c r="G238" cm="1">
        <f t="array" ref="G238">(PRODUCT(1+sp500_monthly!L239:L358)^(1/120)-1)</f>
        <v>8.8827741983768638E-2</v>
      </c>
      <c r="H238" cm="1">
        <f t="array" ref="H238">(PRODUCT(1+sp500_monthly!N239:N358)^(1/120)-1)*100</f>
        <v>0.32779522446049203</v>
      </c>
      <c r="I238" cm="1">
        <f t="array" ref="I238">(PRODUCT(1+sp500_monthly!O239:O358)^(1/120)-1)*100</f>
        <v>1.4517376244982394E-2</v>
      </c>
    </row>
    <row r="239" spans="1:9" x14ac:dyDescent="0.35">
      <c r="A239" s="1">
        <v>16709</v>
      </c>
      <c r="B239" cm="1">
        <f t="array" ref="B239">(PRODUCT(1+sp500_monthly!B240:B359)^(1/120)-1)*100</f>
        <v>1.2975052868345216</v>
      </c>
      <c r="C239" cm="1">
        <f t="array" ref="C239">(PRODUCT(1+sp500_monthly!C240:C359)^(1/120)-1)*100</f>
        <v>0.81290994455482934</v>
      </c>
      <c r="D239" cm="1">
        <f t="array" ref="D239">(PRODUCT(1+sp500_monthly!D240:D359)^(1/120)-1)*100</f>
        <v>1.1249490115708749</v>
      </c>
      <c r="E239" cm="1">
        <f t="array" ref="E239">(PRODUCT(1+sp500_monthly!E240:E359)^(1/120)-1)*100</f>
        <v>0.66038357691962091</v>
      </c>
      <c r="F239" cm="1">
        <f t="array" ref="F239">(PRODUCT(1+sp500_monthly!K240:K359)^(1/120)-1)*100</f>
        <v>0.83187096749446354</v>
      </c>
      <c r="G239" cm="1">
        <f t="array" ref="G239">(PRODUCT(1+sp500_monthly!L240:L359)^(1/120)-1)</f>
        <v>8.9906771082931991E-2</v>
      </c>
      <c r="H239" cm="1">
        <f t="array" ref="H239">(PRODUCT(1+sp500_monthly!N240:N359)^(1/120)-1)*100</f>
        <v>0.33312052769454148</v>
      </c>
      <c r="I239" cm="1">
        <f t="array" ref="I239">(PRODUCT(1+sp500_monthly!O240:O359)^(1/120)-1)*100</f>
        <v>1.1804726843345215E-2</v>
      </c>
    </row>
    <row r="240" spans="1:9" x14ac:dyDescent="0.35">
      <c r="A240" s="1">
        <v>16741</v>
      </c>
      <c r="B240" cm="1">
        <f t="array" ref="B240">(PRODUCT(1+sp500_monthly!B241:B360)^(1/120)-1)*100</f>
        <v>1.2457794888260709</v>
      </c>
      <c r="C240" cm="1">
        <f t="array" ref="C240">(PRODUCT(1+sp500_monthly!C241:C360)^(1/120)-1)*100</f>
        <v>0.76174737498291289</v>
      </c>
      <c r="D240" cm="1">
        <f t="array" ref="D240">(PRODUCT(1+sp500_monthly!D241:D360)^(1/120)-1)*100</f>
        <v>1.0582859916544507</v>
      </c>
      <c r="E240" cm="1">
        <f t="array" ref="E240">(PRODUCT(1+sp500_monthly!E241:E360)^(1/120)-1)*100</f>
        <v>0.59385703765408859</v>
      </c>
      <c r="F240" cm="1">
        <f t="array" ref="F240">(PRODUCT(1+sp500_monthly!K241:K360)^(1/120)-1)*100</f>
        <v>0.78079509129163061</v>
      </c>
      <c r="G240" cm="1">
        <f t="array" ref="G240">(PRODUCT(1+sp500_monthly!L241:L360)^(1/120)-1)</f>
        <v>9.1142295590444622E-2</v>
      </c>
      <c r="H240" cm="1">
        <f t="array" ref="H240">(PRODUCT(1+sp500_monthly!N241:N360)^(1/120)-1)*100</f>
        <v>0.30818762245217179</v>
      </c>
      <c r="I240" cm="1">
        <f t="array" ref="I240">(PRODUCT(1+sp500_monthly!O241:O360)^(1/120)-1)*100</f>
        <v>1.4235314133914656E-2</v>
      </c>
    </row>
    <row r="241" spans="1:9" x14ac:dyDescent="0.35">
      <c r="A241" s="1">
        <v>16771</v>
      </c>
      <c r="B241" cm="1">
        <f t="array" ref="B241">(PRODUCT(1+sp500_monthly!B242:B361)^(1/120)-1)*100</f>
        <v>1.279712003847866</v>
      </c>
      <c r="C241" cm="1">
        <f t="array" ref="C241">(PRODUCT(1+sp500_monthly!C242:C361)^(1/120)-1)*100</f>
        <v>0.79319284061303286</v>
      </c>
      <c r="D241" cm="1">
        <f t="array" ref="D241">(PRODUCT(1+sp500_monthly!D242:D361)^(1/120)-1)*100</f>
        <v>1.0559713615122757</v>
      </c>
      <c r="E241" cm="1">
        <f t="array" ref="E241">(PRODUCT(1+sp500_monthly!E242:E361)^(1/120)-1)*100</f>
        <v>0.59046223913614693</v>
      </c>
      <c r="F241" cm="1">
        <f t="array" ref="F241">(PRODUCT(1+sp500_monthly!K242:K361)^(1/120)-1)*100</f>
        <v>0.81463165690947026</v>
      </c>
      <c r="G241" cm="1">
        <f t="array" ref="G241">(PRODUCT(1+sp500_monthly!L242:L361)^(1/120)-1)</f>
        <v>9.2390558606369355E-2</v>
      </c>
      <c r="H241" cm="1">
        <f t="array" ref="H241">(PRODUCT(1+sp500_monthly!N242:N361)^(1/120)-1)*100</f>
        <v>0.37670951463912861</v>
      </c>
      <c r="I241" cm="1">
        <f t="array" ref="I241">(PRODUCT(1+sp500_monthly!O242:O361)^(1/120)-1)*100</f>
        <v>1.378851723301544E-2</v>
      </c>
    </row>
    <row r="242" spans="1:9" x14ac:dyDescent="0.35">
      <c r="A242" s="1">
        <v>16802</v>
      </c>
      <c r="B242" cm="1">
        <f t="array" ref="B242">(PRODUCT(1+sp500_monthly!B243:B362)^(1/120)-1)*100</f>
        <v>1.2701073175576783</v>
      </c>
      <c r="C242" cm="1">
        <f t="array" ref="C242">(PRODUCT(1+sp500_monthly!C243:C362)^(1/120)-1)*100</f>
        <v>0.78441339402004484</v>
      </c>
      <c r="D242" cm="1">
        <f t="array" ref="D242">(PRODUCT(1+sp500_monthly!D243:D362)^(1/120)-1)*100</f>
        <v>1.0538474488439142</v>
      </c>
      <c r="E242" cm="1">
        <f t="array" ref="E242">(PRODUCT(1+sp500_monthly!E243:E362)^(1/120)-1)*100</f>
        <v>0.58791737630026208</v>
      </c>
      <c r="F242" cm="1">
        <f t="array" ref="F242">(PRODUCT(1+sp500_monthly!K243:K362)^(1/120)-1)*100</f>
        <v>0.80581106408668113</v>
      </c>
      <c r="G242" cm="1">
        <f t="array" ref="G242">(PRODUCT(1+sp500_monthly!L243:L362)^(1/120)-1)</f>
        <v>9.3628898749529066E-2</v>
      </c>
      <c r="H242" cm="1">
        <f t="array" ref="H242">(PRODUCT(1+sp500_monthly!N243:N362)^(1/120)-1)*100</f>
        <v>0.37676225029861232</v>
      </c>
      <c r="I242" cm="1">
        <f t="array" ref="I242">(PRODUCT(1+sp500_monthly!O243:O362)^(1/120)-1)*100</f>
        <v>1.5597512130582913E-2</v>
      </c>
    </row>
    <row r="243" spans="1:9" x14ac:dyDescent="0.35">
      <c r="A243" s="1">
        <v>16833</v>
      </c>
      <c r="B243" cm="1">
        <f t="array" ref="B243">(PRODUCT(1+sp500_monthly!B244:B363)^(1/120)-1)*100</f>
        <v>1.1833212435717444</v>
      </c>
      <c r="C243" cm="1">
        <f t="array" ref="C243">(PRODUCT(1+sp500_monthly!C244:C363)^(1/120)-1)*100</f>
        <v>0.69775652303347702</v>
      </c>
      <c r="D243" cm="1">
        <f t="array" ref="D243">(PRODUCT(1+sp500_monthly!D244:D363)^(1/120)-1)*100</f>
        <v>0.95385895409272337</v>
      </c>
      <c r="E243" cm="1">
        <f t="array" ref="E243">(PRODUCT(1+sp500_monthly!E244:E363)^(1/120)-1)*100</f>
        <v>0.48792045005410234</v>
      </c>
      <c r="F243" cm="1">
        <f t="array" ref="F243">(PRODUCT(1+sp500_monthly!K244:K363)^(1/120)-1)*100</f>
        <v>0.71801299506122351</v>
      </c>
      <c r="G243" cm="1">
        <f t="array" ref="G243">(PRODUCT(1+sp500_monthly!L244:L363)^(1/120)-1)</f>
        <v>9.5172843277568031E-2</v>
      </c>
      <c r="H243" cm="1">
        <f t="array" ref="H243">(PRODUCT(1+sp500_monthly!N244:N363)^(1/120)-1)*100</f>
        <v>0.34816188561306305</v>
      </c>
      <c r="I243" cm="1">
        <f t="array" ref="I243">(PRODUCT(1+sp500_monthly!O244:O363)^(1/120)-1)*100</f>
        <v>1.8670823404232095E-2</v>
      </c>
    </row>
    <row r="244" spans="1:9" x14ac:dyDescent="0.35">
      <c r="A244" s="1">
        <v>16861</v>
      </c>
      <c r="B244" cm="1">
        <f t="array" ref="B244">(PRODUCT(1+sp500_monthly!B245:B364)^(1/120)-1)*100</f>
        <v>1.2743890227874033</v>
      </c>
      <c r="C244" cm="1">
        <f t="array" ref="C244">(PRODUCT(1+sp500_monthly!C245:C364)^(1/120)-1)*100</f>
        <v>0.78692789186602941</v>
      </c>
      <c r="D244" cm="1">
        <f t="array" ref="D244">(PRODUCT(1+sp500_monthly!D245:D364)^(1/120)-1)*100</f>
        <v>1.0461037948428675</v>
      </c>
      <c r="E244" cm="1">
        <f t="array" ref="E244">(PRODUCT(1+sp500_monthly!E245:E364)^(1/120)-1)*100</f>
        <v>0.57764712343357782</v>
      </c>
      <c r="F244" cm="1">
        <f t="array" ref="F244">(PRODUCT(1+sp500_monthly!K245:K364)^(1/120)-1)*100</f>
        <v>0.80710111604986867</v>
      </c>
      <c r="G244" cm="1">
        <f t="array" ref="G244">(PRODUCT(1+sp500_monthly!L245:L364)^(1/120)-1)</f>
        <v>9.6491444283758332E-2</v>
      </c>
      <c r="H244" cm="1">
        <f t="array" ref="H244">(PRODUCT(1+sp500_monthly!N245:N364)^(1/120)-1)*100</f>
        <v>0.38115304823831408</v>
      </c>
      <c r="I244" cm="1">
        <f t="array" ref="I244">(PRODUCT(1+sp500_monthly!O245:O364)^(1/120)-1)*100</f>
        <v>1.9321505840075304E-2</v>
      </c>
    </row>
    <row r="245" spans="1:9" x14ac:dyDescent="0.35">
      <c r="A245" s="1">
        <v>16891</v>
      </c>
      <c r="B245" cm="1">
        <f t="array" ref="B245">(PRODUCT(1+sp500_monthly!B246:B365)^(1/120)-1)*100</f>
        <v>1.2912824362640185</v>
      </c>
      <c r="C245" cm="1">
        <f t="array" ref="C245">(PRODUCT(1+sp500_monthly!C246:C365)^(1/120)-1)*100</f>
        <v>0.80525693136621612</v>
      </c>
      <c r="D245" cm="1">
        <f t="array" ref="D245">(PRODUCT(1+sp500_monthly!D246:D365)^(1/120)-1)*100</f>
        <v>1.0487933206670963</v>
      </c>
      <c r="E245" cm="1">
        <f t="array" ref="E245">(PRODUCT(1+sp500_monthly!E246:E365)^(1/120)-1)*100</f>
        <v>0.58012953315353943</v>
      </c>
      <c r="F245" cm="1">
        <f t="array" ref="F245">(PRODUCT(1+sp500_monthly!K246:K365)^(1/120)-1)*100</f>
        <v>0.82533695187563261</v>
      </c>
      <c r="G245" cm="1">
        <f t="array" ref="G245">(PRODUCT(1+sp500_monthly!L246:L365)^(1/120)-1)</f>
        <v>9.7498880142847799E-2</v>
      </c>
      <c r="H245" cm="1">
        <f t="array" ref="H245">(PRODUCT(1+sp500_monthly!N246:N365)^(1/120)-1)*100</f>
        <v>0.43708834421605225</v>
      </c>
      <c r="I245" cm="1">
        <f t="array" ref="I245">(PRODUCT(1+sp500_monthly!O246:O365)^(1/120)-1)*100</f>
        <v>1.964039873305623E-2</v>
      </c>
    </row>
    <row r="246" spans="1:9" x14ac:dyDescent="0.35">
      <c r="A246" s="1">
        <v>16922</v>
      </c>
      <c r="B246" cm="1">
        <f t="array" ref="B246">(PRODUCT(1+sp500_monthly!B247:B366)^(1/120)-1)*100</f>
        <v>1.2611012249199582</v>
      </c>
      <c r="C246" cm="1">
        <f t="array" ref="C246">(PRODUCT(1+sp500_monthly!C247:C366)^(1/120)-1)*100</f>
        <v>0.77540257458761364</v>
      </c>
      <c r="D246" cm="1">
        <f t="array" ref="D246">(PRODUCT(1+sp500_monthly!D247:D366)^(1/120)-1)*100</f>
        <v>1.0202404962436296</v>
      </c>
      <c r="E246" cm="1">
        <f t="array" ref="E246">(PRODUCT(1+sp500_monthly!E247:E366)^(1/120)-1)*100</f>
        <v>0.55134761156279133</v>
      </c>
      <c r="F246" cm="1">
        <f t="array" ref="F246">(PRODUCT(1+sp500_monthly!K247:K366)^(1/120)-1)*100</f>
        <v>0.79258572830256391</v>
      </c>
      <c r="G246" cm="1">
        <f t="array" ref="G246">(PRODUCT(1+sp500_monthly!L247:L366)^(1/120)-1)</f>
        <v>9.8820281724828263E-2</v>
      </c>
      <c r="H246" cm="1">
        <f t="array" ref="H246">(PRODUCT(1+sp500_monthly!N247:N366)^(1/120)-1)*100</f>
        <v>0.43531092519839554</v>
      </c>
      <c r="I246" cm="1">
        <f t="array" ref="I246">(PRODUCT(1+sp500_monthly!O247:O366)^(1/120)-1)*100</f>
        <v>1.9983600665041124E-2</v>
      </c>
    </row>
    <row r="247" spans="1:9" x14ac:dyDescent="0.35">
      <c r="A247" s="1">
        <v>16953</v>
      </c>
      <c r="B247" cm="1">
        <f t="array" ref="B247">(PRODUCT(1+sp500_monthly!B248:B367)^(1/120)-1)*100</f>
        <v>1.1863912829871426</v>
      </c>
      <c r="C247" cm="1">
        <f t="array" ref="C247">(PRODUCT(1+sp500_monthly!C248:C367)^(1/120)-1)*100</f>
        <v>0.69885069711497216</v>
      </c>
      <c r="D247" cm="1">
        <f t="array" ref="D247">(PRODUCT(1+sp500_monthly!D248:D367)^(1/120)-1)*100</f>
        <v>0.94555331615187033</v>
      </c>
      <c r="E247" cm="1">
        <f t="array" ref="E247">(PRODUCT(1+sp500_monthly!E248:E367)^(1/120)-1)*100</f>
        <v>0.47517553577922644</v>
      </c>
      <c r="F247" cm="1">
        <f t="array" ref="F247">(PRODUCT(1+sp500_monthly!K248:K367)^(1/120)-1)*100</f>
        <v>0.71690978893550472</v>
      </c>
      <c r="G247" cm="1">
        <f t="array" ref="G247">(PRODUCT(1+sp500_monthly!L248:L367)^(1/120)-1)</f>
        <v>0.10044641342362359</v>
      </c>
      <c r="H247" cm="1">
        <f t="array" ref="H247">(PRODUCT(1+sp500_monthly!N248:N367)^(1/120)-1)*100</f>
        <v>0.38184666761824637</v>
      </c>
      <c r="I247" cm="1">
        <f t="array" ref="I247">(PRODUCT(1+sp500_monthly!O248:O367)^(1/120)-1)*100</f>
        <v>1.8809127557339878E-2</v>
      </c>
    </row>
    <row r="248" spans="1:9" x14ac:dyDescent="0.35">
      <c r="A248" s="1">
        <v>16981</v>
      </c>
      <c r="B248" cm="1">
        <f t="array" ref="B248">(PRODUCT(1+sp500_monthly!B249:B368)^(1/120)-1)*100</f>
        <v>1.2488921549743681</v>
      </c>
      <c r="C248" cm="1">
        <f t="array" ref="C248">(PRODUCT(1+sp500_monthly!C249:C368)^(1/120)-1)*100</f>
        <v>0.76206703465804271</v>
      </c>
      <c r="D248" cm="1">
        <f t="array" ref="D248">(PRODUCT(1+sp500_monthly!D249:D368)^(1/120)-1)*100</f>
        <v>1.0007297702493201</v>
      </c>
      <c r="E248" cm="1">
        <f t="array" ref="E248">(PRODUCT(1+sp500_monthly!E249:E368)^(1/120)-1)*100</f>
        <v>0.52984763124821477</v>
      </c>
      <c r="F248" cm="1">
        <f t="array" ref="F248">(PRODUCT(1+sp500_monthly!K249:K368)^(1/120)-1)*100</f>
        <v>0.7826488395699549</v>
      </c>
      <c r="G248" cm="1">
        <f t="array" ref="G248">(PRODUCT(1+sp500_monthly!L249:L368)^(1/120)-1)</f>
        <v>0.10184819903154141</v>
      </c>
      <c r="H248" cm="1">
        <f t="array" ref="H248">(PRODUCT(1+sp500_monthly!N249:N368)^(1/120)-1)*100</f>
        <v>0.41007667367787271</v>
      </c>
      <c r="I248" cm="1">
        <f t="array" ref="I248">(PRODUCT(1+sp500_monthly!O249:O368)^(1/120)-1)*100</f>
        <v>1.6782364086487256E-2</v>
      </c>
    </row>
    <row r="249" spans="1:9" x14ac:dyDescent="0.35">
      <c r="A249" s="1">
        <v>17014</v>
      </c>
      <c r="B249" cm="1">
        <f t="array" ref="B249">(PRODUCT(1+sp500_monthly!B250:B369)^(1/120)-1)*100</f>
        <v>1.3146233913029048</v>
      </c>
      <c r="C249" cm="1">
        <f t="array" ref="C249">(PRODUCT(1+sp500_monthly!C250:C369)^(1/120)-1)*100</f>
        <v>0.82776889284357225</v>
      </c>
      <c r="D249" cm="1">
        <f t="array" ref="D249">(PRODUCT(1+sp500_monthly!D250:D369)^(1/120)-1)*100</f>
        <v>1.0700240225621549</v>
      </c>
      <c r="E249" cm="1">
        <f t="array" ref="E249">(PRODUCT(1+sp500_monthly!E250:E369)^(1/120)-1)*100</f>
        <v>0.59858610272176538</v>
      </c>
      <c r="F249" cm="1">
        <f t="array" ref="F249">(PRODUCT(1+sp500_monthly!K250:K369)^(1/120)-1)*100</f>
        <v>0.84655811366933786</v>
      </c>
      <c r="G249" cm="1">
        <f t="array" ref="G249">(PRODUCT(1+sp500_monthly!L250:L369)^(1/120)-1)</f>
        <v>0.10340374726144774</v>
      </c>
      <c r="H249" cm="1">
        <f t="array" ref="H249">(PRODUCT(1+sp500_monthly!N250:N369)^(1/120)-1)*100</f>
        <v>0.44774169937102926</v>
      </c>
      <c r="I249" cm="1">
        <f t="array" ref="I249">(PRODUCT(1+sp500_monthly!O250:O369)^(1/120)-1)*100</f>
        <v>1.4327228257271507E-2</v>
      </c>
    </row>
    <row r="250" spans="1:9" x14ac:dyDescent="0.35">
      <c r="A250" s="1">
        <v>17044</v>
      </c>
      <c r="B250" cm="1">
        <f t="array" ref="B250">(PRODUCT(1+sp500_monthly!B251:B370)^(1/120)-1)*100</f>
        <v>1.3467137113822636</v>
      </c>
      <c r="C250" cm="1">
        <f t="array" ref="C250">(PRODUCT(1+sp500_monthly!C251:C370)^(1/120)-1)*100</f>
        <v>0.85751624474461607</v>
      </c>
      <c r="D250" cm="1">
        <f t="array" ref="D250">(PRODUCT(1+sp500_monthly!D251:D370)^(1/120)-1)*100</f>
        <v>1.1087340167693416</v>
      </c>
      <c r="E250" cm="1">
        <f t="array" ref="E250">(PRODUCT(1+sp500_monthly!E251:E370)^(1/120)-1)*100</f>
        <v>0.63583209656687956</v>
      </c>
      <c r="F250" cm="1">
        <f t="array" ref="F250">(PRODUCT(1+sp500_monthly!K251:K370)^(1/120)-1)*100</f>
        <v>0.87759810864909138</v>
      </c>
      <c r="G250" cm="1">
        <f t="array" ref="G250">(PRODUCT(1+sp500_monthly!L251:L370)^(1/120)-1)</f>
        <v>0.10457623002719529</v>
      </c>
      <c r="H250" cm="1">
        <f t="array" ref="H250">(PRODUCT(1+sp500_monthly!N251:N370)^(1/120)-1)*100</f>
        <v>0.4192268142169997</v>
      </c>
      <c r="I250" cm="1">
        <f t="array" ref="I250">(PRODUCT(1+sp500_monthly!O251:O370)^(1/120)-1)*100</f>
        <v>1.5132310051679809E-2</v>
      </c>
    </row>
    <row r="251" spans="1:9" x14ac:dyDescent="0.35">
      <c r="A251" s="1">
        <v>17075</v>
      </c>
      <c r="B251" cm="1">
        <f t="array" ref="B251">(PRODUCT(1+sp500_monthly!B252:B371)^(1/120)-1)*100</f>
        <v>1.401557633846795</v>
      </c>
      <c r="C251" cm="1">
        <f t="array" ref="C251">(PRODUCT(1+sp500_monthly!C252:C371)^(1/120)-1)*100</f>
        <v>0.91347844235172282</v>
      </c>
      <c r="D251" cm="1">
        <f t="array" ref="D251">(PRODUCT(1+sp500_monthly!D252:D371)^(1/120)-1)*100</f>
        <v>1.1863457544254219</v>
      </c>
      <c r="E251" cm="1">
        <f t="array" ref="E251">(PRODUCT(1+sp500_monthly!E252:E371)^(1/120)-1)*100</f>
        <v>0.71346893160000313</v>
      </c>
      <c r="F251" cm="1">
        <f t="array" ref="F251">(PRODUCT(1+sp500_monthly!K252:K371)^(1/120)-1)*100</f>
        <v>0.92847079258877585</v>
      </c>
      <c r="G251" cm="1">
        <f t="array" ref="G251">(PRODUCT(1+sp500_monthly!L252:L371)^(1/120)-1)</f>
        <v>0.10582838391670513</v>
      </c>
      <c r="H251" cm="1">
        <f t="array" ref="H251">(PRODUCT(1+sp500_monthly!N252:N371)^(1/120)-1)*100</f>
        <v>0.38033530949699301</v>
      </c>
      <c r="I251" cm="1">
        <f t="array" ref="I251">(PRODUCT(1+sp500_monthly!O252:O371)^(1/120)-1)*100</f>
        <v>1.5411343124460686E-2</v>
      </c>
    </row>
    <row r="252" spans="1:9" x14ac:dyDescent="0.35">
      <c r="A252" s="1">
        <v>17106</v>
      </c>
      <c r="B252" cm="1">
        <f t="array" ref="B252">(PRODUCT(1+sp500_monthly!B253:B372)^(1/120)-1)*100</f>
        <v>1.411908838339837</v>
      </c>
      <c r="C252" cm="1">
        <f t="array" ref="C252">(PRODUCT(1+sp500_monthly!C253:C372)^(1/120)-1)*100</f>
        <v>0.92367488265139297</v>
      </c>
      <c r="D252" cm="1">
        <f t="array" ref="D252">(PRODUCT(1+sp500_monthly!D253:D372)^(1/120)-1)*100</f>
        <v>1.185130535671286</v>
      </c>
      <c r="E252" cm="1">
        <f t="array" ref="E252">(PRODUCT(1+sp500_monthly!E253:E372)^(1/120)-1)*100</f>
        <v>0.71134833321759849</v>
      </c>
      <c r="F252" cm="1">
        <f t="array" ref="F252">(PRODUCT(1+sp500_monthly!K253:K372)^(1/120)-1)*100</f>
        <v>0.93949995178581602</v>
      </c>
      <c r="G252" cm="1">
        <f t="array" ref="G252">(PRODUCT(1+sp500_monthly!L253:L372)^(1/120)-1)</f>
        <v>0.10761375286549568</v>
      </c>
      <c r="H252" cm="1">
        <f t="array" ref="H252">(PRODUCT(1+sp500_monthly!N253:N372)^(1/120)-1)*100</f>
        <v>0.38097452057150871</v>
      </c>
      <c r="I252" cm="1">
        <f t="array" ref="I252">(PRODUCT(1+sp500_monthly!O253:O372)^(1/120)-1)*100</f>
        <v>1.263081509432773E-2</v>
      </c>
    </row>
    <row r="253" spans="1:9" x14ac:dyDescent="0.35">
      <c r="A253" s="1">
        <v>17136</v>
      </c>
      <c r="B253" cm="1">
        <f t="array" ref="B253">(PRODUCT(1+sp500_monthly!B254:B373)^(1/120)-1)*100</f>
        <v>1.4135021964611472</v>
      </c>
      <c r="C253" cm="1">
        <f t="array" ref="C253">(PRODUCT(1+sp500_monthly!C254:C373)^(1/120)-1)*100</f>
        <v>0.92416833210957616</v>
      </c>
      <c r="D253" cm="1">
        <f t="array" ref="D253">(PRODUCT(1+sp500_monthly!D254:D373)^(1/120)-1)*100</f>
        <v>1.181572759742644</v>
      </c>
      <c r="E253" cm="1">
        <f t="array" ref="E253">(PRODUCT(1+sp500_monthly!E254:E373)^(1/120)-1)*100</f>
        <v>0.70840293047125247</v>
      </c>
      <c r="F253" cm="1">
        <f t="array" ref="F253">(PRODUCT(1+sp500_monthly!K254:K373)^(1/120)-1)*100</f>
        <v>0.93991339352832437</v>
      </c>
      <c r="G253" cm="1">
        <f t="array" ref="G253">(PRODUCT(1+sp500_monthly!L254:L373)^(1/120)-1)</f>
        <v>0.10902466847116177</v>
      </c>
      <c r="H253" cm="1">
        <f t="array" ref="H253">(PRODUCT(1+sp500_monthly!N254:N373)^(1/120)-1)*100</f>
        <v>0.37936605592010508</v>
      </c>
      <c r="I253" cm="1">
        <f t="array" ref="I253">(PRODUCT(1+sp500_monthly!O254:O373)^(1/120)-1)*100</f>
        <v>1.4296041479555655E-2</v>
      </c>
    </row>
    <row r="254" spans="1:9" x14ac:dyDescent="0.35">
      <c r="A254" s="1">
        <v>17167</v>
      </c>
      <c r="B254" cm="1">
        <f t="array" ref="B254">(PRODUCT(1+sp500_monthly!B255:B374)^(1/120)-1)*100</f>
        <v>1.4049552160409595</v>
      </c>
      <c r="C254" cm="1">
        <f t="array" ref="C254">(PRODUCT(1+sp500_monthly!C255:C374)^(1/120)-1)*100</f>
        <v>0.91806775112084349</v>
      </c>
      <c r="D254" cm="1">
        <f t="array" ref="D254">(PRODUCT(1+sp500_monthly!D255:D374)^(1/120)-1)*100</f>
        <v>1.1651652518516631</v>
      </c>
      <c r="E254" cm="1">
        <f t="array" ref="E254">(PRODUCT(1+sp500_monthly!E255:E374)^(1/120)-1)*100</f>
        <v>0.69259453705736718</v>
      </c>
      <c r="F254" cm="1">
        <f t="array" ref="F254">(PRODUCT(1+sp500_monthly!K255:K374)^(1/120)-1)*100</f>
        <v>0.93370139422790377</v>
      </c>
      <c r="G254" cm="1">
        <f t="array" ref="G254">(PRODUCT(1+sp500_monthly!L255:L374)^(1/120)-1)</f>
        <v>0.11074084818248653</v>
      </c>
      <c r="H254" cm="1">
        <f t="array" ref="H254">(PRODUCT(1+sp500_monthly!N255:N374)^(1/120)-1)*100</f>
        <v>0.4055422784790208</v>
      </c>
      <c r="I254" cm="1">
        <f t="array" ref="I254">(PRODUCT(1+sp500_monthly!O255:O374)^(1/120)-1)*100</f>
        <v>1.2666288966989292E-2</v>
      </c>
    </row>
    <row r="255" spans="1:9" x14ac:dyDescent="0.35">
      <c r="A255" s="1">
        <v>17198</v>
      </c>
      <c r="B255" cm="1">
        <f t="array" ref="B255">(PRODUCT(1+sp500_monthly!B256:B375)^(1/120)-1)*100</f>
        <v>1.3518632144315035</v>
      </c>
      <c r="C255" cm="1">
        <f t="array" ref="C255">(PRODUCT(1+sp500_monthly!C256:C375)^(1/120)-1)*100</f>
        <v>0.86493642809422067</v>
      </c>
      <c r="D255" cm="1">
        <f t="array" ref="D255">(PRODUCT(1+sp500_monthly!D256:D375)^(1/120)-1)*100</f>
        <v>1.1434491519890511</v>
      </c>
      <c r="E255" cm="1">
        <f t="array" ref="E255">(PRODUCT(1+sp500_monthly!E256:E375)^(1/120)-1)*100</f>
        <v>0.67030437875257309</v>
      </c>
      <c r="F255" cm="1">
        <f t="array" ref="F255">(PRODUCT(1+sp500_monthly!K256:K375)^(1/120)-1)*100</f>
        <v>0.87825568536321619</v>
      </c>
      <c r="G255" cm="1">
        <f t="array" ref="G255">(PRODUCT(1+sp500_monthly!L256:L375)^(1/120)-1)</f>
        <v>0.11268132177014056</v>
      </c>
      <c r="H255" cm="1">
        <f t="array" ref="H255">(PRODUCT(1+sp500_monthly!N256:N375)^(1/120)-1)*100</f>
        <v>0.36997439682129318</v>
      </c>
      <c r="I255" cm="1">
        <f t="array" ref="I255">(PRODUCT(1+sp500_monthly!O256:O375)^(1/120)-1)*100</f>
        <v>1.3707848536914646E-2</v>
      </c>
    </row>
    <row r="256" spans="1:9" x14ac:dyDescent="0.35">
      <c r="A256" s="1">
        <v>17226</v>
      </c>
      <c r="B256" cm="1">
        <f t="array" ref="B256">(PRODUCT(1+sp500_monthly!B257:B376)^(1/120)-1)*100</f>
        <v>1.3375963770875687</v>
      </c>
      <c r="C256" cm="1">
        <f t="array" ref="C256">(PRODUCT(1+sp500_monthly!C257:C376)^(1/120)-1)*100</f>
        <v>0.84973085710762231</v>
      </c>
      <c r="D256" cm="1">
        <f t="array" ref="D256">(PRODUCT(1+sp500_monthly!D257:D376)^(1/120)-1)*100</f>
        <v>1.1268959110866117</v>
      </c>
      <c r="E256" cm="1">
        <f t="array" ref="E256">(PRODUCT(1+sp500_monthly!E257:E376)^(1/120)-1)*100</f>
        <v>0.65299508960146024</v>
      </c>
      <c r="F256" cm="1">
        <f t="array" ref="F256">(PRODUCT(1+sp500_monthly!K257:K376)^(1/120)-1)*100</f>
        <v>0.8627914645158663</v>
      </c>
      <c r="G256" cm="1">
        <f t="array" ref="G256">(PRODUCT(1+sp500_monthly!L257:L376)^(1/120)-1)</f>
        <v>0.11440316003386863</v>
      </c>
      <c r="H256" cm="1">
        <f t="array" ref="H256">(PRODUCT(1+sp500_monthly!N257:N376)^(1/120)-1)*100</f>
        <v>0.34495029598844429</v>
      </c>
      <c r="I256" cm="1">
        <f t="array" ref="I256">(PRODUCT(1+sp500_monthly!O257:O376)^(1/120)-1)*100</f>
        <v>1.1799186564775965E-2</v>
      </c>
    </row>
    <row r="257" spans="1:9" x14ac:dyDescent="0.35">
      <c r="A257" s="1">
        <v>17257</v>
      </c>
      <c r="B257" cm="1">
        <f t="array" ref="B257">(PRODUCT(1+sp500_monthly!B258:B377)^(1/120)-1)*100</f>
        <v>1.3702571110202344</v>
      </c>
      <c r="C257" cm="1">
        <f t="array" ref="C257">(PRODUCT(1+sp500_monthly!C258:C377)^(1/120)-1)*100</f>
        <v>0.88203289320500922</v>
      </c>
      <c r="D257" cm="1">
        <f t="array" ref="D257">(PRODUCT(1+sp500_monthly!D258:D377)^(1/120)-1)*100</f>
        <v>1.1698529564228011</v>
      </c>
      <c r="E257" cm="1">
        <f t="array" ref="E257">(PRODUCT(1+sp500_monthly!E258:E377)^(1/120)-1)*100</f>
        <v>0.69504373451099166</v>
      </c>
      <c r="F257" cm="1">
        <f t="array" ref="F257">(PRODUCT(1+sp500_monthly!K258:K377)^(1/120)-1)*100</f>
        <v>0.89343489499296158</v>
      </c>
      <c r="G257" cm="1">
        <f t="array" ref="G257">(PRODUCT(1+sp500_monthly!L258:L377)^(1/120)-1)</f>
        <v>0.11605235265791092</v>
      </c>
      <c r="H257" cm="1">
        <f t="array" ref="H257">(PRODUCT(1+sp500_monthly!N258:N377)^(1/120)-1)*100</f>
        <v>0.36283973198378838</v>
      </c>
      <c r="I257" cm="1">
        <f t="array" ref="I257">(PRODUCT(1+sp500_monthly!O258:O377)^(1/120)-1)*100</f>
        <v>1.1917043366715951E-2</v>
      </c>
    </row>
    <row r="258" spans="1:9" x14ac:dyDescent="0.35">
      <c r="A258" s="1">
        <v>17287</v>
      </c>
      <c r="B258" cm="1">
        <f t="array" ref="B258">(PRODUCT(1+sp500_monthly!B259:B378)^(1/120)-1)*100</f>
        <v>1.4428061630974875</v>
      </c>
      <c r="C258" cm="1">
        <f t="array" ref="C258">(PRODUCT(1+sp500_monthly!C259:C378)^(1/120)-1)*100</f>
        <v>0.95423063875530456</v>
      </c>
      <c r="D258" cm="1">
        <f t="array" ref="D258">(PRODUCT(1+sp500_monthly!D259:D378)^(1/120)-1)*100</f>
        <v>1.2504781340618054</v>
      </c>
      <c r="E258" cm="1">
        <f t="array" ref="E258">(PRODUCT(1+sp500_monthly!E259:E378)^(1/120)-1)*100</f>
        <v>0.77525603660211218</v>
      </c>
      <c r="F258" cm="1">
        <f t="array" ref="F258">(PRODUCT(1+sp500_monthly!K259:K378)^(1/120)-1)*100</f>
        <v>0.95731740871651816</v>
      </c>
      <c r="G258" cm="1">
        <f t="array" ref="G258">(PRODUCT(1+sp500_monthly!L259:L378)^(1/120)-1)</f>
        <v>0.11785422828765624</v>
      </c>
      <c r="H258" cm="1">
        <f t="array" ref="H258">(PRODUCT(1+sp500_monthly!N259:N378)^(1/120)-1)*100</f>
        <v>0.39879125631148149</v>
      </c>
      <c r="I258" cm="1">
        <f t="array" ref="I258">(PRODUCT(1+sp500_monthly!O259:O378)^(1/120)-1)*100</f>
        <v>1.1906599283761921E-2</v>
      </c>
    </row>
    <row r="259" spans="1:9" x14ac:dyDescent="0.35">
      <c r="A259" s="1">
        <v>17316</v>
      </c>
      <c r="B259" cm="1">
        <f t="array" ref="B259">(PRODUCT(1+sp500_monthly!B260:B379)^(1/120)-1)*100</f>
        <v>1.4757746442013886</v>
      </c>
      <c r="C259" cm="1">
        <f t="array" ref="C259">(PRODUCT(1+sp500_monthly!C260:C379)^(1/120)-1)*100</f>
        <v>0.99057542024134637</v>
      </c>
      <c r="D259" cm="1">
        <f t="array" ref="D259">(PRODUCT(1+sp500_monthly!D260:D379)^(1/120)-1)*100</f>
        <v>1.286202944863879</v>
      </c>
      <c r="E259" cm="1">
        <f t="array" ref="E259">(PRODUCT(1+sp500_monthly!E260:E379)^(1/120)-1)*100</f>
        <v>0.8127070264388303</v>
      </c>
      <c r="F259" cm="1">
        <f t="array" ref="F259">(PRODUCT(1+sp500_monthly!K260:K379)^(1/120)-1)*100</f>
        <v>0.99538361485489446</v>
      </c>
      <c r="G259" cm="1">
        <f t="array" ref="G259">(PRODUCT(1+sp500_monthly!L260:L379)^(1/120)-1)</f>
        <v>0.11973336247011113</v>
      </c>
      <c r="H259" cm="1">
        <f t="array" ref="H259">(PRODUCT(1+sp500_monthly!N260:N379)^(1/120)-1)*100</f>
        <v>0.4284965689133946</v>
      </c>
      <c r="I259" cm="1">
        <f t="array" ref="I259">(PRODUCT(1+sp500_monthly!O260:O379)^(1/120)-1)*100</f>
        <v>1.19845216151937E-2</v>
      </c>
    </row>
    <row r="260" spans="1:9" x14ac:dyDescent="0.35">
      <c r="A260" s="1">
        <v>17348</v>
      </c>
      <c r="B260" cm="1">
        <f t="array" ref="B260">(PRODUCT(1+sp500_monthly!B261:B380)^(1/120)-1)*100</f>
        <v>1.4307216586563198</v>
      </c>
      <c r="C260" cm="1">
        <f t="array" ref="C260">(PRODUCT(1+sp500_monthly!C261:C380)^(1/120)-1)*100</f>
        <v>0.94573448388126646</v>
      </c>
      <c r="D260" cm="1">
        <f t="array" ref="D260">(PRODUCT(1+sp500_monthly!D261:D380)^(1/120)-1)*100</f>
        <v>1.2378805436674689</v>
      </c>
      <c r="E260" cm="1">
        <f t="array" ref="E260">(PRODUCT(1+sp500_monthly!E261:E380)^(1/120)-1)*100</f>
        <v>0.76410040754770758</v>
      </c>
      <c r="F260" cm="1">
        <f t="array" ref="F260">(PRODUCT(1+sp500_monthly!K261:K380)^(1/120)-1)*100</f>
        <v>0.95118731857395389</v>
      </c>
      <c r="G260" cm="1">
        <f t="array" ref="G260">(PRODUCT(1+sp500_monthly!L261:L380)^(1/120)-1)</f>
        <v>0.12146611353814074</v>
      </c>
      <c r="H260" cm="1">
        <f t="array" ref="H260">(PRODUCT(1+sp500_monthly!N261:N380)^(1/120)-1)*100</f>
        <v>0.42462502174616112</v>
      </c>
      <c r="I260" cm="1">
        <f t="array" ref="I260">(PRODUCT(1+sp500_monthly!O261:O380)^(1/120)-1)*100</f>
        <v>1.0714585713245128E-2</v>
      </c>
    </row>
    <row r="261" spans="1:9" x14ac:dyDescent="0.35">
      <c r="A261" s="1">
        <v>17379</v>
      </c>
      <c r="B261" cm="1">
        <f t="array" ref="B261">(PRODUCT(1+sp500_monthly!B262:B381)^(1/120)-1)*100</f>
        <v>1.40611984401946</v>
      </c>
      <c r="C261" cm="1">
        <f t="array" ref="C261">(PRODUCT(1+sp500_monthly!C262:C381)^(1/120)-1)*100</f>
        <v>0.92094879751825065</v>
      </c>
      <c r="D261" cm="1">
        <f t="array" ref="D261">(PRODUCT(1+sp500_monthly!D262:D381)^(1/120)-1)*100</f>
        <v>1.1950046889888766</v>
      </c>
      <c r="E261" cm="1">
        <f t="array" ref="E261">(PRODUCT(1+sp500_monthly!E262:E381)^(1/120)-1)*100</f>
        <v>0.72126030752877046</v>
      </c>
      <c r="F261" cm="1">
        <f t="array" ref="F261">(PRODUCT(1+sp500_monthly!K262:K381)^(1/120)-1)*100</f>
        <v>0.93084260458518031</v>
      </c>
      <c r="G261" cm="1">
        <f t="array" ref="G261">(PRODUCT(1+sp500_monthly!L262:L381)^(1/120)-1)</f>
        <v>0.1236439206853488</v>
      </c>
      <c r="H261" cm="1">
        <f t="array" ref="H261">(PRODUCT(1+sp500_monthly!N262:N381)^(1/120)-1)*100</f>
        <v>0.43036435616774504</v>
      </c>
      <c r="I261" cm="1">
        <f t="array" ref="I261">(PRODUCT(1+sp500_monthly!O262:O381)^(1/120)-1)*100</f>
        <v>1.0842590152337905E-2</v>
      </c>
    </row>
    <row r="262" spans="1:9" x14ac:dyDescent="0.35">
      <c r="A262" s="1">
        <v>17408</v>
      </c>
      <c r="B262" cm="1">
        <f t="array" ref="B262">(PRODUCT(1+sp500_monthly!B263:B382)^(1/120)-1)*100</f>
        <v>1.383396692155503</v>
      </c>
      <c r="C262" cm="1">
        <f t="array" ref="C262">(PRODUCT(1+sp500_monthly!C263:C382)^(1/120)-1)*100</f>
        <v>0.89898435938391419</v>
      </c>
      <c r="D262" cm="1">
        <f t="array" ref="D262">(PRODUCT(1+sp500_monthly!D263:D382)^(1/120)-1)*100</f>
        <v>1.1710550518484242</v>
      </c>
      <c r="E262" cm="1">
        <f t="array" ref="E262">(PRODUCT(1+sp500_monthly!E263:E382)^(1/120)-1)*100</f>
        <v>0.69739406282987026</v>
      </c>
      <c r="F262" cm="1">
        <f t="array" ref="F262">(PRODUCT(1+sp500_monthly!K263:K382)^(1/120)-1)*100</f>
        <v>0.90605980781190976</v>
      </c>
      <c r="G262" cm="1">
        <f t="array" ref="G262">(PRODUCT(1+sp500_monthly!L263:L382)^(1/120)-1)</f>
        <v>0.12545805296361734</v>
      </c>
      <c r="H262" cm="1">
        <f t="array" ref="H262">(PRODUCT(1+sp500_monthly!N263:N382)^(1/120)-1)*100</f>
        <v>0.38566049302364291</v>
      </c>
      <c r="I262" cm="1">
        <f t="array" ref="I262">(PRODUCT(1+sp500_monthly!O263:O382)^(1/120)-1)*100</f>
        <v>1.0266982984852291E-2</v>
      </c>
    </row>
    <row r="263" spans="1:9" x14ac:dyDescent="0.35">
      <c r="A263" s="1">
        <v>17440</v>
      </c>
      <c r="B263" cm="1">
        <f t="array" ref="B263">(PRODUCT(1+sp500_monthly!B264:B383)^(1/120)-1)*100</f>
        <v>1.3414630966227747</v>
      </c>
      <c r="C263" cm="1">
        <f t="array" ref="C263">(PRODUCT(1+sp500_monthly!C264:C383)^(1/120)-1)*100</f>
        <v>0.85801178972417791</v>
      </c>
      <c r="D263" cm="1">
        <f t="array" ref="D263">(PRODUCT(1+sp500_monthly!D264:D383)^(1/120)-1)*100</f>
        <v>1.1296543128756387</v>
      </c>
      <c r="E263" cm="1">
        <f t="array" ref="E263">(PRODUCT(1+sp500_monthly!E264:E383)^(1/120)-1)*100</f>
        <v>0.6563062535833053</v>
      </c>
      <c r="F263" cm="1">
        <f t="array" ref="F263">(PRODUCT(1+sp500_monthly!K264:K383)^(1/120)-1)*100</f>
        <v>0.86392584390597715</v>
      </c>
      <c r="G263" cm="1">
        <f t="array" ref="G263">(PRODUCT(1+sp500_monthly!L264:L383)^(1/120)-1)</f>
        <v>0.1270802821075836</v>
      </c>
      <c r="H263" cm="1">
        <f t="array" ref="H263">(PRODUCT(1+sp500_monthly!N264:N383)^(1/120)-1)*100</f>
        <v>0.3346148271808902</v>
      </c>
      <c r="I263" cm="1">
        <f t="array" ref="I263">(PRODUCT(1+sp500_monthly!O264:O383)^(1/120)-1)*100</f>
        <v>1.1253087453710897E-2</v>
      </c>
    </row>
    <row r="264" spans="1:9" x14ac:dyDescent="0.35">
      <c r="A264" s="1">
        <v>17471</v>
      </c>
      <c r="B264" cm="1">
        <f t="array" ref="B264">(PRODUCT(1+sp500_monthly!B265:B384)^(1/120)-1)*100</f>
        <v>1.2908242069689546</v>
      </c>
      <c r="C264" cm="1">
        <f t="array" ref="C264">(PRODUCT(1+sp500_monthly!C265:C384)^(1/120)-1)*100</f>
        <v>0.8071231523591349</v>
      </c>
      <c r="D264" cm="1">
        <f t="array" ref="D264">(PRODUCT(1+sp500_monthly!D265:D384)^(1/120)-1)*100</f>
        <v>1.0717676070344462</v>
      </c>
      <c r="E264" cm="1">
        <f t="array" ref="E264">(PRODUCT(1+sp500_monthly!E265:E384)^(1/120)-1)*100</f>
        <v>0.59768901641095162</v>
      </c>
      <c r="F264" cm="1">
        <f t="array" ref="F264">(PRODUCT(1+sp500_monthly!K265:K384)^(1/120)-1)*100</f>
        <v>0.81893204616036996</v>
      </c>
      <c r="G264" cm="1">
        <f t="array" ref="G264">(PRODUCT(1+sp500_monthly!L265:L384)^(1/120)-1)</f>
        <v>0.12892619611261424</v>
      </c>
      <c r="H264" cm="1">
        <f t="array" ref="H264">(PRODUCT(1+sp500_monthly!N265:N384)^(1/120)-1)*100</f>
        <v>0.30150305627023588</v>
      </c>
      <c r="I264" cm="1">
        <f t="array" ref="I264">(PRODUCT(1+sp500_monthly!O265:O384)^(1/120)-1)*100</f>
        <v>1.366655739021283E-2</v>
      </c>
    </row>
    <row r="265" spans="1:9" x14ac:dyDescent="0.35">
      <c r="A265" s="1">
        <v>17500</v>
      </c>
      <c r="B265" cm="1">
        <f t="array" ref="B265">(PRODUCT(1+sp500_monthly!B266:B385)^(1/120)-1)*100</f>
        <v>1.3256208447665729</v>
      </c>
      <c r="C265" cm="1">
        <f t="array" ref="C265">(PRODUCT(1+sp500_monthly!C266:C385)^(1/120)-1)*100</f>
        <v>0.84606673493055062</v>
      </c>
      <c r="D265" cm="1">
        <f t="array" ref="D265">(PRODUCT(1+sp500_monthly!D266:D385)^(1/120)-1)*100</f>
        <v>1.1250378499449321</v>
      </c>
      <c r="E265" cm="1">
        <f t="array" ref="E265">(PRODUCT(1+sp500_monthly!E266:E385)^(1/120)-1)*100</f>
        <v>0.65365571526239119</v>
      </c>
      <c r="F265" cm="1">
        <f t="array" ref="F265">(PRODUCT(1+sp500_monthly!K266:K385)^(1/120)-1)*100</f>
        <v>0.85664257221782503</v>
      </c>
      <c r="G265" cm="1">
        <f t="array" ref="G265">(PRODUCT(1+sp500_monthly!L266:L385)^(1/120)-1)</f>
        <v>0.13070180361297479</v>
      </c>
      <c r="H265" cm="1">
        <f t="array" ref="H265">(PRODUCT(1+sp500_monthly!N266:N385)^(1/120)-1)*100</f>
        <v>0.31843330448617646</v>
      </c>
      <c r="I265" cm="1">
        <f t="array" ref="I265">(PRODUCT(1+sp500_monthly!O266:O385)^(1/120)-1)*100</f>
        <v>1.3352481850370523E-2</v>
      </c>
    </row>
    <row r="266" spans="1:9" x14ac:dyDescent="0.35">
      <c r="A266" s="1">
        <v>17532</v>
      </c>
      <c r="B266" cm="1">
        <f t="array" ref="B266">(PRODUCT(1+sp500_monthly!B267:B386)^(1/120)-1)*100</f>
        <v>1.2678311866320957</v>
      </c>
      <c r="C266" cm="1">
        <f t="array" ref="C266">(PRODUCT(1+sp500_monthly!C267:C386)^(1/120)-1)*100</f>
        <v>0.78990689955147353</v>
      </c>
      <c r="D266" cm="1">
        <f t="array" ref="D266">(PRODUCT(1+sp500_monthly!D267:D386)^(1/120)-1)*100</f>
        <v>1.0498645156372888</v>
      </c>
      <c r="E266" cm="1">
        <f t="array" ref="E266">(PRODUCT(1+sp500_monthly!E267:E386)^(1/120)-1)*100</f>
        <v>0.57983158444907534</v>
      </c>
      <c r="F266" cm="1">
        <f t="array" ref="F266">(PRODUCT(1+sp500_monthly!K267:K386)^(1/120)-1)*100</f>
        <v>0.80385763489123629</v>
      </c>
      <c r="G266" cm="1">
        <f t="array" ref="G266">(PRODUCT(1+sp500_monthly!L267:L386)^(1/120)-1)</f>
        <v>0.13200427684786109</v>
      </c>
      <c r="H266" cm="1">
        <f t="array" ref="H266">(PRODUCT(1+sp500_monthly!N267:N386)^(1/120)-1)*100</f>
        <v>0.28479057062060775</v>
      </c>
      <c r="I266" cm="1">
        <f t="array" ref="I266">(PRODUCT(1+sp500_monthly!O267:O386)^(1/120)-1)*100</f>
        <v>1.3592030098474872E-2</v>
      </c>
    </row>
    <row r="267" spans="1:9" x14ac:dyDescent="0.35">
      <c r="A267" s="1">
        <v>17563</v>
      </c>
      <c r="B267" cm="1">
        <f t="array" ref="B267">(PRODUCT(1+sp500_monthly!B268:B387)^(1/120)-1)*100</f>
        <v>1.3378873184943796</v>
      </c>
      <c r="C267" cm="1">
        <f t="array" ref="C267">(PRODUCT(1+sp500_monthly!C268:C387)^(1/120)-1)*100</f>
        <v>0.85969240459744523</v>
      </c>
      <c r="D267" cm="1">
        <f t="array" ref="D267">(PRODUCT(1+sp500_monthly!D268:D387)^(1/120)-1)*100</f>
        <v>1.1450279571320943</v>
      </c>
      <c r="E267" cm="1">
        <f t="array" ref="E267">(PRODUCT(1+sp500_monthly!E268:E387)^(1/120)-1)*100</f>
        <v>0.67468260655507706</v>
      </c>
      <c r="F267" cm="1">
        <f t="array" ref="F267">(PRODUCT(1+sp500_monthly!K268:K387)^(1/120)-1)*100</f>
        <v>0.87323249116526558</v>
      </c>
      <c r="G267" cm="1">
        <f t="array" ref="G267">(PRODUCT(1+sp500_monthly!L268:L387)^(1/120)-1)</f>
        <v>0.13369601291116706</v>
      </c>
      <c r="H267" cm="1">
        <f t="array" ref="H267">(PRODUCT(1+sp500_monthly!N268:N387)^(1/120)-1)*100</f>
        <v>0.31701977171867401</v>
      </c>
      <c r="I267" cm="1">
        <f t="array" ref="I267">(PRODUCT(1+sp500_monthly!O268:O387)^(1/120)-1)*100</f>
        <v>1.0960579176266805E-2</v>
      </c>
    </row>
    <row r="268" spans="1:9" x14ac:dyDescent="0.35">
      <c r="A268" s="1">
        <v>17591</v>
      </c>
      <c r="B268" cm="1">
        <f t="array" ref="B268">(PRODUCT(1+sp500_monthly!B269:B388)^(1/120)-1)*100</f>
        <v>1.360567765618903</v>
      </c>
      <c r="C268" cm="1">
        <f t="array" ref="C268">(PRODUCT(1+sp500_monthly!C269:C388)^(1/120)-1)*100</f>
        <v>0.88361970832018244</v>
      </c>
      <c r="D268" cm="1">
        <f t="array" ref="D268">(PRODUCT(1+sp500_monthly!D269:D388)^(1/120)-1)*100</f>
        <v>1.1763585411611821</v>
      </c>
      <c r="E268" cm="1">
        <f t="array" ref="E268">(PRODUCT(1+sp500_monthly!E269:E388)^(1/120)-1)*100</f>
        <v>0.70703042148803075</v>
      </c>
      <c r="F268" cm="1">
        <f t="array" ref="F268">(PRODUCT(1+sp500_monthly!K269:K388)^(1/120)-1)*100</f>
        <v>0.89615879099964602</v>
      </c>
      <c r="G268" cm="1">
        <f t="array" ref="G268">(PRODUCT(1+sp500_monthly!L269:L388)^(1/120)-1)</f>
        <v>0.13412756118162483</v>
      </c>
      <c r="H268" cm="1">
        <f t="array" ref="H268">(PRODUCT(1+sp500_monthly!N269:N388)^(1/120)-1)*100</f>
        <v>0.30339241388048777</v>
      </c>
      <c r="I268" cm="1">
        <f t="array" ref="I268">(PRODUCT(1+sp500_monthly!O269:O388)^(1/120)-1)*100</f>
        <v>1.0215916923228541E-2</v>
      </c>
    </row>
    <row r="269" spans="1:9" x14ac:dyDescent="0.35">
      <c r="A269" s="1">
        <v>17623</v>
      </c>
      <c r="B269" cm="1">
        <f t="array" ref="B269">(PRODUCT(1+sp500_monthly!B270:B389)^(1/120)-1)*100</f>
        <v>1.3219094964860734</v>
      </c>
      <c r="C269" cm="1">
        <f t="array" ref="C269">(PRODUCT(1+sp500_monthly!C270:C389)^(1/120)-1)*100</f>
        <v>0.8458816948771597</v>
      </c>
      <c r="D269" cm="1">
        <f t="array" ref="D269">(PRODUCT(1+sp500_monthly!D270:D389)^(1/120)-1)*100</f>
        <v>1.1280353992130454</v>
      </c>
      <c r="E269" cm="1">
        <f t="array" ref="E269">(PRODUCT(1+sp500_monthly!E270:E389)^(1/120)-1)*100</f>
        <v>0.65939991060350867</v>
      </c>
      <c r="F269" cm="1">
        <f t="array" ref="F269">(PRODUCT(1+sp500_monthly!K270:K389)^(1/120)-1)*100</f>
        <v>0.8592320731801939</v>
      </c>
      <c r="G269" cm="1">
        <f t="array" ref="G269">(PRODUCT(1+sp500_monthly!L270:L389)^(1/120)-1)</f>
        <v>0.13412756118162483</v>
      </c>
      <c r="H269" cm="1">
        <f t="array" ref="H269">(PRODUCT(1+sp500_monthly!N270:N389)^(1/120)-1)*100</f>
        <v>0.32563854258917946</v>
      </c>
      <c r="I269" cm="1">
        <f t="array" ref="I269">(PRODUCT(1+sp500_monthly!O270:O389)^(1/120)-1)*100</f>
        <v>6.0436813683395485E-3</v>
      </c>
    </row>
    <row r="270" spans="1:9" x14ac:dyDescent="0.35">
      <c r="A270" s="1">
        <v>17653</v>
      </c>
      <c r="B270" cm="1">
        <f t="array" ref="B270">(PRODUCT(1+sp500_monthly!B271:B390)^(1/120)-1)*100</f>
        <v>1.3241100392487049</v>
      </c>
      <c r="C270" cm="1">
        <f t="array" ref="C270">(PRODUCT(1+sp500_monthly!C271:C390)^(1/120)-1)*100</f>
        <v>0.84873742503728256</v>
      </c>
      <c r="D270" cm="1">
        <f t="array" ref="D270">(PRODUCT(1+sp500_monthly!D271:D390)^(1/120)-1)*100</f>
        <v>1.1268486259676136</v>
      </c>
      <c r="E270" cm="1">
        <f t="array" ref="E270">(PRODUCT(1+sp500_monthly!E271:E390)^(1/120)-1)*100</f>
        <v>0.65799289030301633</v>
      </c>
      <c r="F270" cm="1">
        <f t="array" ref="F270">(PRODUCT(1+sp500_monthly!K271:K390)^(1/120)-1)*100</f>
        <v>0.86356377089078507</v>
      </c>
      <c r="G270" cm="1">
        <f t="array" ref="G270">(PRODUCT(1+sp500_monthly!L271:L390)^(1/120)-1)</f>
        <v>0.13412756118162483</v>
      </c>
      <c r="H270" cm="1">
        <f t="array" ref="H270">(PRODUCT(1+sp500_monthly!N271:N390)^(1/120)-1)*100</f>
        <v>0.35117468031171661</v>
      </c>
      <c r="I270" cm="1">
        <f t="array" ref="I270">(PRODUCT(1+sp500_monthly!O271:O390)^(1/120)-1)*100</f>
        <v>4.691902679976323E-3</v>
      </c>
    </row>
    <row r="271" spans="1:9" x14ac:dyDescent="0.35">
      <c r="A271" s="1">
        <v>17681</v>
      </c>
      <c r="B271" cm="1">
        <f t="array" ref="B271">(PRODUCT(1+sp500_monthly!B272:B391)^(1/120)-1)*100</f>
        <v>1.2738136169204273</v>
      </c>
      <c r="C271" cm="1">
        <f t="array" ref="C271">(PRODUCT(1+sp500_monthly!C272:C391)^(1/120)-1)*100</f>
        <v>0.79892975301714131</v>
      </c>
      <c r="D271" cm="1">
        <f t="array" ref="D271">(PRODUCT(1+sp500_monthly!D272:D391)^(1/120)-1)*100</f>
        <v>1.0923141923783852</v>
      </c>
      <c r="E271" cm="1">
        <f t="array" ref="E271">(PRODUCT(1+sp500_monthly!E272:E391)^(1/120)-1)*100</f>
        <v>0.62488989389284377</v>
      </c>
      <c r="F271" cm="1">
        <f t="array" ref="F271">(PRODUCT(1+sp500_monthly!K272:K391)^(1/120)-1)*100</f>
        <v>0.81280152547018591</v>
      </c>
      <c r="G271" cm="1">
        <f t="array" ref="G271">(PRODUCT(1+sp500_monthly!L272:L391)^(1/120)-1)</f>
        <v>0.13438654017761853</v>
      </c>
      <c r="H271" cm="1">
        <f t="array" ref="H271">(PRODUCT(1+sp500_monthly!N272:N391)^(1/120)-1)*100</f>
        <v>0.36881215826956026</v>
      </c>
      <c r="I271" cm="1">
        <f t="array" ref="I271">(PRODUCT(1+sp500_monthly!O272:O391)^(1/120)-1)*100</f>
        <v>5.6081127318474699E-3</v>
      </c>
    </row>
    <row r="272" spans="1:9" x14ac:dyDescent="0.35">
      <c r="A272" s="1">
        <v>17714</v>
      </c>
      <c r="B272" cm="1">
        <f t="array" ref="B272">(PRODUCT(1+sp500_monthly!B273:B392)^(1/120)-1)*100</f>
        <v>1.290674956926785</v>
      </c>
      <c r="C272" cm="1">
        <f t="array" ref="C272">(PRODUCT(1+sp500_monthly!C273:C392)^(1/120)-1)*100</f>
        <v>0.8164970932090565</v>
      </c>
      <c r="D272" cm="1">
        <f t="array" ref="D272">(PRODUCT(1+sp500_monthly!D273:D392)^(1/120)-1)*100</f>
        <v>1.1059271545351912</v>
      </c>
      <c r="E272" cm="1">
        <f t="array" ref="E272">(PRODUCT(1+sp500_monthly!E273:E392)^(1/120)-1)*100</f>
        <v>0.6388794836179601</v>
      </c>
      <c r="F272" cm="1">
        <f t="array" ref="F272">(PRODUCT(1+sp500_monthly!K273:K392)^(1/120)-1)*100</f>
        <v>0.831921746283526</v>
      </c>
      <c r="G272" cm="1">
        <f t="array" ref="G272">(PRODUCT(1+sp500_monthly!L273:L392)^(1/120)-1)</f>
        <v>0.13385143549791878</v>
      </c>
      <c r="H272" cm="1">
        <f t="array" ref="H272">(PRODUCT(1+sp500_monthly!N273:N392)^(1/120)-1)*100</f>
        <v>0.39277839648930168</v>
      </c>
      <c r="I272" cm="1">
        <f t="array" ref="I272">(PRODUCT(1+sp500_monthly!O273:O392)^(1/120)-1)*100</f>
        <v>6.7224482495742421E-3</v>
      </c>
    </row>
    <row r="273" spans="1:9" x14ac:dyDescent="0.35">
      <c r="A273" s="1">
        <v>17744</v>
      </c>
      <c r="B273" cm="1">
        <f t="array" ref="B273">(PRODUCT(1+sp500_monthly!B274:B393)^(1/120)-1)*100</f>
        <v>1.3723601772284377</v>
      </c>
      <c r="C273" cm="1">
        <f t="array" ref="C273">(PRODUCT(1+sp500_monthly!C274:C393)^(1/120)-1)*100</f>
        <v>0.8973097510078798</v>
      </c>
      <c r="D273" cm="1">
        <f t="array" ref="D273">(PRODUCT(1+sp500_monthly!D274:D393)^(1/120)-1)*100</f>
        <v>1.1947970713314326</v>
      </c>
      <c r="E273" cm="1">
        <f t="array" ref="E273">(PRODUCT(1+sp500_monthly!E274:E393)^(1/120)-1)*100</f>
        <v>0.7272618851584145</v>
      </c>
      <c r="F273" cm="1">
        <f t="array" ref="F273">(PRODUCT(1+sp500_monthly!K274:K393)^(1/120)-1)*100</f>
        <v>0.91331873088851268</v>
      </c>
      <c r="G273" cm="1">
        <f t="array" ref="G273">(PRODUCT(1+sp500_monthly!L274:L393)^(1/120)-1)</f>
        <v>0.13376354281073288</v>
      </c>
      <c r="H273" cm="1">
        <f t="array" ref="H273">(PRODUCT(1+sp500_monthly!N274:N393)^(1/120)-1)*100</f>
        <v>0.42935581837921788</v>
      </c>
      <c r="I273" cm="1">
        <f t="array" ref="I273">(PRODUCT(1+sp500_monthly!O274:O393)^(1/120)-1)*100</f>
        <v>7.882363498756817E-3</v>
      </c>
    </row>
    <row r="274" spans="1:9" x14ac:dyDescent="0.35">
      <c r="A274" s="1">
        <v>17776</v>
      </c>
      <c r="B274" cm="1">
        <f t="array" ref="B274">(PRODUCT(1+sp500_monthly!B275:B394)^(1/120)-1)*100</f>
        <v>1.3744040587266859</v>
      </c>
      <c r="C274" cm="1">
        <f t="array" ref="C274">(PRODUCT(1+sp500_monthly!C275:C394)^(1/120)-1)*100</f>
        <v>0.90159170405683664</v>
      </c>
      <c r="D274" cm="1">
        <f t="array" ref="D274">(PRODUCT(1+sp500_monthly!D275:D394)^(1/120)-1)*100</f>
        <v>1.2042337482197851</v>
      </c>
      <c r="E274" cm="1">
        <f t="array" ref="E274">(PRODUCT(1+sp500_monthly!E275:E394)^(1/120)-1)*100</f>
        <v>0.73856568112824483</v>
      </c>
      <c r="F274" cm="1">
        <f t="array" ref="F274">(PRODUCT(1+sp500_monthly!K275:K394)^(1/120)-1)*100</f>
        <v>0.91689672269228417</v>
      </c>
      <c r="G274" cm="1">
        <f t="array" ref="G274">(PRODUCT(1+sp500_monthly!L275:L394)^(1/120)-1)</f>
        <v>0.13331997863899581</v>
      </c>
      <c r="H274" cm="1">
        <f t="array" ref="H274">(PRODUCT(1+sp500_monthly!N275:N394)^(1/120)-1)*100</f>
        <v>0.442839137697848</v>
      </c>
      <c r="I274" cm="1">
        <f t="array" ref="I274">(PRODUCT(1+sp500_monthly!O275:O394)^(1/120)-1)*100</f>
        <v>6.774543398746502E-3</v>
      </c>
    </row>
    <row r="275" spans="1:9" x14ac:dyDescent="0.35">
      <c r="A275" s="1">
        <v>17806</v>
      </c>
      <c r="B275" cm="1">
        <f t="array" ref="B275">(PRODUCT(1+sp500_monthly!B276:B395)^(1/120)-1)*100</f>
        <v>1.4394520632219576</v>
      </c>
      <c r="C275" cm="1">
        <f t="array" ref="C275">(PRODUCT(1+sp500_monthly!C276:C395)^(1/120)-1)*100</f>
        <v>0.96761509414478031</v>
      </c>
      <c r="D275" cm="1">
        <f t="array" ref="D275">(PRODUCT(1+sp500_monthly!D276:D395)^(1/120)-1)*100</f>
        <v>1.280176276307543</v>
      </c>
      <c r="E275" cm="1">
        <f t="array" ref="E275">(PRODUCT(1+sp500_monthly!E276:E395)^(1/120)-1)*100</f>
        <v>0.81498218752960039</v>
      </c>
      <c r="F275" cm="1">
        <f t="array" ref="F275">(PRODUCT(1+sp500_monthly!K276:K395)^(1/120)-1)*100</f>
        <v>0.98231222826841158</v>
      </c>
      <c r="G275" cm="1">
        <f t="array" ref="G275">(PRODUCT(1+sp500_monthly!L276:L395)^(1/120)-1)</f>
        <v>0.13459315275146055</v>
      </c>
      <c r="H275" cm="1">
        <f t="array" ref="H275">(PRODUCT(1+sp500_monthly!N276:N395)^(1/120)-1)*100</f>
        <v>0.48522169217504185</v>
      </c>
      <c r="I275" cm="1">
        <f t="array" ref="I275">(PRODUCT(1+sp500_monthly!O276:O395)^(1/120)-1)*100</f>
        <v>9.2208744152166844E-3</v>
      </c>
    </row>
    <row r="276" spans="1:9" x14ac:dyDescent="0.35">
      <c r="A276" s="1">
        <v>17836</v>
      </c>
      <c r="B276" cm="1">
        <f t="array" ref="B276">(PRODUCT(1+sp500_monthly!B277:B396)^(1/120)-1)*100</f>
        <v>1.4050573878088501</v>
      </c>
      <c r="C276" cm="1">
        <f t="array" ref="C276">(PRODUCT(1+sp500_monthly!C277:C396)^(1/120)-1)*100</f>
        <v>0.93453368263975989</v>
      </c>
      <c r="D276" cm="1">
        <f t="array" ref="D276">(PRODUCT(1+sp500_monthly!D277:D396)^(1/120)-1)*100</f>
        <v>1.2548810942511146</v>
      </c>
      <c r="E276" cm="1">
        <f t="array" ref="E276">(PRODUCT(1+sp500_monthly!E277:E396)^(1/120)-1)*100</f>
        <v>0.79036747051328682</v>
      </c>
      <c r="F276" cm="1">
        <f t="array" ref="F276">(PRODUCT(1+sp500_monthly!K277:K396)^(1/120)-1)*100</f>
        <v>0.94820799551906809</v>
      </c>
      <c r="G276" cm="1">
        <f t="array" ref="G276">(PRODUCT(1+sp500_monthly!L277:L396)^(1/120)-1)</f>
        <v>0.13578788130241715</v>
      </c>
      <c r="H276" cm="1">
        <f t="array" ref="H276">(PRODUCT(1+sp500_monthly!N277:N396)^(1/120)-1)*100</f>
        <v>0.50783520208175226</v>
      </c>
      <c r="I276" cm="1">
        <f t="array" ref="I276">(PRODUCT(1+sp500_monthly!O277:O396)^(1/120)-1)*100</f>
        <v>1.0719675452675048E-2</v>
      </c>
    </row>
    <row r="277" spans="1:9" x14ac:dyDescent="0.35">
      <c r="A277" s="1">
        <v>17867</v>
      </c>
      <c r="B277" cm="1">
        <f t="array" ref="B277">(PRODUCT(1+sp500_monthly!B278:B397)^(1/120)-1)*100</f>
        <v>1.5164309024111144</v>
      </c>
      <c r="C277" cm="1">
        <f t="array" ref="C277">(PRODUCT(1+sp500_monthly!C278:C397)^(1/120)-1)*100</f>
        <v>1.0520065496350428</v>
      </c>
      <c r="D277" cm="1">
        <f t="array" ref="D277">(PRODUCT(1+sp500_monthly!D278:D397)^(1/120)-1)*100</f>
        <v>1.3852144878428563</v>
      </c>
      <c r="E277" cm="1">
        <f t="array" ref="E277">(PRODUCT(1+sp500_monthly!E278:E397)^(1/120)-1)*100</f>
        <v>0.92595885045523296</v>
      </c>
      <c r="F277" cm="1">
        <f t="array" ref="F277">(PRODUCT(1+sp500_monthly!K278:K397)^(1/120)-1)*100</f>
        <v>1.0632668967886172</v>
      </c>
      <c r="G277" cm="1">
        <f t="array" ref="G277">(PRODUCT(1+sp500_monthly!L278:L397)^(1/120)-1)</f>
        <v>0.13640458558598723</v>
      </c>
      <c r="H277" cm="1">
        <f t="array" ref="H277">(PRODUCT(1+sp500_monthly!N278:N397)^(1/120)-1)*100</f>
        <v>0.53031171374626762</v>
      </c>
      <c r="I277" cm="1">
        <f t="array" ref="I277">(PRODUCT(1+sp500_monthly!O278:O397)^(1/120)-1)*100</f>
        <v>1.0483606638622689E-2</v>
      </c>
    </row>
    <row r="278" spans="1:9" x14ac:dyDescent="0.35">
      <c r="A278" s="1">
        <v>17898</v>
      </c>
      <c r="B278" cm="1">
        <f t="array" ref="B278">(PRODUCT(1+sp500_monthly!B279:B398)^(1/120)-1)*100</f>
        <v>1.5311331497734892</v>
      </c>
      <c r="C278" cm="1">
        <f t="array" ref="C278">(PRODUCT(1+sp500_monthly!C279:C398)^(1/120)-1)*100</f>
        <v>1.0695802594501203</v>
      </c>
      <c r="D278" cm="1">
        <f t="array" ref="D278">(PRODUCT(1+sp500_monthly!D279:D398)^(1/120)-1)*100</f>
        <v>1.3948055257881231</v>
      </c>
      <c r="E278" cm="1">
        <f t="array" ref="E278">(PRODUCT(1+sp500_monthly!E279:E398)^(1/120)-1)*100</f>
        <v>0.93849535447603216</v>
      </c>
      <c r="F278" cm="1">
        <f t="array" ref="F278">(PRODUCT(1+sp500_monthly!K279:K398)^(1/120)-1)*100</f>
        <v>1.0806683234901193</v>
      </c>
      <c r="G278" cm="1">
        <f t="array" ref="G278">(PRODUCT(1+sp500_monthly!L279:L398)^(1/120)-1)</f>
        <v>0.13791729508347572</v>
      </c>
      <c r="H278" cm="1">
        <f t="array" ref="H278">(PRODUCT(1+sp500_monthly!N279:N398)^(1/120)-1)*100</f>
        <v>0.57389107640484216</v>
      </c>
      <c r="I278" cm="1">
        <f t="array" ref="I278">(PRODUCT(1+sp500_monthly!O279:O398)^(1/120)-1)*100</f>
        <v>1.1739559330359306E-2</v>
      </c>
    </row>
    <row r="279" spans="1:9" x14ac:dyDescent="0.35">
      <c r="A279" s="1">
        <v>17929</v>
      </c>
      <c r="B279" cm="1">
        <f t="array" ref="B279">(PRODUCT(1+sp500_monthly!B280:B399)^(1/120)-1)*100</f>
        <v>1.534211804446417</v>
      </c>
      <c r="C279" cm="1">
        <f t="array" ref="C279">(PRODUCT(1+sp500_monthly!C280:C399)^(1/120)-1)*100</f>
        <v>1.0729530466265125</v>
      </c>
      <c r="D279" cm="1">
        <f t="array" ref="D279">(PRODUCT(1+sp500_monthly!D280:D399)^(1/120)-1)*100</f>
        <v>1.4100896653334472</v>
      </c>
      <c r="E279" cm="1">
        <f t="array" ref="E279">(PRODUCT(1+sp500_monthly!E280:E399)^(1/120)-1)*100</f>
        <v>0.95431853899692332</v>
      </c>
      <c r="F279" cm="1">
        <f t="array" ref="F279">(PRODUCT(1+sp500_monthly!K280:K399)^(1/120)-1)*100</f>
        <v>1.0827587339752753</v>
      </c>
      <c r="G279" cm="1">
        <f t="array" ref="G279">(PRODUCT(1+sp500_monthly!L280:L399)^(1/120)-1)</f>
        <v>0.13882144661443929</v>
      </c>
      <c r="H279" cm="1">
        <f t="array" ref="H279">(PRODUCT(1+sp500_monthly!N280:N399)^(1/120)-1)*100</f>
        <v>0.57802412557350635</v>
      </c>
      <c r="I279" cm="1">
        <f t="array" ref="I279">(PRODUCT(1+sp500_monthly!O280:O399)^(1/120)-1)*100</f>
        <v>1.2337974471909874E-2</v>
      </c>
    </row>
    <row r="280" spans="1:9" x14ac:dyDescent="0.35">
      <c r="A280" s="1">
        <v>17957</v>
      </c>
      <c r="B280" cm="1">
        <f t="array" ref="B280">(PRODUCT(1+sp500_monthly!B281:B400)^(1/120)-1)*100</f>
        <v>1.5670794397155685</v>
      </c>
      <c r="C280" cm="1">
        <f t="array" ref="C280">(PRODUCT(1+sp500_monthly!C281:C400)^(1/120)-1)*100</f>
        <v>1.1104951985403844</v>
      </c>
      <c r="D280" cm="1">
        <f t="array" ref="D280">(PRODUCT(1+sp500_monthly!D281:D400)^(1/120)-1)*100</f>
        <v>1.4548577660098205</v>
      </c>
      <c r="E280" cm="1">
        <f t="array" ref="E280">(PRODUCT(1+sp500_monthly!E281:E400)^(1/120)-1)*100</f>
        <v>1.0025938273942936</v>
      </c>
      <c r="F280" cm="1">
        <f t="array" ref="F280">(PRODUCT(1+sp500_monthly!K281:K400)^(1/120)-1)*100</f>
        <v>1.1164923728902654</v>
      </c>
      <c r="G280" cm="1">
        <f t="array" ref="G280">(PRODUCT(1+sp500_monthly!L281:L400)^(1/120)-1)</f>
        <v>0.13965475758021895</v>
      </c>
      <c r="H280" cm="1">
        <f t="array" ref="H280">(PRODUCT(1+sp500_monthly!N281:N400)^(1/120)-1)*100</f>
        <v>0.58391930174079842</v>
      </c>
      <c r="I280" cm="1">
        <f t="array" ref="I280">(PRODUCT(1+sp500_monthly!O281:O400)^(1/120)-1)*100</f>
        <v>1.4207360414553172E-2</v>
      </c>
    </row>
    <row r="281" spans="1:9" x14ac:dyDescent="0.35">
      <c r="A281" s="1">
        <v>17988</v>
      </c>
      <c r="B281" cm="1">
        <f t="array" ref="B281">(PRODUCT(1+sp500_monthly!B282:B401)^(1/120)-1)*100</f>
        <v>1.5416316057608626</v>
      </c>
      <c r="C281" cm="1">
        <f t="array" ref="C281">(PRODUCT(1+sp500_monthly!C282:C401)^(1/120)-1)*100</f>
        <v>1.0868205008738752</v>
      </c>
      <c r="D281" cm="1">
        <f t="array" ref="D281">(PRODUCT(1+sp500_monthly!D282:D401)^(1/120)-1)*100</f>
        <v>1.4246654049584251</v>
      </c>
      <c r="E281" cm="1">
        <f t="array" ref="E281">(PRODUCT(1+sp500_monthly!E282:E401)^(1/120)-1)*100</f>
        <v>0.97424699144630367</v>
      </c>
      <c r="F281" cm="1">
        <f t="array" ref="F281">(PRODUCT(1+sp500_monthly!K282:K401)^(1/120)-1)*100</f>
        <v>1.0919652048877682</v>
      </c>
      <c r="G281" cm="1">
        <f t="array" ref="G281">(PRODUCT(1+sp500_monthly!L282:L401)^(1/120)-1)</f>
        <v>0.14063852049500269</v>
      </c>
      <c r="H281" cm="1">
        <f t="array" ref="H281">(PRODUCT(1+sp500_monthly!N282:N401)^(1/120)-1)*100</f>
        <v>0.58759186602870273</v>
      </c>
      <c r="I281" cm="1">
        <f t="array" ref="I281">(PRODUCT(1+sp500_monthly!O282:O401)^(1/120)-1)*100</f>
        <v>1.6901614217168515E-2</v>
      </c>
    </row>
    <row r="282" spans="1:9" x14ac:dyDescent="0.35">
      <c r="A282" s="1">
        <v>18018</v>
      </c>
      <c r="B282" cm="1">
        <f t="array" ref="B282">(PRODUCT(1+sp500_monthly!B283:B402)^(1/120)-1)*100</f>
        <v>1.5908408856913692</v>
      </c>
      <c r="C282" cm="1">
        <f t="array" ref="C282">(PRODUCT(1+sp500_monthly!C283:C402)^(1/120)-1)*100</f>
        <v>1.1376331871934431</v>
      </c>
      <c r="D282" cm="1">
        <f t="array" ref="D282">(PRODUCT(1+sp500_monthly!D283:D402)^(1/120)-1)*100</f>
        <v>1.47328086899845</v>
      </c>
      <c r="E282" cm="1">
        <f t="array" ref="E282">(PRODUCT(1+sp500_monthly!E283:E402)^(1/120)-1)*100</f>
        <v>1.0233335474300276</v>
      </c>
      <c r="F282" cm="1">
        <f t="array" ref="F282">(PRODUCT(1+sp500_monthly!K283:K402)^(1/120)-1)*100</f>
        <v>1.1421233855628543</v>
      </c>
      <c r="G282" cm="1">
        <f t="array" ref="G282">(PRODUCT(1+sp500_monthly!L283:L402)^(1/120)-1)</f>
        <v>0.14155276494902491</v>
      </c>
      <c r="H282" cm="1">
        <f t="array" ref="H282">(PRODUCT(1+sp500_monthly!N283:N402)^(1/120)-1)*100</f>
        <v>0.62022736303015691</v>
      </c>
      <c r="I282" cm="1">
        <f t="array" ref="I282">(PRODUCT(1+sp500_monthly!O283:O402)^(1/120)-1)*100</f>
        <v>1.8279254466935235E-2</v>
      </c>
    </row>
    <row r="283" spans="1:9" x14ac:dyDescent="0.35">
      <c r="A283" s="1">
        <v>18049</v>
      </c>
      <c r="B283" cm="1">
        <f t="array" ref="B283">(PRODUCT(1+sp500_monthly!B284:B403)^(1/120)-1)*100</f>
        <v>1.6359069659212855</v>
      </c>
      <c r="C283" cm="1">
        <f t="array" ref="C283">(PRODUCT(1+sp500_monthly!C284:C403)^(1/120)-1)*100</f>
        <v>1.1860126369452884</v>
      </c>
      <c r="D283" cm="1">
        <f t="array" ref="D283">(PRODUCT(1+sp500_monthly!D284:D403)^(1/120)-1)*100</f>
        <v>1.5062342823517483</v>
      </c>
      <c r="E283" cm="1">
        <f t="array" ref="E283">(PRODUCT(1+sp500_monthly!E284:E403)^(1/120)-1)*100</f>
        <v>1.0601171293546763</v>
      </c>
      <c r="F283" cm="1">
        <f t="array" ref="F283">(PRODUCT(1+sp500_monthly!K284:K403)^(1/120)-1)*100</f>
        <v>1.1899893107432558</v>
      </c>
      <c r="G283" cm="1">
        <f t="array" ref="G283">(PRODUCT(1+sp500_monthly!L284:L403)^(1/120)-1)</f>
        <v>0.14253816624530002</v>
      </c>
      <c r="H283" cm="1">
        <f t="array" ref="H283">(PRODUCT(1+sp500_monthly!N284:N403)^(1/120)-1)*100</f>
        <v>0.63807885486915072</v>
      </c>
      <c r="I283" cm="1">
        <f t="array" ref="I283">(PRODUCT(1+sp500_monthly!O284:O403)^(1/120)-1)*100</f>
        <v>1.8387049625090413E-2</v>
      </c>
    </row>
    <row r="284" spans="1:9" x14ac:dyDescent="0.35">
      <c r="A284" s="1">
        <v>18079</v>
      </c>
      <c r="B284" cm="1">
        <f t="array" ref="B284">(PRODUCT(1+sp500_monthly!B285:B404)^(1/120)-1)*100</f>
        <v>1.6338168924683982</v>
      </c>
      <c r="C284" cm="1">
        <f t="array" ref="C284">(PRODUCT(1+sp500_monthly!C285:C404)^(1/120)-1)*100</f>
        <v>1.1860743914097638</v>
      </c>
      <c r="D284" cm="1">
        <f t="array" ref="D284">(PRODUCT(1+sp500_monthly!D285:D404)^(1/120)-1)*100</f>
        <v>1.5177792844880189</v>
      </c>
      <c r="E284" cm="1">
        <f t="array" ref="E284">(PRODUCT(1+sp500_monthly!E285:E404)^(1/120)-1)*100</f>
        <v>1.0731813638494847</v>
      </c>
      <c r="F284" cm="1">
        <f t="array" ref="F284">(PRODUCT(1+sp500_monthly!K285:K404)^(1/120)-1)*100</f>
        <v>1.1887504304912477</v>
      </c>
      <c r="G284" cm="1">
        <f t="array" ref="G284">(PRODUCT(1+sp500_monthly!L285:L404)^(1/120)-1)</f>
        <v>0.14375593564391975</v>
      </c>
      <c r="H284" cm="1">
        <f t="array" ref="H284">(PRODUCT(1+sp500_monthly!N285:N404)^(1/120)-1)*100</f>
        <v>0.63545153860566916</v>
      </c>
      <c r="I284" cm="1">
        <f t="array" ref="I284">(PRODUCT(1+sp500_monthly!O285:O404)^(1/120)-1)*100</f>
        <v>1.8461490335752728E-2</v>
      </c>
    </row>
    <row r="285" spans="1:9" x14ac:dyDescent="0.35">
      <c r="A285" s="1">
        <v>18108</v>
      </c>
      <c r="B285" cm="1">
        <f t="array" ref="B285">(PRODUCT(1+sp500_monthly!B286:B405)^(1/120)-1)*100</f>
        <v>1.6110188633400524</v>
      </c>
      <c r="C285" cm="1">
        <f t="array" ref="C285">(PRODUCT(1+sp500_monthly!C286:C405)^(1/120)-1)*100</f>
        <v>1.1634228416952608</v>
      </c>
      <c r="D285" cm="1">
        <f t="array" ref="D285">(PRODUCT(1+sp500_monthly!D286:D405)^(1/120)-1)*100</f>
        <v>1.4949073050371853</v>
      </c>
      <c r="E285" cm="1">
        <f t="array" ref="E285">(PRODUCT(1+sp500_monthly!E286:E405)^(1/120)-1)*100</f>
        <v>1.0508459135878168</v>
      </c>
      <c r="F285" cm="1">
        <f t="array" ref="F285">(PRODUCT(1+sp500_monthly!K286:K405)^(1/120)-1)*100</f>
        <v>1.1668309448002345</v>
      </c>
      <c r="G285" cm="1">
        <f t="array" ref="G285">(PRODUCT(1+sp500_monthly!L286:L405)^(1/120)-1)</f>
        <v>0.14506214352428159</v>
      </c>
      <c r="H285" cm="1">
        <f t="array" ref="H285">(PRODUCT(1+sp500_monthly!N286:N405)^(1/120)-1)*100</f>
        <v>0.66275170959739782</v>
      </c>
      <c r="I285" cm="1">
        <f t="array" ref="I285">(PRODUCT(1+sp500_monthly!O286:O405)^(1/120)-1)*100</f>
        <v>1.9398105234524898E-2</v>
      </c>
    </row>
    <row r="286" spans="1:9" x14ac:dyDescent="0.35">
      <c r="A286" s="1">
        <v>18141</v>
      </c>
      <c r="B286" cm="1">
        <f t="array" ref="B286">(PRODUCT(1+sp500_monthly!B287:B406)^(1/120)-1)*100</f>
        <v>1.5833306078955944</v>
      </c>
      <c r="C286" cm="1">
        <f t="array" ref="C286">(PRODUCT(1+sp500_monthly!C287:C406)^(1/120)-1)*100</f>
        <v>1.1406931109646301</v>
      </c>
      <c r="D286" cm="1">
        <f t="array" ref="D286">(PRODUCT(1+sp500_monthly!D287:D406)^(1/120)-1)*100</f>
        <v>1.4627386805787124</v>
      </c>
      <c r="E286" cm="1">
        <f t="array" ref="E286">(PRODUCT(1+sp500_monthly!E287:E406)^(1/120)-1)*100</f>
        <v>1.0228310772017135</v>
      </c>
      <c r="F286" cm="1">
        <f t="array" ref="F286">(PRODUCT(1+sp500_monthly!K287:K406)^(1/120)-1)*100</f>
        <v>1.1440286714100356</v>
      </c>
      <c r="G286" cm="1">
        <f t="array" ref="G286">(PRODUCT(1+sp500_monthly!L287:L406)^(1/120)-1)</f>
        <v>0.14590002100150556</v>
      </c>
      <c r="H286" cm="1">
        <f t="array" ref="H286">(PRODUCT(1+sp500_monthly!N287:N406)^(1/120)-1)*100</f>
        <v>0.65254634436431314</v>
      </c>
      <c r="I286" cm="1">
        <f t="array" ref="I286">(PRODUCT(1+sp500_monthly!O287:O406)^(1/120)-1)*100</f>
        <v>2.012288758093117E-2</v>
      </c>
    </row>
    <row r="287" spans="1:9" x14ac:dyDescent="0.35">
      <c r="A287" s="1">
        <v>18171</v>
      </c>
      <c r="B287" cm="1">
        <f t="array" ref="B287">(PRODUCT(1+sp500_monthly!B288:B407)^(1/120)-1)*100</f>
        <v>1.5230858426833915</v>
      </c>
      <c r="C287" cm="1">
        <f t="array" ref="C287">(PRODUCT(1+sp500_monthly!C288:C407)^(1/120)-1)*100</f>
        <v>1.0811553285720255</v>
      </c>
      <c r="D287" cm="1">
        <f t="array" ref="D287">(PRODUCT(1+sp500_monthly!D288:D407)^(1/120)-1)*100</f>
        <v>1.3989613968779624</v>
      </c>
      <c r="E287" cm="1">
        <f t="array" ref="E287">(PRODUCT(1+sp500_monthly!E288:E407)^(1/120)-1)*100</f>
        <v>0.95921099885660777</v>
      </c>
      <c r="F287" cm="1">
        <f t="array" ref="F287">(PRODUCT(1+sp500_monthly!K288:K407)^(1/120)-1)*100</f>
        <v>1.0849695255317204</v>
      </c>
      <c r="G287" cm="1">
        <f t="array" ref="G287">(PRODUCT(1+sp500_monthly!L288:L407)^(1/120)-1)</f>
        <v>0.14765697553971724</v>
      </c>
      <c r="H287" cm="1">
        <f t="array" ref="H287">(PRODUCT(1+sp500_monthly!N288:N407)^(1/120)-1)*100</f>
        <v>0.61351908208544526</v>
      </c>
      <c r="I287" cm="1">
        <f t="array" ref="I287">(PRODUCT(1+sp500_monthly!O288:O407)^(1/120)-1)*100</f>
        <v>2.070565179377315E-2</v>
      </c>
    </row>
    <row r="288" spans="1:9" x14ac:dyDescent="0.35">
      <c r="A288" s="1">
        <v>18202</v>
      </c>
      <c r="B288" cm="1">
        <f t="array" ref="B288">(PRODUCT(1+sp500_monthly!B289:B408)^(1/120)-1)*100</f>
        <v>1.5088316625552434</v>
      </c>
      <c r="C288" cm="1">
        <f t="array" ref="C288">(PRODUCT(1+sp500_monthly!C289:C408)^(1/120)-1)*100</f>
        <v>1.0671152293494135</v>
      </c>
      <c r="D288" cm="1">
        <f t="array" ref="D288">(PRODUCT(1+sp500_monthly!D289:D408)^(1/120)-1)*100</f>
        <v>1.3943413514499348</v>
      </c>
      <c r="E288" cm="1">
        <f t="array" ref="E288">(PRODUCT(1+sp500_monthly!E289:E408)^(1/120)-1)*100</f>
        <v>0.95502745883409013</v>
      </c>
      <c r="F288" cm="1">
        <f t="array" ref="F288">(PRODUCT(1+sp500_monthly!K289:K408)^(1/120)-1)*100</f>
        <v>1.0698850978212215</v>
      </c>
      <c r="G288" cm="1">
        <f t="array" ref="G288">(PRODUCT(1+sp500_monthly!L289:L408)^(1/120)-1)</f>
        <v>0.14934322766604247</v>
      </c>
      <c r="H288" cm="1">
        <f t="array" ref="H288">(PRODUCT(1+sp500_monthly!N289:N408)^(1/120)-1)*100</f>
        <v>0.62113466597710776</v>
      </c>
      <c r="I288" cm="1">
        <f t="array" ref="I288">(PRODUCT(1+sp500_monthly!O289:O408)^(1/120)-1)*100</f>
        <v>2.0357694019845773E-2</v>
      </c>
    </row>
    <row r="289" spans="1:9" x14ac:dyDescent="0.35">
      <c r="A289" s="1">
        <v>18232</v>
      </c>
      <c r="B289" cm="1">
        <f t="array" ref="B289">(PRODUCT(1+sp500_monthly!B290:B409)^(1/120)-1)*100</f>
        <v>1.5069633384762859</v>
      </c>
      <c r="C289" cm="1">
        <f t="array" ref="C289">(PRODUCT(1+sp500_monthly!C290:C409)^(1/120)-1)*100</f>
        <v>1.0776830831968454</v>
      </c>
      <c r="D289" cm="1">
        <f t="array" ref="D289">(PRODUCT(1+sp500_monthly!D290:D409)^(1/120)-1)*100</f>
        <v>1.3914997674617124</v>
      </c>
      <c r="E289" cm="1">
        <f t="array" ref="E289">(PRODUCT(1+sp500_monthly!E290:E409)^(1/120)-1)*100</f>
        <v>0.95778904300991563</v>
      </c>
      <c r="F289" cm="1">
        <f t="array" ref="F289">(PRODUCT(1+sp500_monthly!K290:K409)^(1/120)-1)*100</f>
        <v>1.0798917194385416</v>
      </c>
      <c r="G289" cm="1">
        <f t="array" ref="G289">(PRODUCT(1+sp500_monthly!L290:L409)^(1/120)-1)</f>
        <v>0.15082061004328562</v>
      </c>
      <c r="H289" cm="1">
        <f t="array" ref="H289">(PRODUCT(1+sp500_monthly!N290:N409)^(1/120)-1)*100</f>
        <v>0.63649499280074018</v>
      </c>
      <c r="I289" cm="1">
        <f t="array" ref="I289">(PRODUCT(1+sp500_monthly!O290:O409)^(1/120)-1)*100</f>
        <v>2.2522012819803372E-2</v>
      </c>
    </row>
    <row r="290" spans="1:9" x14ac:dyDescent="0.35">
      <c r="A290" s="1">
        <v>18263</v>
      </c>
      <c r="B290" cm="1">
        <f t="array" ref="B290">(PRODUCT(1+sp500_monthly!B291:B410)^(1/120)-1)*100</f>
        <v>1.489598448081364</v>
      </c>
      <c r="C290" cm="1">
        <f t="array" ref="C290">(PRODUCT(1+sp500_monthly!C291:C410)^(1/120)-1)*100</f>
        <v>1.0621430763173567</v>
      </c>
      <c r="D290" cm="1">
        <f t="array" ref="D290">(PRODUCT(1+sp500_monthly!D291:D410)^(1/120)-1)*100</f>
        <v>1.3503960547742055</v>
      </c>
      <c r="E290" cm="1">
        <f t="array" ref="E290">(PRODUCT(1+sp500_monthly!E291:E410)^(1/120)-1)*100</f>
        <v>0.91883243918322588</v>
      </c>
      <c r="F290" cm="1">
        <f t="array" ref="F290">(PRODUCT(1+sp500_monthly!K291:K410)^(1/120)-1)*100</f>
        <v>1.0669092599167707</v>
      </c>
      <c r="G290" cm="1">
        <f t="array" ref="G290">(PRODUCT(1+sp500_monthly!L291:L410)^(1/120)-1)</f>
        <v>0.15280260778738119</v>
      </c>
      <c r="H290" cm="1">
        <f t="array" ref="H290">(PRODUCT(1+sp500_monthly!N291:N410)^(1/120)-1)*100</f>
        <v>0.65927026190732985</v>
      </c>
      <c r="I290" cm="1">
        <f t="array" ref="I290">(PRODUCT(1+sp500_monthly!O291:O410)^(1/120)-1)*100</f>
        <v>2.3648961901612253E-2</v>
      </c>
    </row>
    <row r="291" spans="1:9" x14ac:dyDescent="0.35">
      <c r="A291" s="1">
        <v>18294</v>
      </c>
      <c r="B291" cm="1">
        <f t="array" ref="B291">(PRODUCT(1+sp500_monthly!B292:B411)^(1/120)-1)*100</f>
        <v>1.4118110725779953</v>
      </c>
      <c r="C291" cm="1">
        <f t="array" ref="C291">(PRODUCT(1+sp500_monthly!C292:C411)^(1/120)-1)*100</f>
        <v>0.98507090516850582</v>
      </c>
      <c r="D291" cm="1">
        <f t="array" ref="D291">(PRODUCT(1+sp500_monthly!D292:D411)^(1/120)-1)*100</f>
        <v>1.2797012345197922</v>
      </c>
      <c r="E291" cm="1">
        <f t="array" ref="E291">(PRODUCT(1+sp500_monthly!E292:E411)^(1/120)-1)*100</f>
        <v>0.84924550991278824</v>
      </c>
      <c r="F291" cm="1">
        <f t="array" ref="F291">(PRODUCT(1+sp500_monthly!K292:K411)^(1/120)-1)*100</f>
        <v>0.99004247640857024</v>
      </c>
      <c r="G291" cm="1">
        <f t="array" ref="G291">(PRODUCT(1+sp500_monthly!L292:L411)^(1/120)-1)</f>
        <v>0.1547159367885671</v>
      </c>
      <c r="H291" cm="1">
        <f t="array" ref="H291">(PRODUCT(1+sp500_monthly!N292:N411)^(1/120)-1)*100</f>
        <v>0.59961575032496661</v>
      </c>
      <c r="I291" cm="1">
        <f t="array" ref="I291">(PRODUCT(1+sp500_monthly!O292:O411)^(1/120)-1)*100</f>
        <v>2.7529599928444171E-2</v>
      </c>
    </row>
    <row r="292" spans="1:9" x14ac:dyDescent="0.35">
      <c r="A292" s="1">
        <v>18322</v>
      </c>
      <c r="B292" cm="1">
        <f t="array" ref="B292">(PRODUCT(1+sp500_monthly!B293:B412)^(1/120)-1)*100</f>
        <v>1.4070893161434173</v>
      </c>
      <c r="C292" cm="1">
        <f t="array" ref="C292">(PRODUCT(1+sp500_monthly!C293:C412)^(1/120)-1)*100</f>
        <v>0.98436569899220672</v>
      </c>
      <c r="D292" cm="1">
        <f t="array" ref="D292">(PRODUCT(1+sp500_monthly!D293:D412)^(1/120)-1)*100</f>
        <v>1.2705457534827103</v>
      </c>
      <c r="E292" cm="1">
        <f t="array" ref="E292">(PRODUCT(1+sp500_monthly!E293:E412)^(1/120)-1)*100</f>
        <v>0.8422050414954585</v>
      </c>
      <c r="F292" cm="1">
        <f t="array" ref="F292">(PRODUCT(1+sp500_monthly!K293:K412)^(1/120)-1)*100</f>
        <v>0.98937559437439759</v>
      </c>
      <c r="G292" cm="1">
        <f t="array" ref="G292">(PRODUCT(1+sp500_monthly!L293:L412)^(1/120)-1)</f>
        <v>0.1563381474468184</v>
      </c>
      <c r="H292" cm="1">
        <f t="array" ref="H292">(PRODUCT(1+sp500_monthly!N293:N412)^(1/120)-1)*100</f>
        <v>0.61006605450368845</v>
      </c>
      <c r="I292" cm="1">
        <f t="array" ref="I292">(PRODUCT(1+sp500_monthly!O293:O412)^(1/120)-1)*100</f>
        <v>2.8808956676384945E-2</v>
      </c>
    </row>
    <row r="293" spans="1:9" x14ac:dyDescent="0.35">
      <c r="A293" s="1">
        <v>18353</v>
      </c>
      <c r="B293" cm="1">
        <f t="array" ref="B293">(PRODUCT(1+sp500_monthly!B294:B413)^(1/120)-1)*100</f>
        <v>1.3895158881141123</v>
      </c>
      <c r="C293" cm="1">
        <f t="array" ref="C293">(PRODUCT(1+sp500_monthly!C294:C413)^(1/120)-1)*100</f>
        <v>0.96846945849828892</v>
      </c>
      <c r="D293" cm="1">
        <f t="array" ref="D293">(PRODUCT(1+sp500_monthly!D294:D413)^(1/120)-1)*100</f>
        <v>1.245041609741171</v>
      </c>
      <c r="E293" cm="1">
        <f t="array" ref="E293">(PRODUCT(1+sp500_monthly!E294:E413)^(1/120)-1)*100</f>
        <v>0.81795126519568218</v>
      </c>
      <c r="F293" cm="1">
        <f t="array" ref="F293">(PRODUCT(1+sp500_monthly!K294:K413)^(1/120)-1)*100</f>
        <v>0.97418351195976971</v>
      </c>
      <c r="G293" cm="1">
        <f t="array" ref="G293">(PRODUCT(1+sp500_monthly!L294:L413)^(1/120)-1)</f>
        <v>0.15831326228383324</v>
      </c>
      <c r="H293" cm="1">
        <f t="array" ref="H293">(PRODUCT(1+sp500_monthly!N294:N413)^(1/120)-1)*100</f>
        <v>0.59946430768893499</v>
      </c>
      <c r="I293" cm="1">
        <f t="array" ref="I293">(PRODUCT(1+sp500_monthly!O294:O413)^(1/120)-1)*100</f>
        <v>3.1721412248075787E-2</v>
      </c>
    </row>
    <row r="294" spans="1:9" x14ac:dyDescent="0.35">
      <c r="A294" s="1">
        <v>18382</v>
      </c>
      <c r="B294" cm="1">
        <f t="array" ref="B294">(PRODUCT(1+sp500_monthly!B295:B414)^(1/120)-1)*100</f>
        <v>1.3378967975493872</v>
      </c>
      <c r="C294" cm="1">
        <f t="array" ref="C294">(PRODUCT(1+sp500_monthly!C295:C414)^(1/120)-1)*100</f>
        <v>0.91734487053840574</v>
      </c>
      <c r="D294" cm="1">
        <f t="array" ref="D294">(PRODUCT(1+sp500_monthly!D295:D414)^(1/120)-1)*100</f>
        <v>1.2017446518943542</v>
      </c>
      <c r="E294" cm="1">
        <f t="array" ref="E294">(PRODUCT(1+sp500_monthly!E295:E414)^(1/120)-1)*100</f>
        <v>0.77543867602591909</v>
      </c>
      <c r="F294" cm="1">
        <f t="array" ref="F294">(PRODUCT(1+sp500_monthly!K295:K414)^(1/120)-1)*100</f>
        <v>0.9221880907411828</v>
      </c>
      <c r="G294" cm="1">
        <f t="array" ref="G294">(PRODUCT(1+sp500_monthly!L295:L414)^(1/120)-1)</f>
        <v>0.15916083601555253</v>
      </c>
      <c r="H294" cm="1">
        <f t="array" ref="H294">(PRODUCT(1+sp500_monthly!N295:N414)^(1/120)-1)*100</f>
        <v>0.5821503242011028</v>
      </c>
      <c r="I294" cm="1">
        <f t="array" ref="I294">(PRODUCT(1+sp500_monthly!O295:O414)^(1/120)-1)*100</f>
        <v>2.9627164004186746E-2</v>
      </c>
    </row>
    <row r="295" spans="1:9" x14ac:dyDescent="0.35">
      <c r="A295" s="1">
        <v>18414</v>
      </c>
      <c r="B295" cm="1">
        <f t="array" ref="B295">(PRODUCT(1+sp500_monthly!B296:B415)^(1/120)-1)*100</f>
        <v>1.3270274993056885</v>
      </c>
      <c r="C295" cm="1">
        <f t="array" ref="C295">(PRODUCT(1+sp500_monthly!C296:C415)^(1/120)-1)*100</f>
        <v>0.90979141140765662</v>
      </c>
      <c r="D295" cm="1">
        <f t="array" ref="D295">(PRODUCT(1+sp500_monthly!D296:D415)^(1/120)-1)*100</f>
        <v>1.2021582720039836</v>
      </c>
      <c r="E295" cm="1">
        <f t="array" ref="E295">(PRODUCT(1+sp500_monthly!E296:E415)^(1/120)-1)*100</f>
        <v>0.77803967282490394</v>
      </c>
      <c r="F295" cm="1">
        <f t="array" ref="F295">(PRODUCT(1+sp500_monthly!K296:K415)^(1/120)-1)*100</f>
        <v>0.91206195984101512</v>
      </c>
      <c r="G295" cm="1">
        <f t="array" ref="G295">(PRODUCT(1+sp500_monthly!L296:L415)^(1/120)-1)</f>
        <v>0.16054982756770975</v>
      </c>
      <c r="H295" cm="1">
        <f t="array" ref="H295">(PRODUCT(1+sp500_monthly!N296:N415)^(1/120)-1)*100</f>
        <v>0.60893273173197038</v>
      </c>
      <c r="I295" cm="1">
        <f t="array" ref="I295">(PRODUCT(1+sp500_monthly!O296:O415)^(1/120)-1)*100</f>
        <v>3.1028676246980247E-2</v>
      </c>
    </row>
    <row r="296" spans="1:9" x14ac:dyDescent="0.35">
      <c r="A296" s="1">
        <v>18444</v>
      </c>
      <c r="B296" cm="1">
        <f t="array" ref="B296">(PRODUCT(1+sp500_monthly!B297:B416)^(1/120)-1)*100</f>
        <v>1.3923346035548789</v>
      </c>
      <c r="C296" cm="1">
        <f t="array" ref="C296">(PRODUCT(1+sp500_monthly!C297:C416)^(1/120)-1)*100</f>
        <v>0.97586015900594791</v>
      </c>
      <c r="D296" cm="1">
        <f t="array" ref="D296">(PRODUCT(1+sp500_monthly!D297:D416)^(1/120)-1)*100</f>
        <v>1.2820751294634114</v>
      </c>
      <c r="E296" cm="1">
        <f t="array" ref="E296">(PRODUCT(1+sp500_monthly!E297:E416)^(1/120)-1)*100</f>
        <v>0.8588369345818414</v>
      </c>
      <c r="F296" cm="1">
        <f t="array" ref="F296">(PRODUCT(1+sp500_monthly!K297:K416)^(1/120)-1)*100</f>
        <v>0.97862558618211359</v>
      </c>
      <c r="G296" cm="1">
        <f t="array" ref="G296">(PRODUCT(1+sp500_monthly!L297:L416)^(1/120)-1)</f>
        <v>0.16170903329562458</v>
      </c>
      <c r="H296" cm="1">
        <f t="array" ref="H296">(PRODUCT(1+sp500_monthly!N297:N416)^(1/120)-1)*100</f>
        <v>0.62588334981896754</v>
      </c>
      <c r="I296" cm="1">
        <f t="array" ref="I296">(PRODUCT(1+sp500_monthly!O297:O416)^(1/120)-1)*100</f>
        <v>3.1900047290900346E-2</v>
      </c>
    </row>
    <row r="297" spans="1:9" x14ac:dyDescent="0.35">
      <c r="A297" s="1">
        <v>18475</v>
      </c>
      <c r="B297" cm="1">
        <f t="array" ref="B297">(PRODUCT(1+sp500_monthly!B298:B417)^(1/120)-1)*100</f>
        <v>1.3584973158834668</v>
      </c>
      <c r="C297" cm="1">
        <f t="array" ref="C297">(PRODUCT(1+sp500_monthly!C298:C417)^(1/120)-1)*100</f>
        <v>0.94233212922218978</v>
      </c>
      <c r="D297" cm="1">
        <f t="array" ref="D297">(PRODUCT(1+sp500_monthly!D298:D417)^(1/120)-1)*100</f>
        <v>1.225835811823095</v>
      </c>
      <c r="E297" cm="1">
        <f t="array" ref="E297">(PRODUCT(1+sp500_monthly!E298:E417)^(1/120)-1)*100</f>
        <v>0.80333416911104738</v>
      </c>
      <c r="F297" cm="1">
        <f t="array" ref="F297">(PRODUCT(1+sp500_monthly!K298:K417)^(1/120)-1)*100</f>
        <v>0.95041673492772816</v>
      </c>
      <c r="G297" cm="1">
        <f t="array" ref="G297">(PRODUCT(1+sp500_monthly!L298:L417)^(1/120)-1)</f>
        <v>0.16196955109499367</v>
      </c>
      <c r="H297" cm="1">
        <f t="array" ref="H297">(PRODUCT(1+sp500_monthly!N298:N417)^(1/120)-1)*100</f>
        <v>0.60811857489073695</v>
      </c>
      <c r="I297" cm="1">
        <f t="array" ref="I297">(PRODUCT(1+sp500_monthly!O298:O417)^(1/120)-1)*100</f>
        <v>3.4673931987039275E-2</v>
      </c>
    </row>
    <row r="298" spans="1:9" x14ac:dyDescent="0.35">
      <c r="A298" s="1">
        <v>18506</v>
      </c>
      <c r="B298" cm="1">
        <f t="array" ref="B298">(PRODUCT(1+sp500_monthly!B299:B418)^(1/120)-1)*100</f>
        <v>1.3450161489561463</v>
      </c>
      <c r="C298" cm="1">
        <f t="array" ref="C298">(PRODUCT(1+sp500_monthly!C299:C418)^(1/120)-1)*100</f>
        <v>0.93797528040133749</v>
      </c>
      <c r="D298" cm="1">
        <f t="array" ref="D298">(PRODUCT(1+sp500_monthly!D299:D418)^(1/120)-1)*100</f>
        <v>1.2251035574396996</v>
      </c>
      <c r="E298" cm="1">
        <f t="array" ref="E298">(PRODUCT(1+sp500_monthly!E299:E418)^(1/120)-1)*100</f>
        <v>0.80579816636905388</v>
      </c>
      <c r="F298" cm="1">
        <f t="array" ref="F298">(PRODUCT(1+sp500_monthly!K299:K418)^(1/120)-1)*100</f>
        <v>0.94519434655733203</v>
      </c>
      <c r="G298" cm="1">
        <f t="array" ref="G298">(PRODUCT(1+sp500_monthly!L299:L418)^(1/120)-1)</f>
        <v>0.16256708842173007</v>
      </c>
      <c r="H298" cm="1">
        <f t="array" ref="H298">(PRODUCT(1+sp500_monthly!N299:N418)^(1/120)-1)*100</f>
        <v>0.63239628290159278</v>
      </c>
      <c r="I298" cm="1">
        <f t="array" ref="I298">(PRODUCT(1+sp500_monthly!O299:O418)^(1/120)-1)*100</f>
        <v>3.439896903585371E-2</v>
      </c>
    </row>
    <row r="299" spans="1:9" x14ac:dyDescent="0.35">
      <c r="A299" s="1">
        <v>18535</v>
      </c>
      <c r="B299" cm="1">
        <f t="array" ref="B299">(PRODUCT(1+sp500_monthly!B300:B419)^(1/120)-1)*100</f>
        <v>1.2451795407779187</v>
      </c>
      <c r="C299" cm="1">
        <f t="array" ref="C299">(PRODUCT(1+sp500_monthly!C300:C419)^(1/120)-1)*100</f>
        <v>0.83891491697594134</v>
      </c>
      <c r="D299" cm="1">
        <f t="array" ref="D299">(PRODUCT(1+sp500_monthly!D300:D419)^(1/120)-1)*100</f>
        <v>1.1194639398424799</v>
      </c>
      <c r="E299" cm="1">
        <f t="array" ref="E299">(PRODUCT(1+sp500_monthly!E300:E419)^(1/120)-1)*100</f>
        <v>0.70142348953226019</v>
      </c>
      <c r="F299" cm="1">
        <f t="array" ref="F299">(PRODUCT(1+sp500_monthly!K300:K419)^(1/120)-1)*100</f>
        <v>0.84707020875618433</v>
      </c>
      <c r="G299" cm="1">
        <f t="array" ref="G299">(PRODUCT(1+sp500_monthly!L300:L419)^(1/120)-1)</f>
        <v>0.16308173342445365</v>
      </c>
      <c r="H299" cm="1">
        <f t="array" ref="H299">(PRODUCT(1+sp500_monthly!N300:N419)^(1/120)-1)*100</f>
        <v>0.5816675429997531</v>
      </c>
      <c r="I299" cm="1">
        <f t="array" ref="I299">(PRODUCT(1+sp500_monthly!O300:O419)^(1/120)-1)*100</f>
        <v>3.5731704003105769E-2</v>
      </c>
    </row>
    <row r="300" spans="1:9" x14ac:dyDescent="0.35">
      <c r="A300" s="1">
        <v>18567</v>
      </c>
      <c r="B300" cm="1">
        <f t="array" ref="B300">(PRODUCT(1+sp500_monthly!B301:B420)^(1/120)-1)*100</f>
        <v>1.2399902654874451</v>
      </c>
      <c r="C300" cm="1">
        <f t="array" ref="C300">(PRODUCT(1+sp500_monthly!C301:C420)^(1/120)-1)*100</f>
        <v>0.83401674403145165</v>
      </c>
      <c r="D300" cm="1">
        <f t="array" ref="D300">(PRODUCT(1+sp500_monthly!D301:D420)^(1/120)-1)*100</f>
        <v>1.1157164297443511</v>
      </c>
      <c r="E300" cm="1">
        <f t="array" ref="E300">(PRODUCT(1+sp500_monthly!E301:E420)^(1/120)-1)*100</f>
        <v>0.69883322907877687</v>
      </c>
      <c r="F300" cm="1">
        <f t="array" ref="F300">(PRODUCT(1+sp500_monthly!K301:K420)^(1/120)-1)*100</f>
        <v>0.84157711798702461</v>
      </c>
      <c r="G300" cm="1">
        <f t="array" ref="G300">(PRODUCT(1+sp500_monthly!L301:L420)^(1/120)-1)</f>
        <v>0.16391093951837599</v>
      </c>
      <c r="H300" cm="1">
        <f t="array" ref="H300">(PRODUCT(1+sp500_monthly!N301:N420)^(1/120)-1)*100</f>
        <v>0.57680908601229763</v>
      </c>
      <c r="I300" cm="1">
        <f t="array" ref="I300">(PRODUCT(1+sp500_monthly!O301:O420)^(1/120)-1)*100</f>
        <v>3.3631470582551337E-2</v>
      </c>
    </row>
    <row r="301" spans="1:9" x14ac:dyDescent="0.35">
      <c r="A301" s="1">
        <v>18597</v>
      </c>
      <c r="B301" cm="1">
        <f t="array" ref="B301">(PRODUCT(1+sp500_monthly!B302:B421)^(1/120)-1)*100</f>
        <v>1.2592856228805127</v>
      </c>
      <c r="C301" cm="1">
        <f t="array" ref="C301">(PRODUCT(1+sp500_monthly!C302:C421)^(1/120)-1)*100</f>
        <v>0.86702142093884049</v>
      </c>
      <c r="D301" cm="1">
        <f t="array" ref="D301">(PRODUCT(1+sp500_monthly!D302:D421)^(1/120)-1)*100</f>
        <v>1.1308152140244276</v>
      </c>
      <c r="E301" cm="1">
        <f t="array" ref="E301">(PRODUCT(1+sp500_monthly!E302:E421)^(1/120)-1)*100</f>
        <v>0.72039252305668988</v>
      </c>
      <c r="F301" cm="1">
        <f t="array" ref="F301">(PRODUCT(1+sp500_monthly!K302:K421)^(1/120)-1)*100</f>
        <v>0.87562094556195014</v>
      </c>
      <c r="G301" cm="1">
        <f t="array" ref="G301">(PRODUCT(1+sp500_monthly!L302:L421)^(1/120)-1)</f>
        <v>0.16408415804206178</v>
      </c>
      <c r="H301" cm="1">
        <f t="array" ref="H301">(PRODUCT(1+sp500_monthly!N302:N421)^(1/120)-1)*100</f>
        <v>0.61372998496140863</v>
      </c>
      <c r="I301" cm="1">
        <f t="array" ref="I301">(PRODUCT(1+sp500_monthly!O302:O421)^(1/120)-1)*100</f>
        <v>3.3874269562694792E-2</v>
      </c>
    </row>
    <row r="302" spans="1:9" x14ac:dyDescent="0.35">
      <c r="A302" s="1">
        <v>18627</v>
      </c>
      <c r="B302" cm="1">
        <f t="array" ref="B302">(PRODUCT(1+sp500_monthly!B303:B422)^(1/120)-1)*100</f>
        <v>1.254003661752856</v>
      </c>
      <c r="C302" cm="1">
        <f t="array" ref="C302">(PRODUCT(1+sp500_monthly!C303:C422)^(1/120)-1)*100</f>
        <v>0.86347270420652489</v>
      </c>
      <c r="D302" cm="1">
        <f t="array" ref="D302">(PRODUCT(1+sp500_monthly!D303:D422)^(1/120)-1)*100</f>
        <v>1.0985045373574032</v>
      </c>
      <c r="E302" cm="1">
        <f t="array" ref="E302">(PRODUCT(1+sp500_monthly!E303:E422)^(1/120)-1)*100</f>
        <v>0.69193708582715452</v>
      </c>
      <c r="F302" cm="1">
        <f t="array" ref="F302">(PRODUCT(1+sp500_monthly!K303:K422)^(1/120)-1)*100</f>
        <v>0.87573584712117292</v>
      </c>
      <c r="G302" cm="1">
        <f t="array" ref="G302">(PRODUCT(1+sp500_monthly!L303:L422)^(1/120)-1)</f>
        <v>0.16451164931853723</v>
      </c>
      <c r="H302" cm="1">
        <f t="array" ref="H302">(PRODUCT(1+sp500_monthly!N303:N422)^(1/120)-1)*100</f>
        <v>0.65287378759295578</v>
      </c>
      <c r="I302" cm="1">
        <f t="array" ref="I302">(PRODUCT(1+sp500_monthly!O303:O422)^(1/120)-1)*100</f>
        <v>3.4367638622145869E-2</v>
      </c>
    </row>
    <row r="303" spans="1:9" x14ac:dyDescent="0.35">
      <c r="A303" s="1">
        <v>18659</v>
      </c>
      <c r="B303" cm="1">
        <f t="array" ref="B303">(PRODUCT(1+sp500_monthly!B304:B423)^(1/120)-1)*100</f>
        <v>1.2533815520886948</v>
      </c>
      <c r="C303" cm="1">
        <f t="array" ref="C303">(PRODUCT(1+sp500_monthly!C304:C423)^(1/120)-1)*100</f>
        <v>0.86337151619211294</v>
      </c>
      <c r="D303" cm="1">
        <f t="array" ref="D303">(PRODUCT(1+sp500_monthly!D304:D423)^(1/120)-1)*100</f>
        <v>1.1032518292505511</v>
      </c>
      <c r="E303" cm="1">
        <f t="array" ref="E303">(PRODUCT(1+sp500_monthly!E304:E423)^(1/120)-1)*100</f>
        <v>0.69734130037826247</v>
      </c>
      <c r="F303" cm="1">
        <f t="array" ref="F303">(PRODUCT(1+sp500_monthly!K304:K423)^(1/120)-1)*100</f>
        <v>0.87724902657273507</v>
      </c>
      <c r="G303" cm="1">
        <f t="array" ref="G303">(PRODUCT(1+sp500_monthly!L304:L423)^(1/120)-1)</f>
        <v>0.16501381418944505</v>
      </c>
      <c r="H303" cm="1">
        <f t="array" ref="H303">(PRODUCT(1+sp500_monthly!N304:N423)^(1/120)-1)*100</f>
        <v>0.70432913461728752</v>
      </c>
      <c r="I303" cm="1">
        <f t="array" ref="I303">(PRODUCT(1+sp500_monthly!O304:O423)^(1/120)-1)*100</f>
        <v>3.5111504979634667E-2</v>
      </c>
    </row>
    <row r="304" spans="1:9" x14ac:dyDescent="0.35">
      <c r="A304" s="1">
        <v>18687</v>
      </c>
      <c r="B304" cm="1">
        <f t="array" ref="B304">(PRODUCT(1+sp500_monthly!B305:B424)^(1/120)-1)*100</f>
        <v>1.2684602577938797</v>
      </c>
      <c r="C304" cm="1">
        <f t="array" ref="C304">(PRODUCT(1+sp500_monthly!C305:C424)^(1/120)-1)*100</f>
        <v>0.88357483645737922</v>
      </c>
      <c r="D304" cm="1">
        <f t="array" ref="D304">(PRODUCT(1+sp500_monthly!D305:D424)^(1/120)-1)*100</f>
        <v>1.1413078342385363</v>
      </c>
      <c r="E304" cm="1">
        <f t="array" ref="E304">(PRODUCT(1+sp500_monthly!E305:E424)^(1/120)-1)*100</f>
        <v>0.73763715820156506</v>
      </c>
      <c r="F304" cm="1">
        <f t="array" ref="F304">(PRODUCT(1+sp500_monthly!K305:K424)^(1/120)-1)*100</f>
        <v>0.89412395900478892</v>
      </c>
      <c r="G304" cm="1">
        <f t="array" ref="G304">(PRODUCT(1+sp500_monthly!L305:L424)^(1/120)-1)</f>
        <v>0.16536063296603998</v>
      </c>
      <c r="H304" cm="1">
        <f t="array" ref="H304">(PRODUCT(1+sp500_monthly!N305:N424)^(1/120)-1)*100</f>
        <v>0.73144772223912025</v>
      </c>
      <c r="I304" cm="1">
        <f t="array" ref="I304">(PRODUCT(1+sp500_monthly!O305:O424)^(1/120)-1)*100</f>
        <v>3.627777188726089E-2</v>
      </c>
    </row>
    <row r="305" spans="1:9" x14ac:dyDescent="0.35">
      <c r="A305" s="1">
        <v>18718</v>
      </c>
      <c r="B305" cm="1">
        <f t="array" ref="B305">(PRODUCT(1+sp500_monthly!B306:B425)^(1/120)-1)*100</f>
        <v>1.3077611651880039</v>
      </c>
      <c r="C305" cm="1">
        <f t="array" ref="C305">(PRODUCT(1+sp500_monthly!C306:C425)^(1/120)-1)*100</f>
        <v>0.92275413993758715</v>
      </c>
      <c r="D305" cm="1">
        <f t="array" ref="D305">(PRODUCT(1+sp500_monthly!D306:D425)^(1/120)-1)*100</f>
        <v>1.1922415369788553</v>
      </c>
      <c r="E305" cm="1">
        <f t="array" ref="E305">(PRODUCT(1+sp500_monthly!E306:E425)^(1/120)-1)*100</f>
        <v>0.78945655711750717</v>
      </c>
      <c r="F305" cm="1">
        <f t="array" ref="F305">(PRODUCT(1+sp500_monthly!K306:K425)^(1/120)-1)*100</f>
        <v>0.93090222507192788</v>
      </c>
      <c r="G305" cm="1">
        <f t="array" ref="G305">(PRODUCT(1+sp500_monthly!L306:L425)^(1/120)-1)</f>
        <v>0.16611798988665627</v>
      </c>
      <c r="H305" cm="1">
        <f t="array" ref="H305">(PRODUCT(1+sp500_monthly!N306:N425)^(1/120)-1)*100</f>
        <v>0.75572917488568869</v>
      </c>
      <c r="I305" cm="1">
        <f t="array" ref="I305">(PRODUCT(1+sp500_monthly!O306:O425)^(1/120)-1)*100</f>
        <v>3.7943391998140896E-2</v>
      </c>
    </row>
    <row r="306" spans="1:9" x14ac:dyDescent="0.35">
      <c r="A306" s="1">
        <v>18748</v>
      </c>
      <c r="B306" cm="1">
        <f t="array" ref="B306">(PRODUCT(1+sp500_monthly!B307:B426)^(1/120)-1)*100</f>
        <v>1.2711167226148401</v>
      </c>
      <c r="C306" cm="1">
        <f t="array" ref="C306">(PRODUCT(1+sp500_monthly!C307:C426)^(1/120)-1)*100</f>
        <v>0.8866341363922503</v>
      </c>
      <c r="D306" cm="1">
        <f t="array" ref="D306">(PRODUCT(1+sp500_monthly!D307:D426)^(1/120)-1)*100</f>
        <v>1.1664900329534378</v>
      </c>
      <c r="E306" cm="1">
        <f t="array" ref="E306">(PRODUCT(1+sp500_monthly!E307:E426)^(1/120)-1)*100</f>
        <v>0.76485978941480681</v>
      </c>
      <c r="F306" cm="1">
        <f t="array" ref="F306">(PRODUCT(1+sp500_monthly!K307:K426)^(1/120)-1)*100</f>
        <v>0.89459638855504675</v>
      </c>
      <c r="G306" cm="1">
        <f t="array" ref="G306">(PRODUCT(1+sp500_monthly!L307:L426)^(1/120)-1)</f>
        <v>0.1664560781855795</v>
      </c>
      <c r="H306" cm="1">
        <f t="array" ref="H306">(PRODUCT(1+sp500_monthly!N307:N426)^(1/120)-1)*100</f>
        <v>0.76037463031377595</v>
      </c>
      <c r="I306" cm="1">
        <f t="array" ref="I306">(PRODUCT(1+sp500_monthly!O307:O426)^(1/120)-1)*100</f>
        <v>4.0197959429710828E-2</v>
      </c>
    </row>
    <row r="307" spans="1:9" x14ac:dyDescent="0.35">
      <c r="A307" s="1">
        <v>18779</v>
      </c>
      <c r="B307" cm="1">
        <f t="array" ref="B307">(PRODUCT(1+sp500_monthly!B308:B427)^(1/120)-1)*100</f>
        <v>1.3164604356507903</v>
      </c>
      <c r="C307" cm="1">
        <f t="array" ref="C307">(PRODUCT(1+sp500_monthly!C308:C427)^(1/120)-1)*100</f>
        <v>0.93753152235760417</v>
      </c>
      <c r="D307" cm="1">
        <f t="array" ref="D307">(PRODUCT(1+sp500_monthly!D308:D427)^(1/120)-1)*100</f>
        <v>1.2216270193329715</v>
      </c>
      <c r="E307" cm="1">
        <f t="array" ref="E307">(PRODUCT(1+sp500_monthly!E308:E427)^(1/120)-1)*100</f>
        <v>0.82275831964151447</v>
      </c>
      <c r="F307" cm="1">
        <f t="array" ref="F307">(PRODUCT(1+sp500_monthly!K308:K427)^(1/120)-1)*100</f>
        <v>0.94537185232543841</v>
      </c>
      <c r="G307" cm="1">
        <f t="array" ref="G307">(PRODUCT(1+sp500_monthly!L308:L427)^(1/120)-1)</f>
        <v>0.16696345841083393</v>
      </c>
      <c r="H307" cm="1">
        <f t="array" ref="H307">(PRODUCT(1+sp500_monthly!N308:N427)^(1/120)-1)*100</f>
        <v>0.77907920485458249</v>
      </c>
      <c r="I307" cm="1">
        <f t="array" ref="I307">(PRODUCT(1+sp500_monthly!O308:O427)^(1/120)-1)*100</f>
        <v>4.0858655670072963E-2</v>
      </c>
    </row>
    <row r="308" spans="1:9" x14ac:dyDescent="0.35">
      <c r="A308" s="1">
        <v>18808</v>
      </c>
      <c r="B308" cm="1">
        <f t="array" ref="B308">(PRODUCT(1+sp500_monthly!B309:B428)^(1/120)-1)*100</f>
        <v>1.3157451023936062</v>
      </c>
      <c r="C308" cm="1">
        <f t="array" ref="C308">(PRODUCT(1+sp500_monthly!C309:C428)^(1/120)-1)*100</f>
        <v>0.93706486672899825</v>
      </c>
      <c r="D308" cm="1">
        <f t="array" ref="D308">(PRODUCT(1+sp500_monthly!D309:D428)^(1/120)-1)*100</f>
        <v>1.2264523889254919</v>
      </c>
      <c r="E308" cm="1">
        <f t="array" ref="E308">(PRODUCT(1+sp500_monthly!E309:E428)^(1/120)-1)*100</f>
        <v>0.82881061280002388</v>
      </c>
      <c r="F308" cm="1">
        <f t="array" ref="F308">(PRODUCT(1+sp500_monthly!K309:K428)^(1/120)-1)*100</f>
        <v>0.94292928903165762</v>
      </c>
      <c r="G308" cm="1">
        <f t="array" ref="G308">(PRODUCT(1+sp500_monthly!L309:L428)^(1/120)-1)</f>
        <v>0.16763458598755876</v>
      </c>
      <c r="H308" cm="1">
        <f t="array" ref="H308">(PRODUCT(1+sp500_monthly!N309:N428)^(1/120)-1)*100</f>
        <v>0.75637692501979714</v>
      </c>
      <c r="I308" cm="1">
        <f t="array" ref="I308">(PRODUCT(1+sp500_monthly!O309:O428)^(1/120)-1)*100</f>
        <v>4.2524352053385783E-2</v>
      </c>
    </row>
    <row r="309" spans="1:9" x14ac:dyDescent="0.35">
      <c r="A309" s="1">
        <v>18840</v>
      </c>
      <c r="B309" cm="1">
        <f t="array" ref="B309">(PRODUCT(1+sp500_monthly!B310:B429)^(1/120)-1)*100</f>
        <v>1.2859494831801488</v>
      </c>
      <c r="C309" cm="1">
        <f t="array" ref="C309">(PRODUCT(1+sp500_monthly!C310:C429)^(1/120)-1)*100</f>
        <v>0.90755404781830418</v>
      </c>
      <c r="D309" cm="1">
        <f t="array" ref="D309">(PRODUCT(1+sp500_monthly!D310:D429)^(1/120)-1)*100</f>
        <v>1.1787853338607324</v>
      </c>
      <c r="E309" cm="1">
        <f t="array" ref="E309">(PRODUCT(1+sp500_monthly!E310:E429)^(1/120)-1)*100</f>
        <v>0.78241443384112763</v>
      </c>
      <c r="F309" cm="1">
        <f t="array" ref="F309">(PRODUCT(1+sp500_monthly!K310:K429)^(1/120)-1)*100</f>
        <v>0.91418637330065167</v>
      </c>
      <c r="G309" cm="1">
        <f t="array" ref="G309">(PRODUCT(1+sp500_monthly!L310:L429)^(1/120)-1)</f>
        <v>0.16805595239773896</v>
      </c>
      <c r="H309" cm="1">
        <f t="array" ref="H309">(PRODUCT(1+sp500_monthly!N310:N429)^(1/120)-1)*100</f>
        <v>0.78203874372531068</v>
      </c>
      <c r="I309" cm="1">
        <f t="array" ref="I309">(PRODUCT(1+sp500_monthly!O310:O429)^(1/120)-1)*100</f>
        <v>4.1791546723435324E-2</v>
      </c>
    </row>
    <row r="310" spans="1:9" x14ac:dyDescent="0.35">
      <c r="A310" s="1">
        <v>18871</v>
      </c>
      <c r="B310" cm="1">
        <f t="array" ref="B310">(PRODUCT(1+sp500_monthly!B311:B430)^(1/120)-1)*100</f>
        <v>1.2652128836813548</v>
      </c>
      <c r="C310" cm="1">
        <f t="array" ref="C310">(PRODUCT(1+sp500_monthly!C311:C430)^(1/120)-1)*100</f>
        <v>0.89212132156470947</v>
      </c>
      <c r="D310" cm="1">
        <f t="array" ref="D310">(PRODUCT(1+sp500_monthly!D311:D430)^(1/120)-1)*100</f>
        <v>1.17292142793326</v>
      </c>
      <c r="E310" cm="1">
        <f t="array" ref="E310">(PRODUCT(1+sp500_monthly!E311:E430)^(1/120)-1)*100</f>
        <v>0.77917780929843694</v>
      </c>
      <c r="F310" cm="1">
        <f t="array" ref="F310">(PRODUCT(1+sp500_monthly!K311:K430)^(1/120)-1)*100</f>
        <v>0.89812464630265598</v>
      </c>
      <c r="G310" cm="1">
        <f t="array" ref="G310">(PRODUCT(1+sp500_monthly!L311:L430)^(1/120)-1)</f>
        <v>0.16814171644988596</v>
      </c>
      <c r="H310" cm="1">
        <f t="array" ref="H310">(PRODUCT(1+sp500_monthly!N311:N430)^(1/120)-1)*100</f>
        <v>0.80199635046396267</v>
      </c>
      <c r="I310" cm="1">
        <f t="array" ref="I310">(PRODUCT(1+sp500_monthly!O311:O430)^(1/120)-1)*100</f>
        <v>4.2400798944464135E-2</v>
      </c>
    </row>
    <row r="311" spans="1:9" x14ac:dyDescent="0.35">
      <c r="A311" s="1">
        <v>18899</v>
      </c>
      <c r="B311" cm="1">
        <f t="array" ref="B311">(PRODUCT(1+sp500_monthly!B312:B431)^(1/120)-1)*100</f>
        <v>1.2468902166074436</v>
      </c>
      <c r="C311" cm="1">
        <f t="array" ref="C311">(PRODUCT(1+sp500_monthly!C312:C431)^(1/120)-1)*100</f>
        <v>0.87423852403851754</v>
      </c>
      <c r="D311" cm="1">
        <f t="array" ref="D311">(PRODUCT(1+sp500_monthly!D312:D431)^(1/120)-1)*100</f>
        <v>1.135691618833623</v>
      </c>
      <c r="E311" cm="1">
        <f t="array" ref="E311">(PRODUCT(1+sp500_monthly!E312:E431)^(1/120)-1)*100</f>
        <v>0.74319401885118985</v>
      </c>
      <c r="F311" cm="1">
        <f t="array" ref="F311">(PRODUCT(1+sp500_monthly!K312:K431)^(1/120)-1)*100</f>
        <v>0.88213105452215057</v>
      </c>
      <c r="G311" cm="1">
        <f t="array" ref="G311">(PRODUCT(1+sp500_monthly!L312:L431)^(1/120)-1)</f>
        <v>0.16856694935921879</v>
      </c>
      <c r="H311" cm="1">
        <f t="array" ref="H311">(PRODUCT(1+sp500_monthly!N312:N431)^(1/120)-1)*100</f>
        <v>0.78504147426901039</v>
      </c>
      <c r="I311" cm="1">
        <f t="array" ref="I311">(PRODUCT(1+sp500_monthly!O312:O431)^(1/120)-1)*100</f>
        <v>4.2703796949417061E-2</v>
      </c>
    </row>
    <row r="312" spans="1:9" x14ac:dyDescent="0.35">
      <c r="A312" s="1">
        <v>18932</v>
      </c>
      <c r="B312" cm="1">
        <f t="array" ref="B312">(PRODUCT(1+sp500_monthly!B313:B432)^(1/120)-1)*100</f>
        <v>1.2816541619378397</v>
      </c>
      <c r="C312" cm="1">
        <f t="array" ref="C312">(PRODUCT(1+sp500_monthly!C313:C432)^(1/120)-1)*100</f>
        <v>0.90924912475274233</v>
      </c>
      <c r="D312" cm="1">
        <f t="array" ref="D312">(PRODUCT(1+sp500_monthly!D313:D432)^(1/120)-1)*100</f>
        <v>1.1744477046497837</v>
      </c>
      <c r="E312" cm="1">
        <f t="array" ref="E312">(PRODUCT(1+sp500_monthly!E313:E432)^(1/120)-1)*100</f>
        <v>0.78316192597458478</v>
      </c>
      <c r="F312" cm="1">
        <f t="array" ref="F312">(PRODUCT(1+sp500_monthly!K313:K432)^(1/120)-1)*100</f>
        <v>0.91726335202844123</v>
      </c>
      <c r="G312" cm="1">
        <f t="array" ref="G312">(PRODUCT(1+sp500_monthly!L313:L432)^(1/120)-1)</f>
        <v>0.16881562058769761</v>
      </c>
      <c r="H312" cm="1">
        <f t="array" ref="H312">(PRODUCT(1+sp500_monthly!N313:N432)^(1/120)-1)*100</f>
        <v>0.80838043684998695</v>
      </c>
      <c r="I312" cm="1">
        <f t="array" ref="I312">(PRODUCT(1+sp500_monthly!O313:O432)^(1/120)-1)*100</f>
        <v>4.4286316036923346E-2</v>
      </c>
    </row>
    <row r="313" spans="1:9" x14ac:dyDescent="0.35">
      <c r="A313" s="1">
        <v>18962</v>
      </c>
      <c r="B313" cm="1">
        <f t="array" ref="B313">(PRODUCT(1+sp500_monthly!B314:B433)^(1/120)-1)*100</f>
        <v>1.3094340301112117</v>
      </c>
      <c r="C313" cm="1">
        <f t="array" ref="C313">(PRODUCT(1+sp500_monthly!C314:C433)^(1/120)-1)*100</f>
        <v>0.94385668822181135</v>
      </c>
      <c r="D313" cm="1">
        <f t="array" ref="D313">(PRODUCT(1+sp500_monthly!D314:D433)^(1/120)-1)*100</f>
        <v>1.1961325011634383</v>
      </c>
      <c r="E313" cm="1">
        <f t="array" ref="E313">(PRODUCT(1+sp500_monthly!E314:E433)^(1/120)-1)*100</f>
        <v>0.80941117891280001</v>
      </c>
      <c r="F313" cm="1">
        <f t="array" ref="F313">(PRODUCT(1+sp500_monthly!K314:K433)^(1/120)-1)*100</f>
        <v>0.95192770594128007</v>
      </c>
      <c r="G313" cm="1">
        <f t="array" ref="G313">(PRODUCT(1+sp500_monthly!L314:L433)^(1/120)-1)</f>
        <v>0.16916049083412688</v>
      </c>
      <c r="H313" cm="1">
        <f t="array" ref="H313">(PRODUCT(1+sp500_monthly!N314:N433)^(1/120)-1)*100</f>
        <v>0.8455462045436013</v>
      </c>
      <c r="I313" cm="1">
        <f t="array" ref="I313">(PRODUCT(1+sp500_monthly!O314:O433)^(1/120)-1)*100</f>
        <v>4.5535940441832068E-2</v>
      </c>
    </row>
    <row r="314" spans="1:9" x14ac:dyDescent="0.35">
      <c r="A314" s="1">
        <v>18993</v>
      </c>
      <c r="B314" cm="1">
        <f t="array" ref="B314">(PRODUCT(1+sp500_monthly!B315:B434)^(1/120)-1)*100</f>
        <v>1.2788099673608055</v>
      </c>
      <c r="C314" cm="1">
        <f t="array" ref="C314">(PRODUCT(1+sp500_monthly!C315:C434)^(1/120)-1)*100</f>
        <v>0.91501898098149681</v>
      </c>
      <c r="D314" cm="1">
        <f t="array" ref="D314">(PRODUCT(1+sp500_monthly!D315:D434)^(1/120)-1)*100</f>
        <v>1.171621911095988</v>
      </c>
      <c r="E314" cm="1">
        <f t="array" ref="E314">(PRODUCT(1+sp500_monthly!E315:E434)^(1/120)-1)*100</f>
        <v>0.78833310448438443</v>
      </c>
      <c r="F314" cm="1">
        <f t="array" ref="F314">(PRODUCT(1+sp500_monthly!K315:K434)^(1/120)-1)*100</f>
        <v>0.92253672910680429</v>
      </c>
      <c r="G314" cm="1">
        <f t="array" ref="G314">(PRODUCT(1+sp500_monthly!L315:L434)^(1/120)-1)</f>
        <v>0.16975130600133204</v>
      </c>
      <c r="H314" cm="1">
        <f t="array" ref="H314">(PRODUCT(1+sp500_monthly!N315:N434)^(1/120)-1)*100</f>
        <v>0.84864291746304943</v>
      </c>
      <c r="I314" cm="1">
        <f t="array" ref="I314">(PRODUCT(1+sp500_monthly!O315:O434)^(1/120)-1)*100</f>
        <v>4.6284642769900408E-2</v>
      </c>
    </row>
    <row r="315" spans="1:9" x14ac:dyDescent="0.35">
      <c r="A315" s="1">
        <v>19024</v>
      </c>
      <c r="B315" cm="1">
        <f t="array" ref="B315">(PRODUCT(1+sp500_monthly!B316:B435)^(1/120)-1)*100</f>
        <v>1.23182445666008</v>
      </c>
      <c r="C315" cm="1">
        <f t="array" ref="C315">(PRODUCT(1+sp500_monthly!C316:C435)^(1/120)-1)*100</f>
        <v>0.86824565897509753</v>
      </c>
      <c r="D315" cm="1">
        <f t="array" ref="D315">(PRODUCT(1+sp500_monthly!D316:D435)^(1/120)-1)*100</f>
        <v>1.1436310689948437</v>
      </c>
      <c r="E315" cm="1">
        <f t="array" ref="E315">(PRODUCT(1+sp500_monthly!E316:E435)^(1/120)-1)*100</f>
        <v>0.76121398489501502</v>
      </c>
      <c r="F315" cm="1">
        <f t="array" ref="F315">(PRODUCT(1+sp500_monthly!K316:K435)^(1/120)-1)*100</f>
        <v>0.87708302109499314</v>
      </c>
      <c r="G315" cm="1">
        <f t="array" ref="G315">(PRODUCT(1+sp500_monthly!L316:L435)^(1/120)-1)</f>
        <v>0.17048603750571423</v>
      </c>
      <c r="H315" cm="1">
        <f t="array" ref="H315">(PRODUCT(1+sp500_monthly!N316:N435)^(1/120)-1)*100</f>
        <v>0.81581296856778618</v>
      </c>
      <c r="I315" cm="1">
        <f t="array" ref="I315">(PRODUCT(1+sp500_monthly!O316:O435)^(1/120)-1)*100</f>
        <v>4.7450153055050848E-2</v>
      </c>
    </row>
    <row r="316" spans="1:9" x14ac:dyDescent="0.35">
      <c r="A316" s="1">
        <v>19053</v>
      </c>
      <c r="B316" cm="1">
        <f t="array" ref="B316">(PRODUCT(1+sp500_monthly!B317:B436)^(1/120)-1)*100</f>
        <v>1.2705934336568303</v>
      </c>
      <c r="C316" cm="1">
        <f t="array" ref="C316">(PRODUCT(1+sp500_monthly!C317:C436)^(1/120)-1)*100</f>
        <v>0.9123140668441776</v>
      </c>
      <c r="D316" cm="1">
        <f t="array" ref="D316">(PRODUCT(1+sp500_monthly!D317:D436)^(1/120)-1)*100</f>
        <v>1.1692220090165018</v>
      </c>
      <c r="E316" cm="1">
        <f t="array" ref="E316">(PRODUCT(1+sp500_monthly!E317:E436)^(1/120)-1)*100</f>
        <v>0.78974050488771486</v>
      </c>
      <c r="F316" cm="1">
        <f t="array" ref="F316">(PRODUCT(1+sp500_monthly!K317:K436)^(1/120)-1)*100</f>
        <v>0.92187743839780012</v>
      </c>
      <c r="G316" cm="1">
        <f t="array" ref="G316">(PRODUCT(1+sp500_monthly!L317:L436)^(1/120)-1)</f>
        <v>0.1711591909384802</v>
      </c>
      <c r="H316" cm="1">
        <f t="array" ref="H316">(PRODUCT(1+sp500_monthly!N317:N436)^(1/120)-1)*100</f>
        <v>0.83098297083818995</v>
      </c>
      <c r="I316" cm="1">
        <f t="array" ref="I316">(PRODUCT(1+sp500_monthly!O317:O436)^(1/120)-1)*100</f>
        <v>4.717542902439309E-2</v>
      </c>
    </row>
    <row r="317" spans="1:9" x14ac:dyDescent="0.35">
      <c r="A317" s="1">
        <v>19084</v>
      </c>
      <c r="B317" cm="1">
        <f t="array" ref="B317">(PRODUCT(1+sp500_monthly!B318:B437)^(1/120)-1)*100</f>
        <v>1.2239290524825197</v>
      </c>
      <c r="C317" cm="1">
        <f t="array" ref="C317">(PRODUCT(1+sp500_monthly!C318:C437)^(1/120)-1)*100</f>
        <v>0.86643965204393769</v>
      </c>
      <c r="D317" cm="1">
        <f t="array" ref="D317">(PRODUCT(1+sp500_monthly!D318:D437)^(1/120)-1)*100</f>
        <v>1.1250413442554175</v>
      </c>
      <c r="E317" cm="1">
        <f t="array" ref="E317">(PRODUCT(1+sp500_monthly!E318:E437)^(1/120)-1)*100</f>
        <v>0.74722092160108833</v>
      </c>
      <c r="F317" cm="1">
        <f t="array" ref="F317">(PRODUCT(1+sp500_monthly!K318:K437)^(1/120)-1)*100</f>
        <v>0.87773834201538836</v>
      </c>
      <c r="G317" cm="1">
        <f t="array" ref="G317">(PRODUCT(1+sp500_monthly!L318:L437)^(1/120)-1)</f>
        <v>0.17192031628741455</v>
      </c>
      <c r="H317" cm="1">
        <f t="array" ref="H317">(PRODUCT(1+sp500_monthly!N318:N437)^(1/120)-1)*100</f>
        <v>0.82607588988170555</v>
      </c>
      <c r="I317" cm="1">
        <f t="array" ref="I317">(PRODUCT(1+sp500_monthly!O318:O437)^(1/120)-1)*100</f>
        <v>4.7181508545723894E-2</v>
      </c>
    </row>
    <row r="318" spans="1:9" x14ac:dyDescent="0.35">
      <c r="A318" s="1">
        <v>19114</v>
      </c>
      <c r="B318" cm="1">
        <f t="array" ref="B318">(PRODUCT(1+sp500_monthly!B319:B438)^(1/120)-1)*100</f>
        <v>1.2058571380675343</v>
      </c>
      <c r="C318" cm="1">
        <f t="array" ref="C318">(PRODUCT(1+sp500_monthly!C319:C438)^(1/120)-1)*100</f>
        <v>0.84942344445524398</v>
      </c>
      <c r="D318" cm="1">
        <f t="array" ref="D318">(PRODUCT(1+sp500_monthly!D319:D438)^(1/120)-1)*100</f>
        <v>1.0965686956019516</v>
      </c>
      <c r="E318" cm="1">
        <f t="array" ref="E318">(PRODUCT(1+sp500_monthly!E319:E438)^(1/120)-1)*100</f>
        <v>0.7203238382756938</v>
      </c>
      <c r="F318" cm="1">
        <f t="array" ref="F318">(PRODUCT(1+sp500_monthly!K319:K438)^(1/120)-1)*100</f>
        <v>0.86098428424787876</v>
      </c>
      <c r="G318" cm="1">
        <f t="array" ref="G318">(PRODUCT(1+sp500_monthly!L319:L438)^(1/120)-1)</f>
        <v>0.17275582374998599</v>
      </c>
      <c r="H318" cm="1">
        <f t="array" ref="H318">(PRODUCT(1+sp500_monthly!N319:N438)^(1/120)-1)*100</f>
        <v>0.77142925657469608</v>
      </c>
      <c r="I318" cm="1">
        <f t="array" ref="I318">(PRODUCT(1+sp500_monthly!O319:O438)^(1/120)-1)*100</f>
        <v>4.7909055392092448E-2</v>
      </c>
    </row>
    <row r="319" spans="1:9" x14ac:dyDescent="0.35">
      <c r="A319" s="1">
        <v>19143</v>
      </c>
      <c r="B319" cm="1">
        <f t="array" ref="B319">(PRODUCT(1+sp500_monthly!B320:B439)^(1/120)-1)*100</f>
        <v>1.1077704562497459</v>
      </c>
      <c r="C319" cm="1">
        <f t="array" ref="C319">(PRODUCT(1+sp500_monthly!C320:C439)^(1/120)-1)*100</f>
        <v>0.75501880409851729</v>
      </c>
      <c r="D319" cm="1">
        <f t="array" ref="D319">(PRODUCT(1+sp500_monthly!D320:D439)^(1/120)-1)*100</f>
        <v>0.99433592119131387</v>
      </c>
      <c r="E319" cm="1">
        <f t="array" ref="E319">(PRODUCT(1+sp500_monthly!E320:E439)^(1/120)-1)*100</f>
        <v>0.62020939766693761</v>
      </c>
      <c r="F319" cm="1">
        <f t="array" ref="F319">(PRODUCT(1+sp500_monthly!K320:K439)^(1/120)-1)*100</f>
        <v>0.76621468992690289</v>
      </c>
      <c r="G319" cm="1">
        <f t="array" ref="G319">(PRODUCT(1+sp500_monthly!L320:L439)^(1/120)-1)</f>
        <v>0.17366402258508873</v>
      </c>
      <c r="H319" cm="1">
        <f t="array" ref="H319">(PRODUCT(1+sp500_monthly!N320:N439)^(1/120)-1)*100</f>
        <v>0.7007394966939362</v>
      </c>
      <c r="I319" cm="1">
        <f t="array" ref="I319">(PRODUCT(1+sp500_monthly!O320:O439)^(1/120)-1)*100</f>
        <v>4.9080096914244642E-2</v>
      </c>
    </row>
    <row r="320" spans="1:9" x14ac:dyDescent="0.35">
      <c r="A320" s="1">
        <v>19175</v>
      </c>
      <c r="B320" cm="1">
        <f t="array" ref="B320">(PRODUCT(1+sp500_monthly!B321:B440)^(1/120)-1)*100</f>
        <v>0.99759582982765771</v>
      </c>
      <c r="C320" cm="1">
        <f t="array" ref="C320">(PRODUCT(1+sp500_monthly!C321:C440)^(1/120)-1)*100</f>
        <v>0.64544260622874106</v>
      </c>
      <c r="D320" cm="1">
        <f t="array" ref="D320">(PRODUCT(1+sp500_monthly!D321:D440)^(1/120)-1)*100</f>
        <v>0.8908793190649078</v>
      </c>
      <c r="E320" cm="1">
        <f t="array" ref="E320">(PRODUCT(1+sp500_monthly!E321:E440)^(1/120)-1)*100</f>
        <v>0.51803670246044486</v>
      </c>
      <c r="F320" cm="1">
        <f t="array" ref="F320">(PRODUCT(1+sp500_monthly!K321:K440)^(1/120)-1)*100</f>
        <v>0.6567309996072801</v>
      </c>
      <c r="G320" cm="1">
        <f t="array" ref="G320">(PRODUCT(1+sp500_monthly!L321:L440)^(1/120)-1)</f>
        <v>0.17408035214465123</v>
      </c>
      <c r="H320" cm="1">
        <f t="array" ref="H320">(PRODUCT(1+sp500_monthly!N321:N440)^(1/120)-1)*100</f>
        <v>0.63101454525162914</v>
      </c>
      <c r="I320" cm="1">
        <f t="array" ref="I320">(PRODUCT(1+sp500_monthly!O321:O440)^(1/120)-1)*100</f>
        <v>5.1573483270428433E-2</v>
      </c>
    </row>
    <row r="321" spans="1:9" x14ac:dyDescent="0.35">
      <c r="A321" s="1">
        <v>19206</v>
      </c>
      <c r="B321" cm="1">
        <f t="array" ref="B321">(PRODUCT(1+sp500_monthly!B322:B441)^(1/120)-1)*100</f>
        <v>1.0348178186406543</v>
      </c>
      <c r="C321" cm="1">
        <f t="array" ref="C321">(PRODUCT(1+sp500_monthly!C322:C441)^(1/120)-1)*100</f>
        <v>0.68277335645250403</v>
      </c>
      <c r="D321" cm="1">
        <f t="array" ref="D321">(PRODUCT(1+sp500_monthly!D322:D441)^(1/120)-1)*100</f>
        <v>0.92250240689126795</v>
      </c>
      <c r="E321" cm="1">
        <f t="array" ref="E321">(PRODUCT(1+sp500_monthly!E322:E441)^(1/120)-1)*100</f>
        <v>0.5501202045886</v>
      </c>
      <c r="F321" cm="1">
        <f t="array" ref="F321">(PRODUCT(1+sp500_monthly!K322:K441)^(1/120)-1)*100</f>
        <v>0.69377045004925808</v>
      </c>
      <c r="G321" cm="1">
        <f t="array" ref="G321">(PRODUCT(1+sp500_monthly!L322:L441)^(1/120)-1)</f>
        <v>0.17505186467151623</v>
      </c>
      <c r="H321" cm="1">
        <f t="array" ref="H321">(PRODUCT(1+sp500_monthly!N322:N441)^(1/120)-1)*100</f>
        <v>0.68372077996672331</v>
      </c>
      <c r="I321" cm="1">
        <f t="array" ref="I321">(PRODUCT(1+sp500_monthly!O322:O441)^(1/120)-1)*100</f>
        <v>5.3545686058864561E-2</v>
      </c>
    </row>
    <row r="322" spans="1:9" x14ac:dyDescent="0.35">
      <c r="A322" s="1">
        <v>19235</v>
      </c>
      <c r="B322" cm="1">
        <f t="array" ref="B322">(PRODUCT(1+sp500_monthly!B323:B442)^(1/120)-1)*100</f>
        <v>1.0576607716701769</v>
      </c>
      <c r="C322" cm="1">
        <f t="array" ref="C322">(PRODUCT(1+sp500_monthly!C323:C442)^(1/120)-1)*100</f>
        <v>0.70861873361605099</v>
      </c>
      <c r="D322" cm="1">
        <f t="array" ref="D322">(PRODUCT(1+sp500_monthly!D323:D442)^(1/120)-1)*100</f>
        <v>0.94423732178794406</v>
      </c>
      <c r="E322" cm="1">
        <f t="array" ref="E322">(PRODUCT(1+sp500_monthly!E323:E442)^(1/120)-1)*100</f>
        <v>0.5732057887131603</v>
      </c>
      <c r="F322" cm="1">
        <f t="array" ref="F322">(PRODUCT(1+sp500_monthly!K323:K442)^(1/120)-1)*100</f>
        <v>0.71881486017908447</v>
      </c>
      <c r="G322" cm="1">
        <f t="array" ref="G322">(PRODUCT(1+sp500_monthly!L323:L442)^(1/120)-1)</f>
        <v>0.17571058969688225</v>
      </c>
      <c r="H322" cm="1">
        <f t="array" ref="H322">(PRODUCT(1+sp500_monthly!N323:N442)^(1/120)-1)*100</f>
        <v>0.70004469022462157</v>
      </c>
      <c r="I322" cm="1">
        <f t="array" ref="I322">(PRODUCT(1+sp500_monthly!O323:O442)^(1/120)-1)*100</f>
        <v>5.3807399232108644E-2</v>
      </c>
    </row>
    <row r="323" spans="1:9" x14ac:dyDescent="0.35">
      <c r="A323" s="1">
        <v>19267</v>
      </c>
      <c r="B323" cm="1">
        <f t="array" ref="B323">(PRODUCT(1+sp500_monthly!B324:B443)^(1/120)-1)*100</f>
        <v>1.0308863783477396</v>
      </c>
      <c r="C323" cm="1">
        <f t="array" ref="C323">(PRODUCT(1+sp500_monthly!C324:C443)^(1/120)-1)*100</f>
        <v>0.682384827693161</v>
      </c>
      <c r="D323" cm="1">
        <f t="array" ref="D323">(PRODUCT(1+sp500_monthly!D324:D443)^(1/120)-1)*100</f>
        <v>0.90913018226668196</v>
      </c>
      <c r="E323" cm="1">
        <f t="array" ref="E323">(PRODUCT(1+sp500_monthly!E324:E443)^(1/120)-1)*100</f>
        <v>0.53901470455093303</v>
      </c>
      <c r="F323" cm="1">
        <f t="array" ref="F323">(PRODUCT(1+sp500_monthly!K324:K443)^(1/120)-1)*100</f>
        <v>0.69394329087753004</v>
      </c>
      <c r="G323" cm="1">
        <f t="array" ref="G323">(PRODUCT(1+sp500_monthly!L324:L443)^(1/120)-1)</f>
        <v>0.17612412410355849</v>
      </c>
      <c r="H323" cm="1">
        <f t="array" ref="H323">(PRODUCT(1+sp500_monthly!N324:N443)^(1/120)-1)*100</f>
        <v>0.65418575085407493</v>
      </c>
      <c r="I323" cm="1">
        <f t="array" ref="I323">(PRODUCT(1+sp500_monthly!O324:O443)^(1/120)-1)*100</f>
        <v>5.1710409983884986E-2</v>
      </c>
    </row>
    <row r="324" spans="1:9" x14ac:dyDescent="0.35">
      <c r="A324" s="1">
        <v>19298</v>
      </c>
      <c r="B324" cm="1">
        <f t="array" ref="B324">(PRODUCT(1+sp500_monthly!B325:B444)^(1/120)-1)*100</f>
        <v>1.0375872118421059</v>
      </c>
      <c r="C324" cm="1">
        <f t="array" ref="C324">(PRODUCT(1+sp500_monthly!C325:C444)^(1/120)-1)*100</f>
        <v>0.68878620709198479</v>
      </c>
      <c r="D324" cm="1">
        <f t="array" ref="D324">(PRODUCT(1+sp500_monthly!D325:D444)^(1/120)-1)*100</f>
        <v>0.91169548266070155</v>
      </c>
      <c r="E324" cm="1">
        <f t="array" ref="E324">(PRODUCT(1+sp500_monthly!E325:E444)^(1/120)-1)*100</f>
        <v>0.5426115754544325</v>
      </c>
      <c r="F324" cm="1">
        <f t="array" ref="F324">(PRODUCT(1+sp500_monthly!K325:K444)^(1/120)-1)*100</f>
        <v>0.69834748124086854</v>
      </c>
      <c r="G324" cm="1">
        <f t="array" ref="G324">(PRODUCT(1+sp500_monthly!L325:L444)^(1/120)-1)</f>
        <v>0.17702729582125132</v>
      </c>
      <c r="H324" cm="1">
        <f t="array" ref="H324">(PRODUCT(1+sp500_monthly!N325:N444)^(1/120)-1)*100</f>
        <v>0.662233732882056</v>
      </c>
      <c r="I324" cm="1">
        <f t="array" ref="I324">(PRODUCT(1+sp500_monthly!O325:O444)^(1/120)-1)*100</f>
        <v>5.4889328325402609E-2</v>
      </c>
    </row>
    <row r="325" spans="1:9" x14ac:dyDescent="0.35">
      <c r="A325" s="1">
        <v>19326</v>
      </c>
      <c r="B325" cm="1">
        <f t="array" ref="B325">(PRODUCT(1+sp500_monthly!B326:B445)^(1/120)-1)*100</f>
        <v>1.0739896991920794</v>
      </c>
      <c r="C325" cm="1">
        <f t="array" ref="C325">(PRODUCT(1+sp500_monthly!C326:C445)^(1/120)-1)*100</f>
        <v>0.72961205120591899</v>
      </c>
      <c r="D325" cm="1">
        <f t="array" ref="D325">(PRODUCT(1+sp500_monthly!D326:D445)^(1/120)-1)*100</f>
        <v>0.95489513874797982</v>
      </c>
      <c r="E325" cm="1">
        <f t="array" ref="E325">(PRODUCT(1+sp500_monthly!E326:E445)^(1/120)-1)*100</f>
        <v>0.58889164552005102</v>
      </c>
      <c r="F325" cm="1">
        <f t="array" ref="F325">(PRODUCT(1+sp500_monthly!K326:K445)^(1/120)-1)*100</f>
        <v>0.74138848754550235</v>
      </c>
      <c r="G325" cm="1">
        <f t="array" ref="G325">(PRODUCT(1+sp500_monthly!L326:L445)^(1/120)-1)</f>
        <v>0.1778810616958113</v>
      </c>
      <c r="H325" cm="1">
        <f t="array" ref="H325">(PRODUCT(1+sp500_monthly!N326:N445)^(1/120)-1)*100</f>
        <v>0.74850334774265725</v>
      </c>
      <c r="I325" cm="1">
        <f t="array" ref="I325">(PRODUCT(1+sp500_monthly!O326:O445)^(1/120)-1)*100</f>
        <v>5.6555258321688839E-2</v>
      </c>
    </row>
    <row r="326" spans="1:9" x14ac:dyDescent="0.35">
      <c r="A326" s="1">
        <v>19359</v>
      </c>
      <c r="B326" cm="1">
        <f t="array" ref="B326">(PRODUCT(1+sp500_monthly!B327:B446)^(1/120)-1)*100</f>
        <v>1.0553867979882225</v>
      </c>
      <c r="C326" cm="1">
        <f t="array" ref="C326">(PRODUCT(1+sp500_monthly!C327:C446)^(1/120)-1)*100</f>
        <v>0.71185220589713438</v>
      </c>
      <c r="D326" cm="1">
        <f t="array" ref="D326">(PRODUCT(1+sp500_monthly!D327:D446)^(1/120)-1)*100</f>
        <v>0.92210044179497075</v>
      </c>
      <c r="E326" cm="1">
        <f t="array" ref="E326">(PRODUCT(1+sp500_monthly!E327:E446)^(1/120)-1)*100</f>
        <v>0.5576802715547835</v>
      </c>
      <c r="F326" cm="1">
        <f t="array" ref="F326">(PRODUCT(1+sp500_monthly!K327:K446)^(1/120)-1)*100</f>
        <v>0.72338438502592695</v>
      </c>
      <c r="G326" cm="1">
        <f t="array" ref="G326">(PRODUCT(1+sp500_monthly!L327:L446)^(1/120)-1)</f>
        <v>0.17845634343847583</v>
      </c>
      <c r="H326" cm="1">
        <f t="array" ref="H326">(PRODUCT(1+sp500_monthly!N327:N446)^(1/120)-1)*100</f>
        <v>0.76144581330932493</v>
      </c>
      <c r="I326" cm="1">
        <f t="array" ref="I326">(PRODUCT(1+sp500_monthly!O327:O446)^(1/120)-1)*100</f>
        <v>5.8470825263090553E-2</v>
      </c>
    </row>
    <row r="327" spans="1:9" x14ac:dyDescent="0.35">
      <c r="A327" s="1">
        <v>19389</v>
      </c>
      <c r="B327" cm="1">
        <f t="array" ref="B327">(PRODUCT(1+sp500_monthly!B328:B447)^(1/120)-1)*100</f>
        <v>1.1020228019939848</v>
      </c>
      <c r="C327" cm="1">
        <f t="array" ref="C327">(PRODUCT(1+sp500_monthly!C328:C447)^(1/120)-1)*100</f>
        <v>0.75769872380215819</v>
      </c>
      <c r="D327" cm="1">
        <f t="array" ref="D327">(PRODUCT(1+sp500_monthly!D328:D447)^(1/120)-1)*100</f>
        <v>0.9761215386632438</v>
      </c>
      <c r="E327" cm="1">
        <f t="array" ref="E327">(PRODUCT(1+sp500_monthly!E328:E447)^(1/120)-1)*100</f>
        <v>0.61154237361449315</v>
      </c>
      <c r="F327" cm="1">
        <f t="array" ref="F327">(PRODUCT(1+sp500_monthly!K328:K447)^(1/120)-1)*100</f>
        <v>0.76967408463290976</v>
      </c>
      <c r="G327" cm="1">
        <f t="array" ref="G327">(PRODUCT(1+sp500_monthly!L328:L447)^(1/120)-1)</f>
        <v>0.17919039226796207</v>
      </c>
      <c r="H327" cm="1">
        <f t="array" ref="H327">(PRODUCT(1+sp500_monthly!N328:N447)^(1/120)-1)*100</f>
        <v>0.80105838035411381</v>
      </c>
      <c r="I327" cm="1">
        <f t="array" ref="I327">(PRODUCT(1+sp500_monthly!O328:O447)^(1/120)-1)*100</f>
        <v>5.890761844051795E-2</v>
      </c>
    </row>
    <row r="328" spans="1:9" x14ac:dyDescent="0.35">
      <c r="A328" s="1">
        <v>19417</v>
      </c>
      <c r="B328" cm="1">
        <f t="array" ref="B328">(PRODUCT(1+sp500_monthly!B329:B448)^(1/120)-1)*100</f>
        <v>1.0877702839733772</v>
      </c>
      <c r="C328" cm="1">
        <f t="array" ref="C328">(PRODUCT(1+sp500_monthly!C329:C448)^(1/120)-1)*100</f>
        <v>0.74793130502519567</v>
      </c>
      <c r="D328" cm="1">
        <f t="array" ref="D328">(PRODUCT(1+sp500_monthly!D329:D448)^(1/120)-1)*100</f>
        <v>0.97014972305360381</v>
      </c>
      <c r="E328" cm="1">
        <f t="array" ref="E328">(PRODUCT(1+sp500_monthly!E329:E448)^(1/120)-1)*100</f>
        <v>0.60807059311460687</v>
      </c>
      <c r="F328" cm="1">
        <f t="array" ref="F328">(PRODUCT(1+sp500_monthly!K329:K448)^(1/120)-1)*100</f>
        <v>0.76051049127332515</v>
      </c>
      <c r="G328" cm="1">
        <f t="array" ref="G328">(PRODUCT(1+sp500_monthly!L329:L448)^(1/120)-1)</f>
        <v>0.17993731081882069</v>
      </c>
      <c r="H328" cm="1">
        <f t="array" ref="H328">(PRODUCT(1+sp500_monthly!N329:N448)^(1/120)-1)*100</f>
        <v>0.77938885470654196</v>
      </c>
      <c r="I328" cm="1">
        <f t="array" ref="I328">(PRODUCT(1+sp500_monthly!O329:O448)^(1/120)-1)*100</f>
        <v>5.9728239280332218E-2</v>
      </c>
    </row>
    <row r="329" spans="1:9" x14ac:dyDescent="0.35">
      <c r="A329" s="1">
        <v>19449</v>
      </c>
      <c r="B329" cm="1">
        <f t="array" ref="B329">(PRODUCT(1+sp500_monthly!B330:B449)^(1/120)-1)*100</f>
        <v>1.1370355556956424</v>
      </c>
      <c r="C329" cm="1">
        <f t="array" ref="C329">(PRODUCT(1+sp500_monthly!C330:C449)^(1/120)-1)*100</f>
        <v>0.7976643196853761</v>
      </c>
      <c r="D329" cm="1">
        <f t="array" ref="D329">(PRODUCT(1+sp500_monthly!D330:D449)^(1/120)-1)*100</f>
        <v>1.0044856776458611</v>
      </c>
      <c r="E329" cm="1">
        <f t="array" ref="E329">(PRODUCT(1+sp500_monthly!E330:E449)^(1/120)-1)*100</f>
        <v>0.64366627362697493</v>
      </c>
      <c r="F329" cm="1">
        <f t="array" ref="F329">(PRODUCT(1+sp500_monthly!K330:K449)^(1/120)-1)*100</f>
        <v>0.80979730034203001</v>
      </c>
      <c r="G329" cm="1">
        <f t="array" ref="G329">(PRODUCT(1+sp500_monthly!L330:L449)^(1/120)-1)</f>
        <v>0.18034544039408296</v>
      </c>
      <c r="H329" cm="1">
        <f t="array" ref="H329">(PRODUCT(1+sp500_monthly!N330:N449)^(1/120)-1)*100</f>
        <v>0.8087401108906489</v>
      </c>
      <c r="I329" cm="1">
        <f t="array" ref="I329">(PRODUCT(1+sp500_monthly!O330:O449)^(1/120)-1)*100</f>
        <v>6.0823558378153564E-2</v>
      </c>
    </row>
    <row r="330" spans="1:9" x14ac:dyDescent="0.35">
      <c r="A330" s="1">
        <v>19479</v>
      </c>
      <c r="B330" cm="1">
        <f t="array" ref="B330">(PRODUCT(1+sp500_monthly!B331:B450)^(1/120)-1)*100</f>
        <v>1.1990328533715511</v>
      </c>
      <c r="C330" cm="1">
        <f t="array" ref="C330">(PRODUCT(1+sp500_monthly!C331:C450)^(1/120)-1)*100</f>
        <v>0.86005302650495885</v>
      </c>
      <c r="D330" cm="1">
        <f t="array" ref="D330">(PRODUCT(1+sp500_monthly!D331:D450)^(1/120)-1)*100</f>
        <v>1.062775285198736</v>
      </c>
      <c r="E330" cm="1">
        <f t="array" ref="E330">(PRODUCT(1+sp500_monthly!E331:E450)^(1/120)-1)*100</f>
        <v>0.70283569907447774</v>
      </c>
      <c r="F330" cm="1">
        <f t="array" ref="F330">(PRODUCT(1+sp500_monthly!K331:K450)^(1/120)-1)*100</f>
        <v>0.87217577605360752</v>
      </c>
      <c r="G330" cm="1">
        <f t="array" ref="G330">(PRODUCT(1+sp500_monthly!L331:L450)^(1/120)-1)</f>
        <v>0.18108066592342476</v>
      </c>
      <c r="H330" cm="1">
        <f t="array" ref="H330">(PRODUCT(1+sp500_monthly!N331:N450)^(1/120)-1)*100</f>
        <v>0.84981781179516158</v>
      </c>
      <c r="I330" cm="1">
        <f t="array" ref="I330">(PRODUCT(1+sp500_monthly!O331:O450)^(1/120)-1)*100</f>
        <v>6.3725904772105046E-2</v>
      </c>
    </row>
    <row r="331" spans="1:9" x14ac:dyDescent="0.35">
      <c r="A331" s="1">
        <v>19508</v>
      </c>
      <c r="B331" cm="1">
        <f t="array" ref="B331">(PRODUCT(1+sp500_monthly!B332:B451)^(1/120)-1)*100</f>
        <v>1.2092453810760295</v>
      </c>
      <c r="C331" cm="1">
        <f t="array" ref="C331">(PRODUCT(1+sp500_monthly!C332:C451)^(1/120)-1)*100</f>
        <v>0.87390776223350564</v>
      </c>
      <c r="D331" cm="1">
        <f t="array" ref="D331">(PRODUCT(1+sp500_monthly!D332:D451)^(1/120)-1)*100</f>
        <v>1.0818410104470821</v>
      </c>
      <c r="E331" cm="1">
        <f t="array" ref="E331">(PRODUCT(1+sp500_monthly!E332:E451)^(1/120)-1)*100</f>
        <v>0.72416723421744322</v>
      </c>
      <c r="F331" cm="1">
        <f t="array" ref="F331">(PRODUCT(1+sp500_monthly!K332:K451)^(1/120)-1)*100</f>
        <v>0.88687024702658324</v>
      </c>
      <c r="G331" cm="1">
        <f t="array" ref="G331">(PRODUCT(1+sp500_monthly!L332:L451)^(1/120)-1)</f>
        <v>0.18165271940912575</v>
      </c>
      <c r="H331" cm="1">
        <f t="array" ref="H331">(PRODUCT(1+sp500_monthly!N332:N451)^(1/120)-1)*100</f>
        <v>0.86536601851847639</v>
      </c>
      <c r="I331" cm="1">
        <f t="array" ref="I331">(PRODUCT(1+sp500_monthly!O332:O451)^(1/120)-1)*100</f>
        <v>6.490445951585766E-2</v>
      </c>
    </row>
    <row r="332" spans="1:9" x14ac:dyDescent="0.35">
      <c r="A332" s="1">
        <v>19540</v>
      </c>
      <c r="B332" cm="1">
        <f t="array" ref="B332">(PRODUCT(1+sp500_monthly!B333:B452)^(1/120)-1)*100</f>
        <v>1.2055247340831521</v>
      </c>
      <c r="C332" cm="1">
        <f t="array" ref="C332">(PRODUCT(1+sp500_monthly!C333:C452)^(1/120)-1)*100</f>
        <v>0.8708064475912991</v>
      </c>
      <c r="D332" cm="1">
        <f t="array" ref="D332">(PRODUCT(1+sp500_monthly!D333:D452)^(1/120)-1)*100</f>
        <v>1.0846277594196874</v>
      </c>
      <c r="E332" cm="1">
        <f t="array" ref="E332">(PRODUCT(1+sp500_monthly!E333:E452)^(1/120)-1)*100</f>
        <v>0.72820590827931131</v>
      </c>
      <c r="F332" cm="1">
        <f t="array" ref="F332">(PRODUCT(1+sp500_monthly!K333:K452)^(1/120)-1)*100</f>
        <v>0.88353223980761619</v>
      </c>
      <c r="G332" cm="1">
        <f t="array" ref="G332">(PRODUCT(1+sp500_monthly!L333:L452)^(1/120)-1)</f>
        <v>0.18206144232860466</v>
      </c>
      <c r="H332" cm="1">
        <f t="array" ref="H332">(PRODUCT(1+sp500_monthly!N333:N452)^(1/120)-1)*100</f>
        <v>0.84683160560543591</v>
      </c>
      <c r="I332" cm="1">
        <f t="array" ref="I332">(PRODUCT(1+sp500_monthly!O333:O452)^(1/120)-1)*100</f>
        <v>6.4091522875986406E-2</v>
      </c>
    </row>
    <row r="333" spans="1:9" x14ac:dyDescent="0.35">
      <c r="A333" s="1">
        <v>19571</v>
      </c>
      <c r="B333" cm="1">
        <f t="array" ref="B333">(PRODUCT(1+sp500_monthly!B334:B453)^(1/120)-1)*100</f>
        <v>1.1820845361932175</v>
      </c>
      <c r="C333" cm="1">
        <f t="array" ref="C333">(PRODUCT(1+sp500_monthly!C334:C453)^(1/120)-1)*100</f>
        <v>0.84754469279277878</v>
      </c>
      <c r="D333" cm="1">
        <f t="array" ref="D333">(PRODUCT(1+sp500_monthly!D334:D453)^(1/120)-1)*100</f>
        <v>1.0557159686735096</v>
      </c>
      <c r="E333" cm="1">
        <f t="array" ref="E333">(PRODUCT(1+sp500_monthly!E334:E453)^(1/120)-1)*100</f>
        <v>0.7002039873345467</v>
      </c>
      <c r="F333" cm="1">
        <f t="array" ref="F333">(PRODUCT(1+sp500_monthly!K334:K453)^(1/120)-1)*100</f>
        <v>0.8596416310056032</v>
      </c>
      <c r="G333" cm="1">
        <f t="array" ref="G333">(PRODUCT(1+sp500_monthly!L334:L453)^(1/120)-1)</f>
        <v>0.18303955894272628</v>
      </c>
      <c r="H333" cm="1">
        <f t="array" ref="H333">(PRODUCT(1+sp500_monthly!N334:N453)^(1/120)-1)*100</f>
        <v>0.84310641286300392</v>
      </c>
      <c r="I333" cm="1">
        <f t="array" ref="I333">(PRODUCT(1+sp500_monthly!O334:O453)^(1/120)-1)*100</f>
        <v>6.4163440526576743E-2</v>
      </c>
    </row>
    <row r="334" spans="1:9" x14ac:dyDescent="0.35">
      <c r="A334" s="1">
        <v>19602</v>
      </c>
      <c r="B334" cm="1">
        <f t="array" ref="B334">(PRODUCT(1+sp500_monthly!B335:B454)^(1/120)-1)*100</f>
        <v>1.2693793212104731</v>
      </c>
      <c r="C334" cm="1">
        <f t="array" ref="C334">(PRODUCT(1+sp500_monthly!C335:C454)^(1/120)-1)*100</f>
        <v>0.93947158411920029</v>
      </c>
      <c r="D334" cm="1">
        <f t="array" ref="D334">(PRODUCT(1+sp500_monthly!D335:D454)^(1/120)-1)*100</f>
        <v>1.1512149293033014</v>
      </c>
      <c r="E334" cm="1">
        <f t="array" ref="E334">(PRODUCT(1+sp500_monthly!E335:E454)^(1/120)-1)*100</f>
        <v>0.79802866538349893</v>
      </c>
      <c r="F334" cm="1">
        <f t="array" ref="F334">(PRODUCT(1+sp500_monthly!K335:K454)^(1/120)-1)*100</f>
        <v>0.94970946523678101</v>
      </c>
      <c r="G334" cm="1">
        <f t="array" ref="G334">(PRODUCT(1+sp500_monthly!L335:L454)^(1/120)-1)</f>
        <v>0.18369178869252289</v>
      </c>
      <c r="H334" cm="1">
        <f t="array" ref="H334">(PRODUCT(1+sp500_monthly!N335:N454)^(1/120)-1)*100</f>
        <v>0.8852445689143229</v>
      </c>
      <c r="I334" cm="1">
        <f t="array" ref="I334">(PRODUCT(1+sp500_monthly!O335:O454)^(1/120)-1)*100</f>
        <v>6.4616861111654877E-2</v>
      </c>
    </row>
    <row r="335" spans="1:9" x14ac:dyDescent="0.35">
      <c r="A335" s="1">
        <v>19632</v>
      </c>
      <c r="B335" cm="1">
        <f t="array" ref="B335">(PRODUCT(1+sp500_monthly!B336:B455)^(1/120)-1)*100</f>
        <v>1.2587119211559195</v>
      </c>
      <c r="C335" cm="1">
        <f t="array" ref="C335">(PRODUCT(1+sp500_monthly!C336:C455)^(1/120)-1)*100</f>
        <v>0.92961485828226831</v>
      </c>
      <c r="D335" cm="1">
        <f t="array" ref="D335">(PRODUCT(1+sp500_monthly!D336:D455)^(1/120)-1)*100</f>
        <v>1.1402349697418046</v>
      </c>
      <c r="E335" cm="1">
        <f t="array" ref="E335">(PRODUCT(1+sp500_monthly!E336:E455)^(1/120)-1)*100</f>
        <v>0.78834466536028547</v>
      </c>
      <c r="F335" cm="1">
        <f t="array" ref="F335">(PRODUCT(1+sp500_monthly!K336:K455)^(1/120)-1)*100</f>
        <v>0.93929493690050325</v>
      </c>
      <c r="G335" cm="1">
        <f t="array" ref="G335">(PRODUCT(1+sp500_monthly!L336:L455)^(1/120)-1)</f>
        <v>0.18458578279718107</v>
      </c>
      <c r="H335" cm="1">
        <f t="array" ref="H335">(PRODUCT(1+sp500_monthly!N336:N455)^(1/120)-1)*100</f>
        <v>0.87727461906523807</v>
      </c>
      <c r="I335" cm="1">
        <f t="array" ref="I335">(PRODUCT(1+sp500_monthly!O336:O455)^(1/120)-1)*100</f>
        <v>6.7679258422748134E-2</v>
      </c>
    </row>
    <row r="336" spans="1:9" x14ac:dyDescent="0.35">
      <c r="A336" s="1">
        <v>19662</v>
      </c>
      <c r="B336" cm="1">
        <f t="array" ref="B336">(PRODUCT(1+sp500_monthly!B337:B456)^(1/120)-1)*100</f>
        <v>1.245588352832927</v>
      </c>
      <c r="C336" cm="1">
        <f t="array" ref="C336">(PRODUCT(1+sp500_monthly!C337:C456)^(1/120)-1)*100</f>
        <v>0.91627831248719538</v>
      </c>
      <c r="D336" cm="1">
        <f t="array" ref="D336">(PRODUCT(1+sp500_monthly!D337:D456)^(1/120)-1)*100</f>
        <v>1.1273681599084373</v>
      </c>
      <c r="E336" cm="1">
        <f t="array" ref="E336">(PRODUCT(1+sp500_monthly!E337:E456)^(1/120)-1)*100</f>
        <v>0.77652757668651429</v>
      </c>
      <c r="F336" cm="1">
        <f t="array" ref="F336">(PRODUCT(1+sp500_monthly!K337:K456)^(1/120)-1)*100</f>
        <v>0.92415689963820657</v>
      </c>
      <c r="G336" cm="1">
        <f t="array" ref="G336">(PRODUCT(1+sp500_monthly!L337:L456)^(1/120)-1)</f>
        <v>0.18589374003361692</v>
      </c>
      <c r="H336" cm="1">
        <f t="array" ref="H336">(PRODUCT(1+sp500_monthly!N337:N456)^(1/120)-1)*100</f>
        <v>0.90523515407403554</v>
      </c>
      <c r="I336" cm="1">
        <f t="array" ref="I336">(PRODUCT(1+sp500_monthly!O337:O456)^(1/120)-1)*100</f>
        <v>6.9280118218784104E-2</v>
      </c>
    </row>
    <row r="337" spans="1:9" x14ac:dyDescent="0.35">
      <c r="A337" s="1">
        <v>19693</v>
      </c>
      <c r="B337" cm="1">
        <f t="array" ref="B337">(PRODUCT(1+sp500_monthly!B338:B457)^(1/120)-1)*100</f>
        <v>1.2219821937915265</v>
      </c>
      <c r="C337" cm="1">
        <f t="array" ref="C337">(PRODUCT(1+sp500_monthly!C338:C457)^(1/120)-1)*100</f>
        <v>0.89863849628837311</v>
      </c>
      <c r="D337" cm="1">
        <f t="array" ref="D337">(PRODUCT(1+sp500_monthly!D338:D457)^(1/120)-1)*100</f>
        <v>1.1013808098270239</v>
      </c>
      <c r="E337" cm="1">
        <f t="array" ref="E337">(PRODUCT(1+sp500_monthly!E338:E457)^(1/120)-1)*100</f>
        <v>0.75539542089586575</v>
      </c>
      <c r="F337" cm="1">
        <f t="array" ref="F337">(PRODUCT(1+sp500_monthly!K338:K457)^(1/120)-1)*100</f>
        <v>0.90774125416412943</v>
      </c>
      <c r="G337" cm="1">
        <f t="array" ref="G337">(PRODUCT(1+sp500_monthly!L338:L457)^(1/120)-1)</f>
        <v>0.18749633048761383</v>
      </c>
      <c r="H337" cm="1">
        <f t="array" ref="H337">(PRODUCT(1+sp500_monthly!N338:N457)^(1/120)-1)*100</f>
        <v>0.90063378606106692</v>
      </c>
      <c r="I337" cm="1">
        <f t="array" ref="I337">(PRODUCT(1+sp500_monthly!O338:O457)^(1/120)-1)*100</f>
        <v>7.071547839443415E-2</v>
      </c>
    </row>
    <row r="338" spans="1:9" x14ac:dyDescent="0.35">
      <c r="A338" s="1">
        <v>19724</v>
      </c>
      <c r="B338" cm="1">
        <f t="array" ref="B338">(PRODUCT(1+sp500_monthly!B339:B458)^(1/120)-1)*100</f>
        <v>1.2422451198876416</v>
      </c>
      <c r="C338" cm="1">
        <f t="array" ref="C338">(PRODUCT(1+sp500_monthly!C339:C458)^(1/120)-1)*100</f>
        <v>0.92011686739232879</v>
      </c>
      <c r="D338" cm="1">
        <f t="array" ref="D338">(PRODUCT(1+sp500_monthly!D339:D458)^(1/120)-1)*100</f>
        <v>1.1250274026088025</v>
      </c>
      <c r="E338" cm="1">
        <f t="array" ref="E338">(PRODUCT(1+sp500_monthly!E339:E458)^(1/120)-1)*100</f>
        <v>0.78087843596688078</v>
      </c>
      <c r="F338" cm="1">
        <f t="array" ref="F338">(PRODUCT(1+sp500_monthly!K339:K458)^(1/120)-1)*100</f>
        <v>0.92635461462831081</v>
      </c>
      <c r="G338" cm="1">
        <f t="array" ref="G338">(PRODUCT(1+sp500_monthly!L339:L458)^(1/120)-1)</f>
        <v>0.18880750139752855</v>
      </c>
      <c r="H338" cm="1">
        <f t="array" ref="H338">(PRODUCT(1+sp500_monthly!N339:N458)^(1/120)-1)*100</f>
        <v>0.919543916889487</v>
      </c>
      <c r="I338" cm="1">
        <f t="array" ref="I338">(PRODUCT(1+sp500_monthly!O339:O458)^(1/120)-1)*100</f>
        <v>7.0425445833266487E-2</v>
      </c>
    </row>
    <row r="339" spans="1:9" x14ac:dyDescent="0.35">
      <c r="A339" s="1">
        <v>19753</v>
      </c>
      <c r="B339" cm="1">
        <f t="array" ref="B339">(PRODUCT(1+sp500_monthly!B340:B459)^(1/120)-1)*100</f>
        <v>1.2210859420395126</v>
      </c>
      <c r="C339" cm="1">
        <f t="array" ref="C339">(PRODUCT(1+sp500_monthly!C340:C459)^(1/120)-1)*100</f>
        <v>0.89891008990570231</v>
      </c>
      <c r="D339" cm="1">
        <f t="array" ref="D339">(PRODUCT(1+sp500_monthly!D340:D459)^(1/120)-1)*100</f>
        <v>1.092174774737309</v>
      </c>
      <c r="E339" cm="1">
        <f t="array" ref="E339">(PRODUCT(1+sp500_monthly!E340:E459)^(1/120)-1)*100</f>
        <v>0.74865760367099909</v>
      </c>
      <c r="F339" cm="1">
        <f t="array" ref="F339">(PRODUCT(1+sp500_monthly!K340:K459)^(1/120)-1)*100</f>
        <v>0.90671623113007804</v>
      </c>
      <c r="G339" cm="1">
        <f t="array" ref="G339">(PRODUCT(1+sp500_monthly!L340:L459)^(1/120)-1)</f>
        <v>0.19037383767563099</v>
      </c>
      <c r="H339" cm="1">
        <f t="array" ref="H339">(PRODUCT(1+sp500_monthly!N340:N459)^(1/120)-1)*100</f>
        <v>0.94063953316501081</v>
      </c>
      <c r="I339" cm="1">
        <f t="array" ref="I339">(PRODUCT(1+sp500_monthly!O340:O459)^(1/120)-1)*100</f>
        <v>7.1304725987531015E-2</v>
      </c>
    </row>
    <row r="340" spans="1:9" x14ac:dyDescent="0.35">
      <c r="A340" s="1">
        <v>19781</v>
      </c>
      <c r="B340" cm="1">
        <f t="array" ref="B340">(PRODUCT(1+sp500_monthly!B341:B460)^(1/120)-1)*100</f>
        <v>1.2244925666739626</v>
      </c>
      <c r="C340" cm="1">
        <f t="array" ref="C340">(PRODUCT(1+sp500_monthly!C341:C460)^(1/120)-1)*100</f>
        <v>0.90711457224630365</v>
      </c>
      <c r="D340" cm="1">
        <f t="array" ref="D340">(PRODUCT(1+sp500_monthly!D341:D460)^(1/120)-1)*100</f>
        <v>1.1079153747890702</v>
      </c>
      <c r="E340" cm="1">
        <f t="array" ref="E340">(PRODUCT(1+sp500_monthly!E341:E460)^(1/120)-1)*100</f>
        <v>0.76758416015212383</v>
      </c>
      <c r="F340" cm="1">
        <f t="array" ref="F340">(PRODUCT(1+sp500_monthly!K341:K460)^(1/120)-1)*100</f>
        <v>0.91271720924934741</v>
      </c>
      <c r="G340" cm="1">
        <f t="array" ref="G340">(PRODUCT(1+sp500_monthly!L341:L460)^(1/120)-1)</f>
        <v>0.19199636129489206</v>
      </c>
      <c r="H340" cm="1">
        <f t="array" ref="H340">(PRODUCT(1+sp500_monthly!N341:N460)^(1/120)-1)*100</f>
        <v>0.9556488020364462</v>
      </c>
      <c r="I340" cm="1">
        <f t="array" ref="I340">(PRODUCT(1+sp500_monthly!O341:O460)^(1/120)-1)*100</f>
        <v>7.4279151928191567E-2</v>
      </c>
    </row>
    <row r="341" spans="1:9" x14ac:dyDescent="0.35">
      <c r="A341" s="1">
        <v>19814</v>
      </c>
      <c r="B341" cm="1">
        <f t="array" ref="B341">(PRODUCT(1+sp500_monthly!B342:B461)^(1/120)-1)*100</f>
        <v>1.2135372784091381</v>
      </c>
      <c r="C341" cm="1">
        <f t="array" ref="C341">(PRODUCT(1+sp500_monthly!C342:C461)^(1/120)-1)*100</f>
        <v>0.89674160224102462</v>
      </c>
      <c r="D341" cm="1">
        <f t="array" ref="D341">(PRODUCT(1+sp500_monthly!D342:D461)^(1/120)-1)*100</f>
        <v>1.1147039564485262</v>
      </c>
      <c r="E341" cm="1">
        <f t="array" ref="E341">(PRODUCT(1+sp500_monthly!E342:E461)^(1/120)-1)*100</f>
        <v>0.77609663336279944</v>
      </c>
      <c r="F341" cm="1">
        <f t="array" ref="F341">(PRODUCT(1+sp500_monthly!K342:K461)^(1/120)-1)*100</f>
        <v>0.90034814200845581</v>
      </c>
      <c r="G341" cm="1">
        <f t="array" ref="G341">(PRODUCT(1+sp500_monthly!L342:L461)^(1/120)-1)</f>
        <v>0.19391568890218602</v>
      </c>
      <c r="H341" cm="1">
        <f t="array" ref="H341">(PRODUCT(1+sp500_monthly!N342:N461)^(1/120)-1)*100</f>
        <v>0.96920731905945079</v>
      </c>
      <c r="I341" cm="1">
        <f t="array" ref="I341">(PRODUCT(1+sp500_monthly!O342:O461)^(1/120)-1)*100</f>
        <v>7.6051412974620369E-2</v>
      </c>
    </row>
    <row r="342" spans="1:9" x14ac:dyDescent="0.35">
      <c r="A342" s="1">
        <v>19844</v>
      </c>
      <c r="B342" cm="1">
        <f t="array" ref="B342">(PRODUCT(1+sp500_monthly!B343:B462)^(1/120)-1)*100</f>
        <v>1.1789178618447194</v>
      </c>
      <c r="C342" cm="1">
        <f t="array" ref="C342">(PRODUCT(1+sp500_monthly!C343:C462)^(1/120)-1)*100</f>
        <v>0.86245967268241408</v>
      </c>
      <c r="D342" cm="1">
        <f t="array" ref="D342">(PRODUCT(1+sp500_monthly!D343:D462)^(1/120)-1)*100</f>
        <v>1.1007276593987481</v>
      </c>
      <c r="E342" cm="1">
        <f t="array" ref="E342">(PRODUCT(1+sp500_monthly!E343:E462)^(1/120)-1)*100</f>
        <v>0.76270553327626445</v>
      </c>
      <c r="F342" cm="1">
        <f t="array" ref="F342">(PRODUCT(1+sp500_monthly!K343:K462)^(1/120)-1)*100</f>
        <v>0.86522679752645271</v>
      </c>
      <c r="G342" cm="1">
        <f t="array" ref="G342">(PRODUCT(1+sp500_monthly!L343:L462)^(1/120)-1)</f>
        <v>0.19559296960290729</v>
      </c>
      <c r="H342" cm="1">
        <f t="array" ref="H342">(PRODUCT(1+sp500_monthly!N343:N462)^(1/120)-1)*100</f>
        <v>0.9741294811973944</v>
      </c>
      <c r="I342" cm="1">
        <f t="array" ref="I342">(PRODUCT(1+sp500_monthly!O343:O462)^(1/120)-1)*100</f>
        <v>7.8196940691888095E-2</v>
      </c>
    </row>
    <row r="343" spans="1:9" x14ac:dyDescent="0.35">
      <c r="A343" s="1">
        <v>19872</v>
      </c>
      <c r="B343" cm="1">
        <f t="array" ref="B343">(PRODUCT(1+sp500_monthly!B344:B463)^(1/120)-1)*100</f>
        <v>1.1576622744456255</v>
      </c>
      <c r="C343" cm="1">
        <f t="array" ref="C343">(PRODUCT(1+sp500_monthly!C344:C463)^(1/120)-1)*100</f>
        <v>0.8442566271172014</v>
      </c>
      <c r="D343" cm="1">
        <f t="array" ref="D343">(PRODUCT(1+sp500_monthly!D344:D463)^(1/120)-1)*100</f>
        <v>1.0792152676053268</v>
      </c>
      <c r="E343" cm="1">
        <f t="array" ref="E343">(PRODUCT(1+sp500_monthly!E344:E463)^(1/120)-1)*100</f>
        <v>0.74356166099307508</v>
      </c>
      <c r="F343" cm="1">
        <f t="array" ref="F343">(PRODUCT(1+sp500_monthly!K344:K463)^(1/120)-1)*100</f>
        <v>0.84758350662572646</v>
      </c>
      <c r="G343" cm="1">
        <f t="array" ref="G343">(PRODUCT(1+sp500_monthly!L344:L463)^(1/120)-1)</f>
        <v>0.19741087002593116</v>
      </c>
      <c r="H343" cm="1">
        <f t="array" ref="H343">(PRODUCT(1+sp500_monthly!N344:N463)^(1/120)-1)*100</f>
        <v>0.98734647726099745</v>
      </c>
      <c r="I343" cm="1">
        <f t="array" ref="I343">(PRODUCT(1+sp500_monthly!O344:O463)^(1/120)-1)*100</f>
        <v>7.9554502292067397E-2</v>
      </c>
    </row>
    <row r="344" spans="1:9" x14ac:dyDescent="0.35">
      <c r="A344" s="1">
        <v>19905</v>
      </c>
      <c r="B344" cm="1">
        <f t="array" ref="B344">(PRODUCT(1+sp500_monthly!B345:B464)^(1/120)-1)*100</f>
        <v>1.1706943007861348</v>
      </c>
      <c r="C344" cm="1">
        <f t="array" ref="C344">(PRODUCT(1+sp500_monthly!C345:C464)^(1/120)-1)*100</f>
        <v>0.85779329679407379</v>
      </c>
      <c r="D344" cm="1">
        <f t="array" ref="D344">(PRODUCT(1+sp500_monthly!D345:D464)^(1/120)-1)*100</f>
        <v>1.0847022702367815</v>
      </c>
      <c r="E344" cm="1">
        <f t="array" ref="E344">(PRODUCT(1+sp500_monthly!E345:E464)^(1/120)-1)*100</f>
        <v>0.7498356306206988</v>
      </c>
      <c r="F344" cm="1">
        <f t="array" ref="F344">(PRODUCT(1+sp500_monthly!K345:K464)^(1/120)-1)*100</f>
        <v>0.86069943595488141</v>
      </c>
      <c r="G344" cm="1">
        <f t="array" ref="G344">(PRODUCT(1+sp500_monthly!L345:L464)^(1/120)-1)</f>
        <v>0.19944915286991272</v>
      </c>
      <c r="H344" cm="1">
        <f t="array" ref="H344">(PRODUCT(1+sp500_monthly!N345:N464)^(1/120)-1)*100</f>
        <v>1.0016157613608412</v>
      </c>
      <c r="I344" cm="1">
        <f t="array" ref="I344">(PRODUCT(1+sp500_monthly!O345:O464)^(1/120)-1)*100</f>
        <v>8.1245536505103466E-2</v>
      </c>
    </row>
    <row r="345" spans="1:9" x14ac:dyDescent="0.35">
      <c r="A345" s="1">
        <v>19935</v>
      </c>
      <c r="B345" cm="1">
        <f t="array" ref="B345">(PRODUCT(1+sp500_monthly!B346:B465)^(1/120)-1)*100</f>
        <v>1.1384013384346803</v>
      </c>
      <c r="C345" cm="1">
        <f t="array" ref="C345">(PRODUCT(1+sp500_monthly!C346:C465)^(1/120)-1)*100</f>
        <v>0.82554192652639635</v>
      </c>
      <c r="D345" cm="1">
        <f t="array" ref="D345">(PRODUCT(1+sp500_monthly!D346:D465)^(1/120)-1)*100</f>
        <v>1.0559254684414876</v>
      </c>
      <c r="E345" cm="1">
        <f t="array" ref="E345">(PRODUCT(1+sp500_monthly!E346:E465)^(1/120)-1)*100</f>
        <v>0.72144574615848889</v>
      </c>
      <c r="F345" cm="1">
        <f t="array" ref="F345">(PRODUCT(1+sp500_monthly!K346:K465)^(1/120)-1)*100</f>
        <v>0.82916709825684443</v>
      </c>
      <c r="G345" cm="1">
        <f t="array" ref="G345">(PRODUCT(1+sp500_monthly!L346:L465)^(1/120)-1)</f>
        <v>0.2015858143179885</v>
      </c>
      <c r="H345" cm="1">
        <f t="array" ref="H345">(PRODUCT(1+sp500_monthly!N346:N465)^(1/120)-1)*100</f>
        <v>1.017113126285496</v>
      </c>
      <c r="I345" cm="1">
        <f t="array" ref="I345">(PRODUCT(1+sp500_monthly!O346:O465)^(1/120)-1)*100</f>
        <v>8.3474941423689053E-2</v>
      </c>
    </row>
    <row r="346" spans="1:9" x14ac:dyDescent="0.35">
      <c r="A346" s="1">
        <v>19967</v>
      </c>
      <c r="B346" cm="1">
        <f t="array" ref="B346">(PRODUCT(1+sp500_monthly!B347:B466)^(1/120)-1)*100</f>
        <v>1.1506618257947299</v>
      </c>
      <c r="C346" cm="1">
        <f t="array" ref="C346">(PRODUCT(1+sp500_monthly!C347:C466)^(1/120)-1)*100</f>
        <v>0.84146706083041423</v>
      </c>
      <c r="D346" cm="1">
        <f t="array" ref="D346">(PRODUCT(1+sp500_monthly!D347:D466)^(1/120)-1)*100</f>
        <v>1.0708784909308822</v>
      </c>
      <c r="E346" cm="1">
        <f t="array" ref="E346">(PRODUCT(1+sp500_monthly!E347:E466)^(1/120)-1)*100</f>
        <v>0.73894145398725186</v>
      </c>
      <c r="F346" cm="1">
        <f t="array" ref="F346">(PRODUCT(1+sp500_monthly!K347:K466)^(1/120)-1)*100</f>
        <v>0.84448707037698689</v>
      </c>
      <c r="G346" cm="1">
        <f t="array" ref="G346">(PRODUCT(1+sp500_monthly!L347:L466)^(1/120)-1)</f>
        <v>0.20357076868808544</v>
      </c>
      <c r="H346" cm="1">
        <f t="array" ref="H346">(PRODUCT(1+sp500_monthly!N347:N466)^(1/120)-1)*100</f>
        <v>1.0282315800393294</v>
      </c>
      <c r="I346" cm="1">
        <f t="array" ref="I346">(PRODUCT(1+sp500_monthly!O347:O466)^(1/120)-1)*100</f>
        <v>8.4273270027712677E-2</v>
      </c>
    </row>
    <row r="347" spans="1:9" x14ac:dyDescent="0.35">
      <c r="A347" s="1">
        <v>19997</v>
      </c>
      <c r="B347" cm="1">
        <f t="array" ref="B347">(PRODUCT(1+sp500_monthly!B348:B467)^(1/120)-1)*100</f>
        <v>1.109091484605651</v>
      </c>
      <c r="C347" cm="1">
        <f t="array" ref="C347">(PRODUCT(1+sp500_monthly!C348:C467)^(1/120)-1)*100</f>
        <v>0.80015229924457199</v>
      </c>
      <c r="D347" cm="1">
        <f t="array" ref="D347">(PRODUCT(1+sp500_monthly!D348:D467)^(1/120)-1)*100</f>
        <v>1.061562754757861</v>
      </c>
      <c r="E347" cm="1">
        <f t="array" ref="E347">(PRODUCT(1+sp500_monthly!E348:E467)^(1/120)-1)*100</f>
        <v>0.72993369492253546</v>
      </c>
      <c r="F347" cm="1">
        <f t="array" ref="F347">(PRODUCT(1+sp500_monthly!K348:K467)^(1/120)-1)*100</f>
        <v>0.80117608896013159</v>
      </c>
      <c r="G347" cm="1">
        <f t="array" ref="G347">(PRODUCT(1+sp500_monthly!L348:L467)^(1/120)-1)</f>
        <v>0.20518345330252874</v>
      </c>
      <c r="H347" cm="1">
        <f t="array" ref="H347">(PRODUCT(1+sp500_monthly!N348:N467)^(1/120)-1)*100</f>
        <v>0.98464422134900698</v>
      </c>
      <c r="I347" cm="1">
        <f t="array" ref="I347">(PRODUCT(1+sp500_monthly!O348:O467)^(1/120)-1)*100</f>
        <v>8.3806132970276614E-2</v>
      </c>
    </row>
    <row r="348" spans="1:9" x14ac:dyDescent="0.35">
      <c r="A348" s="1">
        <v>20026</v>
      </c>
      <c r="B348" cm="1">
        <f t="array" ref="B348">(PRODUCT(1+sp500_monthly!B349:B468)^(1/120)-1)*100</f>
        <v>1.1316207003207568</v>
      </c>
      <c r="C348" cm="1">
        <f t="array" ref="C348">(PRODUCT(1+sp500_monthly!C349:C468)^(1/120)-1)*100</f>
        <v>0.82230791646968893</v>
      </c>
      <c r="D348" cm="1">
        <f t="array" ref="D348">(PRODUCT(1+sp500_monthly!D349:D468)^(1/120)-1)*100</f>
        <v>1.0829064242429354</v>
      </c>
      <c r="E348" cm="1">
        <f t="array" ref="E348">(PRODUCT(1+sp500_monthly!E349:E468)^(1/120)-1)*100</f>
        <v>0.75164779951830685</v>
      </c>
      <c r="F348" cm="1">
        <f t="array" ref="F348">(PRODUCT(1+sp500_monthly!K349:K468)^(1/120)-1)*100</f>
        <v>0.82447826906479893</v>
      </c>
      <c r="G348" cm="1">
        <f t="array" ref="G348">(PRODUCT(1+sp500_monthly!L349:L468)^(1/120)-1)</f>
        <v>0.20706282967839362</v>
      </c>
      <c r="H348" cm="1">
        <f t="array" ref="H348">(PRODUCT(1+sp500_monthly!N349:N468)^(1/120)-1)*100</f>
        <v>1.0032327856166479</v>
      </c>
      <c r="I348" cm="1">
        <f t="array" ref="I348">(PRODUCT(1+sp500_monthly!O349:O468)^(1/120)-1)*100</f>
        <v>8.176049976771349E-2</v>
      </c>
    </row>
    <row r="349" spans="1:9" x14ac:dyDescent="0.35">
      <c r="A349" s="1">
        <v>20058</v>
      </c>
      <c r="B349" cm="1">
        <f t="array" ref="B349">(PRODUCT(1+sp500_monthly!B350:B469)^(1/120)-1)*100</f>
        <v>1.055914750223752</v>
      </c>
      <c r="C349" cm="1">
        <f t="array" ref="C349">(PRODUCT(1+sp500_monthly!C350:C469)^(1/120)-1)*100</f>
        <v>0.75170027185347266</v>
      </c>
      <c r="D349" cm="1">
        <f t="array" ref="D349">(PRODUCT(1+sp500_monthly!D350:D469)^(1/120)-1)*100</f>
        <v>0.99709347868384146</v>
      </c>
      <c r="E349" cm="1">
        <f t="array" ref="E349">(PRODUCT(1+sp500_monthly!E350:E469)^(1/120)-1)*100</f>
        <v>0.6700074369654363</v>
      </c>
      <c r="F349" cm="1">
        <f t="array" ref="F349">(PRODUCT(1+sp500_monthly!K350:K469)^(1/120)-1)*100</f>
        <v>0.75484320059258092</v>
      </c>
      <c r="G349" cm="1">
        <f t="array" ref="G349">(PRODUCT(1+sp500_monthly!L350:L469)^(1/120)-1)</f>
        <v>0.20903973781672858</v>
      </c>
      <c r="H349" cm="1">
        <f t="array" ref="H349">(PRODUCT(1+sp500_monthly!N350:N469)^(1/120)-1)*100</f>
        <v>0.92708057392281162</v>
      </c>
      <c r="I349" cm="1">
        <f t="array" ref="I349">(PRODUCT(1+sp500_monthly!O350:O469)^(1/120)-1)*100</f>
        <v>8.3137565594926244E-2</v>
      </c>
    </row>
    <row r="350" spans="1:9" x14ac:dyDescent="0.35">
      <c r="A350" s="1">
        <v>20089</v>
      </c>
      <c r="B350" cm="1">
        <f t="array" ref="B350">(PRODUCT(1+sp500_monthly!B351:B470)^(1/120)-1)*100</f>
        <v>1.015794022452865</v>
      </c>
      <c r="C350" cm="1">
        <f t="array" ref="C350">(PRODUCT(1+sp500_monthly!C351:C470)^(1/120)-1)*100</f>
        <v>0.71204513549985027</v>
      </c>
      <c r="D350" cm="1">
        <f t="array" ref="D350">(PRODUCT(1+sp500_monthly!D351:D470)^(1/120)-1)*100</f>
        <v>0.92926294446695756</v>
      </c>
      <c r="E350" cm="1">
        <f t="array" ref="E350">(PRODUCT(1+sp500_monthly!E351:E470)^(1/120)-1)*100</f>
        <v>0.60239856647170686</v>
      </c>
      <c r="F350" cm="1">
        <f t="array" ref="F350">(PRODUCT(1+sp500_monthly!K351:K470)^(1/120)-1)*100</f>
        <v>0.71650695655101071</v>
      </c>
      <c r="G350" cm="1">
        <f t="array" ref="G350">(PRODUCT(1+sp500_monthly!L351:L470)^(1/120)-1)</f>
        <v>0.21098650831239207</v>
      </c>
      <c r="H350" cm="1">
        <f t="array" ref="H350">(PRODUCT(1+sp500_monthly!N351:N470)^(1/120)-1)*100</f>
        <v>0.88562019112612411</v>
      </c>
      <c r="I350" cm="1">
        <f t="array" ref="I350">(PRODUCT(1+sp500_monthly!O351:O470)^(1/120)-1)*100</f>
        <v>8.3672363026043861E-2</v>
      </c>
    </row>
    <row r="351" spans="1:9" x14ac:dyDescent="0.35">
      <c r="A351" s="1">
        <v>20120</v>
      </c>
      <c r="B351" cm="1">
        <f t="array" ref="B351">(PRODUCT(1+sp500_monthly!B352:B471)^(1/120)-1)*100</f>
        <v>1.0295035555870635</v>
      </c>
      <c r="C351" cm="1">
        <f t="array" ref="C351">(PRODUCT(1+sp500_monthly!C352:C471)^(1/120)-1)*100</f>
        <v>0.72533920901831639</v>
      </c>
      <c r="D351" cm="1">
        <f t="array" ref="D351">(PRODUCT(1+sp500_monthly!D352:D471)^(1/120)-1)*100</f>
        <v>0.9682012837109788</v>
      </c>
      <c r="E351" cm="1">
        <f t="array" ref="E351">(PRODUCT(1+sp500_monthly!E352:E471)^(1/120)-1)*100</f>
        <v>0.64126725271038687</v>
      </c>
      <c r="F351" cm="1">
        <f t="array" ref="F351">(PRODUCT(1+sp500_monthly!K352:K471)^(1/120)-1)*100</f>
        <v>0.7288567711746019</v>
      </c>
      <c r="G351" cm="1">
        <f t="array" ref="G351">(PRODUCT(1+sp500_monthly!L352:L471)^(1/120)-1)</f>
        <v>0.21270226797821157</v>
      </c>
      <c r="H351" cm="1">
        <f t="array" ref="H351">(PRODUCT(1+sp500_monthly!N352:N471)^(1/120)-1)*100</f>
        <v>0.8985052534285165</v>
      </c>
      <c r="I351" cm="1">
        <f t="array" ref="I351">(PRODUCT(1+sp500_monthly!O352:O471)^(1/120)-1)*100</f>
        <v>8.4537146102459104E-2</v>
      </c>
    </row>
    <row r="352" spans="1:9" x14ac:dyDescent="0.35">
      <c r="A352" s="1">
        <v>20148</v>
      </c>
      <c r="B352" cm="1">
        <f t="array" ref="B352">(PRODUCT(1+sp500_monthly!B353:B472)^(1/120)-1)*100</f>
        <v>1.0213404160633655</v>
      </c>
      <c r="C352" cm="1">
        <f t="array" ref="C352">(PRODUCT(1+sp500_monthly!C353:C472)^(1/120)-1)*100</f>
        <v>0.72006420318506681</v>
      </c>
      <c r="D352" cm="1">
        <f t="array" ref="D352">(PRODUCT(1+sp500_monthly!D353:D472)^(1/120)-1)*100</f>
        <v>0.96189643421777937</v>
      </c>
      <c r="E352" cm="1">
        <f t="array" ref="E352">(PRODUCT(1+sp500_monthly!E353:E472)^(1/120)-1)*100</f>
        <v>0.63690443744535141</v>
      </c>
      <c r="F352" cm="1">
        <f t="array" ref="F352">(PRODUCT(1+sp500_monthly!K353:K472)^(1/120)-1)*100</f>
        <v>0.7246356314833724</v>
      </c>
      <c r="G352" cm="1">
        <f t="array" ref="G352">(PRODUCT(1+sp500_monthly!L353:L472)^(1/120)-1)</f>
        <v>0.21448409113753675</v>
      </c>
      <c r="H352" cm="1">
        <f t="array" ref="H352">(PRODUCT(1+sp500_monthly!N353:N472)^(1/120)-1)*100</f>
        <v>0.8919215727778651</v>
      </c>
      <c r="I352" cm="1">
        <f t="array" ref="I352">(PRODUCT(1+sp500_monthly!O353:O472)^(1/120)-1)*100</f>
        <v>8.7841603455851569E-2</v>
      </c>
    </row>
    <row r="353" spans="1:9" x14ac:dyDescent="0.35">
      <c r="A353" s="1">
        <v>20179</v>
      </c>
      <c r="B353" cm="1">
        <f t="array" ref="B353">(PRODUCT(1+sp500_monthly!B354:B473)^(1/120)-1)*100</f>
        <v>1.0128855577402618</v>
      </c>
      <c r="C353" cm="1">
        <f t="array" ref="C353">(PRODUCT(1+sp500_monthly!C354:C473)^(1/120)-1)*100</f>
        <v>0.71173745852051162</v>
      </c>
      <c r="D353" cm="1">
        <f t="array" ref="D353">(PRODUCT(1+sp500_monthly!D354:D473)^(1/120)-1)*100</f>
        <v>0.96679758990090292</v>
      </c>
      <c r="E353" cm="1">
        <f t="array" ref="E353">(PRODUCT(1+sp500_monthly!E354:E473)^(1/120)-1)*100</f>
        <v>0.64244102141901571</v>
      </c>
      <c r="F353" cm="1">
        <f t="array" ref="F353">(PRODUCT(1+sp500_monthly!K354:K473)^(1/120)-1)*100</f>
        <v>0.71647432407497824</v>
      </c>
      <c r="G353" cm="1">
        <f t="array" ref="G353">(PRODUCT(1+sp500_monthly!L354:L473)^(1/120)-1)</f>
        <v>0.21663334547360913</v>
      </c>
      <c r="H353" cm="1">
        <f t="array" ref="H353">(PRODUCT(1+sp500_monthly!N354:N473)^(1/120)-1)*100</f>
        <v>0.88173075198225703</v>
      </c>
      <c r="I353" cm="1">
        <f t="array" ref="I353">(PRODUCT(1+sp500_monthly!O354:O473)^(1/120)-1)*100</f>
        <v>8.8272166611802483E-2</v>
      </c>
    </row>
    <row r="354" spans="1:9" x14ac:dyDescent="0.35">
      <c r="A354" s="1">
        <v>20208</v>
      </c>
      <c r="B354" cm="1">
        <f t="array" ref="B354">(PRODUCT(1+sp500_monthly!B355:B474)^(1/120)-1)*100</f>
        <v>1.0094535484509226</v>
      </c>
      <c r="C354" cm="1">
        <f t="array" ref="C354">(PRODUCT(1+sp500_monthly!C355:C474)^(1/120)-1)*100</f>
        <v>0.70840579374615853</v>
      </c>
      <c r="D354" cm="1">
        <f t="array" ref="D354">(PRODUCT(1+sp500_monthly!D355:D474)^(1/120)-1)*100</f>
        <v>0.96283104860102053</v>
      </c>
      <c r="E354" cm="1">
        <f t="array" ref="E354">(PRODUCT(1+sp500_monthly!E355:E474)^(1/120)-1)*100</f>
        <v>0.63879392974433014</v>
      </c>
      <c r="F354" cm="1">
        <f t="array" ref="F354">(PRODUCT(1+sp500_monthly!K355:K474)^(1/120)-1)*100</f>
        <v>0.71364935878697189</v>
      </c>
      <c r="G354" cm="1">
        <f t="array" ref="G354">(PRODUCT(1+sp500_monthly!L355:L474)^(1/120)-1)</f>
        <v>0.21840602295054623</v>
      </c>
      <c r="H354" cm="1">
        <f t="array" ref="H354">(PRODUCT(1+sp500_monthly!N355:N474)^(1/120)-1)*100</f>
        <v>0.87642586098923836</v>
      </c>
      <c r="I354" cm="1">
        <f t="array" ref="I354">(PRODUCT(1+sp500_monthly!O355:O474)^(1/120)-1)*100</f>
        <v>8.8157476033257076E-2</v>
      </c>
    </row>
    <row r="355" spans="1:9" x14ac:dyDescent="0.35">
      <c r="A355" s="1">
        <v>20240</v>
      </c>
      <c r="B355" cm="1">
        <f t="array" ref="B355">(PRODUCT(1+sp500_monthly!B356:B475)^(1/120)-1)*100</f>
        <v>1.0014242219460678</v>
      </c>
      <c r="C355" cm="1">
        <f t="array" ref="C355">(PRODUCT(1+sp500_monthly!C356:C475)^(1/120)-1)*100</f>
        <v>0.70227325354259573</v>
      </c>
      <c r="D355" cm="1">
        <f t="array" ref="D355">(PRODUCT(1+sp500_monthly!D356:D475)^(1/120)-1)*100</f>
        <v>0.9472773856224137</v>
      </c>
      <c r="E355" cm="1">
        <f t="array" ref="E355">(PRODUCT(1+sp500_monthly!E356:E475)^(1/120)-1)*100</f>
        <v>0.62492319769105187</v>
      </c>
      <c r="F355" cm="1">
        <f t="array" ref="F355">(PRODUCT(1+sp500_monthly!K356:K475)^(1/120)-1)*100</f>
        <v>0.70823172732403794</v>
      </c>
      <c r="G355" cm="1">
        <f t="array" ref="G355">(PRODUCT(1+sp500_monthly!L356:L475)^(1/120)-1)</f>
        <v>0.21981814952807754</v>
      </c>
      <c r="H355" cm="1">
        <f t="array" ref="H355">(PRODUCT(1+sp500_monthly!N356:N475)^(1/120)-1)*100</f>
        <v>0.86510498163467897</v>
      </c>
      <c r="I355" cm="1">
        <f t="array" ref="I355">(PRODUCT(1+sp500_monthly!O356:O475)^(1/120)-1)*100</f>
        <v>8.6295588159335246E-2</v>
      </c>
    </row>
    <row r="356" spans="1:9" x14ac:dyDescent="0.35">
      <c r="A356" s="1">
        <v>20270</v>
      </c>
      <c r="B356" cm="1">
        <f t="array" ref="B356">(PRODUCT(1+sp500_monthly!B357:B476)^(1/120)-1)*100</f>
        <v>0.89527831393949597</v>
      </c>
      <c r="C356" cm="1">
        <f t="array" ref="C356">(PRODUCT(1+sp500_monthly!C357:C476)^(1/120)-1)*100</f>
        <v>0.59619564083344123</v>
      </c>
      <c r="D356" cm="1">
        <f t="array" ref="D356">(PRODUCT(1+sp500_monthly!D357:D476)^(1/120)-1)*100</f>
        <v>0.85522169321954333</v>
      </c>
      <c r="E356" cm="1">
        <f t="array" ref="E356">(PRODUCT(1+sp500_monthly!E357:E476)^(1/120)-1)*100</f>
        <v>0.53337084608637841</v>
      </c>
      <c r="F356" cm="1">
        <f t="array" ref="F356">(PRODUCT(1+sp500_monthly!K357:K476)^(1/120)-1)*100</f>
        <v>0.60007655376195235</v>
      </c>
      <c r="G356" cm="1">
        <f t="array" ref="G356">(PRODUCT(1+sp500_monthly!L357:L476)^(1/120)-1)</f>
        <v>0.22190169310995511</v>
      </c>
      <c r="H356" cm="1">
        <f t="array" ref="H356">(PRODUCT(1+sp500_monthly!N357:N476)^(1/120)-1)*100</f>
        <v>0.7537581034530616</v>
      </c>
      <c r="I356" cm="1">
        <f t="array" ref="I356">(PRODUCT(1+sp500_monthly!O357:O476)^(1/120)-1)*100</f>
        <v>8.3067403324399436E-2</v>
      </c>
    </row>
    <row r="357" spans="1:9" x14ac:dyDescent="0.35">
      <c r="A357" s="1">
        <v>20299</v>
      </c>
      <c r="B357" cm="1">
        <f t="array" ref="B357">(PRODUCT(1+sp500_monthly!B358:B477)^(1/120)-1)*100</f>
        <v>0.86025388714476847</v>
      </c>
      <c r="C357" cm="1">
        <f t="array" ref="C357">(PRODUCT(1+sp500_monthly!C358:C477)^(1/120)-1)*100</f>
        <v>0.56106542200680121</v>
      </c>
      <c r="D357" cm="1">
        <f t="array" ref="D357">(PRODUCT(1+sp500_monthly!D358:D477)^(1/120)-1)*100</f>
        <v>0.86941048471089744</v>
      </c>
      <c r="E357" cm="1">
        <f t="array" ref="E357">(PRODUCT(1+sp500_monthly!E358:E477)^(1/120)-1)*100</f>
        <v>0.54770766396956549</v>
      </c>
      <c r="F357" cm="1">
        <f t="array" ref="F357">(PRODUCT(1+sp500_monthly!K358:K477)^(1/120)-1)*100</f>
        <v>0.56187821721698228</v>
      </c>
      <c r="G357" cm="1">
        <f t="array" ref="G357">(PRODUCT(1+sp500_monthly!L358:L477)^(1/120)-1)</f>
        <v>0.22368204675426862</v>
      </c>
      <c r="H357" cm="1">
        <f t="array" ref="H357">(PRODUCT(1+sp500_monthly!N358:N477)^(1/120)-1)*100</f>
        <v>0.7211494923185624</v>
      </c>
      <c r="I357" cm="1">
        <f t="array" ref="I357">(PRODUCT(1+sp500_monthly!O358:O477)^(1/120)-1)*100</f>
        <v>8.7167081649641709E-2</v>
      </c>
    </row>
    <row r="358" spans="1:9" x14ac:dyDescent="0.35">
      <c r="A358" s="1">
        <v>20332</v>
      </c>
      <c r="B358" cm="1">
        <f t="array" ref="B358">(PRODUCT(1+sp500_monthly!B359:B478)^(1/120)-1)*100</f>
        <v>0.88365220401505074</v>
      </c>
      <c r="C358" cm="1">
        <f t="array" ref="C358">(PRODUCT(1+sp500_monthly!C359:C478)^(1/120)-1)*100</f>
        <v>0.58668824997438751</v>
      </c>
      <c r="D358" cm="1">
        <f t="array" ref="D358">(PRODUCT(1+sp500_monthly!D359:D478)^(1/120)-1)*100</f>
        <v>0.90050423810208446</v>
      </c>
      <c r="E358" cm="1">
        <f t="array" ref="E358">(PRODUCT(1+sp500_monthly!E359:E478)^(1/120)-1)*100</f>
        <v>0.58003494670912925</v>
      </c>
      <c r="F358" cm="1">
        <f t="array" ref="F358">(PRODUCT(1+sp500_monthly!K359:K478)^(1/120)-1)*100</f>
        <v>0.58711890113904985</v>
      </c>
      <c r="G358" cm="1">
        <f t="array" ref="G358">(PRODUCT(1+sp500_monthly!L359:L478)^(1/120)-1)</f>
        <v>0.2250774205282271</v>
      </c>
      <c r="H358" cm="1">
        <f t="array" ref="H358">(PRODUCT(1+sp500_monthly!N359:N478)^(1/120)-1)*100</f>
        <v>0.74405759988724895</v>
      </c>
      <c r="I358" cm="1">
        <f t="array" ref="I358">(PRODUCT(1+sp500_monthly!O359:O478)^(1/120)-1)*100</f>
        <v>8.8126570903779289E-2</v>
      </c>
    </row>
    <row r="359" spans="1:9" x14ac:dyDescent="0.35">
      <c r="A359" s="1">
        <v>20362</v>
      </c>
      <c r="B359" cm="1">
        <f t="array" ref="B359">(PRODUCT(1+sp500_monthly!B360:B479)^(1/120)-1)*100</f>
        <v>0.901811758126847</v>
      </c>
      <c r="C359" cm="1">
        <f t="array" ref="C359">(PRODUCT(1+sp500_monthly!C360:C479)^(1/120)-1)*100</f>
        <v>0.60468267748436944</v>
      </c>
      <c r="D359" cm="1">
        <f t="array" ref="D359">(PRODUCT(1+sp500_monthly!D360:D479)^(1/120)-1)*100</f>
        <v>0.94261304376661581</v>
      </c>
      <c r="E359" cm="1">
        <f t="array" ref="E359">(PRODUCT(1+sp500_monthly!E360:E479)^(1/120)-1)*100</f>
        <v>0.62235936884262877</v>
      </c>
      <c r="F359" cm="1">
        <f t="array" ref="F359">(PRODUCT(1+sp500_monthly!K360:K479)^(1/120)-1)*100</f>
        <v>0.60406958276029155</v>
      </c>
      <c r="G359" cm="1">
        <f t="array" ref="G359">(PRODUCT(1+sp500_monthly!L360:L479)^(1/120)-1)</f>
        <v>0.22631953439406804</v>
      </c>
      <c r="H359" cm="1">
        <f t="array" ref="H359">(PRODUCT(1+sp500_monthly!N360:N479)^(1/120)-1)*100</f>
        <v>0.76440649248750159</v>
      </c>
      <c r="I359" cm="1">
        <f t="array" ref="I359">(PRODUCT(1+sp500_monthly!O360:O479)^(1/120)-1)*100</f>
        <v>9.1574426901530614E-2</v>
      </c>
    </row>
    <row r="360" spans="1:9" x14ac:dyDescent="0.35">
      <c r="A360" s="1">
        <v>20393</v>
      </c>
      <c r="B360" cm="1">
        <f t="array" ref="B360">(PRODUCT(1+sp500_monthly!B361:B480)^(1/120)-1)*100</f>
        <v>0.95172554189617564</v>
      </c>
      <c r="C360" cm="1">
        <f t="array" ref="C360">(PRODUCT(1+sp500_monthly!C361:C480)^(1/120)-1)*100</f>
        <v>0.65403296122192867</v>
      </c>
      <c r="D360" cm="1">
        <f t="array" ref="D360">(PRODUCT(1+sp500_monthly!D361:D480)^(1/120)-1)*100</f>
        <v>1.0000699482918929</v>
      </c>
      <c r="E360" cm="1">
        <f t="array" ref="E360">(PRODUCT(1+sp500_monthly!E361:E480)^(1/120)-1)*100</f>
        <v>0.67982532908106297</v>
      </c>
      <c r="F360" cm="1">
        <f t="array" ref="F360">(PRODUCT(1+sp500_monthly!K361:K480)^(1/120)-1)*100</f>
        <v>0.65262881942391715</v>
      </c>
      <c r="G360" cm="1">
        <f t="array" ref="G360">(PRODUCT(1+sp500_monthly!L361:L480)^(1/120)-1)</f>
        <v>0.22738804933270518</v>
      </c>
      <c r="H360" cm="1">
        <f t="array" ref="H360">(PRODUCT(1+sp500_monthly!N361:N480)^(1/120)-1)*100</f>
        <v>0.81251641627428928</v>
      </c>
      <c r="I360" cm="1">
        <f t="array" ref="I360">(PRODUCT(1+sp500_monthly!O361:O480)^(1/120)-1)*100</f>
        <v>9.0932644332619716E-2</v>
      </c>
    </row>
    <row r="361" spans="1:9" x14ac:dyDescent="0.35">
      <c r="A361" s="1">
        <v>20423</v>
      </c>
      <c r="B361" cm="1">
        <f t="array" ref="B361">(PRODUCT(1+sp500_monthly!B362:B481)^(1/120)-1)*100</f>
        <v>0.87771417788105044</v>
      </c>
      <c r="C361" cm="1">
        <f t="array" ref="C361">(PRODUCT(1+sp500_monthly!C362:C481)^(1/120)-1)*100</f>
        <v>0.58460942376827862</v>
      </c>
      <c r="D361" cm="1">
        <f t="array" ref="D361">(PRODUCT(1+sp500_monthly!D362:D481)^(1/120)-1)*100</f>
        <v>0.96036250384219368</v>
      </c>
      <c r="E361" cm="1">
        <f t="array" ref="E361">(PRODUCT(1+sp500_monthly!E362:E481)^(1/120)-1)*100</f>
        <v>0.6435337476061509</v>
      </c>
      <c r="F361" cm="1">
        <f t="array" ref="F361">(PRODUCT(1+sp500_monthly!K362:K481)^(1/120)-1)*100</f>
        <v>0.58470924681346403</v>
      </c>
      <c r="G361" cm="1">
        <f t="array" ref="G361">(PRODUCT(1+sp500_monthly!L362:L481)^(1/120)-1)</f>
        <v>0.22885259127521262</v>
      </c>
      <c r="H361" cm="1">
        <f t="array" ref="H361">(PRODUCT(1+sp500_monthly!N362:N481)^(1/120)-1)*100</f>
        <v>0.73783483640015302</v>
      </c>
      <c r="I361" cm="1">
        <f t="array" ref="I361">(PRODUCT(1+sp500_monthly!O362:O481)^(1/120)-1)*100</f>
        <v>9.1662805071024422E-2</v>
      </c>
    </row>
    <row r="362" spans="1:9" x14ac:dyDescent="0.35">
      <c r="A362" s="1">
        <v>20453</v>
      </c>
      <c r="B362" cm="1">
        <f t="array" ref="B362">(PRODUCT(1+sp500_monthly!B363:B482)^(1/120)-1)*100</f>
        <v>0.88662952503493209</v>
      </c>
      <c r="C362" cm="1">
        <f t="array" ref="C362">(PRODUCT(1+sp500_monthly!C363:C482)^(1/120)-1)*100</f>
        <v>0.59358250307723903</v>
      </c>
      <c r="D362" cm="1">
        <f t="array" ref="D362">(PRODUCT(1+sp500_monthly!D363:D482)^(1/120)-1)*100</f>
        <v>0.97773255510971158</v>
      </c>
      <c r="E362" cm="1">
        <f t="array" ref="E362">(PRODUCT(1+sp500_monthly!E363:E482)^(1/120)-1)*100</f>
        <v>0.66125680821966792</v>
      </c>
      <c r="F362" cm="1">
        <f t="array" ref="F362">(PRODUCT(1+sp500_monthly!K363:K482)^(1/120)-1)*100</f>
        <v>0.59273152794099282</v>
      </c>
      <c r="G362" cm="1">
        <f t="array" ref="G362">(PRODUCT(1+sp500_monthly!L363:L482)^(1/120)-1)</f>
        <v>0.23007861943653163</v>
      </c>
      <c r="H362" cm="1">
        <f t="array" ref="H362">(PRODUCT(1+sp500_monthly!N363:N482)^(1/120)-1)*100</f>
        <v>0.74378535575387872</v>
      </c>
      <c r="I362" cm="1">
        <f t="array" ref="I362">(PRODUCT(1+sp500_monthly!O363:O482)^(1/120)-1)*100</f>
        <v>8.9977471922209062E-2</v>
      </c>
    </row>
    <row r="363" spans="1:9" x14ac:dyDescent="0.35">
      <c r="A363" s="1">
        <v>20485</v>
      </c>
      <c r="B363" cm="1">
        <f t="array" ref="B363">(PRODUCT(1+sp500_monthly!B364:B483)^(1/120)-1)*100</f>
        <v>0.9214204209489596</v>
      </c>
      <c r="C363" cm="1">
        <f t="array" ref="C363">(PRODUCT(1+sp500_monthly!C364:C483)^(1/120)-1)*100</f>
        <v>0.62864179114929808</v>
      </c>
      <c r="D363" cm="1">
        <f t="array" ref="D363">(PRODUCT(1+sp500_monthly!D364:D483)^(1/120)-1)*100</f>
        <v>1.0309733450342584</v>
      </c>
      <c r="E363" cm="1">
        <f t="array" ref="E363">(PRODUCT(1+sp500_monthly!E364:E483)^(1/120)-1)*100</f>
        <v>0.7150248915856805</v>
      </c>
      <c r="F363" cm="1">
        <f t="array" ref="F363">(PRODUCT(1+sp500_monthly!K364:K483)^(1/120)-1)*100</f>
        <v>0.62797866843053995</v>
      </c>
      <c r="G363" cm="1">
        <f t="array" ref="G363">(PRODUCT(1+sp500_monthly!L364:L483)^(1/120)-1)</f>
        <v>0.23134248358262655</v>
      </c>
      <c r="H363" cm="1">
        <f t="array" ref="H363">(PRODUCT(1+sp500_monthly!N364:N483)^(1/120)-1)*100</f>
        <v>0.77648521410880189</v>
      </c>
      <c r="I363" cm="1">
        <f t="array" ref="I363">(PRODUCT(1+sp500_monthly!O364:O483)^(1/120)-1)*100</f>
        <v>8.9280167997851656E-2</v>
      </c>
    </row>
    <row r="364" spans="1:9" x14ac:dyDescent="0.35">
      <c r="A364" s="1">
        <v>20514</v>
      </c>
      <c r="B364" cm="1">
        <f t="array" ref="B364">(PRODUCT(1+sp500_monthly!B365:B484)^(1/120)-1)*100</f>
        <v>0.8765245327628568</v>
      </c>
      <c r="C364" cm="1">
        <f t="array" ref="C364">(PRODUCT(1+sp500_monthly!C365:C484)^(1/120)-1)*100</f>
        <v>0.58539635977792326</v>
      </c>
      <c r="D364" cm="1">
        <f t="array" ref="D364">(PRODUCT(1+sp500_monthly!D365:D484)^(1/120)-1)*100</f>
        <v>1.0042384754484601</v>
      </c>
      <c r="E364" cm="1">
        <f t="array" ref="E364">(PRODUCT(1+sp500_monthly!E365:E484)^(1/120)-1)*100</f>
        <v>0.69036349226920812</v>
      </c>
      <c r="F364" cm="1">
        <f t="array" ref="F364">(PRODUCT(1+sp500_monthly!K365:K484)^(1/120)-1)*100</f>
        <v>0.58427065968658098</v>
      </c>
      <c r="G364" cm="1">
        <f t="array" ref="G364">(PRODUCT(1+sp500_monthly!L365:L484)^(1/120)-1)</f>
        <v>0.23263762620447248</v>
      </c>
      <c r="H364" cm="1">
        <f t="array" ref="H364">(PRODUCT(1+sp500_monthly!N365:N484)^(1/120)-1)*100</f>
        <v>0.72734224146744353</v>
      </c>
      <c r="I364" cm="1">
        <f t="array" ref="I364">(PRODUCT(1+sp500_monthly!O365:O484)^(1/120)-1)*100</f>
        <v>8.6326985233076137E-2</v>
      </c>
    </row>
    <row r="365" spans="1:9" x14ac:dyDescent="0.35">
      <c r="A365" s="1">
        <v>20543</v>
      </c>
      <c r="B365" cm="1">
        <f t="array" ref="B365">(PRODUCT(1+sp500_monthly!B366:B485)^(1/120)-1)*100</f>
        <v>0.79982388124735238</v>
      </c>
      <c r="C365" cm="1">
        <f t="array" ref="C365">(PRODUCT(1+sp500_monthly!C366:C485)^(1/120)-1)*100</f>
        <v>0.50843535798943407</v>
      </c>
      <c r="D365" cm="1">
        <f t="array" ref="D365">(PRODUCT(1+sp500_monthly!D366:D485)^(1/120)-1)*100</f>
        <v>0.93668072403354508</v>
      </c>
      <c r="E365" cm="1">
        <f t="array" ref="E365">(PRODUCT(1+sp500_monthly!E366:E485)^(1/120)-1)*100</f>
        <v>0.62338365068181911</v>
      </c>
      <c r="F365" cm="1">
        <f t="array" ref="F365">(PRODUCT(1+sp500_monthly!K366:K485)^(1/120)-1)*100</f>
        <v>0.50968272925802083</v>
      </c>
      <c r="G365" cm="1">
        <f t="array" ref="G365">(PRODUCT(1+sp500_monthly!L366:L485)^(1/120)-1)</f>
        <v>0.2345118530685335</v>
      </c>
      <c r="H365" cm="1">
        <f t="array" ref="H365">(PRODUCT(1+sp500_monthly!N366:N485)^(1/120)-1)*100</f>
        <v>0.6490808092887157</v>
      </c>
      <c r="I365" cm="1">
        <f t="array" ref="I365">(PRODUCT(1+sp500_monthly!O366:O485)^(1/120)-1)*100</f>
        <v>8.6575402085831143E-2</v>
      </c>
    </row>
    <row r="366" spans="1:9" x14ac:dyDescent="0.35">
      <c r="A366" s="1">
        <v>20575</v>
      </c>
      <c r="B366" cm="1">
        <f t="array" ref="B366">(PRODUCT(1+sp500_monthly!B367:B486)^(1/120)-1)*100</f>
        <v>0.8187703851003425</v>
      </c>
      <c r="C366" cm="1">
        <f t="array" ref="C366">(PRODUCT(1+sp500_monthly!C367:C486)^(1/120)-1)*100</f>
        <v>0.52724340454473051</v>
      </c>
      <c r="D366" cm="1">
        <f t="array" ref="D366">(PRODUCT(1+sp500_monthly!D367:D486)^(1/120)-1)*100</f>
        <v>0.96313751366774447</v>
      </c>
      <c r="E366" cm="1">
        <f t="array" ref="E366">(PRODUCT(1+sp500_monthly!E367:E486)^(1/120)-1)*100</f>
        <v>0.65013334830335001</v>
      </c>
      <c r="F366" cm="1">
        <f t="array" ref="F366">(PRODUCT(1+sp500_monthly!K367:K486)^(1/120)-1)*100</f>
        <v>0.52841835219212818</v>
      </c>
      <c r="G366" cm="1">
        <f t="array" ref="G366">(PRODUCT(1+sp500_monthly!L367:L486)^(1/120)-1)</f>
        <v>0.23573376312112537</v>
      </c>
      <c r="H366" cm="1">
        <f t="array" ref="H366">(PRODUCT(1+sp500_monthly!N367:N486)^(1/120)-1)*100</f>
        <v>0.66664310341029154</v>
      </c>
      <c r="I366" cm="1">
        <f t="array" ref="I366">(PRODUCT(1+sp500_monthly!O367:O486)^(1/120)-1)*100</f>
        <v>8.6475124136886627E-2</v>
      </c>
    </row>
    <row r="367" spans="1:9" x14ac:dyDescent="0.35">
      <c r="A367" s="1">
        <v>20606</v>
      </c>
      <c r="B367" cm="1">
        <f t="array" ref="B367">(PRODUCT(1+sp500_monthly!B368:B487)^(1/120)-1)*100</f>
        <v>0.82700522109284691</v>
      </c>
      <c r="C367" cm="1">
        <f t="array" ref="C367">(PRODUCT(1+sp500_monthly!C368:C487)^(1/120)-1)*100</f>
        <v>0.53734554671178714</v>
      </c>
      <c r="D367" cm="1">
        <f t="array" ref="D367">(PRODUCT(1+sp500_monthly!D368:D487)^(1/120)-1)*100</f>
        <v>0.94354968829879482</v>
      </c>
      <c r="E367" cm="1">
        <f t="array" ref="E367">(PRODUCT(1+sp500_monthly!E368:E487)^(1/120)-1)*100</f>
        <v>0.63223577233824102</v>
      </c>
      <c r="F367" cm="1">
        <f t="array" ref="F367">(PRODUCT(1+sp500_monthly!K368:K487)^(1/120)-1)*100</f>
        <v>0.53874741617703226</v>
      </c>
      <c r="G367" cm="1">
        <f t="array" ref="G367">(PRODUCT(1+sp500_monthly!L368:L487)^(1/120)-1)</f>
        <v>0.23714098877023004</v>
      </c>
      <c r="H367" cm="1">
        <f t="array" ref="H367">(PRODUCT(1+sp500_monthly!N368:N487)^(1/120)-1)*100</f>
        <v>0.67615774759408609</v>
      </c>
      <c r="I367" cm="1">
        <f t="array" ref="I367">(PRODUCT(1+sp500_monthly!O368:O487)^(1/120)-1)*100</f>
        <v>8.9256344709820468E-2</v>
      </c>
    </row>
    <row r="368" spans="1:9" x14ac:dyDescent="0.35">
      <c r="A368" s="1">
        <v>20635</v>
      </c>
      <c r="B368" cm="1">
        <f t="array" ref="B368">(PRODUCT(1+sp500_monthly!B369:B488)^(1/120)-1)*100</f>
        <v>0.78277163285709328</v>
      </c>
      <c r="C368" cm="1">
        <f t="array" ref="C368">(PRODUCT(1+sp500_monthly!C369:C488)^(1/120)-1)*100</f>
        <v>0.49286903887375555</v>
      </c>
      <c r="D368" cm="1">
        <f t="array" ref="D368">(PRODUCT(1+sp500_monthly!D369:D488)^(1/120)-1)*100</f>
        <v>0.91374236922272534</v>
      </c>
      <c r="E368" cm="1">
        <f t="array" ref="E368">(PRODUCT(1+sp500_monthly!E369:E488)^(1/120)-1)*100</f>
        <v>0.60248404731264582</v>
      </c>
      <c r="F368" cm="1">
        <f t="array" ref="F368">(PRODUCT(1+sp500_monthly!K369:K488)^(1/120)-1)*100</f>
        <v>0.49294455073845</v>
      </c>
      <c r="G368" cm="1">
        <f t="array" ref="G368">(PRODUCT(1+sp500_monthly!L369:L488)^(1/120)-1)</f>
        <v>0.23858270507490764</v>
      </c>
      <c r="H368" cm="1">
        <f t="array" ref="H368">(PRODUCT(1+sp500_monthly!N369:N488)^(1/120)-1)*100</f>
        <v>0.63492779342335659</v>
      </c>
      <c r="I368" cm="1">
        <f t="array" ref="I368">(PRODUCT(1+sp500_monthly!O369:O488)^(1/120)-1)*100</f>
        <v>9.3675011216642901E-2</v>
      </c>
    </row>
    <row r="369" spans="1:9" x14ac:dyDescent="0.35">
      <c r="A369" s="1">
        <v>20667</v>
      </c>
      <c r="B369" cm="1">
        <f t="array" ref="B369">(PRODUCT(1+sp500_monthly!B370:B489)^(1/120)-1)*100</f>
        <v>0.73041897254428889</v>
      </c>
      <c r="C369" cm="1">
        <f t="array" ref="C369">(PRODUCT(1+sp500_monthly!C370:C489)^(1/120)-1)*100</f>
        <v>0.44053905819370076</v>
      </c>
      <c r="D369" cm="1">
        <f t="array" ref="D369">(PRODUCT(1+sp500_monthly!D370:D489)^(1/120)-1)*100</f>
        <v>0.87090312264921366</v>
      </c>
      <c r="E369" cm="1">
        <f t="array" ref="E369">(PRODUCT(1+sp500_monthly!E370:E489)^(1/120)-1)*100</f>
        <v>0.56010141086810794</v>
      </c>
      <c r="F369" cm="1">
        <f t="array" ref="F369">(PRODUCT(1+sp500_monthly!K370:K489)^(1/120)-1)*100</f>
        <v>0.43954427337518087</v>
      </c>
      <c r="G369" cm="1">
        <f t="array" ref="G369">(PRODUCT(1+sp500_monthly!L370:L489)^(1/120)-1)</f>
        <v>0.23962823880861417</v>
      </c>
      <c r="H369" cm="1">
        <f t="array" ref="H369">(PRODUCT(1+sp500_monthly!N370:N489)^(1/120)-1)*100</f>
        <v>0.58515294536780615</v>
      </c>
      <c r="I369" cm="1">
        <f t="array" ref="I369">(PRODUCT(1+sp500_monthly!O370:O489)^(1/120)-1)*100</f>
        <v>9.7245165330339667E-2</v>
      </c>
    </row>
    <row r="370" spans="1:9" x14ac:dyDescent="0.35">
      <c r="A370" s="1">
        <v>20698</v>
      </c>
      <c r="B370" cm="1">
        <f t="array" ref="B370">(PRODUCT(1+sp500_monthly!B371:B490)^(1/120)-1)*100</f>
        <v>0.69600116550772029</v>
      </c>
      <c r="C370" cm="1">
        <f t="array" ref="C370">(PRODUCT(1+sp500_monthly!C371:C490)^(1/120)-1)*100</f>
        <v>0.40718426353685278</v>
      </c>
      <c r="D370" cm="1">
        <f t="array" ref="D370">(PRODUCT(1+sp500_monthly!D371:D490)^(1/120)-1)*100</f>
        <v>0.82176084268563709</v>
      </c>
      <c r="E370" cm="1">
        <f t="array" ref="E370">(PRODUCT(1+sp500_monthly!E371:E490)^(1/120)-1)*100</f>
        <v>0.5114323191406811</v>
      </c>
      <c r="F370" cm="1">
        <f t="array" ref="F370">(PRODUCT(1+sp500_monthly!K371:K490)^(1/120)-1)*100</f>
        <v>0.40428558021168293</v>
      </c>
      <c r="G370" cm="1">
        <f t="array" ref="G370">(PRODUCT(1+sp500_monthly!L371:L490)^(1/120)-1)</f>
        <v>0.24155721491521032</v>
      </c>
      <c r="H370" cm="1">
        <f t="array" ref="H370">(PRODUCT(1+sp500_monthly!N371:N490)^(1/120)-1)*100</f>
        <v>0.54625019271989927</v>
      </c>
      <c r="I370" cm="1">
        <f t="array" ref="I370">(PRODUCT(1+sp500_monthly!O371:O490)^(1/120)-1)*100</f>
        <v>9.4727125229154829E-2</v>
      </c>
    </row>
    <row r="371" spans="1:9" x14ac:dyDescent="0.35">
      <c r="A371" s="1">
        <v>20726</v>
      </c>
      <c r="B371" cm="1">
        <f t="array" ref="B371">(PRODUCT(1+sp500_monthly!B372:B491)^(1/120)-1)*100</f>
        <v>0.72852854400968781</v>
      </c>
      <c r="C371" cm="1">
        <f t="array" ref="C371">(PRODUCT(1+sp500_monthly!C372:C491)^(1/120)-1)*100</f>
        <v>0.43936590233022432</v>
      </c>
      <c r="D371" cm="1">
        <f t="array" ref="D371">(PRODUCT(1+sp500_monthly!D372:D491)^(1/120)-1)*100</f>
        <v>0.84765090690370748</v>
      </c>
      <c r="E371" cm="1">
        <f t="array" ref="E371">(PRODUCT(1+sp500_monthly!E372:E491)^(1/120)-1)*100</f>
        <v>0.53747308706939556</v>
      </c>
      <c r="F371" cm="1">
        <f t="array" ref="F371">(PRODUCT(1+sp500_monthly!K372:K491)^(1/120)-1)*100</f>
        <v>0.43734183332373444</v>
      </c>
      <c r="G371" cm="1">
        <f t="array" ref="G371">(PRODUCT(1+sp500_monthly!L372:L491)^(1/120)-1)</f>
        <v>0.2433272578579444</v>
      </c>
      <c r="H371" cm="1">
        <f t="array" ref="H371">(PRODUCT(1+sp500_monthly!N372:N491)^(1/120)-1)*100</f>
        <v>0.57739275597405992</v>
      </c>
      <c r="I371" cm="1">
        <f t="array" ref="I371">(PRODUCT(1+sp500_monthly!O372:O491)^(1/120)-1)*100</f>
        <v>9.5226871382436684E-2</v>
      </c>
    </row>
    <row r="372" spans="1:9" x14ac:dyDescent="0.35">
      <c r="A372" s="1">
        <v>20759</v>
      </c>
      <c r="B372" cm="1">
        <f t="array" ref="B372">(PRODUCT(1+sp500_monthly!B373:B492)^(1/120)-1)*100</f>
        <v>0.76261756542685966</v>
      </c>
      <c r="C372" cm="1">
        <f t="array" ref="C372">(PRODUCT(1+sp500_monthly!C373:C492)^(1/120)-1)*100</f>
        <v>0.47358634748846384</v>
      </c>
      <c r="D372" cm="1">
        <f t="array" ref="D372">(PRODUCT(1+sp500_monthly!D373:D492)^(1/120)-1)*100</f>
        <v>0.86517714205893714</v>
      </c>
      <c r="E372" cm="1">
        <f t="array" ref="E372">(PRODUCT(1+sp500_monthly!E373:E492)^(1/120)-1)*100</f>
        <v>0.55583913829189147</v>
      </c>
      <c r="F372" cm="1">
        <f t="array" ref="F372">(PRODUCT(1+sp500_monthly!K373:K492)^(1/120)-1)*100</f>
        <v>0.47198964836674406</v>
      </c>
      <c r="G372" cm="1">
        <f t="array" ref="G372">(PRODUCT(1+sp500_monthly!L373:L492)^(1/120)-1)</f>
        <v>0.24486599789409458</v>
      </c>
      <c r="H372" cm="1">
        <f t="array" ref="H372">(PRODUCT(1+sp500_monthly!N373:N492)^(1/120)-1)*100</f>
        <v>0.6137650622713986</v>
      </c>
      <c r="I372" cm="1">
        <f t="array" ref="I372">(PRODUCT(1+sp500_monthly!O373:O492)^(1/120)-1)*100</f>
        <v>9.9211815333322129E-2</v>
      </c>
    </row>
    <row r="373" spans="1:9" x14ac:dyDescent="0.35">
      <c r="A373" s="1">
        <v>20789</v>
      </c>
      <c r="B373" cm="1">
        <f t="array" ref="B373">(PRODUCT(1+sp500_monthly!B374:B493)^(1/120)-1)*100</f>
        <v>0.7736040915986786</v>
      </c>
      <c r="C373" cm="1">
        <f t="array" ref="C373">(PRODUCT(1+sp500_monthly!C374:C493)^(1/120)-1)*100</f>
        <v>0.48611096900204043</v>
      </c>
      <c r="D373" cm="1">
        <f t="array" ref="D373">(PRODUCT(1+sp500_monthly!D374:D493)^(1/120)-1)*100</f>
        <v>0.89158278280740966</v>
      </c>
      <c r="E373" cm="1">
        <f t="array" ref="E373">(PRODUCT(1+sp500_monthly!E374:E493)^(1/120)-1)*100</f>
        <v>0.58313773413016801</v>
      </c>
      <c r="F373" cm="1">
        <f t="array" ref="F373">(PRODUCT(1+sp500_monthly!K374:K493)^(1/120)-1)*100</f>
        <v>0.48383161181935197</v>
      </c>
      <c r="G373" cm="1">
        <f t="array" ref="G373">(PRODUCT(1+sp500_monthly!L374:L493)^(1/120)-1)</f>
        <v>0.24646616661919563</v>
      </c>
      <c r="H373" cm="1">
        <f t="array" ref="H373">(PRODUCT(1+sp500_monthly!N374:N493)^(1/120)-1)*100</f>
        <v>0.62396992140814067</v>
      </c>
      <c r="I373" cm="1">
        <f t="array" ref="I373">(PRODUCT(1+sp500_monthly!O374:O493)^(1/120)-1)*100</f>
        <v>0.10011370774720696</v>
      </c>
    </row>
    <row r="374" spans="1:9" x14ac:dyDescent="0.35">
      <c r="A374" s="1">
        <v>20820</v>
      </c>
      <c r="B374" cm="1">
        <f t="array" ref="B374">(PRODUCT(1+sp500_monthly!B375:B494)^(1/120)-1)*100</f>
        <v>0.74395137911806852</v>
      </c>
      <c r="C374" cm="1">
        <f t="array" ref="C374">(PRODUCT(1+sp500_monthly!C375:C494)^(1/120)-1)*100</f>
        <v>0.45684719049796652</v>
      </c>
      <c r="D374" cm="1">
        <f t="array" ref="D374">(PRODUCT(1+sp500_monthly!D375:D494)^(1/120)-1)*100</f>
        <v>0.88011672545675879</v>
      </c>
      <c r="E374" cm="1">
        <f t="array" ref="E374">(PRODUCT(1+sp500_monthly!E375:E494)^(1/120)-1)*100</f>
        <v>0.57283455102496994</v>
      </c>
      <c r="F374" cm="1">
        <f t="array" ref="F374">(PRODUCT(1+sp500_monthly!K375:K494)^(1/120)-1)*100</f>
        <v>0.45356010737087615</v>
      </c>
      <c r="G374" cm="1">
        <f t="array" ref="G374">(PRODUCT(1+sp500_monthly!L375:L494)^(1/120)-1)</f>
        <v>0.24772740596796039</v>
      </c>
      <c r="H374" cm="1">
        <f t="array" ref="H374">(PRODUCT(1+sp500_monthly!N375:N494)^(1/120)-1)*100</f>
        <v>0.59699077497914477</v>
      </c>
      <c r="I374" cm="1">
        <f t="array" ref="I374">(PRODUCT(1+sp500_monthly!O375:O494)^(1/120)-1)*100</f>
        <v>0.10406077896667476</v>
      </c>
    </row>
    <row r="375" spans="1:9" x14ac:dyDescent="0.35">
      <c r="A375" s="1">
        <v>20851</v>
      </c>
      <c r="B375" cm="1">
        <f t="array" ref="B375">(PRODUCT(1+sp500_monthly!B376:B495)^(1/120)-1)*100</f>
        <v>0.84247998759912068</v>
      </c>
      <c r="C375" cm="1">
        <f t="array" ref="C375">(PRODUCT(1+sp500_monthly!C376:C495)^(1/120)-1)*100</f>
        <v>0.55509862964311374</v>
      </c>
      <c r="D375" cm="1">
        <f t="array" ref="D375">(PRODUCT(1+sp500_monthly!D376:D495)^(1/120)-1)*100</f>
        <v>0.98472254055410602</v>
      </c>
      <c r="E375" cm="1">
        <f t="array" ref="E375">(PRODUCT(1+sp500_monthly!E376:E495)^(1/120)-1)*100</f>
        <v>0.67757445055118826</v>
      </c>
      <c r="F375" cm="1">
        <f t="array" ref="F375">(PRODUCT(1+sp500_monthly!K376:K495)^(1/120)-1)*100</f>
        <v>0.55234913740620506</v>
      </c>
      <c r="G375" cm="1">
        <f t="array" ref="G375">(PRODUCT(1+sp500_monthly!L376:L495)^(1/120)-1)</f>
        <v>0.24896178506339695</v>
      </c>
      <c r="H375" cm="1">
        <f t="array" ref="H375">(PRODUCT(1+sp500_monthly!N376:N495)^(1/120)-1)*100</f>
        <v>0.69709955134356072</v>
      </c>
      <c r="I375" cm="1">
        <f t="array" ref="I375">(PRODUCT(1+sp500_monthly!O376:O495)^(1/120)-1)*100</f>
        <v>0.1071046500205286</v>
      </c>
    </row>
    <row r="376" spans="1:9" x14ac:dyDescent="0.35">
      <c r="A376" s="1">
        <v>20879</v>
      </c>
      <c r="B376" cm="1">
        <f t="array" ref="B376">(PRODUCT(1+sp500_monthly!B377:B496)^(1/120)-1)*100</f>
        <v>0.86998066169616806</v>
      </c>
      <c r="C376" cm="1">
        <f t="array" ref="C376">(PRODUCT(1+sp500_monthly!C377:C496)^(1/120)-1)*100</f>
        <v>0.58509436172726748</v>
      </c>
      <c r="D376" cm="1">
        <f t="array" ref="D376">(PRODUCT(1+sp500_monthly!D377:D496)^(1/120)-1)*100</f>
        <v>1.015329448687452</v>
      </c>
      <c r="E376" cm="1">
        <f t="array" ref="E376">(PRODUCT(1+sp500_monthly!E377:E496)^(1/120)-1)*100</f>
        <v>0.71011686128459317</v>
      </c>
      <c r="F376" cm="1">
        <f t="array" ref="F376">(PRODUCT(1+sp500_monthly!K377:K496)^(1/120)-1)*100</f>
        <v>0.58181019043026527</v>
      </c>
      <c r="G376" cm="1">
        <f t="array" ref="G376">(PRODUCT(1+sp500_monthly!L377:L496)^(1/120)-1)</f>
        <v>0.24992357808932564</v>
      </c>
      <c r="H376" cm="1">
        <f t="array" ref="H376">(PRODUCT(1+sp500_monthly!N377:N496)^(1/120)-1)*100</f>
        <v>0.72594750114132189</v>
      </c>
      <c r="I376" cm="1">
        <f t="array" ref="I376">(PRODUCT(1+sp500_monthly!O377:O496)^(1/120)-1)*100</f>
        <v>0.10948116592877088</v>
      </c>
    </row>
    <row r="377" spans="1:9" x14ac:dyDescent="0.35">
      <c r="A377" s="1">
        <v>20908</v>
      </c>
      <c r="B377" cm="1">
        <f t="array" ref="B377">(PRODUCT(1+sp500_monthly!B378:B497)^(1/120)-1)*100</f>
        <v>0.88407471086964229</v>
      </c>
      <c r="C377" cm="1">
        <f t="array" ref="C377">(PRODUCT(1+sp500_monthly!C378:C497)^(1/120)-1)*100</f>
        <v>0.6003865915735096</v>
      </c>
      <c r="D377" cm="1">
        <f t="array" ref="D377">(PRODUCT(1+sp500_monthly!D378:D497)^(1/120)-1)*100</f>
        <v>1.0387552298259051</v>
      </c>
      <c r="E377" cm="1">
        <f t="array" ref="E377">(PRODUCT(1+sp500_monthly!E378:E497)^(1/120)-1)*100</f>
        <v>0.73471363639714404</v>
      </c>
      <c r="F377" cm="1">
        <f t="array" ref="F377">(PRODUCT(1+sp500_monthly!K378:K497)^(1/120)-1)*100</f>
        <v>0.59790020334953287</v>
      </c>
      <c r="G377" cm="1">
        <f t="array" ref="G377">(PRODUCT(1+sp500_monthly!L378:L497)^(1/120)-1)</f>
        <v>0.25119799923575425</v>
      </c>
      <c r="H377" cm="1">
        <f t="array" ref="H377">(PRODUCT(1+sp500_monthly!N378:N497)^(1/120)-1)*100</f>
        <v>0.74183135999426053</v>
      </c>
      <c r="I377" cm="1">
        <f t="array" ref="I377">(PRODUCT(1+sp500_monthly!O378:O497)^(1/120)-1)*100</f>
        <v>0.11261047314026218</v>
      </c>
    </row>
    <row r="378" spans="1:9" x14ac:dyDescent="0.35">
      <c r="A378" s="1">
        <v>20940</v>
      </c>
      <c r="B378" cm="1">
        <f t="array" ref="B378">(PRODUCT(1+sp500_monthly!B379:B498)^(1/120)-1)*100</f>
        <v>0.88152678434501031</v>
      </c>
      <c r="C378" cm="1">
        <f t="array" ref="C378">(PRODUCT(1+sp500_monthly!C379:C498)^(1/120)-1)*100</f>
        <v>0.59824154103158556</v>
      </c>
      <c r="D378" cm="1">
        <f t="array" ref="D378">(PRODUCT(1+sp500_monthly!D379:D498)^(1/120)-1)*100</f>
        <v>1.0463218067132019</v>
      </c>
      <c r="E378" cm="1">
        <f t="array" ref="E378">(PRODUCT(1+sp500_monthly!E379:E498)^(1/120)-1)*100</f>
        <v>0.74291206729395487</v>
      </c>
      <c r="F378" cm="1">
        <f t="array" ref="F378">(PRODUCT(1+sp500_monthly!K379:K498)^(1/120)-1)*100</f>
        <v>0.60216286012755305</v>
      </c>
      <c r="G378" cm="1">
        <f t="array" ref="G378">(PRODUCT(1+sp500_monthly!L379:L498)^(1/120)-1)</f>
        <v>0.2517662574767372</v>
      </c>
      <c r="H378" cm="1">
        <f t="array" ref="H378">(PRODUCT(1+sp500_monthly!N379:N498)^(1/120)-1)*100</f>
        <v>0.73885358829874903</v>
      </c>
      <c r="I378" cm="1">
        <f t="array" ref="I378">(PRODUCT(1+sp500_monthly!O379:O498)^(1/120)-1)*100</f>
        <v>0.1127620615897218</v>
      </c>
    </row>
    <row r="379" spans="1:9" x14ac:dyDescent="0.35">
      <c r="A379" s="1">
        <v>20971</v>
      </c>
      <c r="B379" cm="1">
        <f t="array" ref="B379">(PRODUCT(1+sp500_monthly!B380:B499)^(1/120)-1)*100</f>
        <v>0.80930156338514525</v>
      </c>
      <c r="C379" cm="1">
        <f t="array" ref="C379">(PRODUCT(1+sp500_monthly!C380:C499)^(1/120)-1)*100</f>
        <v>0.52583638974736946</v>
      </c>
      <c r="D379" cm="1">
        <f t="array" ref="D379">(PRODUCT(1+sp500_monthly!D380:D499)^(1/120)-1)*100</f>
        <v>1.0020806865043808</v>
      </c>
      <c r="E379" cm="1">
        <f t="array" ref="E379">(PRODUCT(1+sp500_monthly!E380:E499)^(1/120)-1)*100</f>
        <v>0.69915439042451677</v>
      </c>
      <c r="F379" cm="1">
        <f t="array" ref="F379">(PRODUCT(1+sp500_monthly!K380:K499)^(1/120)-1)*100</f>
        <v>0.52661566117444547</v>
      </c>
      <c r="G379" cm="1">
        <f t="array" ref="G379">(PRODUCT(1+sp500_monthly!L380:L499)^(1/120)-1)</f>
        <v>0.25233038057974366</v>
      </c>
      <c r="H379" cm="1">
        <f t="array" ref="H379">(PRODUCT(1+sp500_monthly!N380:N499)^(1/120)-1)*100</f>
        <v>0.66883038428944275</v>
      </c>
      <c r="I379" cm="1">
        <f t="array" ref="I379">(PRODUCT(1+sp500_monthly!O380:O499)^(1/120)-1)*100</f>
        <v>0.11543266463809321</v>
      </c>
    </row>
    <row r="380" spans="1:9" x14ac:dyDescent="0.35">
      <c r="A380" s="1">
        <v>20999</v>
      </c>
      <c r="B380" cm="1">
        <f t="array" ref="B380">(PRODUCT(1+sp500_monthly!B381:B500)^(1/120)-1)*100</f>
        <v>0.82597008408615835</v>
      </c>
      <c r="C380" cm="1">
        <f t="array" ref="C380">(PRODUCT(1+sp500_monthly!C381:C500)^(1/120)-1)*100</f>
        <v>0.5438432389125003</v>
      </c>
      <c r="D380" cm="1">
        <f t="array" ref="D380">(PRODUCT(1+sp500_monthly!D381:D500)^(1/120)-1)*100</f>
        <v>1.0389367364199042</v>
      </c>
      <c r="E380" cm="1">
        <f t="array" ref="E380">(PRODUCT(1+sp500_monthly!E381:E500)^(1/120)-1)*100</f>
        <v>0.73707510475828908</v>
      </c>
      <c r="F380" cm="1">
        <f t="array" ref="F380">(PRODUCT(1+sp500_monthly!K381:K500)^(1/120)-1)*100</f>
        <v>0.54222047332426193</v>
      </c>
      <c r="G380" cm="1">
        <f t="array" ref="G380">(PRODUCT(1+sp500_monthly!L381:L500)^(1/120)-1)</f>
        <v>0.25257988551476185</v>
      </c>
      <c r="H380" cm="1">
        <f t="array" ref="H380">(PRODUCT(1+sp500_monthly!N381:N500)^(1/120)-1)*100</f>
        <v>0.68371097974537776</v>
      </c>
      <c r="I380" cm="1">
        <f t="array" ref="I380">(PRODUCT(1+sp500_monthly!O381:O500)^(1/120)-1)*100</f>
        <v>0.11392760485053888</v>
      </c>
    </row>
    <row r="381" spans="1:9" x14ac:dyDescent="0.35">
      <c r="A381" s="1">
        <v>21032</v>
      </c>
      <c r="B381" cm="1">
        <f t="array" ref="B381">(PRODUCT(1+sp500_monthly!B382:B501)^(1/120)-1)*100</f>
        <v>0.8559765772261807</v>
      </c>
      <c r="C381" cm="1">
        <f t="array" ref="C381">(PRODUCT(1+sp500_monthly!C382:C501)^(1/120)-1)*100</f>
        <v>0.5743708515290713</v>
      </c>
      <c r="D381" cm="1">
        <f t="array" ref="D381">(PRODUCT(1+sp500_monthly!D382:D501)^(1/120)-1)*100</f>
        <v>1.0920107570794979</v>
      </c>
      <c r="E381" cm="1">
        <f t="array" ref="E381">(PRODUCT(1+sp500_monthly!E382:E501)^(1/120)-1)*100</f>
        <v>0.79072852597881216</v>
      </c>
      <c r="F381" cm="1">
        <f t="array" ref="F381">(PRODUCT(1+sp500_monthly!K382:K501)^(1/120)-1)*100</f>
        <v>0.56988219278040209</v>
      </c>
      <c r="G381" cm="1">
        <f t="array" ref="G381">(PRODUCT(1+sp500_monthly!L382:L501)^(1/120)-1)</f>
        <v>0.25265987440422388</v>
      </c>
      <c r="H381" cm="1">
        <f t="array" ref="H381">(PRODUCT(1+sp500_monthly!N382:N501)^(1/120)-1)*100</f>
        <v>0.71354371879506218</v>
      </c>
      <c r="I381" cm="1">
        <f t="array" ref="I381">(PRODUCT(1+sp500_monthly!O382:O501)^(1/120)-1)*100</f>
        <v>0.11388014513595834</v>
      </c>
    </row>
    <row r="382" spans="1:9" x14ac:dyDescent="0.35">
      <c r="A382" s="1">
        <v>21062</v>
      </c>
      <c r="B382" cm="1">
        <f t="array" ref="B382">(PRODUCT(1+sp500_monthly!B383:B502)^(1/120)-1)*100</f>
        <v>0.89245246031064429</v>
      </c>
      <c r="C382" cm="1">
        <f t="array" ref="C382">(PRODUCT(1+sp500_monthly!C383:C502)^(1/120)-1)*100</f>
        <v>0.61077605328372364</v>
      </c>
      <c r="D382" cm="1">
        <f t="array" ref="D382">(PRODUCT(1+sp500_monthly!D383:D502)^(1/120)-1)*100</f>
        <v>1.1401176858755413</v>
      </c>
      <c r="E382" cm="1">
        <f t="array" ref="E382">(PRODUCT(1+sp500_monthly!E383:E502)^(1/120)-1)*100</f>
        <v>0.83958737705609465</v>
      </c>
      <c r="F382" cm="1">
        <f t="array" ref="F382">(PRODUCT(1+sp500_monthly!K383:K502)^(1/120)-1)*100</f>
        <v>0.6084419444664757</v>
      </c>
      <c r="G382" cm="1">
        <f t="array" ref="G382">(PRODUCT(1+sp500_monthly!L383:L502)^(1/120)-1)</f>
        <v>0.25314937991225084</v>
      </c>
      <c r="H382" cm="1">
        <f t="array" ref="H382">(PRODUCT(1+sp500_monthly!N383:N502)^(1/120)-1)*100</f>
        <v>0.75013432428436833</v>
      </c>
      <c r="I382" cm="1">
        <f t="array" ref="I382">(PRODUCT(1+sp500_monthly!O383:O502)^(1/120)-1)*100</f>
        <v>0.11454450451953146</v>
      </c>
    </row>
    <row r="383" spans="1:9" x14ac:dyDescent="0.35">
      <c r="A383" s="1">
        <v>21093</v>
      </c>
      <c r="B383" cm="1">
        <f t="array" ref="B383">(PRODUCT(1+sp500_monthly!B384:B503)^(1/120)-1)*100</f>
        <v>0.97057126462098964</v>
      </c>
      <c r="C383" cm="1">
        <f t="array" ref="C383">(PRODUCT(1+sp500_monthly!C384:C503)^(1/120)-1)*100</f>
        <v>0.69012255110298959</v>
      </c>
      <c r="D383" cm="1">
        <f t="array" ref="D383">(PRODUCT(1+sp500_monthly!D384:D503)^(1/120)-1)*100</f>
        <v>1.2045386365808319</v>
      </c>
      <c r="E383" cm="1">
        <f t="array" ref="E383">(PRODUCT(1+sp500_monthly!E384:E503)^(1/120)-1)*100</f>
        <v>0.90591742157963839</v>
      </c>
      <c r="F383" cm="1">
        <f t="array" ref="F383">(PRODUCT(1+sp500_monthly!K384:K503)^(1/120)-1)*100</f>
        <v>0.68911116508503234</v>
      </c>
      <c r="G383" cm="1">
        <f t="array" ref="G383">(PRODUCT(1+sp500_monthly!L384:L503)^(1/120)-1)</f>
        <v>0.25363527849575918</v>
      </c>
      <c r="H383" cm="1">
        <f t="array" ref="H383">(PRODUCT(1+sp500_monthly!N384:N503)^(1/120)-1)*100</f>
        <v>0.82682612756133089</v>
      </c>
      <c r="I383" cm="1">
        <f t="array" ref="I383">(PRODUCT(1+sp500_monthly!O384:O503)^(1/120)-1)*100</f>
        <v>0.1137361368215517</v>
      </c>
    </row>
    <row r="384" spans="1:9" x14ac:dyDescent="0.35">
      <c r="A384" s="1">
        <v>21124</v>
      </c>
      <c r="B384" cm="1">
        <f t="array" ref="B384">(PRODUCT(1+sp500_monthly!B385:B504)^(1/120)-1)*100</f>
        <v>0.9804806776870123</v>
      </c>
      <c r="C384" cm="1">
        <f t="array" ref="C384">(PRODUCT(1+sp500_monthly!C385:C504)^(1/120)-1)*100</f>
        <v>0.70042124811973139</v>
      </c>
      <c r="D384" cm="1">
        <f t="array" ref="D384">(PRODUCT(1+sp500_monthly!D385:D504)^(1/120)-1)*100</f>
        <v>1.2099715062322991</v>
      </c>
      <c r="E384" cm="1">
        <f t="array" ref="E384">(PRODUCT(1+sp500_monthly!E385:E504)^(1/120)-1)*100</f>
        <v>0.91243293491407584</v>
      </c>
      <c r="F384" cm="1">
        <f t="array" ref="F384">(PRODUCT(1+sp500_monthly!K385:K504)^(1/120)-1)*100</f>
        <v>0.69171123671780688</v>
      </c>
      <c r="G384" cm="1">
        <f t="array" ref="G384">(PRODUCT(1+sp500_monthly!L385:L504)^(1/120)-1)</f>
        <v>0.25441550724514705</v>
      </c>
      <c r="H384" cm="1">
        <f t="array" ref="H384">(PRODUCT(1+sp500_monthly!N385:N504)^(1/120)-1)*100</f>
        <v>0.83422426764696578</v>
      </c>
      <c r="I384" cm="1">
        <f t="array" ref="I384">(PRODUCT(1+sp500_monthly!O385:O504)^(1/120)-1)*100</f>
        <v>0.11208831267028874</v>
      </c>
    </row>
    <row r="385" spans="1:9" x14ac:dyDescent="0.35">
      <c r="A385" s="1">
        <v>21153</v>
      </c>
      <c r="B385" cm="1">
        <f t="array" ref="B385">(PRODUCT(1+sp500_monthly!B386:B505)^(1/120)-1)*100</f>
        <v>0.96616597432239715</v>
      </c>
      <c r="C385" cm="1">
        <f t="array" ref="C385">(PRODUCT(1+sp500_monthly!C386:C505)^(1/120)-1)*100</f>
        <v>0.68714999860650661</v>
      </c>
      <c r="D385" cm="1">
        <f t="array" ref="D385">(PRODUCT(1+sp500_monthly!D386:D505)^(1/120)-1)*100</f>
        <v>1.1896989908737332</v>
      </c>
      <c r="E385" cm="1">
        <f t="array" ref="E385">(PRODUCT(1+sp500_monthly!E386:E505)^(1/120)-1)*100</f>
        <v>0.8935900875313374</v>
      </c>
      <c r="F385" cm="1">
        <f t="array" ref="F385">(PRODUCT(1+sp500_monthly!K386:K505)^(1/120)-1)*100</f>
        <v>0.67922477216721955</v>
      </c>
      <c r="G385" cm="1">
        <f t="array" ref="G385">(PRODUCT(1+sp500_monthly!L386:L505)^(1/120)-1)</f>
        <v>0.25504940457016612</v>
      </c>
      <c r="H385" cm="1">
        <f t="array" ref="H385">(PRODUCT(1+sp500_monthly!N386:N505)^(1/120)-1)*100</f>
        <v>0.81762469776431868</v>
      </c>
      <c r="I385" cm="1">
        <f t="array" ref="I385">(PRODUCT(1+sp500_monthly!O386:O505)^(1/120)-1)*100</f>
        <v>0.11046417258093744</v>
      </c>
    </row>
    <row r="386" spans="1:9" x14ac:dyDescent="0.35">
      <c r="A386" s="1">
        <v>21185</v>
      </c>
      <c r="B386" cm="1">
        <f t="array" ref="B386">(PRODUCT(1+sp500_monthly!B387:B506)^(1/120)-1)*100</f>
        <v>1.0207521197361125</v>
      </c>
      <c r="C386" cm="1">
        <f t="array" ref="C386">(PRODUCT(1+sp500_monthly!C387:C506)^(1/120)-1)*100</f>
        <v>0.74373064146404655</v>
      </c>
      <c r="D386" cm="1">
        <f t="array" ref="D386">(PRODUCT(1+sp500_monthly!D387:D506)^(1/120)-1)*100</f>
        <v>1.2686492926097914</v>
      </c>
      <c r="E386" cm="1">
        <f t="array" ref="E386">(PRODUCT(1+sp500_monthly!E387:E506)^(1/120)-1)*100</f>
        <v>0.97512010565301566</v>
      </c>
      <c r="F386" cm="1">
        <f t="array" ref="F386">(PRODUCT(1+sp500_monthly!K387:K506)^(1/120)-1)*100</f>
        <v>0.73653508986186722</v>
      </c>
      <c r="G386" cm="1">
        <f t="array" ref="G386">(PRODUCT(1+sp500_monthly!L387:L506)^(1/120)-1)</f>
        <v>0.25578243732976635</v>
      </c>
      <c r="H386" cm="1">
        <f t="array" ref="H386">(PRODUCT(1+sp500_monthly!N387:N506)^(1/120)-1)*100</f>
        <v>0.87142796013797152</v>
      </c>
      <c r="I386" cm="1">
        <f t="array" ref="I386">(PRODUCT(1+sp500_monthly!O387:O506)^(1/120)-1)*100</f>
        <v>0.11051559395347521</v>
      </c>
    </row>
    <row r="387" spans="1:9" x14ac:dyDescent="0.35">
      <c r="A387" s="1">
        <v>21216</v>
      </c>
      <c r="B387" cm="1">
        <f t="array" ref="B387">(PRODUCT(1+sp500_monthly!B388:B507)^(1/120)-1)*100</f>
        <v>0.94729509390589772</v>
      </c>
      <c r="C387" cm="1">
        <f t="array" ref="C387">(PRODUCT(1+sp500_monthly!C388:C507)^(1/120)-1)*100</f>
        <v>0.6699846344092153</v>
      </c>
      <c r="D387" cm="1">
        <f t="array" ref="D387">(PRODUCT(1+sp500_monthly!D388:D507)^(1/120)-1)*100</f>
        <v>1.1778440062706563</v>
      </c>
      <c r="E387" cm="1">
        <f t="array" ref="E387">(PRODUCT(1+sp500_monthly!E388:E507)^(1/120)-1)*100</f>
        <v>0.88458923518821564</v>
      </c>
      <c r="F387" cm="1">
        <f t="array" ref="F387">(PRODUCT(1+sp500_monthly!K388:K507)^(1/120)-1)*100</f>
        <v>0.66377051717885216</v>
      </c>
      <c r="G387" cm="1">
        <f t="array" ref="G387">(PRODUCT(1+sp500_monthly!L388:L507)^(1/120)-1)</f>
        <v>0.25672056569373347</v>
      </c>
      <c r="H387" cm="1">
        <f t="array" ref="H387">(PRODUCT(1+sp500_monthly!N388:N507)^(1/120)-1)*100</f>
        <v>0.80061342677384406</v>
      </c>
      <c r="I387" cm="1">
        <f t="array" ref="I387">(PRODUCT(1+sp500_monthly!O388:O507)^(1/120)-1)*100</f>
        <v>0.1140299644568632</v>
      </c>
    </row>
    <row r="388" spans="1:9" x14ac:dyDescent="0.35">
      <c r="A388" s="1">
        <v>21244</v>
      </c>
      <c r="B388" cm="1">
        <f t="array" ref="B388">(PRODUCT(1+sp500_monthly!B389:B508)^(1/120)-1)*100</f>
        <v>0.93631014514985456</v>
      </c>
      <c r="C388" cm="1">
        <f t="array" ref="C388">(PRODUCT(1+sp500_monthly!C389:C508)^(1/120)-1)*100</f>
        <v>0.65991925369026649</v>
      </c>
      <c r="D388" cm="1">
        <f t="array" ref="D388">(PRODUCT(1+sp500_monthly!D389:D508)^(1/120)-1)*100</f>
        <v>1.1610042510921126</v>
      </c>
      <c r="E388" cm="1">
        <f t="array" ref="E388">(PRODUCT(1+sp500_monthly!E389:E508)^(1/120)-1)*100</f>
        <v>0.86866318594787106</v>
      </c>
      <c r="F388" cm="1">
        <f t="array" ref="F388">(PRODUCT(1+sp500_monthly!K389:K508)^(1/120)-1)*100</f>
        <v>0.65464309016816102</v>
      </c>
      <c r="G388" cm="1">
        <f t="array" ref="G388">(PRODUCT(1+sp500_monthly!L389:L508)^(1/120)-1)</f>
        <v>0.25898443818167949</v>
      </c>
      <c r="H388" cm="1">
        <f t="array" ref="H388">(PRODUCT(1+sp500_monthly!N389:N508)^(1/120)-1)*100</f>
        <v>0.78894271181197961</v>
      </c>
      <c r="I388" cm="1">
        <f t="array" ref="I388">(PRODUCT(1+sp500_monthly!O389:O508)^(1/120)-1)*100</f>
        <v>0.11557978755056819</v>
      </c>
    </row>
    <row r="389" spans="1:9" x14ac:dyDescent="0.35">
      <c r="A389" s="1">
        <v>21275</v>
      </c>
      <c r="B389" cm="1">
        <f t="array" ref="B389">(PRODUCT(1+sp500_monthly!B390:B509)^(1/120)-1)*100</f>
        <v>0.91707668633769224</v>
      </c>
      <c r="C389" cm="1">
        <f t="array" ref="C389">(PRODUCT(1+sp500_monthly!C390:C509)^(1/120)-1)*100</f>
        <v>0.64251154193755156</v>
      </c>
      <c r="D389" cm="1">
        <f t="array" ref="D389">(PRODUCT(1+sp500_monthly!D390:D509)^(1/120)-1)*100</f>
        <v>1.1319248809263271</v>
      </c>
      <c r="E389" cm="1">
        <f t="array" ref="E389">(PRODUCT(1+sp500_monthly!E390:E509)^(1/120)-1)*100</f>
        <v>0.84137508950312689</v>
      </c>
      <c r="F389" cm="1">
        <f t="array" ref="F389">(PRODUCT(1+sp500_monthly!K390:K509)^(1/120)-1)*100</f>
        <v>0.63700528706767123</v>
      </c>
      <c r="G389" cm="1">
        <f t="array" ref="G389">(PRODUCT(1+sp500_monthly!L390:L509)^(1/120)-1)</f>
        <v>0.26146188702581985</v>
      </c>
      <c r="H389" cm="1">
        <f t="array" ref="H389">(PRODUCT(1+sp500_monthly!N390:N509)^(1/120)-1)*100</f>
        <v>0.7722449871311543</v>
      </c>
      <c r="I389" cm="1">
        <f t="array" ref="I389">(PRODUCT(1+sp500_monthly!O390:O509)^(1/120)-1)*100</f>
        <v>0.1204850403469182</v>
      </c>
    </row>
    <row r="390" spans="1:9" x14ac:dyDescent="0.35">
      <c r="A390" s="1">
        <v>21305</v>
      </c>
      <c r="B390" cm="1">
        <f t="array" ref="B390">(PRODUCT(1+sp500_monthly!B391:B510)^(1/120)-1)*100</f>
        <v>0.95726736676817747</v>
      </c>
      <c r="C390" cm="1">
        <f t="array" ref="C390">(PRODUCT(1+sp500_monthly!C391:C510)^(1/120)-1)*100</f>
        <v>0.68266657130091613</v>
      </c>
      <c r="D390" cm="1">
        <f t="array" ref="D390">(PRODUCT(1+sp500_monthly!D391:D510)^(1/120)-1)*100</f>
        <v>1.186479112388672</v>
      </c>
      <c r="E390" cm="1">
        <f t="array" ref="E390">(PRODUCT(1+sp500_monthly!E391:E510)^(1/120)-1)*100</f>
        <v>0.89608646043197737</v>
      </c>
      <c r="F390" cm="1">
        <f t="array" ref="F390">(PRODUCT(1+sp500_monthly!K391:K510)^(1/120)-1)*100</f>
        <v>0.67677533004091295</v>
      </c>
      <c r="G390" cm="1">
        <f t="array" ref="G390">(PRODUCT(1+sp500_monthly!L391:L510)^(1/120)-1)</f>
        <v>0.26441625171287209</v>
      </c>
      <c r="H390" cm="1">
        <f t="array" ref="H390">(PRODUCT(1+sp500_monthly!N391:N510)^(1/120)-1)*100</f>
        <v>0.81196677258321692</v>
      </c>
      <c r="I390" cm="1">
        <f t="array" ref="I390">(PRODUCT(1+sp500_monthly!O391:O510)^(1/120)-1)*100</f>
        <v>0.12298943422608399</v>
      </c>
    </row>
    <row r="391" spans="1:9" x14ac:dyDescent="0.35">
      <c r="A391" s="1">
        <v>21334</v>
      </c>
      <c r="B391" cm="1">
        <f t="array" ref="B391">(PRODUCT(1+sp500_monthly!B392:B511)^(1/120)-1)*100</f>
        <v>0.9531890592841652</v>
      </c>
      <c r="C391" cm="1">
        <f t="array" ref="C391">(PRODUCT(1+sp500_monthly!C392:C511)^(1/120)-1)*100</f>
        <v>0.67902422940917528</v>
      </c>
      <c r="D391" cm="1">
        <f t="array" ref="D391">(PRODUCT(1+sp500_monthly!D392:D511)^(1/120)-1)*100</f>
        <v>1.1932693435266373</v>
      </c>
      <c r="E391" cm="1">
        <f t="array" ref="E391">(PRODUCT(1+sp500_monthly!E392:E511)^(1/120)-1)*100</f>
        <v>0.90331192673147598</v>
      </c>
      <c r="F391" cm="1">
        <f t="array" ref="F391">(PRODUCT(1+sp500_monthly!K392:K511)^(1/120)-1)*100</f>
        <v>0.67363336486048198</v>
      </c>
      <c r="G391" cm="1">
        <f t="array" ref="G391">(PRODUCT(1+sp500_monthly!L392:L511)^(1/120)-1)</f>
        <v>0.2672348594722731</v>
      </c>
      <c r="H391" cm="1">
        <f t="array" ref="H391">(PRODUCT(1+sp500_monthly!N392:N511)^(1/120)-1)*100</f>
        <v>0.8054558551354063</v>
      </c>
      <c r="I391" cm="1">
        <f t="array" ref="I391">(PRODUCT(1+sp500_monthly!O392:O511)^(1/120)-1)*100</f>
        <v>0.12339639343044162</v>
      </c>
    </row>
    <row r="392" spans="1:9" x14ac:dyDescent="0.35">
      <c r="A392" s="1">
        <v>21366</v>
      </c>
      <c r="B392" cm="1">
        <f t="array" ref="B392">(PRODUCT(1+sp500_monthly!B393:B512)^(1/120)-1)*100</f>
        <v>0.93826081650636439</v>
      </c>
      <c r="C392" cm="1">
        <f t="array" ref="C392">(PRODUCT(1+sp500_monthly!C393:C512)^(1/120)-1)*100</f>
        <v>0.66565603030250831</v>
      </c>
      <c r="D392" cm="1">
        <f t="array" ref="D392">(PRODUCT(1+sp500_monthly!D393:D512)^(1/120)-1)*100</f>
        <v>1.1877578391767951</v>
      </c>
      <c r="E392" cm="1">
        <f t="array" ref="E392">(PRODUCT(1+sp500_monthly!E393:E512)^(1/120)-1)*100</f>
        <v>0.89924341126559337</v>
      </c>
      <c r="F392" cm="1">
        <f t="array" ref="F392">(PRODUCT(1+sp500_monthly!K393:K512)^(1/120)-1)*100</f>
        <v>0.65964911057843079</v>
      </c>
      <c r="G392" cm="1">
        <f t="array" ref="G392">(PRODUCT(1+sp500_monthly!L393:L512)^(1/120)-1)</f>
        <v>0.2707045974536133</v>
      </c>
      <c r="H392" cm="1">
        <f t="array" ref="H392">(PRODUCT(1+sp500_monthly!N393:N512)^(1/120)-1)*100</f>
        <v>0.78482343406991451</v>
      </c>
      <c r="I392" cm="1">
        <f t="array" ref="I392">(PRODUCT(1+sp500_monthly!O393:O512)^(1/120)-1)*100</f>
        <v>0.12103792976640992</v>
      </c>
    </row>
    <row r="393" spans="1:9" x14ac:dyDescent="0.35">
      <c r="A393" s="1">
        <v>21397</v>
      </c>
      <c r="B393" cm="1">
        <f t="array" ref="B393">(PRODUCT(1+sp500_monthly!B394:B513)^(1/120)-1)*100</f>
        <v>0.88728379388909318</v>
      </c>
      <c r="C393" cm="1">
        <f t="array" ref="C393">(PRODUCT(1+sp500_monthly!C394:C513)^(1/120)-1)*100</f>
        <v>0.61501433054307331</v>
      </c>
      <c r="D393" cm="1">
        <f t="array" ref="D393">(PRODUCT(1+sp500_monthly!D394:D513)^(1/120)-1)*100</f>
        <v>1.1188546957368262</v>
      </c>
      <c r="E393" cm="1">
        <f t="array" ref="E393">(PRODUCT(1+sp500_monthly!E394:E513)^(1/120)-1)*100</f>
        <v>0.83070600906929304</v>
      </c>
      <c r="F393" cm="1">
        <f t="array" ref="F393">(PRODUCT(1+sp500_monthly!K394:K513)^(1/120)-1)*100</f>
        <v>0.60861856921907709</v>
      </c>
      <c r="G393" cm="1">
        <f t="array" ref="G393">(PRODUCT(1+sp500_monthly!L394:L513)^(1/120)-1)</f>
        <v>0.2741442070579001</v>
      </c>
      <c r="H393" cm="1">
        <f t="array" ref="H393">(PRODUCT(1+sp500_monthly!N394:N513)^(1/120)-1)*100</f>
        <v>0.72851867845729057</v>
      </c>
      <c r="I393" cm="1">
        <f t="array" ref="I393">(PRODUCT(1+sp500_monthly!O394:O513)^(1/120)-1)*100</f>
        <v>0.11907689306296376</v>
      </c>
    </row>
    <row r="394" spans="1:9" x14ac:dyDescent="0.35">
      <c r="A394" s="1">
        <v>21426</v>
      </c>
      <c r="B394" cm="1">
        <f t="array" ref="B394">(PRODUCT(1+sp500_monthly!B395:B514)^(1/120)-1)*100</f>
        <v>0.88597461711916736</v>
      </c>
      <c r="C394" cm="1">
        <f t="array" ref="C394">(PRODUCT(1+sp500_monthly!C395:C514)^(1/120)-1)*100</f>
        <v>0.61334863294539854</v>
      </c>
      <c r="D394" cm="1">
        <f t="array" ref="D394">(PRODUCT(1+sp500_monthly!D395:D514)^(1/120)-1)*100</f>
        <v>1.1163089686246908</v>
      </c>
      <c r="E394" cm="1">
        <f t="array" ref="E394">(PRODUCT(1+sp500_monthly!E395:E514)^(1/120)-1)*100</f>
        <v>0.82817453806369734</v>
      </c>
      <c r="F394" cm="1">
        <f t="array" ref="F394">(PRODUCT(1+sp500_monthly!K395:K514)^(1/120)-1)*100</f>
        <v>0.60828044404006576</v>
      </c>
      <c r="G394" cm="1">
        <f t="array" ref="G394">(PRODUCT(1+sp500_monthly!L395:L514)^(1/120)-1)</f>
        <v>0.27745528997140512</v>
      </c>
      <c r="H394" cm="1">
        <f t="array" ref="H394">(PRODUCT(1+sp500_monthly!N395:N514)^(1/120)-1)*100</f>
        <v>0.72626135159137295</v>
      </c>
      <c r="I394" cm="1">
        <f t="array" ref="I394">(PRODUCT(1+sp500_monthly!O395:O514)^(1/120)-1)*100</f>
        <v>0.12129560565037334</v>
      </c>
    </row>
    <row r="395" spans="1:9" x14ac:dyDescent="0.35">
      <c r="A395" s="1">
        <v>21458</v>
      </c>
      <c r="B395" cm="1">
        <f t="array" ref="B395">(PRODUCT(1+sp500_monthly!B396:B515)^(1/120)-1)*100</f>
        <v>0.87673513798356417</v>
      </c>
      <c r="C395" cm="1">
        <f t="array" ref="C395">(PRODUCT(1+sp500_monthly!C396:C515)^(1/120)-1)*100</f>
        <v>0.60551651108886606</v>
      </c>
      <c r="D395" cm="1">
        <f t="array" ref="D395">(PRODUCT(1+sp500_monthly!D396:D515)^(1/120)-1)*100</f>
        <v>1.1172568344669509</v>
      </c>
      <c r="E395" cm="1">
        <f t="array" ref="E395">(PRODUCT(1+sp500_monthly!E396:E515)^(1/120)-1)*100</f>
        <v>0.8304440486898379</v>
      </c>
      <c r="F395" cm="1">
        <f t="array" ref="F395">(PRODUCT(1+sp500_monthly!K396:K515)^(1/120)-1)*100</f>
        <v>0.60037601542839436</v>
      </c>
      <c r="G395" cm="1">
        <f t="array" ref="G395">(PRODUCT(1+sp500_monthly!L396:L515)^(1/120)-1)</f>
        <v>0.27941258406139635</v>
      </c>
      <c r="H395" cm="1">
        <f t="array" ref="H395">(PRODUCT(1+sp500_monthly!N396:N515)^(1/120)-1)*100</f>
        <v>0.71377144533166792</v>
      </c>
      <c r="I395" cm="1">
        <f t="array" ref="I395">(PRODUCT(1+sp500_monthly!O396:O515)^(1/120)-1)*100</f>
        <v>0.12004605794193601</v>
      </c>
    </row>
    <row r="396" spans="1:9" x14ac:dyDescent="0.35">
      <c r="A396" s="1">
        <v>21489</v>
      </c>
      <c r="B396" cm="1">
        <f t="array" ref="B396">(PRODUCT(1+sp500_monthly!B397:B516)^(1/120)-1)*100</f>
        <v>0.86122502157983671</v>
      </c>
      <c r="C396" cm="1">
        <f t="array" ref="C396">(PRODUCT(1+sp500_monthly!C397:C516)^(1/120)-1)*100</f>
        <v>0.58973901621410807</v>
      </c>
      <c r="D396" cm="1">
        <f t="array" ref="D396">(PRODUCT(1+sp500_monthly!D397:D516)^(1/120)-1)*100</f>
        <v>1.1050021409303223</v>
      </c>
      <c r="E396" cm="1">
        <f t="array" ref="E396">(PRODUCT(1+sp500_monthly!E397:E516)^(1/120)-1)*100</f>
        <v>0.81844262527670519</v>
      </c>
      <c r="F396" cm="1">
        <f t="array" ref="F396">(PRODUCT(1+sp500_monthly!K397:K516)^(1/120)-1)*100</f>
        <v>0.58539490434870167</v>
      </c>
      <c r="G396" cm="1">
        <f t="array" ref="G396">(PRODUCT(1+sp500_monthly!L397:L516)^(1/120)-1)</f>
        <v>0.28153741098855689</v>
      </c>
      <c r="H396" cm="1">
        <f t="array" ref="H396">(PRODUCT(1+sp500_monthly!N397:N516)^(1/120)-1)*100</f>
        <v>0.69351857387141003</v>
      </c>
      <c r="I396" cm="1">
        <f t="array" ref="I396">(PRODUCT(1+sp500_monthly!O397:O516)^(1/120)-1)*100</f>
        <v>0.11746811082240516</v>
      </c>
    </row>
    <row r="397" spans="1:9" x14ac:dyDescent="0.35">
      <c r="A397" s="1">
        <v>21517</v>
      </c>
      <c r="B397" cm="1">
        <f t="array" ref="B397">(PRODUCT(1+sp500_monthly!B398:B517)^(1/120)-1)*100</f>
        <v>0.88138138354074691</v>
      </c>
      <c r="C397" cm="1">
        <f t="array" ref="C397">(PRODUCT(1+sp500_monthly!C398:C517)^(1/120)-1)*100</f>
        <v>0.61019136196927004</v>
      </c>
      <c r="D397" cm="1">
        <f t="array" ref="D397">(PRODUCT(1+sp500_monthly!D398:D517)^(1/120)-1)*100</f>
        <v>1.1282282359154738</v>
      </c>
      <c r="E397" cm="1">
        <f t="array" ref="E397">(PRODUCT(1+sp500_monthly!E398:E517)^(1/120)-1)*100</f>
        <v>0.84220484252579553</v>
      </c>
      <c r="F397" cm="1">
        <f t="array" ref="F397">(PRODUCT(1+sp500_monthly!K398:K517)^(1/120)-1)*100</f>
        <v>0.60609458889324674</v>
      </c>
      <c r="G397" cm="1">
        <f t="array" ref="G397">(PRODUCT(1+sp500_monthly!L398:L517)^(1/120)-1)</f>
        <v>0.28417043413259502</v>
      </c>
      <c r="H397" cm="1">
        <f t="array" ref="H397">(PRODUCT(1+sp500_monthly!N398:N517)^(1/120)-1)*100</f>
        <v>0.71242765414076814</v>
      </c>
      <c r="I397" cm="1">
        <f t="array" ref="I397">(PRODUCT(1+sp500_monthly!O398:O517)^(1/120)-1)*100</f>
        <v>0.11884106525446025</v>
      </c>
    </row>
    <row r="398" spans="1:9" x14ac:dyDescent="0.35">
      <c r="A398" s="1">
        <v>21550</v>
      </c>
      <c r="B398" cm="1">
        <f t="array" ref="B398">(PRODUCT(1+sp500_monthly!B399:B518)^(1/120)-1)*100</f>
        <v>0.8020681207658642</v>
      </c>
      <c r="C398" cm="1">
        <f t="array" ref="C398">(PRODUCT(1+sp500_monthly!C399:C518)^(1/120)-1)*100</f>
        <v>0.53207463408815325</v>
      </c>
      <c r="D398" cm="1">
        <f t="array" ref="D398">(PRODUCT(1+sp500_monthly!D399:D518)^(1/120)-1)*100</f>
        <v>1.0745187866062489</v>
      </c>
      <c r="E398" cm="1">
        <f t="array" ref="E398">(PRODUCT(1+sp500_monthly!E399:E518)^(1/120)-1)*100</f>
        <v>0.78979436987336449</v>
      </c>
      <c r="F398" cm="1">
        <f t="array" ref="F398">(PRODUCT(1+sp500_monthly!K399:K518)^(1/120)-1)*100</f>
        <v>0.52797084062836674</v>
      </c>
      <c r="G398" cm="1">
        <f t="array" ref="G398">(PRODUCT(1+sp500_monthly!L399:L518)^(1/120)-1)</f>
        <v>0.28587119732957822</v>
      </c>
      <c r="H398" cm="1">
        <f t="array" ref="H398">(PRODUCT(1+sp500_monthly!N399:N518)^(1/120)-1)*100</f>
        <v>0.62910188145959278</v>
      </c>
      <c r="I398" cm="1">
        <f t="array" ref="I398">(PRODUCT(1+sp500_monthly!O399:O518)^(1/120)-1)*100</f>
        <v>0.11646326093524006</v>
      </c>
    </row>
    <row r="399" spans="1:9" x14ac:dyDescent="0.35">
      <c r="A399" s="1">
        <v>21580</v>
      </c>
      <c r="B399" cm="1">
        <f t="array" ref="B399">(PRODUCT(1+sp500_monthly!B400:B519)^(1/120)-1)*100</f>
        <v>0.79040375683101516</v>
      </c>
      <c r="C399" cm="1">
        <f t="array" ref="C399">(PRODUCT(1+sp500_monthly!C400:C519)^(1/120)-1)*100</f>
        <v>0.52032161642636687</v>
      </c>
      <c r="D399" cm="1">
        <f t="array" ref="D399">(PRODUCT(1+sp500_monthly!D400:D519)^(1/120)-1)*100</f>
        <v>1.0430716527659145</v>
      </c>
      <c r="E399" cm="1">
        <f t="array" ref="E399">(PRODUCT(1+sp500_monthly!E400:E519)^(1/120)-1)*100</f>
        <v>0.75841798955111894</v>
      </c>
      <c r="F399" cm="1">
        <f t="array" ref="F399">(PRODUCT(1+sp500_monthly!K400:K519)^(1/120)-1)*100</f>
        <v>0.51790643722615659</v>
      </c>
      <c r="G399" cm="1">
        <f t="array" ref="G399">(PRODUCT(1+sp500_monthly!L400:L519)^(1/120)-1)</f>
        <v>0.28838804309172827</v>
      </c>
      <c r="H399" cm="1">
        <f t="array" ref="H399">(PRODUCT(1+sp500_monthly!N400:N519)^(1/120)-1)*100</f>
        <v>0.61626248535116002</v>
      </c>
      <c r="I399" cm="1">
        <f t="array" ref="I399">(PRODUCT(1+sp500_monthly!O400:O519)^(1/120)-1)*100</f>
        <v>0.1179341008652468</v>
      </c>
    </row>
    <row r="400" spans="1:9" x14ac:dyDescent="0.35">
      <c r="A400" s="1">
        <v>21608</v>
      </c>
      <c r="B400" cm="1">
        <f t="array" ref="B400">(PRODUCT(1+sp500_monthly!B401:B520)^(1/120)-1)*100</f>
        <v>0.74847425582513782</v>
      </c>
      <c r="C400" cm="1">
        <f t="array" ref="C400">(PRODUCT(1+sp500_monthly!C401:C520)^(1/120)-1)*100</f>
        <v>0.4778180846577218</v>
      </c>
      <c r="D400" cm="1">
        <f t="array" ref="D400">(PRODUCT(1+sp500_monthly!D401:D520)^(1/120)-1)*100</f>
        <v>0.9676288421328616</v>
      </c>
      <c r="E400" cm="1">
        <f t="array" ref="E400">(PRODUCT(1+sp500_monthly!E401:E520)^(1/120)-1)*100</f>
        <v>0.68302601235428195</v>
      </c>
      <c r="F400" cm="1">
        <f t="array" ref="F400">(PRODUCT(1+sp500_monthly!K401:K520)^(1/120)-1)*100</f>
        <v>0.477411843111053</v>
      </c>
      <c r="G400" cm="1">
        <f t="array" ref="G400">(PRODUCT(1+sp500_monthly!L401:L520)^(1/120)-1)</f>
        <v>0.29058536151979353</v>
      </c>
      <c r="H400" cm="1">
        <f t="array" ref="H400">(PRODUCT(1+sp500_monthly!N401:N520)^(1/120)-1)*100</f>
        <v>0.57177211242760428</v>
      </c>
      <c r="I400" cm="1">
        <f t="array" ref="I400">(PRODUCT(1+sp500_monthly!O401:O520)^(1/120)-1)*100</f>
        <v>0.11755806051556572</v>
      </c>
    </row>
    <row r="401" spans="1:9" x14ac:dyDescent="0.35">
      <c r="A401" s="1">
        <v>21640</v>
      </c>
      <c r="B401" cm="1">
        <f t="array" ref="B401">(PRODUCT(1+sp500_monthly!B402:B521)^(1/120)-1)*100</f>
        <v>0.77442637073701359</v>
      </c>
      <c r="C401" cm="1">
        <f t="array" ref="C401">(PRODUCT(1+sp500_monthly!C402:C521)^(1/120)-1)*100</f>
        <v>0.50480102905710034</v>
      </c>
      <c r="D401" cm="1">
        <f t="array" ref="D401">(PRODUCT(1+sp500_monthly!D402:D521)^(1/120)-1)*100</f>
        <v>0.98054698130700668</v>
      </c>
      <c r="E401" cm="1">
        <f t="array" ref="E401">(PRODUCT(1+sp500_monthly!E402:E521)^(1/120)-1)*100</f>
        <v>0.69676073979405562</v>
      </c>
      <c r="F401" cm="1">
        <f t="array" ref="F401">(PRODUCT(1+sp500_monthly!K402:K521)^(1/120)-1)*100</f>
        <v>0.50531765060048972</v>
      </c>
      <c r="G401" cm="1">
        <f t="array" ref="G401">(PRODUCT(1+sp500_monthly!L402:L521)^(1/120)-1)</f>
        <v>0.29251822844484043</v>
      </c>
      <c r="H401" cm="1">
        <f t="array" ref="H401">(PRODUCT(1+sp500_monthly!N402:N521)^(1/120)-1)*100</f>
        <v>0.58981564044857659</v>
      </c>
      <c r="I401" cm="1">
        <f t="array" ref="I401">(PRODUCT(1+sp500_monthly!O402:O521)^(1/120)-1)*100</f>
        <v>0.11172794990104151</v>
      </c>
    </row>
    <row r="402" spans="1:9" x14ac:dyDescent="0.35">
      <c r="A402" s="1">
        <v>21670</v>
      </c>
      <c r="B402" cm="1">
        <f t="array" ref="B402">(PRODUCT(1+sp500_monthly!B403:B522)^(1/120)-1)*100</f>
        <v>0.76035502389744103</v>
      </c>
      <c r="C402" cm="1">
        <f t="array" ref="C402">(PRODUCT(1+sp500_monthly!C403:C522)^(1/120)-1)*100</f>
        <v>0.4904583341545754</v>
      </c>
      <c r="D402" cm="1">
        <f t="array" ref="D402">(PRODUCT(1+sp500_monthly!D403:D522)^(1/120)-1)*100</f>
        <v>0.96666688131243905</v>
      </c>
      <c r="E402" cm="1">
        <f t="array" ref="E402">(PRODUCT(1+sp500_monthly!E403:E522)^(1/120)-1)*100</f>
        <v>0.68261153994513268</v>
      </c>
      <c r="F402" cm="1">
        <f t="array" ref="F402">(PRODUCT(1+sp500_monthly!K403:K522)^(1/120)-1)*100</f>
        <v>0.49124850221902161</v>
      </c>
      <c r="G402" cm="1">
        <f t="array" ref="G402">(PRODUCT(1+sp500_monthly!L403:L522)^(1/120)-1)</f>
        <v>0.29513764882905846</v>
      </c>
      <c r="H402" cm="1">
        <f t="array" ref="H402">(PRODUCT(1+sp500_monthly!N403:N522)^(1/120)-1)*100</f>
        <v>0.5714288529944378</v>
      </c>
      <c r="I402" cm="1">
        <f t="array" ref="I402">(PRODUCT(1+sp500_monthly!O403:O522)^(1/120)-1)*100</f>
        <v>0.11014974345215922</v>
      </c>
    </row>
    <row r="403" spans="1:9" x14ac:dyDescent="0.35">
      <c r="A403" s="1">
        <v>21699</v>
      </c>
      <c r="B403" cm="1">
        <f t="array" ref="B403">(PRODUCT(1+sp500_monthly!B404:B523)^(1/120)-1)*100</f>
        <v>0.74397480602388377</v>
      </c>
      <c r="C403" cm="1">
        <f t="array" ref="C403">(PRODUCT(1+sp500_monthly!C404:C523)^(1/120)-1)*100</f>
        <v>0.47310204323813831</v>
      </c>
      <c r="D403" cm="1">
        <f t="array" ref="D403">(PRODUCT(1+sp500_monthly!D404:D523)^(1/120)-1)*100</f>
        <v>0.95203813468269782</v>
      </c>
      <c r="E403" cm="1">
        <f t="array" ref="E403">(PRODUCT(1+sp500_monthly!E404:E523)^(1/120)-1)*100</f>
        <v>0.66789194731788903</v>
      </c>
      <c r="F403" cm="1">
        <f t="array" ref="F403">(PRODUCT(1+sp500_monthly!K404:K523)^(1/120)-1)*100</f>
        <v>0.47368870837654065</v>
      </c>
      <c r="G403" cm="1">
        <f t="array" ref="G403">(PRODUCT(1+sp500_monthly!L404:L523)^(1/120)-1)</f>
        <v>0.29722440509205095</v>
      </c>
      <c r="H403" cm="1">
        <f t="array" ref="H403">(PRODUCT(1+sp500_monthly!N404:N523)^(1/120)-1)*100</f>
        <v>0.55450720783896124</v>
      </c>
      <c r="I403" cm="1">
        <f t="array" ref="I403">(PRODUCT(1+sp500_monthly!O404:O523)^(1/120)-1)*100</f>
        <v>0.11174163503031576</v>
      </c>
    </row>
    <row r="404" spans="1:9" x14ac:dyDescent="0.35">
      <c r="A404" s="1">
        <v>21731</v>
      </c>
      <c r="B404" cm="1">
        <f t="array" ref="B404">(PRODUCT(1+sp500_monthly!B405:B524)^(1/120)-1)*100</f>
        <v>0.69767269156646439</v>
      </c>
      <c r="C404" cm="1">
        <f t="array" ref="C404">(PRODUCT(1+sp500_monthly!C405:C524)^(1/120)-1)*100</f>
        <v>0.4278194593727358</v>
      </c>
      <c r="D404" cm="1">
        <f t="array" ref="D404">(PRODUCT(1+sp500_monthly!D405:D524)^(1/120)-1)*100</f>
        <v>0.87382303574001785</v>
      </c>
      <c r="E404" cm="1">
        <f t="array" ref="E404">(PRODUCT(1+sp500_monthly!E405:E524)^(1/120)-1)*100</f>
        <v>0.59038577319896479</v>
      </c>
      <c r="F404" cm="1">
        <f t="array" ref="F404">(PRODUCT(1+sp500_monthly!K405:K524)^(1/120)-1)*100</f>
        <v>0.42882408073845468</v>
      </c>
      <c r="G404" cm="1">
        <f t="array" ref="G404">(PRODUCT(1+sp500_monthly!L405:L524)^(1/120)-1)</f>
        <v>0.29926877628999637</v>
      </c>
      <c r="H404" cm="1">
        <f t="array" ref="H404">(PRODUCT(1+sp500_monthly!N405:N524)^(1/120)-1)*100</f>
        <v>0.50571927914995207</v>
      </c>
      <c r="I404" cm="1">
        <f t="array" ref="I404">(PRODUCT(1+sp500_monthly!O405:O524)^(1/120)-1)*100</f>
        <v>0.11133973798962415</v>
      </c>
    </row>
    <row r="405" spans="1:9" x14ac:dyDescent="0.35">
      <c r="A405" s="1">
        <v>21762</v>
      </c>
      <c r="B405" cm="1">
        <f t="array" ref="B405">(PRODUCT(1+sp500_monthly!B406:B525)^(1/120)-1)*100</f>
        <v>0.61853594216798591</v>
      </c>
      <c r="C405" cm="1">
        <f t="array" ref="C405">(PRODUCT(1+sp500_monthly!C406:C525)^(1/120)-1)*100</f>
        <v>0.34855137663587499</v>
      </c>
      <c r="D405" cm="1">
        <f t="array" ref="D405">(PRODUCT(1+sp500_monthly!D406:D525)^(1/120)-1)*100</f>
        <v>0.78986905670113128</v>
      </c>
      <c r="E405" cm="1">
        <f t="array" ref="E405">(PRODUCT(1+sp500_monthly!E406:E525)^(1/120)-1)*100</f>
        <v>0.50623466696886332</v>
      </c>
      <c r="F405" cm="1">
        <f t="array" ref="F405">(PRODUCT(1+sp500_monthly!K406:K525)^(1/120)-1)*100</f>
        <v>0.34821216840521529</v>
      </c>
      <c r="G405" cm="1">
        <f t="array" ref="G405">(PRODUCT(1+sp500_monthly!L406:L525)^(1/120)-1)</f>
        <v>0.30145906741152695</v>
      </c>
      <c r="H405" cm="1">
        <f t="array" ref="H405">(PRODUCT(1+sp500_monthly!N406:N525)^(1/120)-1)*100</f>
        <v>0.42332190317531104</v>
      </c>
      <c r="I405" cm="1">
        <f t="array" ref="I405">(PRODUCT(1+sp500_monthly!O406:O525)^(1/120)-1)*100</f>
        <v>0.11026577808121996</v>
      </c>
    </row>
    <row r="406" spans="1:9" x14ac:dyDescent="0.35">
      <c r="A406" s="1">
        <v>21793</v>
      </c>
      <c r="B406" cm="1">
        <f t="array" ref="B406">(PRODUCT(1+sp500_monthly!B407:B526)^(1/120)-1)*100</f>
        <v>0.66537729879005969</v>
      </c>
      <c r="C406" cm="1">
        <f t="array" ref="C406">(PRODUCT(1+sp500_monthly!C407:C526)^(1/120)-1)*100</f>
        <v>0.39429494542930765</v>
      </c>
      <c r="D406" cm="1">
        <f t="array" ref="D406">(PRODUCT(1+sp500_monthly!D407:D526)^(1/120)-1)*100</f>
        <v>0.83852078548420916</v>
      </c>
      <c r="E406" cm="1">
        <f t="array" ref="E406">(PRODUCT(1+sp500_monthly!E407:E526)^(1/120)-1)*100</f>
        <v>0.55418345711237826</v>
      </c>
      <c r="F406" cm="1">
        <f t="array" ref="F406">(PRODUCT(1+sp500_monthly!K407:K526)^(1/120)-1)*100</f>
        <v>0.39375139959294536</v>
      </c>
      <c r="G406" cm="1">
        <f t="array" ref="G406">(PRODUCT(1+sp500_monthly!L407:L526)^(1/120)-1)</f>
        <v>0.30397235046487192</v>
      </c>
      <c r="H406" cm="1">
        <f t="array" ref="H406">(PRODUCT(1+sp500_monthly!N407:N526)^(1/120)-1)*100</f>
        <v>0.4686615603764821</v>
      </c>
      <c r="I406" cm="1">
        <f t="array" ref="I406">(PRODUCT(1+sp500_monthly!O407:O526)^(1/120)-1)*100</f>
        <v>0.11143729917113543</v>
      </c>
    </row>
    <row r="407" spans="1:9" x14ac:dyDescent="0.35">
      <c r="A407" s="1">
        <v>21823</v>
      </c>
      <c r="B407" cm="1">
        <f t="array" ref="B407">(PRODUCT(1+sp500_monthly!B408:B527)^(1/120)-1)*100</f>
        <v>0.68208061377865725</v>
      </c>
      <c r="C407" cm="1">
        <f t="array" ref="C407">(PRODUCT(1+sp500_monthly!C408:C527)^(1/120)-1)*100</f>
        <v>0.41190529856911517</v>
      </c>
      <c r="D407" cm="1">
        <f t="array" ref="D407">(PRODUCT(1+sp500_monthly!D408:D527)^(1/120)-1)*100</f>
        <v>0.85812602441308616</v>
      </c>
      <c r="E407" cm="1">
        <f t="array" ref="E407">(PRODUCT(1+sp500_monthly!E408:E527)^(1/120)-1)*100</f>
        <v>0.57493207404826219</v>
      </c>
      <c r="F407" cm="1">
        <f t="array" ref="F407">(PRODUCT(1+sp500_monthly!K408:K527)^(1/120)-1)*100</f>
        <v>0.41163127891872264</v>
      </c>
      <c r="G407" cm="1">
        <f t="array" ref="G407">(PRODUCT(1+sp500_monthly!L408:L527)^(1/120)-1)</f>
        <v>0.30628241458363648</v>
      </c>
      <c r="H407" cm="1">
        <f t="array" ref="H407">(PRODUCT(1+sp500_monthly!N408:N527)^(1/120)-1)*100</f>
        <v>0.48281227150412942</v>
      </c>
      <c r="I407" cm="1">
        <f t="array" ref="I407">(PRODUCT(1+sp500_monthly!O408:O527)^(1/120)-1)*100</f>
        <v>0.11150092516891696</v>
      </c>
    </row>
    <row r="408" spans="1:9" x14ac:dyDescent="0.35">
      <c r="A408" s="1">
        <v>21853</v>
      </c>
      <c r="B408" cm="1">
        <f t="array" ref="B408">(PRODUCT(1+sp500_monthly!B409:B528)^(1/120)-1)*100</f>
        <v>0.71005550231562076</v>
      </c>
      <c r="C408" cm="1">
        <f t="array" ref="C408">(PRODUCT(1+sp500_monthly!C409:C528)^(1/120)-1)*100</f>
        <v>0.4389543252225625</v>
      </c>
      <c r="D408" cm="1">
        <f t="array" ref="D408">(PRODUCT(1+sp500_monthly!D409:D528)^(1/120)-1)*100</f>
        <v>0.89950011029527044</v>
      </c>
      <c r="E408" cm="1">
        <f t="array" ref="E408">(PRODUCT(1+sp500_monthly!E409:E528)^(1/120)-1)*100</f>
        <v>0.61584580442346493</v>
      </c>
      <c r="F408" cm="1">
        <f t="array" ref="F408">(PRODUCT(1+sp500_monthly!K409:K528)^(1/120)-1)*100</f>
        <v>0.43849834071227889</v>
      </c>
      <c r="G408" cm="1">
        <f t="array" ref="G408">(PRODUCT(1+sp500_monthly!L409:L528)^(1/120)-1)</f>
        <v>0.30854466832961869</v>
      </c>
      <c r="H408" cm="1">
        <f t="array" ref="H408">(PRODUCT(1+sp500_monthly!N409:N528)^(1/120)-1)*100</f>
        <v>0.50908729599110636</v>
      </c>
      <c r="I408" cm="1">
        <f t="array" ref="I408">(PRODUCT(1+sp500_monthly!O409:O528)^(1/120)-1)*100</f>
        <v>0.11235452806703794</v>
      </c>
    </row>
    <row r="409" spans="1:9" x14ac:dyDescent="0.35">
      <c r="A409" s="1">
        <v>21884</v>
      </c>
      <c r="B409" cm="1">
        <f t="array" ref="B409">(PRODUCT(1+sp500_monthly!B410:B529)^(1/120)-1)*100</f>
        <v>0.66986126843056049</v>
      </c>
      <c r="C409" cm="1">
        <f t="array" ref="C409">(PRODUCT(1+sp500_monthly!C410:C529)^(1/120)-1)*100</f>
        <v>0.39872943196035404</v>
      </c>
      <c r="D409" cm="1">
        <f t="array" ref="D409">(PRODUCT(1+sp500_monthly!D410:D529)^(1/120)-1)*100</f>
        <v>0.84950071622851286</v>
      </c>
      <c r="E409" cm="1">
        <f t="array" ref="E409">(PRODUCT(1+sp500_monthly!E410:E529)^(1/120)-1)*100</f>
        <v>0.56619803280868464</v>
      </c>
      <c r="F409" cm="1">
        <f t="array" ref="F409">(PRODUCT(1+sp500_monthly!K410:K529)^(1/120)-1)*100</f>
        <v>0.3974628469151531</v>
      </c>
      <c r="G409" cm="1">
        <f t="array" ref="G409">(PRODUCT(1+sp500_monthly!L410:L529)^(1/120)-1)</f>
        <v>0.31059194457175021</v>
      </c>
      <c r="H409" cm="1">
        <f t="array" ref="H409">(PRODUCT(1+sp500_monthly!N410:N529)^(1/120)-1)*100</f>
        <v>0.46449613233139342</v>
      </c>
      <c r="I409" cm="1">
        <f t="array" ref="I409">(PRODUCT(1+sp500_monthly!O410:O529)^(1/120)-1)*100</f>
        <v>0.11005388459126575</v>
      </c>
    </row>
    <row r="410" spans="1:9" x14ac:dyDescent="0.35">
      <c r="A410" s="1">
        <v>21915</v>
      </c>
      <c r="B410" cm="1">
        <f t="array" ref="B410">(PRODUCT(1+sp500_monthly!B411:B530)^(1/120)-1)*100</f>
        <v>0.6310576534652057</v>
      </c>
      <c r="C410" cm="1">
        <f t="array" ref="C410">(PRODUCT(1+sp500_monthly!C411:C530)^(1/120)-1)*100</f>
        <v>0.36101086206870026</v>
      </c>
      <c r="D410" cm="1">
        <f t="array" ref="D410">(PRODUCT(1+sp500_monthly!D411:D530)^(1/120)-1)*100</f>
        <v>0.80065593924059097</v>
      </c>
      <c r="E410" cm="1">
        <f t="array" ref="E410">(PRODUCT(1+sp500_monthly!E411:E530)^(1/120)-1)*100</f>
        <v>0.5183220273752509</v>
      </c>
      <c r="F410" cm="1">
        <f t="array" ref="F410">(PRODUCT(1+sp500_monthly!K411:K530)^(1/120)-1)*100</f>
        <v>0.35891635633156227</v>
      </c>
      <c r="G410" cm="1">
        <f t="array" ref="G410">(PRODUCT(1+sp500_monthly!L411:L530)^(1/120)-1)</f>
        <v>0.31280025688369251</v>
      </c>
      <c r="H410" cm="1">
        <f t="array" ref="H410">(PRODUCT(1+sp500_monthly!N411:N530)^(1/120)-1)*100</f>
        <v>0.4230292907089428</v>
      </c>
      <c r="I410" cm="1">
        <f t="array" ref="I410">(PRODUCT(1+sp500_monthly!O411:O530)^(1/120)-1)*100</f>
        <v>0.10981063306487737</v>
      </c>
    </row>
    <row r="411" spans="1:9" x14ac:dyDescent="0.35">
      <c r="A411" s="1">
        <v>21944</v>
      </c>
      <c r="B411" cm="1">
        <f t="array" ref="B411">(PRODUCT(1+sp500_monthly!B412:B531)^(1/120)-1)*100</f>
        <v>0.62611574004014514</v>
      </c>
      <c r="C411" cm="1">
        <f t="array" ref="C411">(PRODUCT(1+sp500_monthly!C412:C531)^(1/120)-1)*100</f>
        <v>0.35561644684578564</v>
      </c>
      <c r="D411" cm="1">
        <f t="array" ref="D411">(PRODUCT(1+sp500_monthly!D412:D531)^(1/120)-1)*100</f>
        <v>0.79239963216859444</v>
      </c>
      <c r="E411" cm="1">
        <f t="array" ref="E411">(PRODUCT(1+sp500_monthly!E412:E531)^(1/120)-1)*100</f>
        <v>0.50981962086542598</v>
      </c>
      <c r="F411" cm="1">
        <f t="array" ref="F411">(PRODUCT(1+sp500_monthly!K412:K531)^(1/120)-1)*100</f>
        <v>0.35439358828344147</v>
      </c>
      <c r="G411" cm="1">
        <f t="array" ref="G411">(PRODUCT(1+sp500_monthly!L412:L531)^(1/120)-1)</f>
        <v>0.31482379728949161</v>
      </c>
      <c r="H411" cm="1">
        <f t="array" ref="H411">(PRODUCT(1+sp500_monthly!N412:N531)^(1/120)-1)*100</f>
        <v>0.41253121689082128</v>
      </c>
      <c r="I411" cm="1">
        <f t="array" ref="I411">(PRODUCT(1+sp500_monthly!O412:O531)^(1/120)-1)*100</f>
        <v>0.10650329292651861</v>
      </c>
    </row>
    <row r="412" spans="1:9" x14ac:dyDescent="0.35">
      <c r="A412" s="1">
        <v>21975</v>
      </c>
      <c r="B412" cm="1">
        <f t="array" ref="B412">(PRODUCT(1+sp500_monthly!B413:B532)^(1/120)-1)*100</f>
        <v>0.6630111476143119</v>
      </c>
      <c r="C412" cm="1">
        <f t="array" ref="C412">(PRODUCT(1+sp500_monthly!C413:C532)^(1/120)-1)*100</f>
        <v>0.39170037992355411</v>
      </c>
      <c r="D412" cm="1">
        <f t="array" ref="D412">(PRODUCT(1+sp500_monthly!D413:D532)^(1/120)-1)*100</f>
        <v>0.84186707398881122</v>
      </c>
      <c r="E412" cm="1">
        <f t="array" ref="E412">(PRODUCT(1+sp500_monthly!E413:E532)^(1/120)-1)*100</f>
        <v>0.55882521613457303</v>
      </c>
      <c r="F412" cm="1">
        <f t="array" ref="F412">(PRODUCT(1+sp500_monthly!K413:K532)^(1/120)-1)*100</f>
        <v>0.38970986314053047</v>
      </c>
      <c r="G412" cm="1">
        <f t="array" ref="G412">(PRODUCT(1+sp500_monthly!L413:L532)^(1/120)-1)</f>
        <v>0.31732196532452006</v>
      </c>
      <c r="H412" cm="1">
        <f t="array" ref="H412">(PRODUCT(1+sp500_monthly!N413:N532)^(1/120)-1)*100</f>
        <v>0.44608195086075497</v>
      </c>
      <c r="I412" cm="1">
        <f t="array" ref="I412">(PRODUCT(1+sp500_monthly!O413:O532)^(1/120)-1)*100</f>
        <v>0.10598849094618501</v>
      </c>
    </row>
    <row r="413" spans="1:9" x14ac:dyDescent="0.35">
      <c r="A413" s="1">
        <v>22006</v>
      </c>
      <c r="B413" cm="1">
        <f t="array" ref="B413">(PRODUCT(1+sp500_monthly!B414:B533)^(1/120)-1)*100</f>
        <v>0.67597040699403088</v>
      </c>
      <c r="C413" cm="1">
        <f t="array" ref="C413">(PRODUCT(1+sp500_monthly!C414:C533)^(1/120)-1)*100</f>
        <v>0.40557759112591629</v>
      </c>
      <c r="D413" cm="1">
        <f t="array" ref="D413">(PRODUCT(1+sp500_monthly!D414:D533)^(1/120)-1)*100</f>
        <v>0.86687276860606399</v>
      </c>
      <c r="E413" cm="1">
        <f t="array" ref="E413">(PRODUCT(1+sp500_monthly!E414:E533)^(1/120)-1)*100</f>
        <v>0.5846070712468121</v>
      </c>
      <c r="F413" cm="1">
        <f t="array" ref="F413">(PRODUCT(1+sp500_monthly!K414:K533)^(1/120)-1)*100</f>
        <v>0.40263456595270863</v>
      </c>
      <c r="G413" cm="1">
        <f t="array" ref="G413">(PRODUCT(1+sp500_monthly!L414:L533)^(1/120)-1)</f>
        <v>0.31898032036960089</v>
      </c>
      <c r="H413" cm="1">
        <f t="array" ref="H413">(PRODUCT(1+sp500_monthly!N414:N533)^(1/120)-1)*100</f>
        <v>0.4546303400839502</v>
      </c>
      <c r="I413" cm="1">
        <f t="array" ref="I413">(PRODUCT(1+sp500_monthly!O414:O533)^(1/120)-1)*100</f>
        <v>0.10344776075792428</v>
      </c>
    </row>
    <row r="414" spans="1:9" x14ac:dyDescent="0.35">
      <c r="A414" s="1">
        <v>22035</v>
      </c>
      <c r="B414" cm="1">
        <f t="array" ref="B414">(PRODUCT(1+sp500_monthly!B415:B534)^(1/120)-1)*100</f>
        <v>0.61157293618547826</v>
      </c>
      <c r="C414" cm="1">
        <f t="array" ref="C414">(PRODUCT(1+sp500_monthly!C415:C534)^(1/120)-1)*100</f>
        <v>0.34108413111413327</v>
      </c>
      <c r="D414" cm="1">
        <f t="array" ref="D414">(PRODUCT(1+sp500_monthly!D415:D534)^(1/120)-1)*100</f>
        <v>0.78355943657628657</v>
      </c>
      <c r="E414" cm="1">
        <f t="array" ref="E414">(PRODUCT(1+sp500_monthly!E415:E534)^(1/120)-1)*100</f>
        <v>0.50115795992791146</v>
      </c>
      <c r="F414" cm="1">
        <f t="array" ref="F414">(PRODUCT(1+sp500_monthly!K415:K534)^(1/120)-1)*100</f>
        <v>0.33809796566313111</v>
      </c>
      <c r="G414" cm="1">
        <f t="array" ref="G414">(PRODUCT(1+sp500_monthly!L415:L534)^(1/120)-1)</f>
        <v>0.3215274391917653</v>
      </c>
      <c r="H414" cm="1">
        <f t="array" ref="H414">(PRODUCT(1+sp500_monthly!N415:N534)^(1/120)-1)*100</f>
        <v>0.38970700597653618</v>
      </c>
      <c r="I414" cm="1">
        <f t="array" ref="I414">(PRODUCT(1+sp500_monthly!O415:O534)^(1/120)-1)*100</f>
        <v>0.10535935749986791</v>
      </c>
    </row>
    <row r="415" spans="1:9" x14ac:dyDescent="0.35">
      <c r="A415" s="1">
        <v>22067</v>
      </c>
      <c r="B415" cm="1">
        <f t="array" ref="B415">(PRODUCT(1+sp500_monthly!B416:B535)^(1/120)-1)*100</f>
        <v>0.53680861415694725</v>
      </c>
      <c r="C415" cm="1">
        <f t="array" ref="C415">(PRODUCT(1+sp500_monthly!C416:C535)^(1/120)-1)*100</f>
        <v>0.26503961443760105</v>
      </c>
      <c r="D415" cm="1">
        <f t="array" ref="D415">(PRODUCT(1+sp500_monthly!D416:D535)^(1/120)-1)*100</f>
        <v>0.69002784656124749</v>
      </c>
      <c r="E415" cm="1">
        <f t="array" ref="E415">(PRODUCT(1+sp500_monthly!E416:E535)^(1/120)-1)*100</f>
        <v>0.40754451561759719</v>
      </c>
      <c r="F415" cm="1">
        <f t="array" ref="F415">(PRODUCT(1+sp500_monthly!K416:K535)^(1/120)-1)*100</f>
        <v>0.26337104497275998</v>
      </c>
      <c r="G415" cm="1">
        <f t="array" ref="G415">(PRODUCT(1+sp500_monthly!L416:L535)^(1/120)-1)</f>
        <v>0.32358016169282822</v>
      </c>
      <c r="H415" cm="1">
        <f t="array" ref="H415">(PRODUCT(1+sp500_monthly!N416:N535)^(1/120)-1)*100</f>
        <v>0.3137875993207917</v>
      </c>
      <c r="I415" cm="1">
        <f t="array" ref="I415">(PRODUCT(1+sp500_monthly!O416:O535)^(1/120)-1)*100</f>
        <v>0.10620246879629036</v>
      </c>
    </row>
    <row r="416" spans="1:9" x14ac:dyDescent="0.35">
      <c r="A416" s="1">
        <v>22097</v>
      </c>
      <c r="B416" cm="1">
        <f t="array" ref="B416">(PRODUCT(1+sp500_monthly!B417:B536)^(1/120)-1)*100</f>
        <v>0.47663641289570347</v>
      </c>
      <c r="C416" cm="1">
        <f t="array" ref="C416">(PRODUCT(1+sp500_monthly!C417:C536)^(1/120)-1)*100</f>
        <v>0.20557043992872615</v>
      </c>
      <c r="D416" cm="1">
        <f t="array" ref="D416">(PRODUCT(1+sp500_monthly!D417:D536)^(1/120)-1)*100</f>
        <v>0.62244030448899146</v>
      </c>
      <c r="E416" cm="1">
        <f t="array" ref="E416">(PRODUCT(1+sp500_monthly!E417:E536)^(1/120)-1)*100</f>
        <v>0.33986827393588381</v>
      </c>
      <c r="F416" cm="1">
        <f t="array" ref="F416">(PRODUCT(1+sp500_monthly!K417:K536)^(1/120)-1)*100</f>
        <v>0.20434676557485876</v>
      </c>
      <c r="G416" cm="1">
        <f t="array" ref="G416">(PRODUCT(1+sp500_monthly!L417:L536)^(1/120)-1)</f>
        <v>0.32625553943725683</v>
      </c>
      <c r="H416" cm="1">
        <f t="array" ref="H416">(PRODUCT(1+sp500_monthly!N417:N536)^(1/120)-1)*100</f>
        <v>0.25056072439360033</v>
      </c>
      <c r="I416" cm="1">
        <f t="array" ref="I416">(PRODUCT(1+sp500_monthly!O417:O536)^(1/120)-1)*100</f>
        <v>0.10584372071553716</v>
      </c>
    </row>
    <row r="417" spans="1:9" x14ac:dyDescent="0.35">
      <c r="A417" s="1">
        <v>22126</v>
      </c>
      <c r="B417" cm="1">
        <f t="array" ref="B417">(PRODUCT(1+sp500_monthly!B418:B537)^(1/120)-1)*100</f>
        <v>0.55706870330018976</v>
      </c>
      <c r="C417" cm="1">
        <f t="array" ref="C417">(PRODUCT(1+sp500_monthly!C418:C537)^(1/120)-1)*100</f>
        <v>0.28473374508302118</v>
      </c>
      <c r="D417" cm="1">
        <f t="array" ref="D417">(PRODUCT(1+sp500_monthly!D418:D537)^(1/120)-1)*100</f>
        <v>0.70423673715709345</v>
      </c>
      <c r="E417" cm="1">
        <f t="array" ref="E417">(PRODUCT(1+sp500_monthly!E418:E537)^(1/120)-1)*100</f>
        <v>0.42080490702840478</v>
      </c>
      <c r="F417" cm="1">
        <f t="array" ref="F417">(PRODUCT(1+sp500_monthly!K418:K537)^(1/120)-1)*100</f>
        <v>0.28438967154904571</v>
      </c>
      <c r="G417" cm="1">
        <f t="array" ref="G417">(PRODUCT(1+sp500_monthly!L418:L537)^(1/120)-1)</f>
        <v>0.32953646671904191</v>
      </c>
      <c r="H417" cm="1">
        <f t="array" ref="H417">(PRODUCT(1+sp500_monthly!N418:N537)^(1/120)-1)*100</f>
        <v>0.32696409036465646</v>
      </c>
      <c r="I417" cm="1">
        <f t="array" ref="I417">(PRODUCT(1+sp500_monthly!O418:O537)^(1/120)-1)*100</f>
        <v>0.10524723239546674</v>
      </c>
    </row>
    <row r="418" spans="1:9" x14ac:dyDescent="0.35">
      <c r="A418" s="1">
        <v>22159</v>
      </c>
      <c r="B418" cm="1">
        <f t="array" ref="B418">(PRODUCT(1+sp500_monthly!B419:B538)^(1/120)-1)*100</f>
        <v>0.57181534941750378</v>
      </c>
      <c r="C418" cm="1">
        <f t="array" ref="C418">(PRODUCT(1+sp500_monthly!C419:C538)^(1/120)-1)*100</f>
        <v>0.29893416551984853</v>
      </c>
      <c r="D418" cm="1">
        <f t="array" ref="D418">(PRODUCT(1+sp500_monthly!D419:D538)^(1/120)-1)*100</f>
        <v>0.72722146816424083</v>
      </c>
      <c r="E418" cm="1">
        <f t="array" ref="E418">(PRODUCT(1+sp500_monthly!E419:E538)^(1/120)-1)*100</f>
        <v>0.44390834350467312</v>
      </c>
      <c r="F418" cm="1">
        <f t="array" ref="F418">(PRODUCT(1+sp500_monthly!K419:K538)^(1/120)-1)*100</f>
        <v>0.29919388874339869</v>
      </c>
      <c r="G418" cm="1">
        <f t="array" ref="G418">(PRODUCT(1+sp500_monthly!L419:L538)^(1/120)-1)</f>
        <v>0.33251201438836575</v>
      </c>
      <c r="H418" cm="1">
        <f t="array" ref="H418">(PRODUCT(1+sp500_monthly!N419:N538)^(1/120)-1)*100</f>
        <v>0.34122629370136881</v>
      </c>
      <c r="I418" cm="1">
        <f t="array" ref="I418">(PRODUCT(1+sp500_monthly!O419:O538)^(1/120)-1)*100</f>
        <v>0.10779031383028048</v>
      </c>
    </row>
    <row r="419" spans="1:9" x14ac:dyDescent="0.35">
      <c r="A419" s="1">
        <v>22189</v>
      </c>
      <c r="B419" cm="1">
        <f t="array" ref="B419">(PRODUCT(1+sp500_monthly!B420:B539)^(1/120)-1)*100</f>
        <v>0.65114804676247307</v>
      </c>
      <c r="C419" cm="1">
        <f t="array" ref="C419">(PRODUCT(1+sp500_monthly!C420:C539)^(1/120)-1)*100</f>
        <v>0.37865511087873394</v>
      </c>
      <c r="D419" cm="1">
        <f t="array" ref="D419">(PRODUCT(1+sp500_monthly!D420:D539)^(1/120)-1)*100</f>
        <v>0.83277241353676423</v>
      </c>
      <c r="E419" cm="1">
        <f t="array" ref="E419">(PRODUCT(1+sp500_monthly!E420:E539)^(1/120)-1)*100</f>
        <v>0.5494432745297706</v>
      </c>
      <c r="F419" cm="1">
        <f t="array" ref="F419">(PRODUCT(1+sp500_monthly!K420:K539)^(1/120)-1)*100</f>
        <v>0.37842712058009376</v>
      </c>
      <c r="G419" cm="1">
        <f t="array" ref="G419">(PRODUCT(1+sp500_monthly!L420:L539)^(1/120)-1)</f>
        <v>0.33566226416354628</v>
      </c>
      <c r="H419" cm="1">
        <f t="array" ref="H419">(PRODUCT(1+sp500_monthly!N420:N539)^(1/120)-1)*100</f>
        <v>0.41609668703073144</v>
      </c>
      <c r="I419" cm="1">
        <f t="array" ref="I419">(PRODUCT(1+sp500_monthly!O420:O539)^(1/120)-1)*100</f>
        <v>0.10668216864155866</v>
      </c>
    </row>
    <row r="420" spans="1:9" x14ac:dyDescent="0.35">
      <c r="A420" s="1">
        <v>22220</v>
      </c>
      <c r="B420" cm="1">
        <f t="array" ref="B420">(PRODUCT(1+sp500_monthly!B421:B540)^(1/120)-1)*100</f>
        <v>0.64444368467400093</v>
      </c>
      <c r="C420" cm="1">
        <f t="array" ref="C420">(PRODUCT(1+sp500_monthly!C421:C540)^(1/120)-1)*100</f>
        <v>0.37087827314112864</v>
      </c>
      <c r="D420" cm="1">
        <f t="array" ref="D420">(PRODUCT(1+sp500_monthly!D421:D540)^(1/120)-1)*100</f>
        <v>0.81501474295866405</v>
      </c>
      <c r="E420" cm="1">
        <f t="array" ref="E420">(PRODUCT(1+sp500_monthly!E421:E540)^(1/120)-1)*100</f>
        <v>0.53115485441423971</v>
      </c>
      <c r="F420" cm="1">
        <f t="array" ref="F420">(PRODUCT(1+sp500_monthly!K421:K540)^(1/120)-1)*100</f>
        <v>0.37087098115673456</v>
      </c>
      <c r="G420" cm="1">
        <f t="array" ref="G420">(PRODUCT(1+sp500_monthly!L421:L540)^(1/120)-1)</f>
        <v>0.33766264127180246</v>
      </c>
      <c r="H420" cm="1">
        <f t="array" ref="H420">(PRODUCT(1+sp500_monthly!N421:N540)^(1/120)-1)*100</f>
        <v>0.40909664637640564</v>
      </c>
      <c r="I420" cm="1">
        <f t="array" ref="I420">(PRODUCT(1+sp500_monthly!O421:O540)^(1/120)-1)*100</f>
        <v>0.10836713608506354</v>
      </c>
    </row>
    <row r="421" spans="1:9" x14ac:dyDescent="0.35">
      <c r="A421" s="1">
        <v>22250</v>
      </c>
      <c r="B421" cm="1">
        <f t="array" ref="B421">(PRODUCT(1+sp500_monthly!B422:B541)^(1/120)-1)*100</f>
        <v>0.65107700523678869</v>
      </c>
      <c r="C421" cm="1">
        <f t="array" ref="C421">(PRODUCT(1+sp500_monthly!C422:C541)^(1/120)-1)*100</f>
        <v>0.37797339023810661</v>
      </c>
      <c r="D421" cm="1">
        <f t="array" ref="D421">(PRODUCT(1+sp500_monthly!D422:D541)^(1/120)-1)*100</f>
        <v>0.81470825959399917</v>
      </c>
      <c r="E421" cm="1">
        <f t="array" ref="E421">(PRODUCT(1+sp500_monthly!E422:E541)^(1/120)-1)*100</f>
        <v>0.53179497476318893</v>
      </c>
      <c r="F421" cm="1">
        <f t="array" ref="F421">(PRODUCT(1+sp500_monthly!K422:K541)^(1/120)-1)*100</f>
        <v>0.37662196190162422</v>
      </c>
      <c r="G421" cm="1">
        <f t="array" ref="G421">(PRODUCT(1+sp500_monthly!L422:L541)^(1/120)-1)</f>
        <v>0.34052181191390507</v>
      </c>
      <c r="H421" cm="1">
        <f t="array" ref="H421">(PRODUCT(1+sp500_monthly!N422:N541)^(1/120)-1)*100</f>
        <v>0.41232095824959014</v>
      </c>
      <c r="I421" cm="1">
        <f t="array" ref="I421">(PRODUCT(1+sp500_monthly!O422:O541)^(1/120)-1)*100</f>
        <v>0.10772885543819388</v>
      </c>
    </row>
    <row r="422" spans="1:9" x14ac:dyDescent="0.35">
      <c r="A422" s="1">
        <v>22280</v>
      </c>
      <c r="B422" cm="1">
        <f t="array" ref="B422">(PRODUCT(1+sp500_monthly!B423:B542)^(1/120)-1)*100</f>
        <v>0.65891365863406381</v>
      </c>
      <c r="C422" cm="1">
        <f t="array" ref="C422">(PRODUCT(1+sp500_monthly!C423:C542)^(1/120)-1)*100</f>
        <v>0.38653047148007325</v>
      </c>
      <c r="D422" cm="1">
        <f t="array" ref="D422">(PRODUCT(1+sp500_monthly!D423:D542)^(1/120)-1)*100</f>
        <v>0.85067635492648286</v>
      </c>
      <c r="E422" cm="1">
        <f t="array" ref="E422">(PRODUCT(1+sp500_monthly!E423:E542)^(1/120)-1)*100</f>
        <v>0.56801362056058124</v>
      </c>
      <c r="F422" cm="1">
        <f t="array" ref="F422">(PRODUCT(1+sp500_monthly!K423:K542)^(1/120)-1)*100</f>
        <v>0.38496944086949814</v>
      </c>
      <c r="G422" cm="1">
        <f t="array" ref="G422">(PRODUCT(1+sp500_monthly!L423:L542)^(1/120)-1)</f>
        <v>0.34278290778857823</v>
      </c>
      <c r="H422" cm="1">
        <f t="array" ref="H422">(PRODUCT(1+sp500_monthly!N423:N542)^(1/120)-1)*100</f>
        <v>0.41676587131795895</v>
      </c>
      <c r="I422" cm="1">
        <f t="array" ref="I422">(PRODUCT(1+sp500_monthly!O423:O542)^(1/120)-1)*100</f>
        <v>0.10652887934221589</v>
      </c>
    </row>
    <row r="423" spans="1:9" x14ac:dyDescent="0.35">
      <c r="A423" s="1">
        <v>22312</v>
      </c>
      <c r="B423" cm="1">
        <f t="array" ref="B423">(PRODUCT(1+sp500_monthly!B424:B543)^(1/120)-1)*100</f>
        <v>0.64180322851883354</v>
      </c>
      <c r="C423" cm="1">
        <f t="array" ref="C423">(PRODUCT(1+sp500_monthly!C424:C543)^(1/120)-1)*100</f>
        <v>0.36929610581024619</v>
      </c>
      <c r="D423" cm="1">
        <f t="array" ref="D423">(PRODUCT(1+sp500_monthly!D424:D543)^(1/120)-1)*100</f>
        <v>0.85503352605631466</v>
      </c>
      <c r="E423" cm="1">
        <f t="array" ref="E423">(PRODUCT(1+sp500_monthly!E424:E543)^(1/120)-1)*100</f>
        <v>0.57239471517316343</v>
      </c>
      <c r="F423" cm="1">
        <f t="array" ref="F423">(PRODUCT(1+sp500_monthly!K424:K543)^(1/120)-1)*100</f>
        <v>0.36693306924662217</v>
      </c>
      <c r="G423" cm="1">
        <f t="array" ref="G423">(PRODUCT(1+sp500_monthly!L424:L543)^(1/120)-1)</f>
        <v>0.34444148701827038</v>
      </c>
      <c r="H423" cm="1">
        <f t="array" ref="H423">(PRODUCT(1+sp500_monthly!N424:N543)^(1/120)-1)*100</f>
        <v>0.39843864908231108</v>
      </c>
      <c r="I423" cm="1">
        <f t="array" ref="I423">(PRODUCT(1+sp500_monthly!O424:O543)^(1/120)-1)*100</f>
        <v>0.10685510786077046</v>
      </c>
    </row>
    <row r="424" spans="1:9" x14ac:dyDescent="0.35">
      <c r="A424" s="1">
        <v>22340</v>
      </c>
      <c r="B424" cm="1">
        <f t="array" ref="B424">(PRODUCT(1+sp500_monthly!B425:B544)^(1/120)-1)*100</f>
        <v>0.62580141002719358</v>
      </c>
      <c r="C424" cm="1">
        <f t="array" ref="C424">(PRODUCT(1+sp500_monthly!C425:C544)^(1/120)-1)*100</f>
        <v>0.35249287472938207</v>
      </c>
      <c r="D424" cm="1">
        <f t="array" ref="D424">(PRODUCT(1+sp500_monthly!D425:D544)^(1/120)-1)*100</f>
        <v>0.8267303568497919</v>
      </c>
      <c r="E424" cm="1">
        <f t="array" ref="E424">(PRODUCT(1+sp500_monthly!E425:E544)^(1/120)-1)*100</f>
        <v>0.54437038210111144</v>
      </c>
      <c r="F424" cm="1">
        <f t="array" ref="F424">(PRODUCT(1+sp500_monthly!K425:K544)^(1/120)-1)*100</f>
        <v>0.35231212577431226</v>
      </c>
      <c r="G424" cm="1">
        <f t="array" ref="G424">(PRODUCT(1+sp500_monthly!L425:L544)^(1/120)-1)</f>
        <v>0.34616965151460533</v>
      </c>
      <c r="H424" cm="1">
        <f t="array" ref="H424">(PRODUCT(1+sp500_monthly!N425:N544)^(1/120)-1)*100</f>
        <v>0.38247552500694226</v>
      </c>
      <c r="I424" cm="1">
        <f t="array" ref="I424">(PRODUCT(1+sp500_monthly!O425:O544)^(1/120)-1)*100</f>
        <v>0.10843642995308489</v>
      </c>
    </row>
    <row r="425" spans="1:9" x14ac:dyDescent="0.35">
      <c r="A425" s="1">
        <v>22370</v>
      </c>
      <c r="B425" cm="1">
        <f t="array" ref="B425">(PRODUCT(1+sp500_monthly!B426:B545)^(1/120)-1)*100</f>
        <v>0.63368531426459818</v>
      </c>
      <c r="C425" cm="1">
        <f t="array" ref="C425">(PRODUCT(1+sp500_monthly!C426:C545)^(1/120)-1)*100</f>
        <v>0.36105823782137669</v>
      </c>
      <c r="D425" cm="1">
        <f t="array" ref="D425">(PRODUCT(1+sp500_monthly!D426:D545)^(1/120)-1)*100</f>
        <v>0.82993698102999947</v>
      </c>
      <c r="E425" cm="1">
        <f t="array" ref="E425">(PRODUCT(1+sp500_monthly!E426:E545)^(1/120)-1)*100</f>
        <v>0.54804534734187449</v>
      </c>
      <c r="F425" cm="1">
        <f t="array" ref="F425">(PRODUCT(1+sp500_monthly!K426:K545)^(1/120)-1)*100</f>
        <v>0.36144442258965181</v>
      </c>
      <c r="G425" cm="1">
        <f t="array" ref="G425">(PRODUCT(1+sp500_monthly!L426:L545)^(1/120)-1)</f>
        <v>0.34706787658195548</v>
      </c>
      <c r="H425" cm="1">
        <f t="array" ref="H425">(PRODUCT(1+sp500_monthly!N426:N545)^(1/120)-1)*100</f>
        <v>0.38824630268814442</v>
      </c>
      <c r="I425" cm="1">
        <f t="array" ref="I425">(PRODUCT(1+sp500_monthly!O426:O545)^(1/120)-1)*100</f>
        <v>0.10718039071129226</v>
      </c>
    </row>
    <row r="426" spans="1:9" x14ac:dyDescent="0.35">
      <c r="A426" s="1">
        <v>22399</v>
      </c>
      <c r="B426" cm="1">
        <f t="array" ref="B426">(PRODUCT(1+sp500_monthly!B427:B546)^(1/120)-1)*100</f>
        <v>0.66033281637571939</v>
      </c>
      <c r="C426" cm="1">
        <f t="array" ref="C426">(PRODUCT(1+sp500_monthly!C427:C546)^(1/120)-1)*100</f>
        <v>0.38726243507227753</v>
      </c>
      <c r="D426" cm="1">
        <f t="array" ref="D426">(PRODUCT(1+sp500_monthly!D427:D546)^(1/120)-1)*100</f>
        <v>0.86343255901502047</v>
      </c>
      <c r="E426" cm="1">
        <f t="array" ref="E426">(PRODUCT(1+sp500_monthly!E427:E546)^(1/120)-1)*100</f>
        <v>0.58114024781652507</v>
      </c>
      <c r="F426" cm="1">
        <f t="array" ref="F426">(PRODUCT(1+sp500_monthly!K427:K546)^(1/120)-1)*100</f>
        <v>0.3880516460004424</v>
      </c>
      <c r="G426" cm="1">
        <f t="array" ref="G426">(PRODUCT(1+sp500_monthly!L427:L546)^(1/120)-1)</f>
        <v>0.34807694245101528</v>
      </c>
      <c r="H426" cm="1">
        <f t="array" ref="H426">(PRODUCT(1+sp500_monthly!N427:N546)^(1/120)-1)*100</f>
        <v>0.41189779084351841</v>
      </c>
      <c r="I426" cm="1">
        <f t="array" ref="I426">(PRODUCT(1+sp500_monthly!O427:O546)^(1/120)-1)*100</f>
        <v>0.10517391490396655</v>
      </c>
    </row>
    <row r="427" spans="1:9" x14ac:dyDescent="0.35">
      <c r="A427" s="1">
        <v>22432</v>
      </c>
      <c r="B427" cm="1">
        <f t="array" ref="B427">(PRODUCT(1+sp500_monthly!B428:B547)^(1/120)-1)*100</f>
        <v>0.60906149354711392</v>
      </c>
      <c r="C427" cm="1">
        <f t="array" ref="C427">(PRODUCT(1+sp500_monthly!C428:C547)^(1/120)-1)*100</f>
        <v>0.3355773671016582</v>
      </c>
      <c r="D427" cm="1">
        <f t="array" ref="D427">(PRODUCT(1+sp500_monthly!D428:D547)^(1/120)-1)*100</f>
        <v>0.79265298210691171</v>
      </c>
      <c r="E427" cm="1">
        <f t="array" ref="E427">(PRODUCT(1+sp500_monthly!E428:E547)^(1/120)-1)*100</f>
        <v>0.51097934007846568</v>
      </c>
      <c r="F427" cm="1">
        <f t="array" ref="F427">(PRODUCT(1+sp500_monthly!K428:K547)^(1/120)-1)*100</f>
        <v>0.33669590036891073</v>
      </c>
      <c r="G427" cm="1">
        <f t="array" ref="G427">(PRODUCT(1+sp500_monthly!L428:L547)^(1/120)-1)</f>
        <v>0.34907857358488004</v>
      </c>
      <c r="H427" cm="1">
        <f t="array" ref="H427">(PRODUCT(1+sp500_monthly!N428:N547)^(1/120)-1)*100</f>
        <v>0.35743340804952339</v>
      </c>
      <c r="I427" cm="1">
        <f t="array" ref="I427">(PRODUCT(1+sp500_monthly!O428:O547)^(1/120)-1)*100</f>
        <v>0.10277822169053596</v>
      </c>
    </row>
    <row r="428" spans="1:9" x14ac:dyDescent="0.35">
      <c r="A428" s="1">
        <v>22462</v>
      </c>
      <c r="B428" cm="1">
        <f t="array" ref="B428">(PRODUCT(1+sp500_monthly!B429:B548)^(1/120)-1)*100</f>
        <v>0.63377345089947745</v>
      </c>
      <c r="C428" cm="1">
        <f t="array" ref="C428">(PRODUCT(1+sp500_monthly!C429:C548)^(1/120)-1)*100</f>
        <v>0.36083674599183269</v>
      </c>
      <c r="D428" cm="1">
        <f t="array" ref="D428">(PRODUCT(1+sp500_monthly!D429:D548)^(1/120)-1)*100</f>
        <v>0.81896200199156333</v>
      </c>
      <c r="E428" cm="1">
        <f t="array" ref="E428">(PRODUCT(1+sp500_monthly!E429:E548)^(1/120)-1)*100</f>
        <v>0.53741027644416128</v>
      </c>
      <c r="F428" cm="1">
        <f t="array" ref="F428">(PRODUCT(1+sp500_monthly!K429:K548)^(1/120)-1)*100</f>
        <v>0.36176060940498189</v>
      </c>
      <c r="G428" cm="1">
        <f t="array" ref="G428">(PRODUCT(1+sp500_monthly!L429:L548)^(1/120)-1)</f>
        <v>0.35056888212482229</v>
      </c>
      <c r="H428" cm="1">
        <f t="array" ref="H428">(PRODUCT(1+sp500_monthly!N429:N548)^(1/120)-1)*100</f>
        <v>0.37794246150961719</v>
      </c>
      <c r="I428" cm="1">
        <f t="array" ref="I428">(PRODUCT(1+sp500_monthly!O429:O548)^(1/120)-1)*100</f>
        <v>0.10006269038944637</v>
      </c>
    </row>
    <row r="429" spans="1:9" x14ac:dyDescent="0.35">
      <c r="A429" s="1">
        <v>22493</v>
      </c>
      <c r="B429" cm="1">
        <f t="array" ref="B429">(PRODUCT(1+sp500_monthly!B430:B549)^(1/120)-1)*100</f>
        <v>0.57096377138641241</v>
      </c>
      <c r="C429" cm="1">
        <f t="array" ref="C429">(PRODUCT(1+sp500_monthly!C430:C549)^(1/120)-1)*100</f>
        <v>0.29780773749650269</v>
      </c>
      <c r="D429" cm="1">
        <f t="array" ref="D429">(PRODUCT(1+sp500_monthly!D430:D549)^(1/120)-1)*100</f>
        <v>0.76718135559690204</v>
      </c>
      <c r="E429" cm="1">
        <f t="array" ref="E429">(PRODUCT(1+sp500_monthly!E430:E549)^(1/120)-1)*100</f>
        <v>0.4853913508854113</v>
      </c>
      <c r="F429" cm="1">
        <f t="array" ref="F429">(PRODUCT(1+sp500_monthly!K430:K549)^(1/120)-1)*100</f>
        <v>0.29949478095920856</v>
      </c>
      <c r="G429" cm="1">
        <f t="array" ref="G429">(PRODUCT(1+sp500_monthly!L430:L549)^(1/120)-1)</f>
        <v>0.35249433903471172</v>
      </c>
      <c r="H429" cm="1">
        <f t="array" ref="H429">(PRODUCT(1+sp500_monthly!N430:N549)^(1/120)-1)*100</f>
        <v>0.31546908300275067</v>
      </c>
      <c r="I429" cm="1">
        <f t="array" ref="I429">(PRODUCT(1+sp500_monthly!O430:O549)^(1/120)-1)*100</f>
        <v>0.10206881968843895</v>
      </c>
    </row>
    <row r="430" spans="1:9" x14ac:dyDescent="0.35">
      <c r="A430" s="1">
        <v>22524</v>
      </c>
      <c r="B430" cm="1">
        <f t="array" ref="B430">(PRODUCT(1+sp500_monthly!B431:B550)^(1/120)-1)*100</f>
        <v>0.58500054219048359</v>
      </c>
      <c r="C430" cm="1">
        <f t="array" ref="C430">(PRODUCT(1+sp500_monthly!C431:C550)^(1/120)-1)*100</f>
        <v>0.31166134735169937</v>
      </c>
      <c r="D430" cm="1">
        <f t="array" ref="D430">(PRODUCT(1+sp500_monthly!D431:D550)^(1/120)-1)*100</f>
        <v>0.78716170935109187</v>
      </c>
      <c r="E430" cm="1">
        <f t="array" ref="E430">(PRODUCT(1+sp500_monthly!E431:E550)^(1/120)-1)*100</f>
        <v>0.50567822603717616</v>
      </c>
      <c r="F430" cm="1">
        <f t="array" ref="F430">(PRODUCT(1+sp500_monthly!K431:K550)^(1/120)-1)*100</f>
        <v>0.31289057880397042</v>
      </c>
      <c r="G430" cm="1">
        <f t="array" ref="G430">(PRODUCT(1+sp500_monthly!L431:L550)^(1/120)-1)</f>
        <v>0.35536279515085178</v>
      </c>
      <c r="H430" cm="1">
        <f t="array" ref="H430">(PRODUCT(1+sp500_monthly!N431:N550)^(1/120)-1)*100</f>
        <v>0.32797211922208636</v>
      </c>
      <c r="I430" cm="1">
        <f t="array" ref="I430">(PRODUCT(1+sp500_monthly!O431:O550)^(1/120)-1)*100</f>
        <v>0.10331857563969926</v>
      </c>
    </row>
    <row r="431" spans="1:9" x14ac:dyDescent="0.35">
      <c r="A431" s="1">
        <v>22553</v>
      </c>
      <c r="B431" cm="1">
        <f t="array" ref="B431">(PRODUCT(1+sp500_monthly!B432:B551)^(1/120)-1)*100</f>
        <v>0.59656833749390792</v>
      </c>
      <c r="C431" cm="1">
        <f t="array" ref="C431">(PRODUCT(1+sp500_monthly!C432:C551)^(1/120)-1)*100</f>
        <v>0.32308893494965574</v>
      </c>
      <c r="D431" cm="1">
        <f t="array" ref="D431">(PRODUCT(1+sp500_monthly!D432:D551)^(1/120)-1)*100</f>
        <v>0.79686472930706742</v>
      </c>
      <c r="E431" cm="1">
        <f t="array" ref="E431">(PRODUCT(1+sp500_monthly!E432:E551)^(1/120)-1)*100</f>
        <v>0.51543265831945906</v>
      </c>
      <c r="F431" cm="1">
        <f t="array" ref="F431">(PRODUCT(1+sp500_monthly!K432:K551)^(1/120)-1)*100</f>
        <v>0.3236664009342638</v>
      </c>
      <c r="G431" cm="1">
        <f t="array" ref="G431">(PRODUCT(1+sp500_monthly!L432:L551)^(1/120)-1)</f>
        <v>0.35714634866935113</v>
      </c>
      <c r="H431" cm="1">
        <f t="array" ref="H431">(PRODUCT(1+sp500_monthly!N432:N551)^(1/120)-1)*100</f>
        <v>0.33857479764234366</v>
      </c>
      <c r="I431" cm="1">
        <f t="array" ref="I431">(PRODUCT(1+sp500_monthly!O432:O551)^(1/120)-1)*100</f>
        <v>0.10404911557657659</v>
      </c>
    </row>
    <row r="432" spans="1:9" x14ac:dyDescent="0.35">
      <c r="A432" s="1">
        <v>22585</v>
      </c>
      <c r="B432" cm="1">
        <f t="array" ref="B432">(PRODUCT(1+sp500_monthly!B433:B552)^(1/120)-1)*100</f>
        <v>0.53895829317032184</v>
      </c>
      <c r="C432" cm="1">
        <f t="array" ref="C432">(PRODUCT(1+sp500_monthly!C433:C552)^(1/120)-1)*100</f>
        <v>0.26511763800276533</v>
      </c>
      <c r="D432" cm="1">
        <f t="array" ref="D432">(PRODUCT(1+sp500_monthly!D433:D552)^(1/120)-1)*100</f>
        <v>0.7303559938189208</v>
      </c>
      <c r="E432" cm="1">
        <f t="array" ref="E432">(PRODUCT(1+sp500_monthly!E433:E552)^(1/120)-1)*100</f>
        <v>0.44854407024590426</v>
      </c>
      <c r="F432" cm="1">
        <f t="array" ref="F432">(PRODUCT(1+sp500_monthly!K433:K552)^(1/120)-1)*100</f>
        <v>0.26464177782221654</v>
      </c>
      <c r="G432" cm="1">
        <f t="array" ref="G432">(PRODUCT(1+sp500_monthly!L433:L552)^(1/120)-1)</f>
        <v>0.35874031858424305</v>
      </c>
      <c r="H432" cm="1">
        <f t="array" ref="H432">(PRODUCT(1+sp500_monthly!N433:N552)^(1/120)-1)*100</f>
        <v>0.27906680360418878</v>
      </c>
      <c r="I432" cm="1">
        <f t="array" ref="I432">(PRODUCT(1+sp500_monthly!O433:O552)^(1/120)-1)*100</f>
        <v>0.10350437828190451</v>
      </c>
    </row>
    <row r="433" spans="1:9" x14ac:dyDescent="0.35">
      <c r="A433" s="1">
        <v>22615</v>
      </c>
      <c r="B433" cm="1">
        <f t="array" ref="B433">(PRODUCT(1+sp500_monthly!B434:B553)^(1/120)-1)*100</f>
        <v>0.50432915596465566</v>
      </c>
      <c r="C433" cm="1">
        <f t="array" ref="C433">(PRODUCT(1+sp500_monthly!C434:C553)^(1/120)-1)*100</f>
        <v>0.23119903900552519</v>
      </c>
      <c r="D433" cm="1">
        <f t="array" ref="D433">(PRODUCT(1+sp500_monthly!D434:D553)^(1/120)-1)*100</f>
        <v>0.68185428035925089</v>
      </c>
      <c r="E433" cm="1">
        <f t="array" ref="E433">(PRODUCT(1+sp500_monthly!E434:E553)^(1/120)-1)*100</f>
        <v>0.40055283270219455</v>
      </c>
      <c r="F433" cm="1">
        <f t="array" ref="F433">(PRODUCT(1+sp500_monthly!K434:K553)^(1/120)-1)*100</f>
        <v>0.23027120217027353</v>
      </c>
      <c r="G433" cm="1">
        <f t="array" ref="G433">(PRODUCT(1+sp500_monthly!L434:L553)^(1/120)-1)</f>
        <v>0.36072381375799689</v>
      </c>
      <c r="H433" cm="1">
        <f t="array" ref="H433">(PRODUCT(1+sp500_monthly!N434:N553)^(1/120)-1)*100</f>
        <v>0.24248722370137088</v>
      </c>
      <c r="I433" cm="1">
        <f t="array" ref="I433">(PRODUCT(1+sp500_monthly!O434:O553)^(1/120)-1)*100</f>
        <v>0.10329774155330984</v>
      </c>
    </row>
    <row r="434" spans="1:9" x14ac:dyDescent="0.35">
      <c r="A434" s="1">
        <v>22644</v>
      </c>
      <c r="B434" cm="1">
        <f t="array" ref="B434">(PRODUCT(1+sp500_monthly!B435:B554)^(1/120)-1)*100</f>
        <v>0.57097375303176712</v>
      </c>
      <c r="C434" cm="1">
        <f t="array" ref="C434">(PRODUCT(1+sp500_monthly!C435:C554)^(1/120)-1)*100</f>
        <v>0.29761553729461543</v>
      </c>
      <c r="D434" cm="1">
        <f t="array" ref="D434">(PRODUCT(1+sp500_monthly!D435:D554)^(1/120)-1)*100</f>
        <v>0.76995916624216232</v>
      </c>
      <c r="E434" cm="1">
        <f t="array" ref="E434">(PRODUCT(1+sp500_monthly!E435:E554)^(1/120)-1)*100</f>
        <v>0.48863537005940927</v>
      </c>
      <c r="F434" cm="1">
        <f t="array" ref="F434">(PRODUCT(1+sp500_monthly!K435:K554)^(1/120)-1)*100</f>
        <v>0.29665080970440183</v>
      </c>
      <c r="G434" cm="1">
        <f t="array" ref="G434">(PRODUCT(1+sp500_monthly!L435:L554)^(1/120)-1)</f>
        <v>0.36232198540966398</v>
      </c>
      <c r="H434" cm="1">
        <f t="array" ref="H434">(PRODUCT(1+sp500_monthly!N435:N554)^(1/120)-1)*100</f>
        <v>0.30775792984321093</v>
      </c>
      <c r="I434" cm="1">
        <f t="array" ref="I434">(PRODUCT(1+sp500_monthly!O435:O554)^(1/120)-1)*100</f>
        <v>0.10359728988713623</v>
      </c>
    </row>
    <row r="435" spans="1:9" x14ac:dyDescent="0.35">
      <c r="A435" s="1">
        <v>22677</v>
      </c>
      <c r="B435" cm="1">
        <f t="array" ref="B435">(PRODUCT(1+sp500_monthly!B436:B555)^(1/120)-1)*100</f>
        <v>0.61873931122990999</v>
      </c>
      <c r="C435" cm="1">
        <f t="array" ref="C435">(PRODUCT(1+sp500_monthly!C436:C555)^(1/120)-1)*100</f>
        <v>0.3453665698349706</v>
      </c>
      <c r="D435" cm="1">
        <f t="array" ref="D435">(PRODUCT(1+sp500_monthly!D436:D555)^(1/120)-1)*100</f>
        <v>0.81201355853155466</v>
      </c>
      <c r="E435" cm="1">
        <f t="array" ref="E435">(PRODUCT(1+sp500_monthly!E436:E555)^(1/120)-1)*100</f>
        <v>0.53037084403095847</v>
      </c>
      <c r="F435" cm="1">
        <f t="array" ref="F435">(PRODUCT(1+sp500_monthly!K436:K555)^(1/120)-1)*100</f>
        <v>0.34394406266515798</v>
      </c>
      <c r="G435" cm="1">
        <f t="array" ref="G435">(PRODUCT(1+sp500_monthly!L436:L555)^(1/120)-1)</f>
        <v>0.36277084042683416</v>
      </c>
      <c r="H435" cm="1">
        <f t="array" ref="H435">(PRODUCT(1+sp500_monthly!N436:N555)^(1/120)-1)*100</f>
        <v>0.35420177158747013</v>
      </c>
      <c r="I435" cm="1">
        <f t="array" ref="I435">(PRODUCT(1+sp500_monthly!O436:O555)^(1/120)-1)*100</f>
        <v>0.10281958063871333</v>
      </c>
    </row>
    <row r="436" spans="1:9" x14ac:dyDescent="0.35">
      <c r="A436" s="1">
        <v>22705</v>
      </c>
      <c r="B436" cm="1">
        <f t="array" ref="B436">(PRODUCT(1+sp500_monthly!B437:B556)^(1/120)-1)*100</f>
        <v>0.62661344757022341</v>
      </c>
      <c r="C436" cm="1">
        <f t="array" ref="C436">(PRODUCT(1+sp500_monthly!C437:C556)^(1/120)-1)*100</f>
        <v>0.35295995771866817</v>
      </c>
      <c r="D436" cm="1">
        <f t="array" ref="D436">(PRODUCT(1+sp500_monthly!D437:D556)^(1/120)-1)*100</f>
        <v>0.8229536266639359</v>
      </c>
      <c r="E436" cm="1">
        <f t="array" ref="E436">(PRODUCT(1+sp500_monthly!E437:E556)^(1/120)-1)*100</f>
        <v>0.54155140727127904</v>
      </c>
      <c r="F436" cm="1">
        <f t="array" ref="F436">(PRODUCT(1+sp500_monthly!K437:K556)^(1/120)-1)*100</f>
        <v>0.35134396283191816</v>
      </c>
      <c r="G436" cm="1">
        <f t="array" ref="G436">(PRODUCT(1+sp500_monthly!L437:L556)^(1/120)-1)</f>
        <v>0.3632345111537143</v>
      </c>
      <c r="H436" cm="1">
        <f t="array" ref="H436">(PRODUCT(1+sp500_monthly!N437:N556)^(1/120)-1)*100</f>
        <v>0.35995171554896732</v>
      </c>
      <c r="I436" cm="1">
        <f t="array" ref="I436">(PRODUCT(1+sp500_monthly!O437:O556)^(1/120)-1)*100</f>
        <v>0.10113767441606303</v>
      </c>
    </row>
    <row r="437" spans="1:9" x14ac:dyDescent="0.35">
      <c r="A437" s="1">
        <v>22735</v>
      </c>
      <c r="B437" cm="1">
        <f t="array" ref="B437">(PRODUCT(1+sp500_monthly!B438:B557)^(1/120)-1)*100</f>
        <v>0.63595351883107831</v>
      </c>
      <c r="C437" cm="1">
        <f t="array" ref="C437">(PRODUCT(1+sp500_monthly!C438:C557)^(1/120)-1)*100</f>
        <v>0.36237979249609253</v>
      </c>
      <c r="D437" cm="1">
        <f t="array" ref="D437">(PRODUCT(1+sp500_monthly!D438:D557)^(1/120)-1)*100</f>
        <v>0.83106189143193898</v>
      </c>
      <c r="E437" cm="1">
        <f t="array" ref="E437">(PRODUCT(1+sp500_monthly!E438:E557)^(1/120)-1)*100</f>
        <v>0.54998140865107903</v>
      </c>
      <c r="F437" cm="1">
        <f t="array" ref="F437">(PRODUCT(1+sp500_monthly!K438:K557)^(1/120)-1)*100</f>
        <v>0.36118877027879748</v>
      </c>
      <c r="G437" cm="1">
        <f t="array" ref="G437">(PRODUCT(1+sp500_monthly!L438:L557)^(1/120)-1)</f>
        <v>0.363878738737345</v>
      </c>
      <c r="H437" cm="1">
        <f t="array" ref="H437">(PRODUCT(1+sp500_monthly!N438:N557)^(1/120)-1)*100</f>
        <v>0.37093210074976568</v>
      </c>
      <c r="I437" cm="1">
        <f t="array" ref="I437">(PRODUCT(1+sp500_monthly!O438:O557)^(1/120)-1)*100</f>
        <v>0.10338085723695656</v>
      </c>
    </row>
    <row r="438" spans="1:9" x14ac:dyDescent="0.35">
      <c r="A438" s="1">
        <v>22766</v>
      </c>
      <c r="B438" cm="1">
        <f t="array" ref="B438">(PRODUCT(1+sp500_monthly!B439:B558)^(1/120)-1)*100</f>
        <v>0.69399731242791862</v>
      </c>
      <c r="C438" cm="1">
        <f t="array" ref="C438">(PRODUCT(1+sp500_monthly!C439:C558)^(1/120)-1)*100</f>
        <v>0.42020928261707891</v>
      </c>
      <c r="D438" cm="1">
        <f t="array" ref="D438">(PRODUCT(1+sp500_monthly!D439:D558)^(1/120)-1)*100</f>
        <v>0.89362219256721165</v>
      </c>
      <c r="E438" cm="1">
        <f t="array" ref="E438">(PRODUCT(1+sp500_monthly!E439:E558)^(1/120)-1)*100</f>
        <v>0.61216071141976247</v>
      </c>
      <c r="F438" cm="1">
        <f t="array" ref="F438">(PRODUCT(1+sp500_monthly!K439:K558)^(1/120)-1)*100</f>
        <v>0.41836724404176184</v>
      </c>
      <c r="G438" cm="1">
        <f t="array" ref="G438">(PRODUCT(1+sp500_monthly!L439:L558)^(1/120)-1)</f>
        <v>0.36451299157689143</v>
      </c>
      <c r="H438" cm="1">
        <f t="array" ref="H438">(PRODUCT(1+sp500_monthly!N439:N558)^(1/120)-1)*100</f>
        <v>0.42791281868623798</v>
      </c>
      <c r="I438" cm="1">
        <f t="array" ref="I438">(PRODUCT(1+sp500_monthly!O439:O558)^(1/120)-1)*100</f>
        <v>0.10305603513198758</v>
      </c>
    </row>
    <row r="439" spans="1:9" x14ac:dyDescent="0.35">
      <c r="A439" s="1">
        <v>22797</v>
      </c>
      <c r="B439" cm="1">
        <f t="array" ref="B439">(PRODUCT(1+sp500_monthly!B440:B559)^(1/120)-1)*100</f>
        <v>0.78213925578787258</v>
      </c>
      <c r="C439" cm="1">
        <f t="array" ref="C439">(PRODUCT(1+sp500_monthly!C440:C559)^(1/120)-1)*100</f>
        <v>0.50895363446195052</v>
      </c>
      <c r="D439" cm="1">
        <f t="array" ref="D439">(PRODUCT(1+sp500_monthly!D440:D559)^(1/120)-1)*100</f>
        <v>0.97321210985383821</v>
      </c>
      <c r="E439" cm="1">
        <f t="array" ref="E439">(PRODUCT(1+sp500_monthly!E440:E559)^(1/120)-1)*100</f>
        <v>0.69233714895662324</v>
      </c>
      <c r="F439" cm="1">
        <f t="array" ref="F439">(PRODUCT(1+sp500_monthly!K440:K559)^(1/120)-1)*100</f>
        <v>0.50798143637835746</v>
      </c>
      <c r="G439" cm="1">
        <f t="array" ref="G439">(PRODUCT(1+sp500_monthly!L440:L559)^(1/120)-1)</f>
        <v>0.36505040717400328</v>
      </c>
      <c r="H439" cm="1">
        <f t="array" ref="H439">(PRODUCT(1+sp500_monthly!N440:N559)^(1/120)-1)*100</f>
        <v>0.51463728775347217</v>
      </c>
      <c r="I439" cm="1">
        <f t="array" ref="I439">(PRODUCT(1+sp500_monthly!O440:O559)^(1/120)-1)*100</f>
        <v>0.10237550372138582</v>
      </c>
    </row>
    <row r="440" spans="1:9" x14ac:dyDescent="0.35">
      <c r="A440" s="1">
        <v>22826</v>
      </c>
      <c r="B440" cm="1">
        <f t="array" ref="B440">(PRODUCT(1+sp500_monthly!B441:B560)^(1/120)-1)*100</f>
        <v>0.83569159135081783</v>
      </c>
      <c r="C440" cm="1">
        <f t="array" ref="C440">(PRODUCT(1+sp500_monthly!C441:C560)^(1/120)-1)*100</f>
        <v>0.56273187106923306</v>
      </c>
      <c r="D440" cm="1">
        <f t="array" ref="D440">(PRODUCT(1+sp500_monthly!D441:D560)^(1/120)-1)*100</f>
        <v>1.0179927718422022</v>
      </c>
      <c r="E440" cm="1">
        <f t="array" ref="E440">(PRODUCT(1+sp500_monthly!E441:E560)^(1/120)-1)*100</f>
        <v>0.73771002190434753</v>
      </c>
      <c r="F440" cm="1">
        <f t="array" ref="F440">(PRODUCT(1+sp500_monthly!K441:K560)^(1/120)-1)*100</f>
        <v>0.56102916577946971</v>
      </c>
      <c r="G440" cm="1">
        <f t="array" ref="G440">(PRODUCT(1+sp500_monthly!L441:L560)^(1/120)-1)</f>
        <v>0.36587333303082481</v>
      </c>
      <c r="H440" cm="1">
        <f t="array" ref="H440">(PRODUCT(1+sp500_monthly!N441:N560)^(1/120)-1)*100</f>
        <v>0.56520352652387196</v>
      </c>
      <c r="I440" cm="1">
        <f t="array" ref="I440">(PRODUCT(1+sp500_monthly!O441:O560)^(1/120)-1)*100</f>
        <v>0.10029363203398756</v>
      </c>
    </row>
    <row r="441" spans="1:9" x14ac:dyDescent="0.35">
      <c r="A441" s="1">
        <v>22858</v>
      </c>
      <c r="B441" cm="1">
        <f t="array" ref="B441">(PRODUCT(1+sp500_monthly!B442:B561)^(1/120)-1)*100</f>
        <v>0.78534879703837657</v>
      </c>
      <c r="C441" cm="1">
        <f t="array" ref="C441">(PRODUCT(1+sp500_monthly!C442:C561)^(1/120)-1)*100</f>
        <v>0.51256148191729523</v>
      </c>
      <c r="D441" cm="1">
        <f t="array" ref="D441">(PRODUCT(1+sp500_monthly!D442:D561)^(1/120)-1)*100</f>
        <v>0.95341643298338941</v>
      </c>
      <c r="E441" cm="1">
        <f t="array" ref="E441">(PRODUCT(1+sp500_monthly!E442:E561)^(1/120)-1)*100</f>
        <v>0.67310142863996614</v>
      </c>
      <c r="F441" cm="1">
        <f t="array" ref="F441">(PRODUCT(1+sp500_monthly!K442:K561)^(1/120)-1)*100</f>
        <v>0.51135308759424625</v>
      </c>
      <c r="G441" cm="1">
        <f t="array" ref="G441">(PRODUCT(1+sp500_monthly!L442:L561)^(1/120)-1)</f>
        <v>0.36622634576987645</v>
      </c>
      <c r="H441" cm="1">
        <f t="array" ref="H441">(PRODUCT(1+sp500_monthly!N442:N561)^(1/120)-1)*100</f>
        <v>0.51326672306222232</v>
      </c>
      <c r="I441" cm="1">
        <f t="array" ref="I441">(PRODUCT(1+sp500_monthly!O442:O561)^(1/120)-1)*100</f>
        <v>9.8904411493694333E-2</v>
      </c>
    </row>
    <row r="442" spans="1:9" x14ac:dyDescent="0.35">
      <c r="A442" s="1">
        <v>22889</v>
      </c>
      <c r="B442" cm="1">
        <f t="array" ref="B442">(PRODUCT(1+sp500_monthly!B443:B562)^(1/120)-1)*100</f>
        <v>0.79982102562521362</v>
      </c>
      <c r="C442" cm="1">
        <f t="array" ref="C442">(PRODUCT(1+sp500_monthly!C443:C562)^(1/120)-1)*100</f>
        <v>0.52796018570959724</v>
      </c>
      <c r="D442" cm="1">
        <f t="array" ref="D442">(PRODUCT(1+sp500_monthly!D443:D562)^(1/120)-1)*100</f>
        <v>0.9690121246860306</v>
      </c>
      <c r="E442" cm="1">
        <f t="array" ref="E442">(PRODUCT(1+sp500_monthly!E443:E562)^(1/120)-1)*100</f>
        <v>0.68946949329451446</v>
      </c>
      <c r="F442" cm="1">
        <f t="array" ref="F442">(PRODUCT(1+sp500_monthly!K443:K562)^(1/120)-1)*100</f>
        <v>0.5270218300111873</v>
      </c>
      <c r="G442" cm="1">
        <f t="array" ref="G442">(PRODUCT(1+sp500_monthly!L443:L562)^(1/120)-1)</f>
        <v>0.36676870918927729</v>
      </c>
      <c r="H442" cm="1">
        <f t="array" ref="H442">(PRODUCT(1+sp500_monthly!N443:N562)^(1/120)-1)*100</f>
        <v>0.52735975086921627</v>
      </c>
      <c r="I442" cm="1">
        <f t="array" ref="I442">(PRODUCT(1+sp500_monthly!O443:O562)^(1/120)-1)*100</f>
        <v>9.9064927214698173E-2</v>
      </c>
    </row>
    <row r="443" spans="1:9" x14ac:dyDescent="0.35">
      <c r="A443" s="1">
        <v>22917</v>
      </c>
      <c r="B443" cm="1">
        <f t="array" ref="B443">(PRODUCT(1+sp500_monthly!B444:B563)^(1/120)-1)*100</f>
        <v>0.83911152508246989</v>
      </c>
      <c r="C443" cm="1">
        <f t="array" ref="C443">(PRODUCT(1+sp500_monthly!C444:C563)^(1/120)-1)*100</f>
        <v>0.56737464896126077</v>
      </c>
      <c r="D443" cm="1">
        <f t="array" ref="D443">(PRODUCT(1+sp500_monthly!D444:D563)^(1/120)-1)*100</f>
        <v>1.0015045174354809</v>
      </c>
      <c r="E443" cm="1">
        <f t="array" ref="E443">(PRODUCT(1+sp500_monthly!E444:E563)^(1/120)-1)*100</f>
        <v>0.72245164399358242</v>
      </c>
      <c r="F443" cm="1">
        <f t="array" ref="F443">(PRODUCT(1+sp500_monthly!K444:K563)^(1/120)-1)*100</f>
        <v>0.56433672056332984</v>
      </c>
      <c r="G443" cm="1">
        <f t="array" ref="G443">(PRODUCT(1+sp500_monthly!L444:L563)^(1/120)-1)</f>
        <v>0.36793151794862222</v>
      </c>
      <c r="H443" cm="1">
        <f t="array" ref="H443">(PRODUCT(1+sp500_monthly!N444:N563)^(1/120)-1)*100</f>
        <v>0.56641913179791281</v>
      </c>
      <c r="I443" cm="1">
        <f t="array" ref="I443">(PRODUCT(1+sp500_monthly!O444:O563)^(1/120)-1)*100</f>
        <v>0.10002202857217757</v>
      </c>
    </row>
    <row r="444" spans="1:9" x14ac:dyDescent="0.35">
      <c r="A444" s="1">
        <v>22950</v>
      </c>
      <c r="B444" cm="1">
        <f t="array" ref="B444">(PRODUCT(1+sp500_monthly!B445:B564)^(1/120)-1)*100</f>
        <v>0.84124649892667325</v>
      </c>
      <c r="C444" cm="1">
        <f t="array" ref="C444">(PRODUCT(1+sp500_monthly!C445:C564)^(1/120)-1)*100</f>
        <v>0.56995051024333332</v>
      </c>
      <c r="D444" cm="1">
        <f t="array" ref="D444">(PRODUCT(1+sp500_monthly!D445:D564)^(1/120)-1)*100</f>
        <v>1.0113597847585698</v>
      </c>
      <c r="E444" cm="1">
        <f t="array" ref="E444">(PRODUCT(1+sp500_monthly!E445:E564)^(1/120)-1)*100</f>
        <v>0.73233580759810568</v>
      </c>
      <c r="F444" cm="1">
        <f t="array" ref="F444">(PRODUCT(1+sp500_monthly!K445:K564)^(1/120)-1)*100</f>
        <v>0.56839348850481475</v>
      </c>
      <c r="G444" cm="1">
        <f t="array" ref="G444">(PRODUCT(1+sp500_monthly!L445:L564)^(1/120)-1)</f>
        <v>0.36922401050889464</v>
      </c>
      <c r="H444" cm="1">
        <f t="array" ref="H444">(PRODUCT(1+sp500_monthly!N445:N564)^(1/120)-1)*100</f>
        <v>0.56545734666615388</v>
      </c>
      <c r="I444" cm="1">
        <f t="array" ref="I444">(PRODUCT(1+sp500_monthly!O445:O564)^(1/120)-1)*100</f>
        <v>9.8192609824310217E-2</v>
      </c>
    </row>
    <row r="445" spans="1:9" x14ac:dyDescent="0.35">
      <c r="A445" s="1">
        <v>22980</v>
      </c>
      <c r="B445" cm="1">
        <f t="array" ref="B445">(PRODUCT(1+sp500_monthly!B446:B565)^(1/120)-1)*100</f>
        <v>0.79610875526534564</v>
      </c>
      <c r="C445" cm="1">
        <f t="array" ref="C445">(PRODUCT(1+sp500_monthly!C446:C565)^(1/120)-1)*100</f>
        <v>0.52670832543166846</v>
      </c>
      <c r="D445" cm="1">
        <f t="array" ref="D445">(PRODUCT(1+sp500_monthly!D446:D565)^(1/120)-1)*100</f>
        <v>0.96570004328391246</v>
      </c>
      <c r="E445" cm="1">
        <f t="array" ref="E445">(PRODUCT(1+sp500_monthly!E446:E565)^(1/120)-1)*100</f>
        <v>0.68784250640734346</v>
      </c>
      <c r="F445" cm="1">
        <f t="array" ref="F445">(PRODUCT(1+sp500_monthly!K446:K565)^(1/120)-1)*100</f>
        <v>0.52472486863306411</v>
      </c>
      <c r="G445" cm="1">
        <f t="array" ref="G445">(PRODUCT(1+sp500_monthly!L446:L565)^(1/120)-1)</f>
        <v>0.37073657343585076</v>
      </c>
      <c r="H445" cm="1">
        <f t="array" ref="H445">(PRODUCT(1+sp500_monthly!N446:N565)^(1/120)-1)*100</f>
        <v>0.51648250380975647</v>
      </c>
      <c r="I445" cm="1">
        <f t="array" ref="I445">(PRODUCT(1+sp500_monthly!O446:O565)^(1/120)-1)*100</f>
        <v>9.5662683316599662E-2</v>
      </c>
    </row>
    <row r="446" spans="1:9" x14ac:dyDescent="0.35">
      <c r="A446" s="1">
        <v>23011</v>
      </c>
      <c r="B446" cm="1">
        <f t="array" ref="B446">(PRODUCT(1+sp500_monthly!B447:B566)^(1/120)-1)*100</f>
        <v>0.79455979998999116</v>
      </c>
      <c r="C446" cm="1">
        <f t="array" ref="C446">(PRODUCT(1+sp500_monthly!C447:C566)^(1/120)-1)*100</f>
        <v>0.52553606891219129</v>
      </c>
      <c r="D446" cm="1">
        <f t="array" ref="D446">(PRODUCT(1+sp500_monthly!D447:D566)^(1/120)-1)*100</f>
        <v>0.95883324279630866</v>
      </c>
      <c r="E446" cm="1">
        <f t="array" ref="E446">(PRODUCT(1+sp500_monthly!E447:E566)^(1/120)-1)*100</f>
        <v>0.6818338534743118</v>
      </c>
      <c r="F446" cm="1">
        <f t="array" ref="F446">(PRODUCT(1+sp500_monthly!K447:K566)^(1/120)-1)*100</f>
        <v>0.52334836159086962</v>
      </c>
      <c r="G446" cm="1">
        <f t="array" ref="G446">(PRODUCT(1+sp500_monthly!L447:L566)^(1/120)-1)</f>
        <v>0.37196846584053422</v>
      </c>
      <c r="H446" cm="1">
        <f t="array" ref="H446">(PRODUCT(1+sp500_monthly!N447:N566)^(1/120)-1)*100</f>
        <v>0.51296466151686815</v>
      </c>
      <c r="I446" cm="1">
        <f t="array" ref="I446">(PRODUCT(1+sp500_monthly!O447:O566)^(1/120)-1)*100</f>
        <v>9.4862003876916567E-2</v>
      </c>
    </row>
    <row r="447" spans="1:9" x14ac:dyDescent="0.35">
      <c r="A447" s="1">
        <v>23042</v>
      </c>
      <c r="B447" cm="1">
        <f t="array" ref="B447">(PRODUCT(1+sp500_monthly!B448:B567)^(1/120)-1)*100</f>
        <v>0.73910988742340589</v>
      </c>
      <c r="C447" cm="1">
        <f t="array" ref="C447">(PRODUCT(1+sp500_monthly!C448:C567)^(1/120)-1)*100</f>
        <v>0.47025794297648194</v>
      </c>
      <c r="D447" cm="1">
        <f t="array" ref="D447">(PRODUCT(1+sp500_monthly!D448:D567)^(1/120)-1)*100</f>
        <v>0.85688140863768858</v>
      </c>
      <c r="E447" cm="1">
        <f t="array" ref="E447">(PRODUCT(1+sp500_monthly!E448:E567)^(1/120)-1)*100</f>
        <v>0.57994385321746833</v>
      </c>
      <c r="F447" cm="1">
        <f t="array" ref="F447">(PRODUCT(1+sp500_monthly!K448:K567)^(1/120)-1)*100</f>
        <v>0.46873008229448843</v>
      </c>
      <c r="G447" cm="1">
        <f t="array" ref="G447">(PRODUCT(1+sp500_monthly!L448:L567)^(1/120)-1)</f>
        <v>0.37358719450354405</v>
      </c>
      <c r="H447" cm="1">
        <f t="array" ref="H447">(PRODUCT(1+sp500_monthly!N448:N567)^(1/120)-1)*100</f>
        <v>0.45539113369452711</v>
      </c>
      <c r="I447" cm="1">
        <f t="array" ref="I447">(PRODUCT(1+sp500_monthly!O448:O567)^(1/120)-1)*100</f>
        <v>9.4171067798365371E-2</v>
      </c>
    </row>
    <row r="448" spans="1:9" x14ac:dyDescent="0.35">
      <c r="A448" s="1">
        <v>23070</v>
      </c>
      <c r="B448" cm="1">
        <f t="array" ref="B448">(PRODUCT(1+sp500_monthly!B449:B568)^(1/120)-1)*100</f>
        <v>0.73078523710674581</v>
      </c>
      <c r="C448" cm="1">
        <f t="array" ref="C448">(PRODUCT(1+sp500_monthly!C449:C568)^(1/120)-1)*100</f>
        <v>0.46240383737192747</v>
      </c>
      <c r="D448" cm="1">
        <f t="array" ref="D448">(PRODUCT(1+sp500_monthly!D449:D568)^(1/120)-1)*100</f>
        <v>0.8269407991183364</v>
      </c>
      <c r="E448" cm="1">
        <f t="array" ref="E448">(PRODUCT(1+sp500_monthly!E449:E568)^(1/120)-1)*100</f>
        <v>0.55023818942627756</v>
      </c>
      <c r="F448" cm="1">
        <f t="array" ref="F448">(PRODUCT(1+sp500_monthly!K449:K568)^(1/120)-1)*100</f>
        <v>0.46125011120037307</v>
      </c>
      <c r="G448" cm="1">
        <f t="array" ref="G448">(PRODUCT(1+sp500_monthly!L449:L568)^(1/120)-1)</f>
        <v>0.37515140452116524</v>
      </c>
      <c r="H448" cm="1">
        <f t="array" ref="H448">(PRODUCT(1+sp500_monthly!N449:N568)^(1/120)-1)*100</f>
        <v>0.44232885144162015</v>
      </c>
      <c r="I448" cm="1">
        <f t="array" ref="I448">(PRODUCT(1+sp500_monthly!O449:O568)^(1/120)-1)*100</f>
        <v>9.0923282528065918E-2</v>
      </c>
    </row>
    <row r="449" spans="1:9" x14ac:dyDescent="0.35">
      <c r="A449" s="1">
        <v>23099</v>
      </c>
      <c r="B449" cm="1">
        <f t="array" ref="B449">(PRODUCT(1+sp500_monthly!B450:B569)^(1/120)-1)*100</f>
        <v>0.69971341194339232</v>
      </c>
      <c r="C449" cm="1">
        <f t="array" ref="C449">(PRODUCT(1+sp500_monthly!C450:C569)^(1/120)-1)*100</f>
        <v>0.43173121643687029</v>
      </c>
      <c r="D449" cm="1">
        <f t="array" ref="D449">(PRODUCT(1+sp500_monthly!D450:D569)^(1/120)-1)*100</f>
        <v>0.79516290505974307</v>
      </c>
      <c r="E449" cm="1">
        <f t="array" ref="E449">(PRODUCT(1+sp500_monthly!E450:E569)^(1/120)-1)*100</f>
        <v>0.51888661426675586</v>
      </c>
      <c r="F449" cm="1">
        <f t="array" ref="F449">(PRODUCT(1+sp500_monthly!K450:K569)^(1/120)-1)*100</f>
        <v>0.43087885168515694</v>
      </c>
      <c r="G449" cm="1">
        <f t="array" ref="G449">(PRODUCT(1+sp500_monthly!L450:L569)^(1/120)-1)</f>
        <v>0.37711723805467967</v>
      </c>
      <c r="H449" cm="1">
        <f t="array" ref="H449">(PRODUCT(1+sp500_monthly!N450:N569)^(1/120)-1)*100</f>
        <v>0.40442157790334665</v>
      </c>
      <c r="I449" cm="1">
        <f t="array" ref="I449">(PRODUCT(1+sp500_monthly!O450:O569)^(1/120)-1)*100</f>
        <v>8.593265313463494E-2</v>
      </c>
    </row>
    <row r="450" spans="1:9" x14ac:dyDescent="0.35">
      <c r="A450" s="1">
        <v>23131</v>
      </c>
      <c r="B450" cm="1">
        <f t="array" ref="B450">(PRODUCT(1+sp500_monthly!B451:B570)^(1/120)-1)*100</f>
        <v>0.62522929271289218</v>
      </c>
      <c r="C450" cm="1">
        <f t="array" ref="C450">(PRODUCT(1+sp500_monthly!C451:C570)^(1/120)-1)*100</f>
        <v>0.35713582257350662</v>
      </c>
      <c r="D450" cm="1">
        <f t="array" ref="D450">(PRODUCT(1+sp500_monthly!D451:D570)^(1/120)-1)*100</f>
        <v>0.71565138497289293</v>
      </c>
      <c r="E450" cm="1">
        <f t="array" ref="E450">(PRODUCT(1+sp500_monthly!E451:E570)^(1/120)-1)*100</f>
        <v>0.43897019371379464</v>
      </c>
      <c r="F450" cm="1">
        <f t="array" ref="F450">(PRODUCT(1+sp500_monthly!K451:K570)^(1/120)-1)*100</f>
        <v>0.3563906923526039</v>
      </c>
      <c r="G450" cm="1">
        <f t="array" ref="G450">(PRODUCT(1+sp500_monthly!L451:L570)^(1/120)-1)</f>
        <v>0.37936338776541945</v>
      </c>
      <c r="H450" cm="1">
        <f t="array" ref="H450">(PRODUCT(1+sp500_monthly!N451:N570)^(1/120)-1)*100</f>
        <v>0.32357407497056734</v>
      </c>
      <c r="I450" cm="1">
        <f t="array" ref="I450">(PRODUCT(1+sp500_monthly!O451:O570)^(1/120)-1)*100</f>
        <v>8.1610049715741262E-2</v>
      </c>
    </row>
    <row r="451" spans="1:9" x14ac:dyDescent="0.35">
      <c r="A451" s="1">
        <v>23162</v>
      </c>
      <c r="B451" cm="1">
        <f t="array" ref="B451">(PRODUCT(1+sp500_monthly!B452:B571)^(1/120)-1)*100</f>
        <v>0.59711586164947761</v>
      </c>
      <c r="C451" cm="1">
        <f t="array" ref="C451">(PRODUCT(1+sp500_monthly!C452:C571)^(1/120)-1)*100</f>
        <v>0.32959666503957763</v>
      </c>
      <c r="D451" cm="1">
        <f t="array" ref="D451">(PRODUCT(1+sp500_monthly!D452:D571)^(1/120)-1)*100</f>
        <v>0.64845633376713341</v>
      </c>
      <c r="E451" cm="1">
        <f t="array" ref="E451">(PRODUCT(1+sp500_monthly!E452:E571)^(1/120)-1)*100</f>
        <v>0.37141689294895031</v>
      </c>
      <c r="F451" cm="1">
        <f t="array" ref="F451">(PRODUCT(1+sp500_monthly!K452:K571)^(1/120)-1)*100</f>
        <v>0.32855408679175468</v>
      </c>
      <c r="G451" cm="1">
        <f t="array" ref="G451">(PRODUCT(1+sp500_monthly!L452:L571)^(1/120)-1)</f>
        <v>0.38162968251339069</v>
      </c>
      <c r="H451" cm="1">
        <f t="array" ref="H451">(PRODUCT(1+sp500_monthly!N452:N571)^(1/120)-1)*100</f>
        <v>0.29255076911502975</v>
      </c>
      <c r="I451" cm="1">
        <f t="array" ref="I451">(PRODUCT(1+sp500_monthly!O452:O571)^(1/120)-1)*100</f>
        <v>8.0865665801210795E-2</v>
      </c>
    </row>
    <row r="452" spans="1:9" x14ac:dyDescent="0.35">
      <c r="A452" s="1">
        <v>23190</v>
      </c>
      <c r="B452" cm="1">
        <f t="array" ref="B452">(PRODUCT(1+sp500_monthly!B453:B572)^(1/120)-1)*100</f>
        <v>0.60850812222494888</v>
      </c>
      <c r="C452" cm="1">
        <f t="array" ref="C452">(PRODUCT(1+sp500_monthly!C453:C572)^(1/120)-1)*100</f>
        <v>0.34085210875423044</v>
      </c>
      <c r="D452" cm="1">
        <f t="array" ref="D452">(PRODUCT(1+sp500_monthly!D453:D572)^(1/120)-1)*100</f>
        <v>0.63845614288422503</v>
      </c>
      <c r="E452" cm="1">
        <f t="array" ref="E452">(PRODUCT(1+sp500_monthly!E453:E572)^(1/120)-1)*100</f>
        <v>0.36108191107311338</v>
      </c>
      <c r="F452" cm="1">
        <f t="array" ref="F452">(PRODUCT(1+sp500_monthly!K453:K572)^(1/120)-1)*100</f>
        <v>0.34009927181182231</v>
      </c>
      <c r="G452" cm="1">
        <f t="array" ref="G452">(PRODUCT(1+sp500_monthly!L453:L572)^(1/120)-1)</f>
        <v>0.38399308499219975</v>
      </c>
      <c r="H452" cm="1">
        <f t="array" ref="H452">(PRODUCT(1+sp500_monthly!N453:N572)^(1/120)-1)*100</f>
        <v>0.300951109300307</v>
      </c>
      <c r="I452" cm="1">
        <f t="array" ref="I452">(PRODUCT(1+sp500_monthly!O453:O572)^(1/120)-1)*100</f>
        <v>8.024138434701289E-2</v>
      </c>
    </row>
    <row r="453" spans="1:9" x14ac:dyDescent="0.35">
      <c r="A453" s="1">
        <v>23223</v>
      </c>
      <c r="B453" cm="1">
        <f t="array" ref="B453">(PRODUCT(1+sp500_monthly!B454:B573)^(1/120)-1)*100</f>
        <v>0.64222144282983784</v>
      </c>
      <c r="C453" cm="1">
        <f t="array" ref="C453">(PRODUCT(1+sp500_monthly!C454:C573)^(1/120)-1)*100</f>
        <v>0.37440701657642794</v>
      </c>
      <c r="D453" cm="1">
        <f t="array" ref="D453">(PRODUCT(1+sp500_monthly!D454:D573)^(1/120)-1)*100</f>
        <v>0.70809504388489319</v>
      </c>
      <c r="E453" cm="1">
        <f t="array" ref="E453">(PRODUCT(1+sp500_monthly!E454:E573)^(1/120)-1)*100</f>
        <v>0.43008162917002046</v>
      </c>
      <c r="F453" cm="1">
        <f t="array" ref="F453">(PRODUCT(1+sp500_monthly!K454:K573)^(1/120)-1)*100</f>
        <v>0.37417423529924054</v>
      </c>
      <c r="G453" cm="1">
        <f t="array" ref="G453">(PRODUCT(1+sp500_monthly!L454:L573)^(1/120)-1)</f>
        <v>0.38694504902990823</v>
      </c>
      <c r="H453" cm="1">
        <f t="array" ref="H453">(PRODUCT(1+sp500_monthly!N454:N573)^(1/120)-1)*100</f>
        <v>0.33674376651728899</v>
      </c>
      <c r="I453" cm="1">
        <f t="array" ref="I453">(PRODUCT(1+sp500_monthly!O454:O573)^(1/120)-1)*100</f>
        <v>8.5490197790871747E-2</v>
      </c>
    </row>
    <row r="454" spans="1:9" x14ac:dyDescent="0.35">
      <c r="A454" s="1">
        <v>23253</v>
      </c>
      <c r="B454" cm="1">
        <f t="array" ref="B454">(PRODUCT(1+sp500_monthly!B455:B574)^(1/120)-1)*100</f>
        <v>0.57168095850346212</v>
      </c>
      <c r="C454" cm="1">
        <f t="array" ref="C454">(PRODUCT(1+sp500_monthly!C455:C574)^(1/120)-1)*100</f>
        <v>0.30371419047656723</v>
      </c>
      <c r="D454" cm="1">
        <f t="array" ref="D454">(PRODUCT(1+sp500_monthly!D455:D574)^(1/120)-1)*100</f>
        <v>0.64348667181033381</v>
      </c>
      <c r="E454" cm="1">
        <f t="array" ref="E454">(PRODUCT(1+sp500_monthly!E455:E574)^(1/120)-1)*100</f>
        <v>0.36479868831900131</v>
      </c>
      <c r="F454" cm="1">
        <f t="array" ref="F454">(PRODUCT(1+sp500_monthly!K455:K574)^(1/120)-1)*100</f>
        <v>0.30312373591736552</v>
      </c>
      <c r="G454" cm="1">
        <f t="array" ref="G454">(PRODUCT(1+sp500_monthly!L455:L574)^(1/120)-1)</f>
        <v>0.390503475940287</v>
      </c>
      <c r="H454" cm="1">
        <f t="array" ref="H454">(PRODUCT(1+sp500_monthly!N455:N574)^(1/120)-1)*100</f>
        <v>0.25306231476562857</v>
      </c>
      <c r="I454" cm="1">
        <f t="array" ref="I454">(PRODUCT(1+sp500_monthly!O455:O574)^(1/120)-1)*100</f>
        <v>7.5894259591624547E-2</v>
      </c>
    </row>
    <row r="455" spans="1:9" x14ac:dyDescent="0.35">
      <c r="A455" s="1">
        <v>23284</v>
      </c>
      <c r="B455" cm="1">
        <f t="array" ref="B455">(PRODUCT(1+sp500_monthly!B456:B575)^(1/120)-1)*100</f>
        <v>0.61511096024178258</v>
      </c>
      <c r="C455" cm="1">
        <f t="array" ref="C455">(PRODUCT(1+sp500_monthly!C456:C575)^(1/120)-1)*100</f>
        <v>0.34707553690516146</v>
      </c>
      <c r="D455" cm="1">
        <f t="array" ref="D455">(PRODUCT(1+sp500_monthly!D456:D575)^(1/120)-1)*100</f>
        <v>0.73625434158317571</v>
      </c>
      <c r="E455" cm="1">
        <f t="array" ref="E455">(PRODUCT(1+sp500_monthly!E456:E575)^(1/120)-1)*100</f>
        <v>0.45754288767558826</v>
      </c>
      <c r="F455" cm="1">
        <f t="array" ref="F455">(PRODUCT(1+sp500_monthly!K456:K575)^(1/120)-1)*100</f>
        <v>0.34526687211056117</v>
      </c>
      <c r="G455" cm="1">
        <f t="array" ref="G455">(PRODUCT(1+sp500_monthly!L456:L575)^(1/120)-1)</f>
        <v>0.3937491809597129</v>
      </c>
      <c r="H455" cm="1">
        <f t="array" ref="H455">(PRODUCT(1+sp500_monthly!N456:N575)^(1/120)-1)*100</f>
        <v>0.29183256406526414</v>
      </c>
      <c r="I455" cm="1">
        <f t="array" ref="I455">(PRODUCT(1+sp500_monthly!O456:O575)^(1/120)-1)*100</f>
        <v>7.4785040947955572E-2</v>
      </c>
    </row>
    <row r="456" spans="1:9" x14ac:dyDescent="0.35">
      <c r="A456" s="1">
        <v>23315</v>
      </c>
      <c r="B456" cm="1">
        <f t="array" ref="B456">(PRODUCT(1+sp500_monthly!B457:B576)^(1/120)-1)*100</f>
        <v>0.5866741237769757</v>
      </c>
      <c r="C456" cm="1">
        <f t="array" ref="C456">(PRODUCT(1+sp500_monthly!C457:C576)^(1/120)-1)*100</f>
        <v>0.31838948537405987</v>
      </c>
      <c r="D456" cm="1">
        <f t="array" ref="D456">(PRODUCT(1+sp500_monthly!D457:D576)^(1/120)-1)*100</f>
        <v>0.71481782651625636</v>
      </c>
      <c r="E456" cm="1">
        <f t="array" ref="E456">(PRODUCT(1+sp500_monthly!E457:E576)^(1/120)-1)*100</f>
        <v>0.43547948488291688</v>
      </c>
      <c r="F456" cm="1">
        <f t="array" ref="F456">(PRODUCT(1+sp500_monthly!K457:K576)^(1/120)-1)*100</f>
        <v>0.31767428052751345</v>
      </c>
      <c r="G456" cm="1">
        <f t="array" ref="G456">(PRODUCT(1+sp500_monthly!L457:L576)^(1/120)-1)</f>
        <v>0.39661084611721242</v>
      </c>
      <c r="H456" cm="1">
        <f t="array" ref="H456">(PRODUCT(1+sp500_monthly!N457:N576)^(1/120)-1)*100</f>
        <v>0.25694132048208473</v>
      </c>
      <c r="I456" cm="1">
        <f t="array" ref="I456">(PRODUCT(1+sp500_monthly!O457:O576)^(1/120)-1)*100</f>
        <v>7.1239636985054311E-2</v>
      </c>
    </row>
    <row r="457" spans="1:9" x14ac:dyDescent="0.35">
      <c r="A457" s="1">
        <v>23344</v>
      </c>
      <c r="B457" cm="1">
        <f t="array" ref="B457">(PRODUCT(1+sp500_monthly!B458:B577)^(1/120)-1)*100</f>
        <v>0.49541805605921585</v>
      </c>
      <c r="C457" cm="1">
        <f t="array" ref="C457">(PRODUCT(1+sp500_monthly!C458:C577)^(1/120)-1)*100</f>
        <v>0.22746261913286769</v>
      </c>
      <c r="D457" cm="1">
        <f t="array" ref="D457">(PRODUCT(1+sp500_monthly!D458:D577)^(1/120)-1)*100</f>
        <v>0.58118406112226406</v>
      </c>
      <c r="E457" cm="1">
        <f t="array" ref="E457">(PRODUCT(1+sp500_monthly!E458:E577)^(1/120)-1)*100</f>
        <v>0.30086127687718456</v>
      </c>
      <c r="F457" cm="1">
        <f t="array" ref="F457">(PRODUCT(1+sp500_monthly!K458:K577)^(1/120)-1)*100</f>
        <v>0.22551923544982255</v>
      </c>
      <c r="G457" cm="1">
        <f t="array" ref="G457">(PRODUCT(1+sp500_monthly!L458:L577)^(1/120)-1)</f>
        <v>0.39900656059319273</v>
      </c>
      <c r="H457" cm="1">
        <f t="array" ref="H457">(PRODUCT(1+sp500_monthly!N458:N577)^(1/120)-1)*100</f>
        <v>0.16132489725360077</v>
      </c>
      <c r="I457" cm="1">
        <f t="array" ref="I457">(PRODUCT(1+sp500_monthly!O458:O577)^(1/120)-1)*100</f>
        <v>6.8992854694727157E-2</v>
      </c>
    </row>
    <row r="458" spans="1:9" x14ac:dyDescent="0.35">
      <c r="A458" s="1">
        <v>23376</v>
      </c>
      <c r="B458" cm="1">
        <f t="array" ref="B458">(PRODUCT(1+sp500_monthly!B459:B578)^(1/120)-1)*100</f>
        <v>0.48878585613474357</v>
      </c>
      <c r="C458" cm="1">
        <f t="array" ref="C458">(PRODUCT(1+sp500_monthly!C459:C578)^(1/120)-1)*100</f>
        <v>0.22082004269561306</v>
      </c>
      <c r="D458" cm="1">
        <f t="array" ref="D458">(PRODUCT(1+sp500_monthly!D459:D578)^(1/120)-1)*100</f>
        <v>0.57535760763576249</v>
      </c>
      <c r="E458" cm="1">
        <f t="array" ref="E458">(PRODUCT(1+sp500_monthly!E459:E578)^(1/120)-1)*100</f>
        <v>0.29496798916521794</v>
      </c>
      <c r="F458" cm="1">
        <f t="array" ref="F458">(PRODUCT(1+sp500_monthly!K459:K578)^(1/120)-1)*100</f>
        <v>0.21907427810698987</v>
      </c>
      <c r="G458" cm="1">
        <f t="array" ref="G458">(PRODUCT(1+sp500_monthly!L459:L578)^(1/120)-1)</f>
        <v>0.40180800468131839</v>
      </c>
      <c r="H458" cm="1">
        <f t="array" ref="H458">(PRODUCT(1+sp500_monthly!N459:N578)^(1/120)-1)*100</f>
        <v>0.15018013738528069</v>
      </c>
      <c r="I458" cm="1">
        <f t="array" ref="I458">(PRODUCT(1+sp500_monthly!O459:O578)^(1/120)-1)*100</f>
        <v>6.7367210895596941E-2</v>
      </c>
    </row>
    <row r="459" spans="1:9" x14ac:dyDescent="0.35">
      <c r="A459" s="1">
        <v>23407</v>
      </c>
      <c r="B459" cm="1">
        <f t="array" ref="B459">(PRODUCT(1+sp500_monthly!B460:B579)^(1/120)-1)*100</f>
        <v>0.45933378986575679</v>
      </c>
      <c r="C459" cm="1">
        <f t="array" ref="C459">(PRODUCT(1+sp500_monthly!C460:C579)^(1/120)-1)*100</f>
        <v>0.19090186203305493</v>
      </c>
      <c r="D459" cm="1">
        <f t="array" ref="D459">(PRODUCT(1+sp500_monthly!D460:D579)^(1/120)-1)*100</f>
        <v>0.61606948097743253</v>
      </c>
      <c r="E459" cm="1">
        <f t="array" ref="E459">(PRODUCT(1+sp500_monthly!E460:E579)^(1/120)-1)*100</f>
        <v>0.33481369992374166</v>
      </c>
      <c r="F459" cm="1">
        <f t="array" ref="F459">(PRODUCT(1+sp500_monthly!K460:K579)^(1/120)-1)*100</f>
        <v>0.18845645385567877</v>
      </c>
      <c r="G459" cm="1">
        <f t="array" ref="G459">(PRODUCT(1+sp500_monthly!L460:L579)^(1/120)-1)</f>
        <v>0.40445308914391531</v>
      </c>
      <c r="H459" cm="1">
        <f t="array" ref="H459">(PRODUCT(1+sp500_monthly!N460:N579)^(1/120)-1)*100</f>
        <v>0.11348528597270313</v>
      </c>
      <c r="I459" cm="1">
        <f t="array" ref="I459">(PRODUCT(1+sp500_monthly!O460:O579)^(1/120)-1)*100</f>
        <v>6.2768059561890688E-2</v>
      </c>
    </row>
    <row r="460" spans="1:9" x14ac:dyDescent="0.35">
      <c r="A460" s="1">
        <v>23435</v>
      </c>
      <c r="B460" cm="1">
        <f t="array" ref="B460">(PRODUCT(1+sp500_monthly!B461:B580)^(1/120)-1)*100</f>
        <v>0.4468760582103215</v>
      </c>
      <c r="C460" cm="1">
        <f t="array" ref="C460">(PRODUCT(1+sp500_monthly!C461:C580)^(1/120)-1)*100</f>
        <v>0.17771145239109387</v>
      </c>
      <c r="D460" cm="1">
        <f t="array" ref="D460">(PRODUCT(1+sp500_monthly!D461:D580)^(1/120)-1)*100</f>
        <v>0.6054303959355245</v>
      </c>
      <c r="E460" cm="1">
        <f t="array" ref="E460">(PRODUCT(1+sp500_monthly!E461:E580)^(1/120)-1)*100</f>
        <v>0.32345903674193544</v>
      </c>
      <c r="F460" cm="1">
        <f t="array" ref="F460">(PRODUCT(1+sp500_monthly!K461:K580)^(1/120)-1)*100</f>
        <v>0.17722993010542698</v>
      </c>
      <c r="G460" cm="1">
        <f t="array" ref="G460">(PRODUCT(1+sp500_monthly!L461:L580)^(1/120)-1)</f>
        <v>0.40710430645534368</v>
      </c>
      <c r="H460" cm="1">
        <f t="array" ref="H460">(PRODUCT(1+sp500_monthly!N461:N580)^(1/120)-1)*100</f>
        <v>9.1396823901201962E-2</v>
      </c>
      <c r="I460" cm="1">
        <f t="array" ref="I460">(PRODUCT(1+sp500_monthly!O461:O580)^(1/120)-1)*100</f>
        <v>5.5755103815435803E-2</v>
      </c>
    </row>
    <row r="461" spans="1:9" x14ac:dyDescent="0.35">
      <c r="A461" s="1">
        <v>23467</v>
      </c>
      <c r="B461" cm="1">
        <f t="array" ref="B461">(PRODUCT(1+sp500_monthly!B462:B581)^(1/120)-1)*100</f>
        <v>0.41411500721066918</v>
      </c>
      <c r="C461" cm="1">
        <f t="array" ref="C461">(PRODUCT(1+sp500_monthly!C462:C581)^(1/120)-1)*100</f>
        <v>0.14506174008992456</v>
      </c>
      <c r="D461" cm="1">
        <f t="array" ref="D461">(PRODUCT(1+sp500_monthly!D462:D581)^(1/120)-1)*100</f>
        <v>0.56087291417024066</v>
      </c>
      <c r="E461" cm="1">
        <f t="array" ref="E461">(PRODUCT(1+sp500_monthly!E462:E581)^(1/120)-1)*100</f>
        <v>0.27840109460808282</v>
      </c>
      <c r="F461" cm="1">
        <f t="array" ref="F461">(PRODUCT(1+sp500_monthly!K462:K581)^(1/120)-1)*100</f>
        <v>0.14500443425666809</v>
      </c>
      <c r="G461" cm="1">
        <f t="array" ref="G461">(PRODUCT(1+sp500_monthly!L462:L581)^(1/120)-1)</f>
        <v>0.40915382250496402</v>
      </c>
      <c r="H461" cm="1">
        <f t="array" ref="H461">(PRODUCT(1+sp500_monthly!N462:N581)^(1/120)-1)*100</f>
        <v>5.079297756254153E-2</v>
      </c>
      <c r="I461" cm="1">
        <f t="array" ref="I461">(PRODUCT(1+sp500_monthly!O462:O581)^(1/120)-1)*100</f>
        <v>4.9871930336387038E-2</v>
      </c>
    </row>
    <row r="462" spans="1:9" x14ac:dyDescent="0.35">
      <c r="A462" s="1">
        <v>23497</v>
      </c>
      <c r="B462" cm="1">
        <f t="array" ref="B462">(PRODUCT(1+sp500_monthly!B463:B582)^(1/120)-1)*100</f>
        <v>0.37684407407780895</v>
      </c>
      <c r="C462" cm="1">
        <f t="array" ref="C462">(PRODUCT(1+sp500_monthly!C463:C582)^(1/120)-1)*100</f>
        <v>0.10714938346170211</v>
      </c>
      <c r="D462" cm="1">
        <f t="array" ref="D462">(PRODUCT(1+sp500_monthly!D463:D582)^(1/120)-1)*100</f>
        <v>0.51208553670993862</v>
      </c>
      <c r="E462" cm="1">
        <f t="array" ref="E462">(PRODUCT(1+sp500_monthly!E463:E582)^(1/120)-1)*100</f>
        <v>0.22854921750214974</v>
      </c>
      <c r="F462" cm="1">
        <f t="array" ref="F462">(PRODUCT(1+sp500_monthly!K463:K582)^(1/120)-1)*100</f>
        <v>0.1067125094683874</v>
      </c>
      <c r="G462" cm="1">
        <f t="array" ref="G462">(PRODUCT(1+sp500_monthly!L463:L582)^(1/120)-1)</f>
        <v>0.41273966611718405</v>
      </c>
      <c r="H462" cm="1">
        <f t="array" ref="H462">(PRODUCT(1+sp500_monthly!N463:N582)^(1/120)-1)*100</f>
        <v>8.7118601190594447E-3</v>
      </c>
      <c r="I462" cm="1">
        <f t="array" ref="I462">(PRODUCT(1+sp500_monthly!O463:O582)^(1/120)-1)*100</f>
        <v>4.8740396110291684E-2</v>
      </c>
    </row>
    <row r="463" spans="1:9" x14ac:dyDescent="0.35">
      <c r="A463" s="1">
        <v>23525</v>
      </c>
      <c r="B463" cm="1">
        <f t="array" ref="B463">(PRODUCT(1+sp500_monthly!B464:B583)^(1/120)-1)*100</f>
        <v>0.34009655812599071</v>
      </c>
      <c r="C463" cm="1">
        <f t="array" ref="C463">(PRODUCT(1+sp500_monthly!C464:C583)^(1/120)-1)*100</f>
        <v>6.9547060752128687E-2</v>
      </c>
      <c r="D463" cm="1">
        <f t="array" ref="D463">(PRODUCT(1+sp500_monthly!D464:D583)^(1/120)-1)*100</f>
        <v>0.44345819254967278</v>
      </c>
      <c r="E463" cm="1">
        <f t="array" ref="E463">(PRODUCT(1+sp500_monthly!E464:E583)^(1/120)-1)*100</f>
        <v>0.15830959798923683</v>
      </c>
      <c r="F463" cm="1">
        <f t="array" ref="F463">(PRODUCT(1+sp500_monthly!K464:K583)^(1/120)-1)*100</f>
        <v>6.8751175214187832E-2</v>
      </c>
      <c r="G463" cm="1">
        <f t="array" ref="G463">(PRODUCT(1+sp500_monthly!L464:L583)^(1/120)-1)</f>
        <v>0.41661238726710881</v>
      </c>
      <c r="H463" cm="1">
        <f t="array" ref="H463">(PRODUCT(1+sp500_monthly!N464:N583)^(1/120)-1)*100</f>
        <v>-3.5708831780545403E-2</v>
      </c>
      <c r="I463" cm="1">
        <f t="array" ref="I463">(PRODUCT(1+sp500_monthly!O464:O583)^(1/120)-1)*100</f>
        <v>4.4991032313412838E-2</v>
      </c>
    </row>
    <row r="464" spans="1:9" x14ac:dyDescent="0.35">
      <c r="A464" s="1">
        <v>23558</v>
      </c>
      <c r="B464" cm="1">
        <f t="array" ref="B464">(PRODUCT(1+sp500_monthly!B465:B584)^(1/120)-1)*100</f>
        <v>0.31432813005642934</v>
      </c>
      <c r="C464" cm="1">
        <f t="array" ref="C464">(PRODUCT(1+sp500_monthly!C465:C584)^(1/120)-1)*100</f>
        <v>4.3423842750933694E-2</v>
      </c>
      <c r="D464" cm="1">
        <f t="array" ref="D464">(PRODUCT(1+sp500_monthly!D465:D584)^(1/120)-1)*100</f>
        <v>0.40244943615330708</v>
      </c>
      <c r="E464" cm="1">
        <f t="array" ref="E464">(PRODUCT(1+sp500_monthly!E465:E584)^(1/120)-1)*100</f>
        <v>0.11624478561651497</v>
      </c>
      <c r="F464" cm="1">
        <f t="array" ref="F464">(PRODUCT(1+sp500_monthly!K465:K584)^(1/120)-1)*100</f>
        <v>4.2849914504028419E-2</v>
      </c>
      <c r="G464" cm="1">
        <f t="array" ref="G464">(PRODUCT(1+sp500_monthly!L465:L584)^(1/120)-1)</f>
        <v>0.41906571331966935</v>
      </c>
      <c r="H464" cm="1">
        <f t="array" ref="H464">(PRODUCT(1+sp500_monthly!N465:N584)^(1/120)-1)*100</f>
        <v>-6.7400927562955015E-2</v>
      </c>
      <c r="I464" cm="1">
        <f t="array" ref="I464">(PRODUCT(1+sp500_monthly!O465:O584)^(1/120)-1)*100</f>
        <v>4.1454248964090112E-2</v>
      </c>
    </row>
    <row r="465" spans="1:9" x14ac:dyDescent="0.35">
      <c r="A465" s="1">
        <v>23589</v>
      </c>
      <c r="B465" cm="1">
        <f t="array" ref="B465">(PRODUCT(1+sp500_monthly!B466:B585)^(1/120)-1)*100</f>
        <v>0.23199356445495756</v>
      </c>
      <c r="C465" cm="1">
        <f t="array" ref="C465">(PRODUCT(1+sp500_monthly!C466:C585)^(1/120)-1)*100</f>
        <v>-3.9532974644029828E-2</v>
      </c>
      <c r="D465" cm="1">
        <f t="array" ref="D465">(PRODUCT(1+sp500_monthly!D466:D585)^(1/120)-1)*100</f>
        <v>0.34119400018186585</v>
      </c>
      <c r="E465" cm="1">
        <f t="array" ref="E465">(PRODUCT(1+sp500_monthly!E466:E585)^(1/120)-1)*100</f>
        <v>5.3814749681269092E-2</v>
      </c>
      <c r="F465" cm="1">
        <f t="array" ref="F465">(PRODUCT(1+sp500_monthly!K466:K585)^(1/120)-1)*100</f>
        <v>-3.9700586275159822E-2</v>
      </c>
      <c r="G465" cm="1">
        <f t="array" ref="G465">(PRODUCT(1+sp500_monthly!L466:L585)^(1/120)-1)</f>
        <v>0.42224163047695185</v>
      </c>
      <c r="H465" cm="1">
        <f t="array" ref="H465">(PRODUCT(1+sp500_monthly!N466:N585)^(1/120)-1)*100</f>
        <v>-0.15423266686948045</v>
      </c>
      <c r="I465" cm="1">
        <f t="array" ref="I465">(PRODUCT(1+sp500_monthly!O466:O585)^(1/120)-1)*100</f>
        <v>3.9952593366465727E-2</v>
      </c>
    </row>
    <row r="466" spans="1:9" x14ac:dyDescent="0.35">
      <c r="A466" s="1">
        <v>23620</v>
      </c>
      <c r="B466" cm="1">
        <f t="array" ref="B466">(PRODUCT(1+sp500_monthly!B467:B586)^(1/120)-1)*100</f>
        <v>0.17015141350791296</v>
      </c>
      <c r="C466" cm="1">
        <f t="array" ref="C466">(PRODUCT(1+sp500_monthly!C467:C586)^(1/120)-1)*100</f>
        <v>-0.10415538840793381</v>
      </c>
      <c r="D466" cm="1">
        <f t="array" ref="D466">(PRODUCT(1+sp500_monthly!D467:D586)^(1/120)-1)*100</f>
        <v>0.27121569545653923</v>
      </c>
      <c r="E466" cm="1">
        <f t="array" ref="E466">(PRODUCT(1+sp500_monthly!E467:E586)^(1/120)-1)*100</f>
        <v>-1.9120698171493089E-2</v>
      </c>
      <c r="F466" cm="1">
        <f t="array" ref="F466">(PRODUCT(1+sp500_monthly!K467:K586)^(1/120)-1)*100</f>
        <v>-0.10486525596413721</v>
      </c>
      <c r="G466" cm="1">
        <f t="array" ref="G466">(PRODUCT(1+sp500_monthly!L467:L586)^(1/120)-1)</f>
        <v>0.42488879135325286</v>
      </c>
      <c r="H466" cm="1">
        <f t="array" ref="H466">(PRODUCT(1+sp500_monthly!N467:N586)^(1/120)-1)*100</f>
        <v>-0.22509129740896361</v>
      </c>
      <c r="I466" cm="1">
        <f t="array" ref="I466">(PRODUCT(1+sp500_monthly!O467:O586)^(1/120)-1)*100</f>
        <v>3.3329928711367529E-2</v>
      </c>
    </row>
    <row r="467" spans="1:9" x14ac:dyDescent="0.35">
      <c r="A467" s="1">
        <v>23650</v>
      </c>
      <c r="B467" cm="1">
        <f t="array" ref="B467">(PRODUCT(1+sp500_monthly!B468:B587)^(1/120)-1)*100</f>
        <v>4.0885958756109453E-2</v>
      </c>
      <c r="C467" cm="1">
        <f t="array" ref="C467">(PRODUCT(1+sp500_monthly!C468:C587)^(1/120)-1)*100</f>
        <v>-0.23390466487689388</v>
      </c>
      <c r="D467" cm="1">
        <f t="array" ref="D467">(PRODUCT(1+sp500_monthly!D468:D587)^(1/120)-1)*100</f>
        <v>0.17296034697276141</v>
      </c>
      <c r="E467" cm="1">
        <f t="array" ref="E467">(PRODUCT(1+sp500_monthly!E468:E587)^(1/120)-1)*100</f>
        <v>-0.11885970863002582</v>
      </c>
      <c r="F467" cm="1">
        <f t="array" ref="F467">(PRODUCT(1+sp500_monthly!K468:K587)^(1/120)-1)*100</f>
        <v>-0.23413853008651397</v>
      </c>
      <c r="G467" cm="1">
        <f t="array" ref="G467">(PRODUCT(1+sp500_monthly!L468:L587)^(1/120)-1)</f>
        <v>0.42900870782826006</v>
      </c>
      <c r="H467" cm="1">
        <f t="array" ref="H467">(PRODUCT(1+sp500_monthly!N468:N587)^(1/120)-1)*100</f>
        <v>-0.36461194341859127</v>
      </c>
      <c r="I467" cm="1">
        <f t="array" ref="I467">(PRODUCT(1+sp500_monthly!O468:O587)^(1/120)-1)*100</f>
        <v>2.6916686881239826E-2</v>
      </c>
    </row>
    <row r="468" spans="1:9" x14ac:dyDescent="0.35">
      <c r="A468" s="1">
        <v>23680</v>
      </c>
      <c r="B468" cm="1">
        <f t="array" ref="B468">(PRODUCT(1+sp500_monthly!B469:B588)^(1/120)-1)*100</f>
        <v>0.16324623984809161</v>
      </c>
      <c r="C468" cm="1">
        <f t="array" ref="C468">(PRODUCT(1+sp500_monthly!C469:C588)^(1/120)-1)*100</f>
        <v>-0.11326121331123318</v>
      </c>
      <c r="D468" cm="1">
        <f t="array" ref="D468">(PRODUCT(1+sp500_monthly!D469:D588)^(1/120)-1)*100</f>
        <v>0.26635629726547982</v>
      </c>
      <c r="E468" cm="1">
        <f t="array" ref="E468">(PRODUCT(1+sp500_monthly!E469:E588)^(1/120)-1)*100</f>
        <v>-2.7541002613873378E-2</v>
      </c>
      <c r="F468" cm="1">
        <f t="array" ref="F468">(PRODUCT(1+sp500_monthly!K469:K588)^(1/120)-1)*100</f>
        <v>-0.11518189609309726</v>
      </c>
      <c r="G468" cm="1">
        <f t="array" ref="G468">(PRODUCT(1+sp500_monthly!L469:L588)^(1/120)-1)</f>
        <v>0.43088512480447627</v>
      </c>
      <c r="H468" cm="1">
        <f t="array" ref="H468">(PRODUCT(1+sp500_monthly!N469:N588)^(1/120)-1)*100</f>
        <v>-0.24822405316881069</v>
      </c>
      <c r="I468" cm="1">
        <f t="array" ref="I468">(PRODUCT(1+sp500_monthly!O469:O588)^(1/120)-1)*100</f>
        <v>2.3251895588916049E-2</v>
      </c>
    </row>
    <row r="469" spans="1:9" x14ac:dyDescent="0.35">
      <c r="A469" s="1">
        <v>23711</v>
      </c>
      <c r="B469" cm="1">
        <f t="array" ref="B469">(PRODUCT(1+sp500_monthly!B470:B589)^(1/120)-1)*100</f>
        <v>0.12288746490964897</v>
      </c>
      <c r="C469" cm="1">
        <f t="array" ref="C469">(PRODUCT(1+sp500_monthly!C470:C589)^(1/120)-1)*100</f>
        <v>-0.1554708114336889</v>
      </c>
      <c r="D469" cm="1">
        <f t="array" ref="D469">(PRODUCT(1+sp500_monthly!D470:D589)^(1/120)-1)*100</f>
        <v>0.23212177383549193</v>
      </c>
      <c r="E469" cm="1">
        <f t="array" ref="E469">(PRODUCT(1+sp500_monthly!E470:E589)^(1/120)-1)*100</f>
        <v>-6.5021358185834988E-2</v>
      </c>
      <c r="F469" cm="1">
        <f t="array" ref="F469">(PRODUCT(1+sp500_monthly!K470:K589)^(1/120)-1)*100</f>
        <v>-0.15633244559561943</v>
      </c>
      <c r="G469" cm="1">
        <f t="array" ref="G469">(PRODUCT(1+sp500_monthly!L470:L589)^(1/120)-1)</f>
        <v>0.43299891186002082</v>
      </c>
      <c r="H469" cm="1">
        <f t="array" ref="H469">(PRODUCT(1+sp500_monthly!N470:N589)^(1/120)-1)*100</f>
        <v>-0.29412396154562259</v>
      </c>
      <c r="I469" cm="1">
        <f t="array" ref="I469">(PRODUCT(1+sp500_monthly!O470:O589)^(1/120)-1)*100</f>
        <v>1.960223973547226E-2</v>
      </c>
    </row>
    <row r="470" spans="1:9" x14ac:dyDescent="0.35">
      <c r="A470" s="1">
        <v>23742</v>
      </c>
      <c r="B470" cm="1">
        <f t="array" ref="B470">(PRODUCT(1+sp500_monthly!B471:B590)^(1/120)-1)*100</f>
        <v>0.10336562451167541</v>
      </c>
      <c r="C470" cm="1">
        <f t="array" ref="C470">(PRODUCT(1+sp500_monthly!C471:C590)^(1/120)-1)*100</f>
        <v>-0.17569540657860205</v>
      </c>
      <c r="D470" cm="1">
        <f t="array" ref="D470">(PRODUCT(1+sp500_monthly!D471:D590)^(1/120)-1)*100</f>
        <v>0.20950429162032158</v>
      </c>
      <c r="E470" cm="1">
        <f t="array" ref="E470">(PRODUCT(1+sp500_monthly!E471:E590)^(1/120)-1)*100</f>
        <v>-8.9228907465410678E-2</v>
      </c>
      <c r="F470" cm="1">
        <f t="array" ref="F470">(PRODUCT(1+sp500_monthly!K471:K590)^(1/120)-1)*100</f>
        <v>-0.17651395327132891</v>
      </c>
      <c r="G470" cm="1">
        <f t="array" ref="G470">(PRODUCT(1+sp500_monthly!L471:L590)^(1/120)-1)</f>
        <v>0.43611430271678442</v>
      </c>
      <c r="H470" cm="1">
        <f t="array" ref="H470">(PRODUCT(1+sp500_monthly!N471:N590)^(1/120)-1)*100</f>
        <v>-0.31892761459081376</v>
      </c>
      <c r="I470" cm="1">
        <f t="array" ref="I470">(PRODUCT(1+sp500_monthly!O471:O590)^(1/120)-1)*100</f>
        <v>1.7455380544029175E-2</v>
      </c>
    </row>
    <row r="471" spans="1:9" x14ac:dyDescent="0.35">
      <c r="A471" s="1">
        <v>23771</v>
      </c>
      <c r="B471" cm="1">
        <f t="array" ref="B471">(PRODUCT(1+sp500_monthly!B472:B591)^(1/120)-1)*100</f>
        <v>0.17208283374687827</v>
      </c>
      <c r="C471" cm="1">
        <f t="array" ref="C471">(PRODUCT(1+sp500_monthly!C472:C591)^(1/120)-1)*100</f>
        <v>-0.10781969370800004</v>
      </c>
      <c r="D471" cm="1">
        <f t="array" ref="D471">(PRODUCT(1+sp500_monthly!D472:D591)^(1/120)-1)*100</f>
        <v>0.33732823447800708</v>
      </c>
      <c r="E471" cm="1">
        <f t="array" ref="E471">(PRODUCT(1+sp500_monthly!E472:E591)^(1/120)-1)*100</f>
        <v>3.7289403243745411E-2</v>
      </c>
      <c r="F471" cm="1">
        <f t="array" ref="F471">(PRODUCT(1+sp500_monthly!K472:K591)^(1/120)-1)*100</f>
        <v>-0.10726397222694528</v>
      </c>
      <c r="G471" cm="1">
        <f t="array" ref="G471">(PRODUCT(1+sp500_monthly!L472:L591)^(1/120)-1)</f>
        <v>0.43863647387594851</v>
      </c>
      <c r="H471" cm="1">
        <f t="array" ref="H471">(PRODUCT(1+sp500_monthly!N472:N591)^(1/120)-1)*100</f>
        <v>-0.25608448143519258</v>
      </c>
      <c r="I471" cm="1">
        <f t="array" ref="I471">(PRODUCT(1+sp500_monthly!O472:O591)^(1/120)-1)*100</f>
        <v>1.4345816224725638E-2</v>
      </c>
    </row>
    <row r="472" spans="1:9" x14ac:dyDescent="0.35">
      <c r="A472" s="1">
        <v>23799</v>
      </c>
      <c r="B472" cm="1">
        <f t="array" ref="B472">(PRODUCT(1+sp500_monthly!B473:B592)^(1/120)-1)*100</f>
        <v>0.22347009181500344</v>
      </c>
      <c r="C472" cm="1">
        <f t="array" ref="C472">(PRODUCT(1+sp500_monthly!C473:C592)^(1/120)-1)*100</f>
        <v>-5.8987430516743711E-2</v>
      </c>
      <c r="D472" cm="1">
        <f t="array" ref="D472">(PRODUCT(1+sp500_monthly!D473:D592)^(1/120)-1)*100</f>
        <v>0.35502515156311532</v>
      </c>
      <c r="E472" cm="1">
        <f t="array" ref="E472">(PRODUCT(1+sp500_monthly!E473:E592)^(1/120)-1)*100</f>
        <v>5.2755730838627279E-2</v>
      </c>
      <c r="F472" cm="1">
        <f t="array" ref="F472">(PRODUCT(1+sp500_monthly!K473:K592)^(1/120)-1)*100</f>
        <v>-5.7598731025099159E-2</v>
      </c>
      <c r="G472" cm="1">
        <f t="array" ref="G472">(PRODUCT(1+sp500_monthly!L473:L592)^(1/120)-1)</f>
        <v>0.43977956694253195</v>
      </c>
      <c r="H472" cm="1">
        <f t="array" ref="H472">(PRODUCT(1+sp500_monthly!N473:N592)^(1/120)-1)*100</f>
        <v>-0.20967344542957012</v>
      </c>
      <c r="I472" cm="1">
        <f t="array" ref="I472">(PRODUCT(1+sp500_monthly!O473:O592)^(1/120)-1)*100</f>
        <v>1.0658291736942438E-2</v>
      </c>
    </row>
    <row r="473" spans="1:9" x14ac:dyDescent="0.35">
      <c r="A473" s="1">
        <v>23832</v>
      </c>
      <c r="B473" cm="1">
        <f t="array" ref="B473">(PRODUCT(1+sp500_monthly!B474:B593)^(1/120)-1)*100</f>
        <v>0.2535570071392268</v>
      </c>
      <c r="C473" cm="1">
        <f t="array" ref="C473">(PRODUCT(1+sp500_monthly!C474:C593)^(1/120)-1)*100</f>
        <v>-2.9283578787897557E-2</v>
      </c>
      <c r="D473" cm="1">
        <f t="array" ref="D473">(PRODUCT(1+sp500_monthly!D474:D593)^(1/120)-1)*100</f>
        <v>0.40900743680005736</v>
      </c>
      <c r="E473" cm="1">
        <f t="array" ref="E473">(PRODUCT(1+sp500_monthly!E474:E593)^(1/120)-1)*100</f>
        <v>0.10549926588705461</v>
      </c>
      <c r="F473" cm="1">
        <f t="array" ref="F473">(PRODUCT(1+sp500_monthly!K474:K593)^(1/120)-1)*100</f>
        <v>-2.7532726751400283E-2</v>
      </c>
      <c r="G473" cm="1">
        <f t="array" ref="G473">(PRODUCT(1+sp500_monthly!L474:L593)^(1/120)-1)</f>
        <v>0.44021282585055954</v>
      </c>
      <c r="H473" cm="1">
        <f t="array" ref="H473">(PRODUCT(1+sp500_monthly!N474:N593)^(1/120)-1)*100</f>
        <v>-0.1820759926191462</v>
      </c>
      <c r="I473" cm="1">
        <f t="array" ref="I473">(PRODUCT(1+sp500_monthly!O474:O593)^(1/120)-1)*100</f>
        <v>8.7094622711614278E-3</v>
      </c>
    </row>
    <row r="474" spans="1:9" x14ac:dyDescent="0.35">
      <c r="A474" s="1">
        <v>23862</v>
      </c>
      <c r="B474" cm="1">
        <f t="array" ref="B474">(PRODUCT(1+sp500_monthly!B475:B594)^(1/120)-1)*100</f>
        <v>0.26462635101784926</v>
      </c>
      <c r="C474" cm="1">
        <f t="array" ref="C474">(PRODUCT(1+sp500_monthly!C475:C594)^(1/120)-1)*100</f>
        <v>-1.9260573412083204E-2</v>
      </c>
      <c r="D474" cm="1">
        <f t="array" ref="D474">(PRODUCT(1+sp500_monthly!D475:D594)^(1/120)-1)*100</f>
        <v>0.41824197306847832</v>
      </c>
      <c r="E474" cm="1">
        <f t="array" ref="E474">(PRODUCT(1+sp500_monthly!E475:E594)^(1/120)-1)*100</f>
        <v>0.11364646285192403</v>
      </c>
      <c r="F474" cm="1">
        <f t="array" ref="F474">(PRODUCT(1+sp500_monthly!K475:K594)^(1/120)-1)*100</f>
        <v>-1.7104960142744208E-2</v>
      </c>
      <c r="G474" cm="1">
        <f t="array" ref="G474">(PRODUCT(1+sp500_monthly!L475:L594)^(1/120)-1)</f>
        <v>0.44134883316609086</v>
      </c>
      <c r="H474" cm="1">
        <f t="array" ref="H474">(PRODUCT(1+sp500_monthly!N475:N594)^(1/120)-1)*100</f>
        <v>-0.17234212667945892</v>
      </c>
      <c r="I474" cm="1">
        <f t="array" ref="I474">(PRODUCT(1+sp500_monthly!O475:O594)^(1/120)-1)*100</f>
        <v>8.4991379430077174E-3</v>
      </c>
    </row>
    <row r="475" spans="1:9" x14ac:dyDescent="0.35">
      <c r="A475" s="1">
        <v>23890</v>
      </c>
      <c r="B475" cm="1">
        <f t="array" ref="B475">(PRODUCT(1+sp500_monthly!B476:B595)^(1/120)-1)*100</f>
        <v>0.30896363817969341</v>
      </c>
      <c r="C475" cm="1">
        <f t="array" ref="C475">(PRODUCT(1+sp500_monthly!C476:C595)^(1/120)-1)*100</f>
        <v>2.4247866672544305E-2</v>
      </c>
      <c r="D475" cm="1">
        <f t="array" ref="D475">(PRODUCT(1+sp500_monthly!D476:D595)^(1/120)-1)*100</f>
        <v>0.47169124095378656</v>
      </c>
      <c r="E475" cm="1">
        <f t="array" ref="E475">(PRODUCT(1+sp500_monthly!E476:E595)^(1/120)-1)*100</f>
        <v>0.16546921724822639</v>
      </c>
      <c r="F475" cm="1">
        <f t="array" ref="F475">(PRODUCT(1+sp500_monthly!K476:K595)^(1/120)-1)*100</f>
        <v>2.5337920256207624E-2</v>
      </c>
      <c r="G475" cm="1">
        <f t="array" ref="G475">(PRODUCT(1+sp500_monthly!L476:L595)^(1/120)-1)</f>
        <v>0.44248573653850909</v>
      </c>
      <c r="H475" cm="1">
        <f t="array" ref="H475">(PRODUCT(1+sp500_monthly!N476:N595)^(1/120)-1)*100</f>
        <v>-0.12711889627742279</v>
      </c>
      <c r="I475" cm="1">
        <f t="array" ref="I475">(PRODUCT(1+sp500_monthly!O476:O595)^(1/120)-1)*100</f>
        <v>1.0659182289329827E-2</v>
      </c>
    </row>
    <row r="476" spans="1:9" x14ac:dyDescent="0.35">
      <c r="A476" s="1">
        <v>23923</v>
      </c>
      <c r="B476" cm="1">
        <f t="array" ref="B476">(PRODUCT(1+sp500_monthly!B477:B596)^(1/120)-1)*100</f>
        <v>0.38689896689350078</v>
      </c>
      <c r="C476" cm="1">
        <f t="array" ref="C476">(PRODUCT(1+sp500_monthly!C477:C596)^(1/120)-1)*100</f>
        <v>0.10176571083255759</v>
      </c>
      <c r="D476" cm="1">
        <f t="array" ref="D476">(PRODUCT(1+sp500_monthly!D477:D596)^(1/120)-1)*100</f>
        <v>0.5823562959647699</v>
      </c>
      <c r="E476" cm="1">
        <f t="array" ref="E476">(PRODUCT(1+sp500_monthly!E477:E596)^(1/120)-1)*100</f>
        <v>0.27534839136933442</v>
      </c>
      <c r="F476" cm="1">
        <f t="array" ref="F476">(PRODUCT(1+sp500_monthly!K477:K596)^(1/120)-1)*100</f>
        <v>0.10307376092113518</v>
      </c>
      <c r="G476" cm="1">
        <f t="array" ref="G476">(PRODUCT(1+sp500_monthly!L477:L596)^(1/120)-1)</f>
        <v>0.443008553375281</v>
      </c>
      <c r="H476" cm="1">
        <f t="array" ref="H476">(PRODUCT(1+sp500_monthly!N477:N596)^(1/120)-1)*100</f>
        <v>-5.2340632807923448E-2</v>
      </c>
      <c r="I476" cm="1">
        <f t="array" ref="I476">(PRODUCT(1+sp500_monthly!O477:O596)^(1/120)-1)*100</f>
        <v>8.3373831736954784E-3</v>
      </c>
    </row>
    <row r="477" spans="1:9" x14ac:dyDescent="0.35">
      <c r="A477" s="1">
        <v>23953</v>
      </c>
      <c r="B477" cm="1">
        <f t="array" ref="B477">(PRODUCT(1+sp500_monthly!B478:B597)^(1/120)-1)*100</f>
        <v>0.3182159960320341</v>
      </c>
      <c r="C477" cm="1">
        <f t="array" ref="C477">(PRODUCT(1+sp500_monthly!C478:C597)^(1/120)-1)*100</f>
        <v>3.2112231145187131E-2</v>
      </c>
      <c r="D477" cm="1">
        <f t="array" ref="D477">(PRODUCT(1+sp500_monthly!D478:D597)^(1/120)-1)*100</f>
        <v>0.51480160500767536</v>
      </c>
      <c r="E477" cm="1">
        <f t="array" ref="E477">(PRODUCT(1+sp500_monthly!E478:E597)^(1/120)-1)*100</f>
        <v>0.2070115725599786</v>
      </c>
      <c r="F477" cm="1">
        <f t="array" ref="F477">(PRODUCT(1+sp500_monthly!K478:K597)^(1/120)-1)*100</f>
        <v>3.3530575192086687E-2</v>
      </c>
      <c r="G477" cm="1">
        <f t="array" ref="G477">(PRODUCT(1+sp500_monthly!L478:L597)^(1/120)-1)</f>
        <v>0.44447653804330933</v>
      </c>
      <c r="H477" cm="1">
        <f t="array" ref="H477">(PRODUCT(1+sp500_monthly!N478:N597)^(1/120)-1)*100</f>
        <v>-0.12925566378721998</v>
      </c>
      <c r="I477" cm="1">
        <f t="array" ref="I477">(PRODUCT(1+sp500_monthly!O478:O597)^(1/120)-1)*100</f>
        <v>1.2048776936168792E-3</v>
      </c>
    </row>
    <row r="478" spans="1:9" x14ac:dyDescent="0.35">
      <c r="A478" s="1">
        <v>23985</v>
      </c>
      <c r="B478" cm="1">
        <f t="array" ref="B478">(PRODUCT(1+sp500_monthly!B479:B598)^(1/120)-1)*100</f>
        <v>0.28229678560303118</v>
      </c>
      <c r="C478" cm="1">
        <f t="array" ref="C478">(PRODUCT(1+sp500_monthly!C479:C598)^(1/120)-1)*100</f>
        <v>-4.7218108809032877E-3</v>
      </c>
      <c r="D478" cm="1">
        <f t="array" ref="D478">(PRODUCT(1+sp500_monthly!D479:D598)^(1/120)-1)*100</f>
        <v>0.45633653212542313</v>
      </c>
      <c r="E478" cm="1">
        <f t="array" ref="E478">(PRODUCT(1+sp500_monthly!E479:E598)^(1/120)-1)*100</f>
        <v>0.14775943807403547</v>
      </c>
      <c r="F478" cm="1">
        <f t="array" ref="F478">(PRODUCT(1+sp500_monthly!K479:K598)^(1/120)-1)*100</f>
        <v>-2.7810606567202356E-3</v>
      </c>
      <c r="G478" cm="1">
        <f t="array" ref="G478">(PRODUCT(1+sp500_monthly!L479:L598)^(1/120)-1)</f>
        <v>0.44576345519596949</v>
      </c>
      <c r="H478" cm="1">
        <f t="array" ref="H478">(PRODUCT(1+sp500_monthly!N479:N598)^(1/120)-1)*100</f>
        <v>-0.16888092509225183</v>
      </c>
      <c r="I478" cm="1">
        <f t="array" ref="I478">(PRODUCT(1+sp500_monthly!O479:O598)^(1/120)-1)*100</f>
        <v>-1.4228960577455929E-3</v>
      </c>
    </row>
    <row r="479" spans="1:9" x14ac:dyDescent="0.35">
      <c r="A479" s="1">
        <v>24015</v>
      </c>
      <c r="B479" cm="1">
        <f t="array" ref="B479">(PRODUCT(1+sp500_monthly!B480:B599)^(1/120)-1)*100</f>
        <v>0.22748833553005721</v>
      </c>
      <c r="C479" cm="1">
        <f t="array" ref="C479">(PRODUCT(1+sp500_monthly!C480:C599)^(1/120)-1)*100</f>
        <v>-6.0001446661539504E-2</v>
      </c>
      <c r="D479" cm="1">
        <f t="array" ref="D479">(PRODUCT(1+sp500_monthly!D480:D599)^(1/120)-1)*100</f>
        <v>0.4009979268953634</v>
      </c>
      <c r="E479" cm="1">
        <f t="array" ref="E479">(PRODUCT(1+sp500_monthly!E480:E599)^(1/120)-1)*100</f>
        <v>9.1413671988038736E-2</v>
      </c>
      <c r="F479" cm="1">
        <f t="array" ref="F479">(PRODUCT(1+sp500_monthly!K480:K599)^(1/120)-1)*100</f>
        <v>-5.8400581747763969E-2</v>
      </c>
      <c r="G479" cm="1">
        <f t="array" ref="G479">(PRODUCT(1+sp500_monthly!L480:L599)^(1/120)-1)</f>
        <v>0.44763500871971917</v>
      </c>
      <c r="H479" cm="1">
        <f t="array" ref="H479">(PRODUCT(1+sp500_monthly!N480:N599)^(1/120)-1)*100</f>
        <v>-0.22771374123036203</v>
      </c>
      <c r="I479" cm="1">
        <f t="array" ref="I479">(PRODUCT(1+sp500_monthly!O480:O599)^(1/120)-1)*100</f>
        <v>-3.8777743177398349E-3</v>
      </c>
    </row>
    <row r="480" spans="1:9" x14ac:dyDescent="0.35">
      <c r="A480" s="1">
        <v>24044</v>
      </c>
      <c r="B480" cm="1">
        <f t="array" ref="B480">(PRODUCT(1+sp500_monthly!B481:B600)^(1/120)-1)*100</f>
        <v>0.25625265749702475</v>
      </c>
      <c r="C480" cm="1">
        <f t="array" ref="C480">(PRODUCT(1+sp500_monthly!C481:C600)^(1/120)-1)*100</f>
        <v>-3.2579366788332287E-2</v>
      </c>
      <c r="D480" cm="1">
        <f t="array" ref="D480">(PRODUCT(1+sp500_monthly!D481:D600)^(1/120)-1)*100</f>
        <v>0.40816916779773393</v>
      </c>
      <c r="E480" cm="1">
        <f t="array" ref="E480">(PRODUCT(1+sp500_monthly!E481:E600)^(1/120)-1)*100</f>
        <v>9.7231548578213811E-2</v>
      </c>
      <c r="F480" cm="1">
        <f t="array" ref="F480">(PRODUCT(1+sp500_monthly!K481:K600)^(1/120)-1)*100</f>
        <v>-3.1046234783382864E-2</v>
      </c>
      <c r="G480" cm="1">
        <f t="array" ref="G480">(PRODUCT(1+sp500_monthly!L481:L600)^(1/120)-1)</f>
        <v>0.4497435597139503</v>
      </c>
      <c r="H480" cm="1">
        <f t="array" ref="H480">(PRODUCT(1+sp500_monthly!N481:N600)^(1/120)-1)*100</f>
        <v>-0.20284842700515338</v>
      </c>
      <c r="I480" cm="1">
        <f t="array" ref="I480">(PRODUCT(1+sp500_monthly!O481:O600)^(1/120)-1)*100</f>
        <v>-5.5793401620207739E-3</v>
      </c>
    </row>
    <row r="481" spans="1:9" x14ac:dyDescent="0.35">
      <c r="A481" s="1">
        <v>24076</v>
      </c>
      <c r="B481" cm="1">
        <f t="array" ref="B481">(PRODUCT(1+sp500_monthly!B482:B601)^(1/120)-1)*100</f>
        <v>0.28422264315934864</v>
      </c>
      <c r="C481" cm="1">
        <f t="array" ref="C481">(PRODUCT(1+sp500_monthly!C482:C601)^(1/120)-1)*100</f>
        <v>-4.1911747675427158E-3</v>
      </c>
      <c r="D481" cm="1">
        <f t="array" ref="D481">(PRODUCT(1+sp500_monthly!D482:D601)^(1/120)-1)*100</f>
        <v>0.42032279355235236</v>
      </c>
      <c r="E481" cm="1">
        <f t="array" ref="E481">(PRODUCT(1+sp500_monthly!E482:E601)^(1/120)-1)*100</f>
        <v>0.10924221496910747</v>
      </c>
      <c r="F481" cm="1">
        <f t="array" ref="F481">(PRODUCT(1+sp500_monthly!K482:K601)^(1/120)-1)*100</f>
        <v>-3.3757284203406179E-3</v>
      </c>
      <c r="G481" cm="1">
        <f t="array" ref="G481">(PRODUCT(1+sp500_monthly!L482:L601)^(1/120)-1)</f>
        <v>0.45026900708775885</v>
      </c>
      <c r="H481" cm="1">
        <f t="array" ref="H481">(PRODUCT(1+sp500_monthly!N482:N601)^(1/120)-1)*100</f>
        <v>-0.17842129795891948</v>
      </c>
      <c r="I481" cm="1">
        <f t="array" ref="I481">(PRODUCT(1+sp500_monthly!O482:O601)^(1/120)-1)*100</f>
        <v>-8.5018465649455699E-3</v>
      </c>
    </row>
    <row r="482" spans="1:9" x14ac:dyDescent="0.35">
      <c r="A482" s="1">
        <v>24107</v>
      </c>
      <c r="B482" cm="1">
        <f t="array" ref="B482">(PRODUCT(1+sp500_monthly!B483:B602)^(1/120)-1)*100</f>
        <v>0.26681132837544919</v>
      </c>
      <c r="C482" cm="1">
        <f t="array" ref="C482">(PRODUCT(1+sp500_monthly!C483:C602)^(1/120)-1)*100</f>
        <v>-2.201420133697285E-2</v>
      </c>
      <c r="D482" cm="1">
        <f t="array" ref="D482">(PRODUCT(1+sp500_monthly!D483:D602)^(1/120)-1)*100</f>
        <v>0.39534556740148386</v>
      </c>
      <c r="E482" cm="1">
        <f t="array" ref="E482">(PRODUCT(1+sp500_monthly!E483:E602)^(1/120)-1)*100</f>
        <v>8.3283168747039227E-2</v>
      </c>
      <c r="F482" cm="1">
        <f t="array" ref="F482">(PRODUCT(1+sp500_monthly!K483:K602)^(1/120)-1)*100</f>
        <v>-2.0445284010528475E-2</v>
      </c>
      <c r="G482" cm="1">
        <f t="array" ref="G482">(PRODUCT(1+sp500_monthly!L483:L602)^(1/120)-1)</f>
        <v>0.45156108488344304</v>
      </c>
      <c r="H482" cm="1">
        <f t="array" ref="H482">(PRODUCT(1+sp500_monthly!N483:N602)^(1/120)-1)*100</f>
        <v>-0.19763660503949732</v>
      </c>
      <c r="I482" cm="1">
        <f t="array" ref="I482">(PRODUCT(1+sp500_monthly!O483:O602)^(1/120)-1)*100</f>
        <v>-9.1448617131062448E-3</v>
      </c>
    </row>
    <row r="483" spans="1:9" x14ac:dyDescent="0.35">
      <c r="A483" s="1">
        <v>24138</v>
      </c>
      <c r="B483" cm="1">
        <f t="array" ref="B483">(PRODUCT(1+sp500_monthly!B484:B603)^(1/120)-1)*100</f>
        <v>0.35689769368056901</v>
      </c>
      <c r="C483" cm="1">
        <f t="array" ref="C483">(PRODUCT(1+sp500_monthly!C484:C603)^(1/120)-1)*100</f>
        <v>6.7311496772637369E-2</v>
      </c>
      <c r="D483" cm="1">
        <f t="array" ref="D483">(PRODUCT(1+sp500_monthly!D484:D603)^(1/120)-1)*100</f>
        <v>0.49169073193968682</v>
      </c>
      <c r="E483" cm="1">
        <f t="array" ref="E483">(PRODUCT(1+sp500_monthly!E484:E603)^(1/120)-1)*100</f>
        <v>0.17877814483155952</v>
      </c>
      <c r="F483" cm="1">
        <f t="array" ref="F483">(PRODUCT(1+sp500_monthly!K484:K603)^(1/120)-1)*100</f>
        <v>6.8707764941611238E-2</v>
      </c>
      <c r="G483" cm="1">
        <f t="array" ref="G483">(PRODUCT(1+sp500_monthly!L484:L603)^(1/120)-1)</f>
        <v>0.45232551972458745</v>
      </c>
      <c r="H483" cm="1">
        <f t="array" ref="H483">(PRODUCT(1+sp500_monthly!N484:N603)^(1/120)-1)*100</f>
        <v>-0.11017278623719484</v>
      </c>
      <c r="I483" cm="1">
        <f t="array" ref="I483">(PRODUCT(1+sp500_monthly!O484:O603)^(1/120)-1)*100</f>
        <v>-1.0605554935216865E-2</v>
      </c>
    </row>
    <row r="484" spans="1:9" x14ac:dyDescent="0.35">
      <c r="A484" s="1">
        <v>24166</v>
      </c>
      <c r="B484" cm="1">
        <f t="array" ref="B484">(PRODUCT(1+sp500_monthly!B485:B604)^(1/120)-1)*100</f>
        <v>0.36280165388586916</v>
      </c>
      <c r="C484" cm="1">
        <f t="array" ref="C484">(PRODUCT(1+sp500_monthly!C485:C604)^(1/120)-1)*100</f>
        <v>7.2328123259213228E-2</v>
      </c>
      <c r="D484" cm="1">
        <f t="array" ref="D484">(PRODUCT(1+sp500_monthly!D485:D604)^(1/120)-1)*100</f>
        <v>0.51834088906927978</v>
      </c>
      <c r="E484" cm="1">
        <f t="array" ref="E484">(PRODUCT(1+sp500_monthly!E485:E604)^(1/120)-1)*100</f>
        <v>0.20483712274541599</v>
      </c>
      <c r="F484" cm="1">
        <f t="array" ref="F484">(PRODUCT(1+sp500_monthly!K485:K604)^(1/120)-1)*100</f>
        <v>7.4184299841384416E-2</v>
      </c>
      <c r="G484" cm="1">
        <f t="array" ref="G484">(PRODUCT(1+sp500_monthly!L485:L604)^(1/120)-1)</f>
        <v>0.45223553910383263</v>
      </c>
      <c r="H484" cm="1">
        <f t="array" ref="H484">(PRODUCT(1+sp500_monthly!N485:N604)^(1/120)-1)*100</f>
        <v>-0.10058059858244484</v>
      </c>
      <c r="I484" cm="1">
        <f t="array" ref="I484">(PRODUCT(1+sp500_monthly!O485:O604)^(1/120)-1)*100</f>
        <v>-6.9694060593428198E-3</v>
      </c>
    </row>
    <row r="485" spans="1:9" x14ac:dyDescent="0.35">
      <c r="A485" s="1">
        <v>24197</v>
      </c>
      <c r="B485" cm="1">
        <f t="array" ref="B485">(PRODUCT(1+sp500_monthly!B486:B605)^(1/120)-1)*100</f>
        <v>0.40917096315498114</v>
      </c>
      <c r="C485" cm="1">
        <f t="array" ref="C485">(PRODUCT(1+sp500_monthly!C486:C605)^(1/120)-1)*100</f>
        <v>0.11840323335985392</v>
      </c>
      <c r="D485" cm="1">
        <f t="array" ref="D485">(PRODUCT(1+sp500_monthly!D486:D605)^(1/120)-1)*100</f>
        <v>0.55461127654503617</v>
      </c>
      <c r="E485" cm="1">
        <f t="array" ref="E485">(PRODUCT(1+sp500_monthly!E486:E605)^(1/120)-1)*100</f>
        <v>0.240470555040595</v>
      </c>
      <c r="F485" cm="1">
        <f t="array" ref="F485">(PRODUCT(1+sp500_monthly!K486:K605)^(1/120)-1)*100</f>
        <v>0.11779610200191026</v>
      </c>
      <c r="G485" cm="1">
        <f t="array" ref="G485">(PRODUCT(1+sp500_monthly!L486:L605)^(1/120)-1)</f>
        <v>0.45240968150975269</v>
      </c>
      <c r="H485" cm="1">
        <f t="array" ref="H485">(PRODUCT(1+sp500_monthly!N486:N605)^(1/120)-1)*100</f>
        <v>-5.3321767955205601E-2</v>
      </c>
      <c r="I485" cm="1">
        <f t="array" ref="I485">(PRODUCT(1+sp500_monthly!O486:O605)^(1/120)-1)*100</f>
        <v>-5.699260667479944E-3</v>
      </c>
    </row>
    <row r="486" spans="1:9" x14ac:dyDescent="0.35">
      <c r="A486" s="1">
        <v>24226</v>
      </c>
      <c r="B486" cm="1">
        <f t="array" ref="B486">(PRODUCT(1+sp500_monthly!B487:B606)^(1/120)-1)*100</f>
        <v>0.3827563228729236</v>
      </c>
      <c r="C486" cm="1">
        <f t="array" ref="C486">(PRODUCT(1+sp500_monthly!C487:C606)^(1/120)-1)*100</f>
        <v>9.1888706316067825E-2</v>
      </c>
      <c r="D486" cm="1">
        <f t="array" ref="D486">(PRODUCT(1+sp500_monthly!D487:D606)^(1/120)-1)*100</f>
        <v>0.5265967888299139</v>
      </c>
      <c r="E486" cm="1">
        <f t="array" ref="E486">(PRODUCT(1+sp500_monthly!E487:E606)^(1/120)-1)*100</f>
        <v>0.21195150841974986</v>
      </c>
      <c r="F486" cm="1">
        <f t="array" ref="F486">(PRODUCT(1+sp500_monthly!K487:K606)^(1/120)-1)*100</f>
        <v>9.1637559912394195E-2</v>
      </c>
      <c r="G486" cm="1">
        <f t="array" ref="G486">(PRODUCT(1+sp500_monthly!L487:L606)^(1/120)-1)</f>
        <v>0.45311169489885228</v>
      </c>
      <c r="H486" cm="1">
        <f t="array" ref="H486">(PRODUCT(1+sp500_monthly!N487:N606)^(1/120)-1)*100</f>
        <v>-7.8516792360494581E-2</v>
      </c>
      <c r="I486" cm="1">
        <f t="array" ref="I486">(PRODUCT(1+sp500_monthly!O487:O606)^(1/120)-1)*100</f>
        <v>-3.9363859417496094E-3</v>
      </c>
    </row>
    <row r="487" spans="1:9" x14ac:dyDescent="0.35">
      <c r="A487" s="1">
        <v>24258</v>
      </c>
      <c r="B487" cm="1">
        <f t="array" ref="B487">(PRODUCT(1+sp500_monthly!B488:B607)^(1/120)-1)*100</f>
        <v>0.41809670932386744</v>
      </c>
      <c r="C487" cm="1">
        <f t="array" ref="C487">(PRODUCT(1+sp500_monthly!C488:C607)^(1/120)-1)*100</f>
        <v>0.12613827410583589</v>
      </c>
      <c r="D487" cm="1">
        <f t="array" ref="D487">(PRODUCT(1+sp500_monthly!D488:D607)^(1/120)-1)*100</f>
        <v>0.57107658304278441</v>
      </c>
      <c r="E487" cm="1">
        <f t="array" ref="E487">(PRODUCT(1+sp500_monthly!E488:E607)^(1/120)-1)*100</f>
        <v>0.25596721910194908</v>
      </c>
      <c r="F487" cm="1">
        <f t="array" ref="F487">(PRODUCT(1+sp500_monthly!K488:K607)^(1/120)-1)*100</f>
        <v>0.12600204055979169</v>
      </c>
      <c r="G487" cm="1">
        <f t="array" ref="G487">(PRODUCT(1+sp500_monthly!L488:L607)^(1/120)-1)</f>
        <v>0.45276324460106099</v>
      </c>
      <c r="H487" cm="1">
        <f t="array" ref="H487">(PRODUCT(1+sp500_monthly!N488:N607)^(1/120)-1)*100</f>
        <v>-4.5976928404145578E-2</v>
      </c>
      <c r="I487" cm="1">
        <f t="array" ref="I487">(PRODUCT(1+sp500_monthly!O488:O607)^(1/120)-1)*100</f>
        <v>-6.9075702490262181E-3</v>
      </c>
    </row>
    <row r="488" spans="1:9" x14ac:dyDescent="0.35">
      <c r="A488" s="1">
        <v>24288</v>
      </c>
      <c r="B488" cm="1">
        <f t="array" ref="B488">(PRODUCT(1+sp500_monthly!B489:B608)^(1/120)-1)*100</f>
        <v>0.46622910416818097</v>
      </c>
      <c r="C488" cm="1">
        <f t="array" ref="C488">(PRODUCT(1+sp500_monthly!C489:C608)^(1/120)-1)*100</f>
        <v>0.1739811159719773</v>
      </c>
      <c r="D488" cm="1">
        <f t="array" ref="D488">(PRODUCT(1+sp500_monthly!D489:D608)^(1/120)-1)*100</f>
        <v>0.62416633778843433</v>
      </c>
      <c r="E488" cm="1">
        <f t="array" ref="E488">(PRODUCT(1+sp500_monthly!E489:E608)^(1/120)-1)*100</f>
        <v>0.3084174773687165</v>
      </c>
      <c r="F488" cm="1">
        <f t="array" ref="F488">(PRODUCT(1+sp500_monthly!K489:K608)^(1/120)-1)*100</f>
        <v>0.17305590820997363</v>
      </c>
      <c r="G488" cm="1">
        <f t="array" ref="G488">(PRODUCT(1+sp500_monthly!L489:L608)^(1/120)-1)</f>
        <v>0.45319418531189726</v>
      </c>
      <c r="H488" cm="1">
        <f t="array" ref="H488">(PRODUCT(1+sp500_monthly!N489:N608)^(1/120)-1)*100</f>
        <v>-1.7154147108344731E-3</v>
      </c>
      <c r="I488" cm="1">
        <f t="array" ref="I488">(PRODUCT(1+sp500_monthly!O489:O608)^(1/120)-1)*100</f>
        <v>-1.0140746081443996E-2</v>
      </c>
    </row>
    <row r="489" spans="1:9" x14ac:dyDescent="0.35">
      <c r="A489" s="1">
        <v>24317</v>
      </c>
      <c r="B489" cm="1">
        <f t="array" ref="B489">(PRODUCT(1+sp500_monthly!B490:B609)^(1/120)-1)*100</f>
        <v>0.47039443410665793</v>
      </c>
      <c r="C489" cm="1">
        <f t="array" ref="C489">(PRODUCT(1+sp500_monthly!C490:C609)^(1/120)-1)*100</f>
        <v>0.17785025732943716</v>
      </c>
      <c r="D489" cm="1">
        <f t="array" ref="D489">(PRODUCT(1+sp500_monthly!D490:D609)^(1/120)-1)*100</f>
        <v>0.62922159994298621</v>
      </c>
      <c r="E489" cm="1">
        <f t="array" ref="E489">(PRODUCT(1+sp500_monthly!E490:E609)^(1/120)-1)*100</f>
        <v>0.31324919948727548</v>
      </c>
      <c r="F489" cm="1">
        <f t="array" ref="F489">(PRODUCT(1+sp500_monthly!K490:K609)^(1/120)-1)*100</f>
        <v>0.17761112662870726</v>
      </c>
      <c r="G489" cm="1">
        <f t="array" ref="G489">(PRODUCT(1+sp500_monthly!L490:L609)^(1/120)-1)</f>
        <v>0.454225808246004</v>
      </c>
      <c r="H489" cm="1">
        <f t="array" ref="H489">(PRODUCT(1+sp500_monthly!N490:N609)^(1/120)-1)*100</f>
        <v>-1.6748364894958456E-4</v>
      </c>
      <c r="I489" cm="1">
        <f t="array" ref="I489">(PRODUCT(1+sp500_monthly!O490:O609)^(1/120)-1)*100</f>
        <v>-1.1742622430277461E-2</v>
      </c>
    </row>
    <row r="490" spans="1:9" x14ac:dyDescent="0.35">
      <c r="A490" s="1">
        <v>24350</v>
      </c>
      <c r="B490" cm="1">
        <f t="array" ref="B490">(PRODUCT(1+sp500_monthly!B491:B610)^(1/120)-1)*100</f>
        <v>0.53399907725286688</v>
      </c>
      <c r="C490" cm="1">
        <f t="array" ref="C490">(PRODUCT(1+sp500_monthly!C491:C610)^(1/120)-1)*100</f>
        <v>0.24103177292098543</v>
      </c>
      <c r="D490" cm="1">
        <f t="array" ref="D490">(PRODUCT(1+sp500_monthly!D491:D610)^(1/120)-1)*100</f>
        <v>0.69650835972925318</v>
      </c>
      <c r="E490" cm="1">
        <f t="array" ref="E490">(PRODUCT(1+sp500_monthly!E491:E610)^(1/120)-1)*100</f>
        <v>0.38059939500494355</v>
      </c>
      <c r="F490" cm="1">
        <f t="array" ref="F490">(PRODUCT(1+sp500_monthly!K491:K610)^(1/120)-1)*100</f>
        <v>0.24091235825605128</v>
      </c>
      <c r="G490" cm="1">
        <f t="array" ref="G490">(PRODUCT(1+sp500_monthly!L491:L610)^(1/120)-1)</f>
        <v>0.45431145457602495</v>
      </c>
      <c r="H490" cm="1">
        <f t="array" ref="H490">(PRODUCT(1+sp500_monthly!N491:N610)^(1/120)-1)*100</f>
        <v>6.3885615862746548E-2</v>
      </c>
      <c r="I490" cm="1">
        <f t="array" ref="I490">(PRODUCT(1+sp500_monthly!O491:O610)^(1/120)-1)*100</f>
        <v>-1.0913846825388873E-2</v>
      </c>
    </row>
    <row r="491" spans="1:9" x14ac:dyDescent="0.35">
      <c r="A491" s="1">
        <v>24380</v>
      </c>
      <c r="B491" cm="1">
        <f t="array" ref="B491">(PRODUCT(1+sp500_monthly!B492:B611)^(1/120)-1)*100</f>
        <v>0.55946350058444505</v>
      </c>
      <c r="C491" cm="1">
        <f t="array" ref="C491">(PRODUCT(1+sp500_monthly!C492:C611)^(1/120)-1)*100</f>
        <v>0.26621096295982305</v>
      </c>
      <c r="D491" cm="1">
        <f t="array" ref="D491">(PRODUCT(1+sp500_monthly!D492:D611)^(1/120)-1)*100</f>
        <v>0.72419709490636475</v>
      </c>
      <c r="E491" cm="1">
        <f t="array" ref="E491">(PRODUCT(1+sp500_monthly!E492:E611)^(1/120)-1)*100</f>
        <v>0.40807228746253532</v>
      </c>
      <c r="F491" cm="1">
        <f t="array" ref="F491">(PRODUCT(1+sp500_monthly!K492:K611)^(1/120)-1)*100</f>
        <v>0.26548871166329757</v>
      </c>
      <c r="G491" cm="1">
        <f t="array" ref="G491">(PRODUCT(1+sp500_monthly!L492:L611)^(1/120)-1)</f>
        <v>0.45465290489558674</v>
      </c>
      <c r="H491" cm="1">
        <f t="array" ref="H491">(PRODUCT(1+sp500_monthly!N492:N611)^(1/120)-1)*100</f>
        <v>8.7426172618609854E-2</v>
      </c>
      <c r="I491" cm="1">
        <f t="array" ref="I491">(PRODUCT(1+sp500_monthly!O492:O611)^(1/120)-1)*100</f>
        <v>-1.2384934258158342E-2</v>
      </c>
    </row>
    <row r="492" spans="1:9" x14ac:dyDescent="0.35">
      <c r="A492" s="1">
        <v>24411</v>
      </c>
      <c r="B492" cm="1">
        <f t="array" ref="B492">(PRODUCT(1+sp500_monthly!B493:B612)^(1/120)-1)*100</f>
        <v>0.50281477473776981</v>
      </c>
      <c r="C492" cm="1">
        <f t="array" ref="C492">(PRODUCT(1+sp500_monthly!C493:C612)^(1/120)-1)*100</f>
        <v>0.20907346357781353</v>
      </c>
      <c r="D492" cm="1">
        <f t="array" ref="D492">(PRODUCT(1+sp500_monthly!D493:D612)^(1/120)-1)*100</f>
        <v>0.68231618455296683</v>
      </c>
      <c r="E492" cm="1">
        <f t="array" ref="E492">(PRODUCT(1+sp500_monthly!E493:E612)^(1/120)-1)*100</f>
        <v>0.36593489831842074</v>
      </c>
      <c r="F492" cm="1">
        <f t="array" ref="F492">(PRODUCT(1+sp500_monthly!K493:K612)^(1/120)-1)*100</f>
        <v>0.20790749074204307</v>
      </c>
      <c r="G492" cm="1">
        <f t="array" ref="G492">(PRODUCT(1+sp500_monthly!L493:L612)^(1/120)-1)</f>
        <v>0.45431384237468708</v>
      </c>
      <c r="H492" cm="1">
        <f t="array" ref="H492">(PRODUCT(1+sp500_monthly!N493:N612)^(1/120)-1)*100</f>
        <v>2.9254461342631544E-2</v>
      </c>
      <c r="I492" cm="1">
        <f t="array" ref="I492">(PRODUCT(1+sp500_monthly!O493:O612)^(1/120)-1)*100</f>
        <v>-1.4504917020763397E-2</v>
      </c>
    </row>
    <row r="493" spans="1:9" x14ac:dyDescent="0.35">
      <c r="A493" s="1">
        <v>24441</v>
      </c>
      <c r="B493" cm="1">
        <f t="array" ref="B493">(PRODUCT(1+sp500_monthly!B494:B613)^(1/120)-1)*100</f>
        <v>0.4925958065976177</v>
      </c>
      <c r="C493" cm="1">
        <f t="array" ref="C493">(PRODUCT(1+sp500_monthly!C494:C613)^(1/120)-1)*100</f>
        <v>0.19871951475163296</v>
      </c>
      <c r="D493" cm="1">
        <f t="array" ref="D493">(PRODUCT(1+sp500_monthly!D494:D613)^(1/120)-1)*100</f>
        <v>0.67726940087371457</v>
      </c>
      <c r="E493" cm="1">
        <f t="array" ref="E493">(PRODUCT(1+sp500_monthly!E494:E613)^(1/120)-1)*100</f>
        <v>0.36142082119450247</v>
      </c>
      <c r="F493" cm="1">
        <f t="array" ref="F493">(PRODUCT(1+sp500_monthly!K494:K613)^(1/120)-1)*100</f>
        <v>0.19879104420339466</v>
      </c>
      <c r="G493" cm="1">
        <f t="array" ref="G493">(PRODUCT(1+sp500_monthly!L494:L613)^(1/120)-1)</f>
        <v>0.45431384237468708</v>
      </c>
      <c r="H493" cm="1">
        <f t="array" ref="H493">(PRODUCT(1+sp500_monthly!N494:N613)^(1/120)-1)*100</f>
        <v>1.6970384830261587E-2</v>
      </c>
      <c r="I493" cm="1">
        <f t="array" ref="I493">(PRODUCT(1+sp500_monthly!O494:O613)^(1/120)-1)*100</f>
        <v>-1.6617466582924401E-2</v>
      </c>
    </row>
    <row r="494" spans="1:9" x14ac:dyDescent="0.35">
      <c r="A494" s="1">
        <v>24471</v>
      </c>
      <c r="B494" cm="1">
        <f t="array" ref="B494">(PRODUCT(1+sp500_monthly!B495:B614)^(1/120)-1)*100</f>
        <v>0.53619644477034267</v>
      </c>
      <c r="C494" cm="1">
        <f t="array" ref="C494">(PRODUCT(1+sp500_monthly!C495:C614)^(1/120)-1)*100</f>
        <v>0.24210183271820007</v>
      </c>
      <c r="D494" cm="1">
        <f t="array" ref="D494">(PRODUCT(1+sp500_monthly!D495:D614)^(1/120)-1)*100</f>
        <v>0.72755376122519699</v>
      </c>
      <c r="E494" cm="1">
        <f t="array" ref="E494">(PRODUCT(1+sp500_monthly!E495:E614)^(1/120)-1)*100</f>
        <v>0.41171532448855963</v>
      </c>
      <c r="F494" cm="1">
        <f t="array" ref="F494">(PRODUCT(1+sp500_monthly!K495:K614)^(1/120)-1)*100</f>
        <v>0.24277084567942975</v>
      </c>
      <c r="G494" cm="1">
        <f t="array" ref="G494">(PRODUCT(1+sp500_monthly!L495:L614)^(1/120)-1)</f>
        <v>0.45431384237468708</v>
      </c>
      <c r="H494" cm="1">
        <f t="array" ref="H494">(PRODUCT(1+sp500_monthly!N495:N614)^(1/120)-1)*100</f>
        <v>5.7084054785372373E-2</v>
      </c>
      <c r="I494" cm="1">
        <f t="array" ref="I494">(PRODUCT(1+sp500_monthly!O495:O614)^(1/120)-1)*100</f>
        <v>-1.9895551638982045E-2</v>
      </c>
    </row>
    <row r="495" spans="1:9" x14ac:dyDescent="0.35">
      <c r="A495" s="1">
        <v>24503</v>
      </c>
      <c r="B495" cm="1">
        <f t="array" ref="B495">(PRODUCT(1+sp500_monthly!B496:B615)^(1/120)-1)*100</f>
        <v>0.42971544073664436</v>
      </c>
      <c r="C495" cm="1">
        <f t="array" ref="C495">(PRODUCT(1+sp500_monthly!C496:C615)^(1/120)-1)*100</f>
        <v>0.13575717787230879</v>
      </c>
      <c r="D495" cm="1">
        <f t="array" ref="D495">(PRODUCT(1+sp500_monthly!D496:D615)^(1/120)-1)*100</f>
        <v>0.60050034626029092</v>
      </c>
      <c r="E495" cm="1">
        <f t="array" ref="E495">(PRODUCT(1+sp500_monthly!E496:E615)^(1/120)-1)*100</f>
        <v>0.2848919267335992</v>
      </c>
      <c r="F495" cm="1">
        <f t="array" ref="F495">(PRODUCT(1+sp500_monthly!K496:K615)^(1/120)-1)*100</f>
        <v>0.13663328813304787</v>
      </c>
      <c r="G495" cm="1">
        <f t="array" ref="G495">(PRODUCT(1+sp500_monthly!L496:L615)^(1/120)-1)</f>
        <v>0.45370570589106141</v>
      </c>
      <c r="H495" cm="1">
        <f t="array" ref="H495">(PRODUCT(1+sp500_monthly!N496:N615)^(1/120)-1)*100</f>
        <v>-5.366335320483584E-2</v>
      </c>
      <c r="I495" cm="1">
        <f t="array" ref="I495">(PRODUCT(1+sp500_monthly!O496:O615)^(1/120)-1)*100</f>
        <v>-2.5251676414139723E-2</v>
      </c>
    </row>
    <row r="496" spans="1:9" x14ac:dyDescent="0.35">
      <c r="A496" s="1">
        <v>24531</v>
      </c>
      <c r="B496" cm="1">
        <f t="array" ref="B496">(PRODUCT(1+sp500_monthly!B497:B616)^(1/120)-1)*100</f>
        <v>0.41026118196287875</v>
      </c>
      <c r="C496" cm="1">
        <f t="array" ref="C496">(PRODUCT(1+sp500_monthly!C497:C616)^(1/120)-1)*100</f>
        <v>0.11483786012964625</v>
      </c>
      <c r="D496" cm="1">
        <f t="array" ref="D496">(PRODUCT(1+sp500_monthly!D497:D616)^(1/120)-1)*100</f>
        <v>0.5769957232505174</v>
      </c>
      <c r="E496" cm="1">
        <f t="array" ref="E496">(PRODUCT(1+sp500_monthly!E497:E616)^(1/120)-1)*100</f>
        <v>0.26102672158878626</v>
      </c>
      <c r="F496" cm="1">
        <f t="array" ref="F496">(PRODUCT(1+sp500_monthly!K497:K616)^(1/120)-1)*100</f>
        <v>0.11672552028509919</v>
      </c>
      <c r="G496" cm="1">
        <f t="array" ref="G496">(PRODUCT(1+sp500_monthly!L497:L616)^(1/120)-1)</f>
        <v>0.45361630443948542</v>
      </c>
      <c r="H496" cm="1">
        <f t="array" ref="H496">(PRODUCT(1+sp500_monthly!N497:N616)^(1/120)-1)*100</f>
        <v>-7.896502117583637E-2</v>
      </c>
      <c r="I496" cm="1">
        <f t="array" ref="I496">(PRODUCT(1+sp500_monthly!O497:O616)^(1/120)-1)*100</f>
        <v>-3.1278573862525416E-2</v>
      </c>
    </row>
    <row r="497" spans="1:9" x14ac:dyDescent="0.35">
      <c r="A497" s="1">
        <v>24562</v>
      </c>
      <c r="B497" cm="1">
        <f t="array" ref="B497">(PRODUCT(1+sp500_monthly!B498:B617)^(1/120)-1)*100</f>
        <v>0.36601160406468658</v>
      </c>
      <c r="C497" cm="1">
        <f t="array" ref="C497">(PRODUCT(1+sp500_monthly!C498:C617)^(1/120)-1)*100</f>
        <v>7.0265800687652202E-2</v>
      </c>
      <c r="D497" cm="1">
        <f t="array" ref="D497">(PRODUCT(1+sp500_monthly!D498:D617)^(1/120)-1)*100</f>
        <v>0.53629983005862858</v>
      </c>
      <c r="E497" cm="1">
        <f t="array" ref="E497">(PRODUCT(1+sp500_monthly!E498:E617)^(1/120)-1)*100</f>
        <v>0.21988491593498694</v>
      </c>
      <c r="F497" cm="1">
        <f t="array" ref="F497">(PRODUCT(1+sp500_monthly!K498:K617)^(1/120)-1)*100</f>
        <v>7.2702594422979772E-2</v>
      </c>
      <c r="G497" cm="1">
        <f t="array" ref="G497">(PRODUCT(1+sp500_monthly!L498:L617)^(1/120)-1)</f>
        <v>0.45352884481920941</v>
      </c>
      <c r="H497" cm="1">
        <f t="array" ref="H497">(PRODUCT(1+sp500_monthly!N498:N617)^(1/120)-1)*100</f>
        <v>-0.12719896574830969</v>
      </c>
      <c r="I497" cm="1">
        <f t="array" ref="I497">(PRODUCT(1+sp500_monthly!O498:O617)^(1/120)-1)*100</f>
        <v>-3.5565377768520534E-2</v>
      </c>
    </row>
    <row r="498" spans="1:9" x14ac:dyDescent="0.35">
      <c r="A498" s="1">
        <v>24590</v>
      </c>
      <c r="B498" cm="1">
        <f t="array" ref="B498">(PRODUCT(1+sp500_monthly!B499:B618)^(1/120)-1)*100</f>
        <v>0.33104346843888521</v>
      </c>
      <c r="C498" cm="1">
        <f t="array" ref="C498">(PRODUCT(1+sp500_monthly!C499:C618)^(1/120)-1)*100</f>
        <v>3.5108115136806006E-2</v>
      </c>
      <c r="D498" cm="1">
        <f t="array" ref="D498">(PRODUCT(1+sp500_monthly!D499:D618)^(1/120)-1)*100</f>
        <v>0.51219712976031673</v>
      </c>
      <c r="E498" cm="1">
        <f t="array" ref="E498">(PRODUCT(1+sp500_monthly!E499:E618)^(1/120)-1)*100</f>
        <v>0.19548837729530533</v>
      </c>
      <c r="F498" cm="1">
        <f t="array" ref="F498">(PRODUCT(1+sp500_monthly!K499:K618)^(1/120)-1)*100</f>
        <v>3.837662063492786E-2</v>
      </c>
      <c r="G498" cm="1">
        <f t="array" ref="G498">(PRODUCT(1+sp500_monthly!L499:L618)^(1/120)-1)</f>
        <v>0.45406737721685886</v>
      </c>
      <c r="H498" cm="1">
        <f t="array" ref="H498">(PRODUCT(1+sp500_monthly!N499:N618)^(1/120)-1)*100</f>
        <v>-0.16504299468805828</v>
      </c>
      <c r="I498" cm="1">
        <f t="array" ref="I498">(PRODUCT(1+sp500_monthly!O499:O618)^(1/120)-1)*100</f>
        <v>-3.8118903224959588E-2</v>
      </c>
    </row>
    <row r="499" spans="1:9" x14ac:dyDescent="0.35">
      <c r="A499" s="1">
        <v>24623</v>
      </c>
      <c r="B499" cm="1">
        <f t="array" ref="B499">(PRODUCT(1+sp500_monthly!B500:B619)^(1/120)-1)*100</f>
        <v>0.35843959817329907</v>
      </c>
      <c r="C499" cm="1">
        <f t="array" ref="C499">(PRODUCT(1+sp500_monthly!C500:C619)^(1/120)-1)*100</f>
        <v>6.0044589054419895E-2</v>
      </c>
      <c r="D499" cm="1">
        <f t="array" ref="D499">(PRODUCT(1+sp500_monthly!D500:D619)^(1/120)-1)*100</f>
        <v>0.52461630539557547</v>
      </c>
      <c r="E499" cm="1">
        <f t="array" ref="E499">(PRODUCT(1+sp500_monthly!E500:E619)^(1/120)-1)*100</f>
        <v>0.20705415989206166</v>
      </c>
      <c r="F499" cm="1">
        <f t="array" ref="F499">(PRODUCT(1+sp500_monthly!K500:K619)^(1/120)-1)*100</f>
        <v>6.3402605727058692E-2</v>
      </c>
      <c r="G499" cm="1">
        <f t="array" ref="G499">(PRODUCT(1+sp500_monthly!L500:L619)^(1/120)-1)</f>
        <v>0.45442647680345782</v>
      </c>
      <c r="H499" cm="1">
        <f t="array" ref="H499">(PRODUCT(1+sp500_monthly!N500:N619)^(1/120)-1)*100</f>
        <v>-0.14055162410273603</v>
      </c>
      <c r="I499" cm="1">
        <f t="array" ref="I499">(PRODUCT(1+sp500_monthly!O500:O619)^(1/120)-1)*100</f>
        <v>-4.0558930637124568E-2</v>
      </c>
    </row>
    <row r="500" spans="1:9" x14ac:dyDescent="0.35">
      <c r="A500" s="1">
        <v>24653</v>
      </c>
      <c r="B500" cm="1">
        <f t="array" ref="B500">(PRODUCT(1+sp500_monthly!B501:B620)^(1/120)-1)*100</f>
        <v>0.38147037530606998</v>
      </c>
      <c r="C500" cm="1">
        <f t="array" ref="C500">(PRODUCT(1+sp500_monthly!C501:C620)^(1/120)-1)*100</f>
        <v>8.2424391670676833E-2</v>
      </c>
      <c r="D500" cm="1">
        <f t="array" ref="D500">(PRODUCT(1+sp500_monthly!D501:D620)^(1/120)-1)*100</f>
        <v>0.53755265311155043</v>
      </c>
      <c r="E500" cm="1">
        <f t="array" ref="E500">(PRODUCT(1+sp500_monthly!E501:E620)^(1/120)-1)*100</f>
        <v>0.21944028758507095</v>
      </c>
      <c r="F500" cm="1">
        <f t="array" ref="F500">(PRODUCT(1+sp500_monthly!K501:K620)^(1/120)-1)*100</f>
        <v>8.5920148181672928E-2</v>
      </c>
      <c r="G500" cm="1">
        <f t="array" ref="G500">(PRODUCT(1+sp500_monthly!L501:L620)^(1/120)-1)</f>
        <v>0.4556081367446505</v>
      </c>
      <c r="H500" cm="1">
        <f t="array" ref="H500">(PRODUCT(1+sp500_monthly!N501:N620)^(1/120)-1)*100</f>
        <v>-0.11675880167588693</v>
      </c>
      <c r="I500" cm="1">
        <f t="array" ref="I500">(PRODUCT(1+sp500_monthly!O501:O620)^(1/120)-1)*100</f>
        <v>-3.8602404014154157E-2</v>
      </c>
    </row>
    <row r="501" spans="1:9" x14ac:dyDescent="0.35">
      <c r="A501" s="1">
        <v>24684</v>
      </c>
      <c r="B501" cm="1">
        <f t="array" ref="B501">(PRODUCT(1+sp500_monthly!B502:B621)^(1/120)-1)*100</f>
        <v>0.33047202425446898</v>
      </c>
      <c r="C501" cm="1">
        <f t="array" ref="C501">(PRODUCT(1+sp500_monthly!C502:C621)^(1/120)-1)*100</f>
        <v>3.1277816570818295E-2</v>
      </c>
      <c r="D501" cm="1">
        <f t="array" ref="D501">(PRODUCT(1+sp500_monthly!D502:D621)^(1/120)-1)*100</f>
        <v>0.46791466363071965</v>
      </c>
      <c r="E501" cm="1">
        <f t="array" ref="E501">(PRODUCT(1+sp500_monthly!E502:E621)^(1/120)-1)*100</f>
        <v>0.14971559580716498</v>
      </c>
      <c r="F501" cm="1">
        <f t="array" ref="F501">(PRODUCT(1+sp500_monthly!K502:K621)^(1/120)-1)*100</f>
        <v>3.5305292979215253E-2</v>
      </c>
      <c r="G501" cm="1">
        <f t="array" ref="G501">(PRODUCT(1+sp500_monthly!L502:L621)^(1/120)-1)</f>
        <v>0.45658650954472391</v>
      </c>
      <c r="H501" cm="1">
        <f t="array" ref="H501">(PRODUCT(1+sp500_monthly!N502:N621)^(1/120)-1)*100</f>
        <v>-0.1691245649103168</v>
      </c>
      <c r="I501" cm="1">
        <f t="array" ref="I501">(PRODUCT(1+sp500_monthly!O502:O621)^(1/120)-1)*100</f>
        <v>-3.9312061799956499E-2</v>
      </c>
    </row>
    <row r="502" spans="1:9" x14ac:dyDescent="0.35">
      <c r="A502" s="1">
        <v>24715</v>
      </c>
      <c r="B502" cm="1">
        <f t="array" ref="B502">(PRODUCT(1+sp500_monthly!B503:B622)^(1/120)-1)*100</f>
        <v>0.32584103900312744</v>
      </c>
      <c r="C502" cm="1">
        <f t="array" ref="C502">(PRODUCT(1+sp500_monthly!C503:C622)^(1/120)-1)*100</f>
        <v>2.4479047440917334E-2</v>
      </c>
      <c r="D502" cm="1">
        <f t="array" ref="D502">(PRODUCT(1+sp500_monthly!D503:D622)^(1/120)-1)*100</f>
        <v>0.45169889279577102</v>
      </c>
      <c r="E502" cm="1">
        <f t="array" ref="E502">(PRODUCT(1+sp500_monthly!E503:E622)^(1/120)-1)*100</f>
        <v>0.13216237069950676</v>
      </c>
      <c r="F502" cm="1">
        <f t="array" ref="F502">(PRODUCT(1+sp500_monthly!K503:K622)^(1/120)-1)*100</f>
        <v>2.7400834638280358E-2</v>
      </c>
      <c r="G502" cm="1">
        <f t="array" ref="G502">(PRODUCT(1+sp500_monthly!L503:L622)^(1/120)-1)</f>
        <v>0.45773543205176392</v>
      </c>
      <c r="H502" cm="1">
        <f t="array" ref="H502">(PRODUCT(1+sp500_monthly!N503:N622)^(1/120)-1)*100</f>
        <v>-0.17534012793750664</v>
      </c>
      <c r="I502" cm="1">
        <f t="array" ref="I502">(PRODUCT(1+sp500_monthly!O503:O622)^(1/120)-1)*100</f>
        <v>-3.9843014048157599E-2</v>
      </c>
    </row>
    <row r="503" spans="1:9" x14ac:dyDescent="0.35">
      <c r="A503" s="1">
        <v>24744</v>
      </c>
      <c r="B503" cm="1">
        <f t="array" ref="B503">(PRODUCT(1+sp500_monthly!B504:B623)^(1/120)-1)*100</f>
        <v>0.29735155631345211</v>
      </c>
      <c r="C503" cm="1">
        <f t="array" ref="C503">(PRODUCT(1+sp500_monthly!C504:C623)^(1/120)-1)*100</f>
        <v>-4.8286261901453464E-3</v>
      </c>
      <c r="D503" cm="1">
        <f t="array" ref="D503">(PRODUCT(1+sp500_monthly!D504:D623)^(1/120)-1)*100</f>
        <v>0.42842076651017358</v>
      </c>
      <c r="E503" cm="1">
        <f t="array" ref="E503">(PRODUCT(1+sp500_monthly!E504:E623)^(1/120)-1)*100</f>
        <v>0.10812097797494591</v>
      </c>
      <c r="F503" cm="1">
        <f t="array" ref="F503">(PRODUCT(1+sp500_monthly!K504:K623)^(1/120)-1)*100</f>
        <v>-1.5546708809544008E-3</v>
      </c>
      <c r="G503" cm="1">
        <f t="array" ref="G503">(PRODUCT(1+sp500_monthly!L504:L623)^(1/120)-1)</f>
        <v>0.45870809883648933</v>
      </c>
      <c r="H503" cm="1">
        <f t="array" ref="H503">(PRODUCT(1+sp500_monthly!N504:N623)^(1/120)-1)*100</f>
        <v>-0.20392625960170552</v>
      </c>
      <c r="I503" cm="1">
        <f t="array" ref="I503">(PRODUCT(1+sp500_monthly!O504:O623)^(1/120)-1)*100</f>
        <v>-3.9169495323543302E-2</v>
      </c>
    </row>
    <row r="504" spans="1:9" x14ac:dyDescent="0.35">
      <c r="A504" s="1">
        <v>24776</v>
      </c>
      <c r="B504" cm="1">
        <f t="array" ref="B504">(PRODUCT(1+sp500_monthly!B505:B624)^(1/120)-1)*100</f>
        <v>0.28476580972645049</v>
      </c>
      <c r="C504" cm="1">
        <f t="array" ref="C504">(PRODUCT(1+sp500_monthly!C505:C624)^(1/120)-1)*100</f>
        <v>-1.7943314356194673E-2</v>
      </c>
      <c r="D504" cm="1">
        <f t="array" ref="D504">(PRODUCT(1+sp500_monthly!D505:D624)^(1/120)-1)*100</f>
        <v>0.43911429076768371</v>
      </c>
      <c r="E504" cm="1">
        <f t="array" ref="E504">(PRODUCT(1+sp500_monthly!E505:E624)^(1/120)-1)*100</f>
        <v>0.11826114911159813</v>
      </c>
      <c r="F504" cm="1">
        <f t="array" ref="F504">(PRODUCT(1+sp500_monthly!K505:K624)^(1/120)-1)*100</f>
        <v>-1.3961820807484315E-2</v>
      </c>
      <c r="G504" cm="1">
        <f t="array" ref="G504">(PRODUCT(1+sp500_monthly!L505:L624)^(1/120)-1)</f>
        <v>0.45955284261329155</v>
      </c>
      <c r="H504" cm="1">
        <f t="array" ref="H504">(PRODUCT(1+sp500_monthly!N505:N624)^(1/120)-1)*100</f>
        <v>-0.21803752642639562</v>
      </c>
      <c r="I504" cm="1">
        <f t="array" ref="I504">(PRODUCT(1+sp500_monthly!O505:O624)^(1/120)-1)*100</f>
        <v>-3.9931392079695094E-2</v>
      </c>
    </row>
    <row r="505" spans="1:9" x14ac:dyDescent="0.35">
      <c r="A505" s="1">
        <v>24806</v>
      </c>
      <c r="B505" cm="1">
        <f t="array" ref="B505">(PRODUCT(1+sp500_monthly!B506:B625)^(1/120)-1)*100</f>
        <v>0.30957127645863114</v>
      </c>
      <c r="C505" cm="1">
        <f t="array" ref="C505">(PRODUCT(1+sp500_monthly!C506:C625)^(1/120)-1)*100</f>
        <v>3.7745698161728569E-3</v>
      </c>
      <c r="D505" cm="1">
        <f t="array" ref="D505">(PRODUCT(1+sp500_monthly!D506:D625)^(1/120)-1)*100</f>
        <v>0.49052673242853118</v>
      </c>
      <c r="E505" cm="1">
        <f t="array" ref="E505">(PRODUCT(1+sp500_monthly!E506:E625)^(1/120)-1)*100</f>
        <v>0.16826725455125757</v>
      </c>
      <c r="F505" cm="1">
        <f t="array" ref="F505">(PRODUCT(1+sp500_monthly!K506:K625)^(1/120)-1)*100</f>
        <v>7.3244651439319242E-3</v>
      </c>
      <c r="G505" cm="1">
        <f t="array" ref="G505">(PRODUCT(1+sp500_monthly!L506:L625)^(1/120)-1)</f>
        <v>0.46074505913433406</v>
      </c>
      <c r="H505" cm="1">
        <f t="array" ref="H505">(PRODUCT(1+sp500_monthly!N506:N625)^(1/120)-1)*100</f>
        <v>-0.1938183135946292</v>
      </c>
      <c r="I505" cm="1">
        <f t="array" ref="I505">(PRODUCT(1+sp500_monthly!O506:O625)^(1/120)-1)*100</f>
        <v>-3.9232778278963654E-2</v>
      </c>
    </row>
    <row r="506" spans="1:9" x14ac:dyDescent="0.35">
      <c r="A506" s="1">
        <v>24835</v>
      </c>
      <c r="B506" cm="1">
        <f t="array" ref="B506">(PRODUCT(1+sp500_monthly!B507:B626)^(1/120)-1)*100</f>
        <v>0.29188131584982902</v>
      </c>
      <c r="C506" cm="1">
        <f t="array" ref="C506">(PRODUCT(1+sp500_monthly!C507:C626)^(1/120)-1)*100</f>
        <v>-1.4472752938421429E-2</v>
      </c>
      <c r="D506" cm="1">
        <f t="array" ref="D506">(PRODUCT(1+sp500_monthly!D507:D626)^(1/120)-1)*100</f>
        <v>0.45447761567269929</v>
      </c>
      <c r="E506" cm="1">
        <f t="array" ref="E506">(PRODUCT(1+sp500_monthly!E507:E626)^(1/120)-1)*100</f>
        <v>0.13161424733274529</v>
      </c>
      <c r="F506" cm="1">
        <f t="array" ref="F506">(PRODUCT(1+sp500_monthly!K507:K626)^(1/120)-1)*100</f>
        <v>-1.1920705714385527E-2</v>
      </c>
      <c r="G506" cm="1">
        <f t="array" ref="G506">(PRODUCT(1+sp500_monthly!L507:L626)^(1/120)-1)</f>
        <v>0.462128518152783</v>
      </c>
      <c r="H506" cm="1">
        <f t="array" ref="H506">(PRODUCT(1+sp500_monthly!N507:N626)^(1/120)-1)*100</f>
        <v>-0.21298411450120236</v>
      </c>
      <c r="I506" cm="1">
        <f t="array" ref="I506">(PRODUCT(1+sp500_monthly!O507:O626)^(1/120)-1)*100</f>
        <v>-3.9472736640899786E-2</v>
      </c>
    </row>
    <row r="507" spans="1:9" x14ac:dyDescent="0.35">
      <c r="A507" s="1">
        <v>24868</v>
      </c>
      <c r="B507" cm="1">
        <f t="array" ref="B507">(PRODUCT(1+sp500_monthly!B508:B627)^(1/120)-1)*100</f>
        <v>0.27534901790589039</v>
      </c>
      <c r="C507" cm="1">
        <f t="array" ref="C507">(PRODUCT(1+sp500_monthly!C508:C627)^(1/120)-1)*100</f>
        <v>-3.1267570814419443E-2</v>
      </c>
      <c r="D507" cm="1">
        <f t="array" ref="D507">(PRODUCT(1+sp500_monthly!D508:D627)^(1/120)-1)*100</f>
        <v>0.4200914500555708</v>
      </c>
      <c r="E507" cm="1">
        <f t="array" ref="E507">(PRODUCT(1+sp500_monthly!E508:E627)^(1/120)-1)*100</f>
        <v>9.7065594898038121E-2</v>
      </c>
      <c r="F507" cm="1">
        <f t="array" ref="F507">(PRODUCT(1+sp500_monthly!K508:K627)^(1/120)-1)*100</f>
        <v>-2.7458443878480843E-2</v>
      </c>
      <c r="G507" cm="1">
        <f t="array" ref="G507">(PRODUCT(1+sp500_monthly!L508:L627)^(1/120)-1)</f>
        <v>0.46288785096329943</v>
      </c>
      <c r="H507" cm="1">
        <f t="array" ref="H507">(PRODUCT(1+sp500_monthly!N508:N627)^(1/120)-1)*100</f>
        <v>-0.23231249505936136</v>
      </c>
      <c r="I507" cm="1">
        <f t="array" ref="I507">(PRODUCT(1+sp500_monthly!O508:O627)^(1/120)-1)*100</f>
        <v>-4.1611160471266562E-2</v>
      </c>
    </row>
    <row r="508" spans="1:9" x14ac:dyDescent="0.35">
      <c r="A508" s="1">
        <v>24897</v>
      </c>
      <c r="B508" cm="1">
        <f t="array" ref="B508">(PRODUCT(1+sp500_monthly!B509:B628)^(1/120)-1)*100</f>
        <v>0.28443670157296541</v>
      </c>
      <c r="C508" cm="1">
        <f t="array" ref="C508">(PRODUCT(1+sp500_monthly!C509:C628)^(1/120)-1)*100</f>
        <v>-2.5235042840754396E-2</v>
      </c>
      <c r="D508" cm="1">
        <f t="array" ref="D508">(PRODUCT(1+sp500_monthly!D509:D628)^(1/120)-1)*100</f>
        <v>0.43783919639459601</v>
      </c>
      <c r="E508" cm="1">
        <f t="array" ref="E508">(PRODUCT(1+sp500_monthly!E509:E628)^(1/120)-1)*100</f>
        <v>0.11305389382274544</v>
      </c>
      <c r="F508" cm="1">
        <f t="array" ref="F508">(PRODUCT(1+sp500_monthly!K509:K628)^(1/120)-1)*100</f>
        <v>-2.1920567719424522E-2</v>
      </c>
      <c r="G508" cm="1">
        <f t="array" ref="G508">(PRODUCT(1+sp500_monthly!L509:L628)^(1/120)-1)</f>
        <v>0.46348693704293242</v>
      </c>
      <c r="H508" cm="1">
        <f t="array" ref="H508">(PRODUCT(1+sp500_monthly!N509:N628)^(1/120)-1)*100</f>
        <v>-0.22480489057595809</v>
      </c>
      <c r="I508" cm="1">
        <f t="array" ref="I508">(PRODUCT(1+sp500_monthly!O509:O628)^(1/120)-1)*100</f>
        <v>-4.2567408952898234E-2</v>
      </c>
    </row>
    <row r="509" spans="1:9" x14ac:dyDescent="0.35">
      <c r="A509" s="1">
        <v>24926</v>
      </c>
      <c r="B509" cm="1">
        <f t="array" ref="B509">(PRODUCT(1+sp500_monthly!B510:B629)^(1/120)-1)*100</f>
        <v>0.29857747358386089</v>
      </c>
      <c r="C509" cm="1">
        <f t="array" ref="C509">(PRODUCT(1+sp500_monthly!C510:C629)^(1/120)-1)*100</f>
        <v>-1.2307666625566149E-2</v>
      </c>
      <c r="D509" cm="1">
        <f t="array" ref="D509">(PRODUCT(1+sp500_monthly!D510:D629)^(1/120)-1)*100</f>
        <v>0.47775858790166659</v>
      </c>
      <c r="E509" cm="1">
        <f t="array" ref="E509">(PRODUCT(1+sp500_monthly!E510:E629)^(1/120)-1)*100</f>
        <v>0.15183635657500805</v>
      </c>
      <c r="F509" cm="1">
        <f t="array" ref="F509">(PRODUCT(1+sp500_monthly!K510:K629)^(1/120)-1)*100</f>
        <v>-9.1982156258385572E-3</v>
      </c>
      <c r="G509" cm="1">
        <f t="array" ref="G509">(PRODUCT(1+sp500_monthly!L510:L629)^(1/120)-1)</f>
        <v>0.46474588474550971</v>
      </c>
      <c r="H509" cm="1">
        <f t="array" ref="H509">(PRODUCT(1+sp500_monthly!N510:N629)^(1/120)-1)*100</f>
        <v>-0.21357108479167497</v>
      </c>
      <c r="I509" cm="1">
        <f t="array" ref="I509">(PRODUCT(1+sp500_monthly!O510:O629)^(1/120)-1)*100</f>
        <v>-4.4163565436339258E-2</v>
      </c>
    </row>
    <row r="510" spans="1:9" x14ac:dyDescent="0.35">
      <c r="A510" s="1">
        <v>24958</v>
      </c>
      <c r="B510" cm="1">
        <f t="array" ref="B510">(PRODUCT(1+sp500_monthly!B511:B630)^(1/120)-1)*100</f>
        <v>0.30232537989696162</v>
      </c>
      <c r="C510" cm="1">
        <f t="array" ref="C510">(PRODUCT(1+sp500_monthly!C511:C630)^(1/120)-1)*100</f>
        <v>-8.5058561082651529E-3</v>
      </c>
      <c r="D510" cm="1">
        <f t="array" ref="D510">(PRODUCT(1+sp500_monthly!D511:D630)^(1/120)-1)*100</f>
        <v>0.46404571683642537</v>
      </c>
      <c r="E510" cm="1">
        <f t="array" ref="E510">(PRODUCT(1+sp500_monthly!E511:E630)^(1/120)-1)*100</f>
        <v>0.13818547208752641</v>
      </c>
      <c r="F510" cm="1">
        <f t="array" ref="F510">(PRODUCT(1+sp500_monthly!K511:K630)^(1/120)-1)*100</f>
        <v>-6.5169558246758186E-3</v>
      </c>
      <c r="G510" cm="1">
        <f t="array" ref="G510">(PRODUCT(1+sp500_monthly!L511:L630)^(1/120)-1)</f>
        <v>0.46565074201514833</v>
      </c>
      <c r="H510" cm="1">
        <f t="array" ref="H510">(PRODUCT(1+sp500_monthly!N511:N630)^(1/120)-1)*100</f>
        <v>-0.21395382691714593</v>
      </c>
      <c r="I510" cm="1">
        <f t="array" ref="I510">(PRODUCT(1+sp500_monthly!O511:O630)^(1/120)-1)*100</f>
        <v>-4.7370096297949527E-2</v>
      </c>
    </row>
    <row r="511" spans="1:9" x14ac:dyDescent="0.35">
      <c r="A511" s="1">
        <v>24989</v>
      </c>
      <c r="B511" cm="1">
        <f t="array" ref="B511">(PRODUCT(1+sp500_monthly!B512:B631)^(1/120)-1)*100</f>
        <v>0.30013910958466283</v>
      </c>
      <c r="C511" cm="1">
        <f t="array" ref="C511">(PRODUCT(1+sp500_monthly!C512:C631)^(1/120)-1)*100</f>
        <v>-1.4019079480209751E-2</v>
      </c>
      <c r="D511" cm="1">
        <f t="array" ref="D511">(PRODUCT(1+sp500_monthly!D512:D631)^(1/120)-1)*100</f>
        <v>0.45655394057002585</v>
      </c>
      <c r="E511" cm="1">
        <f t="array" ref="E511">(PRODUCT(1+sp500_monthly!E512:E631)^(1/120)-1)*100</f>
        <v>0.12872359080309259</v>
      </c>
      <c r="F511" cm="1">
        <f t="array" ref="F511">(PRODUCT(1+sp500_monthly!K512:K631)^(1/120)-1)*100</f>
        <v>-1.2251438847732388E-2</v>
      </c>
      <c r="G511" cm="1">
        <f t="array" ref="G511">(PRODUCT(1+sp500_monthly!L512:L631)^(1/120)-1)</f>
        <v>0.46614604579920194</v>
      </c>
      <c r="H511" cm="1">
        <f t="array" ref="H511">(PRODUCT(1+sp500_monthly!N512:N631)^(1/120)-1)*100</f>
        <v>-0.22148634795886579</v>
      </c>
      <c r="I511" cm="1">
        <f t="array" ref="I511">(PRODUCT(1+sp500_monthly!O512:O631)^(1/120)-1)*100</f>
        <v>-5.223931081119737E-2</v>
      </c>
    </row>
    <row r="512" spans="1:9" x14ac:dyDescent="0.35">
      <c r="A512" s="1">
        <v>25017</v>
      </c>
      <c r="B512" cm="1">
        <f t="array" ref="B512">(PRODUCT(1+sp500_monthly!B513:B632)^(1/120)-1)*100</f>
        <v>0.27792165290243531</v>
      </c>
      <c r="C512" cm="1">
        <f t="array" ref="C512">(PRODUCT(1+sp500_monthly!C513:C632)^(1/120)-1)*100</f>
        <v>-3.7173423265257632E-2</v>
      </c>
      <c r="D512" cm="1">
        <f t="array" ref="D512">(PRODUCT(1+sp500_monthly!D513:D632)^(1/120)-1)*100</f>
        <v>0.42970001943229974</v>
      </c>
      <c r="E512" cm="1">
        <f t="array" ref="E512">(PRODUCT(1+sp500_monthly!E513:E632)^(1/120)-1)*100</f>
        <v>0.1009670286502784</v>
      </c>
      <c r="F512" cm="1">
        <f t="array" ref="F512">(PRODUCT(1+sp500_monthly!K513:K632)^(1/120)-1)*100</f>
        <v>-3.4596300921474477E-2</v>
      </c>
      <c r="G512" cm="1">
        <f t="array" ref="G512">(PRODUCT(1+sp500_monthly!L513:L632)^(1/120)-1)</f>
        <v>0.4670517680283679</v>
      </c>
      <c r="H512" cm="1">
        <f t="array" ref="H512">(PRODUCT(1+sp500_monthly!N513:N632)^(1/120)-1)*100</f>
        <v>-0.24520237435677883</v>
      </c>
      <c r="I512" cm="1">
        <f t="array" ref="I512">(PRODUCT(1+sp500_monthly!O513:O632)^(1/120)-1)*100</f>
        <v>-5.2944766535112375E-2</v>
      </c>
    </row>
    <row r="513" spans="1:9" x14ac:dyDescent="0.35">
      <c r="A513" s="1">
        <v>25049</v>
      </c>
      <c r="B513" cm="1">
        <f t="array" ref="B513">(PRODUCT(1+sp500_monthly!B514:B633)^(1/120)-1)*100</f>
        <v>0.33894934336267113</v>
      </c>
      <c r="C513" cm="1">
        <f t="array" ref="C513">(PRODUCT(1+sp500_monthly!C514:C633)^(1/120)-1)*100</f>
        <v>2.3235550331235366E-2</v>
      </c>
      <c r="D513" cm="1">
        <f t="array" ref="D513">(PRODUCT(1+sp500_monthly!D514:D633)^(1/120)-1)*100</f>
        <v>0.50187689660121659</v>
      </c>
      <c r="E513" cm="1">
        <f t="array" ref="E513">(PRODUCT(1+sp500_monthly!E514:E633)^(1/120)-1)*100</f>
        <v>0.17252286359199509</v>
      </c>
      <c r="F513" cm="1">
        <f t="array" ref="F513">(PRODUCT(1+sp500_monthly!K514:K633)^(1/120)-1)*100</f>
        <v>2.4699019820473289E-2</v>
      </c>
      <c r="G513" cm="1">
        <f t="array" ref="G513">(PRODUCT(1+sp500_monthly!L514:L633)^(1/120)-1)</f>
        <v>0.46769550157266004</v>
      </c>
      <c r="H513" cm="1">
        <f t="array" ref="H513">(PRODUCT(1+sp500_monthly!N514:N633)^(1/120)-1)*100</f>
        <v>-0.1860865336321571</v>
      </c>
      <c r="I513" cm="1">
        <f t="array" ref="I513">(PRODUCT(1+sp500_monthly!O514:O633)^(1/120)-1)*100</f>
        <v>-5.3877492196152676E-2</v>
      </c>
    </row>
    <row r="514" spans="1:9" x14ac:dyDescent="0.35">
      <c r="A514" s="1">
        <v>25080</v>
      </c>
      <c r="B514" cm="1">
        <f t="array" ref="B514">(PRODUCT(1+sp500_monthly!B515:B634)^(1/120)-1)*100</f>
        <v>0.35300262176916064</v>
      </c>
      <c r="C514" cm="1">
        <f t="array" ref="C514">(PRODUCT(1+sp500_monthly!C515:C634)^(1/120)-1)*100</f>
        <v>3.494365588809778E-2</v>
      </c>
      <c r="D514" cm="1">
        <f t="array" ref="D514">(PRODUCT(1+sp500_monthly!D515:D634)^(1/120)-1)*100</f>
        <v>0.52178068305619441</v>
      </c>
      <c r="E514" cm="1">
        <f t="array" ref="E514">(PRODUCT(1+sp500_monthly!E515:E634)^(1/120)-1)*100</f>
        <v>0.19108693769944729</v>
      </c>
      <c r="F514" cm="1">
        <f t="array" ref="F514">(PRODUCT(1+sp500_monthly!K515:K634)^(1/120)-1)*100</f>
        <v>3.6535831980688549E-2</v>
      </c>
      <c r="G514" cm="1">
        <f t="array" ref="G514">(PRODUCT(1+sp500_monthly!L515:L634)^(1/120)-1)</f>
        <v>0.46884600115170971</v>
      </c>
      <c r="H514" cm="1">
        <f t="array" ref="H514">(PRODUCT(1+sp500_monthly!N515:N634)^(1/120)-1)*100</f>
        <v>-0.17479134845530542</v>
      </c>
      <c r="I514" cm="1">
        <f t="array" ref="I514">(PRODUCT(1+sp500_monthly!O515:O634)^(1/120)-1)*100</f>
        <v>-5.54049012375879E-2</v>
      </c>
    </row>
    <row r="515" spans="1:9" x14ac:dyDescent="0.35">
      <c r="A515" s="1">
        <v>25111</v>
      </c>
      <c r="B515" cm="1">
        <f t="array" ref="B515">(PRODUCT(1+sp500_monthly!B516:B635)^(1/120)-1)*100</f>
        <v>0.31640315280454523</v>
      </c>
      <c r="C515" cm="1">
        <f t="array" ref="C515">(PRODUCT(1+sp500_monthly!C516:C635)^(1/120)-1)*100</f>
        <v>-2.5700937280270786E-3</v>
      </c>
      <c r="D515" cm="1">
        <f t="array" ref="D515">(PRODUCT(1+sp500_monthly!D516:D635)^(1/120)-1)*100</f>
        <v>0.46989449650765014</v>
      </c>
      <c r="E515" cm="1">
        <f t="array" ref="E515">(PRODUCT(1+sp500_monthly!E516:E635)^(1/120)-1)*100</f>
        <v>0.13841691243945409</v>
      </c>
      <c r="F515" cm="1">
        <f t="array" ref="F515">(PRODUCT(1+sp500_monthly!K516:K635)^(1/120)-1)*100</f>
        <v>-1.0561744500425796E-3</v>
      </c>
      <c r="G515" cm="1">
        <f t="array" ref="G515">(PRODUCT(1+sp500_monthly!L516:L635)^(1/120)-1)</f>
        <v>0.47037380385562511</v>
      </c>
      <c r="H515" cm="1">
        <f t="array" ref="H515">(PRODUCT(1+sp500_monthly!N516:N635)^(1/120)-1)*100</f>
        <v>-0.21636262751479896</v>
      </c>
      <c r="I515" cm="1">
        <f t="array" ref="I515">(PRODUCT(1+sp500_monthly!O516:O635)^(1/120)-1)*100</f>
        <v>-5.9003141315228103E-2</v>
      </c>
    </row>
    <row r="516" spans="1:9" x14ac:dyDescent="0.35">
      <c r="A516" s="1">
        <v>25142</v>
      </c>
      <c r="B516" cm="1">
        <f t="array" ref="B516">(PRODUCT(1+sp500_monthly!B517:B636)^(1/120)-1)*100</f>
        <v>0.23084585354462561</v>
      </c>
      <c r="C516" cm="1">
        <f t="array" ref="C516">(PRODUCT(1+sp500_monthly!C517:C636)^(1/120)-1)*100</f>
        <v>-8.8810261931138168E-2</v>
      </c>
      <c r="D516" cm="1">
        <f t="array" ref="D516">(PRODUCT(1+sp500_monthly!D517:D636)^(1/120)-1)*100</f>
        <v>0.33977492715377977</v>
      </c>
      <c r="E516" cm="1">
        <f t="array" ref="E516">(PRODUCT(1+sp500_monthly!E517:E636)^(1/120)-1)*100</f>
        <v>7.6260105269287948E-3</v>
      </c>
      <c r="F516" cm="1">
        <f t="array" ref="F516">(PRODUCT(1+sp500_monthly!K517:K636)^(1/120)-1)*100</f>
        <v>-8.7038274674544613E-2</v>
      </c>
      <c r="G516" cm="1">
        <f t="array" ref="G516">(PRODUCT(1+sp500_monthly!L517:L636)^(1/120)-1)</f>
        <v>0.47226384357003437</v>
      </c>
      <c r="H516" cm="1">
        <f t="array" ref="H516">(PRODUCT(1+sp500_monthly!N517:N636)^(1/120)-1)*100</f>
        <v>-0.30420743481509582</v>
      </c>
      <c r="I516" cm="1">
        <f t="array" ref="I516">(PRODUCT(1+sp500_monthly!O517:O636)^(1/120)-1)*100</f>
        <v>-5.976404492039622E-2</v>
      </c>
    </row>
    <row r="517" spans="1:9" x14ac:dyDescent="0.35">
      <c r="A517" s="1">
        <v>25171</v>
      </c>
      <c r="B517" cm="1">
        <f t="array" ref="B517">(PRODUCT(1+sp500_monthly!B518:B637)^(1/120)-1)*100</f>
        <v>0.2093194466108228</v>
      </c>
      <c r="C517" cm="1">
        <f t="array" ref="C517">(PRODUCT(1+sp500_monthly!C518:C637)^(1/120)-1)*100</f>
        <v>-0.11400289859335722</v>
      </c>
      <c r="D517" cm="1">
        <f t="array" ref="D517">(PRODUCT(1+sp500_monthly!D518:D637)^(1/120)-1)*100</f>
        <v>0.30839136359577246</v>
      </c>
      <c r="E517" cm="1">
        <f t="array" ref="E517">(PRODUCT(1+sp500_monthly!E518:E637)^(1/120)-1)*100</f>
        <v>-2.6155534392169333E-2</v>
      </c>
      <c r="F517" cm="1">
        <f t="array" ref="F517">(PRODUCT(1+sp500_monthly!K518:K637)^(1/120)-1)*100</f>
        <v>-0.11230153793447828</v>
      </c>
      <c r="G517" cm="1">
        <f t="array" ref="G517">(PRODUCT(1+sp500_monthly!L518:L637)^(1/120)-1)</f>
        <v>0.47447354479191994</v>
      </c>
      <c r="H517" cm="1">
        <f t="array" ref="H517">(PRODUCT(1+sp500_monthly!N518:N637)^(1/120)-1)*100</f>
        <v>-0.32820602540873933</v>
      </c>
      <c r="I517" cm="1">
        <f t="array" ref="I517">(PRODUCT(1+sp500_monthly!O518:O637)^(1/120)-1)*100</f>
        <v>-6.0039120532329182E-2</v>
      </c>
    </row>
    <row r="518" spans="1:9" x14ac:dyDescent="0.35">
      <c r="A518" s="1">
        <v>25203</v>
      </c>
      <c r="B518" cm="1">
        <f t="array" ref="B518">(PRODUCT(1+sp500_monthly!B519:B638)^(1/120)-1)*100</f>
        <v>0.25791025172225979</v>
      </c>
      <c r="C518" cm="1">
        <f t="array" ref="C518">(PRODUCT(1+sp500_monthly!C519:C638)^(1/120)-1)*100</f>
        <v>-6.6364300658972031E-2</v>
      </c>
      <c r="D518" cm="1">
        <f t="array" ref="D518">(PRODUCT(1+sp500_monthly!D519:D638)^(1/120)-1)*100</f>
        <v>0.33664569822398072</v>
      </c>
      <c r="E518" cm="1">
        <f t="array" ref="E518">(PRODUCT(1+sp500_monthly!E519:E638)^(1/120)-1)*100</f>
        <v>7.7391198884946277E-4</v>
      </c>
      <c r="F518" cm="1">
        <f t="array" ref="F518">(PRODUCT(1+sp500_monthly!K519:K638)^(1/120)-1)*100</f>
        <v>-6.4604568465786993E-2</v>
      </c>
      <c r="G518" cm="1">
        <f t="array" ref="G518">(PRODUCT(1+sp500_monthly!L519:L638)^(1/120)-1)</f>
        <v>0.47716616408743695</v>
      </c>
      <c r="H518" cm="1">
        <f t="array" ref="H518">(PRODUCT(1+sp500_monthly!N519:N638)^(1/120)-1)*100</f>
        <v>-0.28010407106194846</v>
      </c>
      <c r="I518" cm="1">
        <f t="array" ref="I518">(PRODUCT(1+sp500_monthly!O519:O638)^(1/120)-1)*100</f>
        <v>-5.7370407381751587E-2</v>
      </c>
    </row>
    <row r="519" spans="1:9" x14ac:dyDescent="0.35">
      <c r="A519" s="1">
        <v>25234</v>
      </c>
      <c r="B519" cm="1">
        <f t="array" ref="B519">(PRODUCT(1+sp500_monthly!B520:B639)^(1/120)-1)*100</f>
        <v>0.29918009395648593</v>
      </c>
      <c r="C519" cm="1">
        <f t="array" ref="C519">(PRODUCT(1+sp500_monthly!C520:C639)^(1/120)-1)*100</f>
        <v>-2.636218405049906E-2</v>
      </c>
      <c r="D519" cm="1">
        <f t="array" ref="D519">(PRODUCT(1+sp500_monthly!D520:D639)^(1/120)-1)*100</f>
        <v>0.39601795174288856</v>
      </c>
      <c r="E519" cm="1">
        <f t="array" ref="E519">(PRODUCT(1+sp500_monthly!E520:E639)^(1/120)-1)*100</f>
        <v>5.9073172055290613E-2</v>
      </c>
      <c r="F519" cm="1">
        <f t="array" ref="F519">(PRODUCT(1+sp500_monthly!K520:K639)^(1/120)-1)*100</f>
        <v>-2.5293809013404722E-2</v>
      </c>
      <c r="G519" cm="1">
        <f t="array" ref="G519">(PRODUCT(1+sp500_monthly!L520:L639)^(1/120)-1)</f>
        <v>0.47896092483445307</v>
      </c>
      <c r="H519" cm="1">
        <f t="array" ref="H519">(PRODUCT(1+sp500_monthly!N520:N639)^(1/120)-1)*100</f>
        <v>-0.24403751589551215</v>
      </c>
      <c r="I519" cm="1">
        <f t="array" ref="I519">(PRODUCT(1+sp500_monthly!O520:O639)^(1/120)-1)*100</f>
        <v>-6.037543544232804E-2</v>
      </c>
    </row>
    <row r="520" spans="1:9" x14ac:dyDescent="0.35">
      <c r="A520" s="1">
        <v>25262</v>
      </c>
      <c r="B520" cm="1">
        <f t="array" ref="B520">(PRODUCT(1+sp500_monthly!B521:B640)^(1/120)-1)*100</f>
        <v>0.31102883269964465</v>
      </c>
      <c r="C520" cm="1">
        <f t="array" ref="C520">(PRODUCT(1+sp500_monthly!C521:C640)^(1/120)-1)*100</f>
        <v>-1.7293213876712343E-2</v>
      </c>
      <c r="D520" cm="1">
        <f t="array" ref="D520">(PRODUCT(1+sp500_monthly!D521:D640)^(1/120)-1)*100</f>
        <v>0.42482239516128395</v>
      </c>
      <c r="E520" cm="1">
        <f t="array" ref="E520">(PRODUCT(1+sp500_monthly!E521:E640)^(1/120)-1)*100</f>
        <v>8.5663435271121635E-2</v>
      </c>
      <c r="F520" cm="1">
        <f t="array" ref="F520">(PRODUCT(1+sp500_monthly!K521:K640)^(1/120)-1)*100</f>
        <v>-1.5859816615815259E-2</v>
      </c>
      <c r="G520" cm="1">
        <f t="array" ref="G520">(PRODUCT(1+sp500_monthly!L521:L640)^(1/120)-1)</f>
        <v>0.4810537161683015</v>
      </c>
      <c r="H520" cm="1">
        <f t="array" ref="H520">(PRODUCT(1+sp500_monthly!N521:N640)^(1/120)-1)*100</f>
        <v>-0.2383800913548062</v>
      </c>
      <c r="I520" cm="1">
        <f t="array" ref="I520">(PRODUCT(1+sp500_monthly!O521:O640)^(1/120)-1)*100</f>
        <v>-6.4277902565246237E-2</v>
      </c>
    </row>
    <row r="521" spans="1:9" x14ac:dyDescent="0.35">
      <c r="A521" s="1">
        <v>25290</v>
      </c>
      <c r="B521" cm="1">
        <f t="array" ref="B521">(PRODUCT(1+sp500_monthly!B522:B641)^(1/120)-1)*100</f>
        <v>0.32902172369224658</v>
      </c>
      <c r="C521" cm="1">
        <f t="array" ref="C521">(PRODUCT(1+sp500_monthly!C522:C641)^(1/120)-1)*100</f>
        <v>-3.547171643636382E-4</v>
      </c>
      <c r="D521" cm="1">
        <f t="array" ref="D521">(PRODUCT(1+sp500_monthly!D522:D641)^(1/120)-1)*100</f>
        <v>0.46625368118782262</v>
      </c>
      <c r="E521" cm="1">
        <f t="array" ref="E521">(PRODUCT(1+sp500_monthly!E522:E641)^(1/120)-1)*100</f>
        <v>0.12580256901146836</v>
      </c>
      <c r="F521" cm="1">
        <f t="array" ref="F521">(PRODUCT(1+sp500_monthly!K522:K641)^(1/120)-1)*100</f>
        <v>6.5621779568036942E-4</v>
      </c>
      <c r="G521" cm="1">
        <f t="array" ref="G521">(PRODUCT(1+sp500_monthly!L522:L641)^(1/120)-1)</f>
        <v>0.4837082943033717</v>
      </c>
      <c r="H521" cm="1">
        <f t="array" ref="H521">(PRODUCT(1+sp500_monthly!N522:N641)^(1/120)-1)*100</f>
        <v>-0.22191575709895606</v>
      </c>
      <c r="I521" cm="1">
        <f t="array" ref="I521">(PRODUCT(1+sp500_monthly!O522:O641)^(1/120)-1)*100</f>
        <v>-6.2813746850043373E-2</v>
      </c>
    </row>
    <row r="522" spans="1:9" x14ac:dyDescent="0.35">
      <c r="A522" s="1">
        <v>25323</v>
      </c>
      <c r="B522" cm="1">
        <f t="array" ref="B522">(PRODUCT(1+sp500_monthly!B523:B642)^(1/120)-1)*100</f>
        <v>0.31368816063601646</v>
      </c>
      <c r="C522" cm="1">
        <f t="array" ref="C522">(PRODUCT(1+sp500_monthly!C523:C642)^(1/120)-1)*100</f>
        <v>-1.619229301809133E-2</v>
      </c>
      <c r="D522" cm="1">
        <f t="array" ref="D522">(PRODUCT(1+sp500_monthly!D523:D642)^(1/120)-1)*100</f>
        <v>0.46539928609548031</v>
      </c>
      <c r="E522" cm="1">
        <f t="array" ref="E522">(PRODUCT(1+sp500_monthly!E523:E642)^(1/120)-1)*100</f>
        <v>0.1243242729772609</v>
      </c>
      <c r="F522" cm="1">
        <f t="array" ref="F522">(PRODUCT(1+sp500_monthly!K523:K642)^(1/120)-1)*100</f>
        <v>-1.5656756929793847E-2</v>
      </c>
      <c r="G522" cm="1">
        <f t="array" ref="G522">(PRODUCT(1+sp500_monthly!L523:L642)^(1/120)-1)</f>
        <v>0.48571907798671576</v>
      </c>
      <c r="H522" cm="1">
        <f t="array" ref="H522">(PRODUCT(1+sp500_monthly!N523:N642)^(1/120)-1)*100</f>
        <v>-0.2408559589904824</v>
      </c>
      <c r="I522" cm="1">
        <f t="array" ref="I522">(PRODUCT(1+sp500_monthly!O523:O642)^(1/120)-1)*100</f>
        <v>-6.4277361286335655E-2</v>
      </c>
    </row>
    <row r="523" spans="1:9" x14ac:dyDescent="0.35">
      <c r="A523" s="1">
        <v>25352</v>
      </c>
      <c r="B523" cm="1">
        <f t="array" ref="B523">(PRODUCT(1+sp500_monthly!B524:B643)^(1/120)-1)*100</f>
        <v>0.29629559202393185</v>
      </c>
      <c r="C523" cm="1">
        <f t="array" ref="C523">(PRODUCT(1+sp500_monthly!C524:C643)^(1/120)-1)*100</f>
        <v>-3.6846294493364518E-2</v>
      </c>
      <c r="D523" cm="1">
        <f t="array" ref="D523">(PRODUCT(1+sp500_monthly!D524:D643)^(1/120)-1)*100</f>
        <v>0.45894013733807082</v>
      </c>
      <c r="E523" cm="1">
        <f t="array" ref="E523">(PRODUCT(1+sp500_monthly!E524:E643)^(1/120)-1)*100</f>
        <v>0.11556304842481602</v>
      </c>
      <c r="F523" cm="1">
        <f t="array" ref="F523">(PRODUCT(1+sp500_monthly!K524:K643)^(1/120)-1)*100</f>
        <v>-3.6041936601827196E-2</v>
      </c>
      <c r="G523" cm="1">
        <f t="array" ref="G523">(PRODUCT(1+sp500_monthly!L524:L643)^(1/120)-1)</f>
        <v>0.48828160537966836</v>
      </c>
      <c r="H523" cm="1">
        <f t="array" ref="H523">(PRODUCT(1+sp500_monthly!N524:N643)^(1/120)-1)*100</f>
        <v>-0.26523104973631417</v>
      </c>
      <c r="I523" cm="1">
        <f t="array" ref="I523">(PRODUCT(1+sp500_monthly!O524:O643)^(1/120)-1)*100</f>
        <v>-6.8556721788604058E-2</v>
      </c>
    </row>
    <row r="524" spans="1:9" x14ac:dyDescent="0.35">
      <c r="A524" s="1">
        <v>25384</v>
      </c>
      <c r="B524" cm="1">
        <f t="array" ref="B524">(PRODUCT(1+sp500_monthly!B525:B644)^(1/120)-1)*100</f>
        <v>0.37608155595982851</v>
      </c>
      <c r="C524" cm="1">
        <f t="array" ref="C524">(PRODUCT(1+sp500_monthly!C525:C644)^(1/120)-1)*100</f>
        <v>4.1815589484062166E-2</v>
      </c>
      <c r="D524" cm="1">
        <f t="array" ref="D524">(PRODUCT(1+sp500_monthly!D525:D644)^(1/120)-1)*100</f>
        <v>0.57333615178651876</v>
      </c>
      <c r="E524" cm="1">
        <f t="array" ref="E524">(PRODUCT(1+sp500_monthly!E525:E644)^(1/120)-1)*100</f>
        <v>0.22852970029405562</v>
      </c>
      <c r="F524" cm="1">
        <f t="array" ref="F524">(PRODUCT(1+sp500_monthly!K525:K644)^(1/120)-1)*100</f>
        <v>4.3218144490775323E-2</v>
      </c>
      <c r="G524" cm="1">
        <f t="array" ref="G524">(PRODUCT(1+sp500_monthly!L525:L644)^(1/120)-1)</f>
        <v>0.49053082174738183</v>
      </c>
      <c r="H524" cm="1">
        <f t="array" ref="H524">(PRODUCT(1+sp500_monthly!N525:N644)^(1/120)-1)*100</f>
        <v>-0.19060182413365157</v>
      </c>
      <c r="I524" cm="1">
        <f t="array" ref="I524">(PRODUCT(1+sp500_monthly!O525:O644)^(1/120)-1)*100</f>
        <v>-7.0790479996463151E-2</v>
      </c>
    </row>
    <row r="525" spans="1:9" x14ac:dyDescent="0.35">
      <c r="A525" s="1">
        <v>25415</v>
      </c>
      <c r="B525" cm="1">
        <f t="array" ref="B525">(PRODUCT(1+sp500_monthly!B526:B645)^(1/120)-1)*100</f>
        <v>0.43666015437855421</v>
      </c>
      <c r="C525" cm="1">
        <f t="array" ref="C525">(PRODUCT(1+sp500_monthly!C526:C645)^(1/120)-1)*100</f>
        <v>0.10142419722565243</v>
      </c>
      <c r="D525" cm="1">
        <f t="array" ref="D525">(PRODUCT(1+sp500_monthly!D526:D645)^(1/120)-1)*100</f>
        <v>0.65653923020774219</v>
      </c>
      <c r="E525" cm="1">
        <f t="array" ref="E525">(PRODUCT(1+sp500_monthly!E526:E645)^(1/120)-1)*100</f>
        <v>0.31084936188392476</v>
      </c>
      <c r="F525" cm="1">
        <f t="array" ref="F525">(PRODUCT(1+sp500_monthly!K526:K645)^(1/120)-1)*100</f>
        <v>0.10223833479958699</v>
      </c>
      <c r="G525" cm="1">
        <f t="array" ref="G525">(PRODUCT(1+sp500_monthly!L526:L645)^(1/120)-1)</f>
        <v>0.49234182058835674</v>
      </c>
      <c r="H525" cm="1">
        <f t="array" ref="H525">(PRODUCT(1+sp500_monthly!N526:N645)^(1/120)-1)*100</f>
        <v>-0.13500056195667742</v>
      </c>
      <c r="I525" cm="1">
        <f t="array" ref="I525">(PRODUCT(1+sp500_monthly!O526:O645)^(1/120)-1)*100</f>
        <v>-7.3442972897297398E-2</v>
      </c>
    </row>
    <row r="526" spans="1:9" x14ac:dyDescent="0.35">
      <c r="A526" s="1">
        <v>25444</v>
      </c>
      <c r="B526" cm="1">
        <f t="array" ref="B526">(PRODUCT(1+sp500_monthly!B527:B646)^(1/120)-1)*100</f>
        <v>0.44947794761087678</v>
      </c>
      <c r="C526" cm="1">
        <f t="array" ref="C526">(PRODUCT(1+sp500_monthly!C527:C646)^(1/120)-1)*100</f>
        <v>0.11181882001718435</v>
      </c>
      <c r="D526" cm="1">
        <f t="array" ref="D526">(PRODUCT(1+sp500_monthly!D527:D646)^(1/120)-1)*100</f>
        <v>0.67855205700171339</v>
      </c>
      <c r="E526" cm="1">
        <f t="array" ref="E526">(PRODUCT(1+sp500_monthly!E527:E646)^(1/120)-1)*100</f>
        <v>0.33134512836818786</v>
      </c>
      <c r="F526" cm="1">
        <f t="array" ref="F526">(PRODUCT(1+sp500_monthly!K527:K646)^(1/120)-1)*100</f>
        <v>0.11260399109582764</v>
      </c>
      <c r="G526" cm="1">
        <f t="array" ref="G526">(PRODUCT(1+sp500_monthly!L527:L646)^(1/120)-1)</f>
        <v>0.49440160843485348</v>
      </c>
      <c r="H526" cm="1">
        <f t="array" ref="H526">(PRODUCT(1+sp500_monthly!N527:N646)^(1/120)-1)*100</f>
        <v>-0.12793998146544139</v>
      </c>
      <c r="I526" cm="1">
        <f t="array" ref="I526">(PRODUCT(1+sp500_monthly!O527:O646)^(1/120)-1)*100</f>
        <v>-7.6895948179944718E-2</v>
      </c>
    </row>
    <row r="527" spans="1:9" x14ac:dyDescent="0.35">
      <c r="A527" s="1">
        <v>25476</v>
      </c>
      <c r="B527" cm="1">
        <f t="array" ref="B527">(PRODUCT(1+sp500_monthly!B528:B647)^(1/120)-1)*100</f>
        <v>0.47094900924442573</v>
      </c>
      <c r="C527" cm="1">
        <f t="array" ref="C527">(PRODUCT(1+sp500_monthly!C528:C647)^(1/120)-1)*100</f>
        <v>0.13245881362993206</v>
      </c>
      <c r="D527" cm="1">
        <f t="array" ref="D527">(PRODUCT(1+sp500_monthly!D528:D647)^(1/120)-1)*100</f>
        <v>0.69325504079138511</v>
      </c>
      <c r="E527" cm="1">
        <f t="array" ref="E527">(PRODUCT(1+sp500_monthly!E528:E647)^(1/120)-1)*100</f>
        <v>0.34568899261138153</v>
      </c>
      <c r="F527" cm="1">
        <f t="array" ref="F527">(PRODUCT(1+sp500_monthly!K528:K647)^(1/120)-1)*100</f>
        <v>0.13374869063560446</v>
      </c>
      <c r="G527" cm="1">
        <f t="array" ref="G527">(PRODUCT(1+sp500_monthly!L528:L647)^(1/120)-1)</f>
        <v>0.49592031577900508</v>
      </c>
      <c r="H527" cm="1">
        <f t="array" ref="H527">(PRODUCT(1+sp500_monthly!N528:N647)^(1/120)-1)*100</f>
        <v>-0.10996179393174543</v>
      </c>
      <c r="I527" cm="1">
        <f t="array" ref="I527">(PRODUCT(1+sp500_monthly!O528:O647)^(1/120)-1)*100</f>
        <v>-7.8530375972285515E-2</v>
      </c>
    </row>
    <row r="528" spans="1:9" x14ac:dyDescent="0.35">
      <c r="A528" s="1">
        <v>25507</v>
      </c>
      <c r="B528" cm="1">
        <f t="array" ref="B528">(PRODUCT(1+sp500_monthly!B529:B648)^(1/120)-1)*100</f>
        <v>0.37584699065369431</v>
      </c>
      <c r="C528" cm="1">
        <f t="array" ref="C528">(PRODUCT(1+sp500_monthly!C529:C648)^(1/120)-1)*100</f>
        <v>3.6819799397003194E-2</v>
      </c>
      <c r="D528" cm="1">
        <f t="array" ref="D528">(PRODUCT(1+sp500_monthly!D529:D648)^(1/120)-1)*100</f>
        <v>0.56072745023618698</v>
      </c>
      <c r="E528" cm="1">
        <f t="array" ref="E528">(PRODUCT(1+sp500_monthly!E529:E648)^(1/120)-1)*100</f>
        <v>0.21276557024607623</v>
      </c>
      <c r="F528" cm="1">
        <f t="array" ref="F528">(PRODUCT(1+sp500_monthly!K529:K648)^(1/120)-1)*100</f>
        <v>3.8361625439375935E-2</v>
      </c>
      <c r="G528" cm="1">
        <f t="array" ref="G528">(PRODUCT(1+sp500_monthly!L529:L648)^(1/120)-1)</f>
        <v>0.49786546296989331</v>
      </c>
      <c r="H528" cm="1">
        <f t="array" ref="H528">(PRODUCT(1+sp500_monthly!N529:N648)^(1/120)-1)*100</f>
        <v>-0.20893722462680397</v>
      </c>
      <c r="I528" cm="1">
        <f t="array" ref="I528">(PRODUCT(1+sp500_monthly!O529:O648)^(1/120)-1)*100</f>
        <v>-8.0727483943765499E-2</v>
      </c>
    </row>
    <row r="529" spans="1:9" x14ac:dyDescent="0.35">
      <c r="A529" s="1">
        <v>25535</v>
      </c>
      <c r="B529" cm="1">
        <f t="array" ref="B529">(PRODUCT(1+sp500_monthly!B530:B649)^(1/120)-1)*100</f>
        <v>0.44363761935641843</v>
      </c>
      <c r="C529" cm="1">
        <f t="array" ref="C529">(PRODUCT(1+sp500_monthly!C530:C649)^(1/120)-1)*100</f>
        <v>0.10160403173693489</v>
      </c>
      <c r="D529" cm="1">
        <f t="array" ref="D529">(PRODUCT(1+sp500_monthly!D530:D649)^(1/120)-1)*100</f>
        <v>0.6511139755744022</v>
      </c>
      <c r="E529" cm="1">
        <f t="array" ref="E529">(PRODUCT(1+sp500_monthly!E530:E649)^(1/120)-1)*100</f>
        <v>0.30094082711709103</v>
      </c>
      <c r="F529" cm="1">
        <f t="array" ref="F529">(PRODUCT(1+sp500_monthly!K530:K649)^(1/120)-1)*100</f>
        <v>0.10311720539095681</v>
      </c>
      <c r="G529" cm="1">
        <f t="array" ref="G529">(PRODUCT(1+sp500_monthly!L530:L649)^(1/120)-1)</f>
        <v>0.50123225244824354</v>
      </c>
      <c r="H529" cm="1">
        <f t="array" ref="H529">(PRODUCT(1+sp500_monthly!N530:N649)^(1/120)-1)*100</f>
        <v>-0.14589735710333063</v>
      </c>
      <c r="I529" cm="1">
        <f t="array" ref="I529">(PRODUCT(1+sp500_monthly!O530:O649)^(1/120)-1)*100</f>
        <v>-8.1201860922175406E-2</v>
      </c>
    </row>
    <row r="530" spans="1:9" x14ac:dyDescent="0.35">
      <c r="A530" s="1">
        <v>25568</v>
      </c>
      <c r="B530" cm="1">
        <f t="array" ref="B530">(PRODUCT(1+sp500_monthly!B531:B650)^(1/120)-1)*100</f>
        <v>0.47313945480473851</v>
      </c>
      <c r="C530" cm="1">
        <f t="array" ref="C530">(PRODUCT(1+sp500_monthly!C531:C650)^(1/120)-1)*100</f>
        <v>0.13022281151078285</v>
      </c>
      <c r="D530" cm="1">
        <f t="array" ref="D530">(PRODUCT(1+sp500_monthly!D531:D650)^(1/120)-1)*100</f>
        <v>0.71849576671771942</v>
      </c>
      <c r="E530" cm="1">
        <f t="array" ref="E530">(PRODUCT(1+sp500_monthly!E531:E650)^(1/120)-1)*100</f>
        <v>0.36725059174940178</v>
      </c>
      <c r="F530" cm="1">
        <f t="array" ref="F530">(PRODUCT(1+sp500_monthly!K531:K650)^(1/120)-1)*100</f>
        <v>0.13270136731189375</v>
      </c>
      <c r="G530" cm="1">
        <f t="array" ref="G530">(PRODUCT(1+sp500_monthly!L531:L650)^(1/120)-1)</f>
        <v>0.50339975768322942</v>
      </c>
      <c r="H530" cm="1">
        <f t="array" ref="H530">(PRODUCT(1+sp500_monthly!N531:N650)^(1/120)-1)*100</f>
        <v>-0.12194007612283952</v>
      </c>
      <c r="I530" cm="1">
        <f t="array" ref="I530">(PRODUCT(1+sp500_monthly!O531:O650)^(1/120)-1)*100</f>
        <v>-8.4014388075959179E-2</v>
      </c>
    </row>
    <row r="531" spans="1:9" x14ac:dyDescent="0.35">
      <c r="A531" s="1">
        <v>25598</v>
      </c>
      <c r="B531" cm="1">
        <f t="array" ref="B531">(PRODUCT(1+sp500_monthly!B532:B651)^(1/120)-1)*100</f>
        <v>0.5886611869078795</v>
      </c>
      <c r="C531" cm="1">
        <f t="array" ref="C531">(PRODUCT(1+sp500_monthly!C532:C651)^(1/120)-1)*100</f>
        <v>0.24475615020880248</v>
      </c>
      <c r="D531" cm="1">
        <f t="array" ref="D531">(PRODUCT(1+sp500_monthly!D532:D651)^(1/120)-1)*100</f>
        <v>0.81697564946909829</v>
      </c>
      <c r="E531" cm="1">
        <f t="array" ref="E531">(PRODUCT(1+sp500_monthly!E532:E651)^(1/120)-1)*100</f>
        <v>0.46487166080373399</v>
      </c>
      <c r="F531" cm="1">
        <f t="array" ref="F531">(PRODUCT(1+sp500_monthly!K532:K651)^(1/120)-1)*100</f>
        <v>0.24589855651608872</v>
      </c>
      <c r="G531" cm="1">
        <f t="array" ref="G531">(PRODUCT(1+sp500_monthly!L532:L651)^(1/120)-1)</f>
        <v>0.50487610699567798</v>
      </c>
      <c r="H531" cm="1">
        <f t="array" ref="H531">(PRODUCT(1+sp500_monthly!N532:N651)^(1/120)-1)*100</f>
        <v>-1.4528360166610188E-2</v>
      </c>
      <c r="I531" cm="1">
        <f t="array" ref="I531">(PRODUCT(1+sp500_monthly!O532:O651)^(1/120)-1)*100</f>
        <v>-8.9780901561709037E-2</v>
      </c>
    </row>
    <row r="532" spans="1:9" x14ac:dyDescent="0.35">
      <c r="A532" s="1">
        <v>25626</v>
      </c>
      <c r="B532" cm="1">
        <f t="array" ref="B532">(PRODUCT(1+sp500_monthly!B533:B652)^(1/120)-1)*100</f>
        <v>0.54239323299347664</v>
      </c>
      <c r="C532" cm="1">
        <f t="array" ref="C532">(PRODUCT(1+sp500_monthly!C533:C652)^(1/120)-1)*100</f>
        <v>0.19646927452015017</v>
      </c>
      <c r="D532" cm="1">
        <f t="array" ref="D532">(PRODUCT(1+sp500_monthly!D533:D652)^(1/120)-1)*100</f>
        <v>0.73426740059368001</v>
      </c>
      <c r="E532" cm="1">
        <f t="array" ref="E532">(PRODUCT(1+sp500_monthly!E533:E652)^(1/120)-1)*100</f>
        <v>0.38091292476465366</v>
      </c>
      <c r="F532" cm="1">
        <f t="array" ref="F532">(PRODUCT(1+sp500_monthly!K533:K652)^(1/120)-1)*100</f>
        <v>0.19934409491531024</v>
      </c>
      <c r="G532" cm="1">
        <f t="array" ref="G532">(PRODUCT(1+sp500_monthly!L533:L652)^(1/120)-1)</f>
        <v>0.5068104964686333</v>
      </c>
      <c r="H532" cm="1">
        <f t="array" ref="H532">(PRODUCT(1+sp500_monthly!N533:N652)^(1/120)-1)*100</f>
        <v>-6.6744779450755853E-2</v>
      </c>
      <c r="I532" cm="1">
        <f t="array" ref="I532">(PRODUCT(1+sp500_monthly!O533:O652)^(1/120)-1)*100</f>
        <v>-9.3773972103594616E-2</v>
      </c>
    </row>
    <row r="533" spans="1:9" x14ac:dyDescent="0.35">
      <c r="A533" s="1">
        <v>25658</v>
      </c>
      <c r="B533" cm="1">
        <f t="array" ref="B533">(PRODUCT(1+sp500_monthly!B534:B653)^(1/120)-1)*100</f>
        <v>0.45411506629691178</v>
      </c>
      <c r="C533" cm="1">
        <f t="array" ref="C533">(PRODUCT(1+sp500_monthly!C534:C653)^(1/120)-1)*100</f>
        <v>0.10741882068923125</v>
      </c>
      <c r="D533" cm="1">
        <f t="array" ref="D533">(PRODUCT(1+sp500_monthly!D534:D653)^(1/120)-1)*100</f>
        <v>0.63747280938362128</v>
      </c>
      <c r="E533" cm="1">
        <f t="array" ref="E533">(PRODUCT(1+sp500_monthly!E534:E653)^(1/120)-1)*100</f>
        <v>0.2829896894572359</v>
      </c>
      <c r="F533" cm="1">
        <f t="array" ref="F533">(PRODUCT(1+sp500_monthly!K534:K653)^(1/120)-1)*100</f>
        <v>0.10853043904208715</v>
      </c>
      <c r="G533" cm="1">
        <f t="array" ref="G533">(PRODUCT(1+sp500_monthly!L534:L653)^(1/120)-1)</f>
        <v>0.511109985243136</v>
      </c>
      <c r="H533" cm="1">
        <f t="array" ref="H533">(PRODUCT(1+sp500_monthly!N534:N653)^(1/120)-1)*100</f>
        <v>-0.16163711635035494</v>
      </c>
      <c r="I533" cm="1">
        <f t="array" ref="I533">(PRODUCT(1+sp500_monthly!O534:O653)^(1/120)-1)*100</f>
        <v>-9.5646217058342753E-2</v>
      </c>
    </row>
    <row r="534" spans="1:9" x14ac:dyDescent="0.35">
      <c r="A534" s="1">
        <v>25688</v>
      </c>
      <c r="B534" cm="1">
        <f t="array" ref="B534">(PRODUCT(1+sp500_monthly!B535:B654)^(1/120)-1)*100</f>
        <v>0.56680979668664033</v>
      </c>
      <c r="C534" cm="1">
        <f t="array" ref="C534">(PRODUCT(1+sp500_monthly!C535:C654)^(1/120)-1)*100</f>
        <v>0.21880985699036515</v>
      </c>
      <c r="D534" cm="1">
        <f t="array" ref="D534">(PRODUCT(1+sp500_monthly!D535:D654)^(1/120)-1)*100</f>
        <v>0.77183174353516737</v>
      </c>
      <c r="E534" cm="1">
        <f t="array" ref="E534">(PRODUCT(1+sp500_monthly!E535:E654)^(1/120)-1)*100</f>
        <v>0.41617945648482202</v>
      </c>
      <c r="F534" cm="1">
        <f t="array" ref="F534">(PRODUCT(1+sp500_monthly!K535:K654)^(1/120)-1)*100</f>
        <v>0.22134774746049857</v>
      </c>
      <c r="G534" cm="1">
        <f t="array" ref="G534">(PRODUCT(1+sp500_monthly!L535:L654)^(1/120)-1)</f>
        <v>0.51628050717527163</v>
      </c>
      <c r="H534" cm="1">
        <f t="array" ref="H534">(PRODUCT(1+sp500_monthly!N535:N654)^(1/120)-1)*100</f>
        <v>-5.3572489490072428E-2</v>
      </c>
      <c r="I534" cm="1">
        <f t="array" ref="I534">(PRODUCT(1+sp500_monthly!O535:O654)^(1/120)-1)*100</f>
        <v>-9.3311663006534484E-2</v>
      </c>
    </row>
    <row r="535" spans="1:9" x14ac:dyDescent="0.35">
      <c r="A535" s="1">
        <v>25717</v>
      </c>
      <c r="B535" cm="1">
        <f t="array" ref="B535">(PRODUCT(1+sp500_monthly!B536:B655)^(1/120)-1)*100</f>
        <v>0.65930063590364796</v>
      </c>
      <c r="C535" cm="1">
        <f t="array" ref="C535">(PRODUCT(1+sp500_monthly!C536:C655)^(1/120)-1)*100</f>
        <v>0.30959459548816071</v>
      </c>
      <c r="D535" cm="1">
        <f t="array" ref="D535">(PRODUCT(1+sp500_monthly!D536:D655)^(1/120)-1)*100</f>
        <v>0.90977863506227497</v>
      </c>
      <c r="E535" cm="1">
        <f t="array" ref="E535">(PRODUCT(1+sp500_monthly!E536:E655)^(1/120)-1)*100</f>
        <v>0.55272103474928169</v>
      </c>
      <c r="F535" cm="1">
        <f t="array" ref="F535">(PRODUCT(1+sp500_monthly!K536:K655)^(1/120)-1)*100</f>
        <v>0.31194179856186555</v>
      </c>
      <c r="G535" cm="1">
        <f t="array" ref="G535">(PRODUCT(1+sp500_monthly!L536:L655)^(1/120)-1)</f>
        <v>0.51840553447337556</v>
      </c>
      <c r="H535" cm="1">
        <f t="array" ref="H535">(PRODUCT(1+sp500_monthly!N536:N655)^(1/120)-1)*100</f>
        <v>3.2307201530734631E-2</v>
      </c>
      <c r="I535" cm="1">
        <f t="array" ref="I535">(PRODUCT(1+sp500_monthly!O536:O655)^(1/120)-1)*100</f>
        <v>-9.7028768705276214E-2</v>
      </c>
    </row>
    <row r="536" spans="1:9" x14ac:dyDescent="0.35">
      <c r="A536" s="1">
        <v>25749</v>
      </c>
      <c r="B536" cm="1">
        <f t="array" ref="B536">(PRODUCT(1+sp500_monthly!B537:B656)^(1/120)-1)*100</f>
        <v>0.72606301027338116</v>
      </c>
      <c r="C536" cm="1">
        <f t="array" ref="C536">(PRODUCT(1+sp500_monthly!C537:C656)^(1/120)-1)*100</f>
        <v>0.37547189556927929</v>
      </c>
      <c r="D536" cm="1">
        <f t="array" ref="D536">(PRODUCT(1+sp500_monthly!D537:D656)^(1/120)-1)*100</f>
        <v>0.98789854496088569</v>
      </c>
      <c r="E536" cm="1">
        <f t="array" ref="E536">(PRODUCT(1+sp500_monthly!E537:E656)^(1/120)-1)*100</f>
        <v>0.63017145812078734</v>
      </c>
      <c r="F536" cm="1">
        <f t="array" ref="F536">(PRODUCT(1+sp500_monthly!K537:K656)^(1/120)-1)*100</f>
        <v>0.37711538138307521</v>
      </c>
      <c r="G536" cm="1">
        <f t="array" ref="G536">(PRODUCT(1+sp500_monthly!L537:L656)^(1/120)-1)</f>
        <v>0.51864355474159773</v>
      </c>
      <c r="H536" cm="1">
        <f t="array" ref="H536">(PRODUCT(1+sp500_monthly!N537:N656)^(1/120)-1)*100</f>
        <v>9.4836431356748463E-2</v>
      </c>
      <c r="I536" cm="1">
        <f t="array" ref="I536">(PRODUCT(1+sp500_monthly!O537:O656)^(1/120)-1)*100</f>
        <v>-0.10059032586243744</v>
      </c>
    </row>
    <row r="537" spans="1:9" x14ac:dyDescent="0.35">
      <c r="A537" s="1">
        <v>25780</v>
      </c>
      <c r="B537" cm="1">
        <f t="array" ref="B537">(PRODUCT(1+sp500_monthly!B538:B657)^(1/120)-1)*100</f>
        <v>0.7203284476208216</v>
      </c>
      <c r="C537" cm="1">
        <f t="array" ref="C537">(PRODUCT(1+sp500_monthly!C538:C657)^(1/120)-1)*100</f>
        <v>0.36953622542064135</v>
      </c>
      <c r="D537" cm="1">
        <f t="array" ref="D537">(PRODUCT(1+sp500_monthly!D538:D657)^(1/120)-1)*100</f>
        <v>0.99543585674097823</v>
      </c>
      <c r="E537" cm="1">
        <f t="array" ref="E537">(PRODUCT(1+sp500_monthly!E538:E657)^(1/120)-1)*100</f>
        <v>0.63747831624969553</v>
      </c>
      <c r="F537" cm="1">
        <f t="array" ref="F537">(PRODUCT(1+sp500_monthly!K538:K657)^(1/120)-1)*100</f>
        <v>0.37065637389341877</v>
      </c>
      <c r="G537" cm="1">
        <f t="array" ref="G537">(PRODUCT(1+sp500_monthly!L538:L657)^(1/120)-1)</f>
        <v>0.51872654329299261</v>
      </c>
      <c r="H537" cm="1">
        <f t="array" ref="H537">(PRODUCT(1+sp500_monthly!N538:N657)^(1/120)-1)*100</f>
        <v>9.0274338493845363E-2</v>
      </c>
      <c r="I537" cm="1">
        <f t="array" ref="I537">(PRODUCT(1+sp500_monthly!O538:O657)^(1/120)-1)*100</f>
        <v>-9.9373131926283609E-2</v>
      </c>
    </row>
    <row r="538" spans="1:9" x14ac:dyDescent="0.35">
      <c r="A538" s="1">
        <v>25811</v>
      </c>
      <c r="B538" cm="1">
        <f t="array" ref="B538">(PRODUCT(1+sp500_monthly!B539:B658)^(1/120)-1)*100</f>
        <v>0.69077605555696309</v>
      </c>
      <c r="C538" cm="1">
        <f t="array" ref="C538">(PRODUCT(1+sp500_monthly!C539:C658)^(1/120)-1)*100</f>
        <v>0.33872854143017772</v>
      </c>
      <c r="D538" cm="1">
        <f t="array" ref="D538">(PRODUCT(1+sp500_monthly!D539:D658)^(1/120)-1)*100</f>
        <v>0.96656637196970152</v>
      </c>
      <c r="E538" cm="1">
        <f t="array" ref="E538">(PRODUCT(1+sp500_monthly!E539:E658)^(1/120)-1)*100</f>
        <v>0.6080327094478255</v>
      </c>
      <c r="F538" cm="1">
        <f t="array" ref="F538">(PRODUCT(1+sp500_monthly!K539:K658)^(1/120)-1)*100</f>
        <v>0.33914409442785676</v>
      </c>
      <c r="G538" cm="1">
        <f t="array" ref="G538">(PRODUCT(1+sp500_monthly!L539:L658)^(1/120)-1)</f>
        <v>0.51960548849768662</v>
      </c>
      <c r="H538" cm="1">
        <f t="array" ref="H538">(PRODUCT(1+sp500_monthly!N539:N658)^(1/120)-1)*100</f>
        <v>5.7012623048269262E-2</v>
      </c>
      <c r="I538" cm="1">
        <f t="array" ref="I538">(PRODUCT(1+sp500_monthly!O539:O658)^(1/120)-1)*100</f>
        <v>-0.10235068339551345</v>
      </c>
    </row>
    <row r="539" spans="1:9" x14ac:dyDescent="0.35">
      <c r="A539" s="1">
        <v>25841</v>
      </c>
      <c r="B539" cm="1">
        <f t="array" ref="B539">(PRODUCT(1+sp500_monthly!B540:B659)^(1/120)-1)*100</f>
        <v>0.68527049561997178</v>
      </c>
      <c r="C539" cm="1">
        <f t="array" ref="C539">(PRODUCT(1+sp500_monthly!C540:C659)^(1/120)-1)*100</f>
        <v>0.3323374201587237</v>
      </c>
      <c r="D539" cm="1">
        <f t="array" ref="D539">(PRODUCT(1+sp500_monthly!D540:D659)^(1/120)-1)*100</f>
        <v>0.93711295027758545</v>
      </c>
      <c r="E539" cm="1">
        <f t="array" ref="E539">(PRODUCT(1+sp500_monthly!E540:E659)^(1/120)-1)*100</f>
        <v>0.5778935329652013</v>
      </c>
      <c r="F539" cm="1">
        <f t="array" ref="F539">(PRODUCT(1+sp500_monthly!K540:K659)^(1/120)-1)*100</f>
        <v>0.33278216523737747</v>
      </c>
      <c r="G539" cm="1">
        <f t="array" ref="G539">(PRODUCT(1+sp500_monthly!L540:L659)^(1/120)-1)</f>
        <v>0.52122515348266352</v>
      </c>
      <c r="H539" cm="1">
        <f t="array" ref="H539">(PRODUCT(1+sp500_monthly!N540:N659)^(1/120)-1)*100</f>
        <v>4.8821047229719028E-2</v>
      </c>
      <c r="I539" cm="1">
        <f t="array" ref="I539">(PRODUCT(1+sp500_monthly!O540:O659)^(1/120)-1)*100</f>
        <v>-0.10333019370651897</v>
      </c>
    </row>
    <row r="540" spans="1:9" x14ac:dyDescent="0.35">
      <c r="A540" s="1">
        <v>25871</v>
      </c>
      <c r="B540" cm="1">
        <f t="array" ref="B540">(PRODUCT(1+sp500_monthly!B541:B660)^(1/120)-1)*100</f>
        <v>0.70769670465229417</v>
      </c>
      <c r="C540" cm="1">
        <f t="array" ref="C540">(PRODUCT(1+sp500_monthly!C541:C660)^(1/120)-1)*100</f>
        <v>0.35436417059757641</v>
      </c>
      <c r="D540" cm="1">
        <f t="array" ref="D540">(PRODUCT(1+sp500_monthly!D541:D660)^(1/120)-1)*100</f>
        <v>0.972144571009248</v>
      </c>
      <c r="E540" cm="1">
        <f t="array" ref="E540">(PRODUCT(1+sp500_monthly!E541:E660)^(1/120)-1)*100</f>
        <v>0.61218901208539567</v>
      </c>
      <c r="F540" cm="1">
        <f t="array" ref="F540">(PRODUCT(1+sp500_monthly!K541:K660)^(1/120)-1)*100</f>
        <v>0.3556602264122688</v>
      </c>
      <c r="G540" cm="1">
        <f t="array" ref="G540">(PRODUCT(1+sp500_monthly!L541:L660)^(1/120)-1)</f>
        <v>0.52489817910769121</v>
      </c>
      <c r="H540" cm="1">
        <f t="array" ref="H540">(PRODUCT(1+sp500_monthly!N541:N660)^(1/120)-1)*100</f>
        <v>6.7435523538361686E-2</v>
      </c>
      <c r="I540" cm="1">
        <f t="array" ref="I540">(PRODUCT(1+sp500_monthly!O541:O660)^(1/120)-1)*100</f>
        <v>-0.10294327004596315</v>
      </c>
    </row>
    <row r="541" spans="1:9" x14ac:dyDescent="0.35">
      <c r="A541" s="1">
        <v>25902</v>
      </c>
      <c r="B541" cm="1">
        <f t="array" ref="B541">(PRODUCT(1+sp500_monthly!B542:B661)^(1/120)-1)*100</f>
        <v>0.75077471630033976</v>
      </c>
      <c r="C541" cm="1">
        <f t="array" ref="C541">(PRODUCT(1+sp500_monthly!C542:C661)^(1/120)-1)*100</f>
        <v>0.3964937129216306</v>
      </c>
      <c r="D541" cm="1">
        <f t="array" ref="D541">(PRODUCT(1+sp500_monthly!D542:D661)^(1/120)-1)*100</f>
        <v>0.9862910541037273</v>
      </c>
      <c r="E541" cm="1">
        <f t="array" ref="E541">(PRODUCT(1+sp500_monthly!E542:E661)^(1/120)-1)*100</f>
        <v>0.62590664997392853</v>
      </c>
      <c r="F541" cm="1">
        <f t="array" ref="F541">(PRODUCT(1+sp500_monthly!K542:K661)^(1/120)-1)*100</f>
        <v>0.39841497391321923</v>
      </c>
      <c r="G541" cm="1">
        <f t="array" ref="G541">(PRODUCT(1+sp500_monthly!L542:L661)^(1/120)-1)</f>
        <v>0.52864523171611166</v>
      </c>
      <c r="H541" cm="1">
        <f t="array" ref="H541">(PRODUCT(1+sp500_monthly!N542:N661)^(1/120)-1)*100</f>
        <v>0.10564605886485001</v>
      </c>
      <c r="I541" cm="1">
        <f t="array" ref="I541">(PRODUCT(1+sp500_monthly!O542:O661)^(1/120)-1)*100</f>
        <v>-0.10339415361323434</v>
      </c>
    </row>
    <row r="542" spans="1:9" x14ac:dyDescent="0.35">
      <c r="A542" s="1">
        <v>25933</v>
      </c>
      <c r="B542" cm="1">
        <f t="array" ref="B542">(PRODUCT(1+sp500_monthly!B543:B662)^(1/120)-1)*100</f>
        <v>0.67680073057967416</v>
      </c>
      <c r="C542" cm="1">
        <f t="array" ref="C542">(PRODUCT(1+sp500_monthly!C543:C662)^(1/120)-1)*100</f>
        <v>0.32177940662434512</v>
      </c>
      <c r="D542" cm="1">
        <f t="array" ref="D542">(PRODUCT(1+sp500_monthly!D543:D662)^(1/120)-1)*100</f>
        <v>0.9086763403147069</v>
      </c>
      <c r="E542" cm="1">
        <f t="array" ref="E542">(PRODUCT(1+sp500_monthly!E543:E662)^(1/120)-1)*100</f>
        <v>0.54718888626617002</v>
      </c>
      <c r="F542" cm="1">
        <f t="array" ref="F542">(PRODUCT(1+sp500_monthly!K543:K662)^(1/120)-1)*100</f>
        <v>0.32341667039281763</v>
      </c>
      <c r="G542" cm="1">
        <f t="array" ref="G542">(PRODUCT(1+sp500_monthly!L543:L662)^(1/120)-1)</f>
        <v>0.53485635335773951</v>
      </c>
      <c r="H542" cm="1">
        <f t="array" ref="H542">(PRODUCT(1+sp500_monthly!N543:N662)^(1/120)-1)*100</f>
        <v>2.8590832890396101E-2</v>
      </c>
      <c r="I542" cm="1">
        <f t="array" ref="I542">(PRODUCT(1+sp500_monthly!O543:O662)^(1/120)-1)*100</f>
        <v>-9.9598731557004605E-2</v>
      </c>
    </row>
    <row r="543" spans="1:9" x14ac:dyDescent="0.35">
      <c r="A543" s="1">
        <v>25962</v>
      </c>
      <c r="B543" cm="1">
        <f t="array" ref="B543">(PRODUCT(1+sp500_monthly!B544:B663)^(1/120)-1)*100</f>
        <v>0.60444445304588257</v>
      </c>
      <c r="C543" cm="1">
        <f t="array" ref="C543">(PRODUCT(1+sp500_monthly!C544:C663)^(1/120)-1)*100</f>
        <v>0.24928666065784366</v>
      </c>
      <c r="D543" cm="1">
        <f t="array" ref="D543">(PRODUCT(1+sp500_monthly!D544:D663)^(1/120)-1)*100</f>
        <v>0.83131998162042642</v>
      </c>
      <c r="E543" cm="1">
        <f t="array" ref="E543">(PRODUCT(1+sp500_monthly!E544:E663)^(1/120)-1)*100</f>
        <v>0.46952318350015343</v>
      </c>
      <c r="F543" cm="1">
        <f t="array" ref="F543">(PRODUCT(1+sp500_monthly!K544:K663)^(1/120)-1)*100</f>
        <v>0.25112587628655092</v>
      </c>
      <c r="G543" cm="1">
        <f t="array" ref="G543">(PRODUCT(1+sp500_monthly!L544:L663)^(1/120)-1)</f>
        <v>0.53986386786011731</v>
      </c>
      <c r="H543" cm="1">
        <f t="array" ref="H543">(PRODUCT(1+sp500_monthly!N544:N663)^(1/120)-1)*100</f>
        <v>-4.8886370360656795E-2</v>
      </c>
      <c r="I543" cm="1">
        <f t="array" ref="I543">(PRODUCT(1+sp500_monthly!O544:O663)^(1/120)-1)*100</f>
        <v>-9.9726728601101655E-2</v>
      </c>
    </row>
    <row r="544" spans="1:9" x14ac:dyDescent="0.35">
      <c r="A544" s="1">
        <v>25990</v>
      </c>
      <c r="B544" cm="1">
        <f t="array" ref="B544">(PRODUCT(1+sp500_monthly!B545:B664)^(1/120)-1)*100</f>
        <v>0.61099645129194524</v>
      </c>
      <c r="C544" cm="1">
        <f t="array" ref="C544">(PRODUCT(1+sp500_monthly!C545:C664)^(1/120)-1)*100</f>
        <v>0.25370010024474698</v>
      </c>
      <c r="D544" cm="1">
        <f t="array" ref="D544">(PRODUCT(1+sp500_monthly!D545:D664)^(1/120)-1)*100</f>
        <v>0.83713514454999416</v>
      </c>
      <c r="E544" cm="1">
        <f t="array" ref="E544">(PRODUCT(1+sp500_monthly!E545:E664)^(1/120)-1)*100</f>
        <v>0.47367564375921933</v>
      </c>
      <c r="F544" cm="1">
        <f t="array" ref="F544">(PRODUCT(1+sp500_monthly!K545:K664)^(1/120)-1)*100</f>
        <v>0.25459843031108154</v>
      </c>
      <c r="G544" cm="1">
        <f t="array" ref="G544">(PRODUCT(1+sp500_monthly!L545:L664)^(1/120)-1)</f>
        <v>0.54555091936113209</v>
      </c>
      <c r="H544" cm="1">
        <f t="array" ref="H544">(PRODUCT(1+sp500_monthly!N545:N664)^(1/120)-1)*100</f>
        <v>-4.9983809607223595E-2</v>
      </c>
      <c r="I544" cm="1">
        <f t="array" ref="I544">(PRODUCT(1+sp500_monthly!O545:O664)^(1/120)-1)*100</f>
        <v>-0.10121181039486338</v>
      </c>
    </row>
    <row r="545" spans="1:9" x14ac:dyDescent="0.35">
      <c r="A545" s="1">
        <v>26023</v>
      </c>
      <c r="B545" cm="1">
        <f t="array" ref="B545">(PRODUCT(1+sp500_monthly!B546:B665)^(1/120)-1)*100</f>
        <v>0.61036441165216448</v>
      </c>
      <c r="C545" cm="1">
        <f t="array" ref="C545">(PRODUCT(1+sp500_monthly!C546:C665)^(1/120)-1)*100</f>
        <v>0.25192850952566737</v>
      </c>
      <c r="D545" cm="1">
        <f t="array" ref="D545">(PRODUCT(1+sp500_monthly!D546:D665)^(1/120)-1)*100</f>
        <v>0.87052582050235472</v>
      </c>
      <c r="E545" cm="1">
        <f t="array" ref="E545">(PRODUCT(1+sp500_monthly!E546:E665)^(1/120)-1)*100</f>
        <v>0.505728842341302</v>
      </c>
      <c r="F545" cm="1">
        <f t="array" ref="F545">(PRODUCT(1+sp500_monthly!K546:K665)^(1/120)-1)*100</f>
        <v>0.2539833769434674</v>
      </c>
      <c r="G545" cm="1">
        <f t="array" ref="G545">(PRODUCT(1+sp500_monthly!L546:L665)^(1/120)-1)</f>
        <v>0.55240032674880268</v>
      </c>
      <c r="H545" cm="1">
        <f t="array" ref="H545">(PRODUCT(1+sp500_monthly!N546:N665)^(1/120)-1)*100</f>
        <v>-5.4186416953694305E-2</v>
      </c>
      <c r="I545" cm="1">
        <f t="array" ref="I545">(PRODUCT(1+sp500_monthly!O546:O665)^(1/120)-1)*100</f>
        <v>-9.7265765027854112E-2</v>
      </c>
    </row>
    <row r="546" spans="1:9" x14ac:dyDescent="0.35">
      <c r="A546" s="1">
        <v>26053</v>
      </c>
      <c r="B546" cm="1">
        <f t="array" ref="B546">(PRODUCT(1+sp500_monthly!B547:B666)^(1/120)-1)*100</f>
        <v>0.56282365585205163</v>
      </c>
      <c r="C546" cm="1">
        <f t="array" ref="C546">(PRODUCT(1+sp500_monthly!C547:C666)^(1/120)-1)*100</f>
        <v>0.20400674419986942</v>
      </c>
      <c r="D546" cm="1">
        <f t="array" ref="D546">(PRODUCT(1+sp500_monthly!D547:D666)^(1/120)-1)*100</f>
        <v>0.83700857282091867</v>
      </c>
      <c r="E546" cm="1">
        <f t="array" ref="E546">(PRODUCT(1+sp500_monthly!E547:E666)^(1/120)-1)*100</f>
        <v>0.47173443872405851</v>
      </c>
      <c r="F546" cm="1">
        <f t="array" ref="F546">(PRODUCT(1+sp500_monthly!K547:K666)^(1/120)-1)*100</f>
        <v>0.20438616170737056</v>
      </c>
      <c r="G546" cm="1">
        <f t="array" ref="G546">(PRODUCT(1+sp500_monthly!L547:L666)^(1/120)-1)</f>
        <v>0.55869390384947359</v>
      </c>
      <c r="H546" cm="1">
        <f t="array" ref="H546">(PRODUCT(1+sp500_monthly!N547:N666)^(1/120)-1)*100</f>
        <v>-0.10401930777151902</v>
      </c>
      <c r="I546" cm="1">
        <f t="array" ref="I546">(PRODUCT(1+sp500_monthly!O547:O666)^(1/120)-1)*100</f>
        <v>-9.3256743911429574E-2</v>
      </c>
    </row>
    <row r="547" spans="1:9" x14ac:dyDescent="0.35">
      <c r="A547" s="1">
        <v>26081</v>
      </c>
      <c r="B547" cm="1">
        <f t="array" ref="B547">(PRODUCT(1+sp500_monthly!B548:B667)^(1/120)-1)*100</f>
        <v>0.60001812512038288</v>
      </c>
      <c r="C547" cm="1">
        <f t="array" ref="C547">(PRODUCT(1+sp500_monthly!C548:C667)^(1/120)-1)*100</f>
        <v>0.23902324698179545</v>
      </c>
      <c r="D547" cm="1">
        <f t="array" ref="D547">(PRODUCT(1+sp500_monthly!D548:D667)^(1/120)-1)*100</f>
        <v>0.88649011371881858</v>
      </c>
      <c r="E547" cm="1">
        <f t="array" ref="E547">(PRODUCT(1+sp500_monthly!E548:E667)^(1/120)-1)*100</f>
        <v>0.51971749809736068</v>
      </c>
      <c r="F547" cm="1">
        <f t="array" ref="F547">(PRODUCT(1+sp500_monthly!K548:K667)^(1/120)-1)*100</f>
        <v>0.23845130067217113</v>
      </c>
      <c r="G547" cm="1">
        <f t="array" ref="G547">(PRODUCT(1+sp500_monthly!L548:L667)^(1/120)-1)</f>
        <v>0.56534321969303014</v>
      </c>
      <c r="H547" cm="1">
        <f t="array" ref="H547">(PRODUCT(1+sp500_monthly!N548:N667)^(1/120)-1)*100</f>
        <v>-6.8517414747093497E-2</v>
      </c>
      <c r="I547" cm="1">
        <f t="array" ref="I547">(PRODUCT(1+sp500_monthly!O548:O667)^(1/120)-1)*100</f>
        <v>-8.7593307573585744E-2</v>
      </c>
    </row>
    <row r="548" spans="1:9" x14ac:dyDescent="0.35">
      <c r="A548" s="1">
        <v>26114</v>
      </c>
      <c r="B548" cm="1">
        <f t="array" ref="B548">(PRODUCT(1+sp500_monthly!B549:B668)^(1/120)-1)*100</f>
        <v>0.59102715579251175</v>
      </c>
      <c r="C548" cm="1">
        <f t="array" ref="C548">(PRODUCT(1+sp500_monthly!C549:C668)^(1/120)-1)*100</f>
        <v>0.22874643092516411</v>
      </c>
      <c r="D548" cm="1">
        <f t="array" ref="D548">(PRODUCT(1+sp500_monthly!D549:D668)^(1/120)-1)*100</f>
        <v>0.8838565371537932</v>
      </c>
      <c r="E548" cm="1">
        <f t="array" ref="E548">(PRODUCT(1+sp500_monthly!E549:E668)^(1/120)-1)*100</f>
        <v>0.51578301561254758</v>
      </c>
      <c r="F548" cm="1">
        <f t="array" ref="F548">(PRODUCT(1+sp500_monthly!K549:K668)^(1/120)-1)*100</f>
        <v>0.22912513554020908</v>
      </c>
      <c r="G548" cm="1">
        <f t="array" ref="G548">(PRODUCT(1+sp500_monthly!L549:L668)^(1/120)-1)</f>
        <v>0.57239795586926823</v>
      </c>
      <c r="H548" cm="1">
        <f t="array" ref="H548">(PRODUCT(1+sp500_monthly!N549:N668)^(1/120)-1)*100</f>
        <v>-8.0719859419531304E-2</v>
      </c>
      <c r="I548" cm="1">
        <f t="array" ref="I548">(PRODUCT(1+sp500_monthly!O549:O668)^(1/120)-1)*100</f>
        <v>-8.2774134066543326E-2</v>
      </c>
    </row>
    <row r="549" spans="1:9" x14ac:dyDescent="0.35">
      <c r="A549" s="1">
        <v>26144</v>
      </c>
      <c r="B549" cm="1">
        <f t="array" ref="B549">(PRODUCT(1+sp500_monthly!B550:B669)^(1/120)-1)*100</f>
        <v>0.62657356033883893</v>
      </c>
      <c r="C549" cm="1">
        <f t="array" ref="C549">(PRODUCT(1+sp500_monthly!C550:C669)^(1/120)-1)*100</f>
        <v>0.2637137510837384</v>
      </c>
      <c r="D549" cm="1">
        <f t="array" ref="D549">(PRODUCT(1+sp500_monthly!D550:D669)^(1/120)-1)*100</f>
        <v>0.90574804571039724</v>
      </c>
      <c r="E549" cm="1">
        <f t="array" ref="E549">(PRODUCT(1+sp500_monthly!E550:E669)^(1/120)-1)*100</f>
        <v>0.5371050154509005</v>
      </c>
      <c r="F549" cm="1">
        <f t="array" ref="F549">(PRODUCT(1+sp500_monthly!K550:K669)^(1/120)-1)*100</f>
        <v>0.26253177976556241</v>
      </c>
      <c r="G549" cm="1">
        <f t="array" ref="G549">(PRODUCT(1+sp500_monthly!L550:L669)^(1/120)-1)</f>
        <v>0.57856863854334106</v>
      </c>
      <c r="H549" cm="1">
        <f t="array" ref="H549">(PRODUCT(1+sp500_monthly!N550:N669)^(1/120)-1)*100</f>
        <v>-5.2509880620232874E-2</v>
      </c>
      <c r="I549" cm="1">
        <f t="array" ref="I549">(PRODUCT(1+sp500_monthly!O550:O669)^(1/120)-1)*100</f>
        <v>-8.2933419200947878E-2</v>
      </c>
    </row>
    <row r="550" spans="1:9" x14ac:dyDescent="0.35">
      <c r="A550" s="1">
        <v>26176</v>
      </c>
      <c r="B550" cm="1">
        <f t="array" ref="B550">(PRODUCT(1+sp500_monthly!B551:B670)^(1/120)-1)*100</f>
        <v>0.54416193205437668</v>
      </c>
      <c r="C550" cm="1">
        <f t="array" ref="C550">(PRODUCT(1+sp500_monthly!C551:C670)^(1/120)-1)*100</f>
        <v>0.17879922630792411</v>
      </c>
      <c r="D550" cm="1">
        <f t="array" ref="D550">(PRODUCT(1+sp500_monthly!D551:D670)^(1/120)-1)*100</f>
        <v>0.80830334214407884</v>
      </c>
      <c r="E550" cm="1">
        <f t="array" ref="E550">(PRODUCT(1+sp500_monthly!E551:E670)^(1/120)-1)*100</f>
        <v>0.43815816658783202</v>
      </c>
      <c r="F550" cm="1">
        <f t="array" ref="F550">(PRODUCT(1+sp500_monthly!K551:K670)^(1/120)-1)*100</f>
        <v>0.17937368475096083</v>
      </c>
      <c r="G550" cm="1">
        <f t="array" ref="G550">(PRODUCT(1+sp500_monthly!L551:L670)^(1/120)-1)</f>
        <v>0.58435299691629372</v>
      </c>
      <c r="H550" cm="1">
        <f t="array" ref="H550">(PRODUCT(1+sp500_monthly!N551:N670)^(1/120)-1)*100</f>
        <v>-0.13866042228579678</v>
      </c>
      <c r="I550" cm="1">
        <f t="array" ref="I550">(PRODUCT(1+sp500_monthly!O551:O670)^(1/120)-1)*100</f>
        <v>-8.0544831141371453E-2</v>
      </c>
    </row>
    <row r="551" spans="1:9" x14ac:dyDescent="0.35">
      <c r="A551" s="1">
        <v>26206</v>
      </c>
      <c r="B551" cm="1">
        <f t="array" ref="B551">(PRODUCT(1+sp500_monthly!B552:B671)^(1/120)-1)*100</f>
        <v>0.50501329574794696</v>
      </c>
      <c r="C551" cm="1">
        <f t="array" ref="C551">(PRODUCT(1+sp500_monthly!C552:C671)^(1/120)-1)*100</f>
        <v>0.13825436730865448</v>
      </c>
      <c r="D551" cm="1">
        <f t="array" ref="D551">(PRODUCT(1+sp500_monthly!D552:D671)^(1/120)-1)*100</f>
        <v>0.77597951770664864</v>
      </c>
      <c r="E551" cm="1">
        <f t="array" ref="E551">(PRODUCT(1+sp500_monthly!E552:E671)^(1/120)-1)*100</f>
        <v>0.40402622104347419</v>
      </c>
      <c r="F551" cm="1">
        <f t="array" ref="F551">(PRODUCT(1+sp500_monthly!K552:K671)^(1/120)-1)*100</f>
        <v>0.13902392942732877</v>
      </c>
      <c r="G551" cm="1">
        <f t="array" ref="G551">(PRODUCT(1+sp500_monthly!L552:L671)^(1/120)-1)</f>
        <v>0.5908577394284984</v>
      </c>
      <c r="H551" cm="1">
        <f t="array" ref="H551">(PRODUCT(1+sp500_monthly!N552:N671)^(1/120)-1)*100</f>
        <v>-0.18358231952917414</v>
      </c>
      <c r="I551" cm="1">
        <f t="array" ref="I551">(PRODUCT(1+sp500_monthly!O552:O671)^(1/120)-1)*100</f>
        <v>-7.9403650278997429E-2</v>
      </c>
    </row>
    <row r="552" spans="1:9" x14ac:dyDescent="0.35">
      <c r="A552" s="1">
        <v>26235</v>
      </c>
      <c r="B552" cm="1">
        <f t="array" ref="B552">(PRODUCT(1+sp500_monthly!B553:B672)^(1/120)-1)*100</f>
        <v>0.58189451639858447</v>
      </c>
      <c r="C552" cm="1">
        <f t="array" ref="C552">(PRODUCT(1+sp500_monthly!C553:C672)^(1/120)-1)*100</f>
        <v>0.2137776793178281</v>
      </c>
      <c r="D552" cm="1">
        <f t="array" ref="D552">(PRODUCT(1+sp500_monthly!D553:D672)^(1/120)-1)*100</f>
        <v>0.87148908090597388</v>
      </c>
      <c r="E552" cm="1">
        <f t="array" ref="E552">(PRODUCT(1+sp500_monthly!E553:E672)^(1/120)-1)*100</f>
        <v>0.49835261802591013</v>
      </c>
      <c r="F552" cm="1">
        <f t="array" ref="F552">(PRODUCT(1+sp500_monthly!K553:K672)^(1/120)-1)*100</f>
        <v>0.21471664991392636</v>
      </c>
      <c r="G552" cm="1">
        <f t="array" ref="G552">(PRODUCT(1+sp500_monthly!L553:L672)^(1/120)-1)</f>
        <v>0.59720971333816952</v>
      </c>
      <c r="H552" cm="1">
        <f t="array" ref="H552">(PRODUCT(1+sp500_monthly!N553:N672)^(1/120)-1)*100</f>
        <v>-0.1078681328797404</v>
      </c>
      <c r="I552" cm="1">
        <f t="array" ref="I552">(PRODUCT(1+sp500_monthly!O553:O672)^(1/120)-1)*100</f>
        <v>-7.3104266591206279E-2</v>
      </c>
    </row>
    <row r="553" spans="1:9" x14ac:dyDescent="0.35">
      <c r="A553" s="1">
        <v>26267</v>
      </c>
      <c r="B553" cm="1">
        <f t="array" ref="B553">(PRODUCT(1+sp500_monthly!B554:B673)^(1/120)-1)*100</f>
        <v>0.61542736787913999</v>
      </c>
      <c r="C553" cm="1">
        <f t="array" ref="C553">(PRODUCT(1+sp500_monthly!C554:C673)^(1/120)-1)*100</f>
        <v>0.24494821857605764</v>
      </c>
      <c r="D553" cm="1">
        <f t="array" ref="D553">(PRODUCT(1+sp500_monthly!D554:D673)^(1/120)-1)*100</f>
        <v>0.92100406897199782</v>
      </c>
      <c r="E553" cm="1">
        <f t="array" ref="E553">(PRODUCT(1+sp500_monthly!E554:E673)^(1/120)-1)*100</f>
        <v>0.54605511148642094</v>
      </c>
      <c r="F553" cm="1">
        <f t="array" ref="F553">(PRODUCT(1+sp500_monthly!K554:K673)^(1/120)-1)*100</f>
        <v>0.24686294328037928</v>
      </c>
      <c r="G553" cm="1">
        <f t="array" ref="G553">(PRODUCT(1+sp500_monthly!L554:L673)^(1/120)-1)</f>
        <v>0.60271274612926806</v>
      </c>
      <c r="H553" cm="1">
        <f t="array" ref="H553">(PRODUCT(1+sp500_monthly!N554:N673)^(1/120)-1)*100</f>
        <v>-7.6090346605228731E-2</v>
      </c>
      <c r="I553" cm="1">
        <f t="array" ref="I553">(PRODUCT(1+sp500_monthly!O554:O673)^(1/120)-1)*100</f>
        <v>-6.884189292907239E-2</v>
      </c>
    </row>
    <row r="554" spans="1:9" x14ac:dyDescent="0.35">
      <c r="A554" s="1">
        <v>26298</v>
      </c>
      <c r="B554" cm="1">
        <f t="array" ref="B554">(PRODUCT(1+sp500_monthly!B555:B674)^(1/120)-1)*100</f>
        <v>0.52184600874725096</v>
      </c>
      <c r="C554" cm="1">
        <f t="array" ref="C554">(PRODUCT(1+sp500_monthly!C555:C674)^(1/120)-1)*100</f>
        <v>0.15047431636681097</v>
      </c>
      <c r="D554" cm="1">
        <f t="array" ref="D554">(PRODUCT(1+sp500_monthly!D555:D674)^(1/120)-1)*100</f>
        <v>0.81726170543232612</v>
      </c>
      <c r="E554" cm="1">
        <f t="array" ref="E554">(PRODUCT(1+sp500_monthly!E555:E674)^(1/120)-1)*100</f>
        <v>0.44125834018702292</v>
      </c>
      <c r="F554" cm="1">
        <f t="array" ref="F554">(PRODUCT(1+sp500_monthly!K555:K674)^(1/120)-1)*100</f>
        <v>0.15233918649142364</v>
      </c>
      <c r="G554" cm="1">
        <f t="array" ref="G554">(PRODUCT(1+sp500_monthly!L555:L674)^(1/120)-1)</f>
        <v>0.60687354034202579</v>
      </c>
      <c r="H554" cm="1">
        <f t="array" ref="H554">(PRODUCT(1+sp500_monthly!N555:N674)^(1/120)-1)*100</f>
        <v>-0.16965841034417561</v>
      </c>
      <c r="I554" cm="1">
        <f t="array" ref="I554">(PRODUCT(1+sp500_monthly!O555:O674)^(1/120)-1)*100</f>
        <v>-6.5334193206545432E-2</v>
      </c>
    </row>
    <row r="555" spans="1:9" x14ac:dyDescent="0.35">
      <c r="A555" s="1">
        <v>26329</v>
      </c>
      <c r="B555" cm="1">
        <f t="array" ref="B555">(PRODUCT(1+sp500_monthly!B556:B675)^(1/120)-1)*100</f>
        <v>0.49303856101365895</v>
      </c>
      <c r="C555" cm="1">
        <f t="array" ref="C555">(PRODUCT(1+sp500_monthly!C556:C675)^(1/120)-1)*100</f>
        <v>0.12153903423586243</v>
      </c>
      <c r="D555" cm="1">
        <f t="array" ref="D555">(PRODUCT(1+sp500_monthly!D556:D675)^(1/120)-1)*100</f>
        <v>0.769240192985432</v>
      </c>
      <c r="E555" cm="1">
        <f t="array" ref="E555">(PRODUCT(1+sp500_monthly!E556:E675)^(1/120)-1)*100</f>
        <v>0.39305290109119539</v>
      </c>
      <c r="F555" cm="1">
        <f t="array" ref="F555">(PRODUCT(1+sp500_monthly!K556:K675)^(1/120)-1)*100</f>
        <v>0.12258292998357234</v>
      </c>
      <c r="G555" cm="1">
        <f t="array" ref="G555">(PRODUCT(1+sp500_monthly!L556:L675)^(1/120)-1)</f>
        <v>0.61134074671231087</v>
      </c>
      <c r="H555" cm="1">
        <f t="array" ref="H555">(PRODUCT(1+sp500_monthly!N556:N675)^(1/120)-1)*100</f>
        <v>-0.19889385128973869</v>
      </c>
      <c r="I555" cm="1">
        <f t="array" ref="I555">(PRODUCT(1+sp500_monthly!O556:O675)^(1/120)-1)*100</f>
        <v>-6.1736917850274686E-2</v>
      </c>
    </row>
    <row r="556" spans="1:9" x14ac:dyDescent="0.35">
      <c r="A556" s="1">
        <v>26358</v>
      </c>
      <c r="B556" cm="1">
        <f t="array" ref="B556">(PRODUCT(1+sp500_monthly!B557:B676)^(1/120)-1)*100</f>
        <v>0.42478430538916978</v>
      </c>
      <c r="C556" cm="1">
        <f t="array" ref="C556">(PRODUCT(1+sp500_monthly!C557:C676)^(1/120)-1)*100</f>
        <v>4.9364427414766432E-2</v>
      </c>
      <c r="D556" cm="1">
        <f t="array" ref="D556">(PRODUCT(1+sp500_monthly!D557:D676)^(1/120)-1)*100</f>
        <v>0.71507953199869689</v>
      </c>
      <c r="E556" cm="1">
        <f t="array" ref="E556">(PRODUCT(1+sp500_monthly!E557:E676)^(1/120)-1)*100</f>
        <v>0.33656756049327274</v>
      </c>
      <c r="F556" cm="1">
        <f t="array" ref="F556">(PRODUCT(1+sp500_monthly!K557:K676)^(1/120)-1)*100</f>
        <v>4.964790302877109E-2</v>
      </c>
      <c r="G556" cm="1">
        <f t="array" ref="G556">(PRODUCT(1+sp500_monthly!L557:L676)^(1/120)-1)</f>
        <v>0.6171140468329519</v>
      </c>
      <c r="H556" cm="1">
        <f t="array" ref="H556">(PRODUCT(1+sp500_monthly!N557:N676)^(1/120)-1)*100</f>
        <v>-0.26529043707710365</v>
      </c>
      <c r="I556" cm="1">
        <f t="array" ref="I556">(PRODUCT(1+sp500_monthly!O557:O676)^(1/120)-1)*100</f>
        <v>-5.4798667124444922E-2</v>
      </c>
    </row>
    <row r="557" spans="1:9" x14ac:dyDescent="0.35">
      <c r="A557" s="1">
        <v>26388</v>
      </c>
      <c r="B557" cm="1">
        <f t="array" ref="B557">(PRODUCT(1+sp500_monthly!B558:B677)^(1/120)-1)*100</f>
        <v>0.41297116691714209</v>
      </c>
      <c r="C557" cm="1">
        <f t="array" ref="C557">(PRODUCT(1+sp500_monthly!C558:C677)^(1/120)-1)*100</f>
        <v>3.5499048436316016E-2</v>
      </c>
      <c r="D557" cm="1">
        <f t="array" ref="D557">(PRODUCT(1+sp500_monthly!D558:D677)^(1/120)-1)*100</f>
        <v>0.71127470027740891</v>
      </c>
      <c r="E557" cm="1">
        <f t="array" ref="E557">(PRODUCT(1+sp500_monthly!E558:E677)^(1/120)-1)*100</f>
        <v>0.330409878093052</v>
      </c>
      <c r="F557" cm="1">
        <f t="array" ref="F557">(PRODUCT(1+sp500_monthly!K558:K677)^(1/120)-1)*100</f>
        <v>3.6214113551147342E-2</v>
      </c>
      <c r="G557" cm="1">
        <f t="array" ref="G557">(PRODUCT(1+sp500_monthly!L558:L677)^(1/120)-1)</f>
        <v>0.62310953293487015</v>
      </c>
      <c r="H557" cm="1">
        <f t="array" ref="H557">(PRODUCT(1+sp500_monthly!N558:N677)^(1/120)-1)*100</f>
        <v>-0.27702240088151031</v>
      </c>
      <c r="I557" cm="1">
        <f t="array" ref="I557">(PRODUCT(1+sp500_monthly!O558:O677)^(1/120)-1)*100</f>
        <v>-4.8921774897714432E-2</v>
      </c>
    </row>
    <row r="558" spans="1:9" x14ac:dyDescent="0.35">
      <c r="A558" s="1">
        <v>26417</v>
      </c>
      <c r="B558" cm="1">
        <f t="array" ref="B558">(PRODUCT(1+sp500_monthly!B559:B678)^(1/120)-1)*100</f>
        <v>0.44247091178930553</v>
      </c>
      <c r="C558" cm="1">
        <f t="array" ref="C558">(PRODUCT(1+sp500_monthly!C559:C678)^(1/120)-1)*100</f>
        <v>6.4375213594369818E-2</v>
      </c>
      <c r="D558" cm="1">
        <f t="array" ref="D558">(PRODUCT(1+sp500_monthly!D559:D678)^(1/120)-1)*100</f>
        <v>0.74640977848057233</v>
      </c>
      <c r="E558" cm="1">
        <f t="array" ref="E558">(PRODUCT(1+sp500_monthly!E559:E678)^(1/120)-1)*100</f>
        <v>0.3648080781379015</v>
      </c>
      <c r="F558" cm="1">
        <f t="array" ref="F558">(PRODUCT(1+sp500_monthly!K559:K678)^(1/120)-1)*100</f>
        <v>6.5278652013867067E-2</v>
      </c>
      <c r="G558" cm="1">
        <f t="array" ref="G558">(PRODUCT(1+sp500_monthly!L559:L678)^(1/120)-1)</f>
        <v>0.62990669722088133</v>
      </c>
      <c r="H558" cm="1">
        <f t="array" ref="H558">(PRODUCT(1+sp500_monthly!N559:N678)^(1/120)-1)*100</f>
        <v>-0.24834910177765623</v>
      </c>
      <c r="I558" cm="1">
        <f t="array" ref="I558">(PRODUCT(1+sp500_monthly!O559:O678)^(1/120)-1)*100</f>
        <v>-4.2599266261555968E-2</v>
      </c>
    </row>
    <row r="559" spans="1:9" x14ac:dyDescent="0.35">
      <c r="A559" s="1">
        <v>26450</v>
      </c>
      <c r="B559" cm="1">
        <f t="array" ref="B559">(PRODUCT(1+sp500_monthly!B560:B679)^(1/120)-1)*100</f>
        <v>0.39918191184449281</v>
      </c>
      <c r="C559" cm="1">
        <f t="array" ref="C559">(PRODUCT(1+sp500_monthly!C560:C679)^(1/120)-1)*100</f>
        <v>1.6628263682516575E-2</v>
      </c>
      <c r="D559" cm="1">
        <f t="array" ref="D559">(PRODUCT(1+sp500_monthly!D560:D679)^(1/120)-1)*100</f>
        <v>0.70787104501528475</v>
      </c>
      <c r="E559" cm="1">
        <f t="array" ref="E559">(PRODUCT(1+sp500_monthly!E560:E679)^(1/120)-1)*100</f>
        <v>0.32356082729037006</v>
      </c>
      <c r="F559" cm="1">
        <f t="array" ref="F559">(PRODUCT(1+sp500_monthly!K560:K679)^(1/120)-1)*100</f>
        <v>1.7694801544743122E-2</v>
      </c>
      <c r="G559" cm="1">
        <f t="array" ref="G559">(PRODUCT(1+sp500_monthly!L560:L679)^(1/120)-1)</f>
        <v>0.63617132273788535</v>
      </c>
      <c r="H559" cm="1">
        <f t="array" ref="H559">(PRODUCT(1+sp500_monthly!N560:N679)^(1/120)-1)*100</f>
        <v>-0.29717510872930841</v>
      </c>
      <c r="I559" cm="1">
        <f t="array" ref="I559">(PRODUCT(1+sp500_monthly!O560:O679)^(1/120)-1)*100</f>
        <v>-4.2160823288006632E-2</v>
      </c>
    </row>
    <row r="560" spans="1:9" x14ac:dyDescent="0.35">
      <c r="A560" s="1">
        <v>26480</v>
      </c>
      <c r="B560" cm="1">
        <f t="array" ref="B560">(PRODUCT(1+sp500_monthly!B561:B680)^(1/120)-1)*100</f>
        <v>0.40291104935523681</v>
      </c>
      <c r="C560" cm="1">
        <f t="array" ref="C560">(PRODUCT(1+sp500_monthly!C561:C680)^(1/120)-1)*100</f>
        <v>1.8707194160660912E-2</v>
      </c>
      <c r="D560" cm="1">
        <f t="array" ref="D560">(PRODUCT(1+sp500_monthly!D561:D680)^(1/120)-1)*100</f>
        <v>0.72823294529307248</v>
      </c>
      <c r="E560" cm="1">
        <f t="array" ref="E560">(PRODUCT(1+sp500_monthly!E561:E680)^(1/120)-1)*100</f>
        <v>0.34221054957142005</v>
      </c>
      <c r="F560" cm="1">
        <f t="array" ref="F560">(PRODUCT(1+sp500_monthly!K561:K680)^(1/120)-1)*100</f>
        <v>1.8998315344465055E-2</v>
      </c>
      <c r="G560" cm="1">
        <f t="array" ref="G560">(PRODUCT(1+sp500_monthly!L561:L680)^(1/120)-1)</f>
        <v>0.64188472627287596</v>
      </c>
      <c r="H560" cm="1">
        <f t="array" ref="H560">(PRODUCT(1+sp500_monthly!N561:N680)^(1/120)-1)*100</f>
        <v>-0.30095289772030798</v>
      </c>
      <c r="I560" cm="1">
        <f t="array" ref="I560">(PRODUCT(1+sp500_monthly!O561:O680)^(1/120)-1)*100</f>
        <v>-4.4114667899408655E-2</v>
      </c>
    </row>
    <row r="561" spans="1:9" x14ac:dyDescent="0.35">
      <c r="A561" s="1">
        <v>26511</v>
      </c>
      <c r="B561" cm="1">
        <f t="array" ref="B561">(PRODUCT(1+sp500_monthly!B562:B681)^(1/120)-1)*100</f>
        <v>0.38312899341899076</v>
      </c>
      <c r="C561" cm="1">
        <f t="array" ref="C561">(PRODUCT(1+sp500_monthly!C562:C681)^(1/120)-1)*100</f>
        <v>-1.6517573328544977E-3</v>
      </c>
      <c r="D561" cm="1">
        <f t="array" ref="D561">(PRODUCT(1+sp500_monthly!D562:D681)^(1/120)-1)*100</f>
        <v>0.73261489586065043</v>
      </c>
      <c r="E561" cm="1">
        <f t="array" ref="E561">(PRODUCT(1+sp500_monthly!E562:E681)^(1/120)-1)*100</f>
        <v>0.34609367451965412</v>
      </c>
      <c r="F561" cm="1">
        <f t="array" ref="F561">(PRODUCT(1+sp500_monthly!K562:K681)^(1/120)-1)*100</f>
        <v>-2.328210244995077E-3</v>
      </c>
      <c r="G561" cm="1">
        <f t="array" ref="G561">(PRODUCT(1+sp500_monthly!L562:L681)^(1/120)-1)</f>
        <v>0.64802331271869384</v>
      </c>
      <c r="H561" cm="1">
        <f t="array" ref="H561">(PRODUCT(1+sp500_monthly!N562:N681)^(1/120)-1)*100</f>
        <v>-0.32287740138172705</v>
      </c>
      <c r="I561" cm="1">
        <f t="array" ref="I561">(PRODUCT(1+sp500_monthly!O562:O681)^(1/120)-1)*100</f>
        <v>-4.0279733334902534E-2</v>
      </c>
    </row>
    <row r="562" spans="1:9" x14ac:dyDescent="0.35">
      <c r="A562" s="1">
        <v>26542</v>
      </c>
      <c r="B562" cm="1">
        <f t="array" ref="B562">(PRODUCT(1+sp500_monthly!B563:B682)^(1/120)-1)*100</f>
        <v>0.45111824117687327</v>
      </c>
      <c r="C562" cm="1">
        <f t="array" ref="C562">(PRODUCT(1+sp500_monthly!C563:C682)^(1/120)-1)*100</f>
        <v>6.1924232757526454E-2</v>
      </c>
      <c r="D562" cm="1">
        <f t="array" ref="D562">(PRODUCT(1+sp500_monthly!D563:D682)^(1/120)-1)*100</f>
        <v>0.80099875239945106</v>
      </c>
      <c r="E562" cm="1">
        <f t="array" ref="E562">(PRODUCT(1+sp500_monthly!E563:E682)^(1/120)-1)*100</f>
        <v>0.41173128664189207</v>
      </c>
      <c r="F562" cm="1">
        <f t="array" ref="F562">(PRODUCT(1+sp500_monthly!K563:K682)^(1/120)-1)*100</f>
        <v>6.0904054259358631E-2</v>
      </c>
      <c r="G562" cm="1">
        <f t="array" ref="G562">(PRODUCT(1+sp500_monthly!L563:L682)^(1/120)-1)</f>
        <v>0.65229545734097716</v>
      </c>
      <c r="H562" cm="1">
        <f t="array" ref="H562">(PRODUCT(1+sp500_monthly!N563:N682)^(1/120)-1)*100</f>
        <v>-0.25508346519009795</v>
      </c>
      <c r="I562" cm="1">
        <f t="array" ref="I562">(PRODUCT(1+sp500_monthly!O563:O682)^(1/120)-1)*100</f>
        <v>-3.6101522349540893E-2</v>
      </c>
    </row>
    <row r="563" spans="1:9" x14ac:dyDescent="0.35">
      <c r="A563" s="1">
        <v>26571</v>
      </c>
      <c r="B563" cm="1">
        <f t="array" ref="B563">(PRODUCT(1+sp500_monthly!B564:B683)^(1/120)-1)*100</f>
        <v>0.46260689024768542</v>
      </c>
      <c r="C563" cm="1">
        <f t="array" ref="C563">(PRODUCT(1+sp500_monthly!C564:C683)^(1/120)-1)*100</f>
        <v>7.2109057200764326E-2</v>
      </c>
      <c r="D563" cm="1">
        <f t="array" ref="D563">(PRODUCT(1+sp500_monthly!D564:D683)^(1/120)-1)*100</f>
        <v>0.83276018137428132</v>
      </c>
      <c r="E563" cm="1">
        <f t="array" ref="E563">(PRODUCT(1+sp500_monthly!E564:E683)^(1/120)-1)*100</f>
        <v>0.44208309968523096</v>
      </c>
      <c r="F563" cm="1">
        <f t="array" ref="F563">(PRODUCT(1+sp500_monthly!K564:K683)^(1/120)-1)*100</f>
        <v>7.1292593773408797E-2</v>
      </c>
      <c r="G563" cm="1">
        <f t="array" ref="G563">(PRODUCT(1+sp500_monthly!L564:L683)^(1/120)-1)</f>
        <v>0.65394086132089568</v>
      </c>
      <c r="H563" cm="1">
        <f t="array" ref="H563">(PRODUCT(1+sp500_monthly!N564:N683)^(1/120)-1)*100</f>
        <v>-0.23971691446563748</v>
      </c>
      <c r="I563" cm="1">
        <f t="array" ref="I563">(PRODUCT(1+sp500_monthly!O564:O683)^(1/120)-1)*100</f>
        <v>-3.0724386493985456E-2</v>
      </c>
    </row>
    <row r="564" spans="1:9" x14ac:dyDescent="0.35">
      <c r="A564" s="1">
        <v>26603</v>
      </c>
      <c r="B564" cm="1">
        <f t="array" ref="B564">(PRODUCT(1+sp500_monthly!B565:B684)^(1/120)-1)*100</f>
        <v>0.54385947304798066</v>
      </c>
      <c r="C564" cm="1">
        <f t="array" ref="C564">(PRODUCT(1+sp500_monthly!C565:C684)^(1/120)-1)*100</f>
        <v>0.15221035942258876</v>
      </c>
      <c r="D564" cm="1">
        <f t="array" ref="D564">(PRODUCT(1+sp500_monthly!D565:D684)^(1/120)-1)*100</f>
        <v>0.94315109675278119</v>
      </c>
      <c r="E564" cm="1">
        <f t="array" ref="E564">(PRODUCT(1+sp500_monthly!E565:E684)^(1/120)-1)*100</f>
        <v>0.5517616168730477</v>
      </c>
      <c r="F564" cm="1">
        <f t="array" ref="F564">(PRODUCT(1+sp500_monthly!K565:K684)^(1/120)-1)*100</f>
        <v>0.15089260869665111</v>
      </c>
      <c r="G564" cm="1">
        <f t="array" ref="G564">(PRODUCT(1+sp500_monthly!L565:L684)^(1/120)-1)</f>
        <v>0.65569582054808095</v>
      </c>
      <c r="H564" cm="1">
        <f t="array" ref="H564">(PRODUCT(1+sp500_monthly!N565:N684)^(1/120)-1)*100</f>
        <v>-0.16045785200120566</v>
      </c>
      <c r="I564" cm="1">
        <f t="array" ref="I564">(PRODUCT(1+sp500_monthly!O565:O684)^(1/120)-1)*100</f>
        <v>-3.0576669517512478E-2</v>
      </c>
    </row>
    <row r="565" spans="1:9" x14ac:dyDescent="0.35">
      <c r="A565" s="1">
        <v>26633</v>
      </c>
      <c r="B565" cm="1">
        <f t="array" ref="B565">(PRODUCT(1+sp500_monthly!B566:B685)^(1/120)-1)*100</f>
        <v>0.54022753836986404</v>
      </c>
      <c r="C565" cm="1">
        <f t="array" ref="C565">(PRODUCT(1+sp500_monthly!C566:C685)^(1/120)-1)*100</f>
        <v>0.14610426363983464</v>
      </c>
      <c r="D565" cm="1">
        <f t="array" ref="D565">(PRODUCT(1+sp500_monthly!D566:D685)^(1/120)-1)*100</f>
        <v>0.93293527731170833</v>
      </c>
      <c r="E565" cm="1">
        <f t="array" ref="E565">(PRODUCT(1+sp500_monthly!E566:E685)^(1/120)-1)*100</f>
        <v>0.54034060726722011</v>
      </c>
      <c r="F565" cm="1">
        <f t="array" ref="F565">(PRODUCT(1+sp500_monthly!K566:K685)^(1/120)-1)*100</f>
        <v>0.14328036260573551</v>
      </c>
      <c r="G565" cm="1">
        <f t="array" ref="G565">(PRODUCT(1+sp500_monthly!L566:L685)^(1/120)-1)</f>
        <v>0.65809513284298871</v>
      </c>
      <c r="H565" cm="1">
        <f t="array" ref="H565">(PRODUCT(1+sp500_monthly!N566:N685)^(1/120)-1)*100</f>
        <v>-0.15928206464210781</v>
      </c>
      <c r="I565" cm="1">
        <f t="array" ref="I565">(PRODUCT(1+sp500_monthly!O566:O685)^(1/120)-1)*100</f>
        <v>-2.3632639505744013E-2</v>
      </c>
    </row>
    <row r="566" spans="1:9" x14ac:dyDescent="0.35">
      <c r="A566" s="1">
        <v>26662</v>
      </c>
      <c r="B566" cm="1">
        <f t="array" ref="B566">(PRODUCT(1+sp500_monthly!B567:B686)^(1/120)-1)*100</f>
        <v>0.5428452706773168</v>
      </c>
      <c r="C566" cm="1">
        <f t="array" ref="C566">(PRODUCT(1+sp500_monthly!C567:C686)^(1/120)-1)*100</f>
        <v>0.14779536435038931</v>
      </c>
      <c r="D566" cm="1">
        <f t="array" ref="D566">(PRODUCT(1+sp500_monthly!D567:D686)^(1/120)-1)*100</f>
        <v>0.95586914558019043</v>
      </c>
      <c r="E566" cm="1">
        <f t="array" ref="E566">(PRODUCT(1+sp500_monthly!E567:E686)^(1/120)-1)*100</f>
        <v>0.56236822600643777</v>
      </c>
      <c r="F566" cm="1">
        <f t="array" ref="F566">(PRODUCT(1+sp500_monthly!K567:K686)^(1/120)-1)*100</f>
        <v>0.14602238112535471</v>
      </c>
      <c r="G566" cm="1">
        <f t="array" ref="G566">(PRODUCT(1+sp500_monthly!L567:L686)^(1/120)-1)</f>
        <v>0.66083342649005328</v>
      </c>
      <c r="H566" cm="1">
        <f t="array" ref="H566">(PRODUCT(1+sp500_monthly!N567:N686)^(1/120)-1)*100</f>
        <v>-0.15217149452694256</v>
      </c>
      <c r="I566" cm="1">
        <f t="array" ref="I566">(PRODUCT(1+sp500_monthly!O567:O686)^(1/120)-1)*100</f>
        <v>-1.6628952832120625E-2</v>
      </c>
    </row>
    <row r="567" spans="1:9" x14ac:dyDescent="0.35">
      <c r="A567" s="1">
        <v>26695</v>
      </c>
      <c r="B567" cm="1">
        <f t="array" ref="B567">(PRODUCT(1+sp500_monthly!B568:B687)^(1/120)-1)*100</f>
        <v>0.58606986855855858</v>
      </c>
      <c r="C567" cm="1">
        <f t="array" ref="C567">(PRODUCT(1+sp500_monthly!C568:C687)^(1/120)-1)*100</f>
        <v>0.19035285796169532</v>
      </c>
      <c r="D567" cm="1">
        <f t="array" ref="D567">(PRODUCT(1+sp500_monthly!D568:D687)^(1/120)-1)*100</f>
        <v>1.0273551865718211</v>
      </c>
      <c r="E567" cm="1">
        <f t="array" ref="E567">(PRODUCT(1+sp500_monthly!E568:E687)^(1/120)-1)*100</f>
        <v>0.63321740858721665</v>
      </c>
      <c r="F567" cm="1">
        <f t="array" ref="F567">(PRODUCT(1+sp500_monthly!K568:K687)^(1/120)-1)*100</f>
        <v>0.18763834782380417</v>
      </c>
      <c r="G567" cm="1">
        <f t="array" ref="G567">(PRODUCT(1+sp500_monthly!L568:L687)^(1/120)-1)</f>
        <v>0.66305053176133466</v>
      </c>
      <c r="H567" cm="1">
        <f t="array" ref="H567">(PRODUCT(1+sp500_monthly!N568:N687)^(1/120)-1)*100</f>
        <v>-0.10703986935430843</v>
      </c>
      <c r="I567" cm="1">
        <f t="array" ref="I567">(PRODUCT(1+sp500_monthly!O568:O687)^(1/120)-1)*100</f>
        <v>-1.23497317414345E-2</v>
      </c>
    </row>
    <row r="568" spans="1:9" x14ac:dyDescent="0.35">
      <c r="A568" s="1">
        <v>26723</v>
      </c>
      <c r="B568" cm="1">
        <f t="array" ref="B568">(PRODUCT(1+sp500_monthly!B569:B688)^(1/120)-1)*100</f>
        <v>0.63621658728776342</v>
      </c>
      <c r="C568" cm="1">
        <f t="array" ref="C568">(PRODUCT(1+sp500_monthly!C569:C688)^(1/120)-1)*100</f>
        <v>0.2382453958280184</v>
      </c>
      <c r="D568" cm="1">
        <f t="array" ref="D568">(PRODUCT(1+sp500_monthly!D569:D688)^(1/120)-1)*100</f>
        <v>1.1026690192806221</v>
      </c>
      <c r="E568" cm="1">
        <f t="array" ref="E568">(PRODUCT(1+sp500_monthly!E569:E688)^(1/120)-1)*100</f>
        <v>0.70772802521605893</v>
      </c>
      <c r="F568" cm="1">
        <f t="array" ref="F568">(PRODUCT(1+sp500_monthly!K569:K688)^(1/120)-1)*100</f>
        <v>0.23526189342710779</v>
      </c>
      <c r="G568" cm="1">
        <f t="array" ref="G568">(PRODUCT(1+sp500_monthly!L569:L688)^(1/120)-1)</f>
        <v>0.66497574544953597</v>
      </c>
      <c r="H568" cm="1">
        <f t="array" ref="H568">(PRODUCT(1+sp500_monthly!N569:N688)^(1/120)-1)*100</f>
        <v>-5.2257870412386609E-2</v>
      </c>
      <c r="I568" cm="1">
        <f t="array" ref="I568">(PRODUCT(1+sp500_monthly!O569:O688)^(1/120)-1)*100</f>
        <v>-5.6257465519515826E-3</v>
      </c>
    </row>
    <row r="569" spans="1:9" x14ac:dyDescent="0.35">
      <c r="A569" s="1">
        <v>26753</v>
      </c>
      <c r="B569" cm="1">
        <f t="array" ref="B569">(PRODUCT(1+sp500_monthly!B570:B689)^(1/120)-1)*100</f>
        <v>0.66636922135312471</v>
      </c>
      <c r="C569" cm="1">
        <f t="array" ref="C569">(PRODUCT(1+sp500_monthly!C570:C689)^(1/120)-1)*100</f>
        <v>0.26667909975519599</v>
      </c>
      <c r="D569" cm="1">
        <f t="array" ref="D569">(PRODUCT(1+sp500_monthly!D570:D689)^(1/120)-1)*100</f>
        <v>1.156421957715148</v>
      </c>
      <c r="E569" cm="1">
        <f t="array" ref="E569">(PRODUCT(1+sp500_monthly!E570:E689)^(1/120)-1)*100</f>
        <v>0.76053043987871494</v>
      </c>
      <c r="F569" cm="1">
        <f t="array" ref="F569">(PRODUCT(1+sp500_monthly!K570:K689)^(1/120)-1)*100</f>
        <v>0.2636602086759865</v>
      </c>
      <c r="G569" cm="1">
        <f t="array" ref="G569">(PRODUCT(1+sp500_monthly!L570:L689)^(1/120)-1)</f>
        <v>0.66650466691016974</v>
      </c>
      <c r="H569" cm="1">
        <f t="array" ref="H569">(PRODUCT(1+sp500_monthly!N570:N689)^(1/120)-1)*100</f>
        <v>-1.5446615488312609E-2</v>
      </c>
      <c r="I569" cm="1">
        <f t="array" ref="I569">(PRODUCT(1+sp500_monthly!O570:O689)^(1/120)-1)*100</f>
        <v>2.6493162369245482E-3</v>
      </c>
    </row>
    <row r="570" spans="1:9" x14ac:dyDescent="0.35">
      <c r="A570" s="1">
        <v>26784</v>
      </c>
      <c r="B570" cm="1">
        <f t="array" ref="B570">(PRODUCT(1+sp500_monthly!B571:B690)^(1/120)-1)*100</f>
        <v>0.76194521930315062</v>
      </c>
      <c r="C570" cm="1">
        <f t="array" ref="C570">(PRODUCT(1+sp500_monthly!C571:C690)^(1/120)-1)*100</f>
        <v>0.36206970635217495</v>
      </c>
      <c r="D570" cm="1">
        <f t="array" ref="D570">(PRODUCT(1+sp500_monthly!D571:D690)^(1/120)-1)*100</f>
        <v>1.2547419867928733</v>
      </c>
      <c r="E570" cm="1">
        <f t="array" ref="E570">(PRODUCT(1+sp500_monthly!E571:E690)^(1/120)-1)*100</f>
        <v>0.85897487472430534</v>
      </c>
      <c r="F570" cm="1">
        <f t="array" ref="F570">(PRODUCT(1+sp500_monthly!K571:K690)^(1/120)-1)*100</f>
        <v>0.35887546977628748</v>
      </c>
      <c r="G570" cm="1">
        <f t="array" ref="G570">(PRODUCT(1+sp500_monthly!L571:L690)^(1/120)-1)</f>
        <v>0.66814118640979792</v>
      </c>
      <c r="H570" cm="1">
        <f t="array" ref="H570">(PRODUCT(1+sp500_monthly!N571:N690)^(1/120)-1)*100</f>
        <v>7.9297249589616037E-2</v>
      </c>
      <c r="I570" cm="1">
        <f t="array" ref="I570">(PRODUCT(1+sp500_monthly!O571:O690)^(1/120)-1)*100</f>
        <v>4.0383708476143809E-3</v>
      </c>
    </row>
    <row r="571" spans="1:9" x14ac:dyDescent="0.35">
      <c r="A571" s="1">
        <v>26815</v>
      </c>
      <c r="B571" cm="1">
        <f t="array" ref="B571">(PRODUCT(1+sp500_monthly!B572:B691)^(1/120)-1)*100</f>
        <v>0.76895260242704211</v>
      </c>
      <c r="C571" cm="1">
        <f t="array" ref="C571">(PRODUCT(1+sp500_monthly!C572:C691)^(1/120)-1)*100</f>
        <v>0.36793357943147864</v>
      </c>
      <c r="D571" cm="1">
        <f t="array" ref="D571">(PRODUCT(1+sp500_monthly!D572:D691)^(1/120)-1)*100</f>
        <v>1.3167721684636646</v>
      </c>
      <c r="E571" cm="1">
        <f t="array" ref="E571">(PRODUCT(1+sp500_monthly!E572:E691)^(1/120)-1)*100</f>
        <v>0.92080928171842658</v>
      </c>
      <c r="F571" cm="1">
        <f t="array" ref="F571">(PRODUCT(1+sp500_monthly!K572:K691)^(1/120)-1)*100</f>
        <v>0.36443026539636492</v>
      </c>
      <c r="G571" cm="1">
        <f t="array" ref="G571">(PRODUCT(1+sp500_monthly!L572:L691)^(1/120)-1)</f>
        <v>0.66970745616742966</v>
      </c>
      <c r="H571" cm="1">
        <f t="array" ref="H571">(PRODUCT(1+sp500_monthly!N572:N691)^(1/120)-1)*100</f>
        <v>8.6695711300133205E-2</v>
      </c>
      <c r="I571" cm="1">
        <f t="array" ref="I571">(PRODUCT(1+sp500_monthly!O572:O691)^(1/120)-1)*100</f>
        <v>5.9676951453369043E-3</v>
      </c>
    </row>
    <row r="572" spans="1:9" x14ac:dyDescent="0.35">
      <c r="A572" s="1">
        <v>26844</v>
      </c>
      <c r="B572" cm="1">
        <f t="array" ref="B572">(PRODUCT(1+sp500_monthly!B573:B692)^(1/120)-1)*100</f>
        <v>0.80380323101909568</v>
      </c>
      <c r="C572" cm="1">
        <f t="array" ref="C572">(PRODUCT(1+sp500_monthly!C573:C692)^(1/120)-1)*100</f>
        <v>0.40114943540181525</v>
      </c>
      <c r="D572" cm="1">
        <f t="array" ref="D572">(PRODUCT(1+sp500_monthly!D573:D692)^(1/120)-1)*100</f>
        <v>1.3659719710365392</v>
      </c>
      <c r="E572" cm="1">
        <f t="array" ref="E572">(PRODUCT(1+sp500_monthly!E573:E692)^(1/120)-1)*100</f>
        <v>0.96992623060994099</v>
      </c>
      <c r="F572" cm="1">
        <f t="array" ref="F572">(PRODUCT(1+sp500_monthly!K573:K692)^(1/120)-1)*100</f>
        <v>0.39890679995491229</v>
      </c>
      <c r="G572" cm="1">
        <f t="array" ref="G572">(PRODUCT(1+sp500_monthly!L573:L692)^(1/120)-1)</f>
        <v>0.67110940169977518</v>
      </c>
      <c r="H572" cm="1">
        <f t="array" ref="H572">(PRODUCT(1+sp500_monthly!N573:N692)^(1/120)-1)*100</f>
        <v>0.12531228688474894</v>
      </c>
      <c r="I572" cm="1">
        <f t="array" ref="I572">(PRODUCT(1+sp500_monthly!O573:O692)^(1/120)-1)*100</f>
        <v>1.1290642210104451E-2</v>
      </c>
    </row>
    <row r="573" spans="1:9" x14ac:dyDescent="0.35">
      <c r="A573" s="1">
        <v>26876</v>
      </c>
      <c r="B573" cm="1">
        <f t="array" ref="B573">(PRODUCT(1+sp500_monthly!B574:B693)^(1/120)-1)*100</f>
        <v>0.74491891658026166</v>
      </c>
      <c r="C573" cm="1">
        <f t="array" ref="C573">(PRODUCT(1+sp500_monthly!C574:C693)^(1/120)-1)*100</f>
        <v>0.34273184123154721</v>
      </c>
      <c r="D573" cm="1">
        <f t="array" ref="D573">(PRODUCT(1+sp500_monthly!D574:D693)^(1/120)-1)*100</f>
        <v>1.2828450229426469</v>
      </c>
      <c r="E573" cm="1">
        <f t="array" ref="E573">(PRODUCT(1+sp500_monthly!E574:E693)^(1/120)-1)*100</f>
        <v>0.88756954050814851</v>
      </c>
      <c r="F573" cm="1">
        <f t="array" ref="F573">(PRODUCT(1+sp500_monthly!K574:K693)^(1/120)-1)*100</f>
        <v>0.33964735444929062</v>
      </c>
      <c r="G573" cm="1">
        <f t="array" ref="G573">(PRODUCT(1+sp500_monthly!L574:L693)^(1/120)-1)</f>
        <v>0.67193386400766952</v>
      </c>
      <c r="H573" cm="1">
        <f t="array" ref="H573">(PRODUCT(1+sp500_monthly!N574:N693)^(1/120)-1)*100</f>
        <v>6.3475406303048487E-2</v>
      </c>
      <c r="I573" cm="1">
        <f t="array" ref="I573">(PRODUCT(1+sp500_monthly!O574:O693)^(1/120)-1)*100</f>
        <v>8.7712876120749073E-3</v>
      </c>
    </row>
    <row r="574" spans="1:9" x14ac:dyDescent="0.35">
      <c r="A574" s="1">
        <v>26907</v>
      </c>
      <c r="B574" cm="1">
        <f t="array" ref="B574">(PRODUCT(1+sp500_monthly!B575:B694)^(1/120)-1)*100</f>
        <v>0.78505000715962669</v>
      </c>
      <c r="C574" cm="1">
        <f t="array" ref="C574">(PRODUCT(1+sp500_monthly!C575:C694)^(1/120)-1)*100</f>
        <v>0.38172866400676408</v>
      </c>
      <c r="D574" cm="1">
        <f t="array" ref="D574">(PRODUCT(1+sp500_monthly!D575:D694)^(1/120)-1)*100</f>
        <v>1.3040773019216356</v>
      </c>
      <c r="E574" cm="1">
        <f t="array" ref="E574">(PRODUCT(1+sp500_monthly!E575:E694)^(1/120)-1)*100</f>
        <v>0.90888722379072195</v>
      </c>
      <c r="F574" cm="1">
        <f t="array" ref="F574">(PRODUCT(1+sp500_monthly!K575:K694)^(1/120)-1)*100</f>
        <v>0.38031843543544497</v>
      </c>
      <c r="G574" cm="1">
        <f t="array" ref="G574">(PRODUCT(1+sp500_monthly!L575:L694)^(1/120)-1)</f>
        <v>0.67241720018250795</v>
      </c>
      <c r="H574" cm="1">
        <f t="array" ref="H574">(PRODUCT(1+sp500_monthly!N575:N694)^(1/120)-1)*100</f>
        <v>0.11579551703464475</v>
      </c>
      <c r="I574" cm="1">
        <f t="array" ref="I574">(PRODUCT(1+sp500_monthly!O575:O694)^(1/120)-1)*100</f>
        <v>2.1716468509835885E-2</v>
      </c>
    </row>
    <row r="575" spans="1:9" x14ac:dyDescent="0.35">
      <c r="A575" s="1">
        <v>26935</v>
      </c>
      <c r="B575" cm="1">
        <f t="array" ref="B575">(PRODUCT(1+sp500_monthly!B576:B695)^(1/120)-1)*100</f>
        <v>0.76208568976074975</v>
      </c>
      <c r="C575" cm="1">
        <f t="array" ref="C575">(PRODUCT(1+sp500_monthly!C576:C695)^(1/120)-1)*100</f>
        <v>0.35710586929751376</v>
      </c>
      <c r="D575" cm="1">
        <f t="array" ref="D575">(PRODUCT(1+sp500_monthly!D576:D695)^(1/120)-1)*100</f>
        <v>1.2490748463958035</v>
      </c>
      <c r="E575" cm="1">
        <f t="array" ref="E575">(PRODUCT(1+sp500_monthly!E576:E695)^(1/120)-1)*100</f>
        <v>0.85359814545449275</v>
      </c>
      <c r="F575" cm="1">
        <f t="array" ref="F575">(PRODUCT(1+sp500_monthly!K576:K695)^(1/120)-1)*100</f>
        <v>0.3558902923479712</v>
      </c>
      <c r="G575" cm="1">
        <f t="array" ref="G575">(PRODUCT(1+sp500_monthly!L576:L695)^(1/120)-1)</f>
        <v>0.67306566648798549</v>
      </c>
      <c r="H575" cm="1">
        <f t="array" ref="H575">(PRODUCT(1+sp500_monthly!N576:N695)^(1/120)-1)*100</f>
        <v>9.4186546968133555E-2</v>
      </c>
      <c r="I575" cm="1">
        <f t="array" ref="I575">(PRODUCT(1+sp500_monthly!O576:O695)^(1/120)-1)*100</f>
        <v>2.3580521718113978E-2</v>
      </c>
    </row>
    <row r="576" spans="1:9" x14ac:dyDescent="0.35">
      <c r="A576" s="1">
        <v>26968</v>
      </c>
      <c r="B576" cm="1">
        <f t="array" ref="B576">(PRODUCT(1+sp500_monthly!B577:B696)^(1/120)-1)*100</f>
        <v>0.75074503518097746</v>
      </c>
      <c r="C576" cm="1">
        <f t="array" ref="C576">(PRODUCT(1+sp500_monthly!C577:C696)^(1/120)-1)*100</f>
        <v>0.34603138546365209</v>
      </c>
      <c r="D576" cm="1">
        <f t="array" ref="D576">(PRODUCT(1+sp500_monthly!D577:D696)^(1/120)-1)*100</f>
        <v>1.2327369224081952</v>
      </c>
      <c r="E576" cm="1">
        <f t="array" ref="E576">(PRODUCT(1+sp500_monthly!E577:E696)^(1/120)-1)*100</f>
        <v>0.83777310475254829</v>
      </c>
      <c r="F576" cm="1">
        <f t="array" ref="F576">(PRODUCT(1+sp500_monthly!K577:K696)^(1/120)-1)*100</f>
        <v>0.34418406823728542</v>
      </c>
      <c r="G576" cm="1">
        <f t="array" ref="G576">(PRODUCT(1+sp500_monthly!L577:L696)^(1/120)-1)</f>
        <v>0.67396571836537178</v>
      </c>
      <c r="H576" cm="1">
        <f t="array" ref="H576">(PRODUCT(1+sp500_monthly!N577:N696)^(1/120)-1)*100</f>
        <v>8.6953219963725736E-2</v>
      </c>
      <c r="I576" cm="1">
        <f t="array" ref="I576">(PRODUCT(1+sp500_monthly!O577:O696)^(1/120)-1)*100</f>
        <v>2.8520792272468398E-2</v>
      </c>
    </row>
    <row r="577" spans="1:9" x14ac:dyDescent="0.35">
      <c r="A577" s="1">
        <v>26998</v>
      </c>
      <c r="B577" cm="1">
        <f t="array" ref="B577">(PRODUCT(1+sp500_monthly!B578:B697)^(1/120)-1)*100</f>
        <v>0.865818696045495</v>
      </c>
      <c r="C577" cm="1">
        <f t="array" ref="C577">(PRODUCT(1+sp500_monthly!C578:C697)^(1/120)-1)*100</f>
        <v>0.46080598792559435</v>
      </c>
      <c r="D577" cm="1">
        <f t="array" ref="D577">(PRODUCT(1+sp500_monthly!D578:D697)^(1/120)-1)*100</f>
        <v>1.4097911901270077</v>
      </c>
      <c r="E577" cm="1">
        <f t="array" ref="E577">(PRODUCT(1+sp500_monthly!E578:E697)^(1/120)-1)*100</f>
        <v>1.0152725987326638</v>
      </c>
      <c r="F577" cm="1">
        <f t="array" ref="F577">(PRODUCT(1+sp500_monthly!K578:K697)^(1/120)-1)*100</f>
        <v>0.45977799765486438</v>
      </c>
      <c r="G577" cm="1">
        <f t="array" ref="G577">(PRODUCT(1+sp500_monthly!L578:L697)^(1/120)-1)</f>
        <v>0.67516502011988289</v>
      </c>
      <c r="H577" cm="1">
        <f t="array" ref="H577">(PRODUCT(1+sp500_monthly!N578:N697)^(1/120)-1)*100</f>
        <v>0.20426280693992549</v>
      </c>
      <c r="I577" cm="1">
        <f t="array" ref="I577">(PRODUCT(1+sp500_monthly!O578:O697)^(1/120)-1)*100</f>
        <v>3.2669449169842046E-2</v>
      </c>
    </row>
    <row r="578" spans="1:9" x14ac:dyDescent="0.35">
      <c r="A578" s="1">
        <v>27029</v>
      </c>
      <c r="B578" cm="1">
        <f t="array" ref="B578">(PRODUCT(1+sp500_monthly!B579:B698)^(1/120)-1)*100</f>
        <v>0.84600301454720306</v>
      </c>
      <c r="C578" cm="1">
        <f t="array" ref="C578">(PRODUCT(1+sp500_monthly!C579:C698)^(1/120)-1)*100</f>
        <v>0.43976511971786092</v>
      </c>
      <c r="D578" cm="1">
        <f t="array" ref="D578">(PRODUCT(1+sp500_monthly!D579:D698)^(1/120)-1)*100</f>
        <v>1.3938806737325393</v>
      </c>
      <c r="E578" cm="1">
        <f t="array" ref="E578">(PRODUCT(1+sp500_monthly!E579:E698)^(1/120)-1)*100</f>
        <v>0.99992083868531978</v>
      </c>
      <c r="F578" cm="1">
        <f t="array" ref="F578">(PRODUCT(1+sp500_monthly!K579:K698)^(1/120)-1)*100</f>
        <v>0.43859453429988537</v>
      </c>
      <c r="G578" cm="1">
        <f t="array" ref="G578">(PRODUCT(1+sp500_monthly!L579:L698)^(1/120)-1)</f>
        <v>0.67591098591655441</v>
      </c>
      <c r="H578" cm="1">
        <f t="array" ref="H578">(PRODUCT(1+sp500_monthly!N579:N698)^(1/120)-1)*100</f>
        <v>0.18934756005404285</v>
      </c>
      <c r="I578" cm="1">
        <f t="array" ref="I578">(PRODUCT(1+sp500_monthly!O579:O698)^(1/120)-1)*100</f>
        <v>3.8177863006971791E-2</v>
      </c>
    </row>
    <row r="579" spans="1:9" x14ac:dyDescent="0.35">
      <c r="A579" s="1">
        <v>27060</v>
      </c>
      <c r="B579" cm="1">
        <f t="array" ref="B579">(PRODUCT(1+sp500_monthly!B580:B699)^(1/120)-1)*100</f>
        <v>0.84957263104175063</v>
      </c>
      <c r="C579" cm="1">
        <f t="array" ref="C579">(PRODUCT(1+sp500_monthly!C580:C699)^(1/120)-1)*100</f>
        <v>0.44321676745495697</v>
      </c>
      <c r="D579" cm="1">
        <f t="array" ref="D579">(PRODUCT(1+sp500_monthly!D580:D699)^(1/120)-1)*100</f>
        <v>1.3244333882118653</v>
      </c>
      <c r="E579" cm="1">
        <f t="array" ref="E579">(PRODUCT(1+sp500_monthly!E580:E699)^(1/120)-1)*100</f>
        <v>0.93109063738423536</v>
      </c>
      <c r="F579" cm="1">
        <f t="array" ref="F579">(PRODUCT(1+sp500_monthly!K580:K699)^(1/120)-1)*100</f>
        <v>0.43929599279202147</v>
      </c>
      <c r="G579" cm="1">
        <f t="array" ref="G579">(PRODUCT(1+sp500_monthly!L580:L699)^(1/120)-1)</f>
        <v>0.67698298703085902</v>
      </c>
      <c r="H579" cm="1">
        <f t="array" ref="H579">(PRODUCT(1+sp500_monthly!N580:N699)^(1/120)-1)*100</f>
        <v>0.19611819883988968</v>
      </c>
      <c r="I579" cm="1">
        <f t="array" ref="I579">(PRODUCT(1+sp500_monthly!O580:O699)^(1/120)-1)*100</f>
        <v>4.2473457332370401E-2</v>
      </c>
    </row>
    <row r="580" spans="1:9" x14ac:dyDescent="0.35">
      <c r="A580" s="1">
        <v>27088</v>
      </c>
      <c r="B580" cm="1">
        <f t="array" ref="B580">(PRODUCT(1+sp500_monthly!B581:B700)^(1/120)-1)*100</f>
        <v>0.81880420409921051</v>
      </c>
      <c r="C580" cm="1">
        <f t="array" ref="C580">(PRODUCT(1+sp500_monthly!C581:C700)^(1/120)-1)*100</f>
        <v>0.41258235918408825</v>
      </c>
      <c r="D580" cm="1">
        <f t="array" ref="D580">(PRODUCT(1+sp500_monthly!D581:D700)^(1/120)-1)*100</f>
        <v>1.2706512536315939</v>
      </c>
      <c r="E580" cm="1">
        <f t="array" ref="E580">(PRODUCT(1+sp500_monthly!E581:E700)^(1/120)-1)*100</f>
        <v>0.87775737974149504</v>
      </c>
      <c r="F580" cm="1">
        <f t="array" ref="F580">(PRODUCT(1+sp500_monthly!K581:K700)^(1/120)-1)*100</f>
        <v>0.40916573110589827</v>
      </c>
      <c r="G580" cm="1">
        <f t="array" ref="G580">(PRODUCT(1+sp500_monthly!L581:L700)^(1/120)-1)</f>
        <v>0.6780883225517198</v>
      </c>
      <c r="H580" cm="1">
        <f t="array" ref="H580">(PRODUCT(1+sp500_monthly!N581:N700)^(1/120)-1)*100</f>
        <v>0.17034207601465123</v>
      </c>
      <c r="I580" cm="1">
        <f t="array" ref="I580">(PRODUCT(1+sp500_monthly!O581:O700)^(1/120)-1)*100</f>
        <v>4.8337413614230051E-2</v>
      </c>
    </row>
    <row r="581" spans="1:9" x14ac:dyDescent="0.35">
      <c r="A581" s="1">
        <v>27117</v>
      </c>
      <c r="B581" cm="1">
        <f t="array" ref="B581">(PRODUCT(1+sp500_monthly!B582:B701)^(1/120)-1)*100</f>
        <v>0.85174933737535152</v>
      </c>
      <c r="C581" cm="1">
        <f t="array" ref="C581">(PRODUCT(1+sp500_monthly!C582:C701)^(1/120)-1)*100</f>
        <v>0.44358708538363434</v>
      </c>
      <c r="D581" cm="1">
        <f t="array" ref="D581">(PRODUCT(1+sp500_monthly!D582:D701)^(1/120)-1)*100</f>
        <v>1.3071415521894281</v>
      </c>
      <c r="E581" cm="1">
        <f t="array" ref="E581">(PRODUCT(1+sp500_monthly!E582:E701)^(1/120)-1)*100</f>
        <v>0.91425946516556778</v>
      </c>
      <c r="F581" cm="1">
        <f t="array" ref="F581">(PRODUCT(1+sp500_monthly!K582:K701)^(1/120)-1)*100</f>
        <v>0.44009900579322636</v>
      </c>
      <c r="G581" cm="1">
        <f t="array" ref="G581">(PRODUCT(1+sp500_monthly!L582:L701)^(1/120)-1)</f>
        <v>0.67953539655022399</v>
      </c>
      <c r="H581" cm="1">
        <f t="array" ref="H581">(PRODUCT(1+sp500_monthly!N582:N701)^(1/120)-1)*100</f>
        <v>0.20941805733523111</v>
      </c>
      <c r="I581" cm="1">
        <f t="array" ref="I581">(PRODUCT(1+sp500_monthly!O582:O701)^(1/120)-1)*100</f>
        <v>5.6078736070852564E-2</v>
      </c>
    </row>
    <row r="582" spans="1:9" x14ac:dyDescent="0.35">
      <c r="A582" s="1">
        <v>27149</v>
      </c>
      <c r="B582" cm="1">
        <f t="array" ref="B582">(PRODUCT(1+sp500_monthly!B583:B702)^(1/120)-1)*100</f>
        <v>0.88968861523626153</v>
      </c>
      <c r="C582" cm="1">
        <f t="array" ref="C582">(PRODUCT(1+sp500_monthly!C583:C702)^(1/120)-1)*100</f>
        <v>0.48157021548043133</v>
      </c>
      <c r="D582" cm="1">
        <f t="array" ref="D582">(PRODUCT(1+sp500_monthly!D583:D702)^(1/120)-1)*100</f>
        <v>1.3468434705308896</v>
      </c>
      <c r="E582" cm="1">
        <f t="array" ref="E582">(PRODUCT(1+sp500_monthly!E583:E702)^(1/120)-1)*100</f>
        <v>0.95461849845237534</v>
      </c>
      <c r="F582" cm="1">
        <f t="array" ref="F582">(PRODUCT(1+sp500_monthly!K583:K702)^(1/120)-1)*100</f>
        <v>0.47800978852623466</v>
      </c>
      <c r="G582" cm="1">
        <f t="array" ref="G582">(PRODUCT(1+sp500_monthly!L583:L702)^(1/120)-1)</f>
        <v>0.68000728711400793</v>
      </c>
      <c r="H582" cm="1">
        <f t="array" ref="H582">(PRODUCT(1+sp500_monthly!N583:N702)^(1/120)-1)*100</f>
        <v>0.24910128197952464</v>
      </c>
      <c r="I582" cm="1">
        <f t="array" ref="I582">(PRODUCT(1+sp500_monthly!O583:O702)^(1/120)-1)*100</f>
        <v>5.8556956192545861E-2</v>
      </c>
    </row>
    <row r="583" spans="1:9" x14ac:dyDescent="0.35">
      <c r="A583" s="1">
        <v>27180</v>
      </c>
      <c r="B583" cm="1">
        <f t="array" ref="B583">(PRODUCT(1+sp500_monthly!B584:B703)^(1/120)-1)*100</f>
        <v>0.86671342822184361</v>
      </c>
      <c r="C583" cm="1">
        <f t="array" ref="C583">(PRODUCT(1+sp500_monthly!C584:C703)^(1/120)-1)*100</f>
        <v>0.45837648045130575</v>
      </c>
      <c r="D583" cm="1">
        <f t="array" ref="D583">(PRODUCT(1+sp500_monthly!D584:D703)^(1/120)-1)*100</f>
        <v>1.3497612145022542</v>
      </c>
      <c r="E583" cm="1">
        <f t="array" ref="E583">(PRODUCT(1+sp500_monthly!E584:E703)^(1/120)-1)*100</f>
        <v>0.95834232758671423</v>
      </c>
      <c r="F583" cm="1">
        <f t="array" ref="F583">(PRODUCT(1+sp500_monthly!K584:K703)^(1/120)-1)*100</f>
        <v>0.45535138538257414</v>
      </c>
      <c r="G583" cm="1">
        <f t="array" ref="G583">(PRODUCT(1+sp500_monthly!L584:L703)^(1/120)-1)</f>
        <v>0.68024527106975752</v>
      </c>
      <c r="H583" cm="1">
        <f t="array" ref="H583">(PRODUCT(1+sp500_monthly!N584:N703)^(1/120)-1)*100</f>
        <v>0.23329400268765621</v>
      </c>
      <c r="I583" cm="1">
        <f t="array" ref="I583">(PRODUCT(1+sp500_monthly!O584:O703)^(1/120)-1)*100</f>
        <v>6.5815500232702107E-2</v>
      </c>
    </row>
    <row r="584" spans="1:9" x14ac:dyDescent="0.35">
      <c r="A584" s="1">
        <v>27208</v>
      </c>
      <c r="B584" cm="1">
        <f t="array" ref="B584">(PRODUCT(1+sp500_monthly!B585:B704)^(1/120)-1)*100</f>
        <v>0.89662209759946432</v>
      </c>
      <c r="C584" cm="1">
        <f t="array" ref="C584">(PRODUCT(1+sp500_monthly!C585:C704)^(1/120)-1)*100</f>
        <v>0.48619601425348158</v>
      </c>
      <c r="D584" cm="1">
        <f t="array" ref="D584">(PRODUCT(1+sp500_monthly!D585:D704)^(1/120)-1)*100</f>
        <v>1.4003769647146447</v>
      </c>
      <c r="E584" cm="1">
        <f t="array" ref="E584">(PRODUCT(1+sp500_monthly!E585:E704)^(1/120)-1)*100</f>
        <v>1.0090984343868348</v>
      </c>
      <c r="F584" cm="1">
        <f t="array" ref="F584">(PRODUCT(1+sp500_monthly!K585:K704)^(1/120)-1)*100</f>
        <v>0.48221989083467864</v>
      </c>
      <c r="G584" cm="1">
        <f t="array" ref="G584">(PRODUCT(1+sp500_monthly!L585:L704)^(1/120)-1)</f>
        <v>0.68150049307347005</v>
      </c>
      <c r="H584" cm="1">
        <f t="array" ref="H584">(PRODUCT(1+sp500_monthly!N585:N704)^(1/120)-1)*100</f>
        <v>0.26825061086899193</v>
      </c>
      <c r="I584" cm="1">
        <f t="array" ref="I584">(PRODUCT(1+sp500_monthly!O585:O704)^(1/120)-1)*100</f>
        <v>7.228346977781186E-2</v>
      </c>
    </row>
    <row r="585" spans="1:9" x14ac:dyDescent="0.35">
      <c r="A585" s="1">
        <v>27241</v>
      </c>
      <c r="B585" cm="1">
        <f t="array" ref="B585">(PRODUCT(1+sp500_monthly!B586:B705)^(1/120)-1)*100</f>
        <v>0.95207858686270352</v>
      </c>
      <c r="C585" cm="1">
        <f t="array" ref="C585">(PRODUCT(1+sp500_monthly!C586:C705)^(1/120)-1)*100</f>
        <v>0.54146847774831919</v>
      </c>
      <c r="D585" cm="1">
        <f t="array" ref="D585">(PRODUCT(1+sp500_monthly!D586:D705)^(1/120)-1)*100</f>
        <v>1.4167079964584994</v>
      </c>
      <c r="E585" cm="1">
        <f t="array" ref="E585">(PRODUCT(1+sp500_monthly!E586:E705)^(1/120)-1)*100</f>
        <v>1.0261574947251884</v>
      </c>
      <c r="F585" cm="1">
        <f t="array" ref="F585">(PRODUCT(1+sp500_monthly!K586:K705)^(1/120)-1)*100</f>
        <v>0.53615611805932772</v>
      </c>
      <c r="G585" cm="1">
        <f t="array" ref="G585">(PRODUCT(1+sp500_monthly!L586:L705)^(1/120)-1)</f>
        <v>0.68245653313907351</v>
      </c>
      <c r="H585" cm="1">
        <f t="array" ref="H585">(PRODUCT(1+sp500_monthly!N586:N705)^(1/120)-1)*100</f>
        <v>0.32524608417690004</v>
      </c>
      <c r="I585" cm="1">
        <f t="array" ref="I585">(PRODUCT(1+sp500_monthly!O586:O705)^(1/120)-1)*100</f>
        <v>7.5156312309321294E-2</v>
      </c>
    </row>
    <row r="586" spans="1:9" x14ac:dyDescent="0.35">
      <c r="A586" s="1">
        <v>27271</v>
      </c>
      <c r="B586" cm="1">
        <f t="array" ref="B586">(PRODUCT(1+sp500_monthly!B587:B706)^(1/120)-1)*100</f>
        <v>1.1139879624873394</v>
      </c>
      <c r="C586" cm="1">
        <f t="array" ref="C586">(PRODUCT(1+sp500_monthly!C587:C706)^(1/120)-1)*100</f>
        <v>0.70460207984324175</v>
      </c>
      <c r="D586" cm="1">
        <f t="array" ref="D586">(PRODUCT(1+sp500_monthly!D587:D706)^(1/120)-1)*100</f>
        <v>1.5971878843914489</v>
      </c>
      <c r="E586" cm="1">
        <f t="array" ref="E586">(PRODUCT(1+sp500_monthly!E587:E706)^(1/120)-1)*100</f>
        <v>1.2083382784210173</v>
      </c>
      <c r="F586" cm="1">
        <f t="array" ref="F586">(PRODUCT(1+sp500_monthly!K587:K706)^(1/120)-1)*100</f>
        <v>0.70022020772957383</v>
      </c>
      <c r="G586" cm="1">
        <f t="array" ref="G586">(PRODUCT(1+sp500_monthly!L587:L706)^(1/120)-1)</f>
        <v>0.68434070964207416</v>
      </c>
      <c r="H586" cm="1">
        <f t="array" ref="H586">(PRODUCT(1+sp500_monthly!N587:N706)^(1/120)-1)*100</f>
        <v>0.49387046157725045</v>
      </c>
      <c r="I586" cm="1">
        <f t="array" ref="I586">(PRODUCT(1+sp500_monthly!O587:O706)^(1/120)-1)*100</f>
        <v>8.4749721911991927E-2</v>
      </c>
    </row>
    <row r="587" spans="1:9" x14ac:dyDescent="0.35">
      <c r="A587" s="1">
        <v>27302</v>
      </c>
      <c r="B587" cm="1">
        <f t="array" ref="B587">(PRODUCT(1+sp500_monthly!B588:B707)^(1/120)-1)*100</f>
        <v>1.2193234781648021</v>
      </c>
      <c r="C587" cm="1">
        <f t="array" ref="C587">(PRODUCT(1+sp500_monthly!C588:C707)^(1/120)-1)*100</f>
        <v>0.80876475847619922</v>
      </c>
      <c r="D587" cm="1">
        <f t="array" ref="D587">(PRODUCT(1+sp500_monthly!D588:D707)^(1/120)-1)*100</f>
        <v>1.6712035523570146</v>
      </c>
      <c r="E587" cm="1">
        <f t="array" ref="E587">(PRODUCT(1+sp500_monthly!E588:E707)^(1/120)-1)*100</f>
        <v>1.283770894054248</v>
      </c>
      <c r="F587" cm="1">
        <f t="array" ref="F587">(PRODUCT(1+sp500_monthly!K588:K707)^(1/120)-1)*100</f>
        <v>0.80398806991459626</v>
      </c>
      <c r="G587" cm="1">
        <f t="array" ref="G587">(PRODUCT(1+sp500_monthly!L588:L707)^(1/120)-1)</f>
        <v>0.68472323375643018</v>
      </c>
      <c r="H587" cm="1">
        <f t="array" ref="H587">(PRODUCT(1+sp500_monthly!N588:N707)^(1/120)-1)*100</f>
        <v>0.60783317928674307</v>
      </c>
      <c r="I587" cm="1">
        <f t="array" ref="I587">(PRODUCT(1+sp500_monthly!O588:O707)^(1/120)-1)*100</f>
        <v>9.4389173757436495E-2</v>
      </c>
    </row>
    <row r="588" spans="1:9" x14ac:dyDescent="0.35">
      <c r="A588" s="1">
        <v>27333</v>
      </c>
      <c r="B588" cm="1">
        <f t="array" ref="B588">(PRODUCT(1+sp500_monthly!B589:B708)^(1/120)-1)*100</f>
        <v>1.0911394496217142</v>
      </c>
      <c r="C588" cm="1">
        <f t="array" ref="C588">(PRODUCT(1+sp500_monthly!C589:C708)^(1/120)-1)*100</f>
        <v>0.68086466548751279</v>
      </c>
      <c r="D588" cm="1">
        <f t="array" ref="D588">(PRODUCT(1+sp500_monthly!D589:D708)^(1/120)-1)*100</f>
        <v>1.5633356579429325</v>
      </c>
      <c r="E588" cm="1">
        <f t="array" ref="E588">(PRODUCT(1+sp500_monthly!E589:E708)^(1/120)-1)*100</f>
        <v>1.177421245901189</v>
      </c>
      <c r="F588" cm="1">
        <f t="array" ref="F588">(PRODUCT(1+sp500_monthly!K589:K708)^(1/120)-1)*100</f>
        <v>0.67713616921523112</v>
      </c>
      <c r="G588" cm="1">
        <f t="array" ref="G588">(PRODUCT(1+sp500_monthly!L589:L708)^(1/120)-1)</f>
        <v>0.68867344473979197</v>
      </c>
      <c r="H588" cm="1">
        <f t="array" ref="H588">(PRODUCT(1+sp500_monthly!N589:N708)^(1/120)-1)*100</f>
        <v>0.48382393712500527</v>
      </c>
      <c r="I588" cm="1">
        <f t="array" ref="I588">(PRODUCT(1+sp500_monthly!O589:O708)^(1/120)-1)*100</f>
        <v>0.10183329363755433</v>
      </c>
    </row>
    <row r="589" spans="1:9" x14ac:dyDescent="0.35">
      <c r="A589" s="1">
        <v>27362</v>
      </c>
      <c r="B589" cm="1">
        <f t="array" ref="B589">(PRODUCT(1+sp500_monthly!B590:B709)^(1/120)-1)*100</f>
        <v>1.122208581826678</v>
      </c>
      <c r="C589" cm="1">
        <f t="array" ref="C589">(PRODUCT(1+sp500_monthly!C590:C709)^(1/120)-1)*100</f>
        <v>0.71464485817305246</v>
      </c>
      <c r="D589" cm="1">
        <f t="array" ref="D589">(PRODUCT(1+sp500_monthly!D590:D709)^(1/120)-1)*100</f>
        <v>1.5956572037128636</v>
      </c>
      <c r="E589" cm="1">
        <f t="array" ref="E589">(PRODUCT(1+sp500_monthly!E590:E709)^(1/120)-1)*100</f>
        <v>1.2128454181921322</v>
      </c>
      <c r="F589" cm="1">
        <f t="array" ref="F589">(PRODUCT(1+sp500_monthly!K590:K709)^(1/120)-1)*100</f>
        <v>0.7102131414458368</v>
      </c>
      <c r="G589" cm="1">
        <f t="array" ref="G589">(PRODUCT(1+sp500_monthly!L590:L709)^(1/120)-1)</f>
        <v>0.6903113933211964</v>
      </c>
      <c r="H589" cm="1">
        <f t="array" ref="H589">(PRODUCT(1+sp500_monthly!N590:N709)^(1/120)-1)*100</f>
        <v>0.52128618701823282</v>
      </c>
      <c r="I589" cm="1">
        <f t="array" ref="I589">(PRODUCT(1+sp500_monthly!O590:O709)^(1/120)-1)*100</f>
        <v>0.10996109612497751</v>
      </c>
    </row>
    <row r="590" spans="1:9" x14ac:dyDescent="0.35">
      <c r="A590" s="1">
        <v>27394</v>
      </c>
      <c r="B590" cm="1">
        <f t="array" ref="B590">(PRODUCT(1+sp500_monthly!B591:B710)^(1/120)-1)*100</f>
        <v>1.1588048075181323</v>
      </c>
      <c r="C590" cm="1">
        <f t="array" ref="C590">(PRODUCT(1+sp500_monthly!C591:C710)^(1/120)-1)*100</f>
        <v>0.7500034480460771</v>
      </c>
      <c r="D590" cm="1">
        <f t="array" ref="D590">(PRODUCT(1+sp500_monthly!D591:D710)^(1/120)-1)*100</f>
        <v>1.6461376781373049</v>
      </c>
      <c r="E590" cm="1">
        <f t="array" ref="E590">(PRODUCT(1+sp500_monthly!E591:E710)^(1/120)-1)*100</f>
        <v>1.2646180611521451</v>
      </c>
      <c r="F590" cm="1">
        <f t="array" ref="F590">(PRODUCT(1+sp500_monthly!K591:K710)^(1/120)-1)*100</f>
        <v>0.74587437287507719</v>
      </c>
      <c r="G590" cm="1">
        <f t="array" ref="G590">(PRODUCT(1+sp500_monthly!L591:L710)^(1/120)-1)</f>
        <v>0.68980533338577232</v>
      </c>
      <c r="H590" cm="1">
        <f t="array" ref="H590">(PRODUCT(1+sp500_monthly!N591:N710)^(1/120)-1)*100</f>
        <v>0.56255840177572569</v>
      </c>
      <c r="I590" cm="1">
        <f t="array" ref="I590">(PRODUCT(1+sp500_monthly!O591:O710)^(1/120)-1)*100</f>
        <v>0.11433553144535313</v>
      </c>
    </row>
    <row r="591" spans="1:9" x14ac:dyDescent="0.35">
      <c r="A591" s="1">
        <v>27425</v>
      </c>
      <c r="B591" cm="1">
        <f t="array" ref="B591">(PRODUCT(1+sp500_monthly!B592:B711)^(1/120)-1)*100</f>
        <v>1.1229925955868136</v>
      </c>
      <c r="C591" cm="1">
        <f t="array" ref="C591">(PRODUCT(1+sp500_monthly!C592:C711)^(1/120)-1)*100</f>
        <v>0.71410285680530983</v>
      </c>
      <c r="D591" cm="1">
        <f t="array" ref="D591">(PRODUCT(1+sp500_monthly!D592:D711)^(1/120)-1)*100</f>
        <v>1.5466004737112238</v>
      </c>
      <c r="E591" cm="1">
        <f t="array" ref="E591">(PRODUCT(1+sp500_monthly!E592:E711)^(1/120)-1)*100</f>
        <v>1.165851835033882</v>
      </c>
      <c r="F591" cm="1">
        <f t="array" ref="F591">(PRODUCT(1+sp500_monthly!K592:K711)^(1/120)-1)*100</f>
        <v>0.70863289151716913</v>
      </c>
      <c r="G591" cm="1">
        <f t="array" ref="G591">(PRODUCT(1+sp500_monthly!L592:L711)^(1/120)-1)</f>
        <v>0.69041589204735265</v>
      </c>
      <c r="H591" cm="1">
        <f t="array" ref="H591">(PRODUCT(1+sp500_monthly!N592:N711)^(1/120)-1)*100</f>
        <v>0.53180248813882169</v>
      </c>
      <c r="I591" cm="1">
        <f t="array" ref="I591">(PRODUCT(1+sp500_monthly!O592:O711)^(1/120)-1)*100</f>
        <v>0.11974131946450584</v>
      </c>
    </row>
    <row r="592" spans="1:9" x14ac:dyDescent="0.35">
      <c r="A592" s="1">
        <v>27453</v>
      </c>
      <c r="B592" cm="1">
        <f t="array" ref="B592">(PRODUCT(1+sp500_monthly!B593:B712)^(1/120)-1)*100</f>
        <v>1.0798430209794319</v>
      </c>
      <c r="C592" cm="1">
        <f t="array" ref="C592">(PRODUCT(1+sp500_monthly!C593:C712)^(1/120)-1)*100</f>
        <v>0.67303035822237067</v>
      </c>
      <c r="D592" cm="1">
        <f t="array" ref="D592">(PRODUCT(1+sp500_monthly!D593:D712)^(1/120)-1)*100</f>
        <v>1.5159016499580291</v>
      </c>
      <c r="E592" cm="1">
        <f t="array" ref="E592">(PRODUCT(1+sp500_monthly!E593:E712)^(1/120)-1)*100</f>
        <v>1.1373533052329465</v>
      </c>
      <c r="F592" cm="1">
        <f t="array" ref="F592">(PRODUCT(1+sp500_monthly!K593:K712)^(1/120)-1)*100</f>
        <v>0.66708752634032642</v>
      </c>
      <c r="G592" cm="1">
        <f t="array" ref="G592">(PRODUCT(1+sp500_monthly!L593:L712)^(1/120)-1)</f>
        <v>0.6918216401167705</v>
      </c>
      <c r="H592" cm="1">
        <f t="array" ref="H592">(PRODUCT(1+sp500_monthly!N593:N712)^(1/120)-1)*100</f>
        <v>0.48895488199458548</v>
      </c>
      <c r="I592" cm="1">
        <f t="array" ref="I592">(PRODUCT(1+sp500_monthly!O593:O712)^(1/120)-1)*100</f>
        <v>0.12103605926019334</v>
      </c>
    </row>
    <row r="593" spans="1:9" x14ac:dyDescent="0.35">
      <c r="A593" s="1">
        <v>27484</v>
      </c>
      <c r="B593" cm="1">
        <f t="array" ref="B593">(PRODUCT(1+sp500_monthly!B594:B713)^(1/120)-1)*100</f>
        <v>1.0593205049572951</v>
      </c>
      <c r="C593" cm="1">
        <f t="array" ref="C593">(PRODUCT(1+sp500_monthly!C594:C713)^(1/120)-1)*100</f>
        <v>0.65133027679651345</v>
      </c>
      <c r="D593" cm="1">
        <f t="array" ref="D593">(PRODUCT(1+sp500_monthly!D594:D713)^(1/120)-1)*100</f>
        <v>1.4567216099077296</v>
      </c>
      <c r="E593" cm="1">
        <f t="array" ref="E593">(PRODUCT(1+sp500_monthly!E594:E713)^(1/120)-1)*100</f>
        <v>1.0792000007312286</v>
      </c>
      <c r="F593" cm="1">
        <f t="array" ref="F593">(PRODUCT(1+sp500_monthly!K594:K713)^(1/120)-1)*100</f>
        <v>0.6466279126816632</v>
      </c>
      <c r="G593" cm="1">
        <f t="array" ref="G593">(PRODUCT(1+sp500_monthly!L594:L713)^(1/120)-1)</f>
        <v>0.69378016038861001</v>
      </c>
      <c r="H593" cm="1">
        <f t="array" ref="H593">(PRODUCT(1+sp500_monthly!N594:N713)^(1/120)-1)*100</f>
        <v>0.46780085858235676</v>
      </c>
      <c r="I593" cm="1">
        <f t="array" ref="I593">(PRODUCT(1+sp500_monthly!O594:O713)^(1/120)-1)*100</f>
        <v>0.1220303252918109</v>
      </c>
    </row>
    <row r="594" spans="1:9" x14ac:dyDescent="0.35">
      <c r="A594" s="1">
        <v>27514</v>
      </c>
      <c r="B594" cm="1">
        <f t="array" ref="B594">(PRODUCT(1+sp500_monthly!B595:B714)^(1/120)-1)*100</f>
        <v>1.0155777573929603</v>
      </c>
      <c r="C594" cm="1">
        <f t="array" ref="C594">(PRODUCT(1+sp500_monthly!C595:C714)^(1/120)-1)*100</f>
        <v>0.60802895459246553</v>
      </c>
      <c r="D594" cm="1">
        <f t="array" ref="D594">(PRODUCT(1+sp500_monthly!D595:D714)^(1/120)-1)*100</f>
        <v>1.4111822444417443</v>
      </c>
      <c r="E594" cm="1">
        <f t="array" ref="E594">(PRODUCT(1+sp500_monthly!E595:E714)^(1/120)-1)*100</f>
        <v>1.0343872924781117</v>
      </c>
      <c r="F594" cm="1">
        <f t="array" ref="F594">(PRODUCT(1+sp500_monthly!K595:K714)^(1/120)-1)*100</f>
        <v>0.60404110091489827</v>
      </c>
      <c r="G594" cm="1">
        <f t="array" ref="G594">(PRODUCT(1+sp500_monthly!L595:L714)^(1/120)-1)</f>
        <v>0.6962899584702209</v>
      </c>
      <c r="H594" cm="1">
        <f t="array" ref="H594">(PRODUCT(1+sp500_monthly!N595:N714)^(1/120)-1)*100</f>
        <v>0.42591242388623218</v>
      </c>
      <c r="I594" cm="1">
        <f t="array" ref="I594">(PRODUCT(1+sp500_monthly!O595:O714)^(1/120)-1)*100</f>
        <v>0.12594656692441752</v>
      </c>
    </row>
    <row r="595" spans="1:9" x14ac:dyDescent="0.35">
      <c r="A595" s="1">
        <v>27544</v>
      </c>
      <c r="B595" cm="1">
        <f t="array" ref="B595">(PRODUCT(1+sp500_monthly!B596:B715)^(1/120)-1)*100</f>
        <v>1.024774608122736</v>
      </c>
      <c r="C595" cm="1">
        <f t="array" ref="C595">(PRODUCT(1+sp500_monthly!C596:C715)^(1/120)-1)*100</f>
        <v>0.61764604131244738</v>
      </c>
      <c r="D595" cm="1">
        <f t="array" ref="D595">(PRODUCT(1+sp500_monthly!D596:D715)^(1/120)-1)*100</f>
        <v>1.417270592083919</v>
      </c>
      <c r="E595" cm="1">
        <f t="array" ref="E595">(PRODUCT(1+sp500_monthly!E596:E715)^(1/120)-1)*100</f>
        <v>1.0418861598534113</v>
      </c>
      <c r="F595" cm="1">
        <f t="array" ref="F595">(PRODUCT(1+sp500_monthly!K596:K715)^(1/120)-1)*100</f>
        <v>0.61199299757965786</v>
      </c>
      <c r="G595" cm="1">
        <f t="array" ref="G595">(PRODUCT(1+sp500_monthly!L596:L715)^(1/120)-1)</f>
        <v>0.69830089248020899</v>
      </c>
      <c r="H595" cm="1">
        <f t="array" ref="H595">(PRODUCT(1+sp500_monthly!N596:N715)^(1/120)-1)*100</f>
        <v>0.43507032010463575</v>
      </c>
      <c r="I595" cm="1">
        <f t="array" ref="I595">(PRODUCT(1+sp500_monthly!O596:O715)^(1/120)-1)*100</f>
        <v>0.12778687168355507</v>
      </c>
    </row>
    <row r="596" spans="1:9" x14ac:dyDescent="0.35">
      <c r="A596" s="1">
        <v>27575</v>
      </c>
      <c r="B596" cm="1">
        <f t="array" ref="B596">(PRODUCT(1+sp500_monthly!B597:B716)^(1/120)-1)*100</f>
        <v>1.0001558964370494</v>
      </c>
      <c r="C596" cm="1">
        <f t="array" ref="C596">(PRODUCT(1+sp500_monthly!C597:C716)^(1/120)-1)*100</f>
        <v>0.59203805392820108</v>
      </c>
      <c r="D596" cm="1">
        <f t="array" ref="D596">(PRODUCT(1+sp500_monthly!D597:D716)^(1/120)-1)*100</f>
        <v>1.3769950576666856</v>
      </c>
      <c r="E596" cm="1">
        <f t="array" ref="E596">(PRODUCT(1+sp500_monthly!E597:E716)^(1/120)-1)*100</f>
        <v>1.0022327100371875</v>
      </c>
      <c r="F596" cm="1">
        <f t="array" ref="F596">(PRODUCT(1+sp500_monthly!K597:K716)^(1/120)-1)*100</f>
        <v>0.58574687377017653</v>
      </c>
      <c r="G596" cm="1">
        <f t="array" ref="G596">(PRODUCT(1+sp500_monthly!L597:L716)^(1/120)-1)</f>
        <v>0.69964117139090898</v>
      </c>
      <c r="H596" cm="1">
        <f t="array" ref="H596">(PRODUCT(1+sp500_monthly!N597:N716)^(1/120)-1)*100</f>
        <v>0.41453661261736663</v>
      </c>
      <c r="I596" cm="1">
        <f t="array" ref="I596">(PRODUCT(1+sp500_monthly!O597:O716)^(1/120)-1)*100</f>
        <v>0.13287969990165571</v>
      </c>
    </row>
    <row r="597" spans="1:9" x14ac:dyDescent="0.35">
      <c r="A597" s="1">
        <v>27606</v>
      </c>
      <c r="B597" cm="1">
        <f t="array" ref="B597">(PRODUCT(1+sp500_monthly!B598:B717)^(1/120)-1)*100</f>
        <v>1.0543918867850666</v>
      </c>
      <c r="C597" cm="1">
        <f t="array" ref="C597">(PRODUCT(1+sp500_monthly!C598:C717)^(1/120)-1)*100</f>
        <v>0.6462836994356902</v>
      </c>
      <c r="D597" cm="1">
        <f t="array" ref="D597">(PRODUCT(1+sp500_monthly!D598:D717)^(1/120)-1)*100</f>
        <v>1.4323674896392413</v>
      </c>
      <c r="E597" cm="1">
        <f t="array" ref="E597">(PRODUCT(1+sp500_monthly!E598:E717)^(1/120)-1)*100</f>
        <v>1.0579426299463179</v>
      </c>
      <c r="F597" cm="1">
        <f t="array" ref="F597">(PRODUCT(1+sp500_monthly!K598:K717)^(1/120)-1)*100</f>
        <v>0.64040618297760421</v>
      </c>
      <c r="G597" cm="1">
        <f t="array" ref="G597">(PRODUCT(1+sp500_monthly!L598:L717)^(1/120)-1)</f>
        <v>0.70092182422545868</v>
      </c>
      <c r="H597" cm="1">
        <f t="array" ref="H597">(PRODUCT(1+sp500_monthly!N598:N717)^(1/120)-1)*100</f>
        <v>0.47469043044363612</v>
      </c>
      <c r="I597" cm="1">
        <f t="array" ref="I597">(PRODUCT(1+sp500_monthly!O598:O717)^(1/120)-1)*100</f>
        <v>0.14025308774445744</v>
      </c>
    </row>
    <row r="598" spans="1:9" x14ac:dyDescent="0.35">
      <c r="A598" s="1">
        <v>27635</v>
      </c>
      <c r="B598" cm="1">
        <f t="array" ref="B598">(PRODUCT(1+sp500_monthly!B599:B718)^(1/120)-1)*100</f>
        <v>1.0622179431207579</v>
      </c>
      <c r="C598" cm="1">
        <f t="array" ref="C598">(PRODUCT(1+sp500_monthly!C599:C718)^(1/120)-1)*100</f>
        <v>0.65469520567580375</v>
      </c>
      <c r="D598" cm="1">
        <f t="array" ref="D598">(PRODUCT(1+sp500_monthly!D599:D718)^(1/120)-1)*100</f>
        <v>1.4493966174349726</v>
      </c>
      <c r="E598" cm="1">
        <f t="array" ref="E598">(PRODUCT(1+sp500_monthly!E599:E718)^(1/120)-1)*100</f>
        <v>1.0759110638752345</v>
      </c>
      <c r="F598" cm="1">
        <f t="array" ref="F598">(PRODUCT(1+sp500_monthly!K599:K718)^(1/120)-1)*100</f>
        <v>0.64814540909392537</v>
      </c>
      <c r="G598" cm="1">
        <f t="array" ref="G598">(PRODUCT(1+sp500_monthly!L599:L718)^(1/120)-1)</f>
        <v>0.70157698731700036</v>
      </c>
      <c r="H598" cm="1">
        <f t="array" ref="H598">(PRODUCT(1+sp500_monthly!N599:N718)^(1/120)-1)*100</f>
        <v>0.48401365325381196</v>
      </c>
      <c r="I598" cm="1">
        <f t="array" ref="I598">(PRODUCT(1+sp500_monthly!O599:O718)^(1/120)-1)*100</f>
        <v>0.14237106587844384</v>
      </c>
    </row>
    <row r="599" spans="1:9" x14ac:dyDescent="0.35">
      <c r="A599" s="1">
        <v>27667</v>
      </c>
      <c r="B599" cm="1">
        <f t="array" ref="B599">(PRODUCT(1+sp500_monthly!B600:B719)^(1/120)-1)*100</f>
        <v>1.0613489884850003</v>
      </c>
      <c r="C599" cm="1">
        <f t="array" ref="C599">(PRODUCT(1+sp500_monthly!C600:C719)^(1/120)-1)*100</f>
        <v>0.65298162817051253</v>
      </c>
      <c r="D599" cm="1">
        <f t="array" ref="D599">(PRODUCT(1+sp500_monthly!D600:D719)^(1/120)-1)*100</f>
        <v>1.4410716184621197</v>
      </c>
      <c r="E599" cm="1">
        <f t="array" ref="E599">(PRODUCT(1+sp500_monthly!E600:E719)^(1/120)-1)*100</f>
        <v>1.0685846104165009</v>
      </c>
      <c r="F599" cm="1">
        <f t="array" ref="F599">(PRODUCT(1+sp500_monthly!K600:K719)^(1/120)-1)*100</f>
        <v>0.64807676831637462</v>
      </c>
      <c r="G599" cm="1">
        <f t="array" ref="G599">(PRODUCT(1+sp500_monthly!L600:L719)^(1/120)-1)</f>
        <v>0.70221145196914603</v>
      </c>
      <c r="H599" cm="1">
        <f t="array" ref="H599">(PRODUCT(1+sp500_monthly!N600:N719)^(1/120)-1)*100</f>
        <v>0.48775619287666494</v>
      </c>
      <c r="I599" cm="1">
        <f t="array" ref="I599">(PRODUCT(1+sp500_monthly!O600:O719)^(1/120)-1)*100</f>
        <v>0.14754287623581774</v>
      </c>
    </row>
    <row r="600" spans="1:9" x14ac:dyDescent="0.35">
      <c r="A600" s="1">
        <v>27698</v>
      </c>
      <c r="B600" cm="1">
        <f t="array" ref="B600">(PRODUCT(1+sp500_monthly!B601:B720)^(1/120)-1)*100</f>
        <v>1.0455626205903679</v>
      </c>
      <c r="C600" cm="1">
        <f t="array" ref="C600">(PRODUCT(1+sp500_monthly!C601:C720)^(1/120)-1)*100</f>
        <v>0.63745491687212663</v>
      </c>
      <c r="D600" cm="1">
        <f t="array" ref="D600">(PRODUCT(1+sp500_monthly!D601:D720)^(1/120)-1)*100</f>
        <v>1.4366650364228795</v>
      </c>
      <c r="E600" cm="1">
        <f t="array" ref="E600">(PRODUCT(1+sp500_monthly!E601:E720)^(1/120)-1)*100</f>
        <v>1.065118951606725</v>
      </c>
      <c r="F600" cm="1">
        <f t="array" ref="F600">(PRODUCT(1+sp500_monthly!K601:K720)^(1/120)-1)*100</f>
        <v>0.63282353367903887</v>
      </c>
      <c r="G600" cm="1">
        <f t="array" ref="G600">(PRODUCT(1+sp500_monthly!L601:L720)^(1/120)-1)</f>
        <v>0.70300727237998584</v>
      </c>
      <c r="H600" cm="1">
        <f t="array" ref="H600">(PRODUCT(1+sp500_monthly!N601:N720)^(1/120)-1)*100</f>
        <v>0.47355480837030228</v>
      </c>
      <c r="I600" cm="1">
        <f t="array" ref="I600">(PRODUCT(1+sp500_monthly!O601:O720)^(1/120)-1)*100</f>
        <v>0.14978003478558488</v>
      </c>
    </row>
    <row r="601" spans="1:9" x14ac:dyDescent="0.35">
      <c r="A601" s="1">
        <v>27726</v>
      </c>
      <c r="B601" cm="1">
        <f t="array" ref="B601">(PRODUCT(1+sp500_monthly!B602:B721)^(1/120)-1)*100</f>
        <v>1.0790609365813442</v>
      </c>
      <c r="C601" cm="1">
        <f t="array" ref="C601">(PRODUCT(1+sp500_monthly!C602:C721)^(1/120)-1)*100</f>
        <v>0.67167035926802843</v>
      </c>
      <c r="D601" cm="1">
        <f t="array" ref="D601">(PRODUCT(1+sp500_monthly!D602:D721)^(1/120)-1)*100</f>
        <v>1.4680161959513827</v>
      </c>
      <c r="E601" cm="1">
        <f t="array" ref="E601">(PRODUCT(1+sp500_monthly!E602:E721)^(1/120)-1)*100</f>
        <v>1.0971512369411851</v>
      </c>
      <c r="F601" cm="1">
        <f t="array" ref="F601">(PRODUCT(1+sp500_monthly!K602:K721)^(1/120)-1)*100</f>
        <v>0.66522020526911252</v>
      </c>
      <c r="G601" cm="1">
        <f t="array" ref="G601">(PRODUCT(1+sp500_monthly!L602:L721)^(1/120)-1)</f>
        <v>0.70489076737568768</v>
      </c>
      <c r="H601" cm="1">
        <f t="array" ref="H601">(PRODUCT(1+sp500_monthly!N602:N721)^(1/120)-1)*100</f>
        <v>0.50909297106895846</v>
      </c>
      <c r="I601" cm="1">
        <f t="array" ref="I601">(PRODUCT(1+sp500_monthly!O602:O721)^(1/120)-1)*100</f>
        <v>0.15366233544840124</v>
      </c>
    </row>
    <row r="602" spans="1:9" x14ac:dyDescent="0.35">
      <c r="A602" s="1">
        <v>27759</v>
      </c>
      <c r="B602" cm="1">
        <f t="array" ref="B602">(PRODUCT(1+sp500_monthly!B603:B722)^(1/120)-1)*100</f>
        <v>1.1275675968283494</v>
      </c>
      <c r="C602" cm="1">
        <f t="array" ref="C602">(PRODUCT(1+sp500_monthly!C603:C722)^(1/120)-1)*100</f>
        <v>0.71911330930554129</v>
      </c>
      <c r="D602" cm="1">
        <f t="array" ref="D602">(PRODUCT(1+sp500_monthly!D603:D722)^(1/120)-1)*100</f>
        <v>1.5059261727005113</v>
      </c>
      <c r="E602" cm="1">
        <f t="array" ref="E602">(PRODUCT(1+sp500_monthly!E603:E722)^(1/120)-1)*100</f>
        <v>1.1358371928479771</v>
      </c>
      <c r="F602" cm="1">
        <f t="array" ref="F602">(PRODUCT(1+sp500_monthly!K603:K722)^(1/120)-1)*100</f>
        <v>0.71191451612886425</v>
      </c>
      <c r="G602" cm="1">
        <f t="array" ref="G602">(PRODUCT(1+sp500_monthly!L603:L722)^(1/120)-1)</f>
        <v>0.70643628605007347</v>
      </c>
      <c r="H602" cm="1">
        <f t="array" ref="H602">(PRODUCT(1+sp500_monthly!N603:N722)^(1/120)-1)*100</f>
        <v>0.55802467253784904</v>
      </c>
      <c r="I602" cm="1">
        <f t="array" ref="I602">(PRODUCT(1+sp500_monthly!O603:O722)^(1/120)-1)*100</f>
        <v>0.15576898562013053</v>
      </c>
    </row>
    <row r="603" spans="1:9" x14ac:dyDescent="0.35">
      <c r="A603" s="1">
        <v>27789</v>
      </c>
      <c r="B603" cm="1">
        <f t="array" ref="B603">(PRODUCT(1+sp500_monthly!B604:B723)^(1/120)-1)*100</f>
        <v>1.0359526599940772</v>
      </c>
      <c r="C603" cm="1">
        <f t="array" ref="C603">(PRODUCT(1+sp500_monthly!C604:C723)^(1/120)-1)*100</f>
        <v>0.62760868727338437</v>
      </c>
      <c r="D603" cm="1">
        <f t="array" ref="D603">(PRODUCT(1+sp500_monthly!D604:D723)^(1/120)-1)*100</f>
        <v>1.3944180709808629</v>
      </c>
      <c r="E603" cm="1">
        <f t="array" ref="E603">(PRODUCT(1+sp500_monthly!E604:E723)^(1/120)-1)*100</f>
        <v>1.0249143424602813</v>
      </c>
      <c r="F603" cm="1">
        <f t="array" ref="F603">(PRODUCT(1+sp500_monthly!K604:K723)^(1/120)-1)*100</f>
        <v>0.62009803357743198</v>
      </c>
      <c r="G603" cm="1">
        <f t="array" ref="G603">(PRODUCT(1+sp500_monthly!L604:L723)^(1/120)-1)</f>
        <v>0.70728151431705077</v>
      </c>
      <c r="H603" cm="1">
        <f t="array" ref="H603">(PRODUCT(1+sp500_monthly!N604:N723)^(1/120)-1)*100</f>
        <v>0.46687911767901991</v>
      </c>
      <c r="I603" cm="1">
        <f t="array" ref="I603">(PRODUCT(1+sp500_monthly!O604:O723)^(1/120)-1)*100</f>
        <v>0.15646986544530783</v>
      </c>
    </row>
    <row r="604" spans="1:9" x14ac:dyDescent="0.35">
      <c r="A604" s="1">
        <v>27817</v>
      </c>
      <c r="B604" cm="1">
        <f t="array" ref="B604">(PRODUCT(1+sp500_monthly!B605:B724)^(1/120)-1)*100</f>
        <v>1.1029203317572733</v>
      </c>
      <c r="C604" cm="1">
        <f t="array" ref="C604">(PRODUCT(1+sp500_monthly!C605:C724)^(1/120)-1)*100</f>
        <v>0.69538729041580538</v>
      </c>
      <c r="D604" cm="1">
        <f t="array" ref="D604">(PRODUCT(1+sp500_monthly!D605:D724)^(1/120)-1)*100</f>
        <v>1.4305605846416158</v>
      </c>
      <c r="E604" cm="1">
        <f t="array" ref="E604">(PRODUCT(1+sp500_monthly!E605:E724)^(1/120)-1)*100</f>
        <v>1.0618668239718243</v>
      </c>
      <c r="F604" cm="1">
        <f t="array" ref="F604">(PRODUCT(1+sp500_monthly!K605:K724)^(1/120)-1)*100</f>
        <v>0.68763406679492878</v>
      </c>
      <c r="G604" cm="1">
        <f t="array" ref="G604">(PRODUCT(1+sp500_monthly!L605:L724)^(1/120)-1)</f>
        <v>0.70916907633465209</v>
      </c>
      <c r="H604" cm="1">
        <f t="array" ref="H604">(PRODUCT(1+sp500_monthly!N605:N724)^(1/120)-1)*100</f>
        <v>0.53649570871217023</v>
      </c>
      <c r="I604" cm="1">
        <f t="array" ref="I604">(PRODUCT(1+sp500_monthly!O605:O724)^(1/120)-1)*100</f>
        <v>0.16106362746941549</v>
      </c>
    </row>
    <row r="605" spans="1:9" x14ac:dyDescent="0.35">
      <c r="A605" s="1">
        <v>27850</v>
      </c>
      <c r="B605" cm="1">
        <f t="array" ref="B605">(PRODUCT(1+sp500_monthly!B606:B725)^(1/120)-1)*100</f>
        <v>1.121634909805902</v>
      </c>
      <c r="C605" cm="1">
        <f t="array" ref="C605">(PRODUCT(1+sp500_monthly!C606:C725)^(1/120)-1)*100</f>
        <v>0.7135354617287426</v>
      </c>
      <c r="D605" cm="1">
        <f t="array" ref="D605">(PRODUCT(1+sp500_monthly!D606:D725)^(1/120)-1)*100</f>
        <v>1.4639585269129896</v>
      </c>
      <c r="E605" cm="1">
        <f t="array" ref="E605">(PRODUCT(1+sp500_monthly!E606:E725)^(1/120)-1)*100</f>
        <v>1.0961660079154445</v>
      </c>
      <c r="F605" cm="1">
        <f t="array" ref="F605">(PRODUCT(1+sp500_monthly!K606:K725)^(1/120)-1)*100</f>
        <v>0.70544063138631152</v>
      </c>
      <c r="G605" cm="1">
        <f t="array" ref="G605">(PRODUCT(1+sp500_monthly!L606:L725)^(1/120)-1)</f>
        <v>0.71107203263159224</v>
      </c>
      <c r="H605" cm="1">
        <f t="array" ref="H605">(PRODUCT(1+sp500_monthly!N606:N725)^(1/120)-1)*100</f>
        <v>0.56119908304015365</v>
      </c>
      <c r="I605" cm="1">
        <f t="array" ref="I605">(PRODUCT(1+sp500_monthly!O606:O725)^(1/120)-1)*100</f>
        <v>0.16879455320324421</v>
      </c>
    </row>
    <row r="606" spans="1:9" x14ac:dyDescent="0.35">
      <c r="A606" s="1">
        <v>27880</v>
      </c>
      <c r="B606" cm="1">
        <f t="array" ref="B606">(PRODUCT(1+sp500_monthly!B607:B726)^(1/120)-1)*100</f>
        <v>1.118448439259212</v>
      </c>
      <c r="C606" cm="1">
        <f t="array" ref="C606">(PRODUCT(1+sp500_monthly!C607:C726)^(1/120)-1)*100</f>
        <v>0.70983278339351585</v>
      </c>
      <c r="D606" cm="1">
        <f t="array" ref="D606">(PRODUCT(1+sp500_monthly!D607:D726)^(1/120)-1)*100</f>
        <v>1.454283923773092</v>
      </c>
      <c r="E606" cm="1">
        <f t="array" ref="E606">(PRODUCT(1+sp500_monthly!E607:E726)^(1/120)-1)*100</f>
        <v>1.0868407489865728</v>
      </c>
      <c r="F606" cm="1">
        <f t="array" ref="F606">(PRODUCT(1+sp500_monthly!K607:K726)^(1/120)-1)*100</f>
        <v>0.70276094116441534</v>
      </c>
      <c r="G606" cm="1">
        <f t="array" ref="G606">(PRODUCT(1+sp500_monthly!L607:L726)^(1/120)-1)</f>
        <v>0.71204267765190976</v>
      </c>
      <c r="H606" cm="1">
        <f t="array" ref="H606">(PRODUCT(1+sp500_monthly!N607:N726)^(1/120)-1)*100</f>
        <v>0.56260343772711607</v>
      </c>
      <c r="I606" cm="1">
        <f t="array" ref="I606">(PRODUCT(1+sp500_monthly!O607:O726)^(1/120)-1)*100</f>
        <v>0.1741808931123856</v>
      </c>
    </row>
    <row r="607" spans="1:9" x14ac:dyDescent="0.35">
      <c r="A607" s="1">
        <v>27908</v>
      </c>
      <c r="B607" cm="1">
        <f t="array" ref="B607">(PRODUCT(1+sp500_monthly!B608:B727)^(1/120)-1)*100</f>
        <v>1.1707054900729874</v>
      </c>
      <c r="C607" cm="1">
        <f t="array" ref="C607">(PRODUCT(1+sp500_monthly!C608:C727)^(1/120)-1)*100</f>
        <v>0.76414313080122032</v>
      </c>
      <c r="D607" cm="1">
        <f t="array" ref="D607">(PRODUCT(1+sp500_monthly!D608:D727)^(1/120)-1)*100</f>
        <v>1.5159136240633142</v>
      </c>
      <c r="E607" cm="1">
        <f t="array" ref="E607">(PRODUCT(1+sp500_monthly!E608:E727)^(1/120)-1)*100</f>
        <v>1.149684191722633</v>
      </c>
      <c r="F607" cm="1">
        <f t="array" ref="F607">(PRODUCT(1+sp500_monthly!K608:K727)^(1/120)-1)*100</f>
        <v>0.75604376896807324</v>
      </c>
      <c r="G607" cm="1">
        <f t="array" ref="G607">(PRODUCT(1+sp500_monthly!L608:L727)^(1/120)-1)</f>
        <v>0.71324103280617712</v>
      </c>
      <c r="H607" cm="1">
        <f t="array" ref="H607">(PRODUCT(1+sp500_monthly!N608:N727)^(1/120)-1)*100</f>
        <v>0.61673417052019452</v>
      </c>
      <c r="I607" cm="1">
        <f t="array" ref="I607">(PRODUCT(1+sp500_monthly!O608:O727)^(1/120)-1)*100</f>
        <v>0.1773298512890209</v>
      </c>
    </row>
    <row r="608" spans="1:9" x14ac:dyDescent="0.35">
      <c r="A608" s="1">
        <v>27941</v>
      </c>
      <c r="B608" cm="1">
        <f t="array" ref="B608">(PRODUCT(1+sp500_monthly!B609:B728)^(1/120)-1)*100</f>
        <v>1.147608437140657</v>
      </c>
      <c r="C608" cm="1">
        <f t="array" ref="C608">(PRODUCT(1+sp500_monthly!C609:C728)^(1/120)-1)*100</f>
        <v>0.74057433049494747</v>
      </c>
      <c r="D608" cm="1">
        <f t="array" ref="D608">(PRODUCT(1+sp500_monthly!D609:D728)^(1/120)-1)*100</f>
        <v>1.47302571679091</v>
      </c>
      <c r="E608" cm="1">
        <f t="array" ref="E608">(PRODUCT(1+sp500_monthly!E609:E728)^(1/120)-1)*100</f>
        <v>1.1079645664332505</v>
      </c>
      <c r="F608" cm="1">
        <f t="array" ref="F608">(PRODUCT(1+sp500_monthly!K609:K728)^(1/120)-1)*100</f>
        <v>0.73413228240462036</v>
      </c>
      <c r="G608" cm="1">
        <f t="array" ref="G608">(PRODUCT(1+sp500_monthly!L609:L728)^(1/120)-1)</f>
        <v>0.71411266439264831</v>
      </c>
      <c r="H608" cm="1">
        <f t="array" ref="H608">(PRODUCT(1+sp500_monthly!N609:N728)^(1/120)-1)*100</f>
        <v>0.5951400927356687</v>
      </c>
      <c r="I608" cm="1">
        <f t="array" ref="I608">(PRODUCT(1+sp500_monthly!O609:O728)^(1/120)-1)*100</f>
        <v>0.17944844869115517</v>
      </c>
    </row>
    <row r="609" spans="1:9" x14ac:dyDescent="0.35">
      <c r="A609" s="1">
        <v>27971</v>
      </c>
      <c r="B609" cm="1">
        <f t="array" ref="B609">(PRODUCT(1+sp500_monthly!B610:B729)^(1/120)-1)*100</f>
        <v>1.1037579800221353</v>
      </c>
      <c r="C609" cm="1">
        <f t="array" ref="C609">(PRODUCT(1+sp500_monthly!C610:C729)^(1/120)-1)*100</f>
        <v>0.69632201690441597</v>
      </c>
      <c r="D609" cm="1">
        <f t="array" ref="D609">(PRODUCT(1+sp500_monthly!D610:D729)^(1/120)-1)*100</f>
        <v>1.4119540006439113</v>
      </c>
      <c r="E609" cm="1">
        <f t="array" ref="E609">(PRODUCT(1+sp500_monthly!E610:E729)^(1/120)-1)*100</f>
        <v>1.0470103375715523</v>
      </c>
      <c r="F609" cm="1">
        <f t="array" ref="F609">(PRODUCT(1+sp500_monthly!K610:K729)^(1/120)-1)*100</f>
        <v>0.69016496477756206</v>
      </c>
      <c r="G609" cm="1">
        <f t="array" ref="G609">(PRODUCT(1+sp500_monthly!L610:L729)^(1/120)-1)</f>
        <v>0.71459051038008359</v>
      </c>
      <c r="H609" cm="1">
        <f t="array" ref="H609">(PRODUCT(1+sp500_monthly!N610:N729)^(1/120)-1)*100</f>
        <v>0.55518543270343113</v>
      </c>
      <c r="I609" cm="1">
        <f t="array" ref="I609">(PRODUCT(1+sp500_monthly!O610:O729)^(1/120)-1)*100</f>
        <v>0.18350657913841495</v>
      </c>
    </row>
    <row r="610" spans="1:9" x14ac:dyDescent="0.35">
      <c r="A610" s="1">
        <v>28003</v>
      </c>
      <c r="B610" cm="1">
        <f t="array" ref="B610">(PRODUCT(1+sp500_monthly!B611:B730)^(1/120)-1)*100</f>
        <v>1.1629045142326211</v>
      </c>
      <c r="C610" cm="1">
        <f t="array" ref="C610">(PRODUCT(1+sp500_monthly!C611:C730)^(1/120)-1)*100</f>
        <v>0.75736594541353508</v>
      </c>
      <c r="D610" cm="1">
        <f t="array" ref="D610">(PRODUCT(1+sp500_monthly!D611:D730)^(1/120)-1)*100</f>
        <v>1.4842762895130424</v>
      </c>
      <c r="E610" cm="1">
        <f t="array" ref="E610">(PRODUCT(1+sp500_monthly!E611:E730)^(1/120)-1)*100</f>
        <v>1.120769095867713</v>
      </c>
      <c r="F610" cm="1">
        <f t="array" ref="F610">(PRODUCT(1+sp500_monthly!K611:K730)^(1/120)-1)*100</f>
        <v>0.75220094679964156</v>
      </c>
      <c r="G610" cm="1">
        <f t="array" ref="G610">(PRODUCT(1+sp500_monthly!L611:L730)^(1/120)-1)</f>
        <v>0.71498747780157257</v>
      </c>
      <c r="H610" cm="1">
        <f t="array" ref="H610">(PRODUCT(1+sp500_monthly!N611:N730)^(1/120)-1)*100</f>
        <v>0.61764707764238036</v>
      </c>
      <c r="I610" cm="1">
        <f t="array" ref="I610">(PRODUCT(1+sp500_monthly!O611:O730)^(1/120)-1)*100</f>
        <v>0.18745954626790962</v>
      </c>
    </row>
    <row r="611" spans="1:9" x14ac:dyDescent="0.35">
      <c r="A611" s="1">
        <v>28033</v>
      </c>
      <c r="B611" cm="1">
        <f t="array" ref="B611">(PRODUCT(1+sp500_monthly!B612:B731)^(1/120)-1)*100</f>
        <v>1.0693380567468047</v>
      </c>
      <c r="C611" cm="1">
        <f t="array" ref="C611">(PRODUCT(1+sp500_monthly!C612:C731)^(1/120)-1)*100</f>
        <v>0.66339140722551093</v>
      </c>
      <c r="D611" cm="1">
        <f t="array" ref="D611">(PRODUCT(1+sp500_monthly!D612:D731)^(1/120)-1)*100</f>
        <v>1.4051579615893761</v>
      </c>
      <c r="E611" cm="1">
        <f t="array" ref="E611">(PRODUCT(1+sp500_monthly!E612:E731)^(1/120)-1)*100</f>
        <v>1.0427106148825027</v>
      </c>
      <c r="F611" cm="1">
        <f t="array" ref="F611">(PRODUCT(1+sp500_monthly!K612:K731)^(1/120)-1)*100</f>
        <v>0.6584614042773218</v>
      </c>
      <c r="G611" cm="1">
        <f t="array" ref="G611">(PRODUCT(1+sp500_monthly!L612:L731)^(1/120)-1)</f>
        <v>0.715086384593701</v>
      </c>
      <c r="H611" cm="1">
        <f t="array" ref="H611">(PRODUCT(1+sp500_monthly!N612:N731)^(1/120)-1)*100</f>
        <v>0.52590763861859458</v>
      </c>
      <c r="I611" cm="1">
        <f t="array" ref="I611">(PRODUCT(1+sp500_monthly!O612:O731)^(1/120)-1)*100</f>
        <v>0.1888609362362903</v>
      </c>
    </row>
    <row r="612" spans="1:9" x14ac:dyDescent="0.35">
      <c r="A612" s="1">
        <v>28062</v>
      </c>
      <c r="B612" cm="1">
        <f t="array" ref="B612">(PRODUCT(1+sp500_monthly!B613:B732)^(1/120)-1)*100</f>
        <v>1.1328763613684734</v>
      </c>
      <c r="C612" cm="1">
        <f t="array" ref="C612">(PRODUCT(1+sp500_monthly!C613:C732)^(1/120)-1)*100</f>
        <v>0.72603653335301388</v>
      </c>
      <c r="D612" cm="1">
        <f t="array" ref="D612">(PRODUCT(1+sp500_monthly!D613:D732)^(1/120)-1)*100</f>
        <v>1.4774415872861768</v>
      </c>
      <c r="E612" cm="1">
        <f t="array" ref="E612">(PRODUCT(1+sp500_monthly!E613:E732)^(1/120)-1)*100</f>
        <v>1.1139406655672035</v>
      </c>
      <c r="F612" cm="1">
        <f t="array" ref="F612">(PRODUCT(1+sp500_monthly!K613:K732)^(1/120)-1)*100</f>
        <v>0.7220387246724691</v>
      </c>
      <c r="G612" cm="1">
        <f t="array" ref="G612">(PRODUCT(1+sp500_monthly!L613:L732)^(1/120)-1)</f>
        <v>0.71558449986767192</v>
      </c>
      <c r="H612" cm="1">
        <f t="array" ref="H612">(PRODUCT(1+sp500_monthly!N613:N732)^(1/120)-1)*100</f>
        <v>0.59193617282429223</v>
      </c>
      <c r="I612" cm="1">
        <f t="array" ref="I612">(PRODUCT(1+sp500_monthly!O613:O732)^(1/120)-1)*100</f>
        <v>0.19209718921853192</v>
      </c>
    </row>
    <row r="613" spans="1:9" x14ac:dyDescent="0.35">
      <c r="A613" s="1">
        <v>28094</v>
      </c>
      <c r="B613" cm="1">
        <f t="array" ref="B613">(PRODUCT(1+sp500_monthly!B614:B733)^(1/120)-1)*100</f>
        <v>1.1544647797767427</v>
      </c>
      <c r="C613" cm="1">
        <f t="array" ref="C613">(PRODUCT(1+sp500_monthly!C614:C733)^(1/120)-1)*100</f>
        <v>0.74970201998640906</v>
      </c>
      <c r="D613" cm="1">
        <f t="array" ref="D613">(PRODUCT(1+sp500_monthly!D614:D733)^(1/120)-1)*100</f>
        <v>1.4769520687156978</v>
      </c>
      <c r="E613" cm="1">
        <f t="array" ref="E613">(PRODUCT(1+sp500_monthly!E614:E733)^(1/120)-1)*100</f>
        <v>1.1146162152115613</v>
      </c>
      <c r="F613" cm="1">
        <f t="array" ref="F613">(PRODUCT(1+sp500_monthly!K614:K733)^(1/120)-1)*100</f>
        <v>0.74642900261798761</v>
      </c>
      <c r="G613" cm="1">
        <f t="array" ref="G613">(PRODUCT(1+sp500_monthly!L614:L733)^(1/120)-1)</f>
        <v>0.71548201835005121</v>
      </c>
      <c r="H613" cm="1">
        <f t="array" ref="H613">(PRODUCT(1+sp500_monthly!N614:N733)^(1/120)-1)*100</f>
        <v>0.61478002134256471</v>
      </c>
      <c r="I613" cm="1">
        <f t="array" ref="I613">(PRODUCT(1+sp500_monthly!O614:O733)^(1/120)-1)*100</f>
        <v>0.19337918502790874</v>
      </c>
    </row>
    <row r="614" spans="1:9" x14ac:dyDescent="0.35">
      <c r="A614" s="1">
        <v>28125</v>
      </c>
      <c r="B614" cm="1">
        <f t="array" ref="B614">(PRODUCT(1+sp500_monthly!B615:B734)^(1/120)-1)*100</f>
        <v>1.0868171582340658</v>
      </c>
      <c r="C614" cm="1">
        <f t="array" ref="C614">(PRODUCT(1+sp500_monthly!C615:C734)^(1/120)-1)*100</f>
        <v>0.68130503036962775</v>
      </c>
      <c r="D614" cm="1">
        <f t="array" ref="D614">(PRODUCT(1+sp500_monthly!D615:D734)^(1/120)-1)*100</f>
        <v>1.3882198053731143</v>
      </c>
      <c r="E614" cm="1">
        <f t="array" ref="E614">(PRODUCT(1+sp500_monthly!E615:E734)^(1/120)-1)*100</f>
        <v>1.0263224324531972</v>
      </c>
      <c r="F614" cm="1">
        <f t="array" ref="F614">(PRODUCT(1+sp500_monthly!K615:K734)^(1/120)-1)*100</f>
        <v>0.67940271229778304</v>
      </c>
      <c r="G614" cm="1">
        <f t="array" ref="G614">(PRODUCT(1+sp500_monthly!L615:L734)^(1/120)-1)</f>
        <v>0.71637292620542192</v>
      </c>
      <c r="H614" cm="1">
        <f t="array" ref="H614">(PRODUCT(1+sp500_monthly!N615:N734)^(1/120)-1)*100</f>
        <v>0.54877831007162925</v>
      </c>
      <c r="I614" cm="1">
        <f t="array" ref="I614">(PRODUCT(1+sp500_monthly!O615:O734)^(1/120)-1)*100</f>
        <v>0.19540778610300791</v>
      </c>
    </row>
    <row r="615" spans="1:9" x14ac:dyDescent="0.35">
      <c r="A615" s="1">
        <v>28156</v>
      </c>
      <c r="B615" cm="1">
        <f t="array" ref="B615">(PRODUCT(1+sp500_monthly!B616:B735)^(1/120)-1)*100</f>
        <v>1.2366401982619957</v>
      </c>
      <c r="C615" cm="1">
        <f t="array" ref="C615">(PRODUCT(1+sp500_monthly!C616:C735)^(1/120)-1)*100</f>
        <v>0.83078521053585597</v>
      </c>
      <c r="D615" cm="1">
        <f t="array" ref="D615">(PRODUCT(1+sp500_monthly!D616:D735)^(1/120)-1)*100</f>
        <v>1.5290341362911741</v>
      </c>
      <c r="E615" cm="1">
        <f t="array" ref="E615">(PRODUCT(1+sp500_monthly!E616:E735)^(1/120)-1)*100</f>
        <v>1.1671333617534474</v>
      </c>
      <c r="F615" cm="1">
        <f t="array" ref="F615">(PRODUCT(1+sp500_monthly!K616:K735)^(1/120)-1)*100</f>
        <v>0.82686452987810188</v>
      </c>
      <c r="G615" cm="1">
        <f t="array" ref="G615">(PRODUCT(1+sp500_monthly!L616:L735)^(1/120)-1)</f>
        <v>0.71699053352108977</v>
      </c>
      <c r="H615" cm="1">
        <f t="array" ref="H615">(PRODUCT(1+sp500_monthly!N616:N735)^(1/120)-1)*100</f>
        <v>0.6975717049868102</v>
      </c>
      <c r="I615" cm="1">
        <f t="array" ref="I615">(PRODUCT(1+sp500_monthly!O616:O735)^(1/120)-1)*100</f>
        <v>0.19567576987407076</v>
      </c>
    </row>
    <row r="616" spans="1:9" x14ac:dyDescent="0.35">
      <c r="A616" s="1">
        <v>28184</v>
      </c>
      <c r="B616" cm="1">
        <f t="array" ref="B616">(PRODUCT(1+sp500_monthly!B617:B736)^(1/120)-1)*100</f>
        <v>1.2844777378229866</v>
      </c>
      <c r="C616" cm="1">
        <f t="array" ref="C616">(PRODUCT(1+sp500_monthly!C617:C736)^(1/120)-1)*100</f>
        <v>0.88104603101086809</v>
      </c>
      <c r="D616" cm="1">
        <f t="array" ref="D616">(PRODUCT(1+sp500_monthly!D617:D736)^(1/120)-1)*100</f>
        <v>1.5939145526469023</v>
      </c>
      <c r="E616" cm="1">
        <f t="array" ref="E616">(PRODUCT(1+sp500_monthly!E617:E736)^(1/120)-1)*100</f>
        <v>1.233742932886317</v>
      </c>
      <c r="F616" cm="1">
        <f t="array" ref="F616">(PRODUCT(1+sp500_monthly!K617:K736)^(1/120)-1)*100</f>
        <v>0.87574098606810757</v>
      </c>
      <c r="G616" cm="1">
        <f t="array" ref="G616">(PRODUCT(1+sp500_monthly!L617:L736)^(1/120)-1)</f>
        <v>0.71781445523127951</v>
      </c>
      <c r="H616" cm="1">
        <f t="array" ref="H616">(PRODUCT(1+sp500_monthly!N617:N736)^(1/120)-1)*100</f>
        <v>0.75068334999222053</v>
      </c>
      <c r="I616" cm="1">
        <f t="array" ref="I616">(PRODUCT(1+sp500_monthly!O617:O736)^(1/120)-1)*100</f>
        <v>0.20183986227209072</v>
      </c>
    </row>
    <row r="617" spans="1:9" x14ac:dyDescent="0.35">
      <c r="A617" s="1">
        <v>28215</v>
      </c>
      <c r="B617" cm="1">
        <f t="array" ref="B617">(PRODUCT(1+sp500_monthly!B618:B737)^(1/120)-1)*100</f>
        <v>1.3170425434531507</v>
      </c>
      <c r="C617" cm="1">
        <f t="array" ref="C617">(PRODUCT(1+sp500_monthly!C618:C737)^(1/120)-1)*100</f>
        <v>0.91317109034505517</v>
      </c>
      <c r="D617" cm="1">
        <f t="array" ref="D617">(PRODUCT(1+sp500_monthly!D618:D737)^(1/120)-1)*100</f>
        <v>1.6099656901825243</v>
      </c>
      <c r="E617" cm="1">
        <f t="array" ref="E617">(PRODUCT(1+sp500_monthly!E618:E737)^(1/120)-1)*100</f>
        <v>1.2507728266154317</v>
      </c>
      <c r="F617" cm="1">
        <f t="array" ref="F617">(PRODUCT(1+sp500_monthly!K618:K737)^(1/120)-1)*100</f>
        <v>0.90951653459661053</v>
      </c>
      <c r="G617" cm="1">
        <f t="array" ref="G617">(PRODUCT(1+sp500_monthly!L618:L737)^(1/120)-1)</f>
        <v>0.71871910694306451</v>
      </c>
      <c r="H617" cm="1">
        <f t="array" ref="H617">(PRODUCT(1+sp500_monthly!N618:N737)^(1/120)-1)*100</f>
        <v>0.78431519260291349</v>
      </c>
      <c r="I617" cm="1">
        <f t="array" ref="I617">(PRODUCT(1+sp500_monthly!O618:O737)^(1/120)-1)*100</f>
        <v>0.20381972568579432</v>
      </c>
    </row>
    <row r="618" spans="1:9" x14ac:dyDescent="0.35">
      <c r="A618" s="1">
        <v>28244</v>
      </c>
      <c r="B618" cm="1">
        <f t="array" ref="B618">(PRODUCT(1+sp500_monthly!B619:B738)^(1/120)-1)*100</f>
        <v>1.3088303287358549</v>
      </c>
      <c r="C618" cm="1">
        <f t="array" ref="C618">(PRODUCT(1+sp500_monthly!C619:C738)^(1/120)-1)*100</f>
        <v>0.90421388013426363</v>
      </c>
      <c r="D618" cm="1">
        <f t="array" ref="D618">(PRODUCT(1+sp500_monthly!D619:D738)^(1/120)-1)*100</f>
        <v>1.5922638523496735</v>
      </c>
      <c r="E618" cm="1">
        <f t="array" ref="E618">(PRODUCT(1+sp500_monthly!E619:E738)^(1/120)-1)*100</f>
        <v>1.2321624303003098</v>
      </c>
      <c r="F618" cm="1">
        <f t="array" ref="F618">(PRODUCT(1+sp500_monthly!K619:K738)^(1/120)-1)*100</f>
        <v>0.8996623308419327</v>
      </c>
      <c r="G618" cm="1">
        <f t="array" ref="G618">(PRODUCT(1+sp500_monthly!L619:L738)^(1/120)-1)</f>
        <v>0.71932878190543525</v>
      </c>
      <c r="H618" cm="1">
        <f t="array" ref="H618">(PRODUCT(1+sp500_monthly!N619:N738)^(1/120)-1)*100</f>
        <v>0.77802948028011798</v>
      </c>
      <c r="I618" cm="1">
        <f t="array" ref="I618">(PRODUCT(1+sp500_monthly!O619:O738)^(1/120)-1)*100</f>
        <v>0.2061913362184864</v>
      </c>
    </row>
    <row r="619" spans="1:9" x14ac:dyDescent="0.35">
      <c r="A619" s="1">
        <v>28276</v>
      </c>
      <c r="B619" cm="1">
        <f t="array" ref="B619">(PRODUCT(1+sp500_monthly!B620:B739)^(1/120)-1)*100</f>
        <v>1.3293180638446422</v>
      </c>
      <c r="C619" cm="1">
        <f t="array" ref="C619">(PRODUCT(1+sp500_monthly!C620:C739)^(1/120)-1)*100</f>
        <v>0.92860878095999411</v>
      </c>
      <c r="D619" cm="1">
        <f t="array" ref="D619">(PRODUCT(1+sp500_monthly!D620:D739)^(1/120)-1)*100</f>
        <v>1.6149448415940793</v>
      </c>
      <c r="E619" cm="1">
        <f t="array" ref="E619">(PRODUCT(1+sp500_monthly!E620:E739)^(1/120)-1)*100</f>
        <v>1.2573907037281229</v>
      </c>
      <c r="F619" cm="1">
        <f t="array" ref="F619">(PRODUCT(1+sp500_monthly!K620:K739)^(1/120)-1)*100</f>
        <v>0.92477773057195733</v>
      </c>
      <c r="G619" cm="1">
        <f t="array" ref="G619">(PRODUCT(1+sp500_monthly!L620:L739)^(1/120)-1)</f>
        <v>0.7194329872668086</v>
      </c>
      <c r="H619" cm="1">
        <f t="array" ref="H619">(PRODUCT(1+sp500_monthly!N620:N739)^(1/120)-1)*100</f>
        <v>0.79897215360551499</v>
      </c>
      <c r="I619" cm="1">
        <f t="array" ref="I619">(PRODUCT(1+sp500_monthly!O620:O739)^(1/120)-1)*100</f>
        <v>0.20683350867394257</v>
      </c>
    </row>
    <row r="620" spans="1:9" x14ac:dyDescent="0.35">
      <c r="A620" s="1">
        <v>28306</v>
      </c>
      <c r="B620" cm="1">
        <f t="array" ref="B620">(PRODUCT(1+sp500_monthly!B621:B740)^(1/120)-1)*100</f>
        <v>1.3312211020555464</v>
      </c>
      <c r="C620" cm="1">
        <f t="array" ref="C620">(PRODUCT(1+sp500_monthly!C621:C740)^(1/120)-1)*100</f>
        <v>0.93017493565497045</v>
      </c>
      <c r="D620" cm="1">
        <f t="array" ref="D620">(PRODUCT(1+sp500_monthly!D621:D740)^(1/120)-1)*100</f>
        <v>1.6079507567716034</v>
      </c>
      <c r="E620" cm="1">
        <f t="array" ref="E620">(PRODUCT(1+sp500_monthly!E621:E740)^(1/120)-1)*100</f>
        <v>1.2511099353524457</v>
      </c>
      <c r="F620" cm="1">
        <f t="array" ref="F620">(PRODUCT(1+sp500_monthly!K621:K740)^(1/120)-1)*100</f>
        <v>0.92683085751432692</v>
      </c>
      <c r="G620" cm="1">
        <f t="array" ref="G620">(PRODUCT(1+sp500_monthly!L621:L740)^(1/120)-1)</f>
        <v>0.72022941028363729</v>
      </c>
      <c r="H620" cm="1">
        <f t="array" ref="H620">(PRODUCT(1+sp500_monthly!N621:N740)^(1/120)-1)*100</f>
        <v>0.80133227201657498</v>
      </c>
      <c r="I620" cm="1">
        <f t="array" ref="I620">(PRODUCT(1+sp500_monthly!O621:O740)^(1/120)-1)*100</f>
        <v>0.20796292118663295</v>
      </c>
    </row>
    <row r="621" spans="1:9" x14ac:dyDescent="0.35">
      <c r="A621" s="1">
        <v>28335</v>
      </c>
      <c r="B621" cm="1">
        <f t="array" ref="B621">(PRODUCT(1+sp500_monthly!B622:B741)^(1/120)-1)*100</f>
        <v>1.3854598671749097</v>
      </c>
      <c r="C621" cm="1">
        <f t="array" ref="C621">(PRODUCT(1+sp500_monthly!C622:C741)^(1/120)-1)*100</f>
        <v>0.9835980181397419</v>
      </c>
      <c r="D621" cm="1">
        <f t="array" ref="D621">(PRODUCT(1+sp500_monthly!D622:D741)^(1/120)-1)*100</f>
        <v>1.6765467189314709</v>
      </c>
      <c r="E621" cm="1">
        <f t="array" ref="E621">(PRODUCT(1+sp500_monthly!E622:E741)^(1/120)-1)*100</f>
        <v>1.3188405209701548</v>
      </c>
      <c r="F621" cm="1">
        <f t="array" ref="F621">(PRODUCT(1+sp500_monthly!K622:K741)^(1/120)-1)*100</f>
        <v>0.98021198304261148</v>
      </c>
      <c r="G621" cm="1">
        <f t="array" ref="G621">(PRODUCT(1+sp500_monthly!L622:L741)^(1/120)-1)</f>
        <v>0.72062768324107873</v>
      </c>
      <c r="H621" cm="1">
        <f t="array" ref="H621">(PRODUCT(1+sp500_monthly!N622:N741)^(1/120)-1)*100</f>
        <v>0.8572261500252143</v>
      </c>
      <c r="I621" cm="1">
        <f t="array" ref="I621">(PRODUCT(1+sp500_monthly!O622:O741)^(1/120)-1)*100</f>
        <v>0.21022179018710396</v>
      </c>
    </row>
    <row r="622" spans="1:9" x14ac:dyDescent="0.35">
      <c r="A622" s="1">
        <v>28368</v>
      </c>
      <c r="B622" cm="1">
        <f t="array" ref="B622">(PRODUCT(1+sp500_monthly!B623:B742)^(1/120)-1)*100</f>
        <v>1.4283457317455062</v>
      </c>
      <c r="C622" cm="1">
        <f t="array" ref="C622">(PRODUCT(1+sp500_monthly!C623:C742)^(1/120)-1)*100</f>
        <v>1.0301080250003869</v>
      </c>
      <c r="D622" cm="1">
        <f t="array" ref="D622">(PRODUCT(1+sp500_monthly!D623:D742)^(1/120)-1)*100</f>
        <v>1.7135860450600449</v>
      </c>
      <c r="E622" cm="1">
        <f t="array" ref="E622">(PRODUCT(1+sp500_monthly!E623:E742)^(1/120)-1)*100</f>
        <v>1.3585033355236753</v>
      </c>
      <c r="F622" cm="1">
        <f t="array" ref="F622">(PRODUCT(1+sp500_monthly!K623:K742)^(1/120)-1)*100</f>
        <v>1.0270341902604896</v>
      </c>
      <c r="G622" cm="1">
        <f t="array" ref="G622">(PRODUCT(1+sp500_monthly!L623:L742)^(1/120)-1)</f>
        <v>0.72092335961274934</v>
      </c>
      <c r="H622" cm="1">
        <f t="array" ref="H622">(PRODUCT(1+sp500_monthly!N623:N742)^(1/120)-1)*100</f>
        <v>0.90034096516982132</v>
      </c>
      <c r="I622" cm="1">
        <f t="array" ref="I622">(PRODUCT(1+sp500_monthly!O623:O742)^(1/120)-1)*100</f>
        <v>0.21092048274189423</v>
      </c>
    </row>
    <row r="623" spans="1:9" x14ac:dyDescent="0.35">
      <c r="A623" s="1">
        <v>28398</v>
      </c>
      <c r="B623" cm="1">
        <f t="array" ref="B623">(PRODUCT(1+sp500_monthly!B624:B743)^(1/120)-1)*100</f>
        <v>1.4102940050928714</v>
      </c>
      <c r="C623" cm="1">
        <f t="array" ref="C623">(PRODUCT(1+sp500_monthly!C624:C743)^(1/120)-1)*100</f>
        <v>1.0121895055813068</v>
      </c>
      <c r="D623" cm="1">
        <f t="array" ref="D623">(PRODUCT(1+sp500_monthly!D624:D743)^(1/120)-1)*100</f>
        <v>1.7012356143039309</v>
      </c>
      <c r="E623" cm="1">
        <f t="array" ref="E623">(PRODUCT(1+sp500_monthly!E624:E743)^(1/120)-1)*100</f>
        <v>1.3470438857679401</v>
      </c>
      <c r="F623" cm="1">
        <f t="array" ref="F623">(PRODUCT(1+sp500_monthly!K624:K743)^(1/120)-1)*100</f>
        <v>1.0085313449825106</v>
      </c>
      <c r="G623" cm="1">
        <f t="array" ref="G623">(PRODUCT(1+sp500_monthly!L624:L743)^(1/120)-1)</f>
        <v>0.72112255528658586</v>
      </c>
      <c r="H623" cm="1">
        <f t="array" ref="H623">(PRODUCT(1+sp500_monthly!N624:N743)^(1/120)-1)*100</f>
        <v>0.88219365531669869</v>
      </c>
      <c r="I623" cm="1">
        <f t="array" ref="I623">(PRODUCT(1+sp500_monthly!O624:O743)^(1/120)-1)*100</f>
        <v>0.21089847582971277</v>
      </c>
    </row>
    <row r="624" spans="1:9" x14ac:dyDescent="0.35">
      <c r="A624" s="1">
        <v>28429</v>
      </c>
      <c r="B624" cm="1">
        <f t="array" ref="B624">(PRODUCT(1+sp500_monthly!B625:B744)^(1/120)-1)*100</f>
        <v>1.2412539329240913</v>
      </c>
      <c r="C624" cm="1">
        <f t="array" ref="C624">(PRODUCT(1+sp500_monthly!C625:C744)^(1/120)-1)*100</f>
        <v>0.8431621112116483</v>
      </c>
      <c r="D624" cm="1">
        <f t="array" ref="D624">(PRODUCT(1+sp500_monthly!D625:D744)^(1/120)-1)*100</f>
        <v>1.4829854255069774</v>
      </c>
      <c r="E624" cm="1">
        <f t="array" ref="E624">(PRODUCT(1+sp500_monthly!E625:E744)^(1/120)-1)*100</f>
        <v>1.1295194296108368</v>
      </c>
      <c r="F624" cm="1">
        <f t="array" ref="F624">(PRODUCT(1+sp500_monthly!K625:K744)^(1/120)-1)*100</f>
        <v>0.83944057601295086</v>
      </c>
      <c r="G624" cm="1">
        <f t="array" ref="G624">(PRODUCT(1+sp500_monthly!L625:L744)^(1/120)-1)</f>
        <v>0.72214445247649084</v>
      </c>
      <c r="H624" cm="1">
        <f t="array" ref="H624">(PRODUCT(1+sp500_monthly!N625:N744)^(1/120)-1)*100</f>
        <v>0.71593899724260446</v>
      </c>
      <c r="I624" cm="1">
        <f t="array" ref="I624">(PRODUCT(1+sp500_monthly!O625:O744)^(1/120)-1)*100</f>
        <v>0.21370772813589234</v>
      </c>
    </row>
    <row r="625" spans="1:9" x14ac:dyDescent="0.35">
      <c r="A625" s="1">
        <v>28459</v>
      </c>
      <c r="B625" cm="1">
        <f t="array" ref="B625">(PRODUCT(1+sp500_monthly!B626:B745)^(1/120)-1)*100</f>
        <v>1.1387877526636503</v>
      </c>
      <c r="C625" cm="1">
        <f t="array" ref="C625">(PRODUCT(1+sp500_monthly!C626:C745)^(1/120)-1)*100</f>
        <v>0.74479311680997196</v>
      </c>
      <c r="D625" cm="1">
        <f t="array" ref="D625">(PRODUCT(1+sp500_monthly!D626:D745)^(1/120)-1)*100</f>
        <v>1.3771005261569158</v>
      </c>
      <c r="E625" cm="1">
        <f t="array" ref="E625">(PRODUCT(1+sp500_monthly!E626:E745)^(1/120)-1)*100</f>
        <v>1.0258735522856055</v>
      </c>
      <c r="F625" cm="1">
        <f t="array" ref="F625">(PRODUCT(1+sp500_monthly!K626:K745)^(1/120)-1)*100</f>
        <v>0.74215937678265842</v>
      </c>
      <c r="G625" cm="1">
        <f t="array" ref="G625">(PRODUCT(1+sp500_monthly!L626:L745)^(1/120)-1)</f>
        <v>0.72063306584597697</v>
      </c>
      <c r="H625" cm="1">
        <f t="array" ref="H625">(PRODUCT(1+sp500_monthly!N626:N745)^(1/120)-1)*100</f>
        <v>0.61652011144726071</v>
      </c>
      <c r="I625" cm="1">
        <f t="array" ref="I625">(PRODUCT(1+sp500_monthly!O626:O745)^(1/120)-1)*100</f>
        <v>0.21496594964856008</v>
      </c>
    </row>
    <row r="626" spans="1:9" x14ac:dyDescent="0.35">
      <c r="A626" s="1">
        <v>28489</v>
      </c>
      <c r="B626" cm="1">
        <f t="array" ref="B626">(PRODUCT(1+sp500_monthly!B627:B746)^(1/120)-1)*100</f>
        <v>1.1942293777750468</v>
      </c>
      <c r="C626" cm="1">
        <f t="array" ref="C626">(PRODUCT(1+sp500_monthly!C627:C746)^(1/120)-1)*100</f>
        <v>0.79936600990058171</v>
      </c>
      <c r="D626" cm="1">
        <f t="array" ref="D626">(PRODUCT(1+sp500_monthly!D627:D746)^(1/120)-1)*100</f>
        <v>1.4524410071821148</v>
      </c>
      <c r="E626" cm="1">
        <f t="array" ref="E626">(PRODUCT(1+sp500_monthly!E627:E746)^(1/120)-1)*100</f>
        <v>1.1015191546157821</v>
      </c>
      <c r="F626" cm="1">
        <f t="array" ref="F626">(PRODUCT(1+sp500_monthly!K627:K746)^(1/120)-1)*100</f>
        <v>0.79883098611897019</v>
      </c>
      <c r="G626" cm="1">
        <f t="array" ref="G626">(PRODUCT(1+sp500_monthly!L627:L746)^(1/120)-1)</f>
        <v>0.71963721695849747</v>
      </c>
      <c r="H626" cm="1">
        <f t="array" ref="H626">(PRODUCT(1+sp500_monthly!N627:N746)^(1/120)-1)*100</f>
        <v>0.67427233489614213</v>
      </c>
      <c r="I626" cm="1">
        <f t="array" ref="I626">(PRODUCT(1+sp500_monthly!O627:O746)^(1/120)-1)*100</f>
        <v>0.21671957592721558</v>
      </c>
    </row>
    <row r="627" spans="1:9" x14ac:dyDescent="0.35">
      <c r="A627" s="1">
        <v>28521</v>
      </c>
      <c r="B627" cm="1">
        <f t="array" ref="B627">(PRODUCT(1+sp500_monthly!B628:B747)^(1/120)-1)*100</f>
        <v>1.2822937448708771</v>
      </c>
      <c r="C627" cm="1">
        <f t="array" ref="C627">(PRODUCT(1+sp500_monthly!C628:C747)^(1/120)-1)*100</f>
        <v>0.88753791114331015</v>
      </c>
      <c r="D627" cm="1">
        <f t="array" ref="D627">(PRODUCT(1+sp500_monthly!D628:D747)^(1/120)-1)*100</f>
        <v>1.5391154572651278</v>
      </c>
      <c r="E627" cm="1">
        <f t="array" ref="E627">(PRODUCT(1+sp500_monthly!E628:E747)^(1/120)-1)*100</f>
        <v>1.1885365766010958</v>
      </c>
      <c r="F627" cm="1">
        <f t="array" ref="F627">(PRODUCT(1+sp500_monthly!K628:K747)^(1/120)-1)*100</f>
        <v>0.88549082792348521</v>
      </c>
      <c r="G627" cm="1">
        <f t="array" ref="G627">(PRODUCT(1+sp500_monthly!L628:L747)^(1/120)-1)</f>
        <v>0.71757297339292236</v>
      </c>
      <c r="H627" cm="1">
        <f t="array" ref="H627">(PRODUCT(1+sp500_monthly!N628:N747)^(1/120)-1)*100</f>
        <v>0.76435776466474703</v>
      </c>
      <c r="I627" cm="1">
        <f t="array" ref="I627">(PRODUCT(1+sp500_monthly!O628:O747)^(1/120)-1)*100</f>
        <v>0.21751593122389945</v>
      </c>
    </row>
    <row r="628" spans="1:9" x14ac:dyDescent="0.35">
      <c r="A628" s="1">
        <v>28549</v>
      </c>
      <c r="B628" cm="1">
        <f t="array" ref="B628">(PRODUCT(1+sp500_monthly!B629:B748)^(1/120)-1)*100</f>
        <v>1.3352676913862771</v>
      </c>
      <c r="C628" cm="1">
        <f t="array" ref="C628">(PRODUCT(1+sp500_monthly!C629:C748)^(1/120)-1)*100</f>
        <v>0.94222259373435424</v>
      </c>
      <c r="D628" cm="1">
        <f t="array" ref="D628">(PRODUCT(1+sp500_monthly!D629:D748)^(1/120)-1)*100</f>
        <v>1.6092054614938567</v>
      </c>
      <c r="E628" cm="1">
        <f t="array" ref="E628">(PRODUCT(1+sp500_monthly!E629:E748)^(1/120)-1)*100</f>
        <v>1.259994359330574</v>
      </c>
      <c r="F628" cm="1">
        <f t="array" ref="F628">(PRODUCT(1+sp500_monthly!K629:K748)^(1/120)-1)*100</f>
        <v>0.94102678968170927</v>
      </c>
      <c r="G628" cm="1">
        <f t="array" ref="G628">(PRODUCT(1+sp500_monthly!L629:L748)^(1/120)-1)</f>
        <v>0.71757297339292236</v>
      </c>
      <c r="H628" cm="1">
        <f t="array" ref="H628">(PRODUCT(1+sp500_monthly!N629:N748)^(1/120)-1)*100</f>
        <v>0.81962380541824587</v>
      </c>
      <c r="I628" cm="1">
        <f t="array" ref="I628">(PRODUCT(1+sp500_monthly!O629:O748)^(1/120)-1)*100</f>
        <v>0.2200636811393597</v>
      </c>
    </row>
    <row r="629" spans="1:9" x14ac:dyDescent="0.35">
      <c r="A629" s="1">
        <v>28580</v>
      </c>
      <c r="B629" cm="1">
        <f t="array" ref="B629">(PRODUCT(1+sp500_monthly!B630:B749)^(1/120)-1)*100</f>
        <v>1.2863837964580016</v>
      </c>
      <c r="C629" cm="1">
        <f t="array" ref="C629">(PRODUCT(1+sp500_monthly!C630:C749)^(1/120)-1)*100</f>
        <v>0.89344434938758432</v>
      </c>
      <c r="D629" cm="1">
        <f t="array" ref="D629">(PRODUCT(1+sp500_monthly!D630:D749)^(1/120)-1)*100</f>
        <v>1.5591228359116194</v>
      </c>
      <c r="E629" cm="1">
        <f t="array" ref="E629">(PRODUCT(1+sp500_monthly!E630:E749)^(1/120)-1)*100</f>
        <v>1.2110963902076888</v>
      </c>
      <c r="F629" cm="1">
        <f t="array" ref="F629">(PRODUCT(1+sp500_monthly!K630:K749)^(1/120)-1)*100</f>
        <v>0.8917990538342524</v>
      </c>
      <c r="G629" cm="1">
        <f t="array" ref="G629">(PRODUCT(1+sp500_monthly!L630:L749)^(1/120)-1)</f>
        <v>0.71670546577976024</v>
      </c>
      <c r="H629" cm="1">
        <f t="array" ref="H629">(PRODUCT(1+sp500_monthly!N630:N749)^(1/120)-1)*100</f>
        <v>0.77413839176629917</v>
      </c>
      <c r="I629" cm="1">
        <f t="array" ref="I629">(PRODUCT(1+sp500_monthly!O630:O749)^(1/120)-1)*100</f>
        <v>0.2224481538922074</v>
      </c>
    </row>
    <row r="630" spans="1:9" x14ac:dyDescent="0.35">
      <c r="A630" s="1">
        <v>28608</v>
      </c>
      <c r="B630" cm="1">
        <f t="array" ref="B630">(PRODUCT(1+sp500_monthly!B631:B750)^(1/120)-1)*100</f>
        <v>1.2232972282572474</v>
      </c>
      <c r="C630" cm="1">
        <f t="array" ref="C630">(PRODUCT(1+sp500_monthly!C631:C750)^(1/120)-1)*100</f>
        <v>0.83021049400342495</v>
      </c>
      <c r="D630" cm="1">
        <f t="array" ref="D630">(PRODUCT(1+sp500_monthly!D631:D750)^(1/120)-1)*100</f>
        <v>1.4934912942685896</v>
      </c>
      <c r="E630" cm="1">
        <f t="array" ref="E630">(PRODUCT(1+sp500_monthly!E631:E750)^(1/120)-1)*100</f>
        <v>1.1459558451789587</v>
      </c>
      <c r="F630" cm="1">
        <f t="array" ref="F630">(PRODUCT(1+sp500_monthly!K631:K750)^(1/120)-1)*100</f>
        <v>0.83079271269597132</v>
      </c>
      <c r="G630" cm="1">
        <f t="array" ref="G630">(PRODUCT(1+sp500_monthly!L631:L750)^(1/120)-1)</f>
        <v>0.71594247424742274</v>
      </c>
      <c r="H630" cm="1">
        <f t="array" ref="H630">(PRODUCT(1+sp500_monthly!N631:N750)^(1/120)-1)*100</f>
        <v>0.71293602462498828</v>
      </c>
      <c r="I630" cm="1">
        <f t="array" ref="I630">(PRODUCT(1+sp500_monthly!O631:O750)^(1/120)-1)*100</f>
        <v>0.22334086916409035</v>
      </c>
    </row>
    <row r="631" spans="1:9" x14ac:dyDescent="0.35">
      <c r="A631" s="1">
        <v>28641</v>
      </c>
      <c r="B631" cm="1">
        <f t="array" ref="B631">(PRODUCT(1+sp500_monthly!B632:B751)^(1/120)-1)*100</f>
        <v>1.2185350607327061</v>
      </c>
      <c r="C631" cm="1">
        <f t="array" ref="C631">(PRODUCT(1+sp500_monthly!C632:C751)^(1/120)-1)*100</f>
        <v>0.82890951123650858</v>
      </c>
      <c r="D631" cm="1">
        <f t="array" ref="D631">(PRODUCT(1+sp500_monthly!D632:D751)^(1/120)-1)*100</f>
        <v>1.4694074381099709</v>
      </c>
      <c r="E631" cm="1">
        <f t="array" ref="E631">(PRODUCT(1+sp500_monthly!E632:E751)^(1/120)-1)*100</f>
        <v>1.1240599898046488</v>
      </c>
      <c r="F631" cm="1">
        <f t="array" ref="F631">(PRODUCT(1+sp500_monthly!K632:K751)^(1/120)-1)*100</f>
        <v>0.82990700657026295</v>
      </c>
      <c r="G631" cm="1">
        <f t="array" ref="G631">(PRODUCT(1+sp500_monthly!L632:L751)^(1/120)-1)</f>
        <v>0.71594247424742274</v>
      </c>
      <c r="H631" cm="1">
        <f t="array" ref="H631">(PRODUCT(1+sp500_monthly!N632:N751)^(1/120)-1)*100</f>
        <v>0.71389593583235378</v>
      </c>
      <c r="I631" cm="1">
        <f t="array" ref="I631">(PRODUCT(1+sp500_monthly!O632:O751)^(1/120)-1)*100</f>
        <v>0.22901150415963745</v>
      </c>
    </row>
    <row r="632" spans="1:9" x14ac:dyDescent="0.35">
      <c r="A632" s="1">
        <v>28671</v>
      </c>
      <c r="B632" cm="1">
        <f t="array" ref="B632">(PRODUCT(1+sp500_monthly!B633:B752)^(1/120)-1)*100</f>
        <v>1.2719346064779868</v>
      </c>
      <c r="C632" cm="1">
        <f t="array" ref="C632">(PRODUCT(1+sp500_monthly!C633:C752)^(1/120)-1)*100</f>
        <v>0.88204090163115367</v>
      </c>
      <c r="D632" cm="1">
        <f t="array" ref="D632">(PRODUCT(1+sp500_monthly!D633:D752)^(1/120)-1)*100</f>
        <v>1.529258532433464</v>
      </c>
      <c r="E632" cm="1">
        <f t="array" ref="E632">(PRODUCT(1+sp500_monthly!E633:E752)^(1/120)-1)*100</f>
        <v>1.1847106003022745</v>
      </c>
      <c r="F632" cm="1">
        <f t="array" ref="F632">(PRODUCT(1+sp500_monthly!K633:K752)^(1/120)-1)*100</f>
        <v>0.88040858243600972</v>
      </c>
      <c r="G632" cm="1">
        <f t="array" ref="G632">(PRODUCT(1+sp500_monthly!L633:L752)^(1/120)-1)</f>
        <v>0.71547056493341454</v>
      </c>
      <c r="H632" cm="1">
        <f t="array" ref="H632">(PRODUCT(1+sp500_monthly!N633:N752)^(1/120)-1)*100</f>
        <v>0.7699479723566105</v>
      </c>
      <c r="I632" cm="1">
        <f t="array" ref="I632">(PRODUCT(1+sp500_monthly!O633:O752)^(1/120)-1)*100</f>
        <v>0.23149914977822483</v>
      </c>
    </row>
    <row r="633" spans="1:9" x14ac:dyDescent="0.35">
      <c r="A633" s="1">
        <v>28702</v>
      </c>
      <c r="B633" cm="1">
        <f t="array" ref="B633">(PRODUCT(1+sp500_monthly!B634:B753)^(1/120)-1)*100</f>
        <v>1.2214141410268997</v>
      </c>
      <c r="C633" cm="1">
        <f t="array" ref="C633">(PRODUCT(1+sp500_monthly!C634:C753)^(1/120)-1)*100</f>
        <v>0.83070844054222714</v>
      </c>
      <c r="D633" cm="1">
        <f t="array" ref="D633">(PRODUCT(1+sp500_monthly!D634:D753)^(1/120)-1)*100</f>
        <v>1.4696853825392431</v>
      </c>
      <c r="E633" cm="1">
        <f t="array" ref="E633">(PRODUCT(1+sp500_monthly!E634:E753)^(1/120)-1)*100</f>
        <v>1.1235757543331726</v>
      </c>
      <c r="F633" cm="1">
        <f t="array" ref="F633">(PRODUCT(1+sp500_monthly!K634:K753)^(1/120)-1)*100</f>
        <v>0.83171800757135816</v>
      </c>
      <c r="G633" cm="1">
        <f t="array" ref="G633">(PRODUCT(1+sp500_monthly!L634:L753)^(1/120)-1)</f>
        <v>0.71500493262594</v>
      </c>
      <c r="H633" cm="1">
        <f t="array" ref="H633">(PRODUCT(1+sp500_monthly!N634:N753)^(1/120)-1)*100</f>
        <v>0.72256068081957281</v>
      </c>
      <c r="I633" cm="1">
        <f t="array" ref="I633">(PRODUCT(1+sp500_monthly!O634:O753)^(1/120)-1)*100</f>
        <v>0.23395251061786304</v>
      </c>
    </row>
    <row r="634" spans="1:9" x14ac:dyDescent="0.35">
      <c r="A634" s="1">
        <v>28733</v>
      </c>
      <c r="B634" cm="1">
        <f t="array" ref="B634">(PRODUCT(1+sp500_monthly!B635:B754)^(1/120)-1)*100</f>
        <v>1.1656607437403155</v>
      </c>
      <c r="C634" cm="1">
        <f t="array" ref="C634">(PRODUCT(1+sp500_monthly!C635:C754)^(1/120)-1)*100</f>
        <v>0.7775806381263628</v>
      </c>
      <c r="D634" cm="1">
        <f t="array" ref="D634">(PRODUCT(1+sp500_monthly!D635:D754)^(1/120)-1)*100</f>
        <v>1.3993504024354619</v>
      </c>
      <c r="E634" cm="1">
        <f t="array" ref="E634">(PRODUCT(1+sp500_monthly!E635:E754)^(1/120)-1)*100</f>
        <v>1.0548950012028602</v>
      </c>
      <c r="F634" cm="1">
        <f t="array" ref="F634">(PRODUCT(1+sp500_monthly!K635:K754)^(1/120)-1)*100</f>
        <v>0.77715055803746491</v>
      </c>
      <c r="G634" cm="1">
        <f t="array" ref="G634">(PRODUCT(1+sp500_monthly!L635:L754)^(1/120)-1)</f>
        <v>0.71527718546949304</v>
      </c>
      <c r="H634" cm="1">
        <f t="array" ref="H634">(PRODUCT(1+sp500_monthly!N635:N754)^(1/120)-1)*100</f>
        <v>0.66865731132048634</v>
      </c>
      <c r="I634" cm="1">
        <f t="array" ref="I634">(PRODUCT(1+sp500_monthly!O635:O754)^(1/120)-1)*100</f>
        <v>0.23577014553273212</v>
      </c>
    </row>
    <row r="635" spans="1:9" x14ac:dyDescent="0.35">
      <c r="A635" s="1">
        <v>28762</v>
      </c>
      <c r="B635" cm="1">
        <f t="array" ref="B635">(PRODUCT(1+sp500_monthly!B636:B755)^(1/120)-1)*100</f>
        <v>1.205314728214768</v>
      </c>
      <c r="C635" cm="1">
        <f t="array" ref="C635">(PRODUCT(1+sp500_monthly!C636:C755)^(1/120)-1)*100</f>
        <v>0.81690377547691817</v>
      </c>
      <c r="D635" cm="1">
        <f t="array" ref="D635">(PRODUCT(1+sp500_monthly!D636:D755)^(1/120)-1)*100</f>
        <v>1.4410190669430278</v>
      </c>
      <c r="E635" cm="1">
        <f t="array" ref="E635">(PRODUCT(1+sp500_monthly!E636:E755)^(1/120)-1)*100</f>
        <v>1.0972157387877157</v>
      </c>
      <c r="F635" cm="1">
        <f t="array" ref="F635">(PRODUCT(1+sp500_monthly!K636:K755)^(1/120)-1)*100</f>
        <v>0.81599721412051185</v>
      </c>
      <c r="G635" cm="1">
        <f t="array" ref="G635">(PRODUCT(1+sp500_monthly!L636:L755)^(1/120)-1)</f>
        <v>0.71527718546949304</v>
      </c>
      <c r="H635" cm="1">
        <f t="array" ref="H635">(PRODUCT(1+sp500_monthly!N636:N755)^(1/120)-1)*100</f>
        <v>0.71220416593067437</v>
      </c>
      <c r="I635" cm="1">
        <f t="array" ref="I635">(PRODUCT(1+sp500_monthly!O636:O755)^(1/120)-1)*100</f>
        <v>0.23983865424945794</v>
      </c>
    </row>
    <row r="636" spans="1:9" x14ac:dyDescent="0.35">
      <c r="A636" s="1">
        <v>28794</v>
      </c>
      <c r="B636" cm="1">
        <f t="array" ref="B636">(PRODUCT(1+sp500_monthly!B637:B756)^(1/120)-1)*100</f>
        <v>1.3068864478254838</v>
      </c>
      <c r="C636" cm="1">
        <f t="array" ref="C636">(PRODUCT(1+sp500_monthly!C637:C756)^(1/120)-1)*100</f>
        <v>0.91765947351500898</v>
      </c>
      <c r="D636" cm="1">
        <f t="array" ref="D636">(PRODUCT(1+sp500_monthly!D637:D756)^(1/120)-1)*100</f>
        <v>1.5730552834060108</v>
      </c>
      <c r="E636" cm="1">
        <f t="array" ref="E636">(PRODUCT(1+sp500_monthly!E637:E756)^(1/120)-1)*100</f>
        <v>1.2288601862645798</v>
      </c>
      <c r="F636" cm="1">
        <f t="array" ref="F636">(PRODUCT(1+sp500_monthly!K637:K756)^(1/120)-1)*100</f>
        <v>0.91827186159578744</v>
      </c>
      <c r="G636" cm="1">
        <f t="array" ref="G636">(PRODUCT(1+sp500_monthly!L637:L756)^(1/120)-1)</f>
        <v>0.71466894720551921</v>
      </c>
      <c r="H636" cm="1">
        <f t="array" ref="H636">(PRODUCT(1+sp500_monthly!N637:N756)^(1/120)-1)*100</f>
        <v>0.81801966608270327</v>
      </c>
      <c r="I636" cm="1">
        <f t="array" ref="I636">(PRODUCT(1+sp500_monthly!O637:O756)^(1/120)-1)*100</f>
        <v>0.24396936556725368</v>
      </c>
    </row>
    <row r="637" spans="1:9" x14ac:dyDescent="0.35">
      <c r="A637" s="1">
        <v>28824</v>
      </c>
      <c r="B637" cm="1">
        <f t="array" ref="B637">(PRODUCT(1+sp500_monthly!B638:B757)^(1/120)-1)*100</f>
        <v>1.2723821711109196</v>
      </c>
      <c r="C637" cm="1">
        <f t="array" ref="C637">(PRODUCT(1+sp500_monthly!C638:C757)^(1/120)-1)*100</f>
        <v>0.88636438314948496</v>
      </c>
      <c r="D637" cm="1">
        <f t="array" ref="D637">(PRODUCT(1+sp500_monthly!D638:D757)^(1/120)-1)*100</f>
        <v>1.5294117226311021</v>
      </c>
      <c r="E637" cm="1">
        <f t="array" ref="E637">(PRODUCT(1+sp500_monthly!E638:E757)^(1/120)-1)*100</f>
        <v>1.1867881510021938</v>
      </c>
      <c r="F637" cm="1">
        <f t="array" ref="F637">(PRODUCT(1+sp500_monthly!K638:K757)^(1/120)-1)*100</f>
        <v>0.88835841264052195</v>
      </c>
      <c r="G637" cm="1">
        <f t="array" ref="G637">(PRODUCT(1+sp500_monthly!L638:L757)^(1/120)-1)</f>
        <v>0.71353260368306204</v>
      </c>
      <c r="H637" cm="1">
        <f t="array" ref="H637">(PRODUCT(1+sp500_monthly!N638:N757)^(1/120)-1)*100</f>
        <v>0.78587647594663412</v>
      </c>
      <c r="I637" cm="1">
        <f t="array" ref="I637">(PRODUCT(1+sp500_monthly!O638:O757)^(1/120)-1)*100</f>
        <v>0.24507305414160907</v>
      </c>
    </row>
    <row r="638" spans="1:9" x14ac:dyDescent="0.35">
      <c r="A638" s="1">
        <v>28853</v>
      </c>
      <c r="B638" cm="1">
        <f t="array" ref="B638">(PRODUCT(1+sp500_monthly!B639:B758)^(1/120)-1)*100</f>
        <v>1.2739795089755646</v>
      </c>
      <c r="C638" cm="1">
        <f t="array" ref="C638">(PRODUCT(1+sp500_monthly!C639:C758)^(1/120)-1)*100</f>
        <v>0.88712662500229911</v>
      </c>
      <c r="D638" cm="1">
        <f t="array" ref="D638">(PRODUCT(1+sp500_monthly!D639:D758)^(1/120)-1)*100</f>
        <v>1.5448796413088939</v>
      </c>
      <c r="E638" cm="1">
        <f t="array" ref="E638">(PRODUCT(1+sp500_monthly!E639:E758)^(1/120)-1)*100</f>
        <v>1.2027540843179585</v>
      </c>
      <c r="F638" cm="1">
        <f t="array" ref="F638">(PRODUCT(1+sp500_monthly!K639:K758)^(1/120)-1)*100</f>
        <v>0.88819188743707311</v>
      </c>
      <c r="G638" cm="1">
        <f t="array" ref="G638">(PRODUCT(1+sp500_monthly!L639:L758)^(1/120)-1)</f>
        <v>0.7122759978815385</v>
      </c>
      <c r="H638" cm="1">
        <f t="array" ref="H638">(PRODUCT(1+sp500_monthly!N639:N758)^(1/120)-1)*100</f>
        <v>0.78964059586643653</v>
      </c>
      <c r="I638" cm="1">
        <f t="array" ref="I638">(PRODUCT(1+sp500_monthly!O639:O758)^(1/120)-1)*100</f>
        <v>0.24599149723920632</v>
      </c>
    </row>
    <row r="639" spans="1:9" x14ac:dyDescent="0.35">
      <c r="A639" s="1">
        <v>28886</v>
      </c>
      <c r="B639" cm="1">
        <f t="array" ref="B639">(PRODUCT(1+sp500_monthly!B640:B759)^(1/120)-1)*100</f>
        <v>1.2976112121029892</v>
      </c>
      <c r="C639" cm="1">
        <f t="array" ref="C639">(PRODUCT(1+sp500_monthly!C640:C759)^(1/120)-1)*100</f>
        <v>0.91061932159579584</v>
      </c>
      <c r="D639" cm="1">
        <f t="array" ref="D639">(PRODUCT(1+sp500_monthly!D640:D759)^(1/120)-1)*100</f>
        <v>1.5467612143307496</v>
      </c>
      <c r="E639" cm="1">
        <f t="array" ref="E639">(PRODUCT(1+sp500_monthly!E640:E759)^(1/120)-1)*100</f>
        <v>1.2046400713515482</v>
      </c>
      <c r="F639" cm="1">
        <f t="array" ref="F639">(PRODUCT(1+sp500_monthly!K640:K759)^(1/120)-1)*100</f>
        <v>0.91318474348256462</v>
      </c>
      <c r="G639" cm="1">
        <f t="array" ref="G639">(PRODUCT(1+sp500_monthly!L640:L759)^(1/120)-1)</f>
        <v>0.71038320171290192</v>
      </c>
      <c r="H639" cm="1">
        <f t="array" ref="H639">(PRODUCT(1+sp500_monthly!N640:N759)^(1/120)-1)*100</f>
        <v>0.81707743159662449</v>
      </c>
      <c r="I639" cm="1">
        <f t="array" ref="I639">(PRODUCT(1+sp500_monthly!O640:O759)^(1/120)-1)*100</f>
        <v>0.24806175631004734</v>
      </c>
    </row>
    <row r="640" spans="1:9" x14ac:dyDescent="0.35">
      <c r="A640" s="1">
        <v>28914</v>
      </c>
      <c r="B640" cm="1">
        <f t="array" ref="B640">(PRODUCT(1+sp500_monthly!B641:B760)^(1/120)-1)*100</f>
        <v>1.3007496207996017</v>
      </c>
      <c r="C640" cm="1">
        <f t="array" ref="C640">(PRODUCT(1+sp500_monthly!C641:C760)^(1/120)-1)*100</f>
        <v>0.91737790228858529</v>
      </c>
      <c r="D640" cm="1">
        <f t="array" ref="D640">(PRODUCT(1+sp500_monthly!D641:D760)^(1/120)-1)*100</f>
        <v>1.5635413489779593</v>
      </c>
      <c r="E640" cm="1">
        <f t="array" ref="E640">(PRODUCT(1+sp500_monthly!E641:E760)^(1/120)-1)*100</f>
        <v>1.2237283298918156</v>
      </c>
      <c r="F640" cm="1">
        <f t="array" ref="F640">(PRODUCT(1+sp500_monthly!K641:K760)^(1/120)-1)*100</f>
        <v>0.91977680697079567</v>
      </c>
      <c r="G640" cm="1">
        <f t="array" ref="G640">(PRODUCT(1+sp500_monthly!L641:L760)^(1/120)-1)</f>
        <v>0.70935888597547669</v>
      </c>
      <c r="H640" cm="1">
        <f t="array" ref="H640">(PRODUCT(1+sp500_monthly!N641:N760)^(1/120)-1)*100</f>
        <v>0.82597494060265841</v>
      </c>
      <c r="I640" cm="1">
        <f t="array" ref="I640">(PRODUCT(1+sp500_monthly!O641:O760)^(1/120)-1)*100</f>
        <v>0.25280711714614768</v>
      </c>
    </row>
    <row r="641" spans="1:9" x14ac:dyDescent="0.35">
      <c r="A641" s="1">
        <v>28944</v>
      </c>
      <c r="B641" cm="1">
        <f t="array" ref="B641">(PRODUCT(1+sp500_monthly!B642:B761)^(1/120)-1)*100</f>
        <v>1.2728961251107895</v>
      </c>
      <c r="C641" cm="1">
        <f t="array" ref="C641">(PRODUCT(1+sp500_monthly!C642:C761)^(1/120)-1)*100</f>
        <v>0.88951091930062898</v>
      </c>
      <c r="D641" cm="1">
        <f t="array" ref="D641">(PRODUCT(1+sp500_monthly!D642:D761)^(1/120)-1)*100</f>
        <v>1.5207589834334234</v>
      </c>
      <c r="E641" cm="1">
        <f t="array" ref="E641">(PRODUCT(1+sp500_monthly!E642:E761)^(1/120)-1)*100</f>
        <v>1.1817385308834361</v>
      </c>
      <c r="F641" cm="1">
        <f t="array" ref="F641">(PRODUCT(1+sp500_monthly!K642:K761)^(1/120)-1)*100</f>
        <v>0.89195006357909445</v>
      </c>
      <c r="G641" cm="1">
        <f t="array" ref="G641">(PRODUCT(1+sp500_monthly!L642:L761)^(1/120)-1)</f>
        <v>0.70821252977007809</v>
      </c>
      <c r="H641" cm="1">
        <f t="array" ref="H641">(PRODUCT(1+sp500_monthly!N642:N761)^(1/120)-1)*100</f>
        <v>0.80257188177559335</v>
      </c>
      <c r="I641" cm="1">
        <f t="array" ref="I641">(PRODUCT(1+sp500_monthly!O642:O761)^(1/120)-1)*100</f>
        <v>0.25594256694292383</v>
      </c>
    </row>
    <row r="642" spans="1:9" x14ac:dyDescent="0.35">
      <c r="A642" s="1">
        <v>28975</v>
      </c>
      <c r="B642" cm="1">
        <f t="array" ref="B642">(PRODUCT(1+sp500_monthly!B643:B762)^(1/120)-1)*100</f>
        <v>1.3119277060951395</v>
      </c>
      <c r="C642" cm="1">
        <f t="array" ref="C642">(PRODUCT(1+sp500_monthly!C643:C762)^(1/120)-1)*100</f>
        <v>0.92859503439983726</v>
      </c>
      <c r="D642" cm="1">
        <f t="array" ref="D642">(PRODUCT(1+sp500_monthly!D643:D762)^(1/120)-1)*100</f>
        <v>1.5527164697723972</v>
      </c>
      <c r="E642" cm="1">
        <f t="array" ref="E642">(PRODUCT(1+sp500_monthly!E643:E762)^(1/120)-1)*100</f>
        <v>1.2146320091722673</v>
      </c>
      <c r="F642" cm="1">
        <f t="array" ref="F642">(PRODUCT(1+sp500_monthly!K643:K762)^(1/120)-1)*100</f>
        <v>0.93164562992507083</v>
      </c>
      <c r="G642" cm="1">
        <f t="array" ref="G642">(PRODUCT(1+sp500_monthly!L643:L762)^(1/120)-1)</f>
        <v>0.70714575632726406</v>
      </c>
      <c r="H642" cm="1">
        <f t="array" ref="H642">(PRODUCT(1+sp500_monthly!N643:N762)^(1/120)-1)*100</f>
        <v>0.84362939330460129</v>
      </c>
      <c r="I642" cm="1">
        <f t="array" ref="I642">(PRODUCT(1+sp500_monthly!O643:O762)^(1/120)-1)*100</f>
        <v>0.25705875089605534</v>
      </c>
    </row>
    <row r="643" spans="1:9" x14ac:dyDescent="0.35">
      <c r="A643" s="1">
        <v>29006</v>
      </c>
      <c r="B643" cm="1">
        <f t="array" ref="B643">(PRODUCT(1+sp500_monthly!B644:B763)^(1/120)-1)*100</f>
        <v>1.3602007872794974</v>
      </c>
      <c r="C643" cm="1">
        <f t="array" ref="C643">(PRODUCT(1+sp500_monthly!C644:C763)^(1/120)-1)*100</f>
        <v>0.98032762646100835</v>
      </c>
      <c r="D643" cm="1">
        <f t="array" ref="D643">(PRODUCT(1+sp500_monthly!D644:D763)^(1/120)-1)*100</f>
        <v>1.602807369257353</v>
      </c>
      <c r="E643" cm="1">
        <f t="array" ref="E643">(PRODUCT(1+sp500_monthly!E644:E763)^(1/120)-1)*100</f>
        <v>1.2661661195417118</v>
      </c>
      <c r="F643" cm="1">
        <f t="array" ref="F643">(PRODUCT(1+sp500_monthly!K644:K763)^(1/120)-1)*100</f>
        <v>0.98315388822596272</v>
      </c>
      <c r="G643" cm="1">
        <f t="array" ref="G643">(PRODUCT(1+sp500_monthly!L644:L763)^(1/120)-1)</f>
        <v>0.70690932047778809</v>
      </c>
      <c r="H643" cm="1">
        <f t="array" ref="H643">(PRODUCT(1+sp500_monthly!N644:N763)^(1/120)-1)*100</f>
        <v>0.89706497937498408</v>
      </c>
      <c r="I643" cm="1">
        <f t="array" ref="I643">(PRODUCT(1+sp500_monthly!O644:O763)^(1/120)-1)*100</f>
        <v>0.26216186007983477</v>
      </c>
    </row>
    <row r="644" spans="1:9" x14ac:dyDescent="0.35">
      <c r="A644" s="1">
        <v>29035</v>
      </c>
      <c r="B644" cm="1">
        <f t="array" ref="B644">(PRODUCT(1+sp500_monthly!B645:B764)^(1/120)-1)*100</f>
        <v>1.3220635828744554</v>
      </c>
      <c r="C644" cm="1">
        <f t="array" ref="C644">(PRODUCT(1+sp500_monthly!C645:C764)^(1/120)-1)*100</f>
        <v>0.9424106853539671</v>
      </c>
      <c r="D644" cm="1">
        <f t="array" ref="D644">(PRODUCT(1+sp500_monthly!D645:D764)^(1/120)-1)*100</f>
        <v>1.554346563116793</v>
      </c>
      <c r="E644" cm="1">
        <f t="array" ref="E644">(PRODUCT(1+sp500_monthly!E645:E764)^(1/120)-1)*100</f>
        <v>1.2192220058108383</v>
      </c>
      <c r="F644" cm="1">
        <f t="array" ref="F644">(PRODUCT(1+sp500_monthly!K645:K764)^(1/120)-1)*100</f>
        <v>0.94454856014023481</v>
      </c>
      <c r="G644" cm="1">
        <f t="array" ref="G644">(PRODUCT(1+sp500_monthly!L645:L764)^(1/120)-1)</f>
        <v>0.70610109865322035</v>
      </c>
      <c r="H644" cm="1">
        <f t="array" ref="H644">(PRODUCT(1+sp500_monthly!N645:N764)^(1/120)-1)*100</f>
        <v>0.86575371031254456</v>
      </c>
      <c r="I644" cm="1">
        <f t="array" ref="I644">(PRODUCT(1+sp500_monthly!O645:O764)^(1/120)-1)*100</f>
        <v>0.26794490298807094</v>
      </c>
    </row>
    <row r="645" spans="1:9" x14ac:dyDescent="0.35">
      <c r="A645" s="1">
        <v>29067</v>
      </c>
      <c r="B645" cm="1">
        <f t="array" ref="B645">(PRODUCT(1+sp500_monthly!B646:B765)^(1/120)-1)*100</f>
        <v>1.3847737738887256</v>
      </c>
      <c r="C645" cm="1">
        <f t="array" ref="C645">(PRODUCT(1+sp500_monthly!C646:C765)^(1/120)-1)*100</f>
        <v>1.0053759336015711</v>
      </c>
      <c r="D645" cm="1">
        <f t="array" ref="D645">(PRODUCT(1+sp500_monthly!D646:D765)^(1/120)-1)*100</f>
        <v>1.5988899987413152</v>
      </c>
      <c r="E645" cm="1">
        <f t="array" ref="E645">(PRODUCT(1+sp500_monthly!E646:E765)^(1/120)-1)*100</f>
        <v>1.2646430516719764</v>
      </c>
      <c r="F645" cm="1">
        <f t="array" ref="F645">(PRODUCT(1+sp500_monthly!K646:K765)^(1/120)-1)*100</f>
        <v>1.0084777888873742</v>
      </c>
      <c r="G645" cm="1">
        <f t="array" ref="G645">(PRODUCT(1+sp500_monthly!L646:L765)^(1/120)-1)</f>
        <v>0.70552750018442389</v>
      </c>
      <c r="H645" cm="1">
        <f t="array" ref="H645">(PRODUCT(1+sp500_monthly!N646:N765)^(1/120)-1)*100</f>
        <v>0.9347431809516582</v>
      </c>
      <c r="I645" cm="1">
        <f t="array" ref="I645">(PRODUCT(1+sp500_monthly!O646:O765)^(1/120)-1)*100</f>
        <v>0.27388301251225489</v>
      </c>
    </row>
    <row r="646" spans="1:9" x14ac:dyDescent="0.35">
      <c r="A646" s="1">
        <v>29098</v>
      </c>
      <c r="B646" cm="1">
        <f t="array" ref="B646">(PRODUCT(1+sp500_monthly!B647:B766)^(1/120)-1)*100</f>
        <v>1.3506734212486826</v>
      </c>
      <c r="C646" cm="1">
        <f t="array" ref="C646">(PRODUCT(1+sp500_monthly!C647:C766)^(1/120)-1)*100</f>
        <v>0.97469416858961822</v>
      </c>
      <c r="D646" cm="1">
        <f t="array" ref="D646">(PRODUCT(1+sp500_monthly!D647:D766)^(1/120)-1)*100</f>
        <v>1.5644618340071137</v>
      </c>
      <c r="E646" cm="1">
        <f t="array" ref="E646">(PRODUCT(1+sp500_monthly!E647:E766)^(1/120)-1)*100</f>
        <v>1.2325753977887377</v>
      </c>
      <c r="F646" cm="1">
        <f t="array" ref="F646">(PRODUCT(1+sp500_monthly!K647:K766)^(1/120)-1)*100</f>
        <v>0.97791096835568858</v>
      </c>
      <c r="G646" cm="1">
        <f t="array" ref="G646">(PRODUCT(1+sp500_monthly!L647:L766)^(1/120)-1)</f>
        <v>0.70528455893714392</v>
      </c>
      <c r="H646" cm="1">
        <f t="array" ref="H646">(PRODUCT(1+sp500_monthly!N647:N766)^(1/120)-1)*100</f>
        <v>0.90881895006542646</v>
      </c>
      <c r="I646" cm="1">
        <f t="array" ref="I646">(PRODUCT(1+sp500_monthly!O647:O766)^(1/120)-1)*100</f>
        <v>0.28160908365642001</v>
      </c>
    </row>
    <row r="647" spans="1:9" x14ac:dyDescent="0.35">
      <c r="A647" s="1">
        <v>29126</v>
      </c>
      <c r="B647" cm="1">
        <f t="array" ref="B647">(PRODUCT(1+sp500_monthly!B648:B767)^(1/120)-1)*100</f>
        <v>1.3460899103793444</v>
      </c>
      <c r="C647" cm="1">
        <f t="array" ref="C647">(PRODUCT(1+sp500_monthly!C648:C767)^(1/120)-1)*100</f>
        <v>0.96984278570639848</v>
      </c>
      <c r="D647" cm="1">
        <f t="array" ref="D647">(PRODUCT(1+sp500_monthly!D648:D767)^(1/120)-1)*100</f>
        <v>1.5519319005701693</v>
      </c>
      <c r="E647" cm="1">
        <f t="array" ref="E647">(PRODUCT(1+sp500_monthly!E648:E767)^(1/120)-1)*100</f>
        <v>1.2192892671209821</v>
      </c>
      <c r="F647" cm="1">
        <f t="array" ref="F647">(PRODUCT(1+sp500_monthly!K648:K767)^(1/120)-1)*100</f>
        <v>0.97238636061980355</v>
      </c>
      <c r="G647" cm="1">
        <f t="array" ref="G647">(PRODUCT(1+sp500_monthly!L648:L767)^(1/120)-1)</f>
        <v>0.7038138075307232</v>
      </c>
      <c r="H647" cm="1">
        <f t="array" ref="H647">(PRODUCT(1+sp500_monthly!N648:N767)^(1/120)-1)*100</f>
        <v>0.91018069578494565</v>
      </c>
      <c r="I647" cm="1">
        <f t="array" ref="I647">(PRODUCT(1+sp500_monthly!O648:O767)^(1/120)-1)*100</f>
        <v>0.28600454321070501</v>
      </c>
    </row>
    <row r="648" spans="1:9" x14ac:dyDescent="0.35">
      <c r="A648" s="1">
        <v>29159</v>
      </c>
      <c r="B648" cm="1">
        <f t="array" ref="B648">(PRODUCT(1+sp500_monthly!B649:B768)^(1/120)-1)*100</f>
        <v>1.3831597774485616</v>
      </c>
      <c r="C648" cm="1">
        <f t="array" ref="C648">(PRODUCT(1+sp500_monthly!C649:C768)^(1/120)-1)*100</f>
        <v>1.0076918336947349</v>
      </c>
      <c r="D648" cm="1">
        <f t="array" ref="D648">(PRODUCT(1+sp500_monthly!D649:D768)^(1/120)-1)*100</f>
        <v>1.5926449069539883</v>
      </c>
      <c r="E648" cm="1">
        <f t="array" ref="E648">(PRODUCT(1+sp500_monthly!E649:E768)^(1/120)-1)*100</f>
        <v>1.261215666310167</v>
      </c>
      <c r="F648" cm="1">
        <f t="array" ref="F648">(PRODUCT(1+sp500_monthly!K649:K768)^(1/120)-1)*100</f>
        <v>1.0107426021178867</v>
      </c>
      <c r="G648" cm="1">
        <f t="array" ref="G648">(PRODUCT(1+sp500_monthly!L649:L768)^(1/120)-1)</f>
        <v>0.70229319888040198</v>
      </c>
      <c r="H648" cm="1">
        <f t="array" ref="H648">(PRODUCT(1+sp500_monthly!N649:N768)^(1/120)-1)*100</f>
        <v>0.95205372918920617</v>
      </c>
      <c r="I648" cm="1">
        <f t="array" ref="I648">(PRODUCT(1+sp500_monthly!O649:O768)^(1/120)-1)*100</f>
        <v>0.28935893889070474</v>
      </c>
    </row>
    <row r="649" spans="1:9" x14ac:dyDescent="0.35">
      <c r="A649" s="1">
        <v>29189</v>
      </c>
      <c r="B649" cm="1">
        <f t="array" ref="B649">(PRODUCT(1+sp500_monthly!B650:B769)^(1/120)-1)*100</f>
        <v>1.3568379508215545</v>
      </c>
      <c r="C649" cm="1">
        <f t="array" ref="C649">(PRODUCT(1+sp500_monthly!C650:C769)^(1/120)-1)*100</f>
        <v>0.98568846636897245</v>
      </c>
      <c r="D649" cm="1">
        <f t="array" ref="D649">(PRODUCT(1+sp500_monthly!D650:D769)^(1/120)-1)*100</f>
        <v>1.5490403927232332</v>
      </c>
      <c r="E649" cm="1">
        <f t="array" ref="E649">(PRODUCT(1+sp500_monthly!E650:E769)^(1/120)-1)*100</f>
        <v>1.2204501876804441</v>
      </c>
      <c r="F649" cm="1">
        <f t="array" ref="F649">(PRODUCT(1+sp500_monthly!K650:K769)^(1/120)-1)*100</f>
        <v>0.98941902350659916</v>
      </c>
      <c r="G649" cm="1">
        <f t="array" ref="G649">(PRODUCT(1+sp500_monthly!L650:L769)^(1/120)-1)</f>
        <v>0.69997673384584402</v>
      </c>
      <c r="H649" cm="1">
        <f t="array" ref="H649">(PRODUCT(1+sp500_monthly!N650:N769)^(1/120)-1)*100</f>
        <v>0.93139725558972764</v>
      </c>
      <c r="I649" cm="1">
        <f t="array" ref="I649">(PRODUCT(1+sp500_monthly!O650:O769)^(1/120)-1)*100</f>
        <v>0.29239088612607045</v>
      </c>
    </row>
    <row r="650" spans="1:9" x14ac:dyDescent="0.35">
      <c r="A650" s="1">
        <v>29220</v>
      </c>
      <c r="B650" cm="1">
        <f t="array" ref="B650">(PRODUCT(1+sp500_monthly!B651:B770)^(1/120)-1)*100</f>
        <v>1.3604110888070453</v>
      </c>
      <c r="C650" cm="1">
        <f t="array" ref="C650">(PRODUCT(1+sp500_monthly!C651:C770)^(1/120)-1)*100</f>
        <v>0.98907475692600055</v>
      </c>
      <c r="D650" cm="1">
        <f t="array" ref="D650">(PRODUCT(1+sp500_monthly!D651:D770)^(1/120)-1)*100</f>
        <v>1.5283861871298043</v>
      </c>
      <c r="E650" cm="1">
        <f t="array" ref="E650">(PRODUCT(1+sp500_monthly!E651:E770)^(1/120)-1)*100</f>
        <v>1.2009945360736296</v>
      </c>
      <c r="F650" cm="1">
        <f t="array" ref="F650">(PRODUCT(1+sp500_monthly!K651:K770)^(1/120)-1)*100</f>
        <v>0.99325912938370564</v>
      </c>
      <c r="G650" cm="1">
        <f t="array" ref="G650">(PRODUCT(1+sp500_monthly!L651:L770)^(1/120)-1)</f>
        <v>0.69726467140250481</v>
      </c>
      <c r="H650" cm="1">
        <f t="array" ref="H650">(PRODUCT(1+sp500_monthly!N651:N770)^(1/120)-1)*100</f>
        <v>0.94218970329074114</v>
      </c>
      <c r="I650" cm="1">
        <f t="array" ref="I650">(PRODUCT(1+sp500_monthly!O651:O770)^(1/120)-1)*100</f>
        <v>0.2967593496229437</v>
      </c>
    </row>
    <row r="651" spans="1:9" x14ac:dyDescent="0.35">
      <c r="A651" s="1">
        <v>29251</v>
      </c>
      <c r="B651" cm="1">
        <f t="array" ref="B651">(PRODUCT(1+sp500_monthly!B652:B771)^(1/120)-1)*100</f>
        <v>1.251033922665834</v>
      </c>
      <c r="C651" cm="1">
        <f t="array" ref="C651">(PRODUCT(1+sp500_monthly!C652:C771)^(1/120)-1)*100</f>
        <v>0.8804042652378552</v>
      </c>
      <c r="D651" cm="1">
        <f t="array" ref="D651">(PRODUCT(1+sp500_monthly!D652:D771)^(1/120)-1)*100</f>
        <v>1.4158241853134301</v>
      </c>
      <c r="E651" cm="1">
        <f t="array" ref="E651">(PRODUCT(1+sp500_monthly!E652:E771)^(1/120)-1)*100</f>
        <v>1.0894267977302974</v>
      </c>
      <c r="F651" cm="1">
        <f t="array" ref="F651">(PRODUCT(1+sp500_monthly!K652:K771)^(1/120)-1)*100</f>
        <v>0.88615766205299984</v>
      </c>
      <c r="G651" cm="1">
        <f t="array" ref="G651">(PRODUCT(1+sp500_monthly!L652:L771)^(1/120)-1)</f>
        <v>0.69533214886818584</v>
      </c>
      <c r="H651" cm="1">
        <f t="array" ref="H651">(PRODUCT(1+sp500_monthly!N652:N771)^(1/120)-1)*100</f>
        <v>0.83725238750984587</v>
      </c>
      <c r="I651" cm="1">
        <f t="array" ref="I651">(PRODUCT(1+sp500_monthly!O652:O771)^(1/120)-1)*100</f>
        <v>0.29881734469259236</v>
      </c>
    </row>
    <row r="652" spans="1:9" x14ac:dyDescent="0.35">
      <c r="A652" s="1">
        <v>29280</v>
      </c>
      <c r="B652" cm="1">
        <f t="array" ref="B652">(PRODUCT(1+sp500_monthly!B653:B772)^(1/120)-1)*100</f>
        <v>1.2600496045960252</v>
      </c>
      <c r="C652" cm="1">
        <f t="array" ref="C652">(PRODUCT(1+sp500_monthly!C653:C772)^(1/120)-1)*100</f>
        <v>0.89262453005154452</v>
      </c>
      <c r="D652" cm="1">
        <f t="array" ref="D652">(PRODUCT(1+sp500_monthly!D653:D772)^(1/120)-1)*100</f>
        <v>1.4547658137741726</v>
      </c>
      <c r="E652" cm="1">
        <f t="array" ref="E652">(PRODUCT(1+sp500_monthly!E653:E772)^(1/120)-1)*100</f>
        <v>1.1305067900970078</v>
      </c>
      <c r="F652" cm="1">
        <f t="array" ref="F652">(PRODUCT(1+sp500_monthly!K653:K772)^(1/120)-1)*100</f>
        <v>0.89699709096555669</v>
      </c>
      <c r="G652" cm="1">
        <f t="array" ref="G652">(PRODUCT(1+sp500_monthly!L653:L772)^(1/120)-1)</f>
        <v>0.69271345539737683</v>
      </c>
      <c r="H652" cm="1">
        <f t="array" ref="H652">(PRODUCT(1+sp500_monthly!N653:N772)^(1/120)-1)*100</f>
        <v>0.85364800406260155</v>
      </c>
      <c r="I652" cm="1">
        <f t="array" ref="I652">(PRODUCT(1+sp500_monthly!O653:O772)^(1/120)-1)*100</f>
        <v>0.3035384496643978</v>
      </c>
    </row>
    <row r="653" spans="1:9" x14ac:dyDescent="0.35">
      <c r="A653" s="1">
        <v>29311</v>
      </c>
      <c r="B653" cm="1">
        <f t="array" ref="B653">(PRODUCT(1+sp500_monthly!B654:B773)^(1/120)-1)*100</f>
        <v>1.3688336249766841</v>
      </c>
      <c r="C653" cm="1">
        <f t="array" ref="C653">(PRODUCT(1+sp500_monthly!C654:C773)^(1/120)-1)*100</f>
        <v>1.0015928983537536</v>
      </c>
      <c r="D653" cm="1">
        <f t="array" ref="D653">(PRODUCT(1+sp500_monthly!D654:D773)^(1/120)-1)*100</f>
        <v>1.5757265719839486</v>
      </c>
      <c r="E653" cm="1">
        <f t="array" ref="E653">(PRODUCT(1+sp500_monthly!E654:E773)^(1/120)-1)*100</f>
        <v>1.2531565249723986</v>
      </c>
      <c r="F653" cm="1">
        <f t="array" ref="F653">(PRODUCT(1+sp500_monthly!K654:K773)^(1/120)-1)*100</f>
        <v>1.0074745552052455</v>
      </c>
      <c r="G653" cm="1">
        <f t="array" ref="G653">(PRODUCT(1+sp500_monthly!L654:L773)^(1/120)-1)</f>
        <v>0.68851092991698049</v>
      </c>
      <c r="H653" cm="1">
        <f t="array" ref="H653">(PRODUCT(1+sp500_monthly!N654:N773)^(1/120)-1)*100</f>
        <v>0.96969529464452364</v>
      </c>
      <c r="I653" cm="1">
        <f t="array" ref="I653">(PRODUCT(1+sp500_monthly!O654:O773)^(1/120)-1)*100</f>
        <v>0.30646708866184369</v>
      </c>
    </row>
    <row r="654" spans="1:9" x14ac:dyDescent="0.35">
      <c r="A654" s="1">
        <v>29341</v>
      </c>
      <c r="B654" cm="1">
        <f t="array" ref="B654">(PRODUCT(1+sp500_monthly!B655:B774)^(1/120)-1)*100</f>
        <v>1.3128181518400117</v>
      </c>
      <c r="C654" cm="1">
        <f t="array" ref="C654">(PRODUCT(1+sp500_monthly!C655:C774)^(1/120)-1)*100</f>
        <v>0.94608412329160174</v>
      </c>
      <c r="D654" cm="1">
        <f t="array" ref="D654">(PRODUCT(1+sp500_monthly!D655:D774)^(1/120)-1)*100</f>
        <v>1.5026538400498612</v>
      </c>
      <c r="E654" cm="1">
        <f t="array" ref="E654">(PRODUCT(1+sp500_monthly!E655:E774)^(1/120)-1)*100</f>
        <v>1.181207319257993</v>
      </c>
      <c r="F654" cm="1">
        <f t="array" ref="F654">(PRODUCT(1+sp500_monthly!K655:K774)^(1/120)-1)*100</f>
        <v>0.95061381690755287</v>
      </c>
      <c r="G654" cm="1">
        <f t="array" ref="G654">(PRODUCT(1+sp500_monthly!L655:L774)^(1/120)-1)</f>
        <v>0.68442635707848631</v>
      </c>
      <c r="H654" cm="1">
        <f t="array" ref="H654">(PRODUCT(1+sp500_monthly!N655:N774)^(1/120)-1)*100</f>
        <v>0.9202984179583984</v>
      </c>
      <c r="I654" cm="1">
        <f t="array" ref="I654">(PRODUCT(1+sp500_monthly!O655:O774)^(1/120)-1)*100</f>
        <v>0.30810786113302235</v>
      </c>
    </row>
    <row r="655" spans="1:9" x14ac:dyDescent="0.35">
      <c r="A655" s="1">
        <v>29371</v>
      </c>
      <c r="B655" cm="1">
        <f t="array" ref="B655">(PRODUCT(1+sp500_monthly!B656:B775)^(1/120)-1)*100</f>
        <v>1.3456569539580521</v>
      </c>
      <c r="C655" cm="1">
        <f t="array" ref="C655">(PRODUCT(1+sp500_monthly!C656:C775)^(1/120)-1)*100</f>
        <v>0.98208529964671776</v>
      </c>
      <c r="D655" cm="1">
        <f t="array" ref="D655">(PRODUCT(1+sp500_monthly!D656:D775)^(1/120)-1)*100</f>
        <v>1.5141732143805653</v>
      </c>
      <c r="E655" cm="1">
        <f t="array" ref="E655">(PRODUCT(1+sp500_monthly!E656:E775)^(1/120)-1)*100</f>
        <v>1.1948616408436807</v>
      </c>
      <c r="F655" cm="1">
        <f t="array" ref="F655">(PRODUCT(1+sp500_monthly!K656:K775)^(1/120)-1)*100</f>
        <v>0.98635808944333991</v>
      </c>
      <c r="G655" cm="1">
        <f t="array" ref="G655">(PRODUCT(1+sp500_monthly!L656:L775)^(1/120)-1)</f>
        <v>0.683380469941687</v>
      </c>
      <c r="H655" cm="1">
        <f t="array" ref="H655">(PRODUCT(1+sp500_monthly!N656:N775)^(1/120)-1)*100</f>
        <v>0.9599842261527769</v>
      </c>
      <c r="I655" cm="1">
        <f t="array" ref="I655">(PRODUCT(1+sp500_monthly!O656:O775)^(1/120)-1)*100</f>
        <v>0.31395883910907418</v>
      </c>
    </row>
    <row r="656" spans="1:9" x14ac:dyDescent="0.35">
      <c r="A656" s="1">
        <v>29402</v>
      </c>
      <c r="B656" cm="1">
        <f t="array" ref="B656">(PRODUCT(1+sp500_monthly!B657:B776)^(1/120)-1)*100</f>
        <v>1.3152022840854372</v>
      </c>
      <c r="C656" cm="1">
        <f t="array" ref="C656">(PRODUCT(1+sp500_monthly!C657:C776)^(1/120)-1)*100</f>
        <v>0.9522152483339319</v>
      </c>
      <c r="D656" cm="1">
        <f t="array" ref="D656">(PRODUCT(1+sp500_monthly!D657:D776)^(1/120)-1)*100</f>
        <v>1.4745494237181189</v>
      </c>
      <c r="E656" cm="1">
        <f t="array" ref="E656">(PRODUCT(1+sp500_monthly!E657:E776)^(1/120)-1)*100</f>
        <v>1.1568656972095193</v>
      </c>
      <c r="F656" cm="1">
        <f t="array" ref="F656">(PRODUCT(1+sp500_monthly!K657:K776)^(1/120)-1)*100</f>
        <v>0.95645586064900812</v>
      </c>
      <c r="G656" cm="1">
        <f t="array" ref="G656">(PRODUCT(1+sp500_monthly!L657:L776)^(1/120)-1)</f>
        <v>0.68355366834193321</v>
      </c>
      <c r="H656" cm="1">
        <f t="array" ref="H656">(PRODUCT(1+sp500_monthly!N657:N776)^(1/120)-1)*100</f>
        <v>0.93264534915435959</v>
      </c>
      <c r="I656" cm="1">
        <f t="array" ref="I656">(PRODUCT(1+sp500_monthly!O657:O776)^(1/120)-1)*100</f>
        <v>0.31710660116390788</v>
      </c>
    </row>
    <row r="657" spans="1:9" x14ac:dyDescent="0.35">
      <c r="A657" s="1">
        <v>29433</v>
      </c>
      <c r="B657" cm="1">
        <f t="array" ref="B657">(PRODUCT(1+sp500_monthly!B658:B777)^(1/120)-1)*100</f>
        <v>1.2557486084759706</v>
      </c>
      <c r="C657" cm="1">
        <f t="array" ref="C657">(PRODUCT(1+sp500_monthly!C658:C777)^(1/120)-1)*100</f>
        <v>0.89326338239859027</v>
      </c>
      <c r="D657" cm="1">
        <f t="array" ref="D657">(PRODUCT(1+sp500_monthly!D658:D777)^(1/120)-1)*100</f>
        <v>1.379385367029129</v>
      </c>
      <c r="E657" cm="1">
        <f t="array" ref="E657">(PRODUCT(1+sp500_monthly!E658:E777)^(1/120)-1)*100</f>
        <v>1.0625987441541529</v>
      </c>
      <c r="F657" cm="1">
        <f t="array" ref="F657">(PRODUCT(1+sp500_monthly!K658:K777)^(1/120)-1)*100</f>
        <v>0.89905479453651349</v>
      </c>
      <c r="G657" cm="1">
        <f t="array" ref="G657">(PRODUCT(1+sp500_monthly!L658:L777)^(1/120)-1)</f>
        <v>0.68486631428673772</v>
      </c>
      <c r="H657" cm="1">
        <f t="array" ref="H657">(PRODUCT(1+sp500_monthly!N658:N777)^(1/120)-1)*100</f>
        <v>0.87056071800677426</v>
      </c>
      <c r="I657" cm="1">
        <f t="array" ref="I657">(PRODUCT(1+sp500_monthly!O658:O777)^(1/120)-1)*100</f>
        <v>0.31551329723438215</v>
      </c>
    </row>
    <row r="658" spans="1:9" x14ac:dyDescent="0.35">
      <c r="A658" s="1">
        <v>29462</v>
      </c>
      <c r="B658" cm="1">
        <f t="array" ref="B658">(PRODUCT(1+sp500_monthly!B659:B778)^(1/120)-1)*100</f>
        <v>1.1641910519583965</v>
      </c>
      <c r="C658" cm="1">
        <f t="array" ref="C658">(PRODUCT(1+sp500_monthly!C659:C778)^(1/120)-1)*100</f>
        <v>0.80441688622450158</v>
      </c>
      <c r="D658" cm="1">
        <f t="array" ref="D658">(PRODUCT(1+sp500_monthly!D659:D778)^(1/120)-1)*100</f>
        <v>1.2563261288746297</v>
      </c>
      <c r="E658" cm="1">
        <f t="array" ref="E658">(PRODUCT(1+sp500_monthly!E659:E778)^(1/120)-1)*100</f>
        <v>0.94104401243773061</v>
      </c>
      <c r="F658" cm="1">
        <f t="array" ref="F658">(PRODUCT(1+sp500_monthly!K659:K778)^(1/120)-1)*100</f>
        <v>0.81090699743826544</v>
      </c>
      <c r="G658" cm="1">
        <f t="array" ref="G658">(PRODUCT(1+sp500_monthly!L659:L778)^(1/120)-1)</f>
        <v>0.68503651348298611</v>
      </c>
      <c r="H658" cm="1">
        <f t="array" ref="H658">(PRODUCT(1+sp500_monthly!N659:N778)^(1/120)-1)*100</f>
        <v>0.77838051515848328</v>
      </c>
      <c r="I658" cm="1">
        <f t="array" ref="I658">(PRODUCT(1+sp500_monthly!O659:O778)^(1/120)-1)*100</f>
        <v>0.31471293608695827</v>
      </c>
    </row>
    <row r="659" spans="1:9" x14ac:dyDescent="0.35">
      <c r="A659" s="1">
        <v>29494</v>
      </c>
      <c r="B659" cm="1">
        <f t="array" ref="B659">(PRODUCT(1+sp500_monthly!B660:B779)^(1/120)-1)*100</f>
        <v>1.0986662821176552</v>
      </c>
      <c r="C659" cm="1">
        <f t="array" ref="C659">(PRODUCT(1+sp500_monthly!C660:C779)^(1/120)-1)*100</f>
        <v>0.7394065995258936</v>
      </c>
      <c r="D659" cm="1">
        <f t="array" ref="D659">(PRODUCT(1+sp500_monthly!D660:D779)^(1/120)-1)*100</f>
        <v>1.1680406584644976</v>
      </c>
      <c r="E659" cm="1">
        <f t="array" ref="E659">(PRODUCT(1+sp500_monthly!E660:E779)^(1/120)-1)*100</f>
        <v>0.85416891537288819</v>
      </c>
      <c r="F659" cm="1">
        <f t="array" ref="F659">(PRODUCT(1+sp500_monthly!K660:K779)^(1/120)-1)*100</f>
        <v>0.74590753962198164</v>
      </c>
      <c r="G659" cm="1">
        <f t="array" ref="G659">(PRODUCT(1+sp500_monthly!L660:L779)^(1/120)-1)</f>
        <v>0.68377865187813058</v>
      </c>
      <c r="H659" cm="1">
        <f t="array" ref="H659">(PRODUCT(1+sp500_monthly!N660:N779)^(1/120)-1)*100</f>
        <v>0.71441713141542351</v>
      </c>
      <c r="I659" cm="1">
        <f t="array" ref="I659">(PRODUCT(1+sp500_monthly!O660:O779)^(1/120)-1)*100</f>
        <v>0.31477370671648686</v>
      </c>
    </row>
    <row r="660" spans="1:9" x14ac:dyDescent="0.35">
      <c r="A660" s="1">
        <v>29525</v>
      </c>
      <c r="B660" cm="1">
        <f t="array" ref="B660">(PRODUCT(1+sp500_monthly!B661:B780)^(1/120)-1)*100</f>
        <v>1.0807601243768339</v>
      </c>
      <c r="C660" cm="1">
        <f t="array" ref="C660">(PRODUCT(1+sp500_monthly!C661:C780)^(1/120)-1)*100</f>
        <v>0.72197755789469298</v>
      </c>
      <c r="D660" cm="1">
        <f t="array" ref="D660">(PRODUCT(1+sp500_monthly!D661:D780)^(1/120)-1)*100</f>
        <v>1.129268027692687</v>
      </c>
      <c r="E660" cm="1">
        <f t="array" ref="E660">(PRODUCT(1+sp500_monthly!E661:E780)^(1/120)-1)*100</f>
        <v>0.81624049201627358</v>
      </c>
      <c r="F660" cm="1">
        <f t="array" ref="F660">(PRODUCT(1+sp500_monthly!K661:K780)^(1/120)-1)*100</f>
        <v>0.72692330005854622</v>
      </c>
      <c r="G660" cm="1">
        <f t="array" ref="G660">(PRODUCT(1+sp500_monthly!L661:L780)^(1/120)-1)</f>
        <v>0.68168875887714897</v>
      </c>
      <c r="H660" cm="1">
        <f t="array" ref="H660">(PRODUCT(1+sp500_monthly!N661:N780)^(1/120)-1)*100</f>
        <v>0.6988619315660527</v>
      </c>
      <c r="I660" cm="1">
        <f t="array" ref="I660">(PRODUCT(1+sp500_monthly!O661:O780)^(1/120)-1)*100</f>
        <v>0.31480908911261096</v>
      </c>
    </row>
    <row r="661" spans="1:9" x14ac:dyDescent="0.35">
      <c r="A661" s="1">
        <v>29553</v>
      </c>
      <c r="B661" cm="1">
        <f t="array" ref="B661">(PRODUCT(1+sp500_monthly!B662:B781)^(1/120)-1)*100</f>
        <v>1.0456268333636443</v>
      </c>
      <c r="C661" cm="1">
        <f t="array" ref="C661">(PRODUCT(1+sp500_monthly!C662:C781)^(1/120)-1)*100</f>
        <v>0.68851353587189301</v>
      </c>
      <c r="D661" cm="1">
        <f t="array" ref="D661">(PRODUCT(1+sp500_monthly!D662:D781)^(1/120)-1)*100</f>
        <v>1.1507065553558959</v>
      </c>
      <c r="E661" cm="1">
        <f t="array" ref="E661">(PRODUCT(1+sp500_monthly!E662:E781)^(1/120)-1)*100</f>
        <v>0.83845764571024439</v>
      </c>
      <c r="F661" cm="1">
        <f t="array" ref="F661">(PRODUCT(1+sp500_monthly!K662:K781)^(1/120)-1)*100</f>
        <v>0.69397242342381649</v>
      </c>
      <c r="G661" cm="1">
        <f t="array" ref="G661">(PRODUCT(1+sp500_monthly!L662:L781)^(1/120)-1)</f>
        <v>0.67858234518461202</v>
      </c>
      <c r="H661" cm="1">
        <f t="array" ref="H661">(PRODUCT(1+sp500_monthly!N662:N781)^(1/120)-1)*100</f>
        <v>0.67084377672068651</v>
      </c>
      <c r="I661" cm="1">
        <f t="array" ref="I661">(PRODUCT(1+sp500_monthly!O662:O781)^(1/120)-1)*100</f>
        <v>0.31853161882078318</v>
      </c>
    </row>
    <row r="662" spans="1:9" x14ac:dyDescent="0.35">
      <c r="A662" s="1">
        <v>29586</v>
      </c>
      <c r="B662" cm="1">
        <f t="array" ref="B662">(PRODUCT(1+sp500_monthly!B663:B782)^(1/120)-1)*100</f>
        <v>1.0950801777257047</v>
      </c>
      <c r="C662" cm="1">
        <f t="array" ref="C662">(PRODUCT(1+sp500_monthly!C663:C782)^(1/120)-1)*100</f>
        <v>0.73736830982813473</v>
      </c>
      <c r="D662" cm="1">
        <f t="array" ref="D662">(PRODUCT(1+sp500_monthly!D663:D782)^(1/120)-1)*100</f>
        <v>1.1947144113852115</v>
      </c>
      <c r="E662" cm="1">
        <f t="array" ref="E662">(PRODUCT(1+sp500_monthly!E663:E782)^(1/120)-1)*100</f>
        <v>0.88319175685165341</v>
      </c>
      <c r="F662" cm="1">
        <f t="array" ref="F662">(PRODUCT(1+sp500_monthly!K663:K782)^(1/120)-1)*100</f>
        <v>0.74348055474442454</v>
      </c>
      <c r="G662" cm="1">
        <f t="array" ref="G662">(PRODUCT(1+sp500_monthly!L663:L782)^(1/120)-1)</f>
        <v>0.67345312184600248</v>
      </c>
      <c r="H662" cm="1">
        <f t="array" ref="H662">(PRODUCT(1+sp500_monthly!N663:N782)^(1/120)-1)*100</f>
        <v>0.7247886048064478</v>
      </c>
      <c r="I662" cm="1">
        <f t="array" ref="I662">(PRODUCT(1+sp500_monthly!O663:O782)^(1/120)-1)*100</f>
        <v>0.31730839797516897</v>
      </c>
    </row>
    <row r="663" spans="1:9" x14ac:dyDescent="0.35">
      <c r="A663" s="1">
        <v>29616</v>
      </c>
      <c r="B663" cm="1">
        <f t="array" ref="B663">(PRODUCT(1+sp500_monthly!B664:B783)^(1/120)-1)*100</f>
        <v>1.169544257826427</v>
      </c>
      <c r="C663" cm="1">
        <f t="array" ref="C663">(PRODUCT(1+sp500_monthly!C664:C783)^(1/120)-1)*100</f>
        <v>0.81147379518913265</v>
      </c>
      <c r="D663" cm="1">
        <f t="array" ref="D663">(PRODUCT(1+sp500_monthly!D664:D783)^(1/120)-1)*100</f>
        <v>1.2708923590836863</v>
      </c>
      <c r="E663" cm="1">
        <f t="array" ref="E663">(PRODUCT(1+sp500_monthly!E664:E783)^(1/120)-1)*100</f>
        <v>0.95957152846279925</v>
      </c>
      <c r="F663" cm="1">
        <f t="array" ref="F663">(PRODUCT(1+sp500_monthly!K664:K783)^(1/120)-1)*100</f>
        <v>0.81696652434626316</v>
      </c>
      <c r="G663" cm="1">
        <f t="array" ref="G663">(PRODUCT(1+sp500_monthly!L664:L783)^(1/120)-1)</f>
        <v>0.66935484866776163</v>
      </c>
      <c r="H663" cm="1">
        <f t="array" ref="H663">(PRODUCT(1+sp500_monthly!N664:N783)^(1/120)-1)*100</f>
        <v>0.80359814538313312</v>
      </c>
      <c r="I663" cm="1">
        <f t="array" ref="I663">(PRODUCT(1+sp500_monthly!O664:O783)^(1/120)-1)*100</f>
        <v>0.31759098458956636</v>
      </c>
    </row>
    <row r="664" spans="1:9" x14ac:dyDescent="0.35">
      <c r="A664" s="1">
        <v>29644</v>
      </c>
      <c r="B664" cm="1">
        <f t="array" ref="B664">(PRODUCT(1+sp500_monthly!B665:B784)^(1/120)-1)*100</f>
        <v>1.2100844245495512</v>
      </c>
      <c r="C664" cm="1">
        <f t="array" ref="C664">(PRODUCT(1+sp500_monthly!C665:C784)^(1/120)-1)*100</f>
        <v>0.85499747106931867</v>
      </c>
      <c r="D664" cm="1">
        <f t="array" ref="D664">(PRODUCT(1+sp500_monthly!D665:D784)^(1/120)-1)*100</f>
        <v>1.3164380865425152</v>
      </c>
      <c r="E664" cm="1">
        <f t="array" ref="E664">(PRODUCT(1+sp500_monthly!E665:E784)^(1/120)-1)*100</f>
        <v>1.0068638272703101</v>
      </c>
      <c r="F664" cm="1">
        <f t="array" ref="F664">(PRODUCT(1+sp500_monthly!K665:K784)^(1/120)-1)*100</f>
        <v>0.8606000195902741</v>
      </c>
      <c r="G664" cm="1">
        <f t="array" ref="G664">(PRODUCT(1+sp500_monthly!L665:L784)^(1/120)-1)</f>
        <v>0.66469403862878629</v>
      </c>
      <c r="H664" cm="1">
        <f t="array" ref="H664">(PRODUCT(1+sp500_monthly!N665:N784)^(1/120)-1)*100</f>
        <v>0.85104290389810267</v>
      </c>
      <c r="I664" cm="1">
        <f t="array" ref="I664">(PRODUCT(1+sp500_monthly!O665:O784)^(1/120)-1)*100</f>
        <v>0.31971082229427239</v>
      </c>
    </row>
    <row r="665" spans="1:9" x14ac:dyDescent="0.35">
      <c r="A665" s="1">
        <v>29676</v>
      </c>
      <c r="B665" cm="1">
        <f t="array" ref="B665">(PRODUCT(1+sp500_monthly!B666:B785)^(1/120)-1)*100</f>
        <v>1.1986920628756836</v>
      </c>
      <c r="C665" cm="1">
        <f t="array" ref="C665">(PRODUCT(1+sp500_monthly!C666:C785)^(1/120)-1)*100</f>
        <v>0.84428538412364418</v>
      </c>
      <c r="D665" cm="1">
        <f t="array" ref="D665">(PRODUCT(1+sp500_monthly!D666:D785)^(1/120)-1)*100</f>
        <v>1.2755347775935677</v>
      </c>
      <c r="E665" cm="1">
        <f t="array" ref="E665">(PRODUCT(1+sp500_monthly!E666:E785)^(1/120)-1)*100</f>
        <v>0.96752436268914277</v>
      </c>
      <c r="F665" cm="1">
        <f t="array" ref="F665">(PRODUCT(1+sp500_monthly!K666:K785)^(1/120)-1)*100</f>
        <v>0.84930519410553185</v>
      </c>
      <c r="G665" cm="1">
        <f t="array" ref="G665">(PRODUCT(1+sp500_monthly!L666:L785)^(1/120)-1)</f>
        <v>0.6587623758957466</v>
      </c>
      <c r="H665" cm="1">
        <f t="array" ref="H665">(PRODUCT(1+sp500_monthly!N666:N785)^(1/120)-1)*100</f>
        <v>0.84540120190321755</v>
      </c>
      <c r="I665" cm="1">
        <f t="array" ref="I665">(PRODUCT(1+sp500_monthly!O666:O785)^(1/120)-1)*100</f>
        <v>0.31900692417388132</v>
      </c>
    </row>
    <row r="666" spans="1:9" x14ac:dyDescent="0.35">
      <c r="A666" s="1">
        <v>29706</v>
      </c>
      <c r="B666" cm="1">
        <f t="array" ref="B666">(PRODUCT(1+sp500_monthly!B667:B786)^(1/120)-1)*100</f>
        <v>1.2178233489428925</v>
      </c>
      <c r="C666" cm="1">
        <f t="array" ref="C666">(PRODUCT(1+sp500_monthly!C667:C786)^(1/120)-1)*100</f>
        <v>0.86313313056820551</v>
      </c>
      <c r="D666" cm="1">
        <f t="array" ref="D666">(PRODUCT(1+sp500_monthly!D667:D786)^(1/120)-1)*100</f>
        <v>1.2792250974204666</v>
      </c>
      <c r="E666" cm="1">
        <f t="array" ref="E666">(PRODUCT(1+sp500_monthly!E667:E786)^(1/120)-1)*100</f>
        <v>0.97154161537262862</v>
      </c>
      <c r="F666" cm="1">
        <f t="array" ref="F666">(PRODUCT(1+sp500_monthly!K667:K786)^(1/120)-1)*100</f>
        <v>0.86954550462325919</v>
      </c>
      <c r="G666" cm="1">
        <f t="array" ref="G666">(PRODUCT(1+sp500_monthly!L667:L786)^(1/120)-1)</f>
        <v>0.65452275159641116</v>
      </c>
      <c r="H666" cm="1">
        <f t="array" ref="H666">(PRODUCT(1+sp500_monthly!N667:N786)^(1/120)-1)*100</f>
        <v>0.86732729049097124</v>
      </c>
      <c r="I666" cm="1">
        <f t="array" ref="I666">(PRODUCT(1+sp500_monthly!O667:O786)^(1/120)-1)*100</f>
        <v>0.31729176661290381</v>
      </c>
    </row>
    <row r="667" spans="1:9" x14ac:dyDescent="0.35">
      <c r="A667" s="1">
        <v>29735</v>
      </c>
      <c r="B667" cm="1">
        <f t="array" ref="B667">(PRODUCT(1+sp500_monthly!B668:B787)^(1/120)-1)*100</f>
        <v>1.2477851764058911</v>
      </c>
      <c r="C667" cm="1">
        <f t="array" ref="C667">(PRODUCT(1+sp500_monthly!C668:C787)^(1/120)-1)*100</f>
        <v>0.89604624271608646</v>
      </c>
      <c r="D667" cm="1">
        <f t="array" ref="D667">(PRODUCT(1+sp500_monthly!D668:D787)^(1/120)-1)*100</f>
        <v>1.3097176207633288</v>
      </c>
      <c r="E667" cm="1">
        <f t="array" ref="E667">(PRODUCT(1+sp500_monthly!E668:E787)^(1/120)-1)*100</f>
        <v>1.003565913288651</v>
      </c>
      <c r="F667" cm="1">
        <f t="array" ref="F667">(PRODUCT(1+sp500_monthly!K668:K787)^(1/120)-1)*100</f>
        <v>0.90276217070650588</v>
      </c>
      <c r="G667" cm="1">
        <f t="array" ref="G667">(PRODUCT(1+sp500_monthly!L668:L787)^(1/120)-1)</f>
        <v>0.64928889278985702</v>
      </c>
      <c r="H667" cm="1">
        <f t="array" ref="H667">(PRODUCT(1+sp500_monthly!N668:N787)^(1/120)-1)*100</f>
        <v>0.89972237738376037</v>
      </c>
      <c r="I667" cm="1">
        <f t="array" ref="I667">(PRODUCT(1+sp500_monthly!O668:O787)^(1/120)-1)*100</f>
        <v>0.3141752208616122</v>
      </c>
    </row>
    <row r="668" spans="1:9" x14ac:dyDescent="0.35">
      <c r="A668" s="1">
        <v>29767</v>
      </c>
      <c r="B668" cm="1">
        <f t="array" ref="B668">(PRODUCT(1+sp500_monthly!B669:B788)^(1/120)-1)*100</f>
        <v>1.2156200102084069</v>
      </c>
      <c r="C668" cm="1">
        <f t="array" ref="C668">(PRODUCT(1+sp500_monthly!C669:C788)^(1/120)-1)*100</f>
        <v>0.8645883080042438</v>
      </c>
      <c r="D668" cm="1">
        <f t="array" ref="D668">(PRODUCT(1+sp500_monthly!D669:D788)^(1/120)-1)*100</f>
        <v>1.2740736472666159</v>
      </c>
      <c r="E668" cm="1">
        <f t="array" ref="E668">(PRODUCT(1+sp500_monthly!E669:E788)^(1/120)-1)*100</f>
        <v>0.96962415659831436</v>
      </c>
      <c r="F668" cm="1">
        <f t="array" ref="F668">(PRODUCT(1+sp500_monthly!K669:K788)^(1/120)-1)*100</f>
        <v>0.87029746281492848</v>
      </c>
      <c r="G668" cm="1">
        <f t="array" ref="G668">(PRODUCT(1+sp500_monthly!L669:L788)^(1/120)-1)</f>
        <v>0.64237971170473851</v>
      </c>
      <c r="H668" cm="1">
        <f t="array" ref="H668">(PRODUCT(1+sp500_monthly!N669:N788)^(1/120)-1)*100</f>
        <v>0.87265545564876312</v>
      </c>
      <c r="I668" cm="1">
        <f t="array" ref="I668">(PRODUCT(1+sp500_monthly!O669:O788)^(1/120)-1)*100</f>
        <v>0.3114292323997514</v>
      </c>
    </row>
    <row r="669" spans="1:9" x14ac:dyDescent="0.35">
      <c r="A669" s="1">
        <v>29798</v>
      </c>
      <c r="B669" cm="1">
        <f t="array" ref="B669">(PRODUCT(1+sp500_monthly!B670:B789)^(1/120)-1)*100</f>
        <v>1.2533824714438646</v>
      </c>
      <c r="C669" cm="1">
        <f t="array" ref="C669">(PRODUCT(1+sp500_monthly!C670:C789)^(1/120)-1)*100</f>
        <v>0.9022270411887634</v>
      </c>
      <c r="D669" cm="1">
        <f t="array" ref="D669">(PRODUCT(1+sp500_monthly!D670:D789)^(1/120)-1)*100</f>
        <v>1.3237635037027351</v>
      </c>
      <c r="E669" cm="1">
        <f t="array" ref="E669">(PRODUCT(1+sp500_monthly!E670:E789)^(1/120)-1)*100</f>
        <v>1.0196735110415966</v>
      </c>
      <c r="F669" cm="1">
        <f t="array" ref="F669">(PRODUCT(1+sp500_monthly!K670:K789)^(1/120)-1)*100</f>
        <v>0.90905119877711105</v>
      </c>
      <c r="G669" cm="1">
        <f t="array" ref="G669">(PRODUCT(1+sp500_monthly!L670:L789)^(1/120)-1)</f>
        <v>0.63680919837381778</v>
      </c>
      <c r="H669" cm="1">
        <f t="array" ref="H669">(PRODUCT(1+sp500_monthly!N670:N789)^(1/120)-1)*100</f>
        <v>0.91829550276276706</v>
      </c>
      <c r="I669" cm="1">
        <f t="array" ref="I669">(PRODUCT(1+sp500_monthly!O670:O789)^(1/120)-1)*100</f>
        <v>0.31317123739842412</v>
      </c>
    </row>
    <row r="670" spans="1:9" x14ac:dyDescent="0.35">
      <c r="A670" s="1">
        <v>29829</v>
      </c>
      <c r="B670" cm="1">
        <f t="array" ref="B670">(PRODUCT(1+sp500_monthly!B671:B790)^(1/120)-1)*100</f>
        <v>1.3215372467019204</v>
      </c>
      <c r="C670" cm="1">
        <f t="array" ref="C670">(PRODUCT(1+sp500_monthly!C671:C790)^(1/120)-1)*100</f>
        <v>0.97413868151896565</v>
      </c>
      <c r="D670" cm="1">
        <f t="array" ref="D670">(PRODUCT(1+sp500_monthly!D671:D790)^(1/120)-1)*100</f>
        <v>1.3972437820289896</v>
      </c>
      <c r="E670" cm="1">
        <f t="array" ref="E670">(PRODUCT(1+sp500_monthly!E671:E790)^(1/120)-1)*100</f>
        <v>1.0950313822546187</v>
      </c>
      <c r="F670" cm="1">
        <f t="array" ref="F670">(PRODUCT(1+sp500_monthly!K671:K790)^(1/120)-1)*100</f>
        <v>0.97934985571477284</v>
      </c>
      <c r="G670" cm="1">
        <f t="array" ref="G670">(PRODUCT(1+sp500_monthly!L671:L790)^(1/120)-1)</f>
        <v>0.63074056207500062</v>
      </c>
      <c r="H670" cm="1">
        <f t="array" ref="H670">(PRODUCT(1+sp500_monthly!N671:N790)^(1/120)-1)*100</f>
        <v>0.99017050854797173</v>
      </c>
      <c r="I670" cm="1">
        <f t="array" ref="I670">(PRODUCT(1+sp500_monthly!O671:O790)^(1/120)-1)*100</f>
        <v>0.31029503651225365</v>
      </c>
    </row>
    <row r="671" spans="1:9" x14ac:dyDescent="0.35">
      <c r="A671" s="1">
        <v>29859</v>
      </c>
      <c r="B671" cm="1">
        <f t="array" ref="B671">(PRODUCT(1+sp500_monthly!B672:B791)^(1/120)-1)*100</f>
        <v>1.3509071657954008</v>
      </c>
      <c r="C671" cm="1">
        <f t="array" ref="C671">(PRODUCT(1+sp500_monthly!C672:C791)^(1/120)-1)*100</f>
        <v>1.0042160401753097</v>
      </c>
      <c r="D671" cm="1">
        <f t="array" ref="D671">(PRODUCT(1+sp500_monthly!D672:D791)^(1/120)-1)*100</f>
        <v>1.4254346375738525</v>
      </c>
      <c r="E671" cm="1">
        <f t="array" ref="E671">(PRODUCT(1+sp500_monthly!E672:E791)^(1/120)-1)*100</f>
        <v>1.1252813620555857</v>
      </c>
      <c r="F671" cm="1">
        <f t="array" ref="F671">(PRODUCT(1+sp500_monthly!K672:K791)^(1/120)-1)*100</f>
        <v>1.0096528488319434</v>
      </c>
      <c r="G671" cm="1">
        <f t="array" ref="G671">(PRODUCT(1+sp500_monthly!L672:L791)^(1/120)-1)</f>
        <v>0.62493408023721542</v>
      </c>
      <c r="H671" cm="1">
        <f t="array" ref="H671">(PRODUCT(1+sp500_monthly!N672:N791)^(1/120)-1)*100</f>
        <v>1.0251606166497673</v>
      </c>
      <c r="I671" cm="1">
        <f t="array" ref="I671">(PRODUCT(1+sp500_monthly!O672:O791)^(1/120)-1)*100</f>
        <v>0.30950574611670056</v>
      </c>
    </row>
    <row r="672" spans="1:9" x14ac:dyDescent="0.35">
      <c r="A672" s="1">
        <v>29889</v>
      </c>
      <c r="B672" cm="1">
        <f t="array" ref="B672">(PRODUCT(1+sp500_monthly!B673:B792)^(1/120)-1)*100</f>
        <v>1.3192955305079357</v>
      </c>
      <c r="C672" cm="1">
        <f t="array" ref="C672">(PRODUCT(1+sp500_monthly!C673:C792)^(1/120)-1)*100</f>
        <v>0.97415760455876743</v>
      </c>
      <c r="D672" cm="1">
        <f t="array" ref="D672">(PRODUCT(1+sp500_monthly!D673:D792)^(1/120)-1)*100</f>
        <v>1.3862305901802818</v>
      </c>
      <c r="E672" cm="1">
        <f t="array" ref="E672">(PRODUCT(1+sp500_monthly!E673:E792)^(1/120)-1)*100</f>
        <v>1.0875632441744276</v>
      </c>
      <c r="F672" cm="1">
        <f t="array" ref="F672">(PRODUCT(1+sp500_monthly!K673:K792)^(1/120)-1)*100</f>
        <v>0.97919614155312917</v>
      </c>
      <c r="G672" cm="1">
        <f t="array" ref="G672">(PRODUCT(1+sp500_monthly!L673:L792)^(1/120)-1)</f>
        <v>0.6189553872718474</v>
      </c>
      <c r="H672" cm="1">
        <f t="array" ref="H672">(PRODUCT(1+sp500_monthly!N673:N792)^(1/120)-1)*100</f>
        <v>0.99513046310746311</v>
      </c>
      <c r="I672" cm="1">
        <f t="array" ref="I672">(PRODUCT(1+sp500_monthly!O673:O792)^(1/120)-1)*100</f>
        <v>0.30442536205845805</v>
      </c>
    </row>
    <row r="673" spans="1:9" x14ac:dyDescent="0.35">
      <c r="A673" s="1">
        <v>29920</v>
      </c>
      <c r="B673" cm="1">
        <f t="array" ref="B673">(PRODUCT(1+sp500_monthly!B674:B793)^(1/120)-1)*100</f>
        <v>1.248448559650206</v>
      </c>
      <c r="C673" cm="1">
        <f t="array" ref="C673">(PRODUCT(1+sp500_monthly!C674:C793)^(1/120)-1)*100</f>
        <v>0.90664772889565981</v>
      </c>
      <c r="D673" cm="1">
        <f t="array" ref="D673">(PRODUCT(1+sp500_monthly!D674:D793)^(1/120)-1)*100</f>
        <v>1.3071704528009098</v>
      </c>
      <c r="E673" cm="1">
        <f t="array" ref="E673">(PRODUCT(1+sp500_monthly!E674:E793)^(1/120)-1)*100</f>
        <v>1.0106923218771158</v>
      </c>
      <c r="F673" cm="1">
        <f t="array" ref="F673">(PRODUCT(1+sp500_monthly!K674:K793)^(1/120)-1)*100</f>
        <v>0.91117714509836301</v>
      </c>
      <c r="G673" cm="1">
        <f t="array" ref="G673">(PRODUCT(1+sp500_monthly!L674:L793)^(1/120)-1)</f>
        <v>0.61359145400877568</v>
      </c>
      <c r="H673" cm="1">
        <f t="array" ref="H673">(PRODUCT(1+sp500_monthly!N674:N793)^(1/120)-1)*100</f>
        <v>0.92443435812410435</v>
      </c>
      <c r="I673" cm="1">
        <f t="array" ref="I673">(PRODUCT(1+sp500_monthly!O674:O793)^(1/120)-1)*100</f>
        <v>0.29870743899105268</v>
      </c>
    </row>
    <row r="674" spans="1:9" x14ac:dyDescent="0.35">
      <c r="A674" s="1">
        <v>29951</v>
      </c>
      <c r="B674" cm="1">
        <f t="array" ref="B674">(PRODUCT(1+sp500_monthly!B675:B794)^(1/120)-1)*100</f>
        <v>1.3628132056624054</v>
      </c>
      <c r="C674" cm="1">
        <f t="array" ref="C674">(PRODUCT(1+sp500_monthly!C675:C794)^(1/120)-1)*100</f>
        <v>1.0209767963188732</v>
      </c>
      <c r="D674" cm="1">
        <f t="array" ref="D674">(PRODUCT(1+sp500_monthly!D675:D794)^(1/120)-1)*100</f>
        <v>1.4149531471792987</v>
      </c>
      <c r="E674" cm="1">
        <f t="array" ref="E674">(PRODUCT(1+sp500_monthly!E675:E794)^(1/120)-1)*100</f>
        <v>1.1195787210201313</v>
      </c>
      <c r="F674" cm="1">
        <f t="array" ref="F674">(PRODUCT(1+sp500_monthly!K675:K794)^(1/120)-1)*100</f>
        <v>1.0258825603738364</v>
      </c>
      <c r="G674" cm="1">
        <f t="array" ref="G674">(PRODUCT(1+sp500_monthly!L675:L794)^(1/120)-1)</f>
        <v>0.60951080819851344</v>
      </c>
      <c r="H674" cm="1">
        <f t="array" ref="H674">(PRODUCT(1+sp500_monthly!N675:N794)^(1/120)-1)*100</f>
        <v>1.0386810971259486</v>
      </c>
      <c r="I674" cm="1">
        <f t="array" ref="I674">(PRODUCT(1+sp500_monthly!O675:O794)^(1/120)-1)*100</f>
        <v>0.29488367630432499</v>
      </c>
    </row>
    <row r="675" spans="1:9" x14ac:dyDescent="0.35">
      <c r="A675" s="1">
        <v>29980</v>
      </c>
      <c r="B675" cm="1">
        <f t="array" ref="B675">(PRODUCT(1+sp500_monthly!B676:B795)^(1/120)-1)*100</f>
        <v>1.3602520394680573</v>
      </c>
      <c r="C675" cm="1">
        <f t="array" ref="C675">(PRODUCT(1+sp500_monthly!C676:C795)^(1/120)-1)*100</f>
        <v>1.0185929647727354</v>
      </c>
      <c r="D675" cm="1">
        <f t="array" ref="D675">(PRODUCT(1+sp500_monthly!D676:D795)^(1/120)-1)*100</f>
        <v>1.4465979564425968</v>
      </c>
      <c r="E675" cm="1">
        <f t="array" ref="E675">(PRODUCT(1+sp500_monthly!E676:E795)^(1/120)-1)*100</f>
        <v>1.1518093227644632</v>
      </c>
      <c r="F675" cm="1">
        <f t="array" ref="F675">(PRODUCT(1+sp500_monthly!K676:K795)^(1/120)-1)*100</f>
        <v>1.023861261681791</v>
      </c>
      <c r="G675" cm="1">
        <f t="array" ref="G675">(PRODUCT(1+sp500_monthly!L676:L795)^(1/120)-1)</f>
        <v>0.60555738750574917</v>
      </c>
      <c r="H675" cm="1">
        <f t="array" ref="H675">(PRODUCT(1+sp500_monthly!N676:N795)^(1/120)-1)*100</f>
        <v>1.0381991294869719</v>
      </c>
      <c r="I675" cm="1">
        <f t="array" ref="I675">(PRODUCT(1+sp500_monthly!O676:O795)^(1/120)-1)*100</f>
        <v>0.29311663195497051</v>
      </c>
    </row>
    <row r="676" spans="1:9" x14ac:dyDescent="0.35">
      <c r="A676" s="1">
        <v>30008</v>
      </c>
      <c r="B676" cm="1">
        <f t="array" ref="B676">(PRODUCT(1+sp500_monthly!B677:B796)^(1/120)-1)*100</f>
        <v>1.414782098873979</v>
      </c>
      <c r="C676" cm="1">
        <f t="array" ref="C676">(PRODUCT(1+sp500_monthly!C677:C796)^(1/120)-1)*100</f>
        <v>1.0782409213313526</v>
      </c>
      <c r="D676" cm="1">
        <f t="array" ref="D676">(PRODUCT(1+sp500_monthly!D677:D796)^(1/120)-1)*100</f>
        <v>1.5034594362472564</v>
      </c>
      <c r="E676" cm="1">
        <f t="array" ref="E676">(PRODUCT(1+sp500_monthly!E677:E796)^(1/120)-1)*100</f>
        <v>1.2114631116907137</v>
      </c>
      <c r="F676" cm="1">
        <f t="array" ref="F676">(PRODUCT(1+sp500_monthly!K677:K796)^(1/120)-1)*100</f>
        <v>1.0844753163036014</v>
      </c>
      <c r="G676" cm="1">
        <f t="array" ref="G676">(PRODUCT(1+sp500_monthly!L677:L796)^(1/120)-1)</f>
        <v>0.60014156319333334</v>
      </c>
      <c r="H676" cm="1">
        <f t="array" ref="H676">(PRODUCT(1+sp500_monthly!N677:N796)^(1/120)-1)*100</f>
        <v>1.0934034926692426</v>
      </c>
      <c r="I676" cm="1">
        <f t="array" ref="I676">(PRODUCT(1+sp500_monthly!O677:O796)^(1/120)-1)*100</f>
        <v>0.28864050668997443</v>
      </c>
    </row>
    <row r="677" spans="1:9" x14ac:dyDescent="0.35">
      <c r="A677" s="1">
        <v>30041</v>
      </c>
      <c r="B677" cm="1">
        <f t="array" ref="B677">(PRODUCT(1+sp500_monthly!B678:B797)^(1/120)-1)*100</f>
        <v>1.4039365558615513</v>
      </c>
      <c r="C677" cm="1">
        <f t="array" ref="C677">(PRODUCT(1+sp500_monthly!C678:C797)^(1/120)-1)*100</f>
        <v>1.0684724858875949</v>
      </c>
      <c r="D677" cm="1">
        <f t="array" ref="D677">(PRODUCT(1+sp500_monthly!D678:D797)^(1/120)-1)*100</f>
        <v>1.4888957115536394</v>
      </c>
      <c r="E677" cm="1">
        <f t="array" ref="E677">(PRODUCT(1+sp500_monthly!E678:E797)^(1/120)-1)*100</f>
        <v>1.1991934463398968</v>
      </c>
      <c r="F677" cm="1">
        <f t="array" ref="F677">(PRODUCT(1+sp500_monthly!K678:K797)^(1/120)-1)*100</f>
        <v>1.0744896678285931</v>
      </c>
      <c r="G677" cm="1">
        <f t="array" ref="G677">(PRODUCT(1+sp500_monthly!L678:L797)^(1/120)-1)</f>
        <v>0.59494386629415064</v>
      </c>
      <c r="H677" cm="1">
        <f t="array" ref="H677">(PRODUCT(1+sp500_monthly!N678:N797)^(1/120)-1)*100</f>
        <v>1.0795590337985272</v>
      </c>
      <c r="I677" cm="1">
        <f t="array" ref="I677">(PRODUCT(1+sp500_monthly!O678:O797)^(1/120)-1)*100</f>
        <v>0.28031767167688848</v>
      </c>
    </row>
    <row r="678" spans="1:9" x14ac:dyDescent="0.35">
      <c r="A678" s="1">
        <v>30071</v>
      </c>
      <c r="B678" cm="1">
        <f t="array" ref="B678">(PRODUCT(1+sp500_monthly!B679:B798)^(1/120)-1)*100</f>
        <v>1.3933761196652572</v>
      </c>
      <c r="C678" cm="1">
        <f t="array" ref="C678">(PRODUCT(1+sp500_monthly!C679:C798)^(1/120)-1)*100</f>
        <v>1.0579564402536601</v>
      </c>
      <c r="D678" cm="1">
        <f t="array" ref="D678">(PRODUCT(1+sp500_monthly!D679:D798)^(1/120)-1)*100</f>
        <v>1.4634798360379397</v>
      </c>
      <c r="E678" cm="1">
        <f t="array" ref="E678">(PRODUCT(1+sp500_monthly!E679:E798)^(1/120)-1)*100</f>
        <v>1.1744743328128582</v>
      </c>
      <c r="F678" cm="1">
        <f t="array" ref="F678">(PRODUCT(1+sp500_monthly!K679:K798)^(1/120)-1)*100</f>
        <v>1.0646159317383441</v>
      </c>
      <c r="G678" cm="1">
        <f t="array" ref="G678">(PRODUCT(1+sp500_monthly!L679:L798)^(1/120)-1)</f>
        <v>0.58859681988321988</v>
      </c>
      <c r="H678" cm="1">
        <f t="array" ref="H678">(PRODUCT(1+sp500_monthly!N679:N798)^(1/120)-1)*100</f>
        <v>1.069881776847792</v>
      </c>
      <c r="I678" cm="1">
        <f t="array" ref="I678">(PRODUCT(1+sp500_monthly!O679:O798)^(1/120)-1)*100</f>
        <v>0.27444037353243633</v>
      </c>
    </row>
    <row r="679" spans="1:9" x14ac:dyDescent="0.35">
      <c r="A679" s="1">
        <v>30099</v>
      </c>
      <c r="B679" cm="1">
        <f t="array" ref="B679">(PRODUCT(1+sp500_monthly!B680:B799)^(1/120)-1)*100</f>
        <v>1.4227737330673174</v>
      </c>
      <c r="C679" cm="1">
        <f t="array" ref="C679">(PRODUCT(1+sp500_monthly!C680:C799)^(1/120)-1)*100</f>
        <v>1.0931100912806802</v>
      </c>
      <c r="D679" cm="1">
        <f t="array" ref="D679">(PRODUCT(1+sp500_monthly!D680:D799)^(1/120)-1)*100</f>
        <v>1.5031396970126787</v>
      </c>
      <c r="E679" cm="1">
        <f t="array" ref="E679">(PRODUCT(1+sp500_monthly!E680:E799)^(1/120)-1)*100</f>
        <v>1.2175278714782412</v>
      </c>
      <c r="F679" cm="1">
        <f t="array" ref="F679">(PRODUCT(1+sp500_monthly!K680:K799)^(1/120)-1)*100</f>
        <v>1.0990789401159162</v>
      </c>
      <c r="G679" cm="1">
        <f t="array" ref="G679">(PRODUCT(1+sp500_monthly!L680:L799)^(1/120)-1)</f>
        <v>0.58230989905077601</v>
      </c>
      <c r="H679" cm="1">
        <f t="array" ref="H679">(PRODUCT(1+sp500_monthly!N680:N799)^(1/120)-1)*100</f>
        <v>1.1053185632125651</v>
      </c>
      <c r="I679" cm="1">
        <f t="array" ref="I679">(PRODUCT(1+sp500_monthly!O680:O799)^(1/120)-1)*100</f>
        <v>0.27404863195650275</v>
      </c>
    </row>
    <row r="680" spans="1:9" x14ac:dyDescent="0.35">
      <c r="A680" s="1">
        <v>30132</v>
      </c>
      <c r="B680" cm="1">
        <f t="array" ref="B680">(PRODUCT(1+sp500_monthly!B681:B800)^(1/120)-1)*100</f>
        <v>1.4234166866285758</v>
      </c>
      <c r="C680" cm="1">
        <f t="array" ref="C680">(PRODUCT(1+sp500_monthly!C681:C800)^(1/120)-1)*100</f>
        <v>1.0943019907740936</v>
      </c>
      <c r="D680" cm="1">
        <f t="array" ref="D680">(PRODUCT(1+sp500_monthly!D681:D800)^(1/120)-1)*100</f>
        <v>1.4917958404803366</v>
      </c>
      <c r="E680" cm="1">
        <f t="array" ref="E680">(PRODUCT(1+sp500_monthly!E681:E800)^(1/120)-1)*100</f>
        <v>1.2078609154113629</v>
      </c>
      <c r="F680" cm="1">
        <f t="array" ref="F680">(PRODUCT(1+sp500_monthly!K681:K800)^(1/120)-1)*100</f>
        <v>1.1015956943307925</v>
      </c>
      <c r="G680" cm="1">
        <f t="array" ref="G680">(PRODUCT(1+sp500_monthly!L681:L800)^(1/120)-1)</f>
        <v>0.57710591495854269</v>
      </c>
      <c r="H680" cm="1">
        <f t="array" ref="H680">(PRODUCT(1+sp500_monthly!N681:N800)^(1/120)-1)*100</f>
        <v>1.1131600296460764</v>
      </c>
      <c r="I680" cm="1">
        <f t="array" ref="I680">(PRODUCT(1+sp500_monthly!O681:O800)^(1/120)-1)*100</f>
        <v>0.27587571498941532</v>
      </c>
    </row>
    <row r="681" spans="1:9" x14ac:dyDescent="0.35">
      <c r="A681" s="1">
        <v>30162</v>
      </c>
      <c r="B681" cm="1">
        <f t="array" ref="B681">(PRODUCT(1+sp500_monthly!B682:B801)^(1/120)-1)*100</f>
        <v>1.4745762050152544</v>
      </c>
      <c r="C681" cm="1">
        <f t="array" ref="C681">(PRODUCT(1+sp500_monthly!C682:C801)^(1/120)-1)*100</f>
        <v>1.1457139913493064</v>
      </c>
      <c r="D681" cm="1">
        <f t="array" ref="D681">(PRODUCT(1+sp500_monthly!D682:D801)^(1/120)-1)*100</f>
        <v>1.5384870313162047</v>
      </c>
      <c r="E681" cm="1">
        <f t="array" ref="E681">(PRODUCT(1+sp500_monthly!E682:E801)^(1/120)-1)*100</f>
        <v>1.2552702400822957</v>
      </c>
      <c r="F681" cm="1">
        <f t="array" ref="F681">(PRODUCT(1+sp500_monthly!K682:K801)^(1/120)-1)*100</f>
        <v>1.1537421958558447</v>
      </c>
      <c r="G681" cm="1">
        <f t="array" ref="G681">(PRODUCT(1+sp500_monthly!L682:L801)^(1/120)-1)</f>
        <v>0.57123148289288639</v>
      </c>
      <c r="H681" cm="1">
        <f t="array" ref="H681">(PRODUCT(1+sp500_monthly!N682:N801)^(1/120)-1)*100</f>
        <v>1.1660939246374014</v>
      </c>
      <c r="I681" cm="1">
        <f t="array" ref="I681">(PRODUCT(1+sp500_monthly!O682:O801)^(1/120)-1)*100</f>
        <v>0.27164776467587526</v>
      </c>
    </row>
    <row r="682" spans="1:9" x14ac:dyDescent="0.35">
      <c r="A682" s="1">
        <v>30194</v>
      </c>
      <c r="B682" cm="1">
        <f t="array" ref="B682">(PRODUCT(1+sp500_monthly!B683:B802)^(1/120)-1)*100</f>
        <v>1.3556278602284699</v>
      </c>
      <c r="C682" cm="1">
        <f t="array" ref="C682">(PRODUCT(1+sp500_monthly!C683:C802)^(1/120)-1)*100</f>
        <v>1.0321217139628303</v>
      </c>
      <c r="D682" cm="1">
        <f t="array" ref="D682">(PRODUCT(1+sp500_monthly!D683:D802)^(1/120)-1)*100</f>
        <v>1.4121189899211739</v>
      </c>
      <c r="E682" cm="1">
        <f t="array" ref="E682">(PRODUCT(1+sp500_monthly!E683:E802)^(1/120)-1)*100</f>
        <v>1.1321603827576521</v>
      </c>
      <c r="F682" cm="1">
        <f t="array" ref="F682">(PRODUCT(1+sp500_monthly!K683:K802)^(1/120)-1)*100</f>
        <v>1.0408326307075999</v>
      </c>
      <c r="G682" cm="1">
        <f t="array" ref="G682">(PRODUCT(1+sp500_monthly!L683:L802)^(1/120)-1)</f>
        <v>0.56686166370817737</v>
      </c>
      <c r="H682" cm="1">
        <f t="array" ref="H682">(PRODUCT(1+sp500_monthly!N683:N802)^(1/120)-1)*100</f>
        <v>1.0474366394687795</v>
      </c>
      <c r="I682" cm="1">
        <f t="array" ref="I682">(PRODUCT(1+sp500_monthly!O683:O802)^(1/120)-1)*100</f>
        <v>0.26742105824362206</v>
      </c>
    </row>
    <row r="683" spans="1:9" x14ac:dyDescent="0.35">
      <c r="A683" s="1">
        <v>30224</v>
      </c>
      <c r="B683" cm="1">
        <f t="array" ref="B683">(PRODUCT(1+sp500_monthly!B684:B803)^(1/120)-1)*100</f>
        <v>1.3563330316045841</v>
      </c>
      <c r="C683" cm="1">
        <f t="array" ref="C683">(PRODUCT(1+sp500_monthly!C684:C803)^(1/120)-1)*100</f>
        <v>1.0331228722334274</v>
      </c>
      <c r="D683" cm="1">
        <f t="array" ref="D683">(PRODUCT(1+sp500_monthly!D684:D803)^(1/120)-1)*100</f>
        <v>1.4143745390050366</v>
      </c>
      <c r="E683" cm="1">
        <f t="array" ref="E683">(PRODUCT(1+sp500_monthly!E684:E803)^(1/120)-1)*100</f>
        <v>1.1358803632243175</v>
      </c>
      <c r="F683" cm="1">
        <f t="array" ref="F683">(PRODUCT(1+sp500_monthly!K684:K803)^(1/120)-1)*100</f>
        <v>1.0420784975871733</v>
      </c>
      <c r="G683" cm="1">
        <f t="array" ref="G683">(PRODUCT(1+sp500_monthly!L684:L803)^(1/120)-1)</f>
        <v>0.56450012248524573</v>
      </c>
      <c r="H683" cm="1">
        <f t="array" ref="H683">(PRODUCT(1+sp500_monthly!N684:N803)^(1/120)-1)*100</f>
        <v>1.0463474126154892</v>
      </c>
      <c r="I683" cm="1">
        <f t="array" ref="I683">(PRODUCT(1+sp500_monthly!O684:O803)^(1/120)-1)*100</f>
        <v>0.26356181580258209</v>
      </c>
    </row>
    <row r="684" spans="1:9" x14ac:dyDescent="0.35">
      <c r="A684" s="1">
        <v>30253</v>
      </c>
      <c r="B684" cm="1">
        <f t="array" ref="B684">(PRODUCT(1+sp500_monthly!B685:B804)^(1/120)-1)*100</f>
        <v>1.269330965104265</v>
      </c>
      <c r="C684" cm="1">
        <f t="array" ref="C684">(PRODUCT(1+sp500_monthly!C685:C804)^(1/120)-1)*100</f>
        <v>0.94726188752165541</v>
      </c>
      <c r="D684" cm="1">
        <f t="array" ref="D684">(PRODUCT(1+sp500_monthly!D685:D804)^(1/120)-1)*100</f>
        <v>1.3178516513499883</v>
      </c>
      <c r="E684" cm="1">
        <f t="array" ref="E684">(PRODUCT(1+sp500_monthly!E685:E804)^(1/120)-1)*100</f>
        <v>1.0406223718842256</v>
      </c>
      <c r="F684" cm="1">
        <f t="array" ref="F684">(PRODUCT(1+sp500_monthly!K685:K804)^(1/120)-1)*100</f>
        <v>0.9557378153560725</v>
      </c>
      <c r="G684" cm="1">
        <f t="array" ref="G684">(PRODUCT(1+sp500_monthly!L685:L804)^(1/120)-1)</f>
        <v>0.5611567148246841</v>
      </c>
      <c r="H684" cm="1">
        <f t="array" ref="H684">(PRODUCT(1+sp500_monthly!N685:N804)^(1/120)-1)*100</f>
        <v>0.95947893817045493</v>
      </c>
      <c r="I684" cm="1">
        <f t="array" ref="I684">(PRODUCT(1+sp500_monthly!O685:O804)^(1/120)-1)*100</f>
        <v>0.26043465709120195</v>
      </c>
    </row>
    <row r="685" spans="1:9" x14ac:dyDescent="0.35">
      <c r="A685" s="1">
        <v>30285</v>
      </c>
      <c r="B685" cm="1">
        <f t="array" ref="B685">(PRODUCT(1+sp500_monthly!B686:B805)^(1/120)-1)*100</f>
        <v>1.2596242363276833</v>
      </c>
      <c r="C685" cm="1">
        <f t="array" ref="C685">(PRODUCT(1+sp500_monthly!C686:C805)^(1/120)-1)*100</f>
        <v>0.94117139325238242</v>
      </c>
      <c r="D685" cm="1">
        <f t="array" ref="D685">(PRODUCT(1+sp500_monthly!D686:D805)^(1/120)-1)*100</f>
        <v>1.3051474936161211</v>
      </c>
      <c r="E685" cm="1">
        <f t="array" ref="E685">(PRODUCT(1+sp500_monthly!E686:E805)^(1/120)-1)*100</f>
        <v>1.0295455855669156</v>
      </c>
      <c r="F685" cm="1">
        <f t="array" ref="F685">(PRODUCT(1+sp500_monthly!K686:K805)^(1/120)-1)*100</f>
        <v>0.95096547799244924</v>
      </c>
      <c r="G685" cm="1">
        <f t="array" ref="G685">(PRODUCT(1+sp500_monthly!L686:L805)^(1/120)-1)</f>
        <v>0.55749793886087451</v>
      </c>
      <c r="H685" cm="1">
        <f t="array" ref="H685">(PRODUCT(1+sp500_monthly!N686:N805)^(1/120)-1)*100</f>
        <v>0.94657259632597857</v>
      </c>
      <c r="I685" cm="1">
        <f t="array" ref="I685">(PRODUCT(1+sp500_monthly!O686:O805)^(1/120)-1)*100</f>
        <v>0.25389984880062055</v>
      </c>
    </row>
    <row r="686" spans="1:9" x14ac:dyDescent="0.35">
      <c r="A686" s="1">
        <v>30316</v>
      </c>
      <c r="B686" cm="1">
        <f t="array" ref="B686">(PRODUCT(1+sp500_monthly!B687:B806)^(1/120)-1)*100</f>
        <v>1.2567522303410295</v>
      </c>
      <c r="C686" cm="1">
        <f t="array" ref="C686">(PRODUCT(1+sp500_monthly!C687:C806)^(1/120)-1)*100</f>
        <v>0.93828235352337863</v>
      </c>
      <c r="D686" cm="1">
        <f t="array" ref="D686">(PRODUCT(1+sp500_monthly!D687:D806)^(1/120)-1)*100</f>
        <v>1.3109966631119851</v>
      </c>
      <c r="E686" cm="1">
        <f t="array" ref="E686">(PRODUCT(1+sp500_monthly!E687:E806)^(1/120)-1)*100</f>
        <v>1.0363988845366601</v>
      </c>
      <c r="F686" cm="1">
        <f t="array" ref="F686">(PRODUCT(1+sp500_monthly!K687:K806)^(1/120)-1)*100</f>
        <v>0.94677020323943317</v>
      </c>
      <c r="G686" cm="1">
        <f t="array" ref="G686">(PRODUCT(1+sp500_monthly!L687:L806)^(1/120)-1)</f>
        <v>0.55404978080223088</v>
      </c>
      <c r="H686" cm="1">
        <f t="array" ref="H686">(PRODUCT(1+sp500_monthly!N687:N806)^(1/120)-1)*100</f>
        <v>0.93994737614999657</v>
      </c>
      <c r="I686" cm="1">
        <f t="array" ref="I686">(PRODUCT(1+sp500_monthly!O687:O806)^(1/120)-1)*100</f>
        <v>0.24692078527326355</v>
      </c>
    </row>
    <row r="687" spans="1:9" x14ac:dyDescent="0.35">
      <c r="A687" s="1">
        <v>30347</v>
      </c>
      <c r="B687" cm="1">
        <f t="array" ref="B687">(PRODUCT(1+sp500_monthly!B688:B807)^(1/120)-1)*100</f>
        <v>1.2336102277288763</v>
      </c>
      <c r="C687" cm="1">
        <f t="array" ref="C687">(PRODUCT(1+sp500_monthly!C688:C807)^(1/120)-1)*100</f>
        <v>0.91571866720392414</v>
      </c>
      <c r="D687" cm="1">
        <f t="array" ref="D687">(PRODUCT(1+sp500_monthly!D688:D807)^(1/120)-1)*100</f>
        <v>1.3006951425228452</v>
      </c>
      <c r="E687" cm="1">
        <f t="array" ref="E687">(PRODUCT(1+sp500_monthly!E688:E807)^(1/120)-1)*100</f>
        <v>1.0270285258126233</v>
      </c>
      <c r="F687" cm="1">
        <f t="array" ref="F687">(PRODUCT(1+sp500_monthly!K688:K807)^(1/120)-1)*100</f>
        <v>0.92525770388949269</v>
      </c>
      <c r="G687" cm="1">
        <f t="array" ref="G687">(PRODUCT(1+sp500_monthly!L688:L807)^(1/120)-1)</f>
        <v>0.54994069010044422</v>
      </c>
      <c r="H687" cm="1">
        <f t="array" ref="H687">(PRODUCT(1+sp500_monthly!N688:N807)^(1/120)-1)*100</f>
        <v>0.9156478159376924</v>
      </c>
      <c r="I687" cm="1">
        <f t="array" ref="I687">(PRODUCT(1+sp500_monthly!O688:O807)^(1/120)-1)*100</f>
        <v>0.2418738982108426</v>
      </c>
    </row>
    <row r="688" spans="1:9" x14ac:dyDescent="0.35">
      <c r="A688" s="1">
        <v>30375</v>
      </c>
      <c r="B688" cm="1">
        <f t="array" ref="B688">(PRODUCT(1+sp500_monthly!B689:B808)^(1/120)-1)*100</f>
        <v>1.2235108746699419</v>
      </c>
      <c r="C688" cm="1">
        <f t="array" ref="C688">(PRODUCT(1+sp500_monthly!C689:C808)^(1/120)-1)*100</f>
        <v>0.90893941493284114</v>
      </c>
      <c r="D688" cm="1">
        <f t="array" ref="D688">(PRODUCT(1+sp500_monthly!D689:D808)^(1/120)-1)*100</f>
        <v>1.2759243009721866</v>
      </c>
      <c r="E688" cm="1">
        <f t="array" ref="E688">(PRODUCT(1+sp500_monthly!E689:E808)^(1/120)-1)*100</f>
        <v>1.0038622298262689</v>
      </c>
      <c r="F688" cm="1">
        <f t="array" ref="F688">(PRODUCT(1+sp500_monthly!K689:K808)^(1/120)-1)*100</f>
        <v>0.91820375978703961</v>
      </c>
      <c r="G688" cm="1">
        <f t="array" ref="G688">(PRODUCT(1+sp500_monthly!L689:L808)^(1/120)-1)</f>
        <v>0.54628230707012171</v>
      </c>
      <c r="H688" cm="1">
        <f t="array" ref="H688">(PRODUCT(1+sp500_monthly!N689:N808)^(1/120)-1)*100</f>
        <v>0.90467396525937271</v>
      </c>
      <c r="I688" cm="1">
        <f t="array" ref="I688">(PRODUCT(1+sp500_monthly!O689:O808)^(1/120)-1)*100</f>
        <v>0.237646300484462</v>
      </c>
    </row>
    <row r="689" spans="1:9" x14ac:dyDescent="0.35">
      <c r="A689" s="1">
        <v>30406</v>
      </c>
      <c r="B689" cm="1">
        <f t="array" ref="B689">(PRODUCT(1+sp500_monthly!B690:B809)^(1/120)-1)*100</f>
        <v>1.2118075279618612</v>
      </c>
      <c r="C689" cm="1">
        <f t="array" ref="C689">(PRODUCT(1+sp500_monthly!C690:C809)^(1/120)-1)*100</f>
        <v>0.89755769780783812</v>
      </c>
      <c r="D689" cm="1">
        <f t="array" ref="D689">(PRODUCT(1+sp500_monthly!D690:D809)^(1/120)-1)*100</f>
        <v>1.2564605334854484</v>
      </c>
      <c r="E689" cm="1">
        <f t="array" ref="E689">(PRODUCT(1+sp500_monthly!E690:E809)^(1/120)-1)*100</f>
        <v>0.98523429662378259</v>
      </c>
      <c r="F689" cm="1">
        <f t="array" ref="F689">(PRODUCT(1+sp500_monthly!K690:K809)^(1/120)-1)*100</f>
        <v>0.90640140051454487</v>
      </c>
      <c r="G689" cm="1">
        <f t="array" ref="G689">(PRODUCT(1+sp500_monthly!L690:L809)^(1/120)-1)</f>
        <v>0.542865756224989</v>
      </c>
      <c r="H689" cm="1">
        <f t="array" ref="H689">(PRODUCT(1+sp500_monthly!N690:N809)^(1/120)-1)*100</f>
        <v>0.89269071188344817</v>
      </c>
      <c r="I689" cm="1">
        <f t="array" ref="I689">(PRODUCT(1+sp500_monthly!O690:O809)^(1/120)-1)*100</f>
        <v>0.23417135697190172</v>
      </c>
    </row>
    <row r="690" spans="1:9" x14ac:dyDescent="0.35">
      <c r="A690" s="1">
        <v>30435</v>
      </c>
      <c r="B690" cm="1">
        <f t="array" ref="B690">(PRODUCT(1+sp500_monthly!B691:B810)^(1/120)-1)*100</f>
        <v>1.1293418192577231</v>
      </c>
      <c r="C690" cm="1">
        <f t="array" ref="C690">(PRODUCT(1+sp500_monthly!C691:C810)^(1/120)-1)*100</f>
        <v>0.81509268948356528</v>
      </c>
      <c r="D690" cm="1">
        <f t="array" ref="D690">(PRODUCT(1+sp500_monthly!D691:D810)^(1/120)-1)*100</f>
        <v>1.1816753880613318</v>
      </c>
      <c r="E690" cm="1">
        <f t="array" ref="E690">(PRODUCT(1+sp500_monthly!E691:E810)^(1/120)-1)*100</f>
        <v>0.91082946631699802</v>
      </c>
      <c r="F690" cm="1">
        <f t="array" ref="F690">(PRODUCT(1+sp500_monthly!K691:K810)^(1/120)-1)*100</f>
        <v>0.82403344585191274</v>
      </c>
      <c r="G690" cm="1">
        <f t="array" ref="G690">(PRODUCT(1+sp500_monthly!L691:L810)^(1/120)-1)</f>
        <v>0.53873920728180269</v>
      </c>
      <c r="H690" cm="1">
        <f t="array" ref="H690">(PRODUCT(1+sp500_monthly!N691:N810)^(1/120)-1)*100</f>
        <v>0.81353216455417598</v>
      </c>
      <c r="I690" cm="1">
        <f t="array" ref="I690">(PRODUCT(1+sp500_monthly!O691:O810)^(1/120)-1)*100</f>
        <v>0.23329375940508434</v>
      </c>
    </row>
    <row r="691" spans="1:9" x14ac:dyDescent="0.35">
      <c r="A691" s="1">
        <v>30467</v>
      </c>
      <c r="B691" cm="1">
        <f t="array" ref="B691">(PRODUCT(1+sp500_monthly!B692:B811)^(1/120)-1)*100</f>
        <v>1.1559957646341212</v>
      </c>
      <c r="C691" cm="1">
        <f t="array" ref="C691">(PRODUCT(1+sp500_monthly!C692:C811)^(1/120)-1)*100</f>
        <v>0.84405794297044423</v>
      </c>
      <c r="D691" cm="1">
        <f t="array" ref="D691">(PRODUCT(1+sp500_monthly!D692:D811)^(1/120)-1)*100</f>
        <v>1.1864639055416015</v>
      </c>
      <c r="E691" cm="1">
        <f t="array" ref="E691">(PRODUCT(1+sp500_monthly!E692:E811)^(1/120)-1)*100</f>
        <v>0.9170533788971813</v>
      </c>
      <c r="F691" cm="1">
        <f t="array" ref="F691">(PRODUCT(1+sp500_monthly!K692:K811)^(1/120)-1)*100</f>
        <v>0.85334864500525853</v>
      </c>
      <c r="G691" cm="1">
        <f t="array" ref="G691">(PRODUCT(1+sp500_monthly!L692:L811)^(1/120)-1)</f>
        <v>0.53456620315081427</v>
      </c>
      <c r="H691" cm="1">
        <f t="array" ref="H691">(PRODUCT(1+sp500_monthly!N692:N811)^(1/120)-1)*100</f>
        <v>0.84116391093205234</v>
      </c>
      <c r="I691" cm="1">
        <f t="array" ref="I691">(PRODUCT(1+sp500_monthly!O692:O811)^(1/120)-1)*100</f>
        <v>0.23044041672841686</v>
      </c>
    </row>
    <row r="692" spans="1:9" x14ac:dyDescent="0.35">
      <c r="A692" s="1">
        <v>30497</v>
      </c>
      <c r="B692" cm="1">
        <f t="array" ref="B692">(PRODUCT(1+sp500_monthly!B693:B812)^(1/120)-1)*100</f>
        <v>1.1283140066433051</v>
      </c>
      <c r="C692" cm="1">
        <f t="array" ref="C692">(PRODUCT(1+sp500_monthly!C693:C812)^(1/120)-1)*100</f>
        <v>0.81711216405617737</v>
      </c>
      <c r="D692" cm="1">
        <f t="array" ref="D692">(PRODUCT(1+sp500_monthly!D693:D812)^(1/120)-1)*100</f>
        <v>1.1631329849440375</v>
      </c>
      <c r="E692" cm="1">
        <f t="array" ref="E692">(PRODUCT(1+sp500_monthly!E693:E812)^(1/120)-1)*100</f>
        <v>0.89432525371304639</v>
      </c>
      <c r="F692" cm="1">
        <f t="array" ref="F692">(PRODUCT(1+sp500_monthly!K693:K812)^(1/120)-1)*100</f>
        <v>0.82489259048066366</v>
      </c>
      <c r="G692" cm="1">
        <f t="array" ref="G692">(PRODUCT(1+sp500_monthly!L693:L812)^(1/120)-1)</f>
        <v>0.53086622704492803</v>
      </c>
      <c r="H692" cm="1">
        <f t="array" ref="H692">(PRODUCT(1+sp500_monthly!N693:N812)^(1/120)-1)*100</f>
        <v>0.81467798453194185</v>
      </c>
      <c r="I692" cm="1">
        <f t="array" ref="I692">(PRODUCT(1+sp500_monthly!O693:O812)^(1/120)-1)*100</f>
        <v>0.22805168976458567</v>
      </c>
    </row>
    <row r="693" spans="1:9" x14ac:dyDescent="0.35">
      <c r="A693" s="1">
        <v>30526</v>
      </c>
      <c r="B693" cm="1">
        <f t="array" ref="B693">(PRODUCT(1+sp500_monthly!B694:B813)^(1/120)-1)*100</f>
        <v>1.1511823197665638</v>
      </c>
      <c r="C693" cm="1">
        <f t="array" ref="C693">(PRODUCT(1+sp500_monthly!C694:C813)^(1/120)-1)*100</f>
        <v>0.83973834074904108</v>
      </c>
      <c r="D693" cm="1">
        <f t="array" ref="D693">(PRODUCT(1+sp500_monthly!D694:D813)^(1/120)-1)*100</f>
        <v>1.1851766741035163</v>
      </c>
      <c r="E693" cm="1">
        <f t="array" ref="E693">(PRODUCT(1+sp500_monthly!E694:E813)^(1/120)-1)*100</f>
        <v>0.91660407138605127</v>
      </c>
      <c r="F693" cm="1">
        <f t="array" ref="F693">(PRODUCT(1+sp500_monthly!K694:K813)^(1/120)-1)*100</f>
        <v>0.84861445541442038</v>
      </c>
      <c r="G693" cm="1">
        <f t="array" ref="G693">(PRODUCT(1+sp500_monthly!L694:L813)^(1/120)-1)</f>
        <v>0.52655051122950081</v>
      </c>
      <c r="H693" cm="1">
        <f t="array" ref="H693">(PRODUCT(1+sp500_monthly!N694:N813)^(1/120)-1)*100</f>
        <v>0.83968628393673583</v>
      </c>
      <c r="I693" cm="1">
        <f t="array" ref="I693">(PRODUCT(1+sp500_monthly!O694:O813)^(1/120)-1)*100</f>
        <v>0.2260934182690244</v>
      </c>
    </row>
    <row r="694" spans="1:9" x14ac:dyDescent="0.35">
      <c r="A694" s="1">
        <v>30559</v>
      </c>
      <c r="B694" cm="1">
        <f t="array" ref="B694">(PRODUCT(1+sp500_monthly!B695:B814)^(1/120)-1)*100</f>
        <v>1.1688920558654781</v>
      </c>
      <c r="C694" cm="1">
        <f t="array" ref="C694">(PRODUCT(1+sp500_monthly!C695:C814)^(1/120)-1)*100</f>
        <v>0.85986954147303507</v>
      </c>
      <c r="D694" cm="1">
        <f t="array" ref="D694">(PRODUCT(1+sp500_monthly!D695:D814)^(1/120)-1)*100</f>
        <v>1.2144656396577691</v>
      </c>
      <c r="E694" cm="1">
        <f t="array" ref="E694">(PRODUCT(1+sp500_monthly!E695:E814)^(1/120)-1)*100</f>
        <v>0.94722610536059904</v>
      </c>
      <c r="F694" cm="1">
        <f t="array" ref="F694">(PRODUCT(1+sp500_monthly!K695:K814)^(1/120)-1)*100</f>
        <v>0.8676069321770008</v>
      </c>
      <c r="G694" cm="1">
        <f t="array" ref="G694">(PRODUCT(1+sp500_monthly!L695:L814)^(1/120)-1)</f>
        <v>0.52220387636382526</v>
      </c>
      <c r="H694" cm="1">
        <f t="array" ref="H694">(PRODUCT(1+sp500_monthly!N695:N814)^(1/120)-1)*100</f>
        <v>0.85812105467071298</v>
      </c>
      <c r="I694" cm="1">
        <f t="array" ref="I694">(PRODUCT(1+sp500_monthly!O695:O814)^(1/120)-1)*100</f>
        <v>0.22262995273087949</v>
      </c>
    </row>
    <row r="695" spans="1:9" x14ac:dyDescent="0.35">
      <c r="A695" s="1">
        <v>30589</v>
      </c>
      <c r="B695" cm="1">
        <f t="array" ref="B695">(PRODUCT(1+sp500_monthly!B696:B815)^(1/120)-1)*100</f>
        <v>1.1506686782100761</v>
      </c>
      <c r="C695" cm="1">
        <f t="array" ref="C695">(PRODUCT(1+sp500_monthly!C696:C815)^(1/120)-1)*100</f>
        <v>0.84249755331313736</v>
      </c>
      <c r="D695" cm="1">
        <f t="array" ref="D695">(PRODUCT(1+sp500_monthly!D696:D815)^(1/120)-1)*100</f>
        <v>1.1875360166402116</v>
      </c>
      <c r="E695" cm="1">
        <f t="array" ref="E695">(PRODUCT(1+sp500_monthly!E696:E815)^(1/120)-1)*100</f>
        <v>0.92116586473927065</v>
      </c>
      <c r="F695" cm="1">
        <f t="array" ref="F695">(PRODUCT(1+sp500_monthly!K696:K815)^(1/120)-1)*100</f>
        <v>0.85067522998254486</v>
      </c>
      <c r="G695" cm="1">
        <f t="array" ref="G695">(PRODUCT(1+sp500_monthly!L696:L815)^(1/120)-1)</f>
        <v>0.51797040995585464</v>
      </c>
      <c r="H695" cm="1">
        <f t="array" ref="H695">(PRODUCT(1+sp500_monthly!N696:N815)^(1/120)-1)*100</f>
        <v>0.84130849866959068</v>
      </c>
      <c r="I695" cm="1">
        <f t="array" ref="I695">(PRODUCT(1+sp500_monthly!O696:O815)^(1/120)-1)*100</f>
        <v>0.21982176969914669</v>
      </c>
    </row>
    <row r="696" spans="1:9" x14ac:dyDescent="0.35">
      <c r="A696" s="1">
        <v>30620</v>
      </c>
      <c r="B696" cm="1">
        <f t="array" ref="B696">(PRODUCT(1+sp500_monthly!B697:B816)^(1/120)-1)*100</f>
        <v>1.1783907632328727</v>
      </c>
      <c r="C696" cm="1">
        <f t="array" ref="C696">(PRODUCT(1+sp500_monthly!C697:C816)^(1/120)-1)*100</f>
        <v>0.87042080613688455</v>
      </c>
      <c r="D696" cm="1">
        <f t="array" ref="D696">(PRODUCT(1+sp500_monthly!D697:D816)^(1/120)-1)*100</f>
        <v>1.2199814157366484</v>
      </c>
      <c r="E696" cm="1">
        <f t="array" ref="E696">(PRODUCT(1+sp500_monthly!E697:E816)^(1/120)-1)*100</f>
        <v>0.95425893488341185</v>
      </c>
      <c r="F696" cm="1">
        <f t="array" ref="F696">(PRODUCT(1+sp500_monthly!K697:K816)^(1/120)-1)*100</f>
        <v>0.87967199635543558</v>
      </c>
      <c r="G696" cm="1">
        <f t="array" ref="G696">(PRODUCT(1+sp500_monthly!L697:L816)^(1/120)-1)</f>
        <v>0.51334181513097632</v>
      </c>
      <c r="H696" cm="1">
        <f t="array" ref="H696">(PRODUCT(1+sp500_monthly!N697:N816)^(1/120)-1)*100</f>
        <v>0.86881698446770184</v>
      </c>
      <c r="I696" cm="1">
        <f t="array" ref="I696">(PRODUCT(1+sp500_monthly!O697:O816)^(1/120)-1)*100</f>
        <v>0.21520597907658257</v>
      </c>
    </row>
    <row r="697" spans="1:9" x14ac:dyDescent="0.35">
      <c r="A697" s="1">
        <v>30650</v>
      </c>
      <c r="B697" cm="1">
        <f t="array" ref="B697">(PRODUCT(1+sp500_monthly!B698:B817)^(1/120)-1)*100</f>
        <v>1.151195309281694</v>
      </c>
      <c r="C697" cm="1">
        <f t="array" ref="C697">(PRODUCT(1+sp500_monthly!C698:C817)^(1/120)-1)*100</f>
        <v>0.84573445486413323</v>
      </c>
      <c r="D697" cm="1">
        <f t="array" ref="D697">(PRODUCT(1+sp500_monthly!D698:D817)^(1/120)-1)*100</f>
        <v>1.1738547936014143</v>
      </c>
      <c r="E697" cm="1">
        <f t="array" ref="E697">(PRODUCT(1+sp500_monthly!E698:E817)^(1/120)-1)*100</f>
        <v>0.9093354820444377</v>
      </c>
      <c r="F697" cm="1">
        <f t="array" ref="F697">(PRODUCT(1+sp500_monthly!K698:K817)^(1/120)-1)*100</f>
        <v>0.85422748484642597</v>
      </c>
      <c r="G697" cm="1">
        <f t="array" ref="G697">(PRODUCT(1+sp500_monthly!L698:L817)^(1/120)-1)</f>
        <v>0.50946903355743722</v>
      </c>
      <c r="H697" cm="1">
        <f t="array" ref="H697">(PRODUCT(1+sp500_monthly!N698:N817)^(1/120)-1)*100</f>
        <v>0.84189657843116716</v>
      </c>
      <c r="I697" cm="1">
        <f t="array" ref="I697">(PRODUCT(1+sp500_monthly!O698:O817)^(1/120)-1)*100</f>
        <v>0.21165637834525963</v>
      </c>
    </row>
    <row r="698" spans="1:9" x14ac:dyDescent="0.35">
      <c r="A698" s="1">
        <v>30680</v>
      </c>
      <c r="B698" cm="1">
        <f t="array" ref="B698">(PRODUCT(1+sp500_monthly!B699:B818)^(1/120)-1)*100</f>
        <v>1.1666492703457765</v>
      </c>
      <c r="C698" cm="1">
        <f t="array" ref="C698">(PRODUCT(1+sp500_monthly!C699:C818)^(1/120)-1)*100</f>
        <v>0.86195351165767597</v>
      </c>
      <c r="D698" cm="1">
        <f t="array" ref="D698">(PRODUCT(1+sp500_monthly!D699:D818)^(1/120)-1)*100</f>
        <v>1.2006346865529371</v>
      </c>
      <c r="E698" cm="1">
        <f t="array" ref="E698">(PRODUCT(1+sp500_monthly!E699:E818)^(1/120)-1)*100</f>
        <v>0.93696066096391473</v>
      </c>
      <c r="F698" cm="1">
        <f t="array" ref="F698">(PRODUCT(1+sp500_monthly!K699:K818)^(1/120)-1)*100</f>
        <v>0.87012477324996951</v>
      </c>
      <c r="G698" cm="1">
        <f t="array" ref="G698">(PRODUCT(1+sp500_monthly!L699:L818)^(1/120)-1)</f>
        <v>0.50518436936253952</v>
      </c>
      <c r="H698" cm="1">
        <f t="array" ref="H698">(PRODUCT(1+sp500_monthly!N699:N818)^(1/120)-1)*100</f>
        <v>0.85806835637378676</v>
      </c>
      <c r="I698" cm="1">
        <f t="array" ref="I698">(PRODUCT(1+sp500_monthly!O699:O818)^(1/120)-1)*100</f>
        <v>0.20826105942617357</v>
      </c>
    </row>
    <row r="699" spans="1:9" x14ac:dyDescent="0.35">
      <c r="A699" s="1">
        <v>30712</v>
      </c>
      <c r="B699" cm="1">
        <f t="array" ref="B699">(PRODUCT(1+sp500_monthly!B700:B819)^(1/120)-1)*100</f>
        <v>1.1976683609042915</v>
      </c>
      <c r="C699" cm="1">
        <f t="array" ref="C699">(PRODUCT(1+sp500_monthly!C700:C819)^(1/120)-1)*100</f>
        <v>0.89316431682275876</v>
      </c>
      <c r="D699" cm="1">
        <f t="array" ref="D699">(PRODUCT(1+sp500_monthly!D700:D819)^(1/120)-1)*100</f>
        <v>1.2431106511491929</v>
      </c>
      <c r="E699" cm="1">
        <f t="array" ref="E699">(PRODUCT(1+sp500_monthly!E700:E819)^(1/120)-1)*100</f>
        <v>0.9797907026995567</v>
      </c>
      <c r="F699" cm="1">
        <f t="array" ref="F699">(PRODUCT(1+sp500_monthly!K700:K819)^(1/120)-1)*100</f>
        <v>0.9047987379283029</v>
      </c>
      <c r="G699" cm="1">
        <f t="array" ref="G699">(PRODUCT(1+sp500_monthly!L700:L819)^(1/120)-1)</f>
        <v>0.50089857153861295</v>
      </c>
      <c r="H699" cm="1">
        <f t="array" ref="H699">(PRODUCT(1+sp500_monthly!N700:N819)^(1/120)-1)*100</f>
        <v>0.89477699212412443</v>
      </c>
      <c r="I699" cm="1">
        <f t="array" ref="I699">(PRODUCT(1+sp500_monthly!O700:O819)^(1/120)-1)*100</f>
        <v>0.20976857772041502</v>
      </c>
    </row>
    <row r="700" spans="1:9" x14ac:dyDescent="0.35">
      <c r="A700" s="1">
        <v>30741</v>
      </c>
      <c r="B700" cm="1">
        <f t="array" ref="B700">(PRODUCT(1+sp500_monthly!B701:B820)^(1/120)-1)*100</f>
        <v>1.2036476027203369</v>
      </c>
      <c r="C700" cm="1">
        <f t="array" ref="C700">(PRODUCT(1+sp500_monthly!C701:C820)^(1/120)-1)*100</f>
        <v>0.90133913396583942</v>
      </c>
      <c r="D700" cm="1">
        <f t="array" ref="D700">(PRODUCT(1+sp500_monthly!D701:D820)^(1/120)-1)*100</f>
        <v>1.2693066441414436</v>
      </c>
      <c r="E700" cm="1">
        <f t="array" ref="E700">(PRODUCT(1+sp500_monthly!E701:E820)^(1/120)-1)*100</f>
        <v>1.0073563573252509</v>
      </c>
      <c r="F700" cm="1">
        <f t="array" ref="F700">(PRODUCT(1+sp500_monthly!K701:K820)^(1/120)-1)*100</f>
        <v>0.91247499104338825</v>
      </c>
      <c r="G700" cm="1">
        <f t="array" ref="G700">(PRODUCT(1+sp500_monthly!L701:L820)^(1/120)-1)</f>
        <v>0.49657879735124189</v>
      </c>
      <c r="H700" cm="1">
        <f t="array" ref="H700">(PRODUCT(1+sp500_monthly!N701:N820)^(1/120)-1)*100</f>
        <v>0.90255022046119571</v>
      </c>
      <c r="I700" cm="1">
        <f t="array" ref="I700">(PRODUCT(1+sp500_monthly!O701:O820)^(1/120)-1)*100</f>
        <v>0.20741176759044855</v>
      </c>
    </row>
    <row r="701" spans="1:9" x14ac:dyDescent="0.35">
      <c r="A701" s="1">
        <v>30771</v>
      </c>
      <c r="B701" cm="1">
        <f t="array" ref="B701">(PRODUCT(1+sp500_monthly!B702:B821)^(1/120)-1)*100</f>
        <v>1.151730267712292</v>
      </c>
      <c r="C701" cm="1">
        <f t="array" ref="C701">(PRODUCT(1+sp500_monthly!C702:C821)^(1/120)-1)*100</f>
        <v>0.8505419228785227</v>
      </c>
      <c r="D701" cm="1">
        <f t="array" ref="D701">(PRODUCT(1+sp500_monthly!D702:D821)^(1/120)-1)*100</f>
        <v>1.212799325963565</v>
      </c>
      <c r="E701" cm="1">
        <f t="array" ref="E701">(PRODUCT(1+sp500_monthly!E702:E821)^(1/120)-1)*100</f>
        <v>0.95199647608787963</v>
      </c>
      <c r="F701" cm="1">
        <f t="array" ref="F701">(PRODUCT(1+sp500_monthly!K702:K821)^(1/120)-1)*100</f>
        <v>0.86183543351698866</v>
      </c>
      <c r="G701" cm="1">
        <f t="array" ref="G701">(PRODUCT(1+sp500_monthly!L702:L821)^(1/120)-1)</f>
        <v>0.49272876429993295</v>
      </c>
      <c r="H701" cm="1">
        <f t="array" ref="H701">(PRODUCT(1+sp500_monthly!N702:N821)^(1/120)-1)*100</f>
        <v>0.85095271623982782</v>
      </c>
      <c r="I701" cm="1">
        <f t="array" ref="I701">(PRODUCT(1+sp500_monthly!O702:O821)^(1/120)-1)*100</f>
        <v>0.2037539675634914</v>
      </c>
    </row>
    <row r="702" spans="1:9" x14ac:dyDescent="0.35">
      <c r="A702" s="1">
        <v>30802</v>
      </c>
      <c r="B702" cm="1">
        <f t="array" ref="B702">(PRODUCT(1+sp500_monthly!B703:B822)^(1/120)-1)*100</f>
        <v>1.1567689673983805</v>
      </c>
      <c r="C702" cm="1">
        <f t="array" ref="C702">(PRODUCT(1+sp500_monthly!C703:C822)^(1/120)-1)*100</f>
        <v>0.85574952767595303</v>
      </c>
      <c r="D702" cm="1">
        <f t="array" ref="D702">(PRODUCT(1+sp500_monthly!D703:D822)^(1/120)-1)*100</f>
        <v>1.2241573673837491</v>
      </c>
      <c r="E702" cm="1">
        <f t="array" ref="E702">(PRODUCT(1+sp500_monthly!E703:E822)^(1/120)-1)*100</f>
        <v>0.96393318832970198</v>
      </c>
      <c r="F702" cm="1">
        <f t="array" ref="F702">(PRODUCT(1+sp500_monthly!K703:K822)^(1/120)-1)*100</f>
        <v>0.8668903427420549</v>
      </c>
      <c r="G702" cm="1">
        <f t="array" ref="G702">(PRODUCT(1+sp500_monthly!L703:L822)^(1/120)-1)</f>
        <v>0.48832785913161647</v>
      </c>
      <c r="H702" cm="1">
        <f t="array" ref="H702">(PRODUCT(1+sp500_monthly!N703:N822)^(1/120)-1)*100</f>
        <v>0.85866609171205699</v>
      </c>
      <c r="I702" cm="1">
        <f t="array" ref="I702">(PRODUCT(1+sp500_monthly!O703:O822)^(1/120)-1)*100</f>
        <v>0.20194125218091497</v>
      </c>
    </row>
    <row r="703" spans="1:9" x14ac:dyDescent="0.35">
      <c r="A703" s="1">
        <v>30833</v>
      </c>
      <c r="B703" cm="1">
        <f t="array" ref="B703">(PRODUCT(1+sp500_monthly!B704:B823)^(1/120)-1)*100</f>
        <v>1.216445423107837</v>
      </c>
      <c r="C703" cm="1">
        <f t="array" ref="C703">(PRODUCT(1+sp500_monthly!C704:C823)^(1/120)-1)*100</f>
        <v>0.91785477263139903</v>
      </c>
      <c r="D703" cm="1">
        <f t="array" ref="D703">(PRODUCT(1+sp500_monthly!D704:D823)^(1/120)-1)*100</f>
        <v>1.2854194936256835</v>
      </c>
      <c r="E703" cm="1">
        <f t="array" ref="E703">(PRODUCT(1+sp500_monthly!E704:E823)^(1/120)-1)*100</f>
        <v>1.0263795714620327</v>
      </c>
      <c r="F703" cm="1">
        <f t="array" ref="F703">(PRODUCT(1+sp500_monthly!K704:K823)^(1/120)-1)*100</f>
        <v>0.9287180337264056</v>
      </c>
      <c r="G703" cm="1">
        <f t="array" ref="G703">(PRODUCT(1+sp500_monthly!L704:L823)^(1/120)-1)</f>
        <v>0.48453020562340332</v>
      </c>
      <c r="H703" cm="1">
        <f t="array" ref="H703">(PRODUCT(1+sp500_monthly!N704:N823)^(1/120)-1)*100</f>
        <v>0.91808112873559278</v>
      </c>
      <c r="I703" cm="1">
        <f t="array" ref="I703">(PRODUCT(1+sp500_monthly!O704:O823)^(1/120)-1)*100</f>
        <v>0.1979530727904466</v>
      </c>
    </row>
    <row r="704" spans="1:9" x14ac:dyDescent="0.35">
      <c r="A704" s="1">
        <v>30862</v>
      </c>
      <c r="B704" cm="1">
        <f t="array" ref="B704">(PRODUCT(1+sp500_monthly!B705:B824)^(1/120)-1)*100</f>
        <v>1.1761763446967555</v>
      </c>
      <c r="C704" cm="1">
        <f t="array" ref="C704">(PRODUCT(1+sp500_monthly!C705:C824)^(1/120)-1)*100</f>
        <v>0.87915727119405318</v>
      </c>
      <c r="D704" cm="1">
        <f t="array" ref="D704">(PRODUCT(1+sp500_monthly!D705:D824)^(1/120)-1)*100</f>
        <v>1.2404821765208407</v>
      </c>
      <c r="E704" cm="1">
        <f t="array" ref="E704">(PRODUCT(1+sp500_monthly!E705:E824)^(1/120)-1)*100</f>
        <v>0.98299647808972601</v>
      </c>
      <c r="F704" cm="1">
        <f t="array" ref="F704">(PRODUCT(1+sp500_monthly!K705:K824)^(1/120)-1)*100</f>
        <v>0.89130046006902219</v>
      </c>
      <c r="G704" cm="1">
        <f t="array" ref="G704">(PRODUCT(1+sp500_monthly!L705:L824)^(1/120)-1)</f>
        <v>0.48095199906662067</v>
      </c>
      <c r="H704" cm="1">
        <f t="array" ref="H704">(PRODUCT(1+sp500_monthly!N705:N824)^(1/120)-1)*100</f>
        <v>0.87727699118587132</v>
      </c>
      <c r="I704" cm="1">
        <f t="array" ref="I704">(PRODUCT(1+sp500_monthly!O705:O824)^(1/120)-1)*100</f>
        <v>0.19364924453146859</v>
      </c>
    </row>
    <row r="705" spans="1:9" x14ac:dyDescent="0.35">
      <c r="A705" s="1">
        <v>30894</v>
      </c>
      <c r="B705" cm="1">
        <f t="array" ref="B705">(PRODUCT(1+sp500_monthly!B706:B825)^(1/120)-1)*100</f>
        <v>1.2150109159216882</v>
      </c>
      <c r="C705" cm="1">
        <f t="array" ref="C705">(PRODUCT(1+sp500_monthly!C706:C825)^(1/120)-1)*100</f>
        <v>0.91839284569990021</v>
      </c>
      <c r="D705" cm="1">
        <f t="array" ref="D705">(PRODUCT(1+sp500_monthly!D706:D825)^(1/120)-1)*100</f>
        <v>1.2937124507316877</v>
      </c>
      <c r="E705" cm="1">
        <f t="array" ref="E705">(PRODUCT(1+sp500_monthly!E706:E825)^(1/120)-1)*100</f>
        <v>1.0368490687077792</v>
      </c>
      <c r="F705" cm="1">
        <f t="array" ref="F705">(PRODUCT(1+sp500_monthly!K706:K825)^(1/120)-1)*100</f>
        <v>0.93130328147814634</v>
      </c>
      <c r="G705" cm="1">
        <f t="array" ref="G705">(PRODUCT(1+sp500_monthly!L706:L825)^(1/120)-1)</f>
        <v>0.47661452847793684</v>
      </c>
      <c r="H705" cm="1">
        <f t="array" ref="H705">(PRODUCT(1+sp500_monthly!N706:N825)^(1/120)-1)*100</f>
        <v>0.91639621083603462</v>
      </c>
      <c r="I705" cm="1">
        <f t="array" ref="I705">(PRODUCT(1+sp500_monthly!O706:O825)^(1/120)-1)*100</f>
        <v>0.18956178104123644</v>
      </c>
    </row>
    <row r="706" spans="1:9" x14ac:dyDescent="0.35">
      <c r="A706" s="1">
        <v>30925</v>
      </c>
      <c r="B706" cm="1">
        <f t="array" ref="B706">(PRODUCT(1+sp500_monthly!B707:B826)^(1/120)-1)*100</f>
        <v>1.1593202861104768</v>
      </c>
      <c r="C706" cm="1">
        <f t="array" ref="C706">(PRODUCT(1+sp500_monthly!C707:C826)^(1/120)-1)*100</f>
        <v>0.86522252791687571</v>
      </c>
      <c r="D706" cm="1">
        <f t="array" ref="D706">(PRODUCT(1+sp500_monthly!D707:D826)^(1/120)-1)*100</f>
        <v>1.2348438636850201</v>
      </c>
      <c r="E706" cm="1">
        <f t="array" ref="E706">(PRODUCT(1+sp500_monthly!E707:E826)^(1/120)-1)*100</f>
        <v>0.9793734006477095</v>
      </c>
      <c r="F706" cm="1">
        <f t="array" ref="F706">(PRODUCT(1+sp500_monthly!K707:K826)^(1/120)-1)*100</f>
        <v>0.87740501687203487</v>
      </c>
      <c r="G706" cm="1">
        <f t="array" ref="G706">(PRODUCT(1+sp500_monthly!L707:L826)^(1/120)-1)</f>
        <v>0.47305642537410253</v>
      </c>
      <c r="H706" cm="1">
        <f t="array" ref="H706">(PRODUCT(1+sp500_monthly!N707:N826)^(1/120)-1)*100</f>
        <v>0.85989719146253307</v>
      </c>
      <c r="I706" cm="1">
        <f t="array" ref="I706">(PRODUCT(1+sp500_monthly!O707:O826)^(1/120)-1)*100</f>
        <v>0.1847779706144026</v>
      </c>
    </row>
    <row r="707" spans="1:9" x14ac:dyDescent="0.35">
      <c r="A707" s="1">
        <v>30953</v>
      </c>
      <c r="B707" cm="1">
        <f t="array" ref="B707">(PRODUCT(1+sp500_monthly!B708:B827)^(1/120)-1)*100</f>
        <v>1.1389495104083602</v>
      </c>
      <c r="C707" cm="1">
        <f t="array" ref="C707">(PRODUCT(1+sp500_monthly!C708:C827)^(1/120)-1)*100</f>
        <v>0.8456473891727212</v>
      </c>
      <c r="D707" cm="1">
        <f t="array" ref="D707">(PRODUCT(1+sp500_monthly!D708:D827)^(1/120)-1)*100</f>
        <v>1.2096834679820256</v>
      </c>
      <c r="E707" cm="1">
        <f t="array" ref="E707">(PRODUCT(1+sp500_monthly!E708:E827)^(1/120)-1)*100</f>
        <v>0.95518612603227027</v>
      </c>
      <c r="F707" cm="1">
        <f t="array" ref="F707">(PRODUCT(1+sp500_monthly!K708:K827)^(1/120)-1)*100</f>
        <v>0.85741620406072361</v>
      </c>
      <c r="G707" cm="1">
        <f t="array" ref="G707">(PRODUCT(1+sp500_monthly!L708:L827)^(1/120)-1)</f>
        <v>0.46930778493014658</v>
      </c>
      <c r="H707" cm="1">
        <f t="array" ref="H707">(PRODUCT(1+sp500_monthly!N708:N827)^(1/120)-1)*100</f>
        <v>0.84030775399919211</v>
      </c>
      <c r="I707" cm="1">
        <f t="array" ref="I707">(PRODUCT(1+sp500_monthly!O708:O827)^(1/120)-1)*100</f>
        <v>0.1814285030114382</v>
      </c>
    </row>
    <row r="708" spans="1:9" x14ac:dyDescent="0.35">
      <c r="A708" s="1">
        <v>30986</v>
      </c>
      <c r="B708" cm="1">
        <f t="array" ref="B708">(PRODUCT(1+sp500_monthly!B709:B828)^(1/120)-1)*100</f>
        <v>1.1550019170076364</v>
      </c>
      <c r="C708" cm="1">
        <f t="array" ref="C708">(PRODUCT(1+sp500_monthly!C709:C828)^(1/120)-1)*100</f>
        <v>0.86296800472080992</v>
      </c>
      <c r="D708" cm="1">
        <f t="array" ref="D708">(PRODUCT(1+sp500_monthly!D709:D828)^(1/120)-1)*100</f>
        <v>1.2192353174621973</v>
      </c>
      <c r="E708" cm="1">
        <f t="array" ref="E708">(PRODUCT(1+sp500_monthly!E709:E828)^(1/120)-1)*100</f>
        <v>0.96540475921251812</v>
      </c>
      <c r="F708" cm="1">
        <f t="array" ref="F708">(PRODUCT(1+sp500_monthly!K709:K828)^(1/120)-1)*100</f>
        <v>0.87479874784108791</v>
      </c>
      <c r="G708" cm="1">
        <f t="array" ref="G708">(PRODUCT(1+sp500_monthly!L709:L828)^(1/120)-1)</f>
        <v>0.46477141259257171</v>
      </c>
      <c r="H708" cm="1">
        <f t="array" ref="H708">(PRODUCT(1+sp500_monthly!N709:N828)^(1/120)-1)*100</f>
        <v>0.8589548882303788</v>
      </c>
      <c r="I708" cm="1">
        <f t="array" ref="I708">(PRODUCT(1+sp500_monthly!O709:O828)^(1/120)-1)*100</f>
        <v>0.17891236051847947</v>
      </c>
    </row>
    <row r="709" spans="1:9" x14ac:dyDescent="0.35">
      <c r="A709" s="1">
        <v>31016</v>
      </c>
      <c r="B709" cm="1">
        <f t="array" ref="B709">(PRODUCT(1+sp500_monthly!B710:B829)^(1/120)-1)*100</f>
        <v>1.1322180241588375</v>
      </c>
      <c r="C709" cm="1">
        <f t="array" ref="C709">(PRODUCT(1+sp500_monthly!C710:C829)^(1/120)-1)*100</f>
        <v>0.84182408504280826</v>
      </c>
      <c r="D709" cm="1">
        <f t="array" ref="D709">(PRODUCT(1+sp500_monthly!D710:D829)^(1/120)-1)*100</f>
        <v>1.1843501565403258</v>
      </c>
      <c r="E709" cm="1">
        <f t="array" ref="E709">(PRODUCT(1+sp500_monthly!E710:E829)^(1/120)-1)*100</f>
        <v>0.93157325356434395</v>
      </c>
      <c r="F709" cm="1">
        <f t="array" ref="F709">(PRODUCT(1+sp500_monthly!K710:K829)^(1/120)-1)*100</f>
        <v>0.85371883014240257</v>
      </c>
      <c r="G709" cm="1">
        <f t="array" ref="G709">(PRODUCT(1+sp500_monthly!L710:L829)^(1/120)-1)</f>
        <v>0.46192628933119217</v>
      </c>
      <c r="H709" cm="1">
        <f t="array" ref="H709">(PRODUCT(1+sp500_monthly!N710:N829)^(1/120)-1)*100</f>
        <v>0.83558841302977527</v>
      </c>
      <c r="I709" cm="1">
        <f t="array" ref="I709">(PRODUCT(1+sp500_monthly!O710:O829)^(1/120)-1)*100</f>
        <v>0.17527846204798969</v>
      </c>
    </row>
    <row r="710" spans="1:9" x14ac:dyDescent="0.35">
      <c r="A710" s="1">
        <v>31047</v>
      </c>
      <c r="B710" cm="1">
        <f t="array" ref="B710">(PRODUCT(1+sp500_monthly!B711:B830)^(1/120)-1)*100</f>
        <v>1.1234615094584122</v>
      </c>
      <c r="C710" cm="1">
        <f t="array" ref="C710">(PRODUCT(1+sp500_monthly!C711:C830)^(1/120)-1)*100</f>
        <v>0.83403826835812822</v>
      </c>
      <c r="D710" cm="1">
        <f t="array" ref="D710">(PRODUCT(1+sp500_monthly!D711:D830)^(1/120)-1)*100</f>
        <v>1.1775981759458043</v>
      </c>
      <c r="E710" cm="1">
        <f t="array" ref="E710">(PRODUCT(1+sp500_monthly!E711:E830)^(1/120)-1)*100</f>
        <v>0.9257892513163446</v>
      </c>
      <c r="F710" cm="1">
        <f t="array" ref="F710">(PRODUCT(1+sp500_monthly!K711:K830)^(1/120)-1)*100</f>
        <v>0.84539589082841538</v>
      </c>
      <c r="G710" cm="1">
        <f t="array" ref="G710">(PRODUCT(1+sp500_monthly!L711:L830)^(1/120)-1)</f>
        <v>0.46034274686227472</v>
      </c>
      <c r="H710" cm="1">
        <f t="array" ref="H710">(PRODUCT(1+sp500_monthly!N711:N830)^(1/120)-1)*100</f>
        <v>0.82677092652951867</v>
      </c>
      <c r="I710" cm="1">
        <f t="array" ref="I710">(PRODUCT(1+sp500_monthly!O711:O830)^(1/120)-1)*100</f>
        <v>0.17353176064618392</v>
      </c>
    </row>
    <row r="711" spans="1:9" x14ac:dyDescent="0.35">
      <c r="A711" s="1">
        <v>31078</v>
      </c>
      <c r="B711" cm="1">
        <f t="array" ref="B711">(PRODUCT(1+sp500_monthly!B712:B831)^(1/120)-1)*100</f>
        <v>1.0826924682937999</v>
      </c>
      <c r="C711" cm="1">
        <f t="array" ref="C711">(PRODUCT(1+sp500_monthly!C712:C831)^(1/120)-1)*100</f>
        <v>0.79369619873508324</v>
      </c>
      <c r="D711" cm="1">
        <f t="array" ref="D711">(PRODUCT(1+sp500_monthly!D712:D831)^(1/120)-1)*100</f>
        <v>1.1189614556301297</v>
      </c>
      <c r="E711" cm="1">
        <f t="array" ref="E711">(PRODUCT(1+sp500_monthly!E712:E831)^(1/120)-1)*100</f>
        <v>0.86758232992907303</v>
      </c>
      <c r="F711" cm="1">
        <f t="array" ref="F711">(PRODUCT(1+sp500_monthly!K712:K831)^(1/120)-1)*100</f>
        <v>0.80550164562755988</v>
      </c>
      <c r="G711" cm="1">
        <f t="array" ref="G711">(PRODUCT(1+sp500_monthly!L712:L831)^(1/120)-1)</f>
        <v>0.4585170195773014</v>
      </c>
      <c r="H711" cm="1">
        <f t="array" ref="H711">(PRODUCT(1+sp500_monthly!N712:N831)^(1/120)-1)*100</f>
        <v>0.78547696957198543</v>
      </c>
      <c r="I711" cm="1">
        <f t="array" ref="I711">(PRODUCT(1+sp500_monthly!O712:O831)^(1/120)-1)*100</f>
        <v>0.17098140248379412</v>
      </c>
    </row>
    <row r="712" spans="1:9" x14ac:dyDescent="0.35">
      <c r="A712" s="1">
        <v>31106</v>
      </c>
      <c r="B712" cm="1">
        <f t="array" ref="B712">(PRODUCT(1+sp500_monthly!B713:B832)^(1/120)-1)*100</f>
        <v>1.1032577531426391</v>
      </c>
      <c r="C712" cm="1">
        <f t="array" ref="C712">(PRODUCT(1+sp500_monthly!C713:C832)^(1/120)-1)*100</f>
        <v>0.81624034288689806</v>
      </c>
      <c r="D712" cm="1">
        <f t="array" ref="D712">(PRODUCT(1+sp500_monthly!D713:D832)^(1/120)-1)*100</f>
        <v>1.1474834049013394</v>
      </c>
      <c r="E712" cm="1">
        <f t="array" ref="E712">(PRODUCT(1+sp500_monthly!E713:E832)^(1/120)-1)*100</f>
        <v>0.8969828876989494</v>
      </c>
      <c r="F712" cm="1">
        <f t="array" ref="F712">(PRODUCT(1+sp500_monthly!K713:K832)^(1/120)-1)*100</f>
        <v>0.82800988312037305</v>
      </c>
      <c r="G712" cm="1">
        <f t="array" ref="G712">(PRODUCT(1+sp500_monthly!L713:L832)^(1/120)-1)</f>
        <v>0.45704766487075954</v>
      </c>
      <c r="H712" cm="1">
        <f t="array" ref="H712">(PRODUCT(1+sp500_monthly!N713:N832)^(1/120)-1)*100</f>
        <v>0.80850710051987296</v>
      </c>
      <c r="I712" cm="1">
        <f t="array" ref="I712">(PRODUCT(1+sp500_monthly!O713:O832)^(1/120)-1)*100</f>
        <v>0.17199554481086565</v>
      </c>
    </row>
    <row r="713" spans="1:9" x14ac:dyDescent="0.35">
      <c r="A713" s="1">
        <v>31135</v>
      </c>
      <c r="B713" cm="1">
        <f t="array" ref="B713">(PRODUCT(1+sp500_monthly!B714:B833)^(1/120)-1)*100</f>
        <v>1.1281559736161961</v>
      </c>
      <c r="C713" cm="1">
        <f t="array" ref="C713">(PRODUCT(1+sp500_monthly!C714:C833)^(1/120)-1)*100</f>
        <v>0.84212332067938878</v>
      </c>
      <c r="D713" cm="1">
        <f t="array" ref="D713">(PRODUCT(1+sp500_monthly!D714:D833)^(1/120)-1)*100</f>
        <v>1.174991631328548</v>
      </c>
      <c r="E713" cm="1">
        <f t="array" ref="E713">(PRODUCT(1+sp500_monthly!E714:E833)^(1/120)-1)*100</f>
        <v>0.92548569008943371</v>
      </c>
      <c r="F713" cm="1">
        <f t="array" ref="F713">(PRODUCT(1+sp500_monthly!K714:K833)^(1/120)-1)*100</f>
        <v>0.85312886239448105</v>
      </c>
      <c r="G713" cm="1">
        <f t="array" ref="G713">(PRODUCT(1+sp500_monthly!L714:L833)^(1/120)-1)</f>
        <v>0.4557855620630249</v>
      </c>
      <c r="H713" cm="1">
        <f t="array" ref="H713">(PRODUCT(1+sp500_monthly!N714:N833)^(1/120)-1)*100</f>
        <v>0.83560700789118147</v>
      </c>
      <c r="I713" cm="1">
        <f t="array" ref="I713">(PRODUCT(1+sp500_monthly!O714:O833)^(1/120)-1)*100</f>
        <v>0.17292642784472179</v>
      </c>
    </row>
    <row r="714" spans="1:9" x14ac:dyDescent="0.35">
      <c r="A714" s="1">
        <v>31167</v>
      </c>
      <c r="B714" cm="1">
        <f t="array" ref="B714">(PRODUCT(1+sp500_monthly!B715:B834)^(1/120)-1)*100</f>
        <v>1.1557020855507361</v>
      </c>
      <c r="C714" cm="1">
        <f t="array" ref="C714">(PRODUCT(1+sp500_monthly!C715:C834)^(1/120)-1)*100</f>
        <v>0.86982443011796029</v>
      </c>
      <c r="D714" cm="1">
        <f t="array" ref="D714">(PRODUCT(1+sp500_monthly!D715:D834)^(1/120)-1)*100</f>
        <v>1.2046843303443966</v>
      </c>
      <c r="E714" cm="1">
        <f t="array" ref="E714">(PRODUCT(1+sp500_monthly!E715:E834)^(1/120)-1)*100</f>
        <v>0.95547708730301384</v>
      </c>
      <c r="F714" cm="1">
        <f t="array" ref="F714">(PRODUCT(1+sp500_monthly!K715:K834)^(1/120)-1)*100</f>
        <v>0.88017864313343352</v>
      </c>
      <c r="G714" cm="1">
        <f t="array" ref="G714">(PRODUCT(1+sp500_monthly!L715:L834)^(1/120)-1)</f>
        <v>0.45363160967259897</v>
      </c>
      <c r="H714" cm="1">
        <f t="array" ref="H714">(PRODUCT(1+sp500_monthly!N715:N834)^(1/120)-1)*100</f>
        <v>0.86131717562472065</v>
      </c>
      <c r="I714" cm="1">
        <f t="array" ref="I714">(PRODUCT(1+sp500_monthly!O715:O834)^(1/120)-1)*100</f>
        <v>0.16885836375413188</v>
      </c>
    </row>
    <row r="715" spans="1:9" x14ac:dyDescent="0.35">
      <c r="A715" s="1">
        <v>31198</v>
      </c>
      <c r="B715" cm="1">
        <f t="array" ref="B715">(PRODUCT(1+sp500_monthly!B716:B835)^(1/120)-1)*100</f>
        <v>1.1373158112519155</v>
      </c>
      <c r="C715" cm="1">
        <f t="array" ref="C715">(PRODUCT(1+sp500_monthly!C716:C835)^(1/120)-1)*100</f>
        <v>0.85344729491443339</v>
      </c>
      <c r="D715" cm="1">
        <f t="array" ref="D715">(PRODUCT(1+sp500_monthly!D716:D835)^(1/120)-1)*100</f>
        <v>1.1798257219631347</v>
      </c>
      <c r="E715" cm="1">
        <f t="array" ref="E715">(PRODUCT(1+sp500_monthly!E716:E835)^(1/120)-1)*100</f>
        <v>0.93139909837103296</v>
      </c>
      <c r="F715" cm="1">
        <f t="array" ref="F715">(PRODUCT(1+sp500_monthly!K716:K835)^(1/120)-1)*100</f>
        <v>0.86591134524103275</v>
      </c>
      <c r="G715" cm="1">
        <f t="array" ref="G715">(PRODUCT(1+sp500_monthly!L716:L835)^(1/120)-1)</f>
        <v>0.45272294780788647</v>
      </c>
      <c r="H715" cm="1">
        <f t="array" ref="H715">(PRODUCT(1+sp500_monthly!N716:N835)^(1/120)-1)*100</f>
        <v>0.8428945581821834</v>
      </c>
      <c r="I715" cm="1">
        <f t="array" ref="I715">(PRODUCT(1+sp500_monthly!O716:O835)^(1/120)-1)*100</f>
        <v>0.16777340465359281</v>
      </c>
    </row>
    <row r="716" spans="1:9" x14ac:dyDescent="0.35">
      <c r="A716" s="1">
        <v>31226</v>
      </c>
      <c r="B716" cm="1">
        <f t="array" ref="B716">(PRODUCT(1+sp500_monthly!B717:B836)^(1/120)-1)*100</f>
        <v>1.143999994089917</v>
      </c>
      <c r="C716" cm="1">
        <f t="array" ref="C716">(PRODUCT(1+sp500_monthly!C717:C836)^(1/120)-1)*100</f>
        <v>0.86110658627833736</v>
      </c>
      <c r="D716" cm="1">
        <f t="array" ref="D716">(PRODUCT(1+sp500_monthly!D717:D836)^(1/120)-1)*100</f>
        <v>1.1891649643728019</v>
      </c>
      <c r="E716" cm="1">
        <f t="array" ref="E716">(PRODUCT(1+sp500_monthly!E717:E836)^(1/120)-1)*100</f>
        <v>0.94176441541329314</v>
      </c>
      <c r="F716" cm="1">
        <f t="array" ref="F716">(PRODUCT(1+sp500_monthly!K717:K836)^(1/120)-1)*100</f>
        <v>0.87347219285816013</v>
      </c>
      <c r="G716" cm="1">
        <f t="array" ref="G716">(PRODUCT(1+sp500_monthly!L717:L836)^(1/120)-1)</f>
        <v>0.45208156056638349</v>
      </c>
      <c r="H716" cm="1">
        <f t="array" ref="H716">(PRODUCT(1+sp500_monthly!N717:N836)^(1/120)-1)*100</f>
        <v>0.85025191557048796</v>
      </c>
      <c r="I716" cm="1">
        <f t="array" ref="I716">(PRODUCT(1+sp500_monthly!O717:O836)^(1/120)-1)*100</f>
        <v>0.1677969559356951</v>
      </c>
    </row>
    <row r="717" spans="1:9" x14ac:dyDescent="0.35">
      <c r="A717" s="1">
        <v>31259</v>
      </c>
      <c r="B717" cm="1">
        <f t="array" ref="B717">(PRODUCT(1+sp500_monthly!B718:B837)^(1/120)-1)*100</f>
        <v>1.1745043151480949</v>
      </c>
      <c r="C717" cm="1">
        <f t="array" ref="C717">(PRODUCT(1+sp500_monthly!C718:C837)^(1/120)-1)*100</f>
        <v>0.89201659717048631</v>
      </c>
      <c r="D717" cm="1">
        <f t="array" ref="D717">(PRODUCT(1+sp500_monthly!D718:D837)^(1/120)-1)*100</f>
        <v>1.2090075359643571</v>
      </c>
      <c r="E717" cm="1">
        <f t="array" ref="E717">(PRODUCT(1+sp500_monthly!E718:E837)^(1/120)-1)*100</f>
        <v>0.96205143703991247</v>
      </c>
      <c r="F717" cm="1">
        <f t="array" ref="F717">(PRODUCT(1+sp500_monthly!K718:K837)^(1/120)-1)*100</f>
        <v>0.90385765484941594</v>
      </c>
      <c r="G717" cm="1">
        <f t="array" ref="G717">(PRODUCT(1+sp500_monthly!L718:L837)^(1/120)-1)</f>
        <v>0.45074066733401885</v>
      </c>
      <c r="H717" cm="1">
        <f t="array" ref="H717">(PRODUCT(1+sp500_monthly!N718:N837)^(1/120)-1)*100</f>
        <v>0.88112771244015509</v>
      </c>
      <c r="I717" cm="1">
        <f t="array" ref="I717">(PRODUCT(1+sp500_monthly!O718:O837)^(1/120)-1)*100</f>
        <v>0.16684228391248279</v>
      </c>
    </row>
    <row r="718" spans="1:9" x14ac:dyDescent="0.35">
      <c r="A718" s="1">
        <v>31289</v>
      </c>
      <c r="B718" cm="1">
        <f t="array" ref="B718">(PRODUCT(1+sp500_monthly!B719:B838)^(1/120)-1)*100</f>
        <v>1.1829273783043659</v>
      </c>
      <c r="C718" cm="1">
        <f t="array" ref="C718">(PRODUCT(1+sp500_monthly!C719:C838)^(1/120)-1)*100</f>
        <v>0.90259720751086903</v>
      </c>
      <c r="D718" cm="1">
        <f t="array" ref="D718">(PRODUCT(1+sp500_monthly!D719:D838)^(1/120)-1)*100</f>
        <v>1.2225929495155441</v>
      </c>
      <c r="E718" cm="1">
        <f t="array" ref="E718">(PRODUCT(1+sp500_monthly!E719:E838)^(1/120)-1)*100</f>
        <v>0.97660074732222046</v>
      </c>
      <c r="F718" cm="1">
        <f t="array" ref="F718">(PRODUCT(1+sp500_monthly!K719:K838)^(1/120)-1)*100</f>
        <v>0.913736179796798</v>
      </c>
      <c r="G718" cm="1">
        <f t="array" ref="G718">(PRODUCT(1+sp500_monthly!L719:L838)^(1/120)-1)</f>
        <v>0.45010015528307235</v>
      </c>
      <c r="H718" cm="1">
        <f t="array" ref="H718">(PRODUCT(1+sp500_monthly!N719:N838)^(1/120)-1)*100</f>
        <v>0.88943495708120324</v>
      </c>
      <c r="I718" cm="1">
        <f t="array" ref="I718">(PRODUCT(1+sp500_monthly!O719:O838)^(1/120)-1)*100</f>
        <v>0.16608715670833885</v>
      </c>
    </row>
    <row r="719" spans="1:9" x14ac:dyDescent="0.35">
      <c r="A719" s="1">
        <v>31320</v>
      </c>
      <c r="B719" cm="1">
        <f t="array" ref="B719">(PRODUCT(1+sp500_monthly!B720:B839)^(1/120)-1)*100</f>
        <v>1.2462312816148735</v>
      </c>
      <c r="C719" cm="1">
        <f t="array" ref="C719">(PRODUCT(1+sp500_monthly!C720:C839)^(1/120)-1)*100</f>
        <v>0.96674460362178305</v>
      </c>
      <c r="D719" cm="1">
        <f t="array" ref="D719">(PRODUCT(1+sp500_monthly!D720:D839)^(1/120)-1)*100</f>
        <v>1.2820732288031156</v>
      </c>
      <c r="E719" cm="1">
        <f t="array" ref="E719">(PRODUCT(1+sp500_monthly!E720:E839)^(1/120)-1)*100</f>
        <v>1.0368572819957178</v>
      </c>
      <c r="F719" cm="1">
        <f t="array" ref="F719">(PRODUCT(1+sp500_monthly!K720:K839)^(1/120)-1)*100</f>
        <v>0.97653763648986036</v>
      </c>
      <c r="G719" cm="1">
        <f t="array" ref="G719">(PRODUCT(1+sp500_monthly!L720:L839)^(1/120)-1)</f>
        <v>0.44874338566413718</v>
      </c>
      <c r="H719" cm="1">
        <f t="array" ref="H719">(PRODUCT(1+sp500_monthly!N720:N839)^(1/120)-1)*100</f>
        <v>0.95301345041931551</v>
      </c>
      <c r="I719" cm="1">
        <f t="array" ref="I719">(PRODUCT(1+sp500_monthly!O720:O839)^(1/120)-1)*100</f>
        <v>0.16513005127340996</v>
      </c>
    </row>
    <row r="720" spans="1:9" x14ac:dyDescent="0.35">
      <c r="A720" s="1">
        <v>31351</v>
      </c>
      <c r="B720" cm="1">
        <f t="array" ref="B720">(PRODUCT(1+sp500_monthly!B721:B840)^(1/120)-1)*100</f>
        <v>1.2061284913073234</v>
      </c>
      <c r="C720" cm="1">
        <f t="array" ref="C720">(PRODUCT(1+sp500_monthly!C721:C840)^(1/120)-1)*100</f>
        <v>0.92750620893211622</v>
      </c>
      <c r="D720" cm="1">
        <f t="array" ref="D720">(PRODUCT(1+sp500_monthly!D721:D840)^(1/120)-1)*100</f>
        <v>1.2262953342424998</v>
      </c>
      <c r="E720" cm="1">
        <f t="array" ref="E720">(PRODUCT(1+sp500_monthly!E721:E840)^(1/120)-1)*100</f>
        <v>0.98169840081880899</v>
      </c>
      <c r="F720" cm="1">
        <f t="array" ref="F720">(PRODUCT(1+sp500_monthly!K721:K840)^(1/120)-1)*100</f>
        <v>0.93731440376021435</v>
      </c>
      <c r="G720" cm="1">
        <f t="array" ref="G720">(PRODUCT(1+sp500_monthly!L721:L840)^(1/120)-1)</f>
        <v>0.44734948556790011</v>
      </c>
      <c r="H720" cm="1">
        <f t="array" ref="H720">(PRODUCT(1+sp500_monthly!N721:N840)^(1/120)-1)*100</f>
        <v>0.91393854109349526</v>
      </c>
      <c r="I720" cm="1">
        <f t="array" ref="I720">(PRODUCT(1+sp500_monthly!O721:O840)^(1/120)-1)*100</f>
        <v>0.1645409212429394</v>
      </c>
    </row>
    <row r="721" spans="1:9" x14ac:dyDescent="0.35">
      <c r="A721" s="1">
        <v>31380</v>
      </c>
      <c r="B721" cm="1">
        <f t="array" ref="B721">(PRODUCT(1+sp500_monthly!B722:B841)^(1/120)-1)*100</f>
        <v>1.1840429034850386</v>
      </c>
      <c r="C721" cm="1">
        <f t="array" ref="C721">(PRODUCT(1+sp500_monthly!C722:C841)^(1/120)-1)*100</f>
        <v>0.90732464266105595</v>
      </c>
      <c r="D721" cm="1">
        <f t="array" ref="D721">(PRODUCT(1+sp500_monthly!D722:D841)^(1/120)-1)*100</f>
        <v>1.2077145071033524</v>
      </c>
      <c r="E721" cm="1">
        <f t="array" ref="E721">(PRODUCT(1+sp500_monthly!E722:E841)^(1/120)-1)*100</f>
        <v>0.96397816232740574</v>
      </c>
      <c r="F721" cm="1">
        <f t="array" ref="F721">(PRODUCT(1+sp500_monthly!K722:K841)^(1/120)-1)*100</f>
        <v>0.91813464172167958</v>
      </c>
      <c r="G721" cm="1">
        <f t="array" ref="G721">(PRODUCT(1+sp500_monthly!L722:L841)^(1/120)-1)</f>
        <v>0.44583565903846489</v>
      </c>
      <c r="H721" cm="1">
        <f t="array" ref="H721">(PRODUCT(1+sp500_monthly!N722:N841)^(1/120)-1)*100</f>
        <v>0.89468760410036374</v>
      </c>
      <c r="I721" cm="1">
        <f t="array" ref="I721">(PRODUCT(1+sp500_monthly!O722:O841)^(1/120)-1)*100</f>
        <v>0.16571398846725316</v>
      </c>
    </row>
    <row r="722" spans="1:9" x14ac:dyDescent="0.35">
      <c r="A722" s="1">
        <v>31412</v>
      </c>
      <c r="B722" cm="1">
        <f t="array" ref="B722">(PRODUCT(1+sp500_monthly!B723:B842)^(1/120)-1)*100</f>
        <v>1.1591350816325008</v>
      </c>
      <c r="C722" cm="1">
        <f t="array" ref="C722">(PRODUCT(1+sp500_monthly!C723:C842)^(1/120)-1)*100</f>
        <v>0.88337812560221884</v>
      </c>
      <c r="D722" cm="1">
        <f t="array" ref="D722">(PRODUCT(1+sp500_monthly!D723:D842)^(1/120)-1)*100</f>
        <v>1.1840354039554191</v>
      </c>
      <c r="E722" cm="1">
        <f t="array" ref="E722">(PRODUCT(1+sp500_monthly!E723:E842)^(1/120)-1)*100</f>
        <v>0.94098808654590194</v>
      </c>
      <c r="F722" cm="1">
        <f t="array" ref="F722">(PRODUCT(1+sp500_monthly!K723:K842)^(1/120)-1)*100</f>
        <v>0.89561419769019768</v>
      </c>
      <c r="G722" cm="1">
        <f t="array" ref="G722">(PRODUCT(1+sp500_monthly!L723:L842)^(1/120)-1)</f>
        <v>0.44460723090494181</v>
      </c>
      <c r="H722" cm="1">
        <f t="array" ref="H722">(PRODUCT(1+sp500_monthly!N723:N842)^(1/120)-1)*100</f>
        <v>0.87260502811148388</v>
      </c>
      <c r="I722" cm="1">
        <f t="array" ref="I722">(PRODUCT(1+sp500_monthly!O723:O842)^(1/120)-1)*100</f>
        <v>0.16712077964118333</v>
      </c>
    </row>
    <row r="723" spans="1:9" x14ac:dyDescent="0.35">
      <c r="A723" s="1">
        <v>31443</v>
      </c>
      <c r="B723" cm="1">
        <f t="array" ref="B723">(PRODUCT(1+sp500_monthly!B724:B843)^(1/120)-1)*100</f>
        <v>1.1840672686043163</v>
      </c>
      <c r="C723" cm="1">
        <f t="array" ref="C723">(PRODUCT(1+sp500_monthly!C724:C843)^(1/120)-1)*100</f>
        <v>0.90852747592227168</v>
      </c>
      <c r="D723" cm="1">
        <f t="array" ref="D723">(PRODUCT(1+sp500_monthly!D724:D843)^(1/120)-1)*100</f>
        <v>1.1953979846475393</v>
      </c>
      <c r="E723" cm="1">
        <f t="array" ref="E723">(PRODUCT(1+sp500_monthly!E724:E843)^(1/120)-1)*100</f>
        <v>0.9524508007638266</v>
      </c>
      <c r="F723" cm="1">
        <f t="array" ref="F723">(PRODUCT(1+sp500_monthly!K724:K843)^(1/120)-1)*100</f>
        <v>0.92061599400479199</v>
      </c>
      <c r="G723" cm="1">
        <f t="array" ref="G723">(PRODUCT(1+sp500_monthly!L724:L843)^(1/120)-1)</f>
        <v>0.44356013337022682</v>
      </c>
      <c r="H723" cm="1">
        <f t="array" ref="H723">(PRODUCT(1+sp500_monthly!N724:N843)^(1/120)-1)*100</f>
        <v>0.89617309436926806</v>
      </c>
      <c r="I723" cm="1">
        <f t="array" ref="I723">(PRODUCT(1+sp500_monthly!O724:O843)^(1/120)-1)*100</f>
        <v>0.16475686226817832</v>
      </c>
    </row>
    <row r="724" spans="1:9" x14ac:dyDescent="0.35">
      <c r="A724" s="1">
        <v>31471</v>
      </c>
      <c r="B724" cm="1">
        <f t="array" ref="B724">(PRODUCT(1+sp500_monthly!B725:B844)^(1/120)-1)*100</f>
        <v>1.1303689678233031</v>
      </c>
      <c r="C724" cm="1">
        <f t="array" ref="C724">(PRODUCT(1+sp500_monthly!C725:C844)^(1/120)-1)*100</f>
        <v>0.85686527383603828</v>
      </c>
      <c r="D724" cm="1">
        <f t="array" ref="D724">(PRODUCT(1+sp500_monthly!D725:D844)^(1/120)-1)*100</f>
        <v>1.1405445108386703</v>
      </c>
      <c r="E724" cm="1">
        <f t="array" ref="E724">(PRODUCT(1+sp500_monthly!E725:E844)^(1/120)-1)*100</f>
        <v>0.89840683394810661</v>
      </c>
      <c r="F724" cm="1">
        <f t="array" ref="F724">(PRODUCT(1+sp500_monthly!K725:K844)^(1/120)-1)*100</f>
        <v>0.86837013654719186</v>
      </c>
      <c r="G724" cm="1">
        <f t="array" ref="G724">(PRODUCT(1+sp500_monthly!L725:L844)^(1/120)-1)</f>
        <v>0.44240617994249765</v>
      </c>
      <c r="H724" cm="1">
        <f t="array" ref="H724">(PRODUCT(1+sp500_monthly!N725:N844)^(1/120)-1)*100</f>
        <v>0.83946885608965349</v>
      </c>
      <c r="I724" cm="1">
        <f t="array" ref="I724">(PRODUCT(1+sp500_monthly!O725:O844)^(1/120)-1)*100</f>
        <v>0.1604561777762914</v>
      </c>
    </row>
    <row r="725" spans="1:9" x14ac:dyDescent="0.35">
      <c r="A725" s="1">
        <v>31502</v>
      </c>
      <c r="B725" cm="1">
        <f t="array" ref="B725">(PRODUCT(1+sp500_monthly!B726:B845)^(1/120)-1)*100</f>
        <v>1.0926293317434776</v>
      </c>
      <c r="C725" cm="1">
        <f t="array" ref="C725">(PRODUCT(1+sp500_monthly!C726:C845)^(1/120)-1)*100</f>
        <v>0.81979222276309383</v>
      </c>
      <c r="D725" cm="1">
        <f t="array" ref="D725">(PRODUCT(1+sp500_monthly!D726:D845)^(1/120)-1)*100</f>
        <v>1.1074951805377209</v>
      </c>
      <c r="E725" cm="1">
        <f t="array" ref="E725">(PRODUCT(1+sp500_monthly!E726:E845)^(1/120)-1)*100</f>
        <v>0.86593370102956424</v>
      </c>
      <c r="F725" cm="1">
        <f t="array" ref="F725">(PRODUCT(1+sp500_monthly!K726:K845)^(1/120)-1)*100</f>
        <v>0.83176008628438325</v>
      </c>
      <c r="G725" cm="1">
        <f t="array" ref="G725">(PRODUCT(1+sp500_monthly!L726:L845)^(1/120)-1)</f>
        <v>0.44071595120304696</v>
      </c>
      <c r="H725" cm="1">
        <f t="array" ref="H725">(PRODUCT(1+sp500_monthly!N726:N845)^(1/120)-1)*100</f>
        <v>0.79452563457977909</v>
      </c>
      <c r="I725" cm="1">
        <f t="array" ref="I725">(PRODUCT(1+sp500_monthly!O726:O845)^(1/120)-1)*100</f>
        <v>0.15144652723488861</v>
      </c>
    </row>
    <row r="726" spans="1:9" x14ac:dyDescent="0.35">
      <c r="A726" s="1">
        <v>31532</v>
      </c>
      <c r="B726" cm="1">
        <f t="array" ref="B726">(PRODUCT(1+sp500_monthly!B727:B846)^(1/120)-1)*100</f>
        <v>1.1166058903962606</v>
      </c>
      <c r="C726" cm="1">
        <f t="array" ref="C726">(PRODUCT(1+sp500_monthly!C727:C846)^(1/120)-1)*100</f>
        <v>0.84410140281150348</v>
      </c>
      <c r="D726" cm="1">
        <f t="array" ref="D726">(PRODUCT(1+sp500_monthly!D727:D846)^(1/120)-1)*100</f>
        <v>1.148062638376679</v>
      </c>
      <c r="E726" cm="1">
        <f t="array" ref="E726">(PRODUCT(1+sp500_monthly!E727:E846)^(1/120)-1)*100</f>
        <v>0.90676516309933231</v>
      </c>
      <c r="F726" cm="1">
        <f t="array" ref="F726">(PRODUCT(1+sp500_monthly!K727:K846)^(1/120)-1)*100</f>
        <v>0.85494619225325863</v>
      </c>
      <c r="G726" cm="1">
        <f t="array" ref="G726">(PRODUCT(1+sp500_monthly!L727:L846)^(1/120)-1)</f>
        <v>0.44023250525943003</v>
      </c>
      <c r="H726" cm="1">
        <f t="array" ref="H726">(PRODUCT(1+sp500_monthly!N727:N846)^(1/120)-1)*100</f>
        <v>0.81211020976019732</v>
      </c>
      <c r="I726" cm="1">
        <f t="array" ref="I726">(PRODUCT(1+sp500_monthly!O727:O846)^(1/120)-1)*100</f>
        <v>0.14466878296428565</v>
      </c>
    </row>
    <row r="727" spans="1:9" x14ac:dyDescent="0.35">
      <c r="A727" s="1">
        <v>31562</v>
      </c>
      <c r="B727" cm="1">
        <f t="array" ref="B727">(PRODUCT(1+sp500_monthly!B728:B847)^(1/120)-1)*100</f>
        <v>1.0922511724167805</v>
      </c>
      <c r="C727" cm="1">
        <f t="array" ref="C727">(PRODUCT(1+sp500_monthly!C728:C847)^(1/120)-1)*100</f>
        <v>0.82118244834545884</v>
      </c>
      <c r="D727" cm="1">
        <f t="array" ref="D727">(PRODUCT(1+sp500_monthly!D728:D847)^(1/120)-1)*100</f>
        <v>1.1116065960114607</v>
      </c>
      <c r="E727" cm="1">
        <f t="array" ref="E727">(PRODUCT(1+sp500_monthly!E728:E847)^(1/120)-1)*100</f>
        <v>0.87090093713828587</v>
      </c>
      <c r="F727" cm="1">
        <f t="array" ref="F727">(PRODUCT(1+sp500_monthly!K728:K847)^(1/120)-1)*100</f>
        <v>0.83275007984346949</v>
      </c>
      <c r="G727" cm="1">
        <f t="array" ref="G727">(PRODUCT(1+sp500_monthly!L728:L847)^(1/120)-1)</f>
        <v>0.43965509682246728</v>
      </c>
      <c r="H727" cm="1">
        <f t="array" ref="H727">(PRODUCT(1+sp500_monthly!N728:N847)^(1/120)-1)*100</f>
        <v>0.78853106307985588</v>
      </c>
      <c r="I727" cm="1">
        <f t="array" ref="I727">(PRODUCT(1+sp500_monthly!O728:O847)^(1/120)-1)*100</f>
        <v>0.14478499929904132</v>
      </c>
    </row>
    <row r="728" spans="1:9" x14ac:dyDescent="0.35">
      <c r="A728" s="1">
        <v>31593</v>
      </c>
      <c r="B728" cm="1">
        <f t="array" ref="B728">(PRODUCT(1+sp500_monthly!B729:B848)^(1/120)-1)*100</f>
        <v>1.0825620744642661</v>
      </c>
      <c r="C728" cm="1">
        <f t="array" ref="C728">(PRODUCT(1+sp500_monthly!C729:C848)^(1/120)-1)*100</f>
        <v>0.81222364382325107</v>
      </c>
      <c r="D728" cm="1">
        <f t="array" ref="D728">(PRODUCT(1+sp500_monthly!D729:D848)^(1/120)-1)*100</f>
        <v>1.1020462203750192</v>
      </c>
      <c r="E728" cm="1">
        <f t="array" ref="E728">(PRODUCT(1+sp500_monthly!E729:E848)^(1/120)-1)*100</f>
        <v>0.861815562070678</v>
      </c>
      <c r="F728" cm="1">
        <f t="array" ref="F728">(PRODUCT(1+sp500_monthly!K729:K848)^(1/120)-1)*100</f>
        <v>0.82287153915816535</v>
      </c>
      <c r="G728" cm="1">
        <f t="array" ref="G728">(PRODUCT(1+sp500_monthly!L729:L848)^(1/120)-1)</f>
        <v>0.43866881400883218</v>
      </c>
      <c r="H728" cm="1">
        <f t="array" ref="H728">(PRODUCT(1+sp500_monthly!N729:N848)^(1/120)-1)*100</f>
        <v>0.78033799471022292</v>
      </c>
      <c r="I728" cm="1">
        <f t="array" ref="I728">(PRODUCT(1+sp500_monthly!O729:O848)^(1/120)-1)*100</f>
        <v>0.14524581749726373</v>
      </c>
    </row>
    <row r="729" spans="1:9" x14ac:dyDescent="0.35">
      <c r="A729" s="1">
        <v>31624</v>
      </c>
      <c r="B729" cm="1">
        <f t="array" ref="B729">(PRODUCT(1+sp500_monthly!B730:B849)^(1/120)-1)*100</f>
        <v>1.094188040369537</v>
      </c>
      <c r="C729" cm="1">
        <f t="array" ref="C729">(PRODUCT(1+sp500_monthly!C730:C849)^(1/120)-1)*100</f>
        <v>0.82404624804301996</v>
      </c>
      <c r="D729" cm="1">
        <f t="array" ref="D729">(PRODUCT(1+sp500_monthly!D730:D849)^(1/120)-1)*100</f>
        <v>1.1195573178530926</v>
      </c>
      <c r="E729" cm="1">
        <f t="array" ref="E729">(PRODUCT(1+sp500_monthly!E730:E849)^(1/120)-1)*100</f>
        <v>0.87953852892550533</v>
      </c>
      <c r="F729" cm="1">
        <f t="array" ref="F729">(PRODUCT(1+sp500_monthly!K730:K849)^(1/120)-1)*100</f>
        <v>0.83433896882776359</v>
      </c>
      <c r="G729" cm="1">
        <f t="array" ref="G729">(PRODUCT(1+sp500_monthly!L730:L849)^(1/120)-1)</f>
        <v>0.43810368670080124</v>
      </c>
      <c r="H729" cm="1">
        <f t="array" ref="H729">(PRODUCT(1+sp500_monthly!N730:N849)^(1/120)-1)*100</f>
        <v>0.79109011388645012</v>
      </c>
      <c r="I729" cm="1">
        <f t="array" ref="I729">(PRODUCT(1+sp500_monthly!O730:O849)^(1/120)-1)*100</f>
        <v>0.14383076003934292</v>
      </c>
    </row>
    <row r="730" spans="1:9" x14ac:dyDescent="0.35">
      <c r="A730" s="1">
        <v>31653</v>
      </c>
      <c r="B730" cm="1">
        <f t="array" ref="B730">(PRODUCT(1+sp500_monthly!B731:B850)^(1/120)-1)*100</f>
        <v>1.0520008475611853</v>
      </c>
      <c r="C730" cm="1">
        <f t="array" ref="C730">(PRODUCT(1+sp500_monthly!C731:C850)^(1/120)-1)*100</f>
        <v>0.78344748151961685</v>
      </c>
      <c r="D730" cm="1">
        <f t="array" ref="D730">(PRODUCT(1+sp500_monthly!D731:D850)^(1/120)-1)*100</f>
        <v>1.0836799127863284</v>
      </c>
      <c r="E730" cm="1">
        <f t="array" ref="E730">(PRODUCT(1+sp500_monthly!E731:E850)^(1/120)-1)*100</f>
        <v>0.84438956312244962</v>
      </c>
      <c r="F730" cm="1">
        <f t="array" ref="F730">(PRODUCT(1+sp500_monthly!K731:K850)^(1/120)-1)*100</f>
        <v>0.79222105033180945</v>
      </c>
      <c r="G730" cm="1">
        <f t="array" ref="G730">(PRODUCT(1+sp500_monthly!L731:L850)^(1/120)-1)</f>
        <v>0.43768613722308403</v>
      </c>
      <c r="H730" cm="1">
        <f t="array" ref="H730">(PRODUCT(1+sp500_monthly!N731:N850)^(1/120)-1)*100</f>
        <v>0.74872694959073893</v>
      </c>
      <c r="I730" cm="1">
        <f t="array" ref="I730">(PRODUCT(1+sp500_monthly!O731:O850)^(1/120)-1)*100</f>
        <v>0.14311466425924735</v>
      </c>
    </row>
    <row r="731" spans="1:9" x14ac:dyDescent="0.35">
      <c r="A731" s="1">
        <v>31685</v>
      </c>
      <c r="B731" cm="1">
        <f t="array" ref="B731">(PRODUCT(1+sp500_monthly!B732:B851)^(1/120)-1)*100</f>
        <v>1.1711727742569344</v>
      </c>
      <c r="C731" cm="1">
        <f t="array" ref="C731">(PRODUCT(1+sp500_monthly!C732:C851)^(1/120)-1)*100</f>
        <v>0.90299363189052517</v>
      </c>
      <c r="D731" cm="1">
        <f t="array" ref="D731">(PRODUCT(1+sp500_monthly!D732:D851)^(1/120)-1)*100</f>
        <v>1.1869694300522093</v>
      </c>
      <c r="E731" cm="1">
        <f t="array" ref="E731">(PRODUCT(1+sp500_monthly!E732:E851)^(1/120)-1)*100</f>
        <v>0.94780012588755458</v>
      </c>
      <c r="F731" cm="1">
        <f t="array" ref="F731">(PRODUCT(1+sp500_monthly!K732:K851)^(1/120)-1)*100</f>
        <v>0.91161935874601863</v>
      </c>
      <c r="G731" cm="1">
        <f t="array" ref="G731">(PRODUCT(1+sp500_monthly!L732:L851)^(1/120)-1)</f>
        <v>0.43760322774097449</v>
      </c>
      <c r="H731" cm="1">
        <f t="array" ref="H731">(PRODUCT(1+sp500_monthly!N732:N851)^(1/120)-1)*100</f>
        <v>0.86793408223204693</v>
      </c>
      <c r="I731" cm="1">
        <f t="array" ref="I731">(PRODUCT(1+sp500_monthly!O732:O851)^(1/120)-1)*100</f>
        <v>0.14342162034457484</v>
      </c>
    </row>
    <row r="732" spans="1:9" x14ac:dyDescent="0.35">
      <c r="A732" s="1">
        <v>31716</v>
      </c>
      <c r="B732" cm="1">
        <f t="array" ref="B732">(PRODUCT(1+sp500_monthly!B733:B852)^(1/120)-1)*100</f>
        <v>1.1471033879963954</v>
      </c>
      <c r="C732" cm="1">
        <f t="array" ref="C732">(PRODUCT(1+sp500_monthly!C733:C852)^(1/120)-1)*100</f>
        <v>0.8799710803169658</v>
      </c>
      <c r="D732" cm="1">
        <f t="array" ref="D732">(PRODUCT(1+sp500_monthly!D733:D852)^(1/120)-1)*100</f>
        <v>1.1468508072938643</v>
      </c>
      <c r="E732" cm="1">
        <f t="array" ref="E732">(PRODUCT(1+sp500_monthly!E733:E852)^(1/120)-1)*100</f>
        <v>0.9092359506122305</v>
      </c>
      <c r="F732" cm="1">
        <f t="array" ref="F732">(PRODUCT(1+sp500_monthly!K733:K852)^(1/120)-1)*100</f>
        <v>0.88850614533106942</v>
      </c>
      <c r="G732" cm="1">
        <f t="array" ref="G732">(PRODUCT(1+sp500_monthly!L733:L852)^(1/120)-1)</f>
        <v>0.43727046633377609</v>
      </c>
      <c r="H732" cm="1">
        <f t="array" ref="H732">(PRODUCT(1+sp500_monthly!N733:N852)^(1/120)-1)*100</f>
        <v>0.84280316561686774</v>
      </c>
      <c r="I732" cm="1">
        <f t="array" ref="I732">(PRODUCT(1+sp500_monthly!O733:O852)^(1/120)-1)*100</f>
        <v>0.14196347752024607</v>
      </c>
    </row>
    <row r="733" spans="1:9" x14ac:dyDescent="0.35">
      <c r="A733" s="1">
        <v>31744</v>
      </c>
      <c r="B733" cm="1">
        <f t="array" ref="B733">(PRODUCT(1+sp500_monthly!B734:B853)^(1/120)-1)*100</f>
        <v>1.1884882657755558</v>
      </c>
      <c r="C733" cm="1">
        <f t="array" ref="C733">(PRODUCT(1+sp500_monthly!C734:C853)^(1/120)-1)*100</f>
        <v>0.92375224368612674</v>
      </c>
      <c r="D733" cm="1">
        <f t="array" ref="D733">(PRODUCT(1+sp500_monthly!D734:D853)^(1/120)-1)*100</f>
        <v>1.1852387493302974</v>
      </c>
      <c r="E733" cm="1">
        <f t="array" ref="E733">(PRODUCT(1+sp500_monthly!E734:E853)^(1/120)-1)*100</f>
        <v>0.94923346454074409</v>
      </c>
      <c r="F733" cm="1">
        <f t="array" ref="F733">(PRODUCT(1+sp500_monthly!K734:K853)^(1/120)-1)*100</f>
        <v>0.93018103304536304</v>
      </c>
      <c r="G733" cm="1">
        <f t="array" ref="G733">(PRODUCT(1+sp500_monthly!L734:L853)^(1/120)-1)</f>
        <v>0.43744158305622549</v>
      </c>
      <c r="H733" cm="1">
        <f t="array" ref="H733">(PRODUCT(1+sp500_monthly!N734:N853)^(1/120)-1)*100</f>
        <v>0.88293504183796223</v>
      </c>
      <c r="I733" cm="1">
        <f t="array" ref="I733">(PRODUCT(1+sp500_monthly!O734:O853)^(1/120)-1)*100</f>
        <v>0.14100951980025034</v>
      </c>
    </row>
    <row r="734" spans="1:9" x14ac:dyDescent="0.35">
      <c r="A734" s="1">
        <v>31777</v>
      </c>
      <c r="B734" cm="1">
        <f t="array" ref="B734">(PRODUCT(1+sp500_monthly!B735:B854)^(1/120)-1)*100</f>
        <v>1.1951517176721937</v>
      </c>
      <c r="C734" cm="1">
        <f t="array" ref="C734">(PRODUCT(1+sp500_monthly!C735:C854)^(1/120)-1)*100</f>
        <v>0.93122568638834835</v>
      </c>
      <c r="D734" cm="1">
        <f t="array" ref="D734">(PRODUCT(1+sp500_monthly!D735:D854)^(1/120)-1)*100</f>
        <v>1.1986813472058877</v>
      </c>
      <c r="E734" cm="1">
        <f t="array" ref="E734">(PRODUCT(1+sp500_monthly!E735:E854)^(1/120)-1)*100</f>
        <v>0.96324943872017066</v>
      </c>
      <c r="F734" cm="1">
        <f t="array" ref="F734">(PRODUCT(1+sp500_monthly!K735:K854)^(1/120)-1)*100</f>
        <v>0.93603196768889951</v>
      </c>
      <c r="G734" cm="1">
        <f t="array" ref="G734">(PRODUCT(1+sp500_monthly!L735:L854)^(1/120)-1)</f>
        <v>0.43719796113754028</v>
      </c>
      <c r="H734" cm="1">
        <f t="array" ref="H734">(PRODUCT(1+sp500_monthly!N735:N854)^(1/120)-1)*100</f>
        <v>0.89050263678518427</v>
      </c>
      <c r="I734" cm="1">
        <f t="array" ref="I734">(PRODUCT(1+sp500_monthly!O735:O854)^(1/120)-1)*100</f>
        <v>0.1416777554088533</v>
      </c>
    </row>
    <row r="735" spans="1:9" x14ac:dyDescent="0.35">
      <c r="A735" s="1">
        <v>31807</v>
      </c>
      <c r="B735" cm="1">
        <f t="array" ref="B735">(PRODUCT(1+sp500_monthly!B736:B855)^(1/120)-1)*100</f>
        <v>1.1396263919301042</v>
      </c>
      <c r="C735" cm="1">
        <f t="array" ref="C735">(PRODUCT(1+sp500_monthly!C736:C855)^(1/120)-1)*100</f>
        <v>0.87602572598615147</v>
      </c>
      <c r="D735" cm="1">
        <f t="array" ref="D735">(PRODUCT(1+sp500_monthly!D736:D855)^(1/120)-1)*100</f>
        <v>1.1198034624667619</v>
      </c>
      <c r="E735" cm="1">
        <f t="array" ref="E735">(PRODUCT(1+sp500_monthly!E736:E855)^(1/120)-1)*100</f>
        <v>0.88467527285382985</v>
      </c>
      <c r="F735" cm="1">
        <f t="array" ref="F735">(PRODUCT(1+sp500_monthly!K736:K855)^(1/120)-1)*100</f>
        <v>0.88198717338623389</v>
      </c>
      <c r="G735" cm="1">
        <f t="array" ref="G735">(PRODUCT(1+sp500_monthly!L736:L855)^(1/120)-1)</f>
        <v>0.43744837499072542</v>
      </c>
      <c r="H735" cm="1">
        <f t="array" ref="H735">(PRODUCT(1+sp500_monthly!N736:N855)^(1/120)-1)*100</f>
        <v>0.8380995904934796</v>
      </c>
      <c r="I735" cm="1">
        <f t="array" ref="I735">(PRODUCT(1+sp500_monthly!O736:O855)^(1/120)-1)*100</f>
        <v>0.14486182971722439</v>
      </c>
    </row>
    <row r="736" spans="1:9" x14ac:dyDescent="0.35">
      <c r="A736" s="1">
        <v>31835</v>
      </c>
      <c r="B736" cm="1">
        <f t="array" ref="B736">(PRODUCT(1+sp500_monthly!B737:B856)^(1/120)-1)*100</f>
        <v>1.1116426021621884</v>
      </c>
      <c r="C736" cm="1">
        <f t="array" ref="C736">(PRODUCT(1+sp500_monthly!C737:C856)^(1/120)-1)*100</f>
        <v>0.84966421027592443</v>
      </c>
      <c r="D736" cm="1">
        <f t="array" ref="D736">(PRODUCT(1+sp500_monthly!D737:D856)^(1/120)-1)*100</f>
        <v>1.0825498251056498</v>
      </c>
      <c r="E736" cm="1">
        <f t="array" ref="E736">(PRODUCT(1+sp500_monthly!E737:E856)^(1/120)-1)*100</f>
        <v>0.84791984507044393</v>
      </c>
      <c r="F736" cm="1">
        <f t="array" ref="F736">(PRODUCT(1+sp500_monthly!K737:K856)^(1/120)-1)*100</f>
        <v>0.85647722727835163</v>
      </c>
      <c r="G736" cm="1">
        <f t="array" ref="G736">(PRODUCT(1+sp500_monthly!L737:L856)^(1/120)-1)</f>
        <v>0.43710857005702208</v>
      </c>
      <c r="H736" cm="1">
        <f t="array" ref="H736">(PRODUCT(1+sp500_monthly!N737:N856)^(1/120)-1)*100</f>
        <v>0.81163069683813927</v>
      </c>
      <c r="I736" cm="1">
        <f t="array" ref="I736">(PRODUCT(1+sp500_monthly!O737:O856)^(1/120)-1)*100</f>
        <v>0.14595139309836469</v>
      </c>
    </row>
    <row r="737" spans="1:9" x14ac:dyDescent="0.35">
      <c r="A737" s="1">
        <v>31867</v>
      </c>
      <c r="B737" cm="1">
        <f t="array" ref="B737">(PRODUCT(1+sp500_monthly!B738:B857)^(1/120)-1)*100</f>
        <v>1.0538762882483343</v>
      </c>
      <c r="C737" cm="1">
        <f t="array" ref="C737">(PRODUCT(1+sp500_monthly!C738:C857)^(1/120)-1)*100</f>
        <v>0.79267645708807066</v>
      </c>
      <c r="D737" cm="1">
        <f t="array" ref="D737">(PRODUCT(1+sp500_monthly!D738:D857)^(1/120)-1)*100</f>
        <v>1.0358185742163961</v>
      </c>
      <c r="E737" cm="1">
        <f t="array" ref="E737">(PRODUCT(1+sp500_monthly!E738:E857)^(1/120)-1)*100</f>
        <v>0.80175513470144288</v>
      </c>
      <c r="F737" cm="1">
        <f t="array" ref="F737">(PRODUCT(1+sp500_monthly!K738:K857)^(1/120)-1)*100</f>
        <v>0.79800044130562409</v>
      </c>
      <c r="G737" cm="1">
        <f t="array" ref="G737">(PRODUCT(1+sp500_monthly!L738:L857)^(1/120)-1)</f>
        <v>0.43677821729293775</v>
      </c>
      <c r="H737" cm="1">
        <f t="array" ref="H737">(PRODUCT(1+sp500_monthly!N738:N857)^(1/120)-1)*100</f>
        <v>0.75650886709699439</v>
      </c>
      <c r="I737" cm="1">
        <f t="array" ref="I737">(PRODUCT(1+sp500_monthly!O738:O857)^(1/120)-1)*100</f>
        <v>0.14807721893472792</v>
      </c>
    </row>
    <row r="738" spans="1:9" x14ac:dyDescent="0.35">
      <c r="A738" s="1">
        <v>31897</v>
      </c>
      <c r="B738" cm="1">
        <f t="array" ref="B738">(PRODUCT(1+sp500_monthly!B739:B858)^(1/120)-1)*100</f>
        <v>1.1108307342017953</v>
      </c>
      <c r="C738" cm="1">
        <f t="array" ref="C738">(PRODUCT(1+sp500_monthly!C739:C858)^(1/120)-1)*100</f>
        <v>0.85022463480337596</v>
      </c>
      <c r="D738" cm="1">
        <f t="array" ref="D738">(PRODUCT(1+sp500_monthly!D739:D858)^(1/120)-1)*100</f>
        <v>1.0731486360546993</v>
      </c>
      <c r="E738" cm="1">
        <f t="array" ref="E738">(PRODUCT(1+sp500_monthly!E739:E858)^(1/120)-1)*100</f>
        <v>0.84027101723187503</v>
      </c>
      <c r="F738" cm="1">
        <f t="array" ref="F738">(PRODUCT(1+sp500_monthly!K739:K858)^(1/120)-1)*100</f>
        <v>0.85537087321612137</v>
      </c>
      <c r="G738" cm="1">
        <f t="array" ref="G738">(PRODUCT(1+sp500_monthly!L739:L858)^(1/120)-1)</f>
        <v>0.43669478277993523</v>
      </c>
      <c r="H738" cm="1">
        <f t="array" ref="H738">(PRODUCT(1+sp500_monthly!N739:N858)^(1/120)-1)*100</f>
        <v>0.81650569661653183</v>
      </c>
      <c r="I738" cm="1">
        <f t="array" ref="I738">(PRODUCT(1+sp500_monthly!O739:O858)^(1/120)-1)*100</f>
        <v>0.15118292119364884</v>
      </c>
    </row>
    <row r="739" spans="1:9" x14ac:dyDescent="0.35">
      <c r="A739" s="1">
        <v>31926</v>
      </c>
      <c r="B739" cm="1">
        <f t="array" ref="B739">(PRODUCT(1+sp500_monthly!B740:B859)^(1/120)-1)*100</f>
        <v>1.1533931452919255</v>
      </c>
      <c r="C739" cm="1">
        <f t="array" ref="C739">(PRODUCT(1+sp500_monthly!C740:C859)^(1/120)-1)*100</f>
        <v>0.89426911190966241</v>
      </c>
      <c r="D739" cm="1">
        <f t="array" ref="D739">(PRODUCT(1+sp500_monthly!D740:D859)^(1/120)-1)*100</f>
        <v>1.1225080926134057</v>
      </c>
      <c r="E739" cm="1">
        <f t="array" ref="E739">(PRODUCT(1+sp500_monthly!E740:E859)^(1/120)-1)*100</f>
        <v>0.89012062325877217</v>
      </c>
      <c r="F739" cm="1">
        <f t="array" ref="F739">(PRODUCT(1+sp500_monthly!K740:K859)^(1/120)-1)*100</f>
        <v>0.89816757717837703</v>
      </c>
      <c r="G739" cm="1">
        <f t="array" ref="G739">(PRODUCT(1+sp500_monthly!L740:L859)^(1/120)-1)</f>
        <v>0.4376132753233748</v>
      </c>
      <c r="H739" cm="1">
        <f t="array" ref="H739">(PRODUCT(1+sp500_monthly!N740:N859)^(1/120)-1)*100</f>
        <v>0.86117859674321728</v>
      </c>
      <c r="I739" cm="1">
        <f t="array" ref="I739">(PRODUCT(1+sp500_monthly!O740:O859)^(1/120)-1)*100</f>
        <v>0.15431572715212116</v>
      </c>
    </row>
    <row r="740" spans="1:9" x14ac:dyDescent="0.35">
      <c r="A740" s="1">
        <v>31958</v>
      </c>
      <c r="B740" cm="1">
        <f t="array" ref="B740">(PRODUCT(1+sp500_monthly!B741:B860)^(1/120)-1)*100</f>
        <v>1.1485333936092301</v>
      </c>
      <c r="C740" cm="1">
        <f t="array" ref="C740">(PRODUCT(1+sp500_monthly!C741:C860)^(1/120)-1)*100</f>
        <v>0.89033396184008406</v>
      </c>
      <c r="D740" cm="1">
        <f t="array" ref="D740">(PRODUCT(1+sp500_monthly!D741:D860)^(1/120)-1)*100</f>
        <v>1.1183109713570838</v>
      </c>
      <c r="E740" cm="1">
        <f t="array" ref="E740">(PRODUCT(1+sp500_monthly!E741:E860)^(1/120)-1)*100</f>
        <v>0.88655227184986085</v>
      </c>
      <c r="F740" cm="1">
        <f t="array" ref="F740">(PRODUCT(1+sp500_monthly!K741:K860)^(1/120)-1)*100</f>
        <v>0.89457981147926802</v>
      </c>
      <c r="G740" cm="1">
        <f t="array" ref="G740">(PRODUCT(1+sp500_monthly!L741:L860)^(1/120)-1)</f>
        <v>0.43668833290705922</v>
      </c>
      <c r="H740" cm="1">
        <f t="array" ref="H740">(PRODUCT(1+sp500_monthly!N741:N860)^(1/120)-1)*100</f>
        <v>0.85846820617250241</v>
      </c>
      <c r="I740" cm="1">
        <f t="array" ref="I740">(PRODUCT(1+sp500_monthly!O741:O860)^(1/120)-1)*100</f>
        <v>0.15552197506751853</v>
      </c>
    </row>
    <row r="741" spans="1:9" x14ac:dyDescent="0.35">
      <c r="A741" s="1">
        <v>31989</v>
      </c>
      <c r="B741" cm="1">
        <f t="array" ref="B741">(PRODUCT(1+sp500_monthly!B742:B861)^(1/120)-1)*100</f>
        <v>1.1727104505771635</v>
      </c>
      <c r="C741" cm="1">
        <f t="array" ref="C741">(PRODUCT(1+sp500_monthly!C742:C861)^(1/120)-1)*100</f>
        <v>0.91492177245209305</v>
      </c>
      <c r="D741" cm="1">
        <f t="array" ref="D741">(PRODUCT(1+sp500_monthly!D742:D861)^(1/120)-1)*100</f>
        <v>1.1297128249283972</v>
      </c>
      <c r="E741" cm="1">
        <f t="array" ref="E741">(PRODUCT(1+sp500_monthly!E742:E861)^(1/120)-1)*100</f>
        <v>0.89897572881147969</v>
      </c>
      <c r="F741" cm="1">
        <f t="array" ref="F741">(PRODUCT(1+sp500_monthly!K742:K861)^(1/120)-1)*100</f>
        <v>0.91822912988746008</v>
      </c>
      <c r="G741" cm="1">
        <f t="array" ref="G741">(PRODUCT(1+sp500_monthly!L742:L861)^(1/120)-1)</f>
        <v>0.43643978348525092</v>
      </c>
      <c r="H741" cm="1">
        <f t="array" ref="H741">(PRODUCT(1+sp500_monthly!N742:N861)^(1/120)-1)*100</f>
        <v>0.88374619504842933</v>
      </c>
      <c r="I741" cm="1">
        <f t="array" ref="I741">(PRODUCT(1+sp500_monthly!O742:O861)^(1/120)-1)*100</f>
        <v>0.15643452377493983</v>
      </c>
    </row>
    <row r="742" spans="1:9" x14ac:dyDescent="0.35">
      <c r="A742" s="1">
        <v>32020</v>
      </c>
      <c r="B742" cm="1">
        <f t="array" ref="B742">(PRODUCT(1+sp500_monthly!B743:B862)^(1/120)-1)*100</f>
        <v>1.0927258103100579</v>
      </c>
      <c r="C742" cm="1">
        <f t="array" ref="C742">(PRODUCT(1+sp500_monthly!C743:C862)^(1/120)-1)*100</f>
        <v>0.8367918927806528</v>
      </c>
      <c r="D742" cm="1">
        <f t="array" ref="D742">(PRODUCT(1+sp500_monthly!D743:D862)^(1/120)-1)*100</f>
        <v>1.0813504038913235</v>
      </c>
      <c r="E742" cm="1">
        <f t="array" ref="E742">(PRODUCT(1+sp500_monthly!E743:E862)^(1/120)-1)*100</f>
        <v>0.85149147464587127</v>
      </c>
      <c r="F742" cm="1">
        <f t="array" ref="F742">(PRODUCT(1+sp500_monthly!K743:K862)^(1/120)-1)*100</f>
        <v>0.83960756902232703</v>
      </c>
      <c r="G742" cm="1">
        <f t="array" ref="G742">(PRODUCT(1+sp500_monthly!L743:L862)^(1/120)-1)</f>
        <v>0.43594103409960483</v>
      </c>
      <c r="H742" cm="1">
        <f t="array" ref="H742">(PRODUCT(1+sp500_monthly!N743:N862)^(1/120)-1)*100</f>
        <v>0.80558052401986657</v>
      </c>
      <c r="I742" cm="1">
        <f t="array" ref="I742">(PRODUCT(1+sp500_monthly!O743:O862)^(1/120)-1)*100</f>
        <v>0.15751623264124159</v>
      </c>
    </row>
    <row r="743" spans="1:9" x14ac:dyDescent="0.35">
      <c r="A743" s="1">
        <v>32050</v>
      </c>
      <c r="B743" cm="1">
        <f t="array" ref="B743">(PRODUCT(1+sp500_monthly!B744:B863)^(1/120)-1)*100</f>
        <v>1.1556491086490706</v>
      </c>
      <c r="C743" cm="1">
        <f t="array" ref="C743">(PRODUCT(1+sp500_monthly!C744:C863)^(1/120)-1)*100</f>
        <v>0.90021675400728807</v>
      </c>
      <c r="D743" cm="1">
        <f t="array" ref="D743">(PRODUCT(1+sp500_monthly!D744:D863)^(1/120)-1)*100</f>
        <v>1.1377090435537474</v>
      </c>
      <c r="E743" cm="1">
        <f t="array" ref="E743">(PRODUCT(1+sp500_monthly!E744:E863)^(1/120)-1)*100</f>
        <v>0.90845381185706842</v>
      </c>
      <c r="F743" cm="1">
        <f t="array" ref="F743">(PRODUCT(1+sp500_monthly!K744:K863)^(1/120)-1)*100</f>
        <v>0.90370499844174557</v>
      </c>
      <c r="G743" cm="1">
        <f t="array" ref="G743">(PRODUCT(1+sp500_monthly!L744:L863)^(1/120)-1)</f>
        <v>0.43585822525531359</v>
      </c>
      <c r="H743" cm="1">
        <f t="array" ref="H743">(PRODUCT(1+sp500_monthly!N744:N863)^(1/120)-1)*100</f>
        <v>0.86917321534385472</v>
      </c>
      <c r="I743" cm="1">
        <f t="array" ref="I743">(PRODUCT(1+sp500_monthly!O744:O863)^(1/120)-1)*100</f>
        <v>0.15827528178766759</v>
      </c>
    </row>
    <row r="744" spans="1:9" x14ac:dyDescent="0.35">
      <c r="A744" s="1">
        <v>32080</v>
      </c>
      <c r="B744" cm="1">
        <f t="array" ref="B744">(PRODUCT(1+sp500_monthly!B745:B864)^(1/120)-1)*100</f>
        <v>1.3327727952447965</v>
      </c>
      <c r="C744" cm="1">
        <f t="array" ref="C744">(PRODUCT(1+sp500_monthly!C745:C864)^(1/120)-1)*100</f>
        <v>1.0782244731619484</v>
      </c>
      <c r="D744" cm="1">
        <f t="array" ref="D744">(PRODUCT(1+sp500_monthly!D745:D864)^(1/120)-1)*100</f>
        <v>1.3500289258556952</v>
      </c>
      <c r="E744" cm="1">
        <f t="array" ref="E744">(PRODUCT(1+sp500_monthly!E745:E864)^(1/120)-1)*100</f>
        <v>1.1213101385495694</v>
      </c>
      <c r="F744" cm="1">
        <f t="array" ref="F744">(PRODUCT(1+sp500_monthly!K745:K864)^(1/120)-1)*100</f>
        <v>1.0807284139246143</v>
      </c>
      <c r="G744" cm="1">
        <f t="array" ref="G744">(PRODUCT(1+sp500_monthly!L745:L864)^(1/120)-1)</f>
        <v>0.4344308932906058</v>
      </c>
      <c r="H744" cm="1">
        <f t="array" ref="H744">(PRODUCT(1+sp500_monthly!N745:N864)^(1/120)-1)*100</f>
        <v>1.0464291711423268</v>
      </c>
      <c r="I744" cm="1">
        <f t="array" ref="I744">(PRODUCT(1+sp500_monthly!O745:O864)^(1/120)-1)*100</f>
        <v>0.15740885350348233</v>
      </c>
    </row>
    <row r="745" spans="1:9" x14ac:dyDescent="0.35">
      <c r="A745" s="1">
        <v>32111</v>
      </c>
      <c r="B745" cm="1">
        <f t="array" ref="B745">(PRODUCT(1+sp500_monthly!B746:B865)^(1/120)-1)*100</f>
        <v>1.4432019143326702</v>
      </c>
      <c r="C745" cm="1">
        <f t="array" ref="C745">(PRODUCT(1+sp500_monthly!C746:C865)^(1/120)-1)*100</f>
        <v>1.1913055647349235</v>
      </c>
      <c r="D745" cm="1">
        <f t="array" ref="D745">(PRODUCT(1+sp500_monthly!D746:D865)^(1/120)-1)*100</f>
        <v>1.4304380922811166</v>
      </c>
      <c r="E745" cm="1">
        <f t="array" ref="E745">(PRODUCT(1+sp500_monthly!E746:E865)^(1/120)-1)*100</f>
        <v>1.2033472934565914</v>
      </c>
      <c r="F745" cm="1">
        <f t="array" ref="F745">(PRODUCT(1+sp500_monthly!K746:K865)^(1/120)-1)*100</f>
        <v>1.1926819304664216</v>
      </c>
      <c r="G745" cm="1">
        <f t="array" ref="G745">(PRODUCT(1+sp500_monthly!L746:L865)^(1/120)-1)</f>
        <v>0.43477997050495309</v>
      </c>
      <c r="H745" cm="1">
        <f t="array" ref="H745">(PRODUCT(1+sp500_monthly!N746:N865)^(1/120)-1)*100</f>
        <v>1.1584299649109564</v>
      </c>
      <c r="I745" cm="1">
        <f t="array" ref="I745">(PRODUCT(1+sp500_monthly!O746:O865)^(1/120)-1)*100</f>
        <v>0.15960660430478502</v>
      </c>
    </row>
    <row r="746" spans="1:9" x14ac:dyDescent="0.35">
      <c r="A746" s="1">
        <v>32142</v>
      </c>
      <c r="B746" cm="1">
        <f t="array" ref="B746">(PRODUCT(1+sp500_monthly!B747:B866)^(1/120)-1)*100</f>
        <v>1.3972959678065999</v>
      </c>
      <c r="C746" cm="1">
        <f t="array" ref="C746">(PRODUCT(1+sp500_monthly!C747:C866)^(1/120)-1)*100</f>
        <v>1.1465904889884415</v>
      </c>
      <c r="D746" cm="1">
        <f t="array" ref="D746">(PRODUCT(1+sp500_monthly!D747:D866)^(1/120)-1)*100</f>
        <v>1.3668394917748738</v>
      </c>
      <c r="E746" cm="1">
        <f t="array" ref="E746">(PRODUCT(1+sp500_monthly!E747:E866)^(1/120)-1)*100</f>
        <v>1.1407337881912394</v>
      </c>
      <c r="F746" cm="1">
        <f t="array" ref="F746">(PRODUCT(1+sp500_monthly!K747:K866)^(1/120)-1)*100</f>
        <v>1.1465491117530036</v>
      </c>
      <c r="G746" cm="1">
        <f t="array" ref="G746">(PRODUCT(1+sp500_monthly!L747:L866)^(1/120)-1)</f>
        <v>0.43553029758504125</v>
      </c>
      <c r="H746" cm="1">
        <f t="array" ref="H746">(PRODUCT(1+sp500_monthly!N747:N866)^(1/120)-1)*100</f>
        <v>1.1135910168458274</v>
      </c>
      <c r="I746" cm="1">
        <f t="array" ref="I746">(PRODUCT(1+sp500_monthly!O747:O866)^(1/120)-1)*100</f>
        <v>0.16128384616465041</v>
      </c>
    </row>
    <row r="747" spans="1:9" x14ac:dyDescent="0.35">
      <c r="A747" s="1">
        <v>32171</v>
      </c>
      <c r="B747" cm="1">
        <f t="array" ref="B747">(PRODUCT(1+sp500_monthly!B748:B867)^(1/120)-1)*100</f>
        <v>1.372032287338798</v>
      </c>
      <c r="C747" cm="1">
        <f t="array" ref="C747">(PRODUCT(1+sp500_monthly!C748:C867)^(1/120)-1)*100</f>
        <v>1.1219429452067109</v>
      </c>
      <c r="D747" cm="1">
        <f t="array" ref="D747">(PRODUCT(1+sp500_monthly!D748:D867)^(1/120)-1)*100</f>
        <v>1.3236070563026558</v>
      </c>
      <c r="E747" cm="1">
        <f t="array" ref="E747">(PRODUCT(1+sp500_monthly!E748:E867)^(1/120)-1)*100</f>
        <v>1.0980311930430364</v>
      </c>
      <c r="F747" cm="1">
        <f t="array" ref="F747">(PRODUCT(1+sp500_monthly!K748:K867)^(1/120)-1)*100</f>
        <v>1.1216556463218508</v>
      </c>
      <c r="G747" cm="1">
        <f t="array" ref="G747">(PRODUCT(1+sp500_monthly!L748:L867)^(1/120)-1)</f>
        <v>0.43676337588683611</v>
      </c>
      <c r="H747" cm="1">
        <f t="array" ref="H747">(PRODUCT(1+sp500_monthly!N748:N867)^(1/120)-1)*100</f>
        <v>1.0902672525794133</v>
      </c>
      <c r="I747" cm="1">
        <f t="array" ref="I747">(PRODUCT(1+sp500_monthly!O748:O867)^(1/120)-1)*100</f>
        <v>0.1643003175643365</v>
      </c>
    </row>
    <row r="748" spans="1:9" x14ac:dyDescent="0.35">
      <c r="A748" s="1">
        <v>32202</v>
      </c>
      <c r="B748" cm="1">
        <f t="array" ref="B748">(PRODUCT(1+sp500_monthly!B749:B868)^(1/120)-1)*100</f>
        <v>1.3915746027868048</v>
      </c>
      <c r="C748" cm="1">
        <f t="array" ref="C748">(PRODUCT(1+sp500_monthly!C749:C868)^(1/120)-1)*100</f>
        <v>1.14568351947546</v>
      </c>
      <c r="D748" cm="1">
        <f t="array" ref="D748">(PRODUCT(1+sp500_monthly!D749:D868)^(1/120)-1)*100</f>
        <v>1.3263617809219808</v>
      </c>
      <c r="E748" cm="1">
        <f t="array" ref="E748">(PRODUCT(1+sp500_monthly!E749:E868)^(1/120)-1)*100</f>
        <v>1.103117017240085</v>
      </c>
      <c r="F748" cm="1">
        <f t="array" ref="F748">(PRODUCT(1+sp500_monthly!K749:K868)^(1/120)-1)*100</f>
        <v>1.1445048811466352</v>
      </c>
      <c r="G748" cm="1">
        <f t="array" ref="G748">(PRODUCT(1+sp500_monthly!L749:L868)^(1/120)-1)</f>
        <v>0.43617522923760155</v>
      </c>
      <c r="H748" cm="1">
        <f t="array" ref="H748">(PRODUCT(1+sp500_monthly!N749:N868)^(1/120)-1)*100</f>
        <v>1.1112067357522237</v>
      </c>
      <c r="I748" cm="1">
        <f t="array" ref="I748">(PRODUCT(1+sp500_monthly!O749:O868)^(1/120)-1)*100</f>
        <v>0.16515640520842201</v>
      </c>
    </row>
    <row r="749" spans="1:9" x14ac:dyDescent="0.35">
      <c r="A749" s="1">
        <v>32233</v>
      </c>
      <c r="B749" cm="1">
        <f t="array" ref="B749">(PRODUCT(1+sp500_monthly!B750:B869)^(1/120)-1)*100</f>
        <v>1.4603705874119077</v>
      </c>
      <c r="C749" cm="1">
        <f t="array" ref="C749">(PRODUCT(1+sp500_monthly!C750:C869)^(1/120)-1)*100</f>
        <v>1.215520578418805</v>
      </c>
      <c r="D749" cm="1">
        <f t="array" ref="D749">(PRODUCT(1+sp500_monthly!D750:D869)^(1/120)-1)*100</f>
        <v>1.3741821180336844</v>
      </c>
      <c r="E749" cm="1">
        <f t="array" ref="E749">(PRODUCT(1+sp500_monthly!E750:E869)^(1/120)-1)*100</f>
        <v>1.1516735418796831</v>
      </c>
      <c r="F749" cm="1">
        <f t="array" ref="F749">(PRODUCT(1+sp500_monthly!K750:K869)^(1/120)-1)*100</f>
        <v>1.2141923959116951</v>
      </c>
      <c r="G749" cm="1">
        <f t="array" ref="G749">(PRODUCT(1+sp500_monthly!L750:L869)^(1/120)-1)</f>
        <v>0.43575234548662634</v>
      </c>
      <c r="H749" cm="1">
        <f t="array" ref="H749">(PRODUCT(1+sp500_monthly!N750:N869)^(1/120)-1)*100</f>
        <v>1.1819865501642157</v>
      </c>
      <c r="I749" cm="1">
        <f t="array" ref="I749">(PRODUCT(1+sp500_monthly!O750:O869)^(1/120)-1)*100</f>
        <v>0.16689302949000062</v>
      </c>
    </row>
    <row r="750" spans="1:9" x14ac:dyDescent="0.35">
      <c r="A750" s="1">
        <v>32262</v>
      </c>
      <c r="B750" cm="1">
        <f t="array" ref="B750">(PRODUCT(1+sp500_monthly!B751:B870)^(1/120)-1)*100</f>
        <v>1.4610054095886227</v>
      </c>
      <c r="C750" cm="1">
        <f t="array" ref="C750">(PRODUCT(1+sp500_monthly!C751:C870)^(1/120)-1)*100</f>
        <v>1.2167396141939735</v>
      </c>
      <c r="D750" cm="1">
        <f t="array" ref="D750">(PRODUCT(1+sp500_monthly!D751:D870)^(1/120)-1)*100</f>
        <v>1.3748553837254374</v>
      </c>
      <c r="E750" cm="1">
        <f t="array" ref="E750">(PRODUCT(1+sp500_monthly!E751:E870)^(1/120)-1)*100</f>
        <v>1.1526167998100689</v>
      </c>
      <c r="F750" cm="1">
        <f t="array" ref="F750">(PRODUCT(1+sp500_monthly!K751:K870)^(1/120)-1)*100</f>
        <v>1.2139007297808702</v>
      </c>
      <c r="G750" cm="1">
        <f t="array" ref="G750">(PRODUCT(1+sp500_monthly!L751:L870)^(1/120)-1)</f>
        <v>0.43550395799216646</v>
      </c>
      <c r="H750" cm="1">
        <f t="array" ref="H750">(PRODUCT(1+sp500_monthly!N751:N870)^(1/120)-1)*100</f>
        <v>1.1866305871236493</v>
      </c>
      <c r="I750" cm="1">
        <f t="array" ref="I750">(PRODUCT(1+sp500_monthly!O751:O870)^(1/120)-1)*100</f>
        <v>0.17061440451140442</v>
      </c>
    </row>
    <row r="751" spans="1:9" x14ac:dyDescent="0.35">
      <c r="A751" s="1">
        <v>32294</v>
      </c>
      <c r="B751" cm="1">
        <f t="array" ref="B751">(PRODUCT(1+sp500_monthly!B752:B871)^(1/120)-1)*100</f>
        <v>1.4391833891133965</v>
      </c>
      <c r="C751" cm="1">
        <f t="array" ref="C751">(PRODUCT(1+sp500_monthly!C752:C871)^(1/120)-1)*100</f>
        <v>1.1979566384249685</v>
      </c>
      <c r="D751" cm="1">
        <f t="array" ref="D751">(PRODUCT(1+sp500_monthly!D752:D871)^(1/120)-1)*100</f>
        <v>1.3496814911021504</v>
      </c>
      <c r="E751" cm="1">
        <f t="array" ref="E751">(PRODUCT(1+sp500_monthly!E752:E871)^(1/120)-1)*100</f>
        <v>1.1293506124096186</v>
      </c>
      <c r="F751" cm="1">
        <f t="array" ref="F751">(PRODUCT(1+sp500_monthly!K752:K871)^(1/120)-1)*100</f>
        <v>1.1951977645608958</v>
      </c>
      <c r="G751" cm="1">
        <f t="array" ref="G751">(PRODUCT(1+sp500_monthly!L752:L871)^(1/120)-1)</f>
        <v>0.43459942802785778</v>
      </c>
      <c r="H751" cm="1">
        <f t="array" ref="H751">(PRODUCT(1+sp500_monthly!N752:N871)^(1/120)-1)*100</f>
        <v>1.164946319480209</v>
      </c>
      <c r="I751" cm="1">
        <f t="array" ref="I751">(PRODUCT(1+sp500_monthly!O752:O871)^(1/120)-1)*100</f>
        <v>0.16977830327362664</v>
      </c>
    </row>
    <row r="752" spans="1:9" x14ac:dyDescent="0.35">
      <c r="A752" s="1">
        <v>32324</v>
      </c>
      <c r="B752" cm="1">
        <f t="array" ref="B752">(PRODUCT(1+sp500_monthly!B753:B872)^(1/120)-1)*100</f>
        <v>1.4337553486440946</v>
      </c>
      <c r="C752" cm="1">
        <f t="array" ref="C752">(PRODUCT(1+sp500_monthly!C753:C872)^(1/120)-1)*100</f>
        <v>1.19369497178059</v>
      </c>
      <c r="D752" cm="1">
        <f t="array" ref="D752">(PRODUCT(1+sp500_monthly!D753:D872)^(1/120)-1)*100</f>
        <v>1.3093435610787019</v>
      </c>
      <c r="E752" cm="1">
        <f t="array" ref="E752">(PRODUCT(1+sp500_monthly!E753:E872)^(1/120)-1)*100</f>
        <v>1.0897669297121659</v>
      </c>
      <c r="F752" cm="1">
        <f t="array" ref="F752">(PRODUCT(1+sp500_monthly!K753:K872)^(1/120)-1)*100</f>
        <v>1.1921059533813283</v>
      </c>
      <c r="G752" cm="1">
        <f t="array" ref="G752">(PRODUCT(1+sp500_monthly!L753:L872)^(1/120)-1)</f>
        <v>0.43393982637546391</v>
      </c>
      <c r="H752" cm="1">
        <f t="array" ref="H752">(PRODUCT(1+sp500_monthly!N753:N872)^(1/120)-1)*100</f>
        <v>1.1620763337688578</v>
      </c>
      <c r="I752" cm="1">
        <f t="array" ref="I752">(PRODUCT(1+sp500_monthly!O753:O872)^(1/120)-1)*100</f>
        <v>0.1716319774125008</v>
      </c>
    </row>
    <row r="753" spans="1:9" x14ac:dyDescent="0.35">
      <c r="A753" s="1">
        <v>32353</v>
      </c>
      <c r="B753" cm="1">
        <f t="array" ref="B753">(PRODUCT(1+sp500_monthly!B754:B873)^(1/120)-1)*100</f>
        <v>1.4289437189398013</v>
      </c>
      <c r="C753" cm="1">
        <f t="array" ref="C753">(PRODUCT(1+sp500_monthly!C754:C873)^(1/120)-1)*100</f>
        <v>1.1905295679870198</v>
      </c>
      <c r="D753" cm="1">
        <f t="array" ref="D753">(PRODUCT(1+sp500_monthly!D754:D873)^(1/120)-1)*100</f>
        <v>1.2800257070858301</v>
      </c>
      <c r="E753" cm="1">
        <f t="array" ref="E753">(PRODUCT(1+sp500_monthly!E754:E873)^(1/120)-1)*100</f>
        <v>1.0631688394358241</v>
      </c>
      <c r="F753" cm="1">
        <f t="array" ref="F753">(PRODUCT(1+sp500_monthly!K754:K873)^(1/120)-1)*100</f>
        <v>1.186829522575672</v>
      </c>
      <c r="G753" cm="1">
        <f t="array" ref="G753">(PRODUCT(1+sp500_monthly!L754:L873)^(1/120)-1)</f>
        <v>0.43303628199110267</v>
      </c>
      <c r="H753" cm="1">
        <f t="array" ref="H753">(PRODUCT(1+sp500_monthly!N754:N873)^(1/120)-1)*100</f>
        <v>1.1587733369285314</v>
      </c>
      <c r="I753" cm="1">
        <f t="array" ref="I753">(PRODUCT(1+sp500_monthly!O754:O873)^(1/120)-1)*100</f>
        <v>0.17219905844712002</v>
      </c>
    </row>
    <row r="754" spans="1:9" x14ac:dyDescent="0.35">
      <c r="A754" s="1">
        <v>32386</v>
      </c>
      <c r="B754" cm="1">
        <f t="array" ref="B754">(PRODUCT(1+sp500_monthly!B755:B874)^(1/120)-1)*100</f>
        <v>1.3263541000537726</v>
      </c>
      <c r="C754" cm="1">
        <f t="array" ref="C754">(PRODUCT(1+sp500_monthly!C755:C874)^(1/120)-1)*100</f>
        <v>1.0910148048407509</v>
      </c>
      <c r="D754" cm="1">
        <f t="array" ref="D754">(PRODUCT(1+sp500_monthly!D755:D874)^(1/120)-1)*100</f>
        <v>1.173050090839145</v>
      </c>
      <c r="E754" cm="1">
        <f t="array" ref="E754">(PRODUCT(1+sp500_monthly!E755:E874)^(1/120)-1)*100</f>
        <v>0.95787341775797064</v>
      </c>
      <c r="F754" cm="1">
        <f t="array" ref="F754">(PRODUCT(1+sp500_monthly!K755:K874)^(1/120)-1)*100</f>
        <v>1.0871912990788379</v>
      </c>
      <c r="G754" cm="1">
        <f t="array" ref="G754">(PRODUCT(1+sp500_monthly!L755:L874)^(1/120)-1)</f>
        <v>0.43177028141574758</v>
      </c>
      <c r="H754" cm="1">
        <f t="array" ref="H754">(PRODUCT(1+sp500_monthly!N755:N874)^(1/120)-1)*100</f>
        <v>1.058971458208835</v>
      </c>
      <c r="I754" cm="1">
        <f t="array" ref="I754">(PRODUCT(1+sp500_monthly!O755:O874)^(1/120)-1)*100</f>
        <v>0.17336265787264438</v>
      </c>
    </row>
    <row r="755" spans="1:9" x14ac:dyDescent="0.35">
      <c r="A755" s="1">
        <v>32416</v>
      </c>
      <c r="B755" cm="1">
        <f t="array" ref="B755">(PRODUCT(1+sp500_monthly!B756:B875)^(1/120)-1)*100</f>
        <v>1.3427447520953928</v>
      </c>
      <c r="C755" cm="1">
        <f t="array" ref="C755">(PRODUCT(1+sp500_monthly!C756:C875)^(1/120)-1)*100</f>
        <v>1.1082734455345689</v>
      </c>
      <c r="D755" cm="1">
        <f t="array" ref="D755">(PRODUCT(1+sp500_monthly!D756:D875)^(1/120)-1)*100</f>
        <v>1.1880325680893478</v>
      </c>
      <c r="E755" cm="1">
        <f t="array" ref="E755">(PRODUCT(1+sp500_monthly!E756:E875)^(1/120)-1)*100</f>
        <v>0.97324788334613999</v>
      </c>
      <c r="F755" cm="1">
        <f t="array" ref="F755">(PRODUCT(1+sp500_monthly!K756:K875)^(1/120)-1)*100</f>
        <v>1.105360517524745</v>
      </c>
      <c r="G755" cm="1">
        <f t="array" ref="G755">(PRODUCT(1+sp500_monthly!L756:L875)^(1/120)-1)</f>
        <v>0.43053007401843746</v>
      </c>
      <c r="H755" cm="1">
        <f t="array" ref="H755">(PRODUCT(1+sp500_monthly!N756:N875)^(1/120)-1)*100</f>
        <v>1.0783352184028816</v>
      </c>
      <c r="I755" cm="1">
        <f t="array" ref="I755">(PRODUCT(1+sp500_monthly!O756:O875)^(1/120)-1)*100</f>
        <v>0.17502359909316034</v>
      </c>
    </row>
    <row r="756" spans="1:9" x14ac:dyDescent="0.35">
      <c r="A756" s="1">
        <v>32447</v>
      </c>
      <c r="B756" cm="1">
        <f t="array" ref="B756">(PRODUCT(1+sp500_monthly!B757:B876)^(1/120)-1)*100</f>
        <v>1.3854258081403392</v>
      </c>
      <c r="C756" cm="1">
        <f t="array" ref="C756">(PRODUCT(1+sp500_monthly!C757:C876)^(1/120)-1)*100</f>
        <v>1.1530305619518844</v>
      </c>
      <c r="D756" cm="1">
        <f t="array" ref="D756">(PRODUCT(1+sp500_monthly!D757:D876)^(1/120)-1)*100</f>
        <v>1.2482584965537669</v>
      </c>
      <c r="E756" cm="1">
        <f t="array" ref="E756">(PRODUCT(1+sp500_monthly!E757:E876)^(1/120)-1)*100</f>
        <v>1.0350113631806934</v>
      </c>
      <c r="F756" cm="1">
        <f t="array" ref="F756">(PRODUCT(1+sp500_monthly!K757:K876)^(1/120)-1)*100</f>
        <v>1.1488456497637634</v>
      </c>
      <c r="G756" cm="1">
        <f t="array" ref="G756">(PRODUCT(1+sp500_monthly!L757:L876)^(1/120)-1)</f>
        <v>0.42816447572653082</v>
      </c>
      <c r="H756" cm="1">
        <f t="array" ref="H756">(PRODUCT(1+sp500_monthly!N757:N876)^(1/120)-1)*100</f>
        <v>1.1216618057167782</v>
      </c>
      <c r="I756" cm="1">
        <f t="array" ref="I756">(PRODUCT(1+sp500_monthly!O757:O876)^(1/120)-1)*100</f>
        <v>0.17336372591891802</v>
      </c>
    </row>
    <row r="757" spans="1:9" x14ac:dyDescent="0.35">
      <c r="A757" s="1">
        <v>32477</v>
      </c>
      <c r="B757" cm="1">
        <f t="array" ref="B757">(PRODUCT(1+sp500_monthly!B758:B877)^(1/120)-1)*100</f>
        <v>1.4486148353139328</v>
      </c>
      <c r="C757" cm="1">
        <f t="array" ref="C757">(PRODUCT(1+sp500_monthly!C758:C877)^(1/120)-1)*100</f>
        <v>1.2195461814427988</v>
      </c>
      <c r="D757" cm="1">
        <f t="array" ref="D757">(PRODUCT(1+sp500_monthly!D758:D877)^(1/120)-1)*100</f>
        <v>1.3096295730432139</v>
      </c>
      <c r="E757" cm="1">
        <f t="array" ref="E757">(PRODUCT(1+sp500_monthly!E758:E877)^(1/120)-1)*100</f>
        <v>1.098841431830877</v>
      </c>
      <c r="F757" cm="1">
        <f t="array" ref="F757">(PRODUCT(1+sp500_monthly!K758:K877)^(1/120)-1)*100</f>
        <v>1.2133618847820493</v>
      </c>
      <c r="G757" cm="1">
        <f t="array" ref="G757">(PRODUCT(1+sp500_monthly!L758:L877)^(1/120)-1)</f>
        <v>0.42601137527826438</v>
      </c>
      <c r="H757" cm="1">
        <f t="array" ref="H757">(PRODUCT(1+sp500_monthly!N758:N877)^(1/120)-1)*100</f>
        <v>1.1864665044311939</v>
      </c>
      <c r="I757" cm="1">
        <f t="array" ref="I757">(PRODUCT(1+sp500_monthly!O758:O877)^(1/120)-1)*100</f>
        <v>0.17296506764465924</v>
      </c>
    </row>
    <row r="758" spans="1:9" x14ac:dyDescent="0.35">
      <c r="A758" s="1">
        <v>32507</v>
      </c>
      <c r="B758" cm="1">
        <f t="array" ref="B758">(PRODUCT(1+sp500_monthly!B759:B878)^(1/120)-1)*100</f>
        <v>1.4820792710578123</v>
      </c>
      <c r="C758" cm="1">
        <f t="array" ref="C758">(PRODUCT(1+sp500_monthly!C759:C878)^(1/120)-1)*100</f>
        <v>1.2547593953918135</v>
      </c>
      <c r="D758" cm="1">
        <f t="array" ref="D758">(PRODUCT(1+sp500_monthly!D759:D878)^(1/120)-1)*100</f>
        <v>1.3107731546741386</v>
      </c>
      <c r="E758" cm="1">
        <f t="array" ref="E758">(PRODUCT(1+sp500_monthly!E759:E878)^(1/120)-1)*100</f>
        <v>1.1012982373404201</v>
      </c>
      <c r="F758" cm="1">
        <f t="array" ref="F758">(PRODUCT(1+sp500_monthly!K759:K878)^(1/120)-1)*100</f>
        <v>1.2473264025467445</v>
      </c>
      <c r="G758" cm="1">
        <f t="array" ref="G758">(PRODUCT(1+sp500_monthly!L759:L878)^(1/120)-1)</f>
        <v>0.42403419785640994</v>
      </c>
      <c r="H758" cm="1">
        <f t="array" ref="H758">(PRODUCT(1+sp500_monthly!N759:N878)^(1/120)-1)*100</f>
        <v>1.2211038351601866</v>
      </c>
      <c r="I758" cm="1">
        <f t="array" ref="I758">(PRODUCT(1+sp500_monthly!O759:O878)^(1/120)-1)*100</f>
        <v>0.17213495515135957</v>
      </c>
    </row>
    <row r="759" spans="1:9" x14ac:dyDescent="0.35">
      <c r="A759" s="1">
        <v>32539</v>
      </c>
      <c r="B759" cm="1">
        <f t="array" ref="B759">(PRODUCT(1+sp500_monthly!B760:B879)^(1/120)-1)*100</f>
        <v>1.4584880484315832</v>
      </c>
      <c r="C759" cm="1">
        <f t="array" ref="C759">(PRODUCT(1+sp500_monthly!C760:C879)^(1/120)-1)*100</f>
        <v>1.2326767436972697</v>
      </c>
      <c r="D759" cm="1">
        <f t="array" ref="D759">(PRODUCT(1+sp500_monthly!D760:D879)^(1/120)-1)*100</f>
        <v>1.2618911597298998</v>
      </c>
      <c r="E759" cm="1">
        <f t="array" ref="E759">(PRODUCT(1+sp500_monthly!E760:E879)^(1/120)-1)*100</f>
        <v>1.0538308538434293</v>
      </c>
      <c r="F759" cm="1">
        <f t="array" ref="F759">(PRODUCT(1+sp500_monthly!K760:K879)^(1/120)-1)*100</f>
        <v>1.223274812921904</v>
      </c>
      <c r="G759" cm="1">
        <f t="array" ref="G759">(PRODUCT(1+sp500_monthly!L760:L879)^(1/120)-1)</f>
        <v>0.42239571780275176</v>
      </c>
      <c r="H759" cm="1">
        <f t="array" ref="H759">(PRODUCT(1+sp500_monthly!N760:N879)^(1/120)-1)*100</f>
        <v>1.1995220197641876</v>
      </c>
      <c r="I759" cm="1">
        <f t="array" ref="I759">(PRODUCT(1+sp500_monthly!O760:O879)^(1/120)-1)*100</f>
        <v>0.17240187250315842</v>
      </c>
    </row>
    <row r="760" spans="1:9" x14ac:dyDescent="0.35">
      <c r="A760" s="1">
        <v>32567</v>
      </c>
      <c r="B760" cm="1">
        <f t="array" ref="B760">(PRODUCT(1+sp500_monthly!B761:B880)^(1/120)-1)*100</f>
        <v>1.452479819302277</v>
      </c>
      <c r="C760" cm="1">
        <f t="array" ref="C760">(PRODUCT(1+sp500_monthly!C761:C880)^(1/120)-1)*100</f>
        <v>1.2292207983849224</v>
      </c>
      <c r="D760" cm="1">
        <f t="array" ref="D760">(PRODUCT(1+sp500_monthly!D761:D880)^(1/120)-1)*100</f>
        <v>1.2548738796430259</v>
      </c>
      <c r="E760" cm="1">
        <f t="array" ref="E760">(PRODUCT(1+sp500_monthly!E761:E880)^(1/120)-1)*100</f>
        <v>1.0482718077867714</v>
      </c>
      <c r="F760" cm="1">
        <f t="array" ref="F760">(PRODUCT(1+sp500_monthly!K761:K880)^(1/120)-1)*100</f>
        <v>1.2203693670712612</v>
      </c>
      <c r="G760" cm="1">
        <f t="array" ref="G760">(PRODUCT(1+sp500_monthly!L761:L880)^(1/120)-1)</f>
        <v>0.42030953275871386</v>
      </c>
      <c r="H760" cm="1">
        <f t="array" ref="H760">(PRODUCT(1+sp500_monthly!N761:N880)^(1/120)-1)*100</f>
        <v>1.1963076822510521</v>
      </c>
      <c r="I760" cm="1">
        <f t="array" ref="I760">(PRODUCT(1+sp500_monthly!O761:O880)^(1/120)-1)*100</f>
        <v>0.1729923194593308</v>
      </c>
    </row>
    <row r="761" spans="1:9" x14ac:dyDescent="0.35">
      <c r="A761" s="1">
        <v>32598</v>
      </c>
      <c r="B761" cm="1">
        <f t="array" ref="B761">(PRODUCT(1+sp500_monthly!B762:B881)^(1/120)-1)*100</f>
        <v>1.4655527021283365</v>
      </c>
      <c r="C761" cm="1">
        <f t="array" ref="C761">(PRODUCT(1+sp500_monthly!C762:C881)^(1/120)-1)*100</f>
        <v>1.2434311118067365</v>
      </c>
      <c r="D761" cm="1">
        <f t="array" ref="D761">(PRODUCT(1+sp500_monthly!D762:D881)^(1/120)-1)*100</f>
        <v>1.2563631947996479</v>
      </c>
      <c r="E761" cm="1">
        <f t="array" ref="E761">(PRODUCT(1+sp500_monthly!E762:E881)^(1/120)-1)*100</f>
        <v>1.0507797991448076</v>
      </c>
      <c r="F761" cm="1">
        <f t="array" ref="F761">(PRODUCT(1+sp500_monthly!K762:K881)^(1/120)-1)*100</f>
        <v>1.2351046783805275</v>
      </c>
      <c r="G761" cm="1">
        <f t="array" ref="G761">(PRODUCT(1+sp500_monthly!L762:L881)^(1/120)-1)</f>
        <v>0.41847438716645047</v>
      </c>
      <c r="H761" cm="1">
        <f t="array" ref="H761">(PRODUCT(1+sp500_monthly!N762:N881)^(1/120)-1)*100</f>
        <v>1.212987022081502</v>
      </c>
      <c r="I761" cm="1">
        <f t="array" ref="I761">(PRODUCT(1+sp500_monthly!O762:O881)^(1/120)-1)*100</f>
        <v>0.17460196510517001</v>
      </c>
    </row>
    <row r="762" spans="1:9" x14ac:dyDescent="0.35">
      <c r="A762" s="1">
        <v>32626</v>
      </c>
      <c r="B762" cm="1">
        <f t="array" ref="B762">(PRODUCT(1+sp500_monthly!B763:B882)^(1/120)-1)*100</f>
        <v>1.4541015068706864</v>
      </c>
      <c r="C762" cm="1">
        <f t="array" ref="C762">(PRODUCT(1+sp500_monthly!C763:C882)^(1/120)-1)*100</f>
        <v>1.2328155407658192</v>
      </c>
      <c r="D762" cm="1">
        <f t="array" ref="D762">(PRODUCT(1+sp500_monthly!D763:D882)^(1/120)-1)*100</f>
        <v>1.2935603276376328</v>
      </c>
      <c r="E762" cm="1">
        <f t="array" ref="E762">(PRODUCT(1+sp500_monthly!E763:E882)^(1/120)-1)*100</f>
        <v>1.0881552804673067</v>
      </c>
      <c r="F762" cm="1">
        <f t="array" ref="F762">(PRODUCT(1+sp500_monthly!K763:K882)^(1/120)-1)*100</f>
        <v>1.2252903758159128</v>
      </c>
      <c r="G762" cm="1">
        <f t="array" ref="G762">(PRODUCT(1+sp500_monthly!L763:L882)^(1/120)-1)</f>
        <v>0.41613568218800467</v>
      </c>
      <c r="H762" cm="1">
        <f t="array" ref="H762">(PRODUCT(1+sp500_monthly!N763:N882)^(1/120)-1)*100</f>
        <v>1.202142367800918</v>
      </c>
      <c r="I762" cm="1">
        <f t="array" ref="I762">(PRODUCT(1+sp500_monthly!O763:O882)^(1/120)-1)*100</f>
        <v>0.17268274147712592</v>
      </c>
    </row>
    <row r="763" spans="1:9" x14ac:dyDescent="0.35">
      <c r="A763" s="1">
        <v>32659</v>
      </c>
      <c r="B763" cm="1">
        <f t="array" ref="B763">(PRODUCT(1+sp500_monthly!B764:B883)^(1/120)-1)*100</f>
        <v>1.400316090942022</v>
      </c>
      <c r="C763" cm="1">
        <f t="array" ref="C763">(PRODUCT(1+sp500_monthly!C764:C883)^(1/120)-1)*100</f>
        <v>1.1822255953506833</v>
      </c>
      <c r="D763" cm="1">
        <f t="array" ref="D763">(PRODUCT(1+sp500_monthly!D764:D883)^(1/120)-1)*100</f>
        <v>1.2536655246908168</v>
      </c>
      <c r="E763" cm="1">
        <f t="array" ref="E763">(PRODUCT(1+sp500_monthly!E764:E883)^(1/120)-1)*100</f>
        <v>1.050684264059365</v>
      </c>
      <c r="F763" cm="1">
        <f t="array" ref="F763">(PRODUCT(1+sp500_monthly!K764:K883)^(1/120)-1)*100</f>
        <v>1.1748406343103479</v>
      </c>
      <c r="G763" cm="1">
        <f t="array" ref="G763">(PRODUCT(1+sp500_monthly!L764:L883)^(1/120)-1)</f>
        <v>0.41272283099497598</v>
      </c>
      <c r="H763" cm="1">
        <f t="array" ref="H763">(PRODUCT(1+sp500_monthly!N764:N883)^(1/120)-1)*100</f>
        <v>1.1520810712065233</v>
      </c>
      <c r="I763" cm="1">
        <f t="array" ref="I763">(PRODUCT(1+sp500_monthly!O764:O883)^(1/120)-1)*100</f>
        <v>0.17250320692798748</v>
      </c>
    </row>
    <row r="764" spans="1:9" x14ac:dyDescent="0.35">
      <c r="A764" s="1">
        <v>32689</v>
      </c>
      <c r="B764" cm="1">
        <f t="array" ref="B764">(PRODUCT(1+sp500_monthly!B765:B884)^(1/120)-1)*100</f>
        <v>1.44986908182132</v>
      </c>
      <c r="C764" cm="1">
        <f t="array" ref="C764">(PRODUCT(1+sp500_monthly!C765:C884)^(1/120)-1)*100</f>
        <v>1.2328233001837496</v>
      </c>
      <c r="D764" cm="1">
        <f t="array" ref="D764">(PRODUCT(1+sp500_monthly!D765:D884)^(1/120)-1)*100</f>
        <v>1.2934945989424573</v>
      </c>
      <c r="E764" cm="1">
        <f t="array" ref="E764">(PRODUCT(1+sp500_monthly!E765:E884)^(1/120)-1)*100</f>
        <v>1.09111548878007</v>
      </c>
      <c r="F764" cm="1">
        <f t="array" ref="F764">(PRODUCT(1+sp500_monthly!K765:K884)^(1/120)-1)*100</f>
        <v>1.2262543006771098</v>
      </c>
      <c r="G764" cm="1">
        <f t="array" ref="G764">(PRODUCT(1+sp500_monthly!L765:L884)^(1/120)-1)</f>
        <v>0.41037000558031833</v>
      </c>
      <c r="H764" cm="1">
        <f t="array" ref="H764">(PRODUCT(1+sp500_monthly!N765:N884)^(1/120)-1)*100</f>
        <v>1.2042354583822412</v>
      </c>
      <c r="I764" cm="1">
        <f t="array" ref="I764">(PRODUCT(1+sp500_monthly!O765:O884)^(1/120)-1)*100</f>
        <v>0.17262468319920732</v>
      </c>
    </row>
    <row r="765" spans="1:9" x14ac:dyDescent="0.35">
      <c r="A765" s="1">
        <v>32720</v>
      </c>
      <c r="B765" cm="1">
        <f t="array" ref="B765">(PRODUCT(1+sp500_monthly!B766:B885)^(1/120)-1)*100</f>
        <v>1.3510776874048336</v>
      </c>
      <c r="C765" cm="1">
        <f t="array" ref="C765">(PRODUCT(1+sp500_monthly!C766:C885)^(1/120)-1)*100</f>
        <v>1.134930605511042</v>
      </c>
      <c r="D765" cm="1">
        <f t="array" ref="D765">(PRODUCT(1+sp500_monthly!D766:D885)^(1/120)-1)*100</f>
        <v>1.1966823860640519</v>
      </c>
      <c r="E765" cm="1">
        <f t="array" ref="E765">(PRODUCT(1+sp500_monthly!E766:E885)^(1/120)-1)*100</f>
        <v>0.99478980619702728</v>
      </c>
      <c r="F765" cm="1">
        <f t="array" ref="F765">(PRODUCT(1+sp500_monthly!K766:K885)^(1/120)-1)*100</f>
        <v>1.1273945365636084</v>
      </c>
      <c r="G765" cm="1">
        <f t="array" ref="G765">(PRODUCT(1+sp500_monthly!L766:L885)^(1/120)-1)</f>
        <v>0.40792109029104129</v>
      </c>
      <c r="H765" cm="1">
        <f t="array" ref="H765">(PRODUCT(1+sp500_monthly!N766:N885)^(1/120)-1)*100</f>
        <v>1.1048491611439282</v>
      </c>
      <c r="I765" cm="1">
        <f t="array" ref="I765">(PRODUCT(1+sp500_monthly!O766:O885)^(1/120)-1)*100</f>
        <v>0.16914141336625832</v>
      </c>
    </row>
    <row r="766" spans="1:9" x14ac:dyDescent="0.35">
      <c r="A766" s="1">
        <v>32751</v>
      </c>
      <c r="B766" cm="1">
        <f t="array" ref="B766">(PRODUCT(1+sp500_monthly!B767:B886)^(1/120)-1)*100</f>
        <v>1.3302394628789793</v>
      </c>
      <c r="C766" cm="1">
        <f t="array" ref="C766">(PRODUCT(1+sp500_monthly!C767:C886)^(1/120)-1)*100</f>
        <v>1.1166710975243799</v>
      </c>
      <c r="D766" cm="1">
        <f t="array" ref="D766">(PRODUCT(1+sp500_monthly!D767:D886)^(1/120)-1)*100</f>
        <v>1.1534778179175476</v>
      </c>
      <c r="E766" cm="1">
        <f t="array" ref="E766">(PRODUCT(1+sp500_monthly!E767:E886)^(1/120)-1)*100</f>
        <v>0.9530358345134271</v>
      </c>
      <c r="F766" cm="1">
        <f t="array" ref="F766">(PRODUCT(1+sp500_monthly!K767:K886)^(1/120)-1)*100</f>
        <v>1.1091330158496282</v>
      </c>
      <c r="G766" cm="1">
        <f t="array" ref="G766">(PRODUCT(1+sp500_monthly!L767:L886)^(1/120)-1)</f>
        <v>0.40528861406572081</v>
      </c>
      <c r="H766" cm="1">
        <f t="array" ref="H766">(PRODUCT(1+sp500_monthly!N767:N886)^(1/120)-1)*100</f>
        <v>1.0820427266385879</v>
      </c>
      <c r="I766" cm="1">
        <f t="array" ref="I766">(PRODUCT(1+sp500_monthly!O767:O886)^(1/120)-1)*100</f>
        <v>0.16423576193163036</v>
      </c>
    </row>
    <row r="767" spans="1:9" x14ac:dyDescent="0.35">
      <c r="A767" s="1">
        <v>32780</v>
      </c>
      <c r="B767" cm="1">
        <f t="array" ref="B767">(PRODUCT(1+sp500_monthly!B768:B887)^(1/120)-1)*100</f>
        <v>1.3095797287784761</v>
      </c>
      <c r="C767" cm="1">
        <f t="array" ref="C767">(PRODUCT(1+sp500_monthly!C768:C887)^(1/120)-1)*100</f>
        <v>1.0972454694427647</v>
      </c>
      <c r="D767" cm="1">
        <f t="array" ref="D767">(PRODUCT(1+sp500_monthly!D768:D887)^(1/120)-1)*100</f>
        <v>1.1328862273576545</v>
      </c>
      <c r="E767" cm="1">
        <f t="array" ref="E767">(PRODUCT(1+sp500_monthly!E768:E887)^(1/120)-1)*100</f>
        <v>0.9344481614741218</v>
      </c>
      <c r="F767" cm="1">
        <f t="array" ref="F767">(PRODUCT(1+sp500_monthly!K768:K887)^(1/120)-1)*100</f>
        <v>1.0902593613088651</v>
      </c>
      <c r="G767" cm="1">
        <f t="array" ref="G767">(PRODUCT(1+sp500_monthly!L768:L887)^(1/120)-1)</f>
        <v>0.40328198970386531</v>
      </c>
      <c r="H767" cm="1">
        <f t="array" ref="H767">(PRODUCT(1+sp500_monthly!N768:N887)^(1/120)-1)*100</f>
        <v>1.0599399037271917</v>
      </c>
      <c r="I767" cm="1">
        <f t="array" ref="I767">(PRODUCT(1+sp500_monthly!O768:O887)^(1/120)-1)*100</f>
        <v>0.16059638576526591</v>
      </c>
    </row>
    <row r="768" spans="1:9" x14ac:dyDescent="0.35">
      <c r="A768" s="1">
        <v>32812</v>
      </c>
      <c r="B768" cm="1">
        <f t="array" ref="B768">(PRODUCT(1+sp500_monthly!B769:B888)^(1/120)-1)*100</f>
        <v>1.3823646580596982</v>
      </c>
      <c r="C768" cm="1">
        <f t="array" ref="C768">(PRODUCT(1+sp500_monthly!C769:C888)^(1/120)-1)*100</f>
        <v>1.1710563805961582</v>
      </c>
      <c r="D768" cm="1">
        <f t="array" ref="D768">(PRODUCT(1+sp500_monthly!D769:D888)^(1/120)-1)*100</f>
        <v>1.1988965575571608</v>
      </c>
      <c r="E768" cm="1">
        <f t="array" ref="E768">(PRODUCT(1+sp500_monthly!E769:E888)^(1/120)-1)*100</f>
        <v>1.0008792002582645</v>
      </c>
      <c r="F768" cm="1">
        <f t="array" ref="F768">(PRODUCT(1+sp500_monthly!K769:K888)^(1/120)-1)*100</f>
        <v>1.1628670830484245</v>
      </c>
      <c r="G768" cm="1">
        <f t="array" ref="G768">(PRODUCT(1+sp500_monthly!L769:L888)^(1/120)-1)</f>
        <v>0.40106783858591877</v>
      </c>
      <c r="H768" cm="1">
        <f t="array" ref="H768">(PRODUCT(1+sp500_monthly!N769:N888)^(1/120)-1)*100</f>
        <v>1.1350821922864851</v>
      </c>
      <c r="I768" cm="1">
        <f t="array" ref="I768">(PRODUCT(1+sp500_monthly!O769:O888)^(1/120)-1)*100</f>
        <v>0.16070101718330676</v>
      </c>
    </row>
    <row r="769" spans="1:9" x14ac:dyDescent="0.35">
      <c r="A769" s="1">
        <v>32842</v>
      </c>
      <c r="B769" cm="1">
        <f t="array" ref="B769">(PRODUCT(1+sp500_monthly!B770:B889)^(1/120)-1)*100</f>
        <v>1.3826485799318888</v>
      </c>
      <c r="C769" cm="1">
        <f t="array" ref="C769">(PRODUCT(1+sp500_monthly!C770:C889)^(1/120)-1)*100</f>
        <v>1.1734628936989733</v>
      </c>
      <c r="D769" cm="1">
        <f t="array" ref="D769">(PRODUCT(1+sp500_monthly!D770:D889)^(1/120)-1)*100</f>
        <v>1.1871332232723741</v>
      </c>
      <c r="E769" cm="1">
        <f t="array" ref="E769">(PRODUCT(1+sp500_monthly!E770:E889)^(1/120)-1)*100</f>
        <v>0.99033517776105917</v>
      </c>
      <c r="F769" cm="1">
        <f t="array" ref="F769">(PRODUCT(1+sp500_monthly!K770:K889)^(1/120)-1)*100</f>
        <v>1.1649551977279904</v>
      </c>
      <c r="G769" cm="1">
        <f t="array" ref="G769">(PRODUCT(1+sp500_monthly!L770:L889)^(1/120)-1)</f>
        <v>0.39853368862816785</v>
      </c>
      <c r="H769" cm="1">
        <f t="array" ref="H769">(PRODUCT(1+sp500_monthly!N770:N889)^(1/120)-1)*100</f>
        <v>1.1372164276958863</v>
      </c>
      <c r="I769" cm="1">
        <f t="array" ref="I769">(PRODUCT(1+sp500_monthly!O770:O889)^(1/120)-1)*100</f>
        <v>0.15979413544280341</v>
      </c>
    </row>
    <row r="770" spans="1:9" x14ac:dyDescent="0.35">
      <c r="A770" s="1">
        <v>32871</v>
      </c>
      <c r="B770" cm="1">
        <f t="array" ref="B770">(PRODUCT(1+sp500_monthly!B771:B890)^(1/120)-1)*100</f>
        <v>1.4150073366544058</v>
      </c>
      <c r="C770" cm="1">
        <f t="array" ref="C770">(PRODUCT(1+sp500_monthly!C771:C890)^(1/120)-1)*100</f>
        <v>1.2071409650705966</v>
      </c>
      <c r="D770" cm="1">
        <f t="array" ref="D770">(PRODUCT(1+sp500_monthly!D771:D890)^(1/120)-1)*100</f>
        <v>1.2108358538200248</v>
      </c>
      <c r="E770" cm="1">
        <f t="array" ref="E770">(PRODUCT(1+sp500_monthly!E771:E890)^(1/120)-1)*100</f>
        <v>1.0147396179905011</v>
      </c>
      <c r="F770" cm="1">
        <f t="array" ref="F770">(PRODUCT(1+sp500_monthly!K771:K890)^(1/120)-1)*100</f>
        <v>1.1945013608234412</v>
      </c>
      <c r="G770" cm="1">
        <f t="array" ref="G770">(PRODUCT(1+sp500_monthly!L771:L890)^(1/120)-1)</f>
        <v>0.39723376093713147</v>
      </c>
      <c r="H770" cm="1">
        <f t="array" ref="H770">(PRODUCT(1+sp500_monthly!N771:N890)^(1/120)-1)*100</f>
        <v>1.170170983763863</v>
      </c>
      <c r="I770" cm="1">
        <f t="array" ref="I770">(PRODUCT(1+sp500_monthly!O771:O890)^(1/120)-1)*100</f>
        <v>0.15905002266589641</v>
      </c>
    </row>
    <row r="771" spans="1:9" x14ac:dyDescent="0.35">
      <c r="A771" s="1">
        <v>32904</v>
      </c>
      <c r="B771" cm="1">
        <f t="array" ref="B771">(PRODUCT(1+sp500_monthly!B772:B891)^(1/120)-1)*100</f>
        <v>1.4311969147755566</v>
      </c>
      <c r="C771" cm="1">
        <f t="array" ref="C771">(PRODUCT(1+sp500_monthly!C772:C891)^(1/120)-1)*100</f>
        <v>1.2242871935556732</v>
      </c>
      <c r="D771" cm="1">
        <f t="array" ref="D771">(PRODUCT(1+sp500_monthly!D772:D891)^(1/120)-1)*100</f>
        <v>1.2252157466543734</v>
      </c>
      <c r="E771" cm="1">
        <f t="array" ref="E771">(PRODUCT(1+sp500_monthly!E772:E891)^(1/120)-1)*100</f>
        <v>1.0295386465206002</v>
      </c>
      <c r="F771" cm="1">
        <f t="array" ref="F771">(PRODUCT(1+sp500_monthly!K772:K891)^(1/120)-1)*100</f>
        <v>1.2105707479702188</v>
      </c>
      <c r="G771" cm="1">
        <f t="array" ref="G771">(PRODUCT(1+sp500_monthly!L772:L891)^(1/120)-1)</f>
        <v>0.39598279669823966</v>
      </c>
      <c r="H771" cm="1">
        <f t="array" ref="H771">(PRODUCT(1+sp500_monthly!N772:N891)^(1/120)-1)*100</f>
        <v>1.1918013944216321</v>
      </c>
      <c r="I771" cm="1">
        <f t="array" ref="I771">(PRODUCT(1+sp500_monthly!O772:O891)^(1/120)-1)*100</f>
        <v>0.16314530086805057</v>
      </c>
    </row>
    <row r="772" spans="1:9" x14ac:dyDescent="0.35">
      <c r="A772" s="1">
        <v>32932</v>
      </c>
      <c r="B772" cm="1">
        <f t="array" ref="B772">(PRODUCT(1+sp500_monthly!B773:B892)^(1/120)-1)*100</f>
        <v>1.4050779809184455</v>
      </c>
      <c r="C772" cm="1">
        <f t="array" ref="C772">(PRODUCT(1+sp500_monthly!C773:C892)^(1/120)-1)*100</f>
        <v>1.2008495049705026</v>
      </c>
      <c r="D772" cm="1">
        <f t="array" ref="D772">(PRODUCT(1+sp500_monthly!D773:D892)^(1/120)-1)*100</f>
        <v>1.1745549080323991</v>
      </c>
      <c r="E772" cm="1">
        <f t="array" ref="E772">(PRODUCT(1+sp500_monthly!E773:E892)^(1/120)-1)*100</f>
        <v>0.98027984409008173</v>
      </c>
      <c r="F772" cm="1">
        <f t="array" ref="F772">(PRODUCT(1+sp500_monthly!K773:K892)^(1/120)-1)*100</f>
        <v>1.1862699153905698</v>
      </c>
      <c r="G772" cm="1">
        <f t="array" ref="G772">(PRODUCT(1+sp500_monthly!L773:L892)^(1/120)-1)</f>
        <v>0.39489666583086325</v>
      </c>
      <c r="H772" cm="1">
        <f t="array" ref="H772">(PRODUCT(1+sp500_monthly!N773:N892)^(1/120)-1)*100</f>
        <v>1.1655651702936698</v>
      </c>
      <c r="I772" cm="1">
        <f t="array" ref="I772">(PRODUCT(1+sp500_monthly!O773:O892)^(1/120)-1)*100</f>
        <v>0.16180539100862923</v>
      </c>
    </row>
    <row r="773" spans="1:9" x14ac:dyDescent="0.35">
      <c r="A773" s="1">
        <v>32962</v>
      </c>
      <c r="B773" cm="1">
        <f t="array" ref="B773">(PRODUCT(1+sp500_monthly!B774:B893)^(1/120)-1)*100</f>
        <v>1.4622984192161015</v>
      </c>
      <c r="C773" cm="1">
        <f t="array" ref="C773">(PRODUCT(1+sp500_monthly!C774:C893)^(1/120)-1)*100</f>
        <v>1.2589756909251681</v>
      </c>
      <c r="D773" cm="1">
        <f t="array" ref="D773">(PRODUCT(1+sp500_monthly!D774:D893)^(1/120)-1)*100</f>
        <v>1.2361657013882699</v>
      </c>
      <c r="E773" cm="1">
        <f t="array" ref="E773">(PRODUCT(1+sp500_monthly!E774:E893)^(1/120)-1)*100</f>
        <v>1.0421493198293996</v>
      </c>
      <c r="F773" cm="1">
        <f t="array" ref="F773">(PRODUCT(1+sp500_monthly!K774:K893)^(1/120)-1)*100</f>
        <v>1.2439274221277108</v>
      </c>
      <c r="G773" cm="1">
        <f t="array" ref="G773">(PRODUCT(1+sp500_monthly!L774:L893)^(1/120)-1)</f>
        <v>0.39362517152106413</v>
      </c>
      <c r="H773" cm="1">
        <f t="array" ref="H773">(PRODUCT(1+sp500_monthly!N774:N893)^(1/120)-1)*100</f>
        <v>1.2216478758874327</v>
      </c>
      <c r="I773" cm="1">
        <f t="array" ref="I773">(PRODUCT(1+sp500_monthly!O774:O893)^(1/120)-1)*100</f>
        <v>0.15940221339751925</v>
      </c>
    </row>
    <row r="774" spans="1:9" x14ac:dyDescent="0.35">
      <c r="A774" s="1">
        <v>32993</v>
      </c>
      <c r="B774" cm="1">
        <f t="array" ref="B774">(PRODUCT(1+sp500_monthly!B775:B894)^(1/120)-1)*100</f>
        <v>1.4561404533922628</v>
      </c>
      <c r="C774" cm="1">
        <f t="array" ref="C774">(PRODUCT(1+sp500_monthly!C775:C894)^(1/120)-1)*100</f>
        <v>1.2539333286033072</v>
      </c>
      <c r="D774" cm="1">
        <f t="array" ref="D774">(PRODUCT(1+sp500_monthly!D775:D894)^(1/120)-1)*100</f>
        <v>1.2779212368296822</v>
      </c>
      <c r="E774" cm="1">
        <f t="array" ref="E774">(PRODUCT(1+sp500_monthly!E775:E894)^(1/120)-1)*100</f>
        <v>1.0843202086704862</v>
      </c>
      <c r="F774" cm="1">
        <f t="array" ref="F774">(PRODUCT(1+sp500_monthly!K775:K894)^(1/120)-1)*100</f>
        <v>1.2405315088167779</v>
      </c>
      <c r="G774" cm="1">
        <f t="array" ref="G774">(PRODUCT(1+sp500_monthly!L775:L894)^(1/120)-1)</f>
        <v>0.39192723717873723</v>
      </c>
      <c r="H774" cm="1">
        <f t="array" ref="H774">(PRODUCT(1+sp500_monthly!N775:N894)^(1/120)-1)*100</f>
        <v>1.2179632932484807</v>
      </c>
      <c r="I774" cm="1">
        <f t="array" ref="I774">(PRODUCT(1+sp500_monthly!O775:O894)^(1/120)-1)*100</f>
        <v>0.15992656002201677</v>
      </c>
    </row>
    <row r="775" spans="1:9" x14ac:dyDescent="0.35">
      <c r="A775" s="1">
        <v>33024</v>
      </c>
      <c r="B775" cm="1">
        <f t="array" ref="B775">(PRODUCT(1+sp500_monthly!B776:B895)^(1/120)-1)*100</f>
        <v>1.358521070146268</v>
      </c>
      <c r="C775" cm="1">
        <f t="array" ref="C775">(PRODUCT(1+sp500_monthly!C776:C895)^(1/120)-1)*100</f>
        <v>1.1592336729109087</v>
      </c>
      <c r="D775" cm="1">
        <f t="array" ref="D775">(PRODUCT(1+sp500_monthly!D776:D895)^(1/120)-1)*100</f>
        <v>1.2143463942630772</v>
      </c>
      <c r="E775" cm="1">
        <f t="array" ref="E775">(PRODUCT(1+sp500_monthly!E776:E895)^(1/120)-1)*100</f>
        <v>1.0221366534469922</v>
      </c>
      <c r="F775" cm="1">
        <f t="array" ref="F775">(PRODUCT(1+sp500_monthly!K776:K895)^(1/120)-1)*100</f>
        <v>1.1476357642656865</v>
      </c>
      <c r="G775" cm="1">
        <f t="array" ref="G775">(PRODUCT(1+sp500_monthly!L776:L895)^(1/120)-1)</f>
        <v>0.39061331368288421</v>
      </c>
      <c r="H775" cm="1">
        <f t="array" ref="H775">(PRODUCT(1+sp500_monthly!N776:N895)^(1/120)-1)*100</f>
        <v>1.1204016086147073</v>
      </c>
      <c r="I775" cm="1">
        <f t="array" ref="I775">(PRODUCT(1+sp500_monthly!O776:O895)^(1/120)-1)*100</f>
        <v>0.15826314411107045</v>
      </c>
    </row>
    <row r="776" spans="1:9" x14ac:dyDescent="0.35">
      <c r="A776" s="1">
        <v>33053</v>
      </c>
      <c r="B776" cm="1">
        <f t="array" ref="B776">(PRODUCT(1+sp500_monthly!B777:B896)^(1/120)-1)*100</f>
        <v>1.3861096180296961</v>
      </c>
      <c r="C776" cm="1">
        <f t="array" ref="C776">(PRODUCT(1+sp500_monthly!C777:C896)^(1/120)-1)*100</f>
        <v>1.1880162229803926</v>
      </c>
      <c r="D776" cm="1">
        <f t="array" ref="D776">(PRODUCT(1+sp500_monthly!D777:D896)^(1/120)-1)*100</f>
        <v>1.2099967636038045</v>
      </c>
      <c r="E776" cm="1">
        <f t="array" ref="E776">(PRODUCT(1+sp500_monthly!E777:E896)^(1/120)-1)*100</f>
        <v>1.0185190915966036</v>
      </c>
      <c r="F776" cm="1">
        <f t="array" ref="F776">(PRODUCT(1+sp500_monthly!K777:K896)^(1/120)-1)*100</f>
        <v>1.1750992100936664</v>
      </c>
      <c r="G776" cm="1">
        <f t="array" ref="G776">(PRODUCT(1+sp500_monthly!L777:L896)^(1/120)-1)</f>
        <v>0.38885173786221405</v>
      </c>
      <c r="H776" cm="1">
        <f t="array" ref="H776">(PRODUCT(1+sp500_monthly!N777:N896)^(1/120)-1)*100</f>
        <v>1.1482233065911673</v>
      </c>
      <c r="I776" cm="1">
        <f t="array" ref="I776">(PRODUCT(1+sp500_monthly!O777:O896)^(1/120)-1)*100</f>
        <v>0.15664833954773805</v>
      </c>
    </row>
    <row r="777" spans="1:9" x14ac:dyDescent="0.35">
      <c r="A777" s="1">
        <v>33085</v>
      </c>
      <c r="B777" cm="1">
        <f t="array" ref="B777">(PRODUCT(1+sp500_monthly!B778:B897)^(1/120)-1)*100</f>
        <v>1.3790013386463684</v>
      </c>
      <c r="C777" cm="1">
        <f t="array" ref="C777">(PRODUCT(1+sp500_monthly!C778:C897)^(1/120)-1)*100</f>
        <v>1.1820104764471706</v>
      </c>
      <c r="D777" cm="1">
        <f t="array" ref="D777">(PRODUCT(1+sp500_monthly!D778:D897)^(1/120)-1)*100</f>
        <v>1.234265872832907</v>
      </c>
      <c r="E777" cm="1">
        <f t="array" ref="E777">(PRODUCT(1+sp500_monthly!E778:E897)^(1/120)-1)*100</f>
        <v>1.0432321723951254</v>
      </c>
      <c r="F777" cm="1">
        <f t="array" ref="F777">(PRODUCT(1+sp500_monthly!K778:K897)^(1/120)-1)*100</f>
        <v>1.1656235104547275</v>
      </c>
      <c r="G777" cm="1">
        <f t="array" ref="G777">(PRODUCT(1+sp500_monthly!L778:L897)^(1/120)-1)</f>
        <v>0.38738551796755449</v>
      </c>
      <c r="H777" cm="1">
        <f t="array" ref="H777">(PRODUCT(1+sp500_monthly!N778:N897)^(1/120)-1)*100</f>
        <v>1.1425720582727283</v>
      </c>
      <c r="I777" cm="1">
        <f t="array" ref="I777">(PRODUCT(1+sp500_monthly!O778:O897)^(1/120)-1)*100</f>
        <v>0.15641501020084991</v>
      </c>
    </row>
    <row r="778" spans="1:9" x14ac:dyDescent="0.35">
      <c r="A778" s="1">
        <v>33116</v>
      </c>
      <c r="B778" cm="1">
        <f t="array" ref="B778">(PRODUCT(1+sp500_monthly!B779:B898)^(1/120)-1)*100</f>
        <v>1.5107988516340543</v>
      </c>
      <c r="C778" cm="1">
        <f t="array" ref="C778">(PRODUCT(1+sp500_monthly!C779:C898)^(1/120)-1)*100</f>
        <v>1.3163154000833455</v>
      </c>
      <c r="D778" cm="1">
        <f t="array" ref="D778">(PRODUCT(1+sp500_monthly!D779:D898)^(1/120)-1)*100</f>
        <v>1.3952962790691137</v>
      </c>
      <c r="E778" cm="1">
        <f t="array" ref="E778">(PRODUCT(1+sp500_monthly!E779:E898)^(1/120)-1)*100</f>
        <v>1.2057995947082345</v>
      </c>
      <c r="F778" cm="1">
        <f t="array" ref="F778">(PRODUCT(1+sp500_monthly!K779:K898)^(1/120)-1)*100</f>
        <v>1.2989048240037215</v>
      </c>
      <c r="G778" cm="1">
        <f t="array" ref="G778">(PRODUCT(1+sp500_monthly!L779:L898)^(1/120)-1)</f>
        <v>0.38621422115535142</v>
      </c>
      <c r="H778" cm="1">
        <f t="array" ref="H778">(PRODUCT(1+sp500_monthly!N779:N898)^(1/120)-1)*100</f>
        <v>1.2811463949538249</v>
      </c>
      <c r="I778" cm="1">
        <f t="array" ref="I778">(PRODUCT(1+sp500_monthly!O779:O898)^(1/120)-1)*100</f>
        <v>0.1620932205043113</v>
      </c>
    </row>
    <row r="779" spans="1:9" x14ac:dyDescent="0.35">
      <c r="A779" s="1">
        <v>33144</v>
      </c>
      <c r="B779" cm="1">
        <f t="array" ref="B779">(PRODUCT(1+sp500_monthly!B780:B899)^(1/120)-1)*100</f>
        <v>1.5080111469034208</v>
      </c>
      <c r="C779" cm="1">
        <f t="array" ref="C779">(PRODUCT(1+sp500_monthly!C780:C899)^(1/120)-1)*100</f>
        <v>1.3149064513318098</v>
      </c>
      <c r="D779" cm="1">
        <f t="array" ref="D779">(PRODUCT(1+sp500_monthly!D780:D899)^(1/120)-1)*100</f>
        <v>1.4481757048958599</v>
      </c>
      <c r="E779" cm="1">
        <f t="array" ref="E779">(PRODUCT(1+sp500_monthly!E780:E899)^(1/120)-1)*100</f>
        <v>1.2593879890914206</v>
      </c>
      <c r="F779" cm="1">
        <f t="array" ref="F779">(PRODUCT(1+sp500_monthly!K780:K899)^(1/120)-1)*100</f>
        <v>1.2968569521841111</v>
      </c>
      <c r="G779" cm="1">
        <f t="array" ref="G779">(PRODUCT(1+sp500_monthly!L780:L899)^(1/120)-1)</f>
        <v>0.38554560365382073</v>
      </c>
      <c r="H779" cm="1">
        <f t="array" ref="H779">(PRODUCT(1+sp500_monthly!N780:N899)^(1/120)-1)*100</f>
        <v>1.2797304153201461</v>
      </c>
      <c r="I779" cm="1">
        <f t="array" ref="I779">(PRODUCT(1+sp500_monthly!O780:O899)^(1/120)-1)*100</f>
        <v>0.16269651265841123</v>
      </c>
    </row>
    <row r="780" spans="1:9" x14ac:dyDescent="0.35">
      <c r="A780" s="1">
        <v>33177</v>
      </c>
      <c r="B780" cm="1">
        <f t="array" ref="B780">(PRODUCT(1+sp500_monthly!B781:B900)^(1/120)-1)*100</f>
        <v>1.5075670284815601</v>
      </c>
      <c r="C780" cm="1">
        <f t="array" ref="C780">(PRODUCT(1+sp500_monthly!C781:C900)^(1/120)-1)*100</f>
        <v>1.3159939419420619</v>
      </c>
      <c r="D780" cm="1">
        <f t="array" ref="D780">(PRODUCT(1+sp500_monthly!D781:D900)^(1/120)-1)*100</f>
        <v>1.4971595122111436</v>
      </c>
      <c r="E780" cm="1">
        <f t="array" ref="E780">(PRODUCT(1+sp500_monthly!E781:E900)^(1/120)-1)*100</f>
        <v>1.3093465788065695</v>
      </c>
      <c r="F780" cm="1">
        <f t="array" ref="F780">(PRODUCT(1+sp500_monthly!K781:K900)^(1/120)-1)*100</f>
        <v>1.2983420133308998</v>
      </c>
      <c r="G780" cm="1">
        <f t="array" ref="G780">(PRODUCT(1+sp500_monthly!L781:L900)^(1/120)-1)</f>
        <v>0.38469020135643683</v>
      </c>
      <c r="H780" cm="1">
        <f t="array" ref="H780">(PRODUCT(1+sp500_monthly!N781:N900)^(1/120)-1)*100</f>
        <v>1.283543536523668</v>
      </c>
      <c r="I780" cm="1">
        <f t="array" ref="I780">(PRODUCT(1+sp500_monthly!O781:O900)^(1/120)-1)*100</f>
        <v>0.1659103368664594</v>
      </c>
    </row>
    <row r="781" spans="1:9" x14ac:dyDescent="0.35">
      <c r="A781" s="1">
        <v>33207</v>
      </c>
      <c r="B781" cm="1">
        <f t="array" ref="B781">(PRODUCT(1+sp500_monthly!B782:B901)^(1/120)-1)*100</f>
        <v>1.3857775420669682</v>
      </c>
      <c r="C781" cm="1">
        <f t="array" ref="C781">(PRODUCT(1+sp500_monthly!C782:C901)^(1/120)-1)*100</f>
        <v>1.1969568965735089</v>
      </c>
      <c r="D781" cm="1">
        <f t="array" ref="D781">(PRODUCT(1+sp500_monthly!D782:D901)^(1/120)-1)*100</f>
        <v>1.383348141309515</v>
      </c>
      <c r="E781" cm="1">
        <f t="array" ref="E781">(PRODUCT(1+sp500_monthly!E782:E901)^(1/120)-1)*100</f>
        <v>1.1972084666014515</v>
      </c>
      <c r="F781" cm="1">
        <f t="array" ref="F781">(PRODUCT(1+sp500_monthly!K782:K901)^(1/120)-1)*100</f>
        <v>1.1788271330497535</v>
      </c>
      <c r="G781" cm="1">
        <f t="array" ref="G781">(PRODUCT(1+sp500_monthly!L782:L901)^(1/120)-1)</f>
        <v>0.38424064272646352</v>
      </c>
      <c r="H781" cm="1">
        <f t="array" ref="H781">(PRODUCT(1+sp500_monthly!N782:N901)^(1/120)-1)*100</f>
        <v>1.1624634873071304</v>
      </c>
      <c r="I781" cm="1">
        <f t="array" ref="I781">(PRODUCT(1+sp500_monthly!O782:O901)^(1/120)-1)*100</f>
        <v>0.16584850960132957</v>
      </c>
    </row>
    <row r="782" spans="1:9" x14ac:dyDescent="0.35">
      <c r="A782" s="1">
        <v>33238</v>
      </c>
      <c r="B782" cm="1">
        <f t="array" ref="B782">(PRODUCT(1+sp500_monthly!B783:B902)^(1/120)-1)*100</f>
        <v>1.3672773243175396</v>
      </c>
      <c r="C782" cm="1">
        <f t="array" ref="C782">(PRODUCT(1+sp500_monthly!C783:C902)^(1/120)-1)*100</f>
        <v>1.180262032435575</v>
      </c>
      <c r="D782" cm="1">
        <f t="array" ref="D782">(PRODUCT(1+sp500_monthly!D783:D902)^(1/120)-1)*100</f>
        <v>1.4032551053212439</v>
      </c>
      <c r="E782" cm="1">
        <f t="array" ref="E782">(PRODUCT(1+sp500_monthly!E783:E902)^(1/120)-1)*100</f>
        <v>1.218629362217416</v>
      </c>
      <c r="F782" cm="1">
        <f t="array" ref="F782">(PRODUCT(1+sp500_monthly!K783:K902)^(1/120)-1)*100</f>
        <v>1.1615607660458993</v>
      </c>
      <c r="G782" cm="1">
        <f t="array" ref="G782">(PRODUCT(1+sp500_monthly!L783:L902)^(1/120)-1)</f>
        <v>0.3834963691875426</v>
      </c>
      <c r="H782" cm="1">
        <f t="array" ref="H782">(PRODUCT(1+sp500_monthly!N783:N902)^(1/120)-1)*100</f>
        <v>1.1452170469850254</v>
      </c>
      <c r="I782" cm="1">
        <f t="array" ref="I782">(PRODUCT(1+sp500_monthly!O783:O902)^(1/120)-1)*100</f>
        <v>0.16621965086425217</v>
      </c>
    </row>
    <row r="783" spans="1:9" x14ac:dyDescent="0.35">
      <c r="A783" s="1">
        <v>33269</v>
      </c>
      <c r="B783" cm="1">
        <f t="array" ref="B783">(PRODUCT(1+sp500_monthly!B784:B903)^(1/120)-1)*100</f>
        <v>1.3570069952158592</v>
      </c>
      <c r="C783" cm="1">
        <f t="array" ref="C783">(PRODUCT(1+sp500_monthly!C784:C903)^(1/120)-1)*100</f>
        <v>1.1709081772937724</v>
      </c>
      <c r="D783" cm="1">
        <f t="array" ref="D783">(PRODUCT(1+sp500_monthly!D784:D903)^(1/120)-1)*100</f>
        <v>1.3805805912255664</v>
      </c>
      <c r="E783" cm="1">
        <f t="array" ref="E783">(PRODUCT(1+sp500_monthly!E784:E903)^(1/120)-1)*100</f>
        <v>1.1966355370601089</v>
      </c>
      <c r="F783" cm="1">
        <f t="array" ref="F783">(PRODUCT(1+sp500_monthly!K784:K903)^(1/120)-1)*100</f>
        <v>1.1559729043245426</v>
      </c>
      <c r="G783" cm="1">
        <f t="array" ref="G783">(PRODUCT(1+sp500_monthly!L784:L903)^(1/120)-1)</f>
        <v>0.38364708720810436</v>
      </c>
      <c r="H783" cm="1">
        <f t="array" ref="H783">(PRODUCT(1+sp500_monthly!N784:N903)^(1/120)-1)*100</f>
        <v>1.1332902392432675</v>
      </c>
      <c r="I783" cm="1">
        <f t="array" ref="I783">(PRODUCT(1+sp500_monthly!O784:O903)^(1/120)-1)*100</f>
        <v>0.16472281702006875</v>
      </c>
    </row>
    <row r="784" spans="1:9" x14ac:dyDescent="0.35">
      <c r="A784" s="1">
        <v>33297</v>
      </c>
      <c r="B784" cm="1">
        <f t="array" ref="B784">(PRODUCT(1+sp500_monthly!B785:B904)^(1/120)-1)*100</f>
        <v>1.2181775351171931</v>
      </c>
      <c r="C784" cm="1">
        <f t="array" ref="C784">(PRODUCT(1+sp500_monthly!C785:C904)^(1/120)-1)*100</f>
        <v>1.0345426957478976</v>
      </c>
      <c r="D784" cm="1">
        <f t="array" ref="D784">(PRODUCT(1+sp500_monthly!D785:D904)^(1/120)-1)*100</f>
        <v>1.2728872396811086</v>
      </c>
      <c r="E784" cm="1">
        <f t="array" ref="E784">(PRODUCT(1+sp500_monthly!E785:E904)^(1/120)-1)*100</f>
        <v>1.0905092049315002</v>
      </c>
      <c r="F784" cm="1">
        <f t="array" ref="F784">(PRODUCT(1+sp500_monthly!K785:K904)^(1/120)-1)*100</f>
        <v>1.0195501645911875</v>
      </c>
      <c r="G784" cm="1">
        <f t="array" ref="G784">(PRODUCT(1+sp500_monthly!L785:L904)^(1/120)-1)</f>
        <v>0.38284067231821628</v>
      </c>
      <c r="H784" cm="1">
        <f t="array" ref="H784">(PRODUCT(1+sp500_monthly!N785:N904)^(1/120)-1)*100</f>
        <v>0.99347683847799129</v>
      </c>
      <c r="I784" cm="1">
        <f t="array" ref="I784">(PRODUCT(1+sp500_monthly!O785:O904)^(1/120)-1)*100</f>
        <v>0.16261193678606123</v>
      </c>
    </row>
    <row r="785" spans="1:9" x14ac:dyDescent="0.35">
      <c r="A785" s="1">
        <v>33325</v>
      </c>
      <c r="B785" cm="1">
        <f t="array" ref="B785">(PRODUCT(1+sp500_monthly!B786:B905)^(1/120)-1)*100</f>
        <v>1.142386830030695</v>
      </c>
      <c r="C785" cm="1">
        <f t="array" ref="C785">(PRODUCT(1+sp500_monthly!C786:C905)^(1/120)-1)*100</f>
        <v>0.95977629894605787</v>
      </c>
      <c r="D785" cm="1">
        <f t="array" ref="D785">(PRODUCT(1+sp500_monthly!D786:D905)^(1/120)-1)*100</f>
        <v>1.2041232717749928</v>
      </c>
      <c r="E785" cm="1">
        <f t="array" ref="E785">(PRODUCT(1+sp500_monthly!E786:E905)^(1/120)-1)*100</f>
        <v>1.0226299485198487</v>
      </c>
      <c r="F785" cm="1">
        <f t="array" ref="F785">(PRODUCT(1+sp500_monthly!K786:K905)^(1/120)-1)*100</f>
        <v>0.94522801672212164</v>
      </c>
      <c r="G785" cm="1">
        <f t="array" ref="G785">(PRODUCT(1+sp500_monthly!L786:L905)^(1/120)-1)</f>
        <v>0.38267950884156643</v>
      </c>
      <c r="H785" cm="1">
        <f t="array" ref="H785">(PRODUCT(1+sp500_monthly!N786:N905)^(1/120)-1)*100</f>
        <v>0.91737669209472905</v>
      </c>
      <c r="I785" cm="1">
        <f t="array" ref="I785">(PRODUCT(1+sp500_monthly!O786:O905)^(1/120)-1)*100</f>
        <v>0.16197159579349751</v>
      </c>
    </row>
    <row r="786" spans="1:9" x14ac:dyDescent="0.35">
      <c r="A786" s="1">
        <v>33358</v>
      </c>
      <c r="B786" cm="1">
        <f t="array" ref="B786">(PRODUCT(1+sp500_monthly!B787:B906)^(1/120)-1)*100</f>
        <v>1.2036629130196763</v>
      </c>
      <c r="C786" cm="1">
        <f t="array" ref="C786">(PRODUCT(1+sp500_monthly!C787:C906)^(1/120)-1)*100</f>
        <v>1.0220100659934728</v>
      </c>
      <c r="D786" cm="1">
        <f t="array" ref="D786">(PRODUCT(1+sp500_monthly!D787:D906)^(1/120)-1)*100</f>
        <v>1.2684783813558864</v>
      </c>
      <c r="E786" cm="1">
        <f t="array" ref="E786">(PRODUCT(1+sp500_monthly!E787:E906)^(1/120)-1)*100</f>
        <v>1.087736018207841</v>
      </c>
      <c r="F786" cm="1">
        <f t="array" ref="F786">(PRODUCT(1+sp500_monthly!K787:K906)^(1/120)-1)*100</f>
        <v>1.0072112079055451</v>
      </c>
      <c r="G786" cm="1">
        <f t="array" ref="G786">(PRODUCT(1+sp500_monthly!L787:L906)^(1/120)-1)</f>
        <v>0.38157422218131942</v>
      </c>
      <c r="H786" cm="1">
        <f t="array" ref="H786">(PRODUCT(1+sp500_monthly!N787:N906)^(1/120)-1)*100</f>
        <v>0.97895480234730936</v>
      </c>
      <c r="I786" cm="1">
        <f t="array" ref="I786">(PRODUCT(1+sp500_monthly!O787:O906)^(1/120)-1)*100</f>
        <v>0.16124319446197966</v>
      </c>
    </row>
    <row r="787" spans="1:9" x14ac:dyDescent="0.35">
      <c r="A787" s="1">
        <v>33389</v>
      </c>
      <c r="B787" cm="1">
        <f t="array" ref="B787">(PRODUCT(1+sp500_monthly!B788:B907)^(1/120)-1)*100</f>
        <v>1.1739821440588827</v>
      </c>
      <c r="C787" cm="1">
        <f t="array" ref="C787">(PRODUCT(1+sp500_monthly!C788:C907)^(1/120)-1)*100</f>
        <v>0.9944761571320182</v>
      </c>
      <c r="D787" cm="1">
        <f t="array" ref="D787">(PRODUCT(1+sp500_monthly!D788:D907)^(1/120)-1)*100</f>
        <v>1.2385165537249554</v>
      </c>
      <c r="E787" cm="1">
        <f t="array" ref="E787">(PRODUCT(1+sp500_monthly!E788:E907)^(1/120)-1)*100</f>
        <v>1.0591515602357493</v>
      </c>
      <c r="F787" cm="1">
        <f t="array" ref="F787">(PRODUCT(1+sp500_monthly!K788:K907)^(1/120)-1)*100</f>
        <v>0.97962787081702363</v>
      </c>
      <c r="G787" cm="1">
        <f t="array" ref="G787">(PRODUCT(1+sp500_monthly!L788:L907)^(1/120)-1)</f>
        <v>0.38033561313929209</v>
      </c>
      <c r="H787" cm="1">
        <f t="array" ref="H787">(PRODUCT(1+sp500_monthly!N788:N907)^(1/120)-1)*100</f>
        <v>0.94816645733266647</v>
      </c>
      <c r="I787" cm="1">
        <f t="array" ref="I787">(PRODUCT(1+sp500_monthly!O788:O907)^(1/120)-1)*100</f>
        <v>0.15883181021170145</v>
      </c>
    </row>
    <row r="788" spans="1:9" x14ac:dyDescent="0.35">
      <c r="A788" s="1">
        <v>33417</v>
      </c>
      <c r="B788" cm="1">
        <f t="array" ref="B788">(PRODUCT(1+sp500_monthly!B789:B908)^(1/120)-1)*100</f>
        <v>1.1922014968864136</v>
      </c>
      <c r="C788" cm="1">
        <f t="array" ref="C788">(PRODUCT(1+sp500_monthly!C789:C908)^(1/120)-1)*100</f>
        <v>1.0139679134057333</v>
      </c>
      <c r="D788" cm="1">
        <f t="array" ref="D788">(PRODUCT(1+sp500_monthly!D789:D908)^(1/120)-1)*100</f>
        <v>1.2681277550802506</v>
      </c>
      <c r="E788" cm="1">
        <f t="array" ref="E788">(PRODUCT(1+sp500_monthly!E789:E908)^(1/120)-1)*100</f>
        <v>1.0896534927390178</v>
      </c>
      <c r="F788" cm="1">
        <f t="array" ref="F788">(PRODUCT(1+sp500_monthly!K789:K908)^(1/120)-1)*100</f>
        <v>0.99962040371630589</v>
      </c>
      <c r="G788" cm="1">
        <f t="array" ref="G788">(PRODUCT(1+sp500_monthly!L789:L908)^(1/120)-1)</f>
        <v>0.37914217593561039</v>
      </c>
      <c r="H788" cm="1">
        <f t="array" ref="H788">(PRODUCT(1+sp500_monthly!N789:N908)^(1/120)-1)*100</f>
        <v>0.96692737636523418</v>
      </c>
      <c r="I788" cm="1">
        <f t="array" ref="I788">(PRODUCT(1+sp500_monthly!O789:O908)^(1/120)-1)*100</f>
        <v>0.15824494029776925</v>
      </c>
    </row>
    <row r="789" spans="1:9" x14ac:dyDescent="0.35">
      <c r="A789" s="1">
        <v>33450</v>
      </c>
      <c r="B789" cm="1">
        <f t="array" ref="B789">(PRODUCT(1+sp500_monthly!B790:B909)^(1/120)-1)*100</f>
        <v>1.1459699384931854</v>
      </c>
      <c r="C789" cm="1">
        <f t="array" ref="C789">(PRODUCT(1+sp500_monthly!C790:C909)^(1/120)-1)*100</f>
        <v>0.96841634638065166</v>
      </c>
      <c r="D789" cm="1">
        <f t="array" ref="D789">(PRODUCT(1+sp500_monthly!D790:D909)^(1/120)-1)*100</f>
        <v>1.2256794893873879</v>
      </c>
      <c r="E789" cm="1">
        <f t="array" ref="E789">(PRODUCT(1+sp500_monthly!E790:E909)^(1/120)-1)*100</f>
        <v>1.0478690859953455</v>
      </c>
      <c r="F789" cm="1">
        <f t="array" ref="F789">(PRODUCT(1+sp500_monthly!K790:K909)^(1/120)-1)*100</f>
        <v>0.95358148135060716</v>
      </c>
      <c r="G789" cm="1">
        <f t="array" ref="G789">(PRODUCT(1+sp500_monthly!L790:L909)^(1/120)-1)</f>
        <v>0.37757530549307816</v>
      </c>
      <c r="H789" cm="1">
        <f t="array" ref="H789">(PRODUCT(1+sp500_monthly!N790:N909)^(1/120)-1)*100</f>
        <v>0.92345565940317176</v>
      </c>
      <c r="I789" cm="1">
        <f t="array" ref="I789">(PRODUCT(1+sp500_monthly!O790:O909)^(1/120)-1)*100</f>
        <v>0.15930215635922007</v>
      </c>
    </row>
    <row r="790" spans="1:9" x14ac:dyDescent="0.35">
      <c r="A790" s="1">
        <v>33480</v>
      </c>
      <c r="B790" cm="1">
        <f t="array" ref="B790">(PRODUCT(1+sp500_monthly!B791:B910)^(1/120)-1)*100</f>
        <v>1.0708627616223598</v>
      </c>
      <c r="C790" cm="1">
        <f t="array" ref="C790">(PRODUCT(1+sp500_monthly!C791:C910)^(1/120)-1)*100</f>
        <v>0.89536399767309316</v>
      </c>
      <c r="D790" cm="1">
        <f t="array" ref="D790">(PRODUCT(1+sp500_monthly!D791:D910)^(1/120)-1)*100</f>
        <v>1.1691595440021185</v>
      </c>
      <c r="E790" cm="1">
        <f t="array" ref="E790">(PRODUCT(1+sp500_monthly!E791:E910)^(1/120)-1)*100</f>
        <v>0.99297662872088743</v>
      </c>
      <c r="F790" cm="1">
        <f t="array" ref="F790">(PRODUCT(1+sp500_monthly!K791:K910)^(1/120)-1)*100</f>
        <v>0.88149806693054167</v>
      </c>
      <c r="G790" cm="1">
        <f t="array" ref="G790">(PRODUCT(1+sp500_monthly!L791:L910)^(1/120)-1)</f>
        <v>0.3763313510410613</v>
      </c>
      <c r="H790" cm="1">
        <f t="array" ref="H790">(PRODUCT(1+sp500_monthly!N791:N910)^(1/120)-1)*100</f>
        <v>0.85097827379494451</v>
      </c>
      <c r="I790" cm="1">
        <f t="array" ref="I790">(PRODUCT(1+sp500_monthly!O791:O910)^(1/120)-1)*100</f>
        <v>0.16050266125979817</v>
      </c>
    </row>
    <row r="791" spans="1:9" x14ac:dyDescent="0.35">
      <c r="A791" s="1">
        <v>33511</v>
      </c>
      <c r="B791" cm="1">
        <f t="array" ref="B791">(PRODUCT(1+sp500_monthly!B792:B911)^(1/120)-1)*100</f>
        <v>1.0146414708228191</v>
      </c>
      <c r="C791" cm="1">
        <f t="array" ref="C791">(PRODUCT(1+sp500_monthly!C792:C911)^(1/120)-1)*100</f>
        <v>0.84021684431412336</v>
      </c>
      <c r="D791" cm="1">
        <f t="array" ref="D791">(PRODUCT(1+sp500_monthly!D792:D911)^(1/120)-1)*100</f>
        <v>1.0734824393585862</v>
      </c>
      <c r="E791" cm="1">
        <f t="array" ref="E791">(PRODUCT(1+sp500_monthly!E792:E911)^(1/120)-1)*100</f>
        <v>0.89804593420221845</v>
      </c>
      <c r="F791" cm="1">
        <f t="array" ref="F791">(PRODUCT(1+sp500_monthly!K792:K911)^(1/120)-1)*100</f>
        <v>0.82609019417783092</v>
      </c>
      <c r="G791" cm="1">
        <f t="array" ref="G791">(PRODUCT(1+sp500_monthly!L792:L911)^(1/120)-1)</f>
        <v>0.37482307253063851</v>
      </c>
      <c r="H791" cm="1">
        <f t="array" ref="H791">(PRODUCT(1+sp500_monthly!N792:N911)^(1/120)-1)*100</f>
        <v>0.79402746292138726</v>
      </c>
      <c r="I791" cm="1">
        <f t="array" ref="I791">(PRODUCT(1+sp500_monthly!O792:O911)^(1/120)-1)*100</f>
        <v>0.15815934460223779</v>
      </c>
    </row>
    <row r="792" spans="1:9" x14ac:dyDescent="0.35">
      <c r="A792" s="1">
        <v>33542</v>
      </c>
      <c r="B792" cm="1">
        <f t="array" ref="B792">(PRODUCT(1+sp500_monthly!B793:B912)^(1/120)-1)*100</f>
        <v>1.0196782703271179</v>
      </c>
      <c r="C792" cm="1">
        <f t="array" ref="C792">(PRODUCT(1+sp500_monthly!C793:C912)^(1/120)-1)*100</f>
        <v>0.84571896824956472</v>
      </c>
      <c r="D792" cm="1">
        <f t="array" ref="D792">(PRODUCT(1+sp500_monthly!D793:D912)^(1/120)-1)*100</f>
        <v>1.0991937642835792</v>
      </c>
      <c r="E792" cm="1">
        <f t="array" ref="E792">(PRODUCT(1+sp500_monthly!E793:E912)^(1/120)-1)*100</f>
        <v>0.92418499297948209</v>
      </c>
      <c r="F792" cm="1">
        <f t="array" ref="F792">(PRODUCT(1+sp500_monthly!K793:K912)^(1/120)-1)*100</f>
        <v>0.83125509380770346</v>
      </c>
      <c r="G792" cm="1">
        <f t="array" ref="G792">(PRODUCT(1+sp500_monthly!L793:L912)^(1/120)-1)</f>
        <v>0.3730849520918309</v>
      </c>
      <c r="H792" cm="1">
        <f t="array" ref="H792">(PRODUCT(1+sp500_monthly!N793:N912)^(1/120)-1)*100</f>
        <v>0.80264021761324855</v>
      </c>
      <c r="I792" cm="1">
        <f t="array" ref="I792">(PRODUCT(1+sp500_monthly!O793:O912)^(1/120)-1)*100</f>
        <v>0.16005946984938291</v>
      </c>
    </row>
    <row r="793" spans="1:9" x14ac:dyDescent="0.35">
      <c r="A793" s="1">
        <v>33571</v>
      </c>
      <c r="B793" cm="1">
        <f t="array" ref="B793">(PRODUCT(1+sp500_monthly!B794:B913)^(1/120)-1)*100</f>
        <v>1.118121221991597</v>
      </c>
      <c r="C793" cm="1">
        <f t="array" ref="C793">(PRODUCT(1+sp500_monthly!C794:C913)^(1/120)-1)*100</f>
        <v>0.94610112127204715</v>
      </c>
      <c r="D793" cm="1">
        <f t="array" ref="D793">(PRODUCT(1+sp500_monthly!D794:D913)^(1/120)-1)*100</f>
        <v>1.2252415740970468</v>
      </c>
      <c r="E793" cm="1">
        <f t="array" ref="E793">(PRODUCT(1+sp500_monthly!E794:E913)^(1/120)-1)*100</f>
        <v>1.0516914998004889</v>
      </c>
      <c r="F793" cm="1">
        <f t="array" ref="F793">(PRODUCT(1+sp500_monthly!K794:K913)^(1/120)-1)*100</f>
        <v>0.92995534523987455</v>
      </c>
      <c r="G793" cm="1">
        <f t="array" ref="G793">(PRODUCT(1+sp500_monthly!L794:L913)^(1/120)-1)</f>
        <v>0.37111484567787723</v>
      </c>
      <c r="H793" cm="1">
        <f t="array" ref="H793">(PRODUCT(1+sp500_monthly!N794:N913)^(1/120)-1)*100</f>
        <v>0.9050144603482968</v>
      </c>
      <c r="I793" cm="1">
        <f t="array" ref="I793">(PRODUCT(1+sp500_monthly!O794:O913)^(1/120)-1)*100</f>
        <v>0.16234064689866212</v>
      </c>
    </row>
    <row r="794" spans="1:9" x14ac:dyDescent="0.35">
      <c r="A794" s="1">
        <v>33603</v>
      </c>
      <c r="B794" cm="1">
        <f t="array" ref="B794">(PRODUCT(1+sp500_monthly!B795:B914)^(1/120)-1)*100</f>
        <v>1.0347106558275865</v>
      </c>
      <c r="C794" cm="1">
        <f t="array" ref="C794">(PRODUCT(1+sp500_monthly!C795:C914)^(1/120)-1)*100</f>
        <v>0.86380430358836691</v>
      </c>
      <c r="D794" cm="1">
        <f t="array" ref="D794">(PRODUCT(1+sp500_monthly!D795:D914)^(1/120)-1)*100</f>
        <v>1.1598871308392988</v>
      </c>
      <c r="E794" cm="1">
        <f t="array" ref="E794">(PRODUCT(1+sp500_monthly!E795:E914)^(1/120)-1)*100</f>
        <v>0.98720264736114061</v>
      </c>
      <c r="F794" cm="1">
        <f t="array" ref="F794">(PRODUCT(1+sp500_monthly!K795:K914)^(1/120)-1)*100</f>
        <v>0.84735767031449694</v>
      </c>
      <c r="G794" cm="1">
        <f t="array" ref="G794">(PRODUCT(1+sp500_monthly!L795:L914)^(1/120)-1)</f>
        <v>0.36903322914977776</v>
      </c>
      <c r="H794" cm="1">
        <f t="array" ref="H794">(PRODUCT(1+sp500_monthly!N795:N914)^(1/120)-1)*100</f>
        <v>0.82468850964561025</v>
      </c>
      <c r="I794" cm="1">
        <f t="array" ref="I794">(PRODUCT(1+sp500_monthly!O795:O914)^(1/120)-1)*100</f>
        <v>0.16331570672234452</v>
      </c>
    </row>
    <row r="795" spans="1:9" x14ac:dyDescent="0.35">
      <c r="A795" s="1">
        <v>33634</v>
      </c>
      <c r="B795" cm="1">
        <f t="array" ref="B795">(PRODUCT(1+sp500_monthly!B796:B915)^(1/120)-1)*100</f>
        <v>1.0381550160011077</v>
      </c>
      <c r="C795" cm="1">
        <f t="array" ref="C795">(PRODUCT(1+sp500_monthly!C796:C915)^(1/120)-1)*100</f>
        <v>0.86751207871365033</v>
      </c>
      <c r="D795" cm="1">
        <f t="array" ref="D795">(PRODUCT(1+sp500_monthly!D796:D915)^(1/120)-1)*100</f>
        <v>1.1428383172135792</v>
      </c>
      <c r="E795" cm="1">
        <f t="array" ref="E795">(PRODUCT(1+sp500_monthly!E796:E915)^(1/120)-1)*100</f>
        <v>0.97053744966790756</v>
      </c>
      <c r="F795" cm="1">
        <f t="array" ref="F795">(PRODUCT(1+sp500_monthly!K796:K915)^(1/120)-1)*100</f>
        <v>0.85105893956258782</v>
      </c>
      <c r="G795" cm="1">
        <f t="array" ref="G795">(PRODUCT(1+sp500_monthly!L796:L915)^(1/120)-1)</f>
        <v>0.36719036742712752</v>
      </c>
      <c r="H795" cm="1">
        <f t="array" ref="H795">(PRODUCT(1+sp500_monthly!N796:N915)^(1/120)-1)*100</f>
        <v>0.82731376288529557</v>
      </c>
      <c r="I795" cm="1">
        <f t="array" ref="I795">(PRODUCT(1+sp500_monthly!O796:O915)^(1/120)-1)*100</f>
        <v>0.16084374824361092</v>
      </c>
    </row>
    <row r="796" spans="1:9" x14ac:dyDescent="0.35">
      <c r="A796" s="1">
        <v>33662</v>
      </c>
      <c r="B796" cm="1">
        <f t="array" ref="B796">(PRODUCT(1+sp500_monthly!B797:B916)^(1/120)-1)*100</f>
        <v>1.0108310860939218</v>
      </c>
      <c r="C796" cm="1">
        <f t="array" ref="C796">(PRODUCT(1+sp500_monthly!C797:C916)^(1/120)-1)*100</f>
        <v>0.84179938557529255</v>
      </c>
      <c r="D796" cm="1">
        <f t="array" ref="D796">(PRODUCT(1+sp500_monthly!D797:D916)^(1/120)-1)*100</f>
        <v>1.1080429336051356</v>
      </c>
      <c r="E796" cm="1">
        <f t="array" ref="E796">(PRODUCT(1+sp500_monthly!E797:E916)^(1/120)-1)*100</f>
        <v>0.93709056999164986</v>
      </c>
      <c r="F796" cm="1">
        <f t="array" ref="F796">(PRODUCT(1+sp500_monthly!K797:K916)^(1/120)-1)*100</f>
        <v>0.82542569832697588</v>
      </c>
      <c r="G796" cm="1">
        <f t="array" ref="G796">(PRODUCT(1+sp500_monthly!L797:L916)^(1/120)-1)</f>
        <v>0.36577102176221143</v>
      </c>
      <c r="H796" cm="1">
        <f t="array" ref="H796">(PRODUCT(1+sp500_monthly!N797:N916)^(1/120)-1)*100</f>
        <v>0.80045007983220451</v>
      </c>
      <c r="I796" cm="1">
        <f t="array" ref="I796">(PRODUCT(1+sp500_monthly!O797:O916)^(1/120)-1)*100</f>
        <v>0.15999497331109502</v>
      </c>
    </row>
    <row r="797" spans="1:9" x14ac:dyDescent="0.35">
      <c r="A797" s="1">
        <v>33694</v>
      </c>
      <c r="B797" cm="1">
        <f t="array" ref="B797">(PRODUCT(1+sp500_monthly!B798:B917)^(1/120)-1)*100</f>
        <v>1.0584397887863251</v>
      </c>
      <c r="C797" cm="1">
        <f t="array" ref="C797">(PRODUCT(1+sp500_monthly!C798:C917)^(1/120)-1)*100</f>
        <v>0.89067639458400016</v>
      </c>
      <c r="D797" cm="1">
        <f t="array" ref="D797">(PRODUCT(1+sp500_monthly!D798:D917)^(1/120)-1)*100</f>
        <v>1.1802473131607094</v>
      </c>
      <c r="E797" cm="1">
        <f t="array" ref="E797">(PRODUCT(1+sp500_monthly!E798:E917)^(1/120)-1)*100</f>
        <v>1.0101318323414654</v>
      </c>
      <c r="F797" cm="1">
        <f t="array" ref="F797">(PRODUCT(1+sp500_monthly!K798:K917)^(1/120)-1)*100</f>
        <v>0.8742992674197092</v>
      </c>
      <c r="G797" cm="1">
        <f t="array" ref="G797">(PRODUCT(1+sp500_monthly!L798:L917)^(1/120)-1)</f>
        <v>0.36383241244917408</v>
      </c>
      <c r="H797" cm="1">
        <f t="array" ref="H797">(PRODUCT(1+sp500_monthly!N798:N917)^(1/120)-1)*100</f>
        <v>0.84862855295200212</v>
      </c>
      <c r="I797" cm="1">
        <f t="array" ref="I797">(PRODUCT(1+sp500_monthly!O798:O917)^(1/120)-1)*100</f>
        <v>0.15891065033815099</v>
      </c>
    </row>
    <row r="798" spans="1:9" x14ac:dyDescent="0.35">
      <c r="A798" s="1">
        <v>33724</v>
      </c>
      <c r="B798" cm="1">
        <f t="array" ref="B798">(PRODUCT(1+sp500_monthly!B799:B918)^(1/120)-1)*100</f>
        <v>0.98170399481676274</v>
      </c>
      <c r="C798" cm="1">
        <f t="array" ref="C798">(PRODUCT(1+sp500_monthly!C799:C918)^(1/120)-1)*100</f>
        <v>0.81452038423417417</v>
      </c>
      <c r="D798" cm="1">
        <f t="array" ref="D798">(PRODUCT(1+sp500_monthly!D799:D918)^(1/120)-1)*100</f>
        <v>1.1351650383408796</v>
      </c>
      <c r="E798" cm="1">
        <f t="array" ref="E798">(PRODUCT(1+sp500_monthly!E799:E918)^(1/120)-1)*100</f>
        <v>0.96563776037830173</v>
      </c>
      <c r="F798" cm="1">
        <f t="array" ref="F798">(PRODUCT(1+sp500_monthly!K799:K918)^(1/120)-1)*100</f>
        <v>0.7979191708768818</v>
      </c>
      <c r="G798" cm="1">
        <f t="array" ref="G798">(PRODUCT(1+sp500_monthly!L799:L918)^(1/120)-1)</f>
        <v>0.36226638478724249</v>
      </c>
      <c r="H798" cm="1">
        <f t="array" ref="H798">(PRODUCT(1+sp500_monthly!N799:N918)^(1/120)-1)*100</f>
        <v>0.77010603236820074</v>
      </c>
      <c r="I798" cm="1">
        <f t="array" ref="I798">(PRODUCT(1+sp500_monthly!O799:O918)^(1/120)-1)*100</f>
        <v>0.15556089595558653</v>
      </c>
    </row>
    <row r="799" spans="1:9" x14ac:dyDescent="0.35">
      <c r="A799" s="1">
        <v>33753</v>
      </c>
      <c r="B799" cm="1">
        <f t="array" ref="B799">(PRODUCT(1+sp500_monthly!B800:B919)^(1/120)-1)*100</f>
        <v>0.97104353554384737</v>
      </c>
      <c r="C799" cm="1">
        <f t="array" ref="C799">(PRODUCT(1+sp500_monthly!C800:C919)^(1/120)-1)*100</f>
        <v>0.80564134331939652</v>
      </c>
      <c r="D799" cm="1">
        <f t="array" ref="D799">(PRODUCT(1+sp500_monthly!D800:D919)^(1/120)-1)*100</f>
        <v>1.1231476381696748</v>
      </c>
      <c r="E799" cm="1">
        <f t="array" ref="E799">(PRODUCT(1+sp500_monthly!E800:E919)^(1/120)-1)*100</f>
        <v>0.95501028794158227</v>
      </c>
      <c r="F799" cm="1">
        <f t="array" ref="F799">(PRODUCT(1+sp500_monthly!K800:K919)^(1/120)-1)*100</f>
        <v>0.789447445619329</v>
      </c>
      <c r="G799" cm="1">
        <f t="array" ref="G799">(PRODUCT(1+sp500_monthly!L800:L919)^(1/120)-1)</f>
        <v>0.36095207098177862</v>
      </c>
      <c r="H799" cm="1">
        <f t="array" ref="H799">(PRODUCT(1+sp500_monthly!N800:N919)^(1/120)-1)*100</f>
        <v>0.76033691541494974</v>
      </c>
      <c r="I799" cm="1">
        <f t="array" ref="I799">(PRODUCT(1+sp500_monthly!O800:O919)^(1/120)-1)*100</f>
        <v>0.15525865549901319</v>
      </c>
    </row>
    <row r="800" spans="1:9" x14ac:dyDescent="0.35">
      <c r="A800" s="1">
        <v>33785</v>
      </c>
      <c r="B800" cm="1">
        <f t="array" ref="B800">(PRODUCT(1+sp500_monthly!B801:B920)^(1/120)-1)*100</f>
        <v>0.92151408636100829</v>
      </c>
      <c r="C800" cm="1">
        <f t="array" ref="C800">(PRODUCT(1+sp500_monthly!C801:C920)^(1/120)-1)*100</f>
        <v>0.75719787391421711</v>
      </c>
      <c r="D800" cm="1">
        <f t="array" ref="D800">(PRODUCT(1+sp500_monthly!D801:D920)^(1/120)-1)*100</f>
        <v>1.069690753946495</v>
      </c>
      <c r="E800" cm="1">
        <f t="array" ref="E800">(PRODUCT(1+sp500_monthly!E801:E920)^(1/120)-1)*100</f>
        <v>0.90246120626253923</v>
      </c>
      <c r="F800" cm="1">
        <f t="array" ref="F800">(PRODUCT(1+sp500_monthly!K801:K920)^(1/120)-1)*100</f>
        <v>0.74098499078103508</v>
      </c>
      <c r="G800" cm="1">
        <f t="array" ref="G800">(PRODUCT(1+sp500_monthly!L801:L920)^(1/120)-1)</f>
        <v>0.359190618983946</v>
      </c>
      <c r="H800" cm="1">
        <f t="array" ref="H800">(PRODUCT(1+sp500_monthly!N801:N920)^(1/120)-1)*100</f>
        <v>0.71284301461531641</v>
      </c>
      <c r="I800" cm="1">
        <f t="array" ref="I800">(PRODUCT(1+sp500_monthly!O801:O920)^(1/120)-1)*100</f>
        <v>0.15559793533033162</v>
      </c>
    </row>
    <row r="801" spans="1:9" x14ac:dyDescent="0.35">
      <c r="A801" s="1">
        <v>33816</v>
      </c>
      <c r="B801" cm="1">
        <f t="array" ref="B801">(PRODUCT(1+sp500_monthly!B802:B921)^(1/120)-1)*100</f>
        <v>0.82318390840101507</v>
      </c>
      <c r="C801" cm="1">
        <f t="array" ref="C801">(PRODUCT(1+sp500_monthly!C802:C921)^(1/120)-1)*100</f>
        <v>0.65921911536679367</v>
      </c>
      <c r="D801" cm="1">
        <f t="array" ref="D801">(PRODUCT(1+sp500_monthly!D802:D921)^(1/120)-1)*100</f>
        <v>0.94245047799121906</v>
      </c>
      <c r="E801" cm="1">
        <f t="array" ref="E801">(PRODUCT(1+sp500_monthly!E802:E921)^(1/120)-1)*100</f>
        <v>0.7756155356071659</v>
      </c>
      <c r="F801" cm="1">
        <f t="array" ref="F801">(PRODUCT(1+sp500_monthly!K802:K921)^(1/120)-1)*100</f>
        <v>0.63953249630783748</v>
      </c>
      <c r="G801" cm="1">
        <f t="array" ref="G801">(PRODUCT(1+sp500_monthly!L802:L921)^(1/120)-1)</f>
        <v>0.35771595927553568</v>
      </c>
      <c r="H801" cm="1">
        <f t="array" ref="H801">(PRODUCT(1+sp500_monthly!N802:N921)^(1/120)-1)*100</f>
        <v>0.61524130995707083</v>
      </c>
      <c r="I801" cm="1">
        <f t="array" ref="I801">(PRODUCT(1+sp500_monthly!O802:O921)^(1/120)-1)*100</f>
        <v>0.15478835722173567</v>
      </c>
    </row>
    <row r="802" spans="1:9" x14ac:dyDescent="0.35">
      <c r="A802" s="1">
        <v>33847</v>
      </c>
      <c r="B802" cm="1">
        <f t="array" ref="B802">(PRODUCT(1+sp500_monthly!B803:B922)^(1/120)-1)*100</f>
        <v>0.84659999126350804</v>
      </c>
      <c r="C802" cm="1">
        <f t="array" ref="C802">(PRODUCT(1+sp500_monthly!C803:C922)^(1/120)-1)*100</f>
        <v>0.68430185836669821</v>
      </c>
      <c r="D802" cm="1">
        <f t="array" ref="D802">(PRODUCT(1+sp500_monthly!D803:D922)^(1/120)-1)*100</f>
        <v>0.97608753136166904</v>
      </c>
      <c r="E802" cm="1">
        <f t="array" ref="E802">(PRODUCT(1+sp500_monthly!E803:E922)^(1/120)-1)*100</f>
        <v>0.81065105315158981</v>
      </c>
      <c r="F802" cm="1">
        <f t="array" ref="F802">(PRODUCT(1+sp500_monthly!K803:K922)^(1/120)-1)*100</f>
        <v>0.66399068127971361</v>
      </c>
      <c r="G802" cm="1">
        <f t="array" ref="G802">(PRODUCT(1+sp500_monthly!L803:L922)^(1/120)-1)</f>
        <v>0.35658405711947339</v>
      </c>
      <c r="H802" cm="1">
        <f t="array" ref="H802">(PRODUCT(1+sp500_monthly!N803:N922)^(1/120)-1)*100</f>
        <v>0.63807154543153999</v>
      </c>
      <c r="I802" cm="1">
        <f t="array" ref="I802">(PRODUCT(1+sp500_monthly!O803:O922)^(1/120)-1)*100</f>
        <v>0.15325385000299896</v>
      </c>
    </row>
    <row r="803" spans="1:9" x14ac:dyDescent="0.35">
      <c r="A803" s="1">
        <v>33877</v>
      </c>
      <c r="B803" cm="1">
        <f t="array" ref="B803">(PRODUCT(1+sp500_monthly!B804:B923)^(1/120)-1)*100</f>
        <v>0.74022284070793809</v>
      </c>
      <c r="C803" cm="1">
        <f t="array" ref="C803">(PRODUCT(1+sp500_monthly!C804:C923)^(1/120)-1)*100</f>
        <v>0.5787365120693444</v>
      </c>
      <c r="D803" cm="1">
        <f t="array" ref="D803">(PRODUCT(1+sp500_monthly!D804:D923)^(1/120)-1)*100</f>
        <v>0.85723314223451474</v>
      </c>
      <c r="E803" cm="1">
        <f t="array" ref="E803">(PRODUCT(1+sp500_monthly!E804:E923)^(1/120)-1)*100</f>
        <v>0.69237677533002806</v>
      </c>
      <c r="F803" cm="1">
        <f t="array" ref="F803">(PRODUCT(1+sp500_monthly!K804:K923)^(1/120)-1)*100</f>
        <v>0.55867308498762647</v>
      </c>
      <c r="G803" cm="1">
        <f t="array" ref="G803">(PRODUCT(1+sp500_monthly!L804:L923)^(1/120)-1)</f>
        <v>0.35545309860886354</v>
      </c>
      <c r="H803" cm="1">
        <f t="array" ref="H803">(PRODUCT(1+sp500_monthly!N804:N923)^(1/120)-1)*100</f>
        <v>0.53230622083340062</v>
      </c>
      <c r="I803" cm="1">
        <f t="array" ref="I803">(PRODUCT(1+sp500_monthly!O804:O923)^(1/120)-1)*100</f>
        <v>0.15264470308680167</v>
      </c>
    </row>
    <row r="804" spans="1:9" x14ac:dyDescent="0.35">
      <c r="A804" s="1">
        <v>33907</v>
      </c>
      <c r="B804" cm="1">
        <f t="array" ref="B804">(PRODUCT(1+sp500_monthly!B805:B924)^(1/120)-1)*100</f>
        <v>0.8074952781666811</v>
      </c>
      <c r="C804" cm="1">
        <f t="array" ref="C804">(PRODUCT(1+sp500_monthly!C805:C924)^(1/120)-1)*100</f>
        <v>0.64586781671291948</v>
      </c>
      <c r="D804" cm="1">
        <f t="array" ref="D804">(PRODUCT(1+sp500_monthly!D805:D924)^(1/120)-1)*100</f>
        <v>0.89953853427855446</v>
      </c>
      <c r="E804" cm="1">
        <f t="array" ref="E804">(PRODUCT(1+sp500_monthly!E805:E924)^(1/120)-1)*100</f>
        <v>0.73454752978998616</v>
      </c>
      <c r="F804" cm="1">
        <f t="array" ref="F804">(PRODUCT(1+sp500_monthly!K805:K924)^(1/120)-1)*100</f>
        <v>0.62640441002590475</v>
      </c>
      <c r="G804" cm="1">
        <f t="array" ref="G804">(PRODUCT(1+sp500_monthly!L805:L924)^(1/120)-1)</f>
        <v>0.35459507585215699</v>
      </c>
      <c r="H804" cm="1">
        <f t="array" ref="H804">(PRODUCT(1+sp500_monthly!N805:N924)^(1/120)-1)*100</f>
        <v>0.60114443894383474</v>
      </c>
      <c r="I804" cm="1">
        <f t="array" ref="I804">(PRODUCT(1+sp500_monthly!O805:O924)^(1/120)-1)*100</f>
        <v>0.15359198804638652</v>
      </c>
    </row>
    <row r="805" spans="1:9" x14ac:dyDescent="0.35">
      <c r="A805" s="1">
        <v>33938</v>
      </c>
      <c r="B805" cm="1">
        <f t="array" ref="B805">(PRODUCT(1+sp500_monthly!B806:B925)^(1/120)-1)*100</f>
        <v>0.82774909982294975</v>
      </c>
      <c r="C805" cm="1">
        <f t="array" ref="C805">(PRODUCT(1+sp500_monthly!C806:C925)^(1/120)-1)*100</f>
        <v>0.66774502722020124</v>
      </c>
      <c r="D805" cm="1">
        <f t="array" ref="D805">(PRODUCT(1+sp500_monthly!D806:D925)^(1/120)-1)*100</f>
        <v>0.95110069174837442</v>
      </c>
      <c r="E805" cm="1">
        <f t="array" ref="E805">(PRODUCT(1+sp500_monthly!E806:E925)^(1/120)-1)*100</f>
        <v>0.78736297321790882</v>
      </c>
      <c r="F805" cm="1">
        <f t="array" ref="F805">(PRODUCT(1+sp500_monthly!K806:K925)^(1/120)-1)*100</f>
        <v>0.6479472994733726</v>
      </c>
      <c r="G805" cm="1">
        <f t="array" ref="G805">(PRODUCT(1+sp500_monthly!L806:L925)^(1/120)-1)</f>
        <v>0.35353793943717182</v>
      </c>
      <c r="H805" cm="1">
        <f t="array" ref="H805">(PRODUCT(1+sp500_monthly!N806:N925)^(1/120)-1)*100</f>
        <v>0.62233336019501539</v>
      </c>
      <c r="I805" cm="1">
        <f t="array" ref="I805">(PRODUCT(1+sp500_monthly!O806:O925)^(1/120)-1)*100</f>
        <v>0.15364753143880527</v>
      </c>
    </row>
    <row r="806" spans="1:9" x14ac:dyDescent="0.35">
      <c r="A806" s="1">
        <v>33969</v>
      </c>
      <c r="B806" cm="1">
        <f t="array" ref="B806">(PRODUCT(1+sp500_monthly!B807:B926)^(1/120)-1)*100</f>
        <v>0.76565243314030695</v>
      </c>
      <c r="C806" cm="1">
        <f t="array" ref="C806">(PRODUCT(1+sp500_monthly!C807:C926)^(1/120)-1)*100</f>
        <v>0.60610162593404127</v>
      </c>
      <c r="D806" cm="1">
        <f t="array" ref="D806">(PRODUCT(1+sp500_monthly!D807:D926)^(1/120)-1)*100</f>
        <v>0.88803358611833083</v>
      </c>
      <c r="E806" cm="1">
        <f t="array" ref="E806">(PRODUCT(1+sp500_monthly!E807:E926)^(1/120)-1)*100</f>
        <v>0.72450706382785057</v>
      </c>
      <c r="F806" cm="1">
        <f t="array" ref="F806">(PRODUCT(1+sp500_monthly!K807:K926)^(1/120)-1)*100</f>
        <v>0.58733609118608587</v>
      </c>
      <c r="G806" cm="1">
        <f t="array" ref="G806">(PRODUCT(1+sp500_monthly!L807:L926)^(1/120)-1)</f>
        <v>0.35193156640109158</v>
      </c>
      <c r="H806" cm="1">
        <f t="array" ref="H806">(PRODUCT(1+sp500_monthly!N807:N926)^(1/120)-1)*100</f>
        <v>0.5601578434868415</v>
      </c>
      <c r="I806" cm="1">
        <f t="array" ref="I806">(PRODUCT(1+sp500_monthly!O807:O926)^(1/120)-1)*100</f>
        <v>0.15202693342113438</v>
      </c>
    </row>
    <row r="807" spans="1:9" x14ac:dyDescent="0.35">
      <c r="A807" s="1">
        <v>33998</v>
      </c>
      <c r="B807" cm="1">
        <f t="array" ref="B807">(PRODUCT(1+sp500_monthly!B808:B927)^(1/120)-1)*100</f>
        <v>0.7369431644645541</v>
      </c>
      <c r="C807" cm="1">
        <f t="array" ref="C807">(PRODUCT(1+sp500_monthly!C808:C927)^(1/120)-1)*100</f>
        <v>0.577431515985527</v>
      </c>
      <c r="D807" cm="1">
        <f t="array" ref="D807">(PRODUCT(1+sp500_monthly!D808:D927)^(1/120)-1)*100</f>
        <v>0.84742720544968009</v>
      </c>
      <c r="E807" cm="1">
        <f t="array" ref="E807">(PRODUCT(1+sp500_monthly!E808:E927)^(1/120)-1)*100</f>
        <v>0.68403123318390158</v>
      </c>
      <c r="F807" cm="1">
        <f t="array" ref="F807">(PRODUCT(1+sp500_monthly!K808:K927)^(1/120)-1)*100</f>
        <v>0.55815399031522439</v>
      </c>
      <c r="G807" cm="1">
        <f t="array" ref="G807">(PRODUCT(1+sp500_monthly!L808:L927)^(1/120)-1)</f>
        <v>0.35067368403886423</v>
      </c>
      <c r="H807" cm="1">
        <f t="array" ref="H807">(PRODUCT(1+sp500_monthly!N808:N927)^(1/120)-1)*100</f>
        <v>0.53076717850613075</v>
      </c>
      <c r="I807" cm="1">
        <f t="array" ref="I807">(PRODUCT(1+sp500_monthly!O808:O927)^(1/120)-1)*100</f>
        <v>0.15020660314475354</v>
      </c>
    </row>
    <row r="808" spans="1:9" x14ac:dyDescent="0.35">
      <c r="A808" s="1">
        <v>34026</v>
      </c>
      <c r="B808" cm="1">
        <f t="array" ref="B808">(PRODUCT(1+sp500_monthly!B809:B928)^(1/120)-1)*100</f>
        <v>0.71277024361346975</v>
      </c>
      <c r="C808" cm="1">
        <f t="array" ref="C808">(PRODUCT(1+sp500_monthly!C809:C928)^(1/120)-1)*100</f>
        <v>0.55423201040678549</v>
      </c>
      <c r="D808" cm="1">
        <f t="array" ref="D808">(PRODUCT(1+sp500_monthly!D809:D928)^(1/120)-1)*100</f>
        <v>0.81937649018546388</v>
      </c>
      <c r="E808" cm="1">
        <f t="array" ref="E808">(PRODUCT(1+sp500_monthly!E809:E928)^(1/120)-1)*100</f>
        <v>0.65691842699393543</v>
      </c>
      <c r="F808" cm="1">
        <f t="array" ref="F808">(PRODUCT(1+sp500_monthly!K809:K928)^(1/120)-1)*100</f>
        <v>0.53504532183961118</v>
      </c>
      <c r="G808" cm="1">
        <f t="array" ref="G808">(PRODUCT(1+sp500_monthly!L809:L928)^(1/120)-1)</f>
        <v>0.34940607360987763</v>
      </c>
      <c r="H808" cm="1">
        <f t="array" ref="H808">(PRODUCT(1+sp500_monthly!N809:N928)^(1/120)-1)*100</f>
        <v>0.50382717865236071</v>
      </c>
      <c r="I808" cm="1">
        <f t="array" ref="I808">(PRODUCT(1+sp500_monthly!O809:O928)^(1/120)-1)*100</f>
        <v>0.14631679319363489</v>
      </c>
    </row>
    <row r="809" spans="1:9" x14ac:dyDescent="0.35">
      <c r="A809" s="1">
        <v>34059</v>
      </c>
      <c r="B809" cm="1">
        <f t="array" ref="B809">(PRODUCT(1+sp500_monthly!B810:B929)^(1/120)-1)*100</f>
        <v>0.70376933290379196</v>
      </c>
      <c r="C809" cm="1">
        <f t="array" ref="C809">(PRODUCT(1+sp500_monthly!C810:C929)^(1/120)-1)*100</f>
        <v>0.54628811941863642</v>
      </c>
      <c r="D809" cm="1">
        <f t="array" ref="D809">(PRODUCT(1+sp500_monthly!D810:D929)^(1/120)-1)*100</f>
        <v>0.80088800493447465</v>
      </c>
      <c r="E809" cm="1">
        <f t="array" ref="E809">(PRODUCT(1+sp500_monthly!E810:E929)^(1/120)-1)*100</f>
        <v>0.63916028973292072</v>
      </c>
      <c r="F809" cm="1">
        <f t="array" ref="F809">(PRODUCT(1+sp500_monthly!K810:K929)^(1/120)-1)*100</f>
        <v>0.52649928939640933</v>
      </c>
      <c r="G809" cm="1">
        <f t="array" ref="G809">(PRODUCT(1+sp500_monthly!L810:L929)^(1/120)-1)</f>
        <v>0.34796934627011655</v>
      </c>
      <c r="H809" cm="1">
        <f t="array" ref="H809">(PRODUCT(1+sp500_monthly!N810:N929)^(1/120)-1)*100</f>
        <v>0.49464729763890602</v>
      </c>
      <c r="I809" cm="1">
        <f t="array" ref="I809">(PRODUCT(1+sp500_monthly!O810:O929)^(1/120)-1)*100</f>
        <v>0.1448702025990567</v>
      </c>
    </row>
    <row r="810" spans="1:9" x14ac:dyDescent="0.35">
      <c r="A810" s="1">
        <v>34089</v>
      </c>
      <c r="B810" cm="1">
        <f t="array" ref="B810">(PRODUCT(1+sp500_monthly!B811:B930)^(1/120)-1)*100</f>
        <v>0.79137846301808867</v>
      </c>
      <c r="C810" cm="1">
        <f t="array" ref="C810">(PRODUCT(1+sp500_monthly!C811:C930)^(1/120)-1)*100</f>
        <v>0.63382825295923428</v>
      </c>
      <c r="D810" cm="1">
        <f t="array" ref="D810">(PRODUCT(1+sp500_monthly!D811:D930)^(1/120)-1)*100</f>
        <v>0.90231485186813565</v>
      </c>
      <c r="E810" cm="1">
        <f t="array" ref="E810">(PRODUCT(1+sp500_monthly!E811:E930)^(1/120)-1)*100</f>
        <v>0.74046288423046391</v>
      </c>
      <c r="F810" cm="1">
        <f t="array" ref="F810">(PRODUCT(1+sp500_monthly!K811:K930)^(1/120)-1)*100</f>
        <v>0.61338570748590282</v>
      </c>
      <c r="G810" cm="1">
        <f t="array" ref="G810">(PRODUCT(1+sp500_monthly!L811:L930)^(1/120)-1)</f>
        <v>0.34662428159172887</v>
      </c>
      <c r="H810" cm="1">
        <f t="array" ref="H810">(PRODUCT(1+sp500_monthly!N811:N930)^(1/120)-1)*100</f>
        <v>0.58819073622056184</v>
      </c>
      <c r="I810" cm="1">
        <f t="array" ref="I810">(PRODUCT(1+sp500_monthly!O811:O930)^(1/120)-1)*100</f>
        <v>0.14979341668455159</v>
      </c>
    </row>
    <row r="811" spans="1:9" x14ac:dyDescent="0.35">
      <c r="A811" s="1">
        <v>34117</v>
      </c>
      <c r="B811" cm="1">
        <f t="array" ref="B811">(PRODUCT(1+sp500_monthly!B812:B931)^(1/120)-1)*100</f>
        <v>0.81318654935720325</v>
      </c>
      <c r="C811" cm="1">
        <f t="array" ref="C811">(PRODUCT(1+sp500_monthly!C812:C931)^(1/120)-1)*100</f>
        <v>0.65725081390692885</v>
      </c>
      <c r="D811" cm="1">
        <f t="array" ref="D811">(PRODUCT(1+sp500_monthly!D812:D931)^(1/120)-1)*100</f>
        <v>0.95327810317957784</v>
      </c>
      <c r="E811" cm="1">
        <f t="array" ref="E811">(PRODUCT(1+sp500_monthly!E812:E931)^(1/120)-1)*100</f>
        <v>0.79274310082426691</v>
      </c>
      <c r="F811" cm="1">
        <f t="array" ref="F811">(PRODUCT(1+sp500_monthly!K812:K931)^(1/120)-1)*100</f>
        <v>0.63617988470474618</v>
      </c>
      <c r="G811" cm="1">
        <f t="array" ref="G811">(PRODUCT(1+sp500_monthly!L812:L931)^(1/120)-1)</f>
        <v>0.34536047153646221</v>
      </c>
      <c r="H811" cm="1">
        <f t="array" ref="H811">(PRODUCT(1+sp500_monthly!N812:N931)^(1/120)-1)*100</f>
        <v>0.61365794071823743</v>
      </c>
      <c r="I811" cm="1">
        <f t="array" ref="I811">(PRODUCT(1+sp500_monthly!O812:O931)^(1/120)-1)*100</f>
        <v>0.15239625025362802</v>
      </c>
    </row>
    <row r="812" spans="1:9" x14ac:dyDescent="0.35">
      <c r="A812" s="1">
        <v>34150</v>
      </c>
      <c r="B812" cm="1">
        <f t="array" ref="B812">(PRODUCT(1+sp500_monthly!B813:B932)^(1/120)-1)*100</f>
        <v>0.82097850238509462</v>
      </c>
      <c r="C812" cm="1">
        <f t="array" ref="C812">(PRODUCT(1+sp500_monthly!C813:C932)^(1/120)-1)*100</f>
        <v>0.66580088635923573</v>
      </c>
      <c r="D812" cm="1">
        <f t="array" ref="D812">(PRODUCT(1+sp500_monthly!D813:D932)^(1/120)-1)*100</f>
        <v>0.956768560444754</v>
      </c>
      <c r="E812" cm="1">
        <f t="array" ref="E812">(PRODUCT(1+sp500_monthly!E813:E932)^(1/120)-1)*100</f>
        <v>0.79679816884243859</v>
      </c>
      <c r="F812" cm="1">
        <f t="array" ref="F812">(PRODUCT(1+sp500_monthly!K813:K932)^(1/120)-1)*100</f>
        <v>0.64498901438050371</v>
      </c>
      <c r="G812" cm="1">
        <f t="array" ref="G812">(PRODUCT(1+sp500_monthly!L813:L932)^(1/120)-1)</f>
        <v>0.34392805159327966</v>
      </c>
      <c r="H812" cm="1">
        <f t="array" ref="H812">(PRODUCT(1+sp500_monthly!N813:N932)^(1/120)-1)*100</f>
        <v>0.62109935674410366</v>
      </c>
      <c r="I812" cm="1">
        <f t="array" ref="I812">(PRODUCT(1+sp500_monthly!O813:O932)^(1/120)-1)*100</f>
        <v>0.15081299090931033</v>
      </c>
    </row>
    <row r="813" spans="1:9" x14ac:dyDescent="0.35">
      <c r="A813" s="1">
        <v>34180</v>
      </c>
      <c r="B813" cm="1">
        <f t="array" ref="B813">(PRODUCT(1+sp500_monthly!B814:B933)^(1/120)-1)*100</f>
        <v>0.83978059401081939</v>
      </c>
      <c r="C813" cm="1">
        <f t="array" ref="C813">(PRODUCT(1+sp500_monthly!C814:C933)^(1/120)-1)*100</f>
        <v>0.68450700118785068</v>
      </c>
      <c r="D813" cm="1">
        <f t="array" ref="D813">(PRODUCT(1+sp500_monthly!D814:D933)^(1/120)-1)*100</f>
        <v>0.98091381526688171</v>
      </c>
      <c r="E813" cm="1">
        <f t="array" ref="E813">(PRODUCT(1+sp500_monthly!E814:E933)^(1/120)-1)*100</f>
        <v>0.82093059297196902</v>
      </c>
      <c r="F813" cm="1">
        <f t="array" ref="F813">(PRODUCT(1+sp500_monthly!K814:K933)^(1/120)-1)*100</f>
        <v>0.66296836176680252</v>
      </c>
      <c r="G813" cm="1">
        <f t="array" ref="G813">(PRODUCT(1+sp500_monthly!L814:L933)^(1/120)-1)</f>
        <v>0.34227768358400068</v>
      </c>
      <c r="H813" cm="1">
        <f t="array" ref="H813">(PRODUCT(1+sp500_monthly!N814:N933)^(1/120)-1)*100</f>
        <v>0.63828204387119669</v>
      </c>
      <c r="I813" cm="1">
        <f t="array" ref="I813">(PRODUCT(1+sp500_monthly!O814:O933)^(1/120)-1)*100</f>
        <v>0.14782197458014235</v>
      </c>
    </row>
    <row r="814" spans="1:9" x14ac:dyDescent="0.35">
      <c r="A814" s="1">
        <v>34212</v>
      </c>
      <c r="B814" cm="1">
        <f t="array" ref="B814">(PRODUCT(1+sp500_monthly!B815:B934)^(1/120)-1)*100</f>
        <v>0.82521028693178788</v>
      </c>
      <c r="C814" cm="1">
        <f t="array" ref="C814">(PRODUCT(1+sp500_monthly!C815:C934)^(1/120)-1)*100</f>
        <v>0.67146960555828361</v>
      </c>
      <c r="D814" cm="1">
        <f t="array" ref="D814">(PRODUCT(1+sp500_monthly!D815:D934)^(1/120)-1)*100</f>
        <v>0.9846131500425459</v>
      </c>
      <c r="E814" cm="1">
        <f t="array" ref="E814">(PRODUCT(1+sp500_monthly!E815:E934)^(1/120)-1)*100</f>
        <v>0.82604508745183214</v>
      </c>
      <c r="F814" cm="1">
        <f t="array" ref="F814">(PRODUCT(1+sp500_monthly!K815:K934)^(1/120)-1)*100</f>
        <v>0.64943234421861451</v>
      </c>
      <c r="G814" cm="1">
        <f t="array" ref="G814">(PRODUCT(1+sp500_monthly!L815:L934)^(1/120)-1)</f>
        <v>0.34053961055084425</v>
      </c>
      <c r="H814" cm="1">
        <f t="array" ref="H814">(PRODUCT(1+sp500_monthly!N815:N934)^(1/120)-1)*100</f>
        <v>0.62183614667377096</v>
      </c>
      <c r="I814" cm="1">
        <f t="array" ref="I814">(PRODUCT(1+sp500_monthly!O815:O934)^(1/120)-1)*100</f>
        <v>0.14442650025514592</v>
      </c>
    </row>
    <row r="815" spans="1:9" x14ac:dyDescent="0.35">
      <c r="A815" s="1">
        <v>34242</v>
      </c>
      <c r="B815" cm="1">
        <f t="array" ref="B815">(PRODUCT(1+sp500_monthly!B816:B935)^(1/120)-1)*100</f>
        <v>0.82253495231383589</v>
      </c>
      <c r="C815" cm="1">
        <f t="array" ref="C815">(PRODUCT(1+sp500_monthly!C816:C935)^(1/120)-1)*100</f>
        <v>0.6695483642075617</v>
      </c>
      <c r="D815" cm="1">
        <f t="array" ref="D815">(PRODUCT(1+sp500_monthly!D816:D935)^(1/120)-1)*100</f>
        <v>0.975824386019708</v>
      </c>
      <c r="E815" cm="1">
        <f t="array" ref="E815">(PRODUCT(1+sp500_monthly!E816:E935)^(1/120)-1)*100</f>
        <v>0.8176494491910935</v>
      </c>
      <c r="F815" cm="1">
        <f t="array" ref="F815">(PRODUCT(1+sp500_monthly!K816:K935)^(1/120)-1)*100</f>
        <v>0.64777358146326236</v>
      </c>
      <c r="G815" cm="1">
        <f t="array" ref="G815">(PRODUCT(1+sp500_monthly!L816:L935)^(1/120)-1)</f>
        <v>0.33881867369992191</v>
      </c>
      <c r="H815" cm="1">
        <f t="array" ref="H815">(PRODUCT(1+sp500_monthly!N816:N935)^(1/120)-1)*100</f>
        <v>0.61760117869447129</v>
      </c>
      <c r="I815" cm="1">
        <f t="array" ref="I815">(PRODUCT(1+sp500_monthly!O816:O935)^(1/120)-1)*100</f>
        <v>0.14136927168542091</v>
      </c>
    </row>
    <row r="816" spans="1:9" x14ac:dyDescent="0.35">
      <c r="A816" s="1">
        <v>34271</v>
      </c>
      <c r="B816" cm="1">
        <f t="array" ref="B816">(PRODUCT(1+sp500_monthly!B817:B936)^(1/120)-1)*100</f>
        <v>0.85142687854726784</v>
      </c>
      <c r="C816" cm="1">
        <f t="array" ref="C816">(PRODUCT(1+sp500_monthly!C817:C936)^(1/120)-1)*100</f>
        <v>0.69819684295344686</v>
      </c>
      <c r="D816" cm="1">
        <f t="array" ref="D816">(PRODUCT(1+sp500_monthly!D817:D936)^(1/120)-1)*100</f>
        <v>1.0171533972801905</v>
      </c>
      <c r="E816" cm="1">
        <f t="array" ref="E816">(PRODUCT(1+sp500_monthly!E817:E936)^(1/120)-1)*100</f>
        <v>0.85895251089485036</v>
      </c>
      <c r="F816" cm="1">
        <f t="array" ref="F816">(PRODUCT(1+sp500_monthly!K817:K936)^(1/120)-1)*100</f>
        <v>0.67654399661982723</v>
      </c>
      <c r="G816" cm="1">
        <f t="array" ref="G816">(PRODUCT(1+sp500_monthly!L817:L936)^(1/120)-1)</f>
        <v>0.33735578533582755</v>
      </c>
      <c r="H816" cm="1">
        <f t="array" ref="H816">(PRODUCT(1+sp500_monthly!N817:N936)^(1/120)-1)*100</f>
        <v>0.65080460422475284</v>
      </c>
      <c r="I816" cm="1">
        <f t="array" ref="I816">(PRODUCT(1+sp500_monthly!O817:O936)^(1/120)-1)*100</f>
        <v>0.14446756514705505</v>
      </c>
    </row>
    <row r="817" spans="1:9" x14ac:dyDescent="0.35">
      <c r="A817" s="1">
        <v>34303</v>
      </c>
      <c r="B817" cm="1">
        <f t="array" ref="B817">(PRODUCT(1+sp500_monthly!B818:B937)^(1/120)-1)*100</f>
        <v>0.86647929583074657</v>
      </c>
      <c r="C817" cm="1">
        <f t="array" ref="C817">(PRODUCT(1+sp500_monthly!C818:C937)^(1/120)-1)*100</f>
        <v>0.71475871580761741</v>
      </c>
      <c r="D817" cm="1">
        <f t="array" ref="D817">(PRODUCT(1+sp500_monthly!D818:D937)^(1/120)-1)*100</f>
        <v>1.0421169334134506</v>
      </c>
      <c r="E817" cm="1">
        <f t="array" ref="E817">(PRODUCT(1+sp500_monthly!E818:E937)^(1/120)-1)*100</f>
        <v>0.88525777830630314</v>
      </c>
      <c r="F817" cm="1">
        <f t="array" ref="F817">(PRODUCT(1+sp500_monthly!K818:K937)^(1/120)-1)*100</f>
        <v>0.69340770655916817</v>
      </c>
      <c r="G817" cm="1">
        <f t="array" ref="G817">(PRODUCT(1+sp500_monthly!L818:L937)^(1/120)-1)</f>
        <v>0.33562408551346179</v>
      </c>
      <c r="H817" cm="1">
        <f t="array" ref="H817">(PRODUCT(1+sp500_monthly!N818:N937)^(1/120)-1)*100</f>
        <v>0.66767498332649389</v>
      </c>
      <c r="I817" cm="1">
        <f t="array" ref="I817">(PRODUCT(1+sp500_monthly!O818:O937)^(1/120)-1)*100</f>
        <v>0.14480611592246895</v>
      </c>
    </row>
    <row r="818" spans="1:9" x14ac:dyDescent="0.35">
      <c r="A818" s="1">
        <v>34334</v>
      </c>
      <c r="B818" cm="1">
        <f t="array" ref="B818">(PRODUCT(1+sp500_monthly!B819:B938)^(1/120)-1)*100</f>
        <v>0.8983558358970356</v>
      </c>
      <c r="C818" cm="1">
        <f t="array" ref="C818">(PRODUCT(1+sp500_monthly!C819:C938)^(1/120)-1)*100</f>
        <v>0.74693469001048118</v>
      </c>
      <c r="D818" cm="1">
        <f t="array" ref="D818">(PRODUCT(1+sp500_monthly!D819:D938)^(1/120)-1)*100</f>
        <v>1.0662945827708326</v>
      </c>
      <c r="E818" cm="1">
        <f t="array" ref="E818">(PRODUCT(1+sp500_monthly!E819:E938)^(1/120)-1)*100</f>
        <v>0.90949518742138302</v>
      </c>
      <c r="F818" cm="1">
        <f t="array" ref="F818">(PRODUCT(1+sp500_monthly!K819:K938)^(1/120)-1)*100</f>
        <v>0.72653964645894575</v>
      </c>
      <c r="G818" cm="1">
        <f t="array" ref="G818">(PRODUCT(1+sp500_monthly!L819:L938)^(1/120)-1)</f>
        <v>0.33417735220183431</v>
      </c>
      <c r="H818" cm="1">
        <f t="array" ref="H818">(PRODUCT(1+sp500_monthly!N819:N938)^(1/120)-1)*100</f>
        <v>0.69894628735407416</v>
      </c>
      <c r="I818" cm="1">
        <f t="array" ref="I818">(PRODUCT(1+sp500_monthly!O819:O938)^(1/120)-1)*100</f>
        <v>0.14301683670345788</v>
      </c>
    </row>
    <row r="819" spans="1:9" x14ac:dyDescent="0.35">
      <c r="A819" s="1">
        <v>34365</v>
      </c>
      <c r="B819" cm="1">
        <f t="array" ref="B819">(PRODUCT(1+sp500_monthly!B820:B939)^(1/120)-1)*100</f>
        <v>0.8865984132834237</v>
      </c>
      <c r="C819" cm="1">
        <f t="array" ref="C819">(PRODUCT(1+sp500_monthly!C820:C939)^(1/120)-1)*100</f>
        <v>0.73549803067682884</v>
      </c>
      <c r="D819" cm="1">
        <f t="array" ref="D819">(PRODUCT(1+sp500_monthly!D820:D939)^(1/120)-1)*100</f>
        <v>1.0558282856791168</v>
      </c>
      <c r="E819" cm="1">
        <f t="array" ref="E819">(PRODUCT(1+sp500_monthly!E820:E939)^(1/120)-1)*100</f>
        <v>0.89939926400339765</v>
      </c>
      <c r="F819" cm="1">
        <f t="array" ref="F819">(PRODUCT(1+sp500_monthly!K820:K939)^(1/120)-1)*100</f>
        <v>0.71407085231904865</v>
      </c>
      <c r="G819" cm="1">
        <f t="array" ref="G819">(PRODUCT(1+sp500_monthly!L820:L939)^(1/120)-1)</f>
        <v>0.33244976803227666</v>
      </c>
      <c r="H819" cm="1">
        <f t="array" ref="H819">(PRODUCT(1+sp500_monthly!N820:N939)^(1/120)-1)*100</f>
        <v>0.68360135864715676</v>
      </c>
      <c r="I819" cm="1">
        <f t="array" ref="I819">(PRODUCT(1+sp500_monthly!O820:O939)^(1/120)-1)*100</f>
        <v>0.13792592826284977</v>
      </c>
    </row>
    <row r="820" spans="1:9" x14ac:dyDescent="0.35">
      <c r="A820" s="1">
        <v>34393</v>
      </c>
      <c r="B820" cm="1">
        <f t="array" ref="B820">(PRODUCT(1+sp500_monthly!B821:B940)^(1/120)-1)*100</f>
        <v>0.9217777669718874</v>
      </c>
      <c r="C820" cm="1">
        <f t="array" ref="C820">(PRODUCT(1+sp500_monthly!C821:C940)^(1/120)-1)*100</f>
        <v>0.77178595577280795</v>
      </c>
      <c r="D820" cm="1">
        <f t="array" ref="D820">(PRODUCT(1+sp500_monthly!D821:D940)^(1/120)-1)*100</f>
        <v>1.0880182930039561</v>
      </c>
      <c r="E820" cm="1">
        <f t="array" ref="E820">(PRODUCT(1+sp500_monthly!E821:E940)^(1/120)-1)*100</f>
        <v>0.93266321034657373</v>
      </c>
      <c r="F820" cm="1">
        <f t="array" ref="F820">(PRODUCT(1+sp500_monthly!K821:K940)^(1/120)-1)*100</f>
        <v>0.74986484160985967</v>
      </c>
      <c r="G820" cm="1">
        <f t="array" ref="G820">(PRODUCT(1+sp500_monthly!L821:L940)^(1/120)-1)</f>
        <v>0.33098098099132667</v>
      </c>
      <c r="H820" cm="1">
        <f t="array" ref="H820">(PRODUCT(1+sp500_monthly!N821:N940)^(1/120)-1)*100</f>
        <v>0.71920143888104526</v>
      </c>
      <c r="I820" cm="1">
        <f t="array" ref="I820">(PRODUCT(1+sp500_monthly!O821:O940)^(1/120)-1)*100</f>
        <v>0.13716457096759616</v>
      </c>
    </row>
    <row r="821" spans="1:9" x14ac:dyDescent="0.35">
      <c r="A821" s="1">
        <v>34424</v>
      </c>
      <c r="B821" cm="1">
        <f t="array" ref="B821">(PRODUCT(1+sp500_monthly!B822:B941)^(1/120)-1)*100</f>
        <v>0.94645037610650018</v>
      </c>
      <c r="C821" cm="1">
        <f t="array" ref="C821">(PRODUCT(1+sp500_monthly!C822:C941)^(1/120)-1)*100</f>
        <v>0.79732289104350595</v>
      </c>
      <c r="D821" cm="1">
        <f t="array" ref="D821">(PRODUCT(1+sp500_monthly!D822:D941)^(1/120)-1)*100</f>
        <v>1.1207731953212008</v>
      </c>
      <c r="E821" cm="1">
        <f t="array" ref="E821">(PRODUCT(1+sp500_monthly!E822:E941)^(1/120)-1)*100</f>
        <v>0.96591862255692718</v>
      </c>
      <c r="F821" cm="1">
        <f t="array" ref="F821">(PRODUCT(1+sp500_monthly!K822:K941)^(1/120)-1)*100</f>
        <v>0.7753335202146161</v>
      </c>
      <c r="G821" cm="1">
        <f t="array" ref="G821">(PRODUCT(1+sp500_monthly!L822:L941)^(1/120)-1)</f>
        <v>0.32928684281523157</v>
      </c>
      <c r="H821" cm="1">
        <f t="array" ref="H821">(PRODUCT(1+sp500_monthly!N822:N941)^(1/120)-1)*100</f>
        <v>0.74431377020574008</v>
      </c>
      <c r="I821" cm="1">
        <f t="array" ref="I821">(PRODUCT(1+sp500_monthly!O822:O941)^(1/120)-1)*100</f>
        <v>0.13615151628720845</v>
      </c>
    </row>
    <row r="822" spans="1:9" x14ac:dyDescent="0.35">
      <c r="A822" s="1">
        <v>34453</v>
      </c>
      <c r="B822" cm="1">
        <f t="array" ref="B822">(PRODUCT(1+sp500_monthly!B823:B942)^(1/120)-1)*100</f>
        <v>0.92252699771639968</v>
      </c>
      <c r="C822" cm="1">
        <f t="array" ref="C822">(PRODUCT(1+sp500_monthly!C823:C942)^(1/120)-1)*100</f>
        <v>0.77357785674014856</v>
      </c>
      <c r="D822" cm="1">
        <f t="array" ref="D822">(PRODUCT(1+sp500_monthly!D823:D942)^(1/120)-1)*100</f>
        <v>1.0960822223907929</v>
      </c>
      <c r="E822" cm="1">
        <f t="array" ref="E822">(PRODUCT(1+sp500_monthly!E823:E942)^(1/120)-1)*100</f>
        <v>0.94142136580970259</v>
      </c>
      <c r="F822" cm="1">
        <f t="array" ref="F822">(PRODUCT(1+sp500_monthly!K823:K942)^(1/120)-1)*100</f>
        <v>0.75148736239922798</v>
      </c>
      <c r="G822" cm="1">
        <f t="array" ref="G822">(PRODUCT(1+sp500_monthly!L823:L942)^(1/120)-1)</f>
        <v>0.32749289840443518</v>
      </c>
      <c r="H822" cm="1">
        <f t="array" ref="H822">(PRODUCT(1+sp500_monthly!N823:N942)^(1/120)-1)*100</f>
        <v>0.7196639623907819</v>
      </c>
      <c r="I822" cm="1">
        <f t="array" ref="I822">(PRODUCT(1+sp500_monthly!O823:O942)^(1/120)-1)*100</f>
        <v>0.13379897921299566</v>
      </c>
    </row>
    <row r="823" spans="1:9" x14ac:dyDescent="0.35">
      <c r="A823" s="1">
        <v>34485</v>
      </c>
      <c r="B823" cm="1">
        <f t="array" ref="B823">(PRODUCT(1+sp500_monthly!B824:B943)^(1/120)-1)*100</f>
        <v>0.92030632600303974</v>
      </c>
      <c r="C823" cm="1">
        <f t="array" ref="C823">(PRODUCT(1+sp500_monthly!C824:C943)^(1/120)-1)*100</f>
        <v>0.77313403080427889</v>
      </c>
      <c r="D823" cm="1">
        <f t="array" ref="D823">(PRODUCT(1+sp500_monthly!D824:D943)^(1/120)-1)*100</f>
        <v>1.1021264136792386</v>
      </c>
      <c r="E823" cm="1">
        <f t="array" ref="E823">(PRODUCT(1+sp500_monthly!E824:E943)^(1/120)-1)*100</f>
        <v>0.94912072913924117</v>
      </c>
      <c r="F823" cm="1">
        <f t="array" ref="F823">(PRODUCT(1+sp500_monthly!K824:K943)^(1/120)-1)*100</f>
        <v>0.75120867284788062</v>
      </c>
      <c r="G823" cm="1">
        <f t="array" ref="G823">(PRODUCT(1+sp500_monthly!L824:L943)^(1/120)-1)</f>
        <v>0.32515240121575562</v>
      </c>
      <c r="H823" cm="1">
        <f t="array" ref="H823">(PRODUCT(1+sp500_monthly!N824:N943)^(1/120)-1)*100</f>
        <v>0.71558123580299782</v>
      </c>
      <c r="I823" cm="1">
        <f t="array" ref="I823">(PRODUCT(1+sp500_monthly!O824:O943)^(1/120)-1)*100</f>
        <v>0.12986106745060955</v>
      </c>
    </row>
    <row r="824" spans="1:9" x14ac:dyDescent="0.35">
      <c r="A824" s="1">
        <v>34515</v>
      </c>
      <c r="B824" cm="1">
        <f t="array" ref="B824">(PRODUCT(1+sp500_monthly!B825:B944)^(1/120)-1)*100</f>
        <v>0.95763210598134307</v>
      </c>
      <c r="C824" cm="1">
        <f t="array" ref="C824">(PRODUCT(1+sp500_monthly!C825:C944)^(1/120)-1)*100</f>
        <v>0.81122164830398358</v>
      </c>
      <c r="D824" cm="1">
        <f t="array" ref="D824">(PRODUCT(1+sp500_monthly!D825:D944)^(1/120)-1)*100</f>
        <v>1.145986054733994</v>
      </c>
      <c r="E824" cm="1">
        <f t="array" ref="E824">(PRODUCT(1+sp500_monthly!E825:E944)^(1/120)-1)*100</f>
        <v>0.99337966037511549</v>
      </c>
      <c r="F824" cm="1">
        <f t="array" ref="F824">(PRODUCT(1+sp500_monthly!K825:K944)^(1/120)-1)*100</f>
        <v>0.78900343378947024</v>
      </c>
      <c r="G824" cm="1">
        <f t="array" ref="G824">(PRODUCT(1+sp500_monthly!L825:L944)^(1/120)-1)</f>
        <v>0.32302209870682064</v>
      </c>
      <c r="H824" cm="1">
        <f t="array" ref="H824">(PRODUCT(1+sp500_monthly!N825:N944)^(1/120)-1)*100</f>
        <v>0.75198803882614573</v>
      </c>
      <c r="I824" cm="1">
        <f t="array" ref="I824">(PRODUCT(1+sp500_monthly!O825:O944)^(1/120)-1)*100</f>
        <v>0.12710763579819595</v>
      </c>
    </row>
    <row r="825" spans="1:9" x14ac:dyDescent="0.35">
      <c r="A825" s="1">
        <v>34544</v>
      </c>
      <c r="B825" cm="1">
        <f t="array" ref="B825">(PRODUCT(1+sp500_monthly!B826:B945)^(1/120)-1)*100</f>
        <v>0.90237334875555852</v>
      </c>
      <c r="C825" cm="1">
        <f t="array" ref="C825">(PRODUCT(1+sp500_monthly!C826:C945)^(1/120)-1)*100</f>
        <v>0.75612234348829688</v>
      </c>
      <c r="D825" cm="1">
        <f t="array" ref="D825">(PRODUCT(1+sp500_monthly!D826:D945)^(1/120)-1)*100</f>
        <v>1.080856091160598</v>
      </c>
      <c r="E825" cm="1">
        <f t="array" ref="E825">(PRODUCT(1+sp500_monthly!E826:E945)^(1/120)-1)*100</f>
        <v>0.92852460409527104</v>
      </c>
      <c r="F825" cm="1">
        <f t="array" ref="F825">(PRODUCT(1+sp500_monthly!K826:K945)^(1/120)-1)*100</f>
        <v>0.73368982794552728</v>
      </c>
      <c r="G825" cm="1">
        <f t="array" ref="G825">(PRODUCT(1+sp500_monthly!L826:L945)^(1/120)-1)</f>
        <v>0.32135228780839942</v>
      </c>
      <c r="H825" cm="1">
        <f t="array" ref="H825">(PRODUCT(1+sp500_monthly!N826:N945)^(1/120)-1)*100</f>
        <v>0.69878594550327744</v>
      </c>
      <c r="I825" cm="1">
        <f t="array" ref="I825">(PRODUCT(1+sp500_monthly!O826:O945)^(1/120)-1)*100</f>
        <v>0.12754166513067045</v>
      </c>
    </row>
    <row r="826" spans="1:9" x14ac:dyDescent="0.35">
      <c r="A826" s="1">
        <v>34577</v>
      </c>
      <c r="B826" cm="1">
        <f t="array" ref="B826">(PRODUCT(1+sp500_monthly!B827:B946)^(1/120)-1)*100</f>
        <v>0.87151074381752736</v>
      </c>
      <c r="C826" cm="1">
        <f t="array" ref="C826">(PRODUCT(1+sp500_monthly!C827:C946)^(1/120)-1)*100</f>
        <v>0.72651347451724302</v>
      </c>
      <c r="D826" cm="1">
        <f t="array" ref="D826">(PRODUCT(1+sp500_monthly!D827:D946)^(1/120)-1)*100</f>
        <v>1.0354927817367576</v>
      </c>
      <c r="E826" cm="1">
        <f t="array" ref="E826">(PRODUCT(1+sp500_monthly!E827:E946)^(1/120)-1)*100</f>
        <v>0.88432705102077236</v>
      </c>
      <c r="F826" cm="1">
        <f t="array" ref="F826">(PRODUCT(1+sp500_monthly!K827:K946)^(1/120)-1)*100</f>
        <v>0.70459256668631287</v>
      </c>
      <c r="G826" cm="1">
        <f t="array" ref="G826">(PRODUCT(1+sp500_monthly!L827:L946)^(1/120)-1)</f>
        <v>0.31903698908379852</v>
      </c>
      <c r="H826" cm="1">
        <f t="array" ref="H826">(PRODUCT(1+sp500_monthly!N827:N946)^(1/120)-1)*100</f>
        <v>0.67092708383584831</v>
      </c>
      <c r="I826" cm="1">
        <f t="array" ref="I826">(PRODUCT(1+sp500_monthly!O827:O946)^(1/120)-1)*100</f>
        <v>0.12830306944646708</v>
      </c>
    </row>
    <row r="827" spans="1:9" x14ac:dyDescent="0.35">
      <c r="A827" s="1">
        <v>34607</v>
      </c>
      <c r="B827" cm="1">
        <f t="array" ref="B827">(PRODUCT(1+sp500_monthly!B828:B947)^(1/120)-1)*100</f>
        <v>0.90092759617097506</v>
      </c>
      <c r="C827" cm="1">
        <f t="array" ref="C827">(PRODUCT(1+sp500_monthly!C828:C947)^(1/120)-1)*100</f>
        <v>0.75664523491363322</v>
      </c>
      <c r="D827" cm="1">
        <f t="array" ref="D827">(PRODUCT(1+sp500_monthly!D828:D947)^(1/120)-1)*100</f>
        <v>1.0805821545744942</v>
      </c>
      <c r="E827" cm="1">
        <f t="array" ref="E827">(PRODUCT(1+sp500_monthly!E828:E947)^(1/120)-1)*100</f>
        <v>0.92983851435313181</v>
      </c>
      <c r="F827" cm="1">
        <f t="array" ref="F827">(PRODUCT(1+sp500_monthly!K828:K947)^(1/120)-1)*100</f>
        <v>0.73530107221411178</v>
      </c>
      <c r="G827" cm="1">
        <f t="array" ref="G827">(PRODUCT(1+sp500_monthly!L828:L947)^(1/120)-1)</f>
        <v>0.31672574726985903</v>
      </c>
      <c r="H827" cm="1">
        <f t="array" ref="H827">(PRODUCT(1+sp500_monthly!N828:N947)^(1/120)-1)*100</f>
        <v>0.69931634685591604</v>
      </c>
      <c r="I827" cm="1">
        <f t="array" ref="I827">(PRODUCT(1+sp500_monthly!O828:O947)^(1/120)-1)*100</f>
        <v>0.12517527085793567</v>
      </c>
    </row>
    <row r="828" spans="1:9" x14ac:dyDescent="0.35">
      <c r="A828" s="1">
        <v>34638</v>
      </c>
      <c r="B828" cm="1">
        <f t="array" ref="B828">(PRODUCT(1+sp500_monthly!B829:B948)^(1/120)-1)*100</f>
        <v>0.89461483793498164</v>
      </c>
      <c r="C828" cm="1">
        <f t="array" ref="C828">(PRODUCT(1+sp500_monthly!C829:C948)^(1/120)-1)*100</f>
        <v>0.75058437019490665</v>
      </c>
      <c r="D828" cm="1">
        <f t="array" ref="D828">(PRODUCT(1+sp500_monthly!D829:D948)^(1/120)-1)*100</f>
        <v>1.0909240876639581</v>
      </c>
      <c r="E828" cm="1">
        <f t="array" ref="E828">(PRODUCT(1+sp500_monthly!E829:E948)^(1/120)-1)*100</f>
        <v>0.94059624521964924</v>
      </c>
      <c r="F828" cm="1">
        <f t="array" ref="F828">(PRODUCT(1+sp500_monthly!K829:K948)^(1/120)-1)*100</f>
        <v>0.72967413154765293</v>
      </c>
      <c r="G828" cm="1">
        <f t="array" ref="G828">(PRODUCT(1+sp500_monthly!L829:L948)^(1/120)-1)</f>
        <v>0.31433889559019867</v>
      </c>
      <c r="H828" cm="1">
        <f t="array" ref="H828">(PRODUCT(1+sp500_monthly!N829:N948)^(1/120)-1)*100</f>
        <v>0.68916870772888217</v>
      </c>
      <c r="I828" cm="1">
        <f t="array" ref="I828">(PRODUCT(1+sp500_monthly!O829:O948)^(1/120)-1)*100</f>
        <v>0.11910227285638619</v>
      </c>
    </row>
    <row r="829" spans="1:9" x14ac:dyDescent="0.35">
      <c r="A829" s="1">
        <v>34668</v>
      </c>
      <c r="B829" cm="1">
        <f t="array" ref="B829">(PRODUCT(1+sp500_monthly!B830:B949)^(1/120)-1)*100</f>
        <v>0.95910655104529674</v>
      </c>
      <c r="C829" cm="1">
        <f t="array" ref="C829">(PRODUCT(1+sp500_monthly!C830:C949)^(1/120)-1)*100</f>
        <v>0.81372024143882005</v>
      </c>
      <c r="D829" cm="1">
        <f t="array" ref="D829">(PRODUCT(1+sp500_monthly!D830:D949)^(1/120)-1)*100</f>
        <v>1.176418633513987</v>
      </c>
      <c r="E829" cm="1">
        <f t="array" ref="E829">(PRODUCT(1+sp500_monthly!E830:E949)^(1/120)-1)*100</f>
        <v>1.027115111855692</v>
      </c>
      <c r="F829" cm="1">
        <f t="array" ref="F829">(PRODUCT(1+sp500_monthly!K830:K949)^(1/120)-1)*100</f>
        <v>0.79531698268602291</v>
      </c>
      <c r="G829" cm="1">
        <f t="array" ref="G829">(PRODUCT(1+sp500_monthly!L830:L949)^(1/120)-1)</f>
        <v>0.31242301462322986</v>
      </c>
      <c r="H829" cm="1">
        <f t="array" ref="H829">(PRODUCT(1+sp500_monthly!N830:N949)^(1/120)-1)*100</f>
        <v>0.75182294348743461</v>
      </c>
      <c r="I829" cm="1">
        <f t="array" ref="I829">(PRODUCT(1+sp500_monthly!O830:O949)^(1/120)-1)*100</f>
        <v>0.11557614987536269</v>
      </c>
    </row>
    <row r="830" spans="1:9" x14ac:dyDescent="0.35">
      <c r="A830" s="1">
        <v>34698</v>
      </c>
      <c r="B830" cm="1">
        <f t="array" ref="B830">(PRODUCT(1+sp500_monthly!B831:B950)^(1/120)-1)*100</f>
        <v>0.97453193610059774</v>
      </c>
      <c r="C830" cm="1">
        <f t="array" ref="C830">(PRODUCT(1+sp500_monthly!C831:C950)^(1/120)-1)*100</f>
        <v>0.82988490029132223</v>
      </c>
      <c r="D830" cm="1">
        <f t="array" ref="D830">(PRODUCT(1+sp500_monthly!D831:D950)^(1/120)-1)*100</f>
        <v>1.1936846628120001</v>
      </c>
      <c r="E830" cm="1">
        <f t="array" ref="E830">(PRODUCT(1+sp500_monthly!E831:E950)^(1/120)-1)*100</f>
        <v>1.044921954860345</v>
      </c>
      <c r="F830" cm="1">
        <f t="array" ref="F830">(PRODUCT(1+sp500_monthly!K831:K950)^(1/120)-1)*100</f>
        <v>0.811881017677063</v>
      </c>
      <c r="G830" cm="1">
        <f t="array" ref="G830">(PRODUCT(1+sp500_monthly!L831:L950)^(1/120)-1)</f>
        <v>0.31006034233184199</v>
      </c>
      <c r="H830" cm="1">
        <f t="array" ref="H830">(PRODUCT(1+sp500_monthly!N831:N950)^(1/120)-1)*100</f>
        <v>0.76889668618309592</v>
      </c>
      <c r="I830" cm="1">
        <f t="array" ref="I830">(PRODUCT(1+sp500_monthly!O831:O950)^(1/120)-1)*100</f>
        <v>0.11491625743205169</v>
      </c>
    </row>
    <row r="831" spans="1:9" x14ac:dyDescent="0.35">
      <c r="A831" s="1">
        <v>34730</v>
      </c>
      <c r="B831" cm="1">
        <f t="array" ref="B831">(PRODUCT(1+sp500_monthly!B832:B951)^(1/120)-1)*100</f>
        <v>0.93265291400710382</v>
      </c>
      <c r="C831" cm="1">
        <f t="array" ref="C831">(PRODUCT(1+sp500_monthly!C832:C951)^(1/120)-1)*100</f>
        <v>0.78862307016076549</v>
      </c>
      <c r="D831" cm="1">
        <f t="array" ref="D831">(PRODUCT(1+sp500_monthly!D832:D951)^(1/120)-1)*100</f>
        <v>1.1508134149790017</v>
      </c>
      <c r="E831" cm="1">
        <f t="array" ref="E831">(PRODUCT(1+sp500_monthly!E832:E951)^(1/120)-1)*100</f>
        <v>1.0027108758263292</v>
      </c>
      <c r="F831" cm="1">
        <f t="array" ref="F831">(PRODUCT(1+sp500_monthly!K832:K951)^(1/120)-1)*100</f>
        <v>0.77021797774639023</v>
      </c>
      <c r="G831" cm="1">
        <f t="array" ref="G831">(PRODUCT(1+sp500_monthly!L832:L951)^(1/120)-1)</f>
        <v>0.30785434758880648</v>
      </c>
      <c r="H831" cm="1">
        <f t="array" ref="H831">(PRODUCT(1+sp500_monthly!N832:N951)^(1/120)-1)*100</f>
        <v>0.72977488199201801</v>
      </c>
      <c r="I831" cm="1">
        <f t="array" ref="I831">(PRODUCT(1+sp500_monthly!O832:O951)^(1/120)-1)*100</f>
        <v>0.11540902994378044</v>
      </c>
    </row>
    <row r="832" spans="1:9" x14ac:dyDescent="0.35">
      <c r="A832" s="1">
        <v>34758</v>
      </c>
      <c r="B832" cm="1">
        <f t="array" ref="B832">(PRODUCT(1+sp500_monthly!B833:B952)^(1/120)-1)*100</f>
        <v>0.91789534453821098</v>
      </c>
      <c r="C832" cm="1">
        <f t="array" ref="C832">(PRODUCT(1+sp500_monthly!C833:C952)^(1/120)-1)*100</f>
        <v>0.77447399450665255</v>
      </c>
      <c r="D832" cm="1">
        <f t="array" ref="D832">(PRODUCT(1+sp500_monthly!D833:D952)^(1/120)-1)*100</f>
        <v>1.1310386368891256</v>
      </c>
      <c r="E832" cm="1">
        <f t="array" ref="E832">(PRODUCT(1+sp500_monthly!E833:E952)^(1/120)-1)*100</f>
        <v>0.98398532945065398</v>
      </c>
      <c r="F832" cm="1">
        <f t="array" ref="F832">(PRODUCT(1+sp500_monthly!K833:K952)^(1/120)-1)*100</f>
        <v>0.75618501290735107</v>
      </c>
      <c r="G832" cm="1">
        <f t="array" ref="G832">(PRODUCT(1+sp500_monthly!L833:L952)^(1/120)-1)</f>
        <v>0.30580641159893074</v>
      </c>
      <c r="H832" cm="1">
        <f t="array" ref="H832">(PRODUCT(1+sp500_monthly!N833:N952)^(1/120)-1)*100</f>
        <v>0.71377764588629322</v>
      </c>
      <c r="I832" cm="1">
        <f t="array" ref="I832">(PRODUCT(1+sp500_monthly!O833:O952)^(1/120)-1)*100</f>
        <v>0.11215058419113966</v>
      </c>
    </row>
    <row r="833" spans="1:9" x14ac:dyDescent="0.35">
      <c r="A833" s="1">
        <v>34789</v>
      </c>
      <c r="B833" cm="1">
        <f t="array" ref="B833">(PRODUCT(1+sp500_monthly!B834:B953)^(1/120)-1)*100</f>
        <v>0.87896340826734143</v>
      </c>
      <c r="C833" cm="1">
        <f t="array" ref="C833">(PRODUCT(1+sp500_monthly!C834:C953)^(1/120)-1)*100</f>
        <v>0.73608386707453288</v>
      </c>
      <c r="D833" cm="1">
        <f t="array" ref="D833">(PRODUCT(1+sp500_monthly!D834:D953)^(1/120)-1)*100</f>
        <v>1.0957238908683609</v>
      </c>
      <c r="E833" cm="1">
        <f t="array" ref="E833">(PRODUCT(1+sp500_monthly!E834:E953)^(1/120)-1)*100</f>
        <v>0.94896039591394477</v>
      </c>
      <c r="F833" cm="1">
        <f t="array" ref="F833">(PRODUCT(1+sp500_monthly!K834:K953)^(1/120)-1)*100</f>
        <v>0.71734650550887569</v>
      </c>
      <c r="G833" cm="1">
        <f t="array" ref="G833">(PRODUCT(1+sp500_monthly!L834:L953)^(1/120)-1)</f>
        <v>0.30376424817558356</v>
      </c>
      <c r="H833" cm="1">
        <f t="array" ref="H833">(PRODUCT(1+sp500_monthly!N834:N953)^(1/120)-1)*100</f>
        <v>0.67354391370393341</v>
      </c>
      <c r="I833" cm="1">
        <f t="array" ref="I833">(PRODUCT(1+sp500_monthly!O834:O953)^(1/120)-1)*100</f>
        <v>0.1086991042016372</v>
      </c>
    </row>
    <row r="834" spans="1:9" x14ac:dyDescent="0.35">
      <c r="A834" s="1">
        <v>34817</v>
      </c>
      <c r="B834" cm="1">
        <f t="array" ref="B834">(PRODUCT(1+sp500_monthly!B835:B954)^(1/120)-1)*100</f>
        <v>0.83855380921029621</v>
      </c>
      <c r="C834" cm="1">
        <f t="array" ref="C834">(PRODUCT(1+sp500_monthly!C835:C954)^(1/120)-1)*100</f>
        <v>0.69595544348670657</v>
      </c>
      <c r="D834" cm="1">
        <f t="array" ref="D834">(PRODUCT(1+sp500_monthly!D835:D954)^(1/120)-1)*100</f>
        <v>1.0494228698641361</v>
      </c>
      <c r="E834" cm="1">
        <f t="array" ref="E834">(PRODUCT(1+sp500_monthly!E835:E954)^(1/120)-1)*100</f>
        <v>0.90310617249922398</v>
      </c>
      <c r="F834" cm="1">
        <f t="array" ref="F834">(PRODUCT(1+sp500_monthly!K835:K954)^(1/120)-1)*100</f>
        <v>0.67715974801161316</v>
      </c>
      <c r="G834" cm="1">
        <f t="array" ref="G834">(PRODUCT(1+sp500_monthly!L835:L954)^(1/120)-1)</f>
        <v>0.30187491307870706</v>
      </c>
      <c r="H834" cm="1">
        <f t="array" ref="H834">(PRODUCT(1+sp500_monthly!N835:N954)^(1/120)-1)*100</f>
        <v>0.6339361476203953</v>
      </c>
      <c r="I834" cm="1">
        <f t="array" ref="I834">(PRODUCT(1+sp500_monthly!O835:O954)^(1/120)-1)*100</f>
        <v>0.10750237026913023</v>
      </c>
    </row>
    <row r="835" spans="1:9" x14ac:dyDescent="0.35">
      <c r="A835" s="1">
        <v>34850</v>
      </c>
      <c r="B835" cm="1">
        <f t="array" ref="B835">(PRODUCT(1+sp500_monthly!B836:B955)^(1/120)-1)*100</f>
        <v>0.83221446561834167</v>
      </c>
      <c r="C835" cm="1">
        <f t="array" ref="C835">(PRODUCT(1+sp500_monthly!C836:C955)^(1/120)-1)*100</f>
        <v>0.6908410372431284</v>
      </c>
      <c r="D835" cm="1">
        <f t="array" ref="D835">(PRODUCT(1+sp500_monthly!D836:D955)^(1/120)-1)*100</f>
        <v>1.0598099699059338</v>
      </c>
      <c r="E835" cm="1">
        <f t="array" ref="E835">(PRODUCT(1+sp500_monthly!E836:E955)^(1/120)-1)*100</f>
        <v>0.91482409460081904</v>
      </c>
      <c r="F835" cm="1">
        <f t="array" ref="F835">(PRODUCT(1+sp500_monthly!K836:K955)^(1/120)-1)*100</f>
        <v>0.67199509387942946</v>
      </c>
      <c r="G835" cm="1">
        <f t="array" ref="G835">(PRODUCT(1+sp500_monthly!L836:L955)^(1/120)-1)</f>
        <v>0.29952637907040236</v>
      </c>
      <c r="H835" cm="1">
        <f t="array" ref="H835">(PRODUCT(1+sp500_monthly!N836:N955)^(1/120)-1)*100</f>
        <v>0.62969832419976779</v>
      </c>
      <c r="I835" cm="1">
        <f t="array" ref="I835">(PRODUCT(1+sp500_monthly!O836:O955)^(1/120)-1)*100</f>
        <v>0.10708724383539092</v>
      </c>
    </row>
    <row r="836" spans="1:9" x14ac:dyDescent="0.35">
      <c r="A836" s="1">
        <v>34880</v>
      </c>
      <c r="B836" cm="1">
        <f t="array" ref="B836">(PRODUCT(1+sp500_monthly!B837:B956)^(1/120)-1)*100</f>
        <v>0.81360225876399017</v>
      </c>
      <c r="C836" cm="1">
        <f t="array" ref="C836">(PRODUCT(1+sp500_monthly!C837:C956)^(1/120)-1)*100</f>
        <v>0.67253692128028675</v>
      </c>
      <c r="D836" cm="1">
        <f t="array" ref="D836">(PRODUCT(1+sp500_monthly!D837:D956)^(1/120)-1)*100</f>
        <v>1.0504785160488916</v>
      </c>
      <c r="E836" cm="1">
        <f t="array" ref="E836">(PRODUCT(1+sp500_monthly!E837:E956)^(1/120)-1)*100</f>
        <v>0.90571992430354964</v>
      </c>
      <c r="F836" cm="1">
        <f t="array" ref="F836">(PRODUCT(1+sp500_monthly!K837:K956)^(1/120)-1)*100</f>
        <v>0.65421230772617633</v>
      </c>
      <c r="G836" cm="1">
        <f t="array" ref="G836">(PRODUCT(1+sp500_monthly!L837:L956)^(1/120)-1)</f>
        <v>0.29759749302113225</v>
      </c>
      <c r="H836" cm="1">
        <f t="array" ref="H836">(PRODUCT(1+sp500_monthly!N837:N956)^(1/120)-1)*100</f>
        <v>0.61234261839964166</v>
      </c>
      <c r="I836" cm="1">
        <f t="array" ref="I836">(PRODUCT(1+sp500_monthly!O837:O956)^(1/120)-1)*100</f>
        <v>0.10630509184814674</v>
      </c>
    </row>
    <row r="837" spans="1:9" x14ac:dyDescent="0.35">
      <c r="A837" s="1">
        <v>34911</v>
      </c>
      <c r="B837" cm="1">
        <f t="array" ref="B837">(PRODUCT(1+sp500_monthly!B838:B957)^(1/120)-1)*100</f>
        <v>0.81681465551564081</v>
      </c>
      <c r="C837" cm="1">
        <f t="array" ref="C837">(PRODUCT(1+sp500_monthly!C838:C957)^(1/120)-1)*100</f>
        <v>0.67589567634500636</v>
      </c>
      <c r="D837" cm="1">
        <f t="array" ref="D837">(PRODUCT(1+sp500_monthly!D838:D957)^(1/120)-1)*100</f>
        <v>1.065112478057717</v>
      </c>
      <c r="E837" cm="1">
        <f t="array" ref="E837">(PRODUCT(1+sp500_monthly!E838:E957)^(1/120)-1)*100</f>
        <v>0.9206535666246296</v>
      </c>
      <c r="F837" cm="1">
        <f t="array" ref="F837">(PRODUCT(1+sp500_monthly!K838:K957)^(1/120)-1)*100</f>
        <v>0.65761335869960469</v>
      </c>
      <c r="G837" cm="1">
        <f t="array" ref="G837">(PRODUCT(1+sp500_monthly!L838:L957)^(1/120)-1)</f>
        <v>0.29590682910737676</v>
      </c>
      <c r="H837" cm="1">
        <f t="array" ref="H837">(PRODUCT(1+sp500_monthly!N838:N957)^(1/120)-1)*100</f>
        <v>0.61146993121048432</v>
      </c>
      <c r="I837" cm="1">
        <f t="array" ref="I837">(PRODUCT(1+sp500_monthly!O838:O957)^(1/120)-1)*100</f>
        <v>0.10050131244190297</v>
      </c>
    </row>
    <row r="838" spans="1:9" x14ac:dyDescent="0.35">
      <c r="A838" s="1">
        <v>34942</v>
      </c>
      <c r="B838" cm="1">
        <f t="array" ref="B838">(PRODUCT(1+sp500_monthly!B839:B958)^(1/120)-1)*100</f>
        <v>0.80614789031348</v>
      </c>
      <c r="C838" cm="1">
        <f t="array" ref="C838">(PRODUCT(1+sp500_monthly!C839:C958)^(1/120)-1)*100</f>
        <v>0.66585314866958178</v>
      </c>
      <c r="D838" cm="1">
        <f t="array" ref="D838">(PRODUCT(1+sp500_monthly!D839:D958)^(1/120)-1)*100</f>
        <v>1.0503516652720313</v>
      </c>
      <c r="E838" cm="1">
        <f t="array" ref="E838">(PRODUCT(1+sp500_monthly!E839:E958)^(1/120)-1)*100</f>
        <v>0.90700419315092873</v>
      </c>
      <c r="F838" cm="1">
        <f t="array" ref="F838">(PRODUCT(1+sp500_monthly!K839:K958)^(1/120)-1)*100</f>
        <v>0.64841586194905876</v>
      </c>
      <c r="G838" cm="1">
        <f t="array" ref="G838">(PRODUCT(1+sp500_monthly!L839:L958)^(1/120)-1)</f>
        <v>0.29458030405318048</v>
      </c>
      <c r="H838" cm="1">
        <f t="array" ref="H838">(PRODUCT(1+sp500_monthly!N839:N958)^(1/120)-1)*100</f>
        <v>0.59732560985277239</v>
      </c>
      <c r="I838" cm="1">
        <f t="array" ref="I838">(PRODUCT(1+sp500_monthly!O839:O958)^(1/120)-1)*100</f>
        <v>9.5606840322615128E-2</v>
      </c>
    </row>
    <row r="839" spans="1:9" x14ac:dyDescent="0.35">
      <c r="A839" s="1">
        <v>34971</v>
      </c>
      <c r="B839" cm="1">
        <f t="array" ref="B839">(PRODUCT(1+sp500_monthly!B840:B959)^(1/120)-1)*100</f>
        <v>0.77825768717891819</v>
      </c>
      <c r="C839" cm="1">
        <f t="array" ref="C839">(PRODUCT(1+sp500_monthly!C840:C959)^(1/120)-1)*100</f>
        <v>0.63859023335781639</v>
      </c>
      <c r="D839" cm="1">
        <f t="array" ref="D839">(PRODUCT(1+sp500_monthly!D840:D959)^(1/120)-1)*100</f>
        <v>1.0367076467946656</v>
      </c>
      <c r="E839" cm="1">
        <f t="array" ref="E839">(PRODUCT(1+sp500_monthly!E840:E959)^(1/120)-1)*100</f>
        <v>0.89369181542011678</v>
      </c>
      <c r="F839" cm="1">
        <f t="array" ref="F839">(PRODUCT(1+sp500_monthly!K840:K959)^(1/120)-1)*100</f>
        <v>0.62125286612497721</v>
      </c>
      <c r="G839" cm="1">
        <f t="array" ref="G839">(PRODUCT(1+sp500_monthly!L840:L959)^(1/120)-1)</f>
        <v>0.29346925201103491</v>
      </c>
      <c r="H839" cm="1">
        <f t="array" ref="H839">(PRODUCT(1+sp500_monthly!N840:N959)^(1/120)-1)*100</f>
        <v>0.55912888048863518</v>
      </c>
      <c r="I839" cm="1">
        <f t="array" ref="I839">(PRODUCT(1+sp500_monthly!O840:O959)^(1/120)-1)*100</f>
        <v>8.4127909119402489E-2</v>
      </c>
    </row>
    <row r="840" spans="1:9" x14ac:dyDescent="0.35">
      <c r="A840" s="1">
        <v>35003</v>
      </c>
      <c r="B840" cm="1">
        <f t="array" ref="B840">(PRODUCT(1+sp500_monthly!B841:B960)^(1/120)-1)*100</f>
        <v>0.7678879978930464</v>
      </c>
      <c r="C840" cm="1">
        <f t="array" ref="C840">(PRODUCT(1+sp500_monthly!C841:C960)^(1/120)-1)*100</f>
        <v>0.62855866061406473</v>
      </c>
      <c r="D840" cm="1">
        <f t="array" ref="D840">(PRODUCT(1+sp500_monthly!D841:D960)^(1/120)-1)*100</f>
        <v>1.0372699943906882</v>
      </c>
      <c r="E840" cm="1">
        <f t="array" ref="E840">(PRODUCT(1+sp500_monthly!E841:E960)^(1/120)-1)*100</f>
        <v>0.89457126375127594</v>
      </c>
      <c r="F840" cm="1">
        <f t="array" ref="F840">(PRODUCT(1+sp500_monthly!K841:K960)^(1/120)-1)*100</f>
        <v>0.61042926675736187</v>
      </c>
      <c r="G840" cm="1">
        <f t="array" ref="G840">(PRODUCT(1+sp500_monthly!L841:L960)^(1/120)-1)</f>
        <v>0.29189384504086902</v>
      </c>
      <c r="H840" cm="1">
        <f t="array" ref="H840">(PRODUCT(1+sp500_monthly!N841:N960)^(1/120)-1)*100</f>
        <v>0.54970456919465338</v>
      </c>
      <c r="I840" cm="1">
        <f t="array" ref="I840">(PRODUCT(1+sp500_monthly!O841:O960)^(1/120)-1)*100</f>
        <v>8.3384553348286872E-2</v>
      </c>
    </row>
    <row r="841" spans="1:9" x14ac:dyDescent="0.35">
      <c r="A841" s="1">
        <v>35033</v>
      </c>
      <c r="B841" cm="1">
        <f t="array" ref="B841">(PRODUCT(1+sp500_monthly!B842:B961)^(1/120)-1)*100</f>
        <v>0.76313794127818024</v>
      </c>
      <c r="C841" cm="1">
        <f t="array" ref="C841">(PRODUCT(1+sp500_monthly!C842:C961)^(1/120)-1)*100</f>
        <v>0.62398600433490881</v>
      </c>
      <c r="D841" cm="1">
        <f t="array" ref="D841">(PRODUCT(1+sp500_monthly!D842:D961)^(1/120)-1)*100</f>
        <v>1.0314466893151408</v>
      </c>
      <c r="E841" cm="1">
        <f t="array" ref="E841">(PRODUCT(1+sp500_monthly!E842:E961)^(1/120)-1)*100</f>
        <v>0.88943034160129386</v>
      </c>
      <c r="F841" cm="1">
        <f t="array" ref="F841">(PRODUCT(1+sp500_monthly!K842:K961)^(1/120)-1)*100</f>
        <v>0.60569420036922228</v>
      </c>
      <c r="G841" cm="1">
        <f t="array" ref="G841">(PRODUCT(1+sp500_monthly!L842:L961)^(1/120)-1)</f>
        <v>0.29102609445394001</v>
      </c>
      <c r="H841" cm="1">
        <f t="array" ref="H841">(PRODUCT(1+sp500_monthly!N842:N961)^(1/120)-1)*100</f>
        <v>0.55027483528660159</v>
      </c>
      <c r="I841" cm="1">
        <f t="array" ref="I841">(PRODUCT(1+sp500_monthly!O842:O961)^(1/120)-1)*100</f>
        <v>8.7756075184164395E-2</v>
      </c>
    </row>
    <row r="842" spans="1:9" x14ac:dyDescent="0.35">
      <c r="A842" s="1">
        <v>35062</v>
      </c>
      <c r="B842" cm="1">
        <f t="array" ref="B842">(PRODUCT(1+sp500_monthly!B843:B962)^(1/120)-1)*100</f>
        <v>0.74840310608743632</v>
      </c>
      <c r="C842" cm="1">
        <f t="array" ref="C842">(PRODUCT(1+sp500_monthly!C843:C962)^(1/120)-1)*100</f>
        <v>0.60966293555051454</v>
      </c>
      <c r="D842" cm="1">
        <f t="array" ref="D842">(PRODUCT(1+sp500_monthly!D843:D962)^(1/120)-1)*100</f>
        <v>1.025936533507088</v>
      </c>
      <c r="E842" cm="1">
        <f t="array" ref="E842">(PRODUCT(1+sp500_monthly!E843:E962)^(1/120)-1)*100</f>
        <v>0.88428021180508853</v>
      </c>
      <c r="F842" cm="1">
        <f t="array" ref="F842">(PRODUCT(1+sp500_monthly!K843:K962)^(1/120)-1)*100</f>
        <v>0.59039822270205988</v>
      </c>
      <c r="G842" cm="1">
        <f t="array" ref="G842">(PRODUCT(1+sp500_monthly!L843:L962)^(1/120)-1)</f>
        <v>0.28972341411532754</v>
      </c>
      <c r="H842" cm="1">
        <f t="array" ref="H842">(PRODUCT(1+sp500_monthly!N843:N962)^(1/120)-1)*100</f>
        <v>0.53666059582719861</v>
      </c>
      <c r="I842" cm="1">
        <f t="array" ref="I842">(PRODUCT(1+sp500_monthly!O843:O962)^(1/120)-1)*100</f>
        <v>8.7428494436503357E-2</v>
      </c>
    </row>
    <row r="843" spans="1:9" x14ac:dyDescent="0.35">
      <c r="A843" s="1">
        <v>35095</v>
      </c>
      <c r="B843" cm="1">
        <f t="array" ref="B843">(PRODUCT(1+sp500_monthly!B844:B963)^(1/120)-1)*100</f>
        <v>0.74154517323876679</v>
      </c>
      <c r="C843" cm="1">
        <f t="array" ref="C843">(PRODUCT(1+sp500_monthly!C844:C963)^(1/120)-1)*100</f>
        <v>0.60315481900088397</v>
      </c>
      <c r="D843" cm="1">
        <f t="array" ref="D843">(PRODUCT(1+sp500_monthly!D844:D963)^(1/120)-1)*100</f>
        <v>1.034632688506365</v>
      </c>
      <c r="E843" cm="1">
        <f t="array" ref="E843">(PRODUCT(1+sp500_monthly!E844:E963)^(1/120)-1)*100</f>
        <v>0.89341322980402982</v>
      </c>
      <c r="F843" cm="1">
        <f t="array" ref="F843">(PRODUCT(1+sp500_monthly!K844:K963)^(1/120)-1)*100</f>
        <v>0.58457400772846668</v>
      </c>
      <c r="G843" cm="1">
        <f t="array" ref="G843">(PRODUCT(1+sp500_monthly!L844:L963)^(1/120)-1)</f>
        <v>0.28910481929689813</v>
      </c>
      <c r="H843" cm="1">
        <f t="array" ref="H843">(PRODUCT(1+sp500_monthly!N844:N963)^(1/120)-1)*100</f>
        <v>0.52910117517743771</v>
      </c>
      <c r="I843" cm="1">
        <f t="array" ref="I843">(PRODUCT(1+sp500_monthly!O844:O963)^(1/120)-1)*100</f>
        <v>8.6051093264560841E-2</v>
      </c>
    </row>
    <row r="844" spans="1:9" x14ac:dyDescent="0.35">
      <c r="A844" s="1">
        <v>35124</v>
      </c>
      <c r="B844" cm="1">
        <f t="array" ref="B844">(PRODUCT(1+sp500_monthly!B845:B964)^(1/120)-1)*100</f>
        <v>0.73515215700885594</v>
      </c>
      <c r="C844" cm="1">
        <f t="array" ref="C844">(PRODUCT(1+sp500_monthly!C845:C964)^(1/120)-1)*100</f>
        <v>0.59687351823007884</v>
      </c>
      <c r="D844" cm="1">
        <f t="array" ref="D844">(PRODUCT(1+sp500_monthly!D845:D964)^(1/120)-1)*100</f>
        <v>1.0263446583732794</v>
      </c>
      <c r="E844" cm="1">
        <f t="array" ref="E844">(PRODUCT(1+sp500_monthly!E845:E964)^(1/120)-1)*100</f>
        <v>0.88582823162159929</v>
      </c>
      <c r="F844" cm="1">
        <f t="array" ref="F844">(PRODUCT(1+sp500_monthly!K845:K964)^(1/120)-1)*100</f>
        <v>0.57916172009240263</v>
      </c>
      <c r="G844" cm="1">
        <f t="array" ref="G844">(PRODUCT(1+sp500_monthly!L845:L964)^(1/120)-1)</f>
        <v>0.28871133571522201</v>
      </c>
      <c r="H844" cm="1">
        <f t="array" ref="H844">(PRODUCT(1+sp500_monthly!N845:N964)^(1/120)-1)*100</f>
        <v>0.52392434266403942</v>
      </c>
      <c r="I844" cm="1">
        <f t="array" ref="I844">(PRODUCT(1+sp500_monthly!O845:O964)^(1/120)-1)*100</f>
        <v>8.683305811398867E-2</v>
      </c>
    </row>
    <row r="845" spans="1:9" x14ac:dyDescent="0.35">
      <c r="A845" s="1">
        <v>35153</v>
      </c>
      <c r="B845" cm="1">
        <f t="array" ref="B845">(PRODUCT(1+sp500_monthly!B846:B965)^(1/120)-1)*100</f>
        <v>0.73791152682085581</v>
      </c>
      <c r="C845" cm="1">
        <f t="array" ref="C845">(PRODUCT(1+sp500_monthly!C846:C965)^(1/120)-1)*100</f>
        <v>0.59990486742340643</v>
      </c>
      <c r="D845" cm="1">
        <f t="array" ref="D845">(PRODUCT(1+sp500_monthly!D846:D965)^(1/120)-1)*100</f>
        <v>1.0249423002153923</v>
      </c>
      <c r="E845" cm="1">
        <f t="array" ref="E845">(PRODUCT(1+sp500_monthly!E846:E965)^(1/120)-1)*100</f>
        <v>0.88462489207408179</v>
      </c>
      <c r="F845" cm="1">
        <f t="array" ref="F845">(PRODUCT(1+sp500_monthly!K846:K965)^(1/120)-1)*100</f>
        <v>0.58177547603239788</v>
      </c>
      <c r="G845" cm="1">
        <f t="array" ref="G845">(PRODUCT(1+sp500_monthly!L846:L965)^(1/120)-1)</f>
        <v>0.28855570092381666</v>
      </c>
      <c r="H845" cm="1">
        <f t="array" ref="H845">(PRODUCT(1+sp500_monthly!N846:N965)^(1/120)-1)*100</f>
        <v>0.52811650015445188</v>
      </c>
      <c r="I845" cm="1">
        <f t="array" ref="I845">(PRODUCT(1+sp500_monthly!O846:O965)^(1/120)-1)*100</f>
        <v>8.8099155325727097E-2</v>
      </c>
    </row>
    <row r="846" spans="1:9" x14ac:dyDescent="0.35">
      <c r="A846" s="1">
        <v>35185</v>
      </c>
      <c r="B846" cm="1">
        <f t="array" ref="B846">(PRODUCT(1+sp500_monthly!B847:B966)^(1/120)-1)*100</f>
        <v>0.73536974962560286</v>
      </c>
      <c r="C846" cm="1">
        <f t="array" ref="C846">(PRODUCT(1+sp500_monthly!C847:C966)^(1/120)-1)*100</f>
        <v>0.59741479196639968</v>
      </c>
      <c r="D846" cm="1">
        <f t="array" ref="D846">(PRODUCT(1+sp500_monthly!D847:D966)^(1/120)-1)*100</f>
        <v>1.0101844273022742</v>
      </c>
      <c r="E846" cm="1">
        <f t="array" ref="E846">(PRODUCT(1+sp500_monthly!E847:E966)^(1/120)-1)*100</f>
        <v>0.87007243260897038</v>
      </c>
      <c r="F846" cm="1">
        <f t="array" ref="F846">(PRODUCT(1+sp500_monthly!K847:K966)^(1/120)-1)*100</f>
        <v>0.58074597043569209</v>
      </c>
      <c r="G846" cm="1">
        <f t="array" ref="G846">(PRODUCT(1+sp500_monthly!L847:L966)^(1/120)-1)</f>
        <v>0.28779404891591032</v>
      </c>
      <c r="H846" cm="1">
        <f t="array" ref="H846">(PRODUCT(1+sp500_monthly!N847:N966)^(1/120)-1)*100</f>
        <v>0.52462174457887922</v>
      </c>
      <c r="I846" cm="1">
        <f t="array" ref="I846">(PRODUCT(1+sp500_monthly!O847:O966)^(1/120)-1)*100</f>
        <v>8.6314403338749734E-2</v>
      </c>
    </row>
    <row r="847" spans="1:9" x14ac:dyDescent="0.35">
      <c r="A847" s="1">
        <v>35216</v>
      </c>
      <c r="B847" cm="1">
        <f t="array" ref="B847">(PRODUCT(1+sp500_monthly!B848:B967)^(1/120)-1)*100</f>
        <v>0.69032506445365627</v>
      </c>
      <c r="C847" cm="1">
        <f t="array" ref="C847">(PRODUCT(1+sp500_monthly!C848:C967)^(1/120)-1)*100</f>
        <v>0.55276418789060866</v>
      </c>
      <c r="D847" cm="1">
        <f t="array" ref="D847">(PRODUCT(1+sp500_monthly!D848:D967)^(1/120)-1)*100</f>
        <v>0.97506492256331789</v>
      </c>
      <c r="E847" cm="1">
        <f t="array" ref="E847">(PRODUCT(1+sp500_monthly!E848:E967)^(1/120)-1)*100</f>
        <v>0.8357532834706749</v>
      </c>
      <c r="F847" cm="1">
        <f t="array" ref="F847">(PRODUCT(1+sp500_monthly!K848:K967)^(1/120)-1)*100</f>
        <v>0.53549414923643734</v>
      </c>
      <c r="G847" cm="1">
        <f t="array" ref="G847">(PRODUCT(1+sp500_monthly!L848:L967)^(1/120)-1)</f>
        <v>0.28786936102057004</v>
      </c>
      <c r="H847" cm="1">
        <f t="array" ref="H847">(PRODUCT(1+sp500_monthly!N848:N967)^(1/120)-1)*100</f>
        <v>0.47877948021164407</v>
      </c>
      <c r="I847" cm="1">
        <f t="array" ref="I847">(PRODUCT(1+sp500_monthly!O848:O967)^(1/120)-1)*100</f>
        <v>8.5509129228267255E-2</v>
      </c>
    </row>
    <row r="848" spans="1:9" x14ac:dyDescent="0.35">
      <c r="A848" s="1">
        <v>35244</v>
      </c>
      <c r="B848" cm="1">
        <f t="array" ref="B848">(PRODUCT(1+sp500_monthly!B849:B968)^(1/120)-1)*100</f>
        <v>0.68819904329453507</v>
      </c>
      <c r="C848" cm="1">
        <f t="array" ref="C848">(PRODUCT(1+sp500_monthly!C849:C968)^(1/120)-1)*100</f>
        <v>0.5509117010932707</v>
      </c>
      <c r="D848" cm="1">
        <f t="array" ref="D848">(PRODUCT(1+sp500_monthly!D849:D968)^(1/120)-1)*100</f>
        <v>0.9813027515702677</v>
      </c>
      <c r="E848" cm="1">
        <f t="array" ref="E848">(PRODUCT(1+sp500_monthly!E849:E968)^(1/120)-1)*100</f>
        <v>0.84220904551608466</v>
      </c>
      <c r="F848" cm="1">
        <f t="array" ref="F848">(PRODUCT(1+sp500_monthly!K849:K968)^(1/120)-1)*100</f>
        <v>0.53367827629382525</v>
      </c>
      <c r="G848" cm="1">
        <f t="array" ref="G848">(PRODUCT(1+sp500_monthly!L849:L968)^(1/120)-1)</f>
        <v>0.28786936102057004</v>
      </c>
      <c r="H848" cm="1">
        <f t="array" ref="H848">(PRODUCT(1+sp500_monthly!N849:N968)^(1/120)-1)*100</f>
        <v>0.47618530638524614</v>
      </c>
      <c r="I848" cm="1">
        <f t="array" ref="I848">(PRODUCT(1+sp500_monthly!O849:O968)^(1/120)-1)*100</f>
        <v>8.5038349766564103E-2</v>
      </c>
    </row>
    <row r="849" spans="1:9" x14ac:dyDescent="0.35">
      <c r="A849" s="1">
        <v>35277</v>
      </c>
      <c r="B849" cm="1">
        <f t="array" ref="B849">(PRODUCT(1+sp500_monthly!B850:B969)^(1/120)-1)*100</f>
        <v>0.7310152691484495</v>
      </c>
      <c r="C849" cm="1">
        <f t="array" ref="C849">(PRODUCT(1+sp500_monthly!C850:C969)^(1/120)-1)*100</f>
        <v>0.59419291702105248</v>
      </c>
      <c r="D849" cm="1">
        <f t="array" ref="D849">(PRODUCT(1+sp500_monthly!D850:D969)^(1/120)-1)*100</f>
        <v>1.0176110068441657</v>
      </c>
      <c r="E849" cm="1">
        <f t="array" ref="E849">(PRODUCT(1+sp500_monthly!E850:E969)^(1/120)-1)*100</f>
        <v>0.87886722633394587</v>
      </c>
      <c r="F849" cm="1">
        <f t="array" ref="F849">(PRODUCT(1+sp500_monthly!K850:K969)^(1/120)-1)*100</f>
        <v>0.57716900034119334</v>
      </c>
      <c r="G849" cm="1">
        <f t="array" ref="G849">(PRODUCT(1+sp500_monthly!L850:L969)^(1/120)-1)</f>
        <v>0.28749280745040462</v>
      </c>
      <c r="H849" cm="1">
        <f t="array" ref="H849">(PRODUCT(1+sp500_monthly!N850:N969)^(1/120)-1)*100</f>
        <v>0.51595994750786023</v>
      </c>
      <c r="I849" cm="1">
        <f t="array" ref="I849">(PRODUCT(1+sp500_monthly!O850:O969)^(1/120)-1)*100</f>
        <v>8.1684417103256024E-2</v>
      </c>
    </row>
    <row r="850" spans="1:9" x14ac:dyDescent="0.35">
      <c r="A850" s="1">
        <v>35307</v>
      </c>
      <c r="B850" cm="1">
        <f t="array" ref="B850">(PRODUCT(1+sp500_monthly!B851:B970)^(1/120)-1)*100</f>
        <v>0.73283848433951526</v>
      </c>
      <c r="C850" cm="1">
        <f t="array" ref="C850">(PRODUCT(1+sp500_monthly!C851:C970)^(1/120)-1)*100</f>
        <v>0.59590952756669591</v>
      </c>
      <c r="D850" cm="1">
        <f t="array" ref="D850">(PRODUCT(1+sp500_monthly!D851:D970)^(1/120)-1)*100</f>
        <v>1.0155262754122374</v>
      </c>
      <c r="E850" cm="1">
        <f t="array" ref="E850">(PRODUCT(1+sp500_monthly!E851:E970)^(1/120)-1)*100</f>
        <v>0.87736491897496549</v>
      </c>
      <c r="F850" cm="1">
        <f t="array" ref="F850">(PRODUCT(1+sp500_monthly!K851:K970)^(1/120)-1)*100</f>
        <v>0.57919033832511957</v>
      </c>
      <c r="G850" cm="1">
        <f t="array" ref="G850">(PRODUCT(1+sp500_monthly!L851:L970)^(1/120)-1)</f>
        <v>0.28756863407462019</v>
      </c>
      <c r="H850" cm="1">
        <f t="array" ref="H850">(PRODUCT(1+sp500_monthly!N851:N970)^(1/120)-1)*100</f>
        <v>0.51513836838219529</v>
      </c>
      <c r="I850" cm="1">
        <f t="array" ref="I850">(PRODUCT(1+sp500_monthly!O851:O970)^(1/120)-1)*100</f>
        <v>7.9138027336389527E-2</v>
      </c>
    </row>
    <row r="851" spans="1:9" x14ac:dyDescent="0.35">
      <c r="A851" s="1">
        <v>35338</v>
      </c>
      <c r="B851" cm="1">
        <f t="array" ref="B851">(PRODUCT(1+sp500_monthly!B852:B971)^(1/120)-1)*100</f>
        <v>0.70901879422817782</v>
      </c>
      <c r="C851" cm="1">
        <f t="array" ref="C851">(PRODUCT(1+sp500_monthly!C852:C971)^(1/120)-1)*100</f>
        <v>0.57267677304446707</v>
      </c>
      <c r="D851" cm="1">
        <f t="array" ref="D851">(PRODUCT(1+sp500_monthly!D852:D971)^(1/120)-1)*100</f>
        <v>0.99647116520151791</v>
      </c>
      <c r="E851" cm="1">
        <f t="array" ref="E851">(PRODUCT(1+sp500_monthly!E852:E971)^(1/120)-1)*100</f>
        <v>0.8586745520797967</v>
      </c>
      <c r="F851" cm="1">
        <f t="array" ref="F851">(PRODUCT(1+sp500_monthly!K852:K971)^(1/120)-1)*100</f>
        <v>0.55531612089823046</v>
      </c>
      <c r="G851" cm="1">
        <f t="array" ref="G851">(PRODUCT(1+sp500_monthly!L852:L971)^(1/120)-1)</f>
        <v>0.28734275631207473</v>
      </c>
      <c r="H851" cm="1">
        <f t="array" ref="H851">(PRODUCT(1+sp500_monthly!N852:N971)^(1/120)-1)*100</f>
        <v>0.49814891582000698</v>
      </c>
      <c r="I851" cm="1">
        <f t="array" ref="I851">(PRODUCT(1+sp500_monthly!O852:O971)^(1/120)-1)*100</f>
        <v>8.5639823557270844E-2</v>
      </c>
    </row>
    <row r="852" spans="1:9" x14ac:dyDescent="0.35">
      <c r="A852" s="1">
        <v>35369</v>
      </c>
      <c r="B852" cm="1">
        <f t="array" ref="B852">(PRODUCT(1+sp500_monthly!B853:B972)^(1/120)-1)*100</f>
        <v>0.71368842168058055</v>
      </c>
      <c r="C852" cm="1">
        <f t="array" ref="C852">(PRODUCT(1+sp500_monthly!C853:C972)^(1/120)-1)*100</f>
        <v>0.57762542785575466</v>
      </c>
      <c r="D852" cm="1">
        <f t="array" ref="D852">(PRODUCT(1+sp500_monthly!D853:D972)^(1/120)-1)*100</f>
        <v>1.0154481407327109</v>
      </c>
      <c r="E852" cm="1">
        <f t="array" ref="E852">(PRODUCT(1+sp500_monthly!E853:E972)^(1/120)-1)*100</f>
        <v>0.87776756096709097</v>
      </c>
      <c r="F852" cm="1">
        <f t="array" ref="F852">(PRODUCT(1+sp500_monthly!K853:K972)^(1/120)-1)*100</f>
        <v>0.55969572733096662</v>
      </c>
      <c r="G852" cm="1">
        <f t="array" ref="G852">(PRODUCT(1+sp500_monthly!L853:L972)^(1/120)-1)</f>
        <v>0.28726694299010025</v>
      </c>
      <c r="H852" cm="1">
        <f t="array" ref="H852">(PRODUCT(1+sp500_monthly!N853:N972)^(1/120)-1)*100</f>
        <v>0.50918529148515912</v>
      </c>
      <c r="I852" cm="1">
        <f t="array" ref="I852">(PRODUCT(1+sp500_monthly!O853:O972)^(1/120)-1)*100</f>
        <v>9.1906816244557987E-2</v>
      </c>
    </row>
    <row r="853" spans="1:9" x14ac:dyDescent="0.35">
      <c r="A853" s="1">
        <v>35398</v>
      </c>
      <c r="B853" cm="1">
        <f t="array" ref="B853">(PRODUCT(1+sp500_monthly!B854:B973)^(1/120)-1)*100</f>
        <v>0.66716760724176982</v>
      </c>
      <c r="C853" cm="1">
        <f t="array" ref="C853">(PRODUCT(1+sp500_monthly!C854:C973)^(1/120)-1)*100</f>
        <v>0.53084187389311754</v>
      </c>
      <c r="D853" cm="1">
        <f t="array" ref="D853">(PRODUCT(1+sp500_monthly!D854:D973)^(1/120)-1)*100</f>
        <v>0.97955325661214232</v>
      </c>
      <c r="E853" cm="1">
        <f t="array" ref="E853">(PRODUCT(1+sp500_monthly!E854:E973)^(1/120)-1)*100</f>
        <v>0.84215373326455012</v>
      </c>
      <c r="F853" cm="1">
        <f t="array" ref="F853">(PRODUCT(1+sp500_monthly!K854:K973)^(1/120)-1)*100</f>
        <v>0.51405539444990822</v>
      </c>
      <c r="G853" cm="1">
        <f t="array" ref="G853">(PRODUCT(1+sp500_monthly!L854:L973)^(1/120)-1)</f>
        <v>0.28734275631207473</v>
      </c>
      <c r="H853" cm="1">
        <f t="array" ref="H853">(PRODUCT(1+sp500_monthly!N854:N973)^(1/120)-1)*100</f>
        <v>0.46498622355366503</v>
      </c>
      <c r="I853" cm="1">
        <f t="array" ref="I853">(PRODUCT(1+sp500_monthly!O854:O973)^(1/120)-1)*100</f>
        <v>9.4208945591844895E-2</v>
      </c>
    </row>
    <row r="854" spans="1:9" x14ac:dyDescent="0.35">
      <c r="A854" s="1">
        <v>35430</v>
      </c>
      <c r="B854" cm="1">
        <f t="array" ref="B854">(PRODUCT(1+sp500_monthly!B855:B974)^(1/120)-1)*100</f>
        <v>0.695417677204202</v>
      </c>
      <c r="C854" cm="1">
        <f t="array" ref="C854">(PRODUCT(1+sp500_monthly!C855:C974)^(1/120)-1)*100</f>
        <v>0.55930612577490546</v>
      </c>
      <c r="D854" cm="1">
        <f t="array" ref="D854">(PRODUCT(1+sp500_monthly!D855:D974)^(1/120)-1)*100</f>
        <v>1.0007424795264619</v>
      </c>
      <c r="E854" cm="1">
        <f t="array" ref="E854">(PRODUCT(1+sp500_monthly!E855:E974)^(1/120)-1)*100</f>
        <v>0.86347745272505882</v>
      </c>
      <c r="F854" cm="1">
        <f t="array" ref="F854">(PRODUCT(1+sp500_monthly!K855:K974)^(1/120)-1)*100</f>
        <v>0.54277023237581101</v>
      </c>
      <c r="G854" cm="1">
        <f t="array" ref="G854">(PRODUCT(1+sp500_monthly!L855:L974)^(1/120)-1)</f>
        <v>0.28689264912048951</v>
      </c>
      <c r="H854" cm="1">
        <f t="array" ref="H854">(PRODUCT(1+sp500_monthly!N855:N974)^(1/120)-1)*100</f>
        <v>0.49073972530566667</v>
      </c>
      <c r="I854" cm="1">
        <f t="array" ref="I854">(PRODUCT(1+sp500_monthly!O855:O974)^(1/120)-1)*100</f>
        <v>9.1280486752798318E-2</v>
      </c>
    </row>
    <row r="855" spans="1:9" x14ac:dyDescent="0.35">
      <c r="A855" s="1">
        <v>35461</v>
      </c>
      <c r="B855" cm="1">
        <f t="array" ref="B855">(PRODUCT(1+sp500_monthly!B856:B975)^(1/120)-1)*100</f>
        <v>0.65704711315048847</v>
      </c>
      <c r="C855" cm="1">
        <f t="array" ref="C855">(PRODUCT(1+sp500_monthly!C856:C975)^(1/120)-1)*100</f>
        <v>0.52108581074152838</v>
      </c>
      <c r="D855" cm="1">
        <f t="array" ref="D855">(PRODUCT(1+sp500_monthly!D856:D975)^(1/120)-1)*100</f>
        <v>0.98823975453179447</v>
      </c>
      <c r="E855" cm="1">
        <f t="array" ref="E855">(PRODUCT(1+sp500_monthly!E856:E975)^(1/120)-1)*100</f>
        <v>0.85121984297378273</v>
      </c>
      <c r="F855" cm="1">
        <f t="array" ref="F855">(PRODUCT(1+sp500_monthly!K856:K975)^(1/120)-1)*100</f>
        <v>0.50461353291195721</v>
      </c>
      <c r="G855" cm="1">
        <f t="array" ref="G855">(PRODUCT(1+sp500_monthly!L856:L975)^(1/120)-1)</f>
        <v>0.28681843570192278</v>
      </c>
      <c r="H855" cm="1">
        <f t="array" ref="H855">(PRODUCT(1+sp500_monthly!N856:N975)^(1/120)-1)*100</f>
        <v>0.45263627775526949</v>
      </c>
      <c r="I855" cm="1">
        <f t="array" ref="I855">(PRODUCT(1+sp500_monthly!O856:O975)^(1/120)-1)*100</f>
        <v>9.1385889586548252E-2</v>
      </c>
    </row>
    <row r="856" spans="1:9" x14ac:dyDescent="0.35">
      <c r="A856" s="1">
        <v>35489</v>
      </c>
      <c r="B856" cm="1">
        <f t="array" ref="B856">(PRODUCT(1+sp500_monthly!B857:B976)^(1/120)-1)*100</f>
        <v>0.63423531893969098</v>
      </c>
      <c r="C856" cm="1">
        <f t="array" ref="C856">(PRODUCT(1+sp500_monthly!C857:C976)^(1/120)-1)*100</f>
        <v>0.49795363264688586</v>
      </c>
      <c r="D856" cm="1">
        <f t="array" ref="D856">(PRODUCT(1+sp500_monthly!D857:D976)^(1/120)-1)*100</f>
        <v>0.97442643543352858</v>
      </c>
      <c r="E856" cm="1">
        <f t="array" ref="E856">(PRODUCT(1+sp500_monthly!E857:E976)^(1/120)-1)*100</f>
        <v>0.83790770119038793</v>
      </c>
      <c r="F856" cm="1">
        <f t="array" ref="F856">(PRODUCT(1+sp500_monthly!K857:K976)^(1/120)-1)*100</f>
        <v>0.4811663178320158</v>
      </c>
      <c r="G856" cm="1">
        <f t="array" ref="G856">(PRODUCT(1+sp500_monthly!L857:L976)^(1/120)-1)</f>
        <v>0.28674101179617351</v>
      </c>
      <c r="H856" cm="1">
        <f t="array" ref="H856">(PRODUCT(1+sp500_monthly!N857:N976)^(1/120)-1)*100</f>
        <v>0.42820489183919008</v>
      </c>
      <c r="I856" cm="1">
        <f t="array" ref="I856">(PRODUCT(1+sp500_monthly!O857:O976)^(1/120)-1)*100</f>
        <v>8.9642499043285362E-2</v>
      </c>
    </row>
    <row r="857" spans="1:9" x14ac:dyDescent="0.35">
      <c r="A857" s="1">
        <v>35520</v>
      </c>
      <c r="B857" cm="1">
        <f t="array" ref="B857">(PRODUCT(1+sp500_monthly!B858:B977)^(1/120)-1)*100</f>
        <v>0.67904175133077782</v>
      </c>
      <c r="C857" cm="1">
        <f t="array" ref="C857">(PRODUCT(1+sp500_monthly!C858:C977)^(1/120)-1)*100</f>
        <v>0.54311108004785336</v>
      </c>
      <c r="D857" cm="1">
        <f t="array" ref="D857">(PRODUCT(1+sp500_monthly!D858:D977)^(1/120)-1)*100</f>
        <v>1.0106891390613271</v>
      </c>
      <c r="E857" cm="1">
        <f t="array" ref="E857">(PRODUCT(1+sp500_monthly!E858:E977)^(1/120)-1)*100</f>
        <v>0.87433181669573923</v>
      </c>
      <c r="F857" cm="1">
        <f t="array" ref="F857">(PRODUCT(1+sp500_monthly!K858:K977)^(1/120)-1)*100</f>
        <v>0.52595669557156111</v>
      </c>
      <c r="G857" cm="1">
        <f t="array" ref="G857">(PRODUCT(1+sp500_monthly!L858:L977)^(1/120)-1)</f>
        <v>0.28674101179617351</v>
      </c>
      <c r="H857" cm="1">
        <f t="array" ref="H857">(PRODUCT(1+sp500_monthly!N858:N977)^(1/120)-1)*100</f>
        <v>0.46910113231084516</v>
      </c>
      <c r="I857" cm="1">
        <f t="array" ref="I857">(PRODUCT(1+sp500_monthly!O858:O977)^(1/120)-1)*100</f>
        <v>8.5838606594967892E-2</v>
      </c>
    </row>
    <row r="858" spans="1:9" x14ac:dyDescent="0.35">
      <c r="A858" s="1">
        <v>35550</v>
      </c>
      <c r="B858" cm="1">
        <f t="array" ref="B858">(PRODUCT(1+sp500_monthly!B859:B978)^(1/120)-1)*100</f>
        <v>0.66605793159337789</v>
      </c>
      <c r="C858" cm="1">
        <f t="array" ref="C858">(PRODUCT(1+sp500_monthly!C859:C978)^(1/120)-1)*100</f>
        <v>0.53022888675844371</v>
      </c>
      <c r="D858" cm="1">
        <f t="array" ref="D858">(PRODUCT(1+sp500_monthly!D859:D978)^(1/120)-1)*100</f>
        <v>1.0197389544005286</v>
      </c>
      <c r="E858" cm="1">
        <f t="array" ref="E858">(PRODUCT(1+sp500_monthly!E859:E978)^(1/120)-1)*100</f>
        <v>0.88324814913280925</v>
      </c>
      <c r="F858" cm="1">
        <f t="array" ref="F858">(PRODUCT(1+sp500_monthly!K859:K978)^(1/120)-1)*100</f>
        <v>0.51390782133733381</v>
      </c>
      <c r="G858" cm="1">
        <f t="array" ref="G858">(PRODUCT(1+sp500_monthly!L859:L978)^(1/120)-1)</f>
        <v>0.28681573790429771</v>
      </c>
      <c r="H858" cm="1">
        <f t="array" ref="H858">(PRODUCT(1+sp500_monthly!N859:N978)^(1/120)-1)*100</f>
        <v>0.45415990976012122</v>
      </c>
      <c r="I858" cm="1">
        <f t="array" ref="I858">(PRODUCT(1+sp500_monthly!O859:O978)^(1/120)-1)*100</f>
        <v>8.3944486602693935E-2</v>
      </c>
    </row>
    <row r="859" spans="1:9" x14ac:dyDescent="0.35">
      <c r="A859" s="1">
        <v>35580</v>
      </c>
      <c r="B859" cm="1">
        <f t="array" ref="B859">(PRODUCT(1+sp500_monthly!B860:B979)^(1/120)-1)*100</f>
        <v>0.64449157543848834</v>
      </c>
      <c r="C859" cm="1">
        <f t="array" ref="C859">(PRODUCT(1+sp500_monthly!C860:C979)^(1/120)-1)*100</f>
        <v>0.50850497717349619</v>
      </c>
      <c r="D859" cm="1">
        <f t="array" ref="D859">(PRODUCT(1+sp500_monthly!D860:D979)^(1/120)-1)*100</f>
        <v>0.9866918662616575</v>
      </c>
      <c r="E859" cm="1">
        <f t="array" ref="E859">(PRODUCT(1+sp500_monthly!E860:E979)^(1/120)-1)*100</f>
        <v>0.85065772011567731</v>
      </c>
      <c r="F859" cm="1">
        <f t="array" ref="F859">(PRODUCT(1+sp500_monthly!K860:K979)^(1/120)-1)*100</f>
        <v>0.49305749365611273</v>
      </c>
      <c r="G859" cm="1">
        <f t="array" ref="G859">(PRODUCT(1+sp500_monthly!L860:L979)^(1/120)-1)</f>
        <v>0.28622408439428959</v>
      </c>
      <c r="H859" cm="1">
        <f t="array" ref="H859">(PRODUCT(1+sp500_monthly!N860:N979)^(1/120)-1)*100</f>
        <v>0.42918707528560862</v>
      </c>
      <c r="I859" cm="1">
        <f t="array" ref="I859">(PRODUCT(1+sp500_monthly!O860:O979)^(1/120)-1)*100</f>
        <v>7.9840384382068308E-2</v>
      </c>
    </row>
    <row r="860" spans="1:9" x14ac:dyDescent="0.35">
      <c r="A860" s="1">
        <v>35611</v>
      </c>
      <c r="B860" cm="1">
        <f t="array" ref="B860">(PRODUCT(1+sp500_monthly!B861:B980)^(1/120)-1)*100</f>
        <v>0.59425081061617036</v>
      </c>
      <c r="C860" cm="1">
        <f t="array" ref="C860">(PRODUCT(1+sp500_monthly!C861:C980)^(1/120)-1)*100</f>
        <v>0.45837813225966251</v>
      </c>
      <c r="D860" cm="1">
        <f t="array" ref="D860">(PRODUCT(1+sp500_monthly!D861:D980)^(1/120)-1)*100</f>
        <v>0.93896495764358434</v>
      </c>
      <c r="E860" cm="1">
        <f t="array" ref="E860">(PRODUCT(1+sp500_monthly!E861:E980)^(1/120)-1)*100</f>
        <v>0.8031667939288889</v>
      </c>
      <c r="F860" cm="1">
        <f t="array" ref="F860">(PRODUCT(1+sp500_monthly!K861:K980)^(1/120)-1)*100</f>
        <v>0.44239495151743302</v>
      </c>
      <c r="G860" cm="1">
        <f t="array" ref="G860">(PRODUCT(1+sp500_monthly!L861:L980)^(1/120)-1)</f>
        <v>0.28645628484173091</v>
      </c>
      <c r="H860" cm="1">
        <f t="array" ref="H860">(PRODUCT(1+sp500_monthly!N861:N980)^(1/120)-1)*100</f>
        <v>0.37868601914241573</v>
      </c>
      <c r="I860" cm="1">
        <f t="array" ref="I860">(PRODUCT(1+sp500_monthly!O861:O980)^(1/120)-1)*100</f>
        <v>7.9722950805294346E-2</v>
      </c>
    </row>
    <row r="861" spans="1:9" x14ac:dyDescent="0.35">
      <c r="A861" s="1">
        <v>35642</v>
      </c>
      <c r="B861" cm="1">
        <f t="array" ref="B861">(PRODUCT(1+sp500_monthly!B862:B981)^(1/120)-1)*100</f>
        <v>0.50290727089299381</v>
      </c>
      <c r="C861" cm="1">
        <f t="array" ref="C861">(PRODUCT(1+sp500_monthly!C862:C981)^(1/120)-1)*100</f>
        <v>0.3673129257246277</v>
      </c>
      <c r="D861" cm="1">
        <f t="array" ref="D861">(PRODUCT(1+sp500_monthly!D862:D981)^(1/120)-1)*100</f>
        <v>0.83566391026459463</v>
      </c>
      <c r="E861" cm="1">
        <f t="array" ref="E861">(PRODUCT(1+sp500_monthly!E862:E981)^(1/120)-1)*100</f>
        <v>0.70015896142516798</v>
      </c>
      <c r="F861" cm="1">
        <f t="array" ref="F861">(PRODUCT(1+sp500_monthly!K862:K981)^(1/120)-1)*100</f>
        <v>0.35226646413155649</v>
      </c>
      <c r="G861" cm="1">
        <f t="array" ref="G861">(PRODUCT(1+sp500_monthly!L862:L981)^(1/120)-1)</f>
        <v>0.28622900730988943</v>
      </c>
      <c r="H861" cm="1">
        <f t="array" ref="H861">(PRODUCT(1+sp500_monthly!N862:N981)^(1/120)-1)*100</f>
        <v>0.287094155462575</v>
      </c>
      <c r="I861" cm="1">
        <f t="array" ref="I861">(PRODUCT(1+sp500_monthly!O862:O981)^(1/120)-1)*100</f>
        <v>7.903064186169928E-2</v>
      </c>
    </row>
    <row r="862" spans="1:9" x14ac:dyDescent="0.35">
      <c r="A862" s="1">
        <v>35671</v>
      </c>
      <c r="B862" cm="1">
        <f t="array" ref="B862">(PRODUCT(1+sp500_monthly!B863:B982)^(1/120)-1)*100</f>
        <v>0.56282914450052068</v>
      </c>
      <c r="C862" cm="1">
        <f t="array" ref="C862">(PRODUCT(1+sp500_monthly!C863:C982)^(1/120)-1)*100</f>
        <v>0.4266236253198441</v>
      </c>
      <c r="D862" cm="1">
        <f t="array" ref="D862">(PRODUCT(1+sp500_monthly!D863:D982)^(1/120)-1)*100</f>
        <v>0.86028956136037227</v>
      </c>
      <c r="E862" cm="1">
        <f t="array" ref="E862">(PRODUCT(1+sp500_monthly!E863:E982)^(1/120)-1)*100</f>
        <v>0.72467477227824428</v>
      </c>
      <c r="F862" cm="1">
        <f t="array" ref="F862">(PRODUCT(1+sp500_monthly!K863:K982)^(1/120)-1)*100</f>
        <v>0.41244905567185963</v>
      </c>
      <c r="G862" cm="1">
        <f t="array" ref="G862">(PRODUCT(1+sp500_monthly!L863:L982)^(1/120)-1)</f>
        <v>0.28630475950285561</v>
      </c>
      <c r="H862" cm="1">
        <f t="array" ref="H862">(PRODUCT(1+sp500_monthly!N863:N982)^(1/120)-1)*100</f>
        <v>0.34871237240472475</v>
      </c>
      <c r="I862" cm="1">
        <f t="array" ref="I862">(PRODUCT(1+sp500_monthly!O863:O982)^(1/120)-1)*100</f>
        <v>8.093384189011843E-2</v>
      </c>
    </row>
    <row r="863" spans="1:9" x14ac:dyDescent="0.35">
      <c r="A863" s="1">
        <v>35703</v>
      </c>
      <c r="B863" cm="1">
        <f t="array" ref="B863">(PRODUCT(1+sp500_monthly!B864:B983)^(1/120)-1)*100</f>
        <v>0.54967206670570867</v>
      </c>
      <c r="C863" cm="1">
        <f t="array" ref="C863">(PRODUCT(1+sp500_monthly!C864:C983)^(1/120)-1)*100</f>
        <v>0.41341165226151944</v>
      </c>
      <c r="D863" cm="1">
        <f t="array" ref="D863">(PRODUCT(1+sp500_monthly!D864:D983)^(1/120)-1)*100</f>
        <v>0.83813856952978938</v>
      </c>
      <c r="E863" cm="1">
        <f t="array" ref="E863">(PRODUCT(1+sp500_monthly!E864:E983)^(1/120)-1)*100</f>
        <v>0.70255898292979069</v>
      </c>
      <c r="F863" cm="1">
        <f t="array" ref="F863">(PRODUCT(1+sp500_monthly!K864:K983)^(1/120)-1)*100</f>
        <v>0.3985418997991097</v>
      </c>
      <c r="G863" cm="1">
        <f t="array" ref="G863">(PRODUCT(1+sp500_monthly!L864:L983)^(1/120)-1)</f>
        <v>0.28537240466359326</v>
      </c>
      <c r="H863" cm="1">
        <f t="array" ref="H863">(PRODUCT(1+sp500_monthly!N864:N983)^(1/120)-1)*100</f>
        <v>0.33412500245078025</v>
      </c>
      <c r="I863" cm="1">
        <f t="array" ref="I863">(PRODUCT(1+sp500_monthly!O864:O983)^(1/120)-1)*100</f>
        <v>7.8482235717269866E-2</v>
      </c>
    </row>
    <row r="864" spans="1:9" x14ac:dyDescent="0.35">
      <c r="A864" s="1">
        <v>35734</v>
      </c>
      <c r="B864" cm="1">
        <f t="array" ref="B864">(PRODUCT(1+sp500_monthly!B865:B984)^(1/120)-1)*100</f>
        <v>0.59187778508118516</v>
      </c>
      <c r="C864" cm="1">
        <f t="array" ref="C864">(PRODUCT(1+sp500_monthly!C865:C984)^(1/120)-1)*100</f>
        <v>0.45565499398436682</v>
      </c>
      <c r="D864" cm="1">
        <f t="array" ref="D864">(PRODUCT(1+sp500_monthly!D865:D984)^(1/120)-1)*100</f>
        <v>0.88647852481078537</v>
      </c>
      <c r="E864" cm="1">
        <f t="array" ref="E864">(PRODUCT(1+sp500_monthly!E865:E984)^(1/120)-1)*100</f>
        <v>0.75106362841879104</v>
      </c>
      <c r="F864" cm="1">
        <f t="array" ref="F864">(PRODUCT(1+sp500_monthly!K865:K984)^(1/120)-1)*100</f>
        <v>0.44021562247886781</v>
      </c>
      <c r="G864" cm="1">
        <f t="array" ref="G864">(PRODUCT(1+sp500_monthly!L865:L984)^(1/120)-1)</f>
        <v>0.28459043850603449</v>
      </c>
      <c r="H864" cm="1">
        <f t="array" ref="H864">(PRODUCT(1+sp500_monthly!N865:N984)^(1/120)-1)*100</f>
        <v>0.37522044275415389</v>
      </c>
      <c r="I864" cm="1">
        <f t="array" ref="I864">(PRODUCT(1+sp500_monthly!O865:O984)^(1/120)-1)*100</f>
        <v>7.6634557520938174E-2</v>
      </c>
    </row>
    <row r="865" spans="1:9" x14ac:dyDescent="0.35">
      <c r="A865" s="1">
        <v>35762</v>
      </c>
      <c r="B865" cm="1">
        <f t="array" ref="B865">(PRODUCT(1+sp500_monthly!B866:B985)^(1/120)-1)*100</f>
        <v>0.51852041007798277</v>
      </c>
      <c r="C865" cm="1">
        <f t="array" ref="C865">(PRODUCT(1+sp500_monthly!C866:C985)^(1/120)-1)*100</f>
        <v>0.38183287170918678</v>
      </c>
      <c r="D865" cm="1">
        <f t="array" ref="D865">(PRODUCT(1+sp500_monthly!D866:D985)^(1/120)-1)*100</f>
        <v>0.81761650555305376</v>
      </c>
      <c r="E865" cm="1">
        <f t="array" ref="E865">(PRODUCT(1+sp500_monthly!E866:E985)^(1/120)-1)*100</f>
        <v>0.68212722483240729</v>
      </c>
      <c r="F865" cm="1">
        <f t="array" ref="F865">(PRODUCT(1+sp500_monthly!K866:K985)^(1/120)-1)*100</f>
        <v>0.36603115661908436</v>
      </c>
      <c r="G865" cm="1">
        <f t="array" ref="G865">(PRODUCT(1+sp500_monthly!L866:L985)^(1/120)-1)</f>
        <v>0.28419833288423879</v>
      </c>
      <c r="H865" cm="1">
        <f t="array" ref="H865">(PRODUCT(1+sp500_monthly!N866:N985)^(1/120)-1)*100</f>
        <v>0.29651251384681387</v>
      </c>
      <c r="I865" cm="1">
        <f t="array" ref="I865">(PRODUCT(1+sp500_monthly!O866:O985)^(1/120)-1)*100</f>
        <v>7.0722936946587822E-2</v>
      </c>
    </row>
    <row r="866" spans="1:9" x14ac:dyDescent="0.35">
      <c r="A866" s="1">
        <v>35795</v>
      </c>
      <c r="B866" cm="1">
        <f t="array" ref="B866">(PRODUCT(1+sp500_monthly!B867:B986)^(1/120)-1)*100</f>
        <v>0.49914194839311143</v>
      </c>
      <c r="C866" cm="1">
        <f t="array" ref="C866">(PRODUCT(1+sp500_monthly!C867:C986)^(1/120)-1)*100</f>
        <v>0.36216629651955046</v>
      </c>
      <c r="D866" cm="1">
        <f t="array" ref="D866">(PRODUCT(1+sp500_monthly!D867:D986)^(1/120)-1)*100</f>
        <v>0.79068231834058533</v>
      </c>
      <c r="E866" cm="1">
        <f t="array" ref="E866">(PRODUCT(1+sp500_monthly!E867:E986)^(1/120)-1)*100</f>
        <v>0.65476322378419383</v>
      </c>
      <c r="F866" cm="1">
        <f t="array" ref="F866">(PRODUCT(1+sp500_monthly!K867:K986)^(1/120)-1)*100</f>
        <v>0.34573002216511384</v>
      </c>
      <c r="G866" cm="1">
        <f t="array" ref="G866">(PRODUCT(1+sp500_monthly!L867:L986)^(1/120)-1)</f>
        <v>0.282561754176472</v>
      </c>
      <c r="H866" cm="1">
        <f t="array" ref="H866">(PRODUCT(1+sp500_monthly!N867:N986)^(1/120)-1)*100</f>
        <v>0.27527529268338569</v>
      </c>
      <c r="I866" cm="1">
        <f t="array" ref="I866">(PRODUCT(1+sp500_monthly!O867:O986)^(1/120)-1)*100</f>
        <v>6.7080645282713292E-2</v>
      </c>
    </row>
    <row r="867" spans="1:9" x14ac:dyDescent="0.35">
      <c r="A867" s="1">
        <v>35825</v>
      </c>
      <c r="B867" cm="1">
        <f t="array" ref="B867">(PRODUCT(1+sp500_monthly!B868:B987)^(1/120)-1)*100</f>
        <v>0.43631676563291588</v>
      </c>
      <c r="C867" cm="1">
        <f t="array" ref="C867">(PRODUCT(1+sp500_monthly!C868:C987)^(1/120)-1)*100</f>
        <v>0.2991432602851507</v>
      </c>
      <c r="D867" cm="1">
        <f t="array" ref="D867">(PRODUCT(1+sp500_monthly!D868:D987)^(1/120)-1)*100</f>
        <v>0.75393819788029948</v>
      </c>
      <c r="E867" cm="1">
        <f t="array" ref="E867">(PRODUCT(1+sp500_monthly!E868:E987)^(1/120)-1)*100</f>
        <v>0.61800242608127665</v>
      </c>
      <c r="F867" cm="1">
        <f t="array" ref="F867">(PRODUCT(1+sp500_monthly!K868:K987)^(1/120)-1)*100</f>
        <v>0.28452756465717766</v>
      </c>
      <c r="G867" cm="1">
        <f t="array" ref="G867">(PRODUCT(1+sp500_monthly!L868:L987)^(1/120)-1)</f>
        <v>0.28077751989749289</v>
      </c>
      <c r="H867" cm="1">
        <f t="array" ref="H867">(PRODUCT(1+sp500_monthly!N868:N987)^(1/120)-1)*100</f>
        <v>0.21074746010127932</v>
      </c>
      <c r="I867" cm="1">
        <f t="array" ref="I867">(PRODUCT(1+sp500_monthly!O868:O987)^(1/120)-1)*100</f>
        <v>6.3412063149259623E-2</v>
      </c>
    </row>
    <row r="868" spans="1:9" x14ac:dyDescent="0.35">
      <c r="A868" s="1">
        <v>35853</v>
      </c>
      <c r="B868" cm="1">
        <f t="array" ref="B868">(PRODUCT(1+sp500_monthly!B869:B988)^(1/120)-1)*100</f>
        <v>0.35147708244323006</v>
      </c>
      <c r="C868" cm="1">
        <f t="array" ref="C868">(PRODUCT(1+sp500_monthly!C869:C988)^(1/120)-1)*100</f>
        <v>0.21374526415220974</v>
      </c>
      <c r="D868" cm="1">
        <f t="array" ref="D868">(PRODUCT(1+sp500_monthly!D869:D988)^(1/120)-1)*100</f>
        <v>0.66510026431778613</v>
      </c>
      <c r="E868" cm="1">
        <f t="array" ref="E868">(PRODUCT(1+sp500_monthly!E869:E988)^(1/120)-1)*100</f>
        <v>0.52917391396094526</v>
      </c>
      <c r="F868" cm="1">
        <f t="array" ref="F868">(PRODUCT(1+sp500_monthly!K869:K988)^(1/120)-1)*100</f>
        <v>0.19810474772143927</v>
      </c>
      <c r="G868" cm="1">
        <f t="array" ref="G868">(PRODUCT(1+sp500_monthly!L869:L988)^(1/120)-1)</f>
        <v>0.2785691656099214</v>
      </c>
      <c r="H868" cm="1">
        <f t="array" ref="H868">(PRODUCT(1+sp500_monthly!N869:N988)^(1/120)-1)*100</f>
        <v>0.12408337661125035</v>
      </c>
      <c r="I868" cm="1">
        <f t="array" ref="I868">(PRODUCT(1+sp500_monthly!O869:O988)^(1/120)-1)*100</f>
        <v>5.9236030789655558E-2</v>
      </c>
    </row>
    <row r="869" spans="1:9" x14ac:dyDescent="0.35">
      <c r="A869" s="1">
        <v>35885</v>
      </c>
      <c r="B869" cm="1">
        <f t="array" ref="B869">(PRODUCT(1+sp500_monthly!B870:B989)^(1/120)-1)*100</f>
        <v>0.30677416251181366</v>
      </c>
      <c r="C869" cm="1">
        <f t="array" ref="C869">(PRODUCT(1+sp500_monthly!C870:C989)^(1/120)-1)*100</f>
        <v>0.16869593444084341</v>
      </c>
      <c r="D869" cm="1">
        <f t="array" ref="D869">(PRODUCT(1+sp500_monthly!D870:D989)^(1/120)-1)*100</f>
        <v>0.61329511995891206</v>
      </c>
      <c r="E869" cm="1">
        <f t="array" ref="E869">(PRODUCT(1+sp500_monthly!E870:E989)^(1/120)-1)*100</f>
        <v>0.47698384789454096</v>
      </c>
      <c r="F869" cm="1">
        <f t="array" ref="F869">(PRODUCT(1+sp500_monthly!K870:K989)^(1/120)-1)*100</f>
        <v>0.15242769383003729</v>
      </c>
      <c r="G869" cm="1">
        <f t="array" ref="G869">(PRODUCT(1+sp500_monthly!L870:L989)^(1/120)-1)</f>
        <v>0.27673467073033375</v>
      </c>
      <c r="H869" cm="1">
        <f t="array" ref="H869">(PRODUCT(1+sp500_monthly!N870:N989)^(1/120)-1)*100</f>
        <v>7.6503062690291834E-2</v>
      </c>
      <c r="I869" cm="1">
        <f t="array" ref="I869">(PRODUCT(1+sp500_monthly!O870:O989)^(1/120)-1)*100</f>
        <v>5.4428716921428588E-2</v>
      </c>
    </row>
    <row r="870" spans="1:9" x14ac:dyDescent="0.35">
      <c r="A870" s="1">
        <v>35915</v>
      </c>
      <c r="B870" cm="1">
        <f t="array" ref="B870">(PRODUCT(1+sp500_monthly!B871:B990)^(1/120)-1)*100</f>
        <v>0.33709787674218727</v>
      </c>
      <c r="C870" cm="1">
        <f t="array" ref="C870">(PRODUCT(1+sp500_monthly!C871:C990)^(1/120)-1)*100</f>
        <v>0.19893209285437585</v>
      </c>
      <c r="D870" cm="1">
        <f t="array" ref="D870">(PRODUCT(1+sp500_monthly!D871:D990)^(1/120)-1)*100</f>
        <v>0.65261044765339005</v>
      </c>
      <c r="E870" cm="1">
        <f t="array" ref="E870">(PRODUCT(1+sp500_monthly!E871:E990)^(1/120)-1)*100</f>
        <v>0.51635436217529751</v>
      </c>
      <c r="F870" cm="1">
        <f t="array" ref="F870">(PRODUCT(1+sp500_monthly!K871:K990)^(1/120)-1)*100</f>
        <v>0.18366023986002844</v>
      </c>
      <c r="G870" cm="1">
        <f t="array" ref="G870">(PRODUCT(1+sp500_monthly!L871:L990)^(1/120)-1)</f>
        <v>0.2746918289545206</v>
      </c>
      <c r="H870" cm="1">
        <f t="array" ref="H870">(PRODUCT(1+sp500_monthly!N871:N990)^(1/120)-1)*100</f>
        <v>0.10585795838711221</v>
      </c>
      <c r="I870" cm="1">
        <f t="array" ref="I870">(PRODUCT(1+sp500_monthly!O871:O990)^(1/120)-1)*100</f>
        <v>5.1451891821607809E-2</v>
      </c>
    </row>
    <row r="871" spans="1:9" x14ac:dyDescent="0.35">
      <c r="A871" s="1">
        <v>35944</v>
      </c>
      <c r="B871" cm="1">
        <f t="array" ref="B871">(PRODUCT(1+sp500_monthly!B872:B991)^(1/120)-1)*100</f>
        <v>0.36279955145563925</v>
      </c>
      <c r="C871" cm="1">
        <f t="array" ref="C871">(PRODUCT(1+sp500_monthly!C872:C991)^(1/120)-1)*100</f>
        <v>0.22402162818830895</v>
      </c>
      <c r="D871" cm="1">
        <f t="array" ref="D871">(PRODUCT(1+sp500_monthly!D872:D991)^(1/120)-1)*100</f>
        <v>0.69506204430118679</v>
      </c>
      <c r="E871" cm="1">
        <f t="array" ref="E871">(PRODUCT(1+sp500_monthly!E872:E991)^(1/120)-1)*100</f>
        <v>0.55849948411377248</v>
      </c>
      <c r="F871" cm="1">
        <f t="array" ref="F871">(PRODUCT(1+sp500_monthly!K872:K991)^(1/120)-1)*100</f>
        <v>0.20839438066035942</v>
      </c>
      <c r="G871" cm="1">
        <f t="array" ref="G871">(PRODUCT(1+sp500_monthly!L872:L991)^(1/120)-1)</f>
        <v>0.27287713434234817</v>
      </c>
      <c r="H871" cm="1">
        <f t="array" ref="H871">(PRODUCT(1+sp500_monthly!N872:N991)^(1/120)-1)*100</f>
        <v>0.12863251106229878</v>
      </c>
      <c r="I871" cm="1">
        <f t="array" ref="I871">(PRODUCT(1+sp500_monthly!O872:O991)^(1/120)-1)*100</f>
        <v>4.6757391099561119E-2</v>
      </c>
    </row>
    <row r="872" spans="1:9" x14ac:dyDescent="0.35">
      <c r="A872" s="1">
        <v>35976</v>
      </c>
      <c r="B872" cm="1">
        <f t="array" ref="B872">(PRODUCT(1+sp500_monthly!B873:B992)^(1/120)-1)*100</f>
        <v>0.25694882763507287</v>
      </c>
      <c r="C872" cm="1">
        <f t="array" ref="C872">(PRODUCT(1+sp500_monthly!C873:C992)^(1/120)-1)*100</f>
        <v>0.11768303830212989</v>
      </c>
      <c r="D872" cm="1">
        <f t="array" ref="D872">(PRODUCT(1+sp500_monthly!D873:D992)^(1/120)-1)*100</f>
        <v>0.5991780646779965</v>
      </c>
      <c r="E872" cm="1">
        <f t="array" ref="E872">(PRODUCT(1+sp500_monthly!E873:E992)^(1/120)-1)*100</f>
        <v>0.46229532971706622</v>
      </c>
      <c r="F872" cm="1">
        <f t="array" ref="F872">(PRODUCT(1+sp500_monthly!K873:K992)^(1/120)-1)*100</f>
        <v>0.10109250869041464</v>
      </c>
      <c r="G872" cm="1">
        <f t="array" ref="G872">(PRODUCT(1+sp500_monthly!L873:L992)^(1/120)-1)</f>
        <v>0.27089949726748608</v>
      </c>
      <c r="H872" cm="1">
        <f t="array" ref="H872">(PRODUCT(1+sp500_monthly!N873:N992)^(1/120)-1)*100</f>
        <v>1.5365235905284713E-2</v>
      </c>
      <c r="I872" cm="1">
        <f t="array" ref="I872">(PRODUCT(1+sp500_monthly!O873:O992)^(1/120)-1)*100</f>
        <v>3.7097072825398314E-2</v>
      </c>
    </row>
    <row r="873" spans="1:9" x14ac:dyDescent="0.35">
      <c r="A873" s="1">
        <v>36007</v>
      </c>
      <c r="B873" cm="1">
        <f t="array" ref="B873">(PRODUCT(1+sp500_monthly!B874:B993)^(1/120)-1)*100</f>
        <v>0.25931126292155771</v>
      </c>
      <c r="C873" cm="1">
        <f t="array" ref="C873">(PRODUCT(1+sp500_monthly!C874:C993)^(1/120)-1)*100</f>
        <v>0.11968357587117673</v>
      </c>
      <c r="D873" cm="1">
        <f t="array" ref="D873">(PRODUCT(1+sp500_monthly!D874:D993)^(1/120)-1)*100</f>
        <v>0.63424344370828223</v>
      </c>
      <c r="E873" cm="1">
        <f t="array" ref="E873">(PRODUCT(1+sp500_monthly!E874:E993)^(1/120)-1)*100</f>
        <v>0.49701409054996315</v>
      </c>
      <c r="F873" cm="1">
        <f t="array" ref="F873">(PRODUCT(1+sp500_monthly!K874:K993)^(1/120)-1)*100</f>
        <v>0.10257323107896177</v>
      </c>
      <c r="G873" cm="1">
        <f t="array" ref="G873">(PRODUCT(1+sp500_monthly!L874:L993)^(1/120)-1)</f>
        <v>0.2688178787655322</v>
      </c>
      <c r="H873" cm="1">
        <f t="array" ref="H873">(PRODUCT(1+sp500_monthly!N874:N993)^(1/120)-1)*100</f>
        <v>1.3836301840441934E-2</v>
      </c>
      <c r="I873" cm="1">
        <f t="array" ref="I873">(PRODUCT(1+sp500_monthly!O874:O993)^(1/120)-1)*100</f>
        <v>3.113235402625314E-2</v>
      </c>
    </row>
    <row r="874" spans="1:9" x14ac:dyDescent="0.35">
      <c r="A874" s="1">
        <v>36038</v>
      </c>
      <c r="B874" cm="1">
        <f t="array" ref="B874">(PRODUCT(1+sp500_monthly!B875:B994)^(1/120)-1)*100</f>
        <v>0.40086557175886828</v>
      </c>
      <c r="C874" cm="1">
        <f t="array" ref="C874">(PRODUCT(1+sp500_monthly!C875:C994)^(1/120)-1)*100</f>
        <v>0.26051419405028753</v>
      </c>
      <c r="D874" cm="1">
        <f t="array" ref="D874">(PRODUCT(1+sp500_monthly!D875:D994)^(1/120)-1)*100</f>
        <v>0.79258876571746129</v>
      </c>
      <c r="E874" cm="1">
        <f t="array" ref="E874">(PRODUCT(1+sp500_monthly!E875:E994)^(1/120)-1)*100</f>
        <v>0.65527077694345071</v>
      </c>
      <c r="F874" cm="1">
        <f t="array" ref="F874">(PRODUCT(1+sp500_monthly!K875:K994)^(1/120)-1)*100</f>
        <v>0.24423818468068959</v>
      </c>
      <c r="G874" cm="1">
        <f t="array" ref="G874">(PRODUCT(1+sp500_monthly!L875:L994)^(1/120)-1)</f>
        <v>0.26633072120454293</v>
      </c>
      <c r="H874" cm="1">
        <f t="array" ref="H874">(PRODUCT(1+sp500_monthly!N875:N994)^(1/120)-1)*100</f>
        <v>0.15730949872536648</v>
      </c>
      <c r="I874" cm="1">
        <f t="array" ref="I874">(PRODUCT(1+sp500_monthly!O875:O994)^(1/120)-1)*100</f>
        <v>3.0901198033572719E-2</v>
      </c>
    </row>
    <row r="875" spans="1:9" x14ac:dyDescent="0.35">
      <c r="A875" s="1">
        <v>36068</v>
      </c>
      <c r="B875" cm="1">
        <f t="array" ref="B875">(PRODUCT(1+sp500_monthly!B876:B995)^(1/120)-1)*100</f>
        <v>0.27493952945729649</v>
      </c>
      <c r="C875" cm="1">
        <f t="array" ref="C875">(PRODUCT(1+sp500_monthly!C876:C995)^(1/120)-1)*100</f>
        <v>0.1343303333565693</v>
      </c>
      <c r="D875" cm="1">
        <f t="array" ref="D875">(PRODUCT(1+sp500_monthly!D876:D995)^(1/120)-1)*100</f>
        <v>0.65181053020575419</v>
      </c>
      <c r="E875" cm="1">
        <f t="array" ref="E875">(PRODUCT(1+sp500_monthly!E876:E995)^(1/120)-1)*100</f>
        <v>0.51430125257838633</v>
      </c>
      <c r="F875" cm="1">
        <f t="array" ref="F875">(PRODUCT(1+sp500_monthly!K876:K995)^(1/120)-1)*100</f>
        <v>0.11424977093961175</v>
      </c>
      <c r="G875" cm="1">
        <f t="array" ref="G875">(PRODUCT(1+sp500_monthly!L876:L995)^(1/120)-1)</f>
        <v>0.26381455061385783</v>
      </c>
      <c r="H875" cm="1">
        <f t="array" ref="H875">(PRODUCT(1+sp500_monthly!N876:N995)^(1/120)-1)*100</f>
        <v>3.1486436465533174E-2</v>
      </c>
      <c r="I875" cm="1">
        <f t="array" ref="I875">(PRODUCT(1+sp500_monthly!O876:O995)^(1/120)-1)*100</f>
        <v>2.8122466055702233E-2</v>
      </c>
    </row>
    <row r="876" spans="1:9" x14ac:dyDescent="0.35">
      <c r="A876" s="1">
        <v>36098</v>
      </c>
      <c r="B876" cm="1">
        <f t="array" ref="B876">(PRODUCT(1+sp500_monthly!B877:B996)^(1/120)-1)*100</f>
        <v>5.811127253090298E-2</v>
      </c>
      <c r="C876" cm="1">
        <f t="array" ref="C876">(PRODUCT(1+sp500_monthly!C877:C996)^(1/120)-1)*100</f>
        <v>-8.2923739223716986E-2</v>
      </c>
      <c r="D876" cm="1">
        <f t="array" ref="D876">(PRODUCT(1+sp500_monthly!D877:D996)^(1/120)-1)*100</f>
        <v>0.38564219202481542</v>
      </c>
      <c r="E876" cm="1">
        <f t="array" ref="E876">(PRODUCT(1+sp500_monthly!E877:E996)^(1/120)-1)*100</f>
        <v>0.24807250404168535</v>
      </c>
      <c r="F876" cm="1">
        <f t="array" ref="F876">(PRODUCT(1+sp500_monthly!K877:K996)^(1/120)-1)*100</f>
        <v>-0.10481903194020648</v>
      </c>
      <c r="G876" cm="1">
        <f t="array" ref="G876">(PRODUCT(1+sp500_monthly!L877:L996)^(1/120)-1)</f>
        <v>0.26170289551296722</v>
      </c>
      <c r="H876" cm="1">
        <f t="array" ref="H876">(PRODUCT(1+sp500_monthly!N877:N996)^(1/120)-1)*100</f>
        <v>-0.17559943736819017</v>
      </c>
      <c r="I876" cm="1">
        <f t="array" ref="I876">(PRODUCT(1+sp500_monthly!O877:O996)^(1/120)-1)*100</f>
        <v>3.536134732076146E-2</v>
      </c>
    </row>
    <row r="877" spans="1:9" x14ac:dyDescent="0.35">
      <c r="A877" s="1">
        <v>36129</v>
      </c>
      <c r="B877" cm="1">
        <f t="array" ref="B877">(PRODUCT(1+sp500_monthly!B878:B997)^(1/120)-1)*100</f>
        <v>-5.5775480073450012E-2</v>
      </c>
      <c r="C877" cm="1">
        <f t="array" ref="C877">(PRODUCT(1+sp500_monthly!C878:C997)^(1/120)-1)*100</f>
        <v>-0.19819028731330457</v>
      </c>
      <c r="D877" cm="1">
        <f t="array" ref="D877">(PRODUCT(1+sp500_monthly!D878:D997)^(1/120)-1)*100</f>
        <v>0.25282480549329023</v>
      </c>
      <c r="E877" cm="1">
        <f t="array" ref="E877">(PRODUCT(1+sp500_monthly!E878:E997)^(1/120)-1)*100</f>
        <v>0.11417308152228411</v>
      </c>
      <c r="F877" cm="1">
        <f t="array" ref="F877">(PRODUCT(1+sp500_monthly!K878:K997)^(1/120)-1)*100</f>
        <v>-0.21733943995915217</v>
      </c>
      <c r="G877" cm="1">
        <f t="array" ref="G877">(PRODUCT(1+sp500_monthly!L878:L997)^(1/120)-1)</f>
        <v>0.25917709713113024</v>
      </c>
      <c r="H877" cm="1">
        <f t="array" ref="H877">(PRODUCT(1+sp500_monthly!N878:N997)^(1/120)-1)*100</f>
        <v>-0.27336190741412691</v>
      </c>
      <c r="I877" cm="1">
        <f t="array" ref="I877">(PRODUCT(1+sp500_monthly!O878:O997)^(1/120)-1)*100</f>
        <v>4.8940699174671032E-2</v>
      </c>
    </row>
    <row r="878" spans="1:9" x14ac:dyDescent="0.35">
      <c r="A878" s="1">
        <v>36160</v>
      </c>
      <c r="B878" cm="1">
        <f t="array" ref="B878">(PRODUCT(1+sp500_monthly!B879:B998)^(1/120)-1)*100</f>
        <v>-9.4110678330716624E-2</v>
      </c>
      <c r="C878" cm="1">
        <f t="array" ref="C878">(PRODUCT(1+sp500_monthly!C879:C998)^(1/120)-1)*100</f>
        <v>-0.23778934290131781</v>
      </c>
      <c r="D878" cm="1">
        <f t="array" ref="D878">(PRODUCT(1+sp500_monthly!D879:D998)^(1/120)-1)*100</f>
        <v>0.26485507399571784</v>
      </c>
      <c r="E878" cm="1">
        <f t="array" ref="E878">(PRODUCT(1+sp500_monthly!E879:E998)^(1/120)-1)*100</f>
        <v>0.12475315534672404</v>
      </c>
      <c r="F878" cm="1">
        <f t="array" ref="F878">(PRODUCT(1+sp500_monthly!K879:K998)^(1/120)-1)*100</f>
        <v>-0.25645627673450688</v>
      </c>
      <c r="G878" cm="1">
        <f t="array" ref="G878">(PRODUCT(1+sp500_monthly!L879:L998)^(1/120)-1)</f>
        <v>0.25580196059380267</v>
      </c>
      <c r="H878" cm="1">
        <f t="array" ref="H878">(PRODUCT(1+sp500_monthly!N879:N998)^(1/120)-1)*100</f>
        <v>-0.303227765056302</v>
      </c>
      <c r="I878" cm="1">
        <f t="array" ref="I878">(PRODUCT(1+sp500_monthly!O879:O998)^(1/120)-1)*100</f>
        <v>5.4194483144787142E-2</v>
      </c>
    </row>
    <row r="879" spans="1:9" x14ac:dyDescent="0.35">
      <c r="A879" s="1">
        <v>36189</v>
      </c>
      <c r="B879" cm="1">
        <f t="array" ref="B879">(PRODUCT(1+sp500_monthly!B880:B999)^(1/120)-1)*100</f>
        <v>-0.20073445742098128</v>
      </c>
      <c r="C879" cm="1">
        <f t="array" ref="C879">(PRODUCT(1+sp500_monthly!C880:C999)^(1/120)-1)*100</f>
        <v>-0.34491251204845641</v>
      </c>
      <c r="D879" cm="1">
        <f t="array" ref="D879">(PRODUCT(1+sp500_monthly!D880:D999)^(1/120)-1)*100</f>
        <v>0.18765183674842589</v>
      </c>
      <c r="E879" cm="1">
        <f t="array" ref="E879">(PRODUCT(1+sp500_monthly!E880:E999)^(1/120)-1)*100</f>
        <v>4.7534747791955212E-2</v>
      </c>
      <c r="F879" cm="1">
        <f t="array" ref="F879">(PRODUCT(1+sp500_monthly!K880:K999)^(1/120)-1)*100</f>
        <v>-0.3642373460402859</v>
      </c>
      <c r="G879" cm="1">
        <f t="array" ref="G879">(PRODUCT(1+sp500_monthly!L880:L999)^(1/120)-1)</f>
        <v>0.25266528497693108</v>
      </c>
      <c r="H879" cm="1">
        <f t="array" ref="H879">(PRODUCT(1+sp500_monthly!N880:N999)^(1/120)-1)*100</f>
        <v>-0.41021297574486137</v>
      </c>
      <c r="I879" cm="1">
        <f t="array" ref="I879">(PRODUCT(1+sp500_monthly!O880:O999)^(1/120)-1)*100</f>
        <v>5.0694057480527022E-2</v>
      </c>
    </row>
    <row r="880" spans="1:9" x14ac:dyDescent="0.35">
      <c r="A880" s="1">
        <v>36217</v>
      </c>
      <c r="B880" cm="1">
        <f t="array" ref="B880">(PRODUCT(1+sp500_monthly!B881:B1000)^(1/120)-1)*100</f>
        <v>-0.2646679218432535</v>
      </c>
      <c r="C880" cm="1">
        <f t="array" ref="C880">(PRODUCT(1+sp500_monthly!C881:C1000)^(1/120)-1)*100</f>
        <v>-0.41124480889574988</v>
      </c>
      <c r="D880" cm="1">
        <f t="array" ref="D880">(PRODUCT(1+sp500_monthly!D881:D1000)^(1/120)-1)*100</f>
        <v>0.10019288219096367</v>
      </c>
      <c r="E880" cm="1">
        <f t="array" ref="E880">(PRODUCT(1+sp500_monthly!E881:E1000)^(1/120)-1)*100</f>
        <v>-4.1075269051282781E-2</v>
      </c>
      <c r="F880" cm="1">
        <f t="array" ref="F880">(PRODUCT(1+sp500_monthly!K881:K1000)^(1/120)-1)*100</f>
        <v>-0.43365985818035746</v>
      </c>
      <c r="G880" cm="1">
        <f t="array" ref="G880">(PRODUCT(1+sp500_monthly!L881:L1000)^(1/120)-1)</f>
        <v>0.24964005911998144</v>
      </c>
      <c r="H880" cm="1">
        <f t="array" ref="H880">(PRODUCT(1+sp500_monthly!N881:N1000)^(1/120)-1)*100</f>
        <v>-0.47702787068257813</v>
      </c>
      <c r="I880" cm="1">
        <f t="array" ref="I880">(PRODUCT(1+sp500_monthly!O881:O1000)^(1/120)-1)*100</f>
        <v>4.4832978956899083E-2</v>
      </c>
    </row>
    <row r="881" spans="1:9" x14ac:dyDescent="0.35">
      <c r="A881" s="1">
        <v>36250</v>
      </c>
      <c r="B881" cm="1">
        <f t="array" ref="B881">(PRODUCT(1+sp500_monthly!B882:B1001)^(1/120)-1)*100</f>
        <v>-0.22662311230059462</v>
      </c>
      <c r="C881" cm="1">
        <f t="array" ref="C881">(PRODUCT(1+sp500_monthly!C882:C1001)^(1/120)-1)*100</f>
        <v>-0.37495309739857818</v>
      </c>
      <c r="D881" cm="1">
        <f t="array" ref="D881">(PRODUCT(1+sp500_monthly!D882:D1001)^(1/120)-1)*100</f>
        <v>0.16881336702609939</v>
      </c>
      <c r="E881" cm="1">
        <f t="array" ref="E881">(PRODUCT(1+sp500_monthly!E882:E1001)^(1/120)-1)*100</f>
        <v>2.5957816752297802E-2</v>
      </c>
      <c r="F881" cm="1">
        <f t="array" ref="F881">(PRODUCT(1+sp500_monthly!K882:K1001)^(1/120)-1)*100</f>
        <v>-0.39723451434957591</v>
      </c>
      <c r="G881" cm="1">
        <f t="array" ref="G881">(PRODUCT(1+sp500_monthly!L882:L1001)^(1/120)-1)</f>
        <v>0.24612652314989436</v>
      </c>
      <c r="H881" cm="1">
        <f t="array" ref="H881">(PRODUCT(1+sp500_monthly!N882:N1001)^(1/120)-1)*100</f>
        <v>-0.43774093463787578</v>
      </c>
      <c r="I881" cm="1">
        <f t="array" ref="I881">(PRODUCT(1+sp500_monthly!O882:O1001)^(1/120)-1)*100</f>
        <v>4.2752025903269875E-2</v>
      </c>
    </row>
    <row r="882" spans="1:9" x14ac:dyDescent="0.35">
      <c r="A882" s="1">
        <v>36280</v>
      </c>
      <c r="B882" cm="1">
        <f t="array" ref="B882">(PRODUCT(1+sp500_monthly!B883:B1002)^(1/120)-1)*100</f>
        <v>-0.18239701138148545</v>
      </c>
      <c r="C882" cm="1">
        <f t="array" ref="C882">(PRODUCT(1+sp500_monthly!C883:C1002)^(1/120)-1)*100</f>
        <v>-0.3314378882924518</v>
      </c>
      <c r="D882" cm="1">
        <f t="array" ref="D882">(PRODUCT(1+sp500_monthly!D883:D1002)^(1/120)-1)*100</f>
        <v>0.23319507917864968</v>
      </c>
      <c r="E882" cm="1">
        <f t="array" ref="E882">(PRODUCT(1+sp500_monthly!E883:E1002)^(1/120)-1)*100</f>
        <v>9.0080757916433107E-2</v>
      </c>
      <c r="F882" cm="1">
        <f t="array" ref="F882">(PRODUCT(1+sp500_monthly!K883:K1002)^(1/120)-1)*100</f>
        <v>-0.35362359967143764</v>
      </c>
      <c r="G882" cm="1">
        <f t="array" ref="G882">(PRODUCT(1+sp500_monthly!L883:L1002)^(1/120)-1)</f>
        <v>0.24296475241596371</v>
      </c>
      <c r="H882" cm="1">
        <f t="array" ref="H882">(PRODUCT(1+sp500_monthly!N883:N1002)^(1/120)-1)*100</f>
        <v>-0.38892182070693337</v>
      </c>
      <c r="I882" cm="1">
        <f t="array" ref="I882">(PRODUCT(1+sp500_monthly!O883:O1002)^(1/120)-1)*100</f>
        <v>4.446346117250588E-2</v>
      </c>
    </row>
    <row r="883" spans="1:9" x14ac:dyDescent="0.35">
      <c r="A883" s="1">
        <v>36308</v>
      </c>
      <c r="B883" cm="1">
        <f t="array" ref="B883">(PRODUCT(1+sp500_monthly!B884:B1003)^(1/120)-1)*100</f>
        <v>-0.11863408156100874</v>
      </c>
      <c r="C883" cm="1">
        <f t="array" ref="C883">(PRODUCT(1+sp500_monthly!C884:C1003)^(1/120)-1)*100</f>
        <v>-0.26854782561278601</v>
      </c>
      <c r="D883" cm="1">
        <f t="array" ref="D883">(PRODUCT(1+sp500_monthly!D884:D1003)^(1/120)-1)*100</f>
        <v>0.28476579543037506</v>
      </c>
      <c r="E883" cm="1">
        <f t="array" ref="E883">(PRODUCT(1+sp500_monthly!E884:E1003)^(1/120)-1)*100</f>
        <v>0.14131357893130136</v>
      </c>
      <c r="F883" cm="1">
        <f t="array" ref="F883">(PRODUCT(1+sp500_monthly!K884:K1003)^(1/120)-1)*100</f>
        <v>-0.28965734670087784</v>
      </c>
      <c r="G883" cm="1">
        <f t="array" ref="G883">(PRODUCT(1+sp500_monthly!L884:L1003)^(1/120)-1)</f>
        <v>0.23993696272315757</v>
      </c>
      <c r="H883" cm="1">
        <f t="array" ref="H883">(PRODUCT(1+sp500_monthly!N884:N1003)^(1/120)-1)*100</f>
        <v>-0.32601164703820462</v>
      </c>
      <c r="I883" cm="1">
        <f t="array" ref="I883">(PRODUCT(1+sp500_monthly!O884:O1003)^(1/120)-1)*100</f>
        <v>4.0910233191948642E-2</v>
      </c>
    </row>
    <row r="884" spans="1:9" x14ac:dyDescent="0.35">
      <c r="A884" s="1">
        <v>36341</v>
      </c>
      <c r="B884" cm="1">
        <f t="array" ref="B884">(PRODUCT(1+sp500_monthly!B885:B1004)^(1/120)-1)*100</f>
        <v>-0.16068222945943011</v>
      </c>
      <c r="C884" cm="1">
        <f t="array" ref="C884">(PRODUCT(1+sp500_monthly!C885:C1004)^(1/120)-1)*100</f>
        <v>-0.31120826930627343</v>
      </c>
      <c r="D884" cm="1">
        <f t="array" ref="D884">(PRODUCT(1+sp500_monthly!D885:D1004)^(1/120)-1)*100</f>
        <v>0.24709688506281413</v>
      </c>
      <c r="E884" cm="1">
        <f t="array" ref="E884">(PRODUCT(1+sp500_monthly!E885:E1004)^(1/120)-1)*100</f>
        <v>0.10314539764486597</v>
      </c>
      <c r="F884" cm="1">
        <f t="array" ref="F884">(PRODUCT(1+sp500_monthly!K885:K1004)^(1/120)-1)*100</f>
        <v>-0.33353016604240615</v>
      </c>
      <c r="G884" cm="1">
        <f t="array" ref="G884">(PRODUCT(1+sp500_monthly!L885:L1004)^(1/120)-1)</f>
        <v>0.2365676605967888</v>
      </c>
      <c r="H884" cm="1">
        <f t="array" ref="H884">(PRODUCT(1+sp500_monthly!N885:N1004)^(1/120)-1)*100</f>
        <v>-0.37483471128122448</v>
      </c>
      <c r="I884" cm="1">
        <f t="array" ref="I884">(PRODUCT(1+sp500_monthly!O885:O1004)^(1/120)-1)*100</f>
        <v>3.0775446803033013E-2</v>
      </c>
    </row>
    <row r="885" spans="1:9" x14ac:dyDescent="0.35">
      <c r="A885" s="1">
        <v>36371</v>
      </c>
      <c r="B885" cm="1">
        <f t="array" ref="B885">(PRODUCT(1+sp500_monthly!B886:B1005)^(1/120)-1)*100</f>
        <v>-7.5345794002901201E-2</v>
      </c>
      <c r="C885" cm="1">
        <f t="array" ref="C885">(PRODUCT(1+sp500_monthly!C886:C1005)^(1/120)-1)*100</f>
        <v>-0.22632873037823353</v>
      </c>
      <c r="D885" cm="1">
        <f t="array" ref="D885">(PRODUCT(1+sp500_monthly!D886:D1005)^(1/120)-1)*100</f>
        <v>0.35152603827472984</v>
      </c>
      <c r="E885" cm="1">
        <f t="array" ref="E885">(PRODUCT(1+sp500_monthly!E886:E1005)^(1/120)-1)*100</f>
        <v>0.20752899075495712</v>
      </c>
      <c r="F885" cm="1">
        <f t="array" ref="F885">(PRODUCT(1+sp500_monthly!K886:K1005)^(1/120)-1)*100</f>
        <v>-0.24703787833937341</v>
      </c>
      <c r="G885" cm="1">
        <f t="array" ref="G885">(PRODUCT(1+sp500_monthly!L886:L1005)^(1/120)-1)</f>
        <v>0.23335539195836752</v>
      </c>
      <c r="H885" cm="1">
        <f t="array" ref="H885">(PRODUCT(1+sp500_monthly!N886:N1005)^(1/120)-1)*100</f>
        <v>-0.28593711792278542</v>
      </c>
      <c r="I885" cm="1">
        <f t="array" ref="I885">(PRODUCT(1+sp500_monthly!O886:O1005)^(1/120)-1)*100</f>
        <v>3.1453331004449581E-2</v>
      </c>
    </row>
    <row r="886" spans="1:9" x14ac:dyDescent="0.35">
      <c r="A886" s="1">
        <v>36403</v>
      </c>
      <c r="B886" cm="1">
        <f t="array" ref="B886">(PRODUCT(1+sp500_monthly!B887:B1006)^(1/120)-1)*100</f>
        <v>-4.2717250133006424E-2</v>
      </c>
      <c r="C886" cm="1">
        <f t="array" ref="C886">(PRODUCT(1+sp500_monthly!C887:C1006)^(1/120)-1)*100</f>
        <v>-0.19471513388311656</v>
      </c>
      <c r="D886" cm="1">
        <f t="array" ref="D886">(PRODUCT(1+sp500_monthly!D887:D1006)^(1/120)-1)*100</f>
        <v>0.4173636536573877</v>
      </c>
      <c r="E886" cm="1">
        <f t="array" ref="E886">(PRODUCT(1+sp500_monthly!E887:E1006)^(1/120)-1)*100</f>
        <v>0.27303656290968981</v>
      </c>
      <c r="F886" cm="1">
        <f t="array" ref="F886">(PRODUCT(1+sp500_monthly!K887:K1006)^(1/120)-1)*100</f>
        <v>-0.21437774253347808</v>
      </c>
      <c r="G886" cm="1">
        <f t="array" ref="G886">(PRODUCT(1+sp500_monthly!L887:L1006)^(1/120)-1)</f>
        <v>0.23007745349719144</v>
      </c>
      <c r="H886" cm="1">
        <f t="array" ref="H886">(PRODUCT(1+sp500_monthly!N887:N1006)^(1/120)-1)*100</f>
        <v>-0.25416384935798009</v>
      </c>
      <c r="I886" cm="1">
        <f t="array" ref="I886">(PRODUCT(1+sp500_monthly!O887:O1006)^(1/120)-1)*100</f>
        <v>2.7503305562626146E-2</v>
      </c>
    </row>
    <row r="887" spans="1:9" x14ac:dyDescent="0.35">
      <c r="A887" s="1">
        <v>36433</v>
      </c>
      <c r="B887" cm="1">
        <f t="array" ref="B887">(PRODUCT(1+sp500_monthly!B888:B1007)^(1/120)-1)*100</f>
        <v>1.0910225740756729E-2</v>
      </c>
      <c r="C887" cm="1">
        <f t="array" ref="C887">(PRODUCT(1+sp500_monthly!C888:C1007)^(1/120)-1)*100</f>
        <v>-0.14141012861939029</v>
      </c>
      <c r="D887" cm="1">
        <f t="array" ref="D887">(PRODUCT(1+sp500_monthly!D888:D1007)^(1/120)-1)*100</f>
        <v>0.49387253413111232</v>
      </c>
      <c r="E887" cm="1">
        <f t="array" ref="E887">(PRODUCT(1+sp500_monthly!E888:E1007)^(1/120)-1)*100</f>
        <v>0.34934826351569193</v>
      </c>
      <c r="F887" cm="1">
        <f t="array" ref="F887">(PRODUCT(1+sp500_monthly!K888:K1007)^(1/120)-1)*100</f>
        <v>-0.16108858119150415</v>
      </c>
      <c r="G887" cm="1">
        <f t="array" ref="G887">(PRODUCT(1+sp500_monthly!L888:L1007)^(1/120)-1)</f>
        <v>0.22680822694551472</v>
      </c>
      <c r="H887" cm="1">
        <f t="array" ref="H887">(PRODUCT(1+sp500_monthly!N888:N1007)^(1/120)-1)*100</f>
        <v>-0.19877745146248404</v>
      </c>
      <c r="I887" cm="1">
        <f t="array" ref="I887">(PRODUCT(1+sp500_monthly!O888:O1007)^(1/120)-1)*100</f>
        <v>2.6218721644633014E-2</v>
      </c>
    </row>
    <row r="888" spans="1:9" x14ac:dyDescent="0.35">
      <c r="A888" s="1">
        <v>36462</v>
      </c>
      <c r="B888" cm="1">
        <f t="array" ref="B888">(PRODUCT(1+sp500_monthly!B889:B1008)^(1/120)-1)*100</f>
        <v>-5.6313509856964483E-2</v>
      </c>
      <c r="C888" cm="1">
        <f t="array" ref="C888">(PRODUCT(1+sp500_monthly!C889:C1008)^(1/120)-1)*100</f>
        <v>-0.20898023709006175</v>
      </c>
      <c r="D888" cm="1">
        <f t="array" ref="D888">(PRODUCT(1+sp500_monthly!D889:D1008)^(1/120)-1)*100</f>
        <v>0.43898820422252349</v>
      </c>
      <c r="E888" cm="1">
        <f t="array" ref="E888">(PRODUCT(1+sp500_monthly!E889:E1008)^(1/120)-1)*100</f>
        <v>0.29468419612515007</v>
      </c>
      <c r="F888" cm="1">
        <f t="array" ref="F888">(PRODUCT(1+sp500_monthly!K889:K1008)^(1/120)-1)*100</f>
        <v>-0.22814216652101704</v>
      </c>
      <c r="G888" cm="1">
        <f t="array" ref="G888">(PRODUCT(1+sp500_monthly!L889:L1008)^(1/120)-1)</f>
        <v>0.22344623748621095</v>
      </c>
      <c r="H888" cm="1">
        <f t="array" ref="H888">(PRODUCT(1+sp500_monthly!N889:N1008)^(1/120)-1)*100</f>
        <v>-0.26686687792453201</v>
      </c>
      <c r="I888" cm="1">
        <f t="array" ref="I888">(PRODUCT(1+sp500_monthly!O889:O1008)^(1/120)-1)*100</f>
        <v>2.1964694247222916E-2</v>
      </c>
    </row>
    <row r="889" spans="1:9" x14ac:dyDescent="0.35">
      <c r="A889" s="1">
        <v>36494</v>
      </c>
      <c r="B889" cm="1">
        <f t="array" ref="B889">(PRODUCT(1+sp500_monthly!B890:B1009)^(1/120)-1)*100</f>
        <v>-2.4740355549235371E-2</v>
      </c>
      <c r="C889" cm="1">
        <f t="array" ref="C889">(PRODUCT(1+sp500_monthly!C890:C1009)^(1/120)-1)*100</f>
        <v>-0.17849741082419657</v>
      </c>
      <c r="D889" cm="1">
        <f t="array" ref="D889">(PRODUCT(1+sp500_monthly!D890:D1009)^(1/120)-1)*100</f>
        <v>0.48486759133492541</v>
      </c>
      <c r="E889" cm="1">
        <f t="array" ref="E889">(PRODUCT(1+sp500_monthly!E890:E1009)^(1/120)-1)*100</f>
        <v>0.34004671243050844</v>
      </c>
      <c r="F889" cm="1">
        <f t="array" ref="F889">(PRODUCT(1+sp500_monthly!K890:K1009)^(1/120)-1)*100</f>
        <v>-0.19746057841272258</v>
      </c>
      <c r="G889" cm="1">
        <f t="array" ref="G889">(PRODUCT(1+sp500_monthly!L890:L1009)^(1/120)-1)</f>
        <v>0.22031532548908084</v>
      </c>
      <c r="H889" cm="1">
        <f t="array" ref="H889">(PRODUCT(1+sp500_monthly!N890:N1009)^(1/120)-1)*100</f>
        <v>-0.23665711738807271</v>
      </c>
      <c r="I889" cm="1">
        <f t="array" ref="I889">(PRODUCT(1+sp500_monthly!O890:O1009)^(1/120)-1)*100</f>
        <v>1.7669284311105926E-2</v>
      </c>
    </row>
    <row r="890" spans="1:9" x14ac:dyDescent="0.35">
      <c r="A890" s="1">
        <v>36525</v>
      </c>
      <c r="B890" cm="1">
        <f t="array" ref="B890">(PRODUCT(1+sp500_monthly!B891:B1010)^(1/120)-1)*100</f>
        <v>-5.9637210517926587E-2</v>
      </c>
      <c r="C890" cm="1">
        <f t="array" ref="C890">(PRODUCT(1+sp500_monthly!C891:C1010)^(1/120)-1)*100</f>
        <v>-0.21387111528028413</v>
      </c>
      <c r="D890" cm="1">
        <f t="array" ref="D890">(PRODUCT(1+sp500_monthly!D891:D1010)^(1/120)-1)*100</f>
        <v>0.48808439218865907</v>
      </c>
      <c r="E890" cm="1">
        <f t="array" ref="E890">(PRODUCT(1+sp500_monthly!E891:E1010)^(1/120)-1)*100</f>
        <v>0.34319368907660408</v>
      </c>
      <c r="F890" cm="1">
        <f t="array" ref="F890">(PRODUCT(1+sp500_monthly!K891:K1010)^(1/120)-1)*100</f>
        <v>-0.22957347542631457</v>
      </c>
      <c r="G890" cm="1">
        <f t="array" ref="G890">(PRODUCT(1+sp500_monthly!L891:L1010)^(1/120)-1)</f>
        <v>0.21671367561955823</v>
      </c>
      <c r="H890" cm="1">
        <f t="array" ref="H890">(PRODUCT(1+sp500_monthly!N891:N1010)^(1/120)-1)*100</f>
        <v>-0.26994048139100668</v>
      </c>
      <c r="I890" cm="1">
        <f t="array" ref="I890">(PRODUCT(1+sp500_monthly!O891:O1010)^(1/120)-1)*100</f>
        <v>1.5637350898090041E-2</v>
      </c>
    </row>
    <row r="891" spans="1:9" x14ac:dyDescent="0.35">
      <c r="A891" s="1">
        <v>36556</v>
      </c>
      <c r="B891" cm="1">
        <f t="array" ref="B891">(PRODUCT(1+sp500_monthly!B892:B1011)^(1/120)-1)*100</f>
        <v>-4.7561871697521241E-2</v>
      </c>
      <c r="C891" cm="1">
        <f t="array" ref="C891">(PRODUCT(1+sp500_monthly!C892:C1011)^(1/120)-1)*100</f>
        <v>-0.20212023823861225</v>
      </c>
      <c r="D891" cm="1">
        <f t="array" ref="D891">(PRODUCT(1+sp500_monthly!D892:D1011)^(1/120)-1)*100</f>
        <v>0.51112296610529295</v>
      </c>
      <c r="E891" cm="1">
        <f t="array" ref="E891">(PRODUCT(1+sp500_monthly!E892:E1011)^(1/120)-1)*100</f>
        <v>0.36644395332428026</v>
      </c>
      <c r="F891" cm="1">
        <f t="array" ref="F891">(PRODUCT(1+sp500_monthly!K892:K1011)^(1/120)-1)*100</f>
        <v>-0.21745856670853936</v>
      </c>
      <c r="G891" cm="1">
        <f t="array" ref="G891">(PRODUCT(1+sp500_monthly!L892:L1011)^(1/120)-1)</f>
        <v>0.21323490585123062</v>
      </c>
      <c r="H891" cm="1">
        <f t="array" ref="H891">(PRODUCT(1+sp500_monthly!N892:N1011)^(1/120)-1)*100</f>
        <v>-0.25597117581352968</v>
      </c>
      <c r="I891" cm="1">
        <f t="array" ref="I891">(PRODUCT(1+sp500_monthly!O892:O1011)^(1/120)-1)*100</f>
        <v>1.4151768991954583E-2</v>
      </c>
    </row>
    <row r="892" spans="1:9" x14ac:dyDescent="0.35">
      <c r="A892" s="1">
        <v>36585</v>
      </c>
      <c r="B892" cm="1">
        <f t="array" ref="B892">(PRODUCT(1+sp500_monthly!B893:B1012)^(1/120)-1)*100</f>
        <v>-7.9207421669003075E-3</v>
      </c>
      <c r="C892" cm="1">
        <f t="array" ref="C892">(PRODUCT(1+sp500_monthly!C893:C1012)^(1/120)-1)*100</f>
        <v>-0.16346503192923301</v>
      </c>
      <c r="D892" cm="1">
        <f t="array" ref="D892">(PRODUCT(1+sp500_monthly!D893:D1012)^(1/120)-1)*100</f>
        <v>0.58535997134812057</v>
      </c>
      <c r="E892" cm="1">
        <f t="array" ref="E892">(PRODUCT(1+sp500_monthly!E893:E1012)^(1/120)-1)*100</f>
        <v>0.44066987021653681</v>
      </c>
      <c r="F892" cm="1">
        <f t="array" ref="F892">(PRODUCT(1+sp500_monthly!K893:K1012)^(1/120)-1)*100</f>
        <v>-0.17718156603454549</v>
      </c>
      <c r="G892" cm="1">
        <f t="array" ref="G892">(PRODUCT(1+sp500_monthly!L893:L1012)^(1/120)-1)</f>
        <v>0.20962409707687302</v>
      </c>
      <c r="H892" cm="1">
        <f t="array" ref="H892">(PRODUCT(1+sp500_monthly!N893:N1012)^(1/120)-1)*100</f>
        <v>-0.21218978909715025</v>
      </c>
      <c r="I892" cm="1">
        <f t="array" ref="I892">(PRODUCT(1+sp500_monthly!O893:O1012)^(1/120)-1)*100</f>
        <v>1.4808194337434522E-2</v>
      </c>
    </row>
    <row r="893" spans="1:9" x14ac:dyDescent="0.35">
      <c r="A893" s="1">
        <v>36616</v>
      </c>
      <c r="B893" cm="1">
        <f t="array" ref="B893">(PRODUCT(1+sp500_monthly!B894:B1013)^(1/120)-1)*100</f>
        <v>-3.6838963787577672E-2</v>
      </c>
      <c r="C893" cm="1">
        <f t="array" ref="C893">(PRODUCT(1+sp500_monthly!C894:C1013)^(1/120)-1)*100</f>
        <v>-0.19278019343393904</v>
      </c>
      <c r="D893" cm="1">
        <f t="array" ref="D893">(PRODUCT(1+sp500_monthly!D894:D1013)^(1/120)-1)*100</f>
        <v>0.55543944167908421</v>
      </c>
      <c r="E893" cm="1">
        <f t="array" ref="E893">(PRODUCT(1+sp500_monthly!E894:E1013)^(1/120)-1)*100</f>
        <v>0.410832910168768</v>
      </c>
      <c r="F893" cm="1">
        <f t="array" ref="F893">(PRODUCT(1+sp500_monthly!K894:K1013)^(1/120)-1)*100</f>
        <v>-0.20645155793338477</v>
      </c>
      <c r="G893" cm="1">
        <f t="array" ref="G893">(PRODUCT(1+sp500_monthly!L894:L1013)^(1/120)-1)</f>
        <v>0.20584678608500284</v>
      </c>
      <c r="H893" cm="1">
        <f t="array" ref="H893">(PRODUCT(1+sp500_monthly!N894:N1013)^(1/120)-1)*100</f>
        <v>-0.23644843979970798</v>
      </c>
      <c r="I893" cm="1">
        <f t="array" ref="I893">(PRODUCT(1+sp500_monthly!O894:O1013)^(1/120)-1)*100</f>
        <v>1.5595657129319207E-2</v>
      </c>
    </row>
    <row r="894" spans="1:9" x14ac:dyDescent="0.35">
      <c r="A894" s="1">
        <v>36644</v>
      </c>
      <c r="B894" cm="1">
        <f t="array" ref="B894">(PRODUCT(1+sp500_monthly!B895:B1014)^(1/120)-1)*100</f>
        <v>3.1069726376342643E-3</v>
      </c>
      <c r="C894" cm="1">
        <f t="array" ref="C894">(PRODUCT(1+sp500_monthly!C895:C1014)^(1/120)-1)*100</f>
        <v>-0.15310919568826131</v>
      </c>
      <c r="D894" cm="1">
        <f t="array" ref="D894">(PRODUCT(1+sp500_monthly!D895:D1014)^(1/120)-1)*100</f>
        <v>0.57188264911380848</v>
      </c>
      <c r="E894" cm="1">
        <f t="array" ref="E894">(PRODUCT(1+sp500_monthly!E895:E1014)^(1/120)-1)*100</f>
        <v>0.42754636148274461</v>
      </c>
      <c r="F894" cm="1">
        <f t="array" ref="F894">(PRODUCT(1+sp500_monthly!K895:K1014)^(1/120)-1)*100</f>
        <v>-0.16824717773850084</v>
      </c>
      <c r="G894" cm="1">
        <f t="array" ref="G894">(PRODUCT(1+sp500_monthly!L895:L1014)^(1/120)-1)</f>
        <v>0.20214965054234346</v>
      </c>
      <c r="H894" cm="1">
        <f t="array" ref="H894">(PRODUCT(1+sp500_monthly!N895:N1014)^(1/120)-1)*100</f>
        <v>-0.19726008162513908</v>
      </c>
      <c r="I894" cm="1">
        <f t="array" ref="I894">(PRODUCT(1+sp500_monthly!O895:O1014)^(1/120)-1)*100</f>
        <v>1.1174700629257295E-2</v>
      </c>
    </row>
    <row r="895" spans="1:9" x14ac:dyDescent="0.35">
      <c r="A895" s="1">
        <v>36677</v>
      </c>
      <c r="B895" cm="1">
        <f t="array" ref="B895">(PRODUCT(1+sp500_monthly!B896:B1015)^(1/120)-1)*100</f>
        <v>-4.7669853839626963E-2</v>
      </c>
      <c r="C895" cm="1">
        <f t="array" ref="C895">(PRODUCT(1+sp500_monthly!C896:C1015)^(1/120)-1)*100</f>
        <v>-0.20470397817206054</v>
      </c>
      <c r="D895" cm="1">
        <f t="array" ref="D895">(PRODUCT(1+sp500_monthly!D896:D1015)^(1/120)-1)*100</f>
        <v>0.49409867256715589</v>
      </c>
      <c r="E895" cm="1">
        <f t="array" ref="E895">(PRODUCT(1+sp500_monthly!E896:E1015)^(1/120)-1)*100</f>
        <v>0.35011528835764416</v>
      </c>
      <c r="F895" cm="1">
        <f t="array" ref="F895">(PRODUCT(1+sp500_monthly!K896:K1015)^(1/120)-1)*100</f>
        <v>-0.22095527612377985</v>
      </c>
      <c r="G895" cm="1">
        <f t="array" ref="G895">(PRODUCT(1+sp500_monthly!L896:L1015)^(1/120)-1)</f>
        <v>0.1981939401208721</v>
      </c>
      <c r="H895" cm="1">
        <f t="array" ref="H895">(PRODUCT(1+sp500_monthly!N896:N1015)^(1/120)-1)*100</f>
        <v>-0.24604503395089239</v>
      </c>
      <c r="I895" cm="1">
        <f t="array" ref="I895">(PRODUCT(1+sp500_monthly!O896:O1015)^(1/120)-1)*100</f>
        <v>8.9963428193895467E-3</v>
      </c>
    </row>
    <row r="896" spans="1:9" x14ac:dyDescent="0.35">
      <c r="A896" s="1">
        <v>36707</v>
      </c>
      <c r="B896" cm="1">
        <f t="array" ref="B896">(PRODUCT(1+sp500_monthly!B897:B1016)^(1/120)-1)*100</f>
        <v>-0.11502492845498757</v>
      </c>
      <c r="C896" cm="1">
        <f t="array" ref="C896">(PRODUCT(1+sp500_monthly!C897:C1016)^(1/120)-1)*100</f>
        <v>-0.27276562080800204</v>
      </c>
      <c r="D896" cm="1">
        <f t="array" ref="D896">(PRODUCT(1+sp500_monthly!D897:D1016)^(1/120)-1)*100</f>
        <v>0.45722914852783791</v>
      </c>
      <c r="E896" cm="1">
        <f t="array" ref="E896">(PRODUCT(1+sp500_monthly!E897:E1016)^(1/120)-1)*100</f>
        <v>0.31300631852808625</v>
      </c>
      <c r="F896" cm="1">
        <f t="array" ref="F896">(PRODUCT(1+sp500_monthly!K897:K1016)^(1/120)-1)*100</f>
        <v>-0.28665481187564179</v>
      </c>
      <c r="G896" cm="1">
        <f t="array" ref="G896">(PRODUCT(1+sp500_monthly!L897:L1016)^(1/120)-1)</f>
        <v>0.19493806703085226</v>
      </c>
      <c r="H896" cm="1">
        <f t="array" ref="H896">(PRODUCT(1+sp500_monthly!N897:N1016)^(1/120)-1)*100</f>
        <v>-0.30808008259396447</v>
      </c>
      <c r="I896" cm="1">
        <f t="array" ref="I896">(PRODUCT(1+sp500_monthly!O897:O1016)^(1/120)-1)*100</f>
        <v>1.0955692343639356E-2</v>
      </c>
    </row>
    <row r="897" spans="1:9" x14ac:dyDescent="0.35">
      <c r="A897" s="1">
        <v>36738</v>
      </c>
      <c r="B897" cm="1">
        <f t="array" ref="B897">(PRODUCT(1+sp500_monthly!B898:B1017)^(1/120)-1)*100</f>
        <v>-4.7615113294696698E-2</v>
      </c>
      <c r="C897" cm="1">
        <f t="array" ref="C897">(PRODUCT(1+sp500_monthly!C898:C1017)^(1/120)-1)*100</f>
        <v>-0.20624211619543198</v>
      </c>
      <c r="D897" cm="1">
        <f t="array" ref="D897">(PRODUCT(1+sp500_monthly!D898:D1017)^(1/120)-1)*100</f>
        <v>0.51347748255887726</v>
      </c>
      <c r="E897" cm="1">
        <f t="array" ref="E897">(PRODUCT(1+sp500_monthly!E898:E1017)^(1/120)-1)*100</f>
        <v>0.36824831560711146</v>
      </c>
      <c r="F897" cm="1">
        <f t="array" ref="F897">(PRODUCT(1+sp500_monthly!K898:K1017)^(1/120)-1)*100</f>
        <v>-0.21766927102044864</v>
      </c>
      <c r="G897" cm="1">
        <f t="array" ref="G897">(PRODUCT(1+sp500_monthly!L898:L1017)^(1/120)-1)</f>
        <v>0.19113931815589713</v>
      </c>
      <c r="H897" cm="1">
        <f t="array" ref="H897">(PRODUCT(1+sp500_monthly!N898:N1017)^(1/120)-1)*100</f>
        <v>-0.23994271863658767</v>
      </c>
      <c r="I897" cm="1">
        <f t="array" ref="I897">(PRODUCT(1+sp500_monthly!O898:O1017)^(1/120)-1)*100</f>
        <v>7.9082072388603208E-3</v>
      </c>
    </row>
    <row r="898" spans="1:9" x14ac:dyDescent="0.35">
      <c r="A898" s="1">
        <v>36769</v>
      </c>
      <c r="B898" cm="1">
        <f t="array" ref="B898">(PRODUCT(1+sp500_monthly!B899:B1018)^(1/120)-1)*100</f>
        <v>-0.13687567635942699</v>
      </c>
      <c r="C898" cm="1">
        <f t="array" ref="C898">(PRODUCT(1+sp500_monthly!C899:C1018)^(1/120)-1)*100</f>
        <v>-0.29642588193794506</v>
      </c>
      <c r="D898" cm="1">
        <f t="array" ref="D898">(PRODUCT(1+sp500_monthly!D899:D1018)^(1/120)-1)*100</f>
        <v>0.41216423112655498</v>
      </c>
      <c r="E898" cm="1">
        <f t="array" ref="E898">(PRODUCT(1+sp500_monthly!E899:E1018)^(1/120)-1)*100</f>
        <v>0.2672309366072767</v>
      </c>
      <c r="F898" cm="1">
        <f t="array" ref="F898">(PRODUCT(1+sp500_monthly!K899:K1018)^(1/120)-1)*100</f>
        <v>-0.3070506097268999</v>
      </c>
      <c r="G898" cm="1">
        <f t="array" ref="G898">(PRODUCT(1+sp500_monthly!L899:L1018)^(1/120)-1)</f>
        <v>0.18721983757198823</v>
      </c>
      <c r="H898" cm="1">
        <f t="array" ref="H898">(PRODUCT(1+sp500_monthly!N899:N1018)^(1/120)-1)*100</f>
        <v>-0.33024442974560753</v>
      </c>
      <c r="I898" cm="1">
        <f t="array" ref="I898">(PRODUCT(1+sp500_monthly!O899:O1018)^(1/120)-1)*100</f>
        <v>2.6180594622671194E-3</v>
      </c>
    </row>
    <row r="899" spans="1:9" x14ac:dyDescent="0.35">
      <c r="A899" s="1">
        <v>36798</v>
      </c>
      <c r="B899" cm="1">
        <f t="array" ref="B899">(PRODUCT(1+sp500_monthly!B900:B1019)^(1/120)-1)*100</f>
        <v>-2.0281864040172515E-2</v>
      </c>
      <c r="C899" cm="1">
        <f t="array" ref="C899">(PRODUCT(1+sp500_monthly!C900:C1019)^(1/120)-1)*100</f>
        <v>-0.18064364968880531</v>
      </c>
      <c r="D899" cm="1">
        <f t="array" ref="D899">(PRODUCT(1+sp500_monthly!D900:D1019)^(1/120)-1)*100</f>
        <v>0.50687015359611731</v>
      </c>
      <c r="E899" cm="1">
        <f t="array" ref="E899">(PRODUCT(1+sp500_monthly!E900:E1019)^(1/120)-1)*100</f>
        <v>0.36163976407894705</v>
      </c>
      <c r="F899" cm="1">
        <f t="array" ref="F899">(PRODUCT(1+sp500_monthly!K900:K1019)^(1/120)-1)*100</f>
        <v>-0.1915935961467552</v>
      </c>
      <c r="G899" cm="1">
        <f t="array" ref="G899">(PRODUCT(1+sp500_monthly!L900:L1019)^(1/120)-1)</f>
        <v>0.18324773451130705</v>
      </c>
      <c r="H899" cm="1">
        <f t="array" ref="H899">(PRODUCT(1+sp500_monthly!N900:N1019)^(1/120)-1)*100</f>
        <v>-0.21089616651757126</v>
      </c>
      <c r="I899" cm="1">
        <f t="array" ref="I899">(PRODUCT(1+sp500_monthly!O900:O1019)^(1/120)-1)*100</f>
        <v>1.4487246145389321E-3</v>
      </c>
    </row>
    <row r="900" spans="1:9" x14ac:dyDescent="0.35">
      <c r="A900" s="1">
        <v>36830</v>
      </c>
      <c r="B900" cm="1">
        <f t="array" ref="B900">(PRODUCT(1+sp500_monthly!B901:B1020)^(1/120)-1)*100</f>
        <v>1.482007098503324E-2</v>
      </c>
      <c r="C900" cm="1">
        <f t="array" ref="C900">(PRODUCT(1+sp500_monthly!C901:C1020)^(1/120)-1)*100</f>
        <v>-0.14632423744601608</v>
      </c>
      <c r="D900" cm="1">
        <f t="array" ref="D900">(PRODUCT(1+sp500_monthly!D901:D1020)^(1/120)-1)*100</f>
        <v>0.51896309657448736</v>
      </c>
      <c r="E900" cm="1">
        <f t="array" ref="E900">(PRODUCT(1+sp500_monthly!E901:E1020)^(1/120)-1)*100</f>
        <v>0.37332855039087232</v>
      </c>
      <c r="F900" cm="1">
        <f t="array" ref="F900">(PRODUCT(1+sp500_monthly!K901:K1020)^(1/120)-1)*100</f>
        <v>-0.15735814651753888</v>
      </c>
      <c r="G900" cm="1">
        <f t="array" ref="G900">(PRODUCT(1+sp500_monthly!L901:L1020)^(1/120)-1)</f>
        <v>0.17896882513079415</v>
      </c>
      <c r="H900" cm="1">
        <f t="array" ref="H900">(PRODUCT(1+sp500_monthly!N901:N1020)^(1/120)-1)*100</f>
        <v>-0.17731622996954854</v>
      </c>
      <c r="I900" cm="1">
        <f t="array" ref="I900">(PRODUCT(1+sp500_monthly!O901:O1020)^(1/120)-1)*100</f>
        <v>-4.5791500842384814E-3</v>
      </c>
    </row>
    <row r="901" spans="1:9" x14ac:dyDescent="0.35">
      <c r="A901" s="1">
        <v>36860</v>
      </c>
      <c r="B901" cm="1">
        <f t="array" ref="B901">(PRODUCT(1+sp500_monthly!B902:B1021)^(1/120)-1)*100</f>
        <v>8.2727981012142848E-2</v>
      </c>
      <c r="C901" cm="1">
        <f t="array" ref="C901">(PRODUCT(1+sp500_monthly!C902:C1021)^(1/120)-1)*100</f>
        <v>-7.9461564802818518E-2</v>
      </c>
      <c r="D901" cm="1">
        <f t="array" ref="D901">(PRODUCT(1+sp500_monthly!D902:D1021)^(1/120)-1)*100</f>
        <v>0.56478498665493149</v>
      </c>
      <c r="E901" cm="1">
        <f t="array" ref="E901">(PRODUCT(1+sp500_monthly!E902:E1021)^(1/120)-1)*100</f>
        <v>0.41911648152781478</v>
      </c>
      <c r="F901" cm="1">
        <f t="array" ref="F901">(PRODUCT(1+sp500_monthly!K902:K1021)^(1/120)-1)*100</f>
        <v>-8.9805080819038707E-2</v>
      </c>
      <c r="G901" cm="1">
        <f t="array" ref="G901">(PRODUCT(1+sp500_monthly!L902:L1021)^(1/120)-1)</f>
        <v>0.17502432763290288</v>
      </c>
      <c r="H901" cm="1">
        <f t="array" ref="H901">(PRODUCT(1+sp500_monthly!N902:N1021)^(1/120)-1)*100</f>
        <v>-0.11021053228793543</v>
      </c>
      <c r="I901" cm="1">
        <f t="array" ref="I901">(PRODUCT(1+sp500_monthly!O902:O1021)^(1/120)-1)*100</f>
        <v>-9.4071773022452732E-3</v>
      </c>
    </row>
    <row r="902" spans="1:9" x14ac:dyDescent="0.35">
      <c r="A902" s="1">
        <v>36889</v>
      </c>
      <c r="B902" cm="1">
        <f t="array" ref="B902">(PRODUCT(1+sp500_monthly!B903:B1022)^(1/120)-1)*100</f>
        <v>0.1321125365272513</v>
      </c>
      <c r="C902" cm="1">
        <f t="array" ref="C902">(PRODUCT(1+sp500_monthly!C903:C1022)^(1/120)-1)*100</f>
        <v>-3.0855598283696661E-2</v>
      </c>
      <c r="D902" cm="1">
        <f t="array" ref="D902">(PRODUCT(1+sp500_monthly!D903:D1022)^(1/120)-1)*100</f>
        <v>0.56900332731790737</v>
      </c>
      <c r="E902" cm="1">
        <f t="array" ref="E902">(PRODUCT(1+sp500_monthly!E903:E1022)^(1/120)-1)*100</f>
        <v>0.42258937220640558</v>
      </c>
      <c r="F902" cm="1">
        <f t="array" ref="F902">(PRODUCT(1+sp500_monthly!K903:K1022)^(1/120)-1)*100</f>
        <v>-4.0494194532347816E-2</v>
      </c>
      <c r="G902" cm="1">
        <f t="array" ref="G902">(PRODUCT(1+sp500_monthly!L903:L1022)^(1/120)-1)</f>
        <v>0.17115787392125159</v>
      </c>
      <c r="H902" cm="1">
        <f t="array" ref="H902">(PRODUCT(1+sp500_monthly!N903:N1022)^(1/120)-1)*100</f>
        <v>-6.234942603677851E-2</v>
      </c>
      <c r="I902" cm="1">
        <f t="array" ref="I902">(PRODUCT(1+sp500_monthly!O903:O1022)^(1/120)-1)*100</f>
        <v>-1.4908590832762858E-2</v>
      </c>
    </row>
    <row r="903" spans="1:9" x14ac:dyDescent="0.35">
      <c r="A903" s="1">
        <v>36922</v>
      </c>
      <c r="B903" cm="1">
        <f t="array" ref="B903">(PRODUCT(1+sp500_monthly!B904:B1023)^(1/120)-1)*100</f>
        <v>0.12478773574757795</v>
      </c>
      <c r="C903" cm="1">
        <f t="array" ref="C903">(PRODUCT(1+sp500_monthly!C904:C1023)^(1/120)-1)*100</f>
        <v>-3.8347835243845996E-2</v>
      </c>
      <c r="D903" cm="1">
        <f t="array" ref="D903">(PRODUCT(1+sp500_monthly!D904:D1023)^(1/120)-1)*100</f>
        <v>0.54358145653736756</v>
      </c>
      <c r="E903" cm="1">
        <f t="array" ref="E903">(PRODUCT(1+sp500_monthly!E904:E1023)^(1/120)-1)*100</f>
        <v>0.39722449718135877</v>
      </c>
      <c r="F903" cm="1">
        <f t="array" ref="F903">(PRODUCT(1+sp500_monthly!K904:K1023)^(1/120)-1)*100</f>
        <v>-5.0204167911493958E-2</v>
      </c>
      <c r="G903" cm="1">
        <f t="array" ref="G903">(PRODUCT(1+sp500_monthly!L904:L1023)^(1/120)-1)</f>
        <v>0.16704816843931058</v>
      </c>
      <c r="H903" cm="1">
        <f t="array" ref="H903">(PRODUCT(1+sp500_monthly!N904:N1023)^(1/120)-1)*100</f>
        <v>-6.7600380388921355E-2</v>
      </c>
      <c r="I903" cm="1">
        <f t="array" ref="I903">(PRODUCT(1+sp500_monthly!O904:O1023)^(1/120)-1)*100</f>
        <v>-1.7251742623758393E-2</v>
      </c>
    </row>
    <row r="904" spans="1:9" x14ac:dyDescent="0.35">
      <c r="A904" s="1">
        <v>36950</v>
      </c>
      <c r="B904" cm="1">
        <f t="array" ref="B904">(PRODUCT(1+sp500_monthly!B905:B1024)^(1/120)-1)*100</f>
        <v>0.2311000451218348</v>
      </c>
      <c r="C904" cm="1">
        <f t="array" ref="C904">(PRODUCT(1+sp500_monthly!C905:C1024)^(1/120)-1)*100</f>
        <v>6.7048649150946993E-2</v>
      </c>
      <c r="D904" cm="1">
        <f t="array" ref="D904">(PRODUCT(1+sp500_monthly!D905:D1024)^(1/120)-1)*100</f>
        <v>0.615720227407901</v>
      </c>
      <c r="E904" cm="1">
        <f t="array" ref="E904">(PRODUCT(1+sp500_monthly!E905:E1024)^(1/120)-1)*100</f>
        <v>0.46927148224551463</v>
      </c>
      <c r="F904" cm="1">
        <f t="array" ref="F904">(PRODUCT(1+sp500_monthly!K905:K1024)^(1/120)-1)*100</f>
        <v>5.6706327416478075E-2</v>
      </c>
      <c r="G904" cm="1">
        <f t="array" ref="G904">(PRODUCT(1+sp500_monthly!L905:L1024)^(1/120)-1)</f>
        <v>0.16401649265604146</v>
      </c>
      <c r="H904" cm="1">
        <f t="array" ref="H904">(PRODUCT(1+sp500_monthly!N905:N1024)^(1/120)-1)*100</f>
        <v>3.7729017114496166E-2</v>
      </c>
      <c r="I904" cm="1">
        <f t="array" ref="I904">(PRODUCT(1+sp500_monthly!O905:O1024)^(1/120)-1)*100</f>
        <v>-2.1106677012705521E-2</v>
      </c>
    </row>
    <row r="905" spans="1:9" x14ac:dyDescent="0.35">
      <c r="A905" s="1">
        <v>36980</v>
      </c>
      <c r="B905" cm="1">
        <f t="array" ref="B905">(PRODUCT(1+sp500_monthly!B906:B1025)^(1/120)-1)*100</f>
        <v>0.28661885000831333</v>
      </c>
      <c r="C905" cm="1">
        <f t="array" ref="C905">(PRODUCT(1+sp500_monthly!C906:C1025)^(1/120)-1)*100</f>
        <v>0.12201702847043361</v>
      </c>
      <c r="D905" cm="1">
        <f t="array" ref="D905">(PRODUCT(1+sp500_monthly!D906:D1025)^(1/120)-1)*100</f>
        <v>0.6661139486494605</v>
      </c>
      <c r="E905" cm="1">
        <f t="array" ref="E905">(PRODUCT(1+sp500_monthly!E906:E1025)^(1/120)-1)*100</f>
        <v>0.51932962179550568</v>
      </c>
      <c r="F905" cm="1">
        <f t="array" ref="F905">(PRODUCT(1+sp500_monthly!K906:K1025)^(1/120)-1)*100</f>
        <v>0.11117809177447757</v>
      </c>
      <c r="G905" cm="1">
        <f t="array" ref="G905">(PRODUCT(1+sp500_monthly!L906:L1025)^(1/120)-1)</f>
        <v>0.16071627961870338</v>
      </c>
      <c r="H905" cm="1">
        <f t="array" ref="H905">(PRODUCT(1+sp500_monthly!N906:N1025)^(1/120)-1)*100</f>
        <v>8.9310395437358636E-2</v>
      </c>
      <c r="I905" cm="1">
        <f t="array" ref="I905">(PRODUCT(1+sp500_monthly!O906:O1025)^(1/120)-1)*100</f>
        <v>-2.8341055065772558E-2</v>
      </c>
    </row>
    <row r="906" spans="1:9" x14ac:dyDescent="0.35">
      <c r="A906" s="1">
        <v>37011</v>
      </c>
      <c r="B906" cm="1">
        <f t="array" ref="B906">(PRODUCT(1+sp500_monthly!B907:B1026)^(1/120)-1)*100</f>
        <v>0.24824294736598418</v>
      </c>
      <c r="C906" cm="1">
        <f t="array" ref="C906">(PRODUCT(1+sp500_monthly!C907:C1026)^(1/120)-1)*100</f>
        <v>8.3478804879288937E-2</v>
      </c>
      <c r="D906" cm="1">
        <f t="array" ref="D906">(PRODUCT(1+sp500_monthly!D907:D1026)^(1/120)-1)*100</f>
        <v>0.62402740176754623</v>
      </c>
      <c r="E906" cm="1">
        <f t="array" ref="E906">(PRODUCT(1+sp500_monthly!E907:E1026)^(1/120)-1)*100</f>
        <v>0.47719889809263449</v>
      </c>
      <c r="F906" cm="1">
        <f t="array" ref="F906">(PRODUCT(1+sp500_monthly!K907:K1026)^(1/120)-1)*100</f>
        <v>7.2884455307642426E-2</v>
      </c>
      <c r="G906" cm="1">
        <f t="array" ref="G906">(PRODUCT(1+sp500_monthly!L907:L1026)^(1/120)-1)</f>
        <v>0.15753541091273116</v>
      </c>
      <c r="H906" cm="1">
        <f t="array" ref="H906">(PRODUCT(1+sp500_monthly!N907:N1026)^(1/120)-1)*100</f>
        <v>4.8524602344768297E-2</v>
      </c>
      <c r="I906" cm="1">
        <f t="array" ref="I906">(PRODUCT(1+sp500_monthly!O907:O1026)^(1/120)-1)*100</f>
        <v>-3.4067103324086911E-2</v>
      </c>
    </row>
    <row r="907" spans="1:9" x14ac:dyDescent="0.35">
      <c r="A907" s="1">
        <v>37042</v>
      </c>
      <c r="B907" cm="1">
        <f t="array" ref="B907">(PRODUCT(1+sp500_monthly!B908:B1027)^(1/120)-1)*100</f>
        <v>0.23302887240719272</v>
      </c>
      <c r="C907" cm="1">
        <f t="array" ref="C907">(PRODUCT(1+sp500_monthly!C908:C1027)^(1/120)-1)*100</f>
        <v>6.7649529928348606E-2</v>
      </c>
      <c r="D907" cm="1">
        <f t="array" ref="D907">(PRODUCT(1+sp500_monthly!D908:D1027)^(1/120)-1)*100</f>
        <v>0.60464554478689703</v>
      </c>
      <c r="E907" cm="1">
        <f t="array" ref="E907">(PRODUCT(1+sp500_monthly!E908:E1027)^(1/120)-1)*100</f>
        <v>0.45771756692960519</v>
      </c>
      <c r="F907" cm="1">
        <f t="array" ref="F907">(PRODUCT(1+sp500_monthly!K908:K1027)^(1/120)-1)*100</f>
        <v>5.7315946014413477E-2</v>
      </c>
      <c r="G907" cm="1">
        <f t="array" ref="G907">(PRODUCT(1+sp500_monthly!L908:L1027)^(1/120)-1)</f>
        <v>0.15486043512910386</v>
      </c>
      <c r="H907" cm="1">
        <f t="array" ref="H907">(PRODUCT(1+sp500_monthly!N908:N1027)^(1/120)-1)*100</f>
        <v>3.4935052919049525E-2</v>
      </c>
      <c r="I907" cm="1">
        <f t="array" ref="I907">(PRODUCT(1+sp500_monthly!O908:O1027)^(1/120)-1)*100</f>
        <v>-3.5135471177227817E-2</v>
      </c>
    </row>
    <row r="908" spans="1:9" x14ac:dyDescent="0.35">
      <c r="A908" s="1">
        <v>37071</v>
      </c>
      <c r="B908" cm="1">
        <f t="array" ref="B908">(PRODUCT(1+sp500_monthly!B909:B1028)^(1/120)-1)*100</f>
        <v>0.23981725664934395</v>
      </c>
      <c r="C908" cm="1">
        <f t="array" ref="C908">(PRODUCT(1+sp500_monthly!C909:C1028)^(1/120)-1)*100</f>
        <v>7.3681788385671076E-2</v>
      </c>
      <c r="D908" cm="1">
        <f t="array" ref="D908">(PRODUCT(1+sp500_monthly!D909:D1028)^(1/120)-1)*100</f>
        <v>0.60183408349980816</v>
      </c>
      <c r="E908" cm="1">
        <f t="array" ref="E908">(PRODUCT(1+sp500_monthly!E909:E1028)^(1/120)-1)*100</f>
        <v>0.45438941605964178</v>
      </c>
      <c r="F908" cm="1">
        <f t="array" ref="F908">(PRODUCT(1+sp500_monthly!K909:K1028)^(1/120)-1)*100</f>
        <v>6.3065384794547263E-2</v>
      </c>
      <c r="G908" cm="1">
        <f t="array" ref="G908">(PRODUCT(1+sp500_monthly!L909:L1028)^(1/120)-1)</f>
        <v>0.15248713596101471</v>
      </c>
      <c r="H908" cm="1">
        <f t="array" ref="H908">(PRODUCT(1+sp500_monthly!N909:N1028)^(1/120)-1)*100</f>
        <v>4.358875704977283E-2</v>
      </c>
      <c r="I908" cm="1">
        <f t="array" ref="I908">(PRODUCT(1+sp500_monthly!O909:O1028)^(1/120)-1)*100</f>
        <v>-3.5587448979368386E-2</v>
      </c>
    </row>
    <row r="909" spans="1:9" x14ac:dyDescent="0.35">
      <c r="A909" s="1">
        <v>37103</v>
      </c>
      <c r="B909" cm="1">
        <f t="array" ref="B909">(PRODUCT(1+sp500_monthly!B910:B1029)^(1/120)-1)*100</f>
        <v>0.23090755432275678</v>
      </c>
      <c r="C909" cm="1">
        <f t="array" ref="C909">(PRODUCT(1+sp500_monthly!C910:C1029)^(1/120)-1)*100</f>
        <v>6.4588524237207956E-2</v>
      </c>
      <c r="D909" cm="1">
        <f t="array" ref="D909">(PRODUCT(1+sp500_monthly!D910:D1029)^(1/120)-1)*100</f>
        <v>0.57941082519041842</v>
      </c>
      <c r="E909" cm="1">
        <f t="array" ref="E909">(PRODUCT(1+sp500_monthly!E910:E1029)^(1/120)-1)*100</f>
        <v>0.43194136881696821</v>
      </c>
      <c r="F909" cm="1">
        <f t="array" ref="F909">(PRODUCT(1+sp500_monthly!K910:K1029)^(1/120)-1)*100</f>
        <v>5.3995509948978615E-2</v>
      </c>
      <c r="G909" cm="1">
        <f t="array" ref="G909">(PRODUCT(1+sp500_monthly!L910:L1029)^(1/120)-1)</f>
        <v>0.14997012652142128</v>
      </c>
      <c r="H909" cm="1">
        <f t="array" ref="H909">(PRODUCT(1+sp500_monthly!N910:N1029)^(1/120)-1)*100</f>
        <v>3.1106752405540838E-2</v>
      </c>
      <c r="I909" cm="1">
        <f t="array" ref="I909">(PRODUCT(1+sp500_monthly!O910:O1029)^(1/120)-1)*100</f>
        <v>-4.1669919144338152E-2</v>
      </c>
    </row>
    <row r="910" spans="1:9" x14ac:dyDescent="0.35">
      <c r="A910" s="1">
        <v>37134</v>
      </c>
      <c r="B910" cm="1">
        <f t="array" ref="B910">(PRODUCT(1+sp500_monthly!B911:B1030)^(1/120)-1)*100</f>
        <v>0.23899496648329688</v>
      </c>
      <c r="C910" cm="1">
        <f t="array" ref="C910">(PRODUCT(1+sp500_monthly!C911:C1030)^(1/120)-1)*100</f>
        <v>7.1867717894402716E-2</v>
      </c>
      <c r="D910" cm="1">
        <f t="array" ref="D910">(PRODUCT(1+sp500_monthly!D911:D1030)^(1/120)-1)*100</f>
        <v>0.56186533539672734</v>
      </c>
      <c r="E910" cm="1">
        <f t="array" ref="E910">(PRODUCT(1+sp500_monthly!E911:E1030)^(1/120)-1)*100</f>
        <v>0.41413727687953372</v>
      </c>
      <c r="F910" cm="1">
        <f t="array" ref="F910">(PRODUCT(1+sp500_monthly!K911:K1030)^(1/120)-1)*100</f>
        <v>6.0489063176438762E-2</v>
      </c>
      <c r="G910" cm="1">
        <f t="array" ref="G910">(PRODUCT(1+sp500_monthly!L911:L1030)^(1/120)-1)</f>
        <v>0.14748048741910602</v>
      </c>
      <c r="H910" cm="1">
        <f t="array" ref="H910">(PRODUCT(1+sp500_monthly!N911:N1030)^(1/120)-1)*100</f>
        <v>3.6552468199202437E-2</v>
      </c>
      <c r="I910" cm="1">
        <f t="array" ref="I910">(PRODUCT(1+sp500_monthly!O911:O1030)^(1/120)-1)*100</f>
        <v>-4.6788243683504316E-2</v>
      </c>
    </row>
    <row r="911" spans="1:9" x14ac:dyDescent="0.35">
      <c r="A911" s="1">
        <v>37162</v>
      </c>
      <c r="B911" cm="1">
        <f t="array" ref="B911">(PRODUCT(1+sp500_monthly!B912:B1031)^(1/120)-1)*100</f>
        <v>0.24814005154811802</v>
      </c>
      <c r="C911" cm="1">
        <f t="array" ref="C911">(PRODUCT(1+sp500_monthly!C912:C1031)^(1/120)-1)*100</f>
        <v>8.0549261663498406E-2</v>
      </c>
      <c r="D911" cm="1">
        <f t="array" ref="D911">(PRODUCT(1+sp500_monthly!D912:D1031)^(1/120)-1)*100</f>
        <v>0.59359303094017601</v>
      </c>
      <c r="E911" cm="1">
        <f t="array" ref="E911">(PRODUCT(1+sp500_monthly!E912:E1031)^(1/120)-1)*100</f>
        <v>0.44529439645315527</v>
      </c>
      <c r="F911" cm="1">
        <f t="array" ref="F911">(PRODUCT(1+sp500_monthly!K912:K1031)^(1/120)-1)*100</f>
        <v>6.948580395509385E-2</v>
      </c>
      <c r="G911" cm="1">
        <f t="array" ref="G911">(PRODUCT(1+sp500_monthly!L912:L1031)^(1/120)-1)</f>
        <v>0.14512235443320476</v>
      </c>
      <c r="H911" cm="1">
        <f t="array" ref="H911">(PRODUCT(1+sp500_monthly!N912:N1031)^(1/120)-1)*100</f>
        <v>4.7153873897776144E-2</v>
      </c>
      <c r="I911" cm="1">
        <f t="array" ref="I911">(PRODUCT(1+sp500_monthly!O912:O1031)^(1/120)-1)*100</f>
        <v>-4.7643806478048223E-2</v>
      </c>
    </row>
    <row r="912" spans="1:9" x14ac:dyDescent="0.35">
      <c r="A912" s="1">
        <v>37195</v>
      </c>
      <c r="B912" cm="1">
        <f t="array" ref="B912">(PRODUCT(1+sp500_monthly!B913:B1032)^(1/120)-1)*100</f>
        <v>0.3184384565108056</v>
      </c>
      <c r="C912" cm="1">
        <f t="array" ref="C912">(PRODUCT(1+sp500_monthly!C913:C1032)^(1/120)-1)*100</f>
        <v>0.15044477634293951</v>
      </c>
      <c r="D912" cm="1">
        <f t="array" ref="D912">(PRODUCT(1+sp500_monthly!D913:D1032)^(1/120)-1)*100</f>
        <v>0.66478292133638206</v>
      </c>
      <c r="E912" cm="1">
        <f t="array" ref="E912">(PRODUCT(1+sp500_monthly!E913:E1032)^(1/120)-1)*100</f>
        <v>0.51629439780351838</v>
      </c>
      <c r="F912" cm="1">
        <f t="array" ref="F912">(PRODUCT(1+sp500_monthly!K913:K1032)^(1/120)-1)*100</f>
        <v>0.13986722530781037</v>
      </c>
      <c r="G912" cm="1">
        <f t="array" ref="G912">(PRODUCT(1+sp500_monthly!L913:L1032)^(1/120)-1)</f>
        <v>0.14322635442596021</v>
      </c>
      <c r="H912" cm="1">
        <f t="array" ref="H912">(PRODUCT(1+sp500_monthly!N913:N1032)^(1/120)-1)*100</f>
        <v>0.11440268969364897</v>
      </c>
      <c r="I912" cm="1">
        <f t="array" ref="I912">(PRODUCT(1+sp500_monthly!O913:O1032)^(1/120)-1)*100</f>
        <v>-5.2378040123546299E-2</v>
      </c>
    </row>
    <row r="913" spans="1:9" x14ac:dyDescent="0.35">
      <c r="A913" s="1">
        <v>37225</v>
      </c>
      <c r="B913" cm="1">
        <f t="array" ref="B913">(PRODUCT(1+sp500_monthly!B914:B1033)^(1/120)-1)*100</f>
        <v>0.25277813926267712</v>
      </c>
      <c r="C913" cm="1">
        <f t="array" ref="C913">(PRODUCT(1+sp500_monthly!C914:C1033)^(1/120)-1)*100</f>
        <v>8.3710637943235078E-2</v>
      </c>
      <c r="D913" cm="1">
        <f t="array" ref="D913">(PRODUCT(1+sp500_monthly!D914:D1033)^(1/120)-1)*100</f>
        <v>0.57759620190831473</v>
      </c>
      <c r="E913" cm="1">
        <f t="array" ref="E913">(PRODUCT(1+sp500_monthly!E914:E1033)^(1/120)-1)*100</f>
        <v>0.42841399636728283</v>
      </c>
      <c r="F913" cm="1">
        <f t="array" ref="F913">(PRODUCT(1+sp500_monthly!K914:K1033)^(1/120)-1)*100</f>
        <v>7.5167564569245116E-2</v>
      </c>
      <c r="G913" cm="1">
        <f t="array" ref="G913">(PRODUCT(1+sp500_monthly!L914:L1033)^(1/120)-1)</f>
        <v>0.141731575635476</v>
      </c>
      <c r="H913" cm="1">
        <f t="array" ref="H913">(PRODUCT(1+sp500_monthly!N914:N1033)^(1/120)-1)*100</f>
        <v>4.6867151114704519E-2</v>
      </c>
      <c r="I913" cm="1">
        <f t="array" ref="I913">(PRODUCT(1+sp500_monthly!O914:O1033)^(1/120)-1)*100</f>
        <v>-5.5799457818572762E-2</v>
      </c>
    </row>
    <row r="914" spans="1:9" x14ac:dyDescent="0.35">
      <c r="A914" s="1">
        <v>37256</v>
      </c>
      <c r="B914" cm="1">
        <f t="array" ref="B914">(PRODUCT(1+sp500_monthly!B915:B1034)^(1/120)-1)*100</f>
        <v>0.25308938948465087</v>
      </c>
      <c r="C914" cm="1">
        <f t="array" ref="C914">(PRODUCT(1+sp500_monthly!C915:C1034)^(1/120)-1)*100</f>
        <v>8.3515316864057887E-2</v>
      </c>
      <c r="D914" cm="1">
        <f t="array" ref="D914">(PRODUCT(1+sp500_monthly!D915:D1034)^(1/120)-1)*100</f>
        <v>0.55332501966600667</v>
      </c>
      <c r="E914" cm="1">
        <f t="array" ref="E914">(PRODUCT(1+sp500_monthly!E915:E1034)^(1/120)-1)*100</f>
        <v>0.40355148587190026</v>
      </c>
      <c r="F914" cm="1">
        <f t="array" ref="F914">(PRODUCT(1+sp500_monthly!K915:K1034)^(1/120)-1)*100</f>
        <v>7.5960945685737968E-2</v>
      </c>
      <c r="G914" cm="1">
        <f t="array" ref="G914">(PRODUCT(1+sp500_monthly!L915:L1034)^(1/120)-1)</f>
        <v>0.14040259451744941</v>
      </c>
      <c r="H914" cm="1">
        <f t="array" ref="H914">(PRODUCT(1+sp500_monthly!N915:N1034)^(1/120)-1)*100</f>
        <v>4.6509766551539045E-2</v>
      </c>
      <c r="I914" cm="1">
        <f t="array" ref="I914">(PRODUCT(1+sp500_monthly!O915:O1034)^(1/120)-1)*100</f>
        <v>-5.7715116096801466E-2</v>
      </c>
    </row>
    <row r="915" spans="1:9" x14ac:dyDescent="0.35">
      <c r="A915" s="1">
        <v>37287</v>
      </c>
      <c r="B915" cm="1">
        <f t="array" ref="B915">(PRODUCT(1+sp500_monthly!B916:B1035)^(1/120)-1)*100</f>
        <v>0.30209222032095973</v>
      </c>
      <c r="C915" cm="1">
        <f t="array" ref="C915">(PRODUCT(1+sp500_monthly!C916:C1035)^(1/120)-1)*100</f>
        <v>0.13231869852943223</v>
      </c>
      <c r="D915" cm="1">
        <f t="array" ref="D915">(PRODUCT(1+sp500_monthly!D916:D1035)^(1/120)-1)*100</f>
        <v>0.60143051344196952</v>
      </c>
      <c r="E915" cm="1">
        <f t="array" ref="E915">(PRODUCT(1+sp500_monthly!E916:E1035)^(1/120)-1)*100</f>
        <v>0.45158216634761938</v>
      </c>
      <c r="F915" cm="1">
        <f t="array" ref="F915">(PRODUCT(1+sp500_monthly!K916:K1035)^(1/120)-1)*100</f>
        <v>0.12464016563888958</v>
      </c>
      <c r="G915" cm="1">
        <f t="array" ref="G915">(PRODUCT(1+sp500_monthly!L916:L1035)^(1/120)-1)</f>
        <v>0.13915806600610514</v>
      </c>
      <c r="H915" cm="1">
        <f t="array" ref="H915">(PRODUCT(1+sp500_monthly!N916:N1035)^(1/120)-1)*100</f>
        <v>9.4551784772400893E-2</v>
      </c>
      <c r="I915" cm="1">
        <f t="array" ref="I915">(PRODUCT(1+sp500_monthly!O916:O1035)^(1/120)-1)*100</f>
        <v>-5.9738800105191281E-2</v>
      </c>
    </row>
    <row r="916" spans="1:9" x14ac:dyDescent="0.35">
      <c r="A916" s="1">
        <v>37315</v>
      </c>
      <c r="B916" cm="1">
        <f t="array" ref="B916">(PRODUCT(1+sp500_monthly!B917:B1036)^(1/120)-1)*100</f>
        <v>0.35401308982312418</v>
      </c>
      <c r="C916" cm="1">
        <f t="array" ref="C916">(PRODUCT(1+sp500_monthly!C917:C1036)^(1/120)-1)*100</f>
        <v>0.18334235115151643</v>
      </c>
      <c r="D916" cm="1">
        <f t="array" ref="D916">(PRODUCT(1+sp500_monthly!D917:D1036)^(1/120)-1)*100</f>
        <v>0.64542441990713684</v>
      </c>
      <c r="E916" cm="1">
        <f t="array" ref="E916">(PRODUCT(1+sp500_monthly!E917:E1036)^(1/120)-1)*100</f>
        <v>0.49503626213287522</v>
      </c>
      <c r="F916" cm="1">
        <f t="array" ref="F916">(PRODUCT(1+sp500_monthly!K917:K1036)^(1/120)-1)*100</f>
        <v>0.17535908262722444</v>
      </c>
      <c r="G916" cm="1">
        <f t="array" ref="G916">(PRODUCT(1+sp500_monthly!L917:L1036)^(1/120)-1)</f>
        <v>0.13799844661336569</v>
      </c>
      <c r="H916" cm="1">
        <f t="array" ref="H916">(PRODUCT(1+sp500_monthly!N917:N1036)^(1/120)-1)*100</f>
        <v>0.14599105094124099</v>
      </c>
      <c r="I916" cm="1">
        <f t="array" ref="I916">(PRODUCT(1+sp500_monthly!O917:O1036)^(1/120)-1)*100</f>
        <v>-6.1194174256606892E-2</v>
      </c>
    </row>
    <row r="917" spans="1:9" x14ac:dyDescent="0.35">
      <c r="A917" s="1">
        <v>37343</v>
      </c>
      <c r="B917" cm="1">
        <f t="array" ref="B917">(PRODUCT(1+sp500_monthly!B918:B1037)^(1/120)-1)*100</f>
        <v>0.35021149604064217</v>
      </c>
      <c r="C917" cm="1">
        <f t="array" ref="C917">(PRODUCT(1+sp500_monthly!C918:C1037)^(1/120)-1)*100</f>
        <v>0.17897590789579532</v>
      </c>
      <c r="D917" cm="1">
        <f t="array" ref="D917">(PRODUCT(1+sp500_monthly!D918:D1037)^(1/120)-1)*100</f>
        <v>0.60993181313599987</v>
      </c>
      <c r="E917" cm="1">
        <f t="array" ref="E917">(PRODUCT(1+sp500_monthly!E918:E1037)^(1/120)-1)*100</f>
        <v>0.45896482196587929</v>
      </c>
      <c r="F917" cm="1">
        <f t="array" ref="F917">(PRODUCT(1+sp500_monthly!K918:K1037)^(1/120)-1)*100</f>
        <v>0.17099400361044736</v>
      </c>
      <c r="G917" cm="1">
        <f t="array" ref="G917">(PRODUCT(1+sp500_monthly!L918:L1037)^(1/120)-1)</f>
        <v>0.13684000766886806</v>
      </c>
      <c r="H917" cm="1">
        <f t="array" ref="H917">(PRODUCT(1+sp500_monthly!N918:N1037)^(1/120)-1)*100</f>
        <v>0.14279299231636511</v>
      </c>
      <c r="I917" cm="1">
        <f t="array" ref="I917">(PRODUCT(1+sp500_monthly!O918:O1037)^(1/120)-1)*100</f>
        <v>-6.1681696994742019E-2</v>
      </c>
    </row>
    <row r="918" spans="1:9" x14ac:dyDescent="0.35">
      <c r="A918" s="1">
        <v>37376</v>
      </c>
      <c r="B918" cm="1">
        <f t="array" ref="B918">(PRODUCT(1+sp500_monthly!B919:B1038)^(1/120)-1)*100</f>
        <v>0.39779595517319688</v>
      </c>
      <c r="C918" cm="1">
        <f t="array" ref="C918">(PRODUCT(1+sp500_monthly!C919:C1038)^(1/120)-1)*100</f>
        <v>0.22620183138299943</v>
      </c>
      <c r="D918" cm="1">
        <f t="array" ref="D918">(PRODUCT(1+sp500_monthly!D919:D1038)^(1/120)-1)*100</f>
        <v>0.6344032990242443</v>
      </c>
      <c r="E918" cm="1">
        <f t="array" ref="E918">(PRODUCT(1+sp500_monthly!E919:E1038)^(1/120)-1)*100</f>
        <v>0.48321641902138168</v>
      </c>
      <c r="F918" cm="1">
        <f t="array" ref="F918">(PRODUCT(1+sp500_monthly!K919:K1038)^(1/120)-1)*100</f>
        <v>0.21763429698746783</v>
      </c>
      <c r="G918" cm="1">
        <f t="array" ref="G918">(PRODUCT(1+sp500_monthly!L919:L1038)^(1/120)-1)</f>
        <v>0.13551672035979245</v>
      </c>
      <c r="H918" cm="1">
        <f t="array" ref="H918">(PRODUCT(1+sp500_monthly!N919:N1038)^(1/120)-1)*100</f>
        <v>0.19262722441950597</v>
      </c>
      <c r="I918" cm="1">
        <f t="array" ref="I918">(PRODUCT(1+sp500_monthly!O919:O1038)^(1/120)-1)*100</f>
        <v>-6.058778907699347E-2</v>
      </c>
    </row>
    <row r="919" spans="1:9" x14ac:dyDescent="0.35">
      <c r="A919" s="1">
        <v>37407</v>
      </c>
      <c r="B919" cm="1">
        <f t="array" ref="B919">(PRODUCT(1+sp500_monthly!B920:B1039)^(1/120)-1)*100</f>
        <v>0.35277643113476032</v>
      </c>
      <c r="C919" cm="1">
        <f t="array" ref="C919">(PRODUCT(1+sp500_monthly!C920:C1039)^(1/120)-1)*100</f>
        <v>0.18028850745581693</v>
      </c>
      <c r="D919" cm="1">
        <f t="array" ref="D919">(PRODUCT(1+sp500_monthly!D920:D1039)^(1/120)-1)*100</f>
        <v>0.58322032948234792</v>
      </c>
      <c r="E919" cm="1">
        <f t="array" ref="E919">(PRODUCT(1+sp500_monthly!E920:E1039)^(1/120)-1)*100</f>
        <v>0.43144605435181393</v>
      </c>
      <c r="F919" cm="1">
        <f t="array" ref="F919">(PRODUCT(1+sp500_monthly!K920:K1039)^(1/120)-1)*100</f>
        <v>0.17122998369858422</v>
      </c>
      <c r="G919" cm="1">
        <f t="array" ref="G919">(PRODUCT(1+sp500_monthly!L920:L1039)^(1/120)-1)</f>
        <v>0.1343715813718156</v>
      </c>
      <c r="H919" cm="1">
        <f t="array" ref="H919">(PRODUCT(1+sp500_monthly!N920:N1039)^(1/120)-1)*100</f>
        <v>0.15035794695941185</v>
      </c>
      <c r="I919" cm="1">
        <f t="array" ref="I919">(PRODUCT(1+sp500_monthly!O920:O1039)^(1/120)-1)*100</f>
        <v>-5.901695972059251E-2</v>
      </c>
    </row>
    <row r="920" spans="1:9" x14ac:dyDescent="0.35">
      <c r="A920" s="1">
        <v>37435</v>
      </c>
      <c r="B920" cm="1">
        <f t="array" ref="B920">(PRODUCT(1+sp500_monthly!B921:B1040)^(1/120)-1)*100</f>
        <v>0.44870151481224418</v>
      </c>
      <c r="C920" cm="1">
        <f t="array" ref="C920">(PRODUCT(1+sp500_monthly!C921:C1040)^(1/120)-1)*100</f>
        <v>0.27591879265993491</v>
      </c>
      <c r="D920" cm="1">
        <f t="array" ref="D920">(PRODUCT(1+sp500_monthly!D921:D1040)^(1/120)-1)*100</f>
        <v>0.6852780790168822</v>
      </c>
      <c r="E920" cm="1">
        <f t="array" ref="E920">(PRODUCT(1+sp500_monthly!E921:E1040)^(1/120)-1)*100</f>
        <v>0.5329606882202631</v>
      </c>
      <c r="F920" cm="1">
        <f t="array" ref="F920">(PRODUCT(1+sp500_monthly!K921:K1040)^(1/120)-1)*100</f>
        <v>0.26645247953815954</v>
      </c>
      <c r="G920" cm="1">
        <f t="array" ref="G920">(PRODUCT(1+sp500_monthly!L921:L1040)^(1/120)-1)</f>
        <v>0.13321683443757926</v>
      </c>
      <c r="H920" cm="1">
        <f t="array" ref="H920">(PRODUCT(1+sp500_monthly!N921:N1040)^(1/120)-1)*100</f>
        <v>0.24724543124725606</v>
      </c>
      <c r="I920" cm="1">
        <f t="array" ref="I920">(PRODUCT(1+sp500_monthly!O921:O1040)^(1/120)-1)*100</f>
        <v>-5.8946587080688229E-2</v>
      </c>
    </row>
    <row r="921" spans="1:9" x14ac:dyDescent="0.35">
      <c r="A921" s="1">
        <v>37468</v>
      </c>
      <c r="B921" cm="1">
        <f t="array" ref="B921">(PRODUCT(1+sp500_monthly!B922:B1041)^(1/120)-1)*100</f>
        <v>0.52501109150970837</v>
      </c>
      <c r="C921" cm="1">
        <f t="array" ref="C921">(PRODUCT(1+sp500_monthly!C922:C1041)^(1/120)-1)*100</f>
        <v>0.35203413649766979</v>
      </c>
      <c r="D921" cm="1">
        <f t="array" ref="D921">(PRODUCT(1+sp500_monthly!D922:D1041)^(1/120)-1)*100</f>
        <v>0.78101599658257914</v>
      </c>
      <c r="E921" cm="1">
        <f t="array" ref="E921">(PRODUCT(1+sp500_monthly!E922:E1041)^(1/120)-1)*100</f>
        <v>0.62861566476042352</v>
      </c>
      <c r="F921" cm="1">
        <f t="array" ref="F921">(PRODUCT(1+sp500_monthly!K922:K1041)^(1/120)-1)*100</f>
        <v>0.34570189907041637</v>
      </c>
      <c r="G921" cm="1">
        <f t="array" ref="G921">(PRODUCT(1+sp500_monthly!L922:L1041)^(1/120)-1)</f>
        <v>0.13189776451980162</v>
      </c>
      <c r="H921" cm="1">
        <f t="array" ref="H921">(PRODUCT(1+sp500_monthly!N922:N1041)^(1/120)-1)*100</f>
        <v>0.32502046710507493</v>
      </c>
      <c r="I921" cm="1">
        <f t="array" ref="I921">(PRODUCT(1+sp500_monthly!O922:O1041)^(1/120)-1)*100</f>
        <v>-5.858259221664941E-2</v>
      </c>
    </row>
    <row r="922" spans="1:9" x14ac:dyDescent="0.35">
      <c r="A922" s="1">
        <v>37498</v>
      </c>
      <c r="B922" cm="1">
        <f t="array" ref="B922">(PRODUCT(1+sp500_monthly!B923:B1042)^(1/120)-1)*100</f>
        <v>0.53795705296009189</v>
      </c>
      <c r="C922" cm="1">
        <f t="array" ref="C922">(PRODUCT(1+sp500_monthly!C923:C1042)^(1/120)-1)*100</f>
        <v>0.36403977962951029</v>
      </c>
      <c r="D922" cm="1">
        <f t="array" ref="D922">(PRODUCT(1+sp500_monthly!D923:D1042)^(1/120)-1)*100</f>
        <v>0.79626768133871373</v>
      </c>
      <c r="E922" cm="1">
        <f t="array" ref="E922">(PRODUCT(1+sp500_monthly!E923:E1042)^(1/120)-1)*100</f>
        <v>0.64320768556627161</v>
      </c>
      <c r="F922" cm="1">
        <f t="array" ref="F922">(PRODUCT(1+sp500_monthly!K923:K1042)^(1/120)-1)*100</f>
        <v>0.35799593784788808</v>
      </c>
      <c r="G922" cm="1">
        <f t="array" ref="G922">(PRODUCT(1+sp500_monthly!L923:L1042)^(1/120)-1)</f>
        <v>0.13075627515437449</v>
      </c>
      <c r="H922" cm="1">
        <f t="array" ref="H922">(PRODUCT(1+sp500_monthly!N923:N1042)^(1/120)-1)*100</f>
        <v>0.33541654432942547</v>
      </c>
      <c r="I922" cm="1">
        <f t="array" ref="I922">(PRODUCT(1+sp500_monthly!O923:O1042)^(1/120)-1)*100</f>
        <v>-6.2178600258144812E-2</v>
      </c>
    </row>
    <row r="923" spans="1:9" x14ac:dyDescent="0.35">
      <c r="A923" s="1">
        <v>37529</v>
      </c>
      <c r="B923" cm="1">
        <f t="array" ref="B923">(PRODUCT(1+sp500_monthly!B924:B1043)^(1/120)-1)*100</f>
        <v>0.65547181562577439</v>
      </c>
      <c r="C923" cm="1">
        <f t="array" ref="C923">(PRODUCT(1+sp500_monthly!C924:C1043)^(1/120)-1)*100</f>
        <v>0.48143478953319718</v>
      </c>
      <c r="D923" cm="1">
        <f t="array" ref="D923">(PRODUCT(1+sp500_monthly!D924:D1043)^(1/120)-1)*100</f>
        <v>0.91918143118487894</v>
      </c>
      <c r="E923" cm="1">
        <f t="array" ref="E923">(PRODUCT(1+sp500_monthly!E924:E1043)^(1/120)-1)*100</f>
        <v>0.76573716020700289</v>
      </c>
      <c r="F923" cm="1">
        <f t="array" ref="F923">(PRODUCT(1+sp500_monthly!K924:K1043)^(1/120)-1)*100</f>
        <v>0.47556338119627561</v>
      </c>
      <c r="G923" cm="1">
        <f t="array" ref="G923">(PRODUCT(1+sp500_monthly!L924:L1043)^(1/120)-1)</f>
        <v>0.12961593695119178</v>
      </c>
      <c r="H923" cm="1">
        <f t="array" ref="H923">(PRODUCT(1+sp500_monthly!N924:N1043)^(1/120)-1)*100</f>
        <v>0.4501001992225806</v>
      </c>
      <c r="I923" cm="1">
        <f t="array" ref="I923">(PRODUCT(1+sp500_monthly!O924:O1043)^(1/120)-1)*100</f>
        <v>-6.5841483802442369E-2</v>
      </c>
    </row>
    <row r="924" spans="1:9" x14ac:dyDescent="0.35">
      <c r="A924" s="1">
        <v>37560</v>
      </c>
      <c r="B924" cm="1">
        <f t="array" ref="B924">(PRODUCT(1+sp500_monthly!B925:B1044)^(1/120)-1)*100</f>
        <v>0.5692055063349688</v>
      </c>
      <c r="C924" cm="1">
        <f t="array" ref="C924">(PRODUCT(1+sp500_monthly!C925:C1044)^(1/120)-1)*100</f>
        <v>0.3952832879927648</v>
      </c>
      <c r="D924" cm="1">
        <f t="array" ref="D924">(PRODUCT(1+sp500_monthly!D925:D1044)^(1/120)-1)*100</f>
        <v>0.85350188013999517</v>
      </c>
      <c r="E924" cm="1">
        <f t="array" ref="E924">(PRODUCT(1+sp500_monthly!E925:E1044)^(1/120)-1)*100</f>
        <v>0.70005327441859944</v>
      </c>
      <c r="F924" cm="1">
        <f t="array" ref="F924">(PRODUCT(1+sp500_monthly!K925:K1044)^(1/120)-1)*100</f>
        <v>0.38945084868262647</v>
      </c>
      <c r="G924" cm="1">
        <f t="array" ref="G924">(PRODUCT(1+sp500_monthly!L925:L1044)^(1/120)-1)</f>
        <v>0.12847674874933701</v>
      </c>
      <c r="H924" cm="1">
        <f t="array" ref="H924">(PRODUCT(1+sp500_monthly!N925:N1044)^(1/120)-1)*100</f>
        <v>0.36360575515419491</v>
      </c>
      <c r="I924" cm="1">
        <f t="array" ref="I924">(PRODUCT(1+sp500_monthly!O925:O1044)^(1/120)-1)*100</f>
        <v>-6.7325699080933443E-2</v>
      </c>
    </row>
    <row r="925" spans="1:9" x14ac:dyDescent="0.35">
      <c r="A925" s="1">
        <v>37589</v>
      </c>
      <c r="B925" cm="1">
        <f t="array" ref="B925">(PRODUCT(1+sp500_monthly!B926:B1045)^(1/120)-1)*100</f>
        <v>0.52560887110395527</v>
      </c>
      <c r="C925" cm="1">
        <f t="array" ref="C925">(PRODUCT(1+sp500_monthly!C926:C1045)^(1/120)-1)*100</f>
        <v>0.35048732541589356</v>
      </c>
      <c r="D925" cm="1">
        <f t="array" ref="D925">(PRODUCT(1+sp500_monthly!D926:D1045)^(1/120)-1)*100</f>
        <v>0.77701813195856229</v>
      </c>
      <c r="E925" cm="1">
        <f t="array" ref="E925">(PRODUCT(1+sp500_monthly!E926:E1045)^(1/120)-1)*100</f>
        <v>0.62267170103824654</v>
      </c>
      <c r="F925" cm="1">
        <f t="array" ref="F925">(PRODUCT(1+sp500_monthly!K926:K1045)^(1/120)-1)*100</f>
        <v>0.3454079695762724</v>
      </c>
      <c r="G925" cm="1">
        <f t="array" ref="G925">(PRODUCT(1+sp500_monthly!L926:L1045)^(1/120)-1)</f>
        <v>0.12750500013911137</v>
      </c>
      <c r="H925" cm="1">
        <f t="array" ref="H925">(PRODUCT(1+sp500_monthly!N926:N1045)^(1/120)-1)*100</f>
        <v>0.32288636225494827</v>
      </c>
      <c r="I925" cm="1">
        <f t="array" ref="I925">(PRODUCT(1+sp500_monthly!O926:O1045)^(1/120)-1)*100</f>
        <v>-6.5463827175271661E-2</v>
      </c>
    </row>
    <row r="926" spans="1:9" x14ac:dyDescent="0.35">
      <c r="A926" s="1">
        <v>37621</v>
      </c>
      <c r="B926" cm="1">
        <f t="array" ref="B926">(PRODUCT(1+sp500_monthly!B927:B1046)^(1/120)-1)*100</f>
        <v>0.58351803967169324</v>
      </c>
      <c r="C926" cm="1">
        <f t="array" ref="C926">(PRODUCT(1+sp500_monthly!C927:C1046)^(1/120)-1)*100</f>
        <v>0.40758107325624682</v>
      </c>
      <c r="D926" cm="1">
        <f t="array" ref="D926">(PRODUCT(1+sp500_monthly!D927:D1046)^(1/120)-1)*100</f>
        <v>0.84162014907307459</v>
      </c>
      <c r="E926" cm="1">
        <f t="array" ref="E926">(PRODUCT(1+sp500_monthly!E927:E1046)^(1/120)-1)*100</f>
        <v>0.6861173737066073</v>
      </c>
      <c r="F926" cm="1">
        <f t="array" ref="F926">(PRODUCT(1+sp500_monthly!K927:K1046)^(1/120)-1)*100</f>
        <v>0.40335147139016758</v>
      </c>
      <c r="G926" cm="1">
        <f t="array" ref="G926">(PRODUCT(1+sp500_monthly!L927:L1046)^(1/120)-1)</f>
        <v>0.1266182874001176</v>
      </c>
      <c r="H926" cm="1">
        <f t="array" ref="H926">(PRODUCT(1+sp500_monthly!N927:N1046)^(1/120)-1)*100</f>
        <v>0.38216156479227159</v>
      </c>
      <c r="I926" cm="1">
        <f t="array" ref="I926">(PRODUCT(1+sp500_monthly!O927:O1046)^(1/120)-1)*100</f>
        <v>-6.4819899805701464E-2</v>
      </c>
    </row>
    <row r="927" spans="1:9" x14ac:dyDescent="0.35">
      <c r="A927" s="1">
        <v>37652</v>
      </c>
      <c r="B927" cm="1">
        <f t="array" ref="B927">(PRODUCT(1+sp500_monthly!B928:B1047)^(1/120)-1)*100</f>
        <v>0.64889745918321751</v>
      </c>
      <c r="C927" cm="1">
        <f t="array" ref="C927">(PRODUCT(1+sp500_monthly!C928:C1047)^(1/120)-1)*100</f>
        <v>0.47288427945846312</v>
      </c>
      <c r="D927" cm="1">
        <f t="array" ref="D927">(PRODUCT(1+sp500_monthly!D928:D1047)^(1/120)-1)*100</f>
        <v>0.91666865502229022</v>
      </c>
      <c r="E927" cm="1">
        <f t="array" ref="E927">(PRODUCT(1+sp500_monthly!E928:E1047)^(1/120)-1)*100</f>
        <v>0.76114523924160071</v>
      </c>
      <c r="F927" cm="1">
        <f t="array" ref="F927">(PRODUCT(1+sp500_monthly!K928:K1047)^(1/120)-1)*100</f>
        <v>0.46779386521575983</v>
      </c>
      <c r="G927" cm="1">
        <f t="array" ref="G927">(PRODUCT(1+sp500_monthly!L928:L1047)^(1/120)-1)</f>
        <v>0.12572382439857099</v>
      </c>
      <c r="H927" cm="1">
        <f t="array" ref="H927">(PRODUCT(1+sp500_monthly!N928:N1047)^(1/120)-1)*100</f>
        <v>0.44942907927687514</v>
      </c>
      <c r="I927" cm="1">
        <f t="array" ref="I927">(PRODUCT(1+sp500_monthly!O928:O1047)^(1/120)-1)*100</f>
        <v>-6.3643608912000715E-2</v>
      </c>
    </row>
    <row r="928" spans="1:9" x14ac:dyDescent="0.35">
      <c r="A928" s="1">
        <v>37680</v>
      </c>
      <c r="B928" cm="1">
        <f t="array" ref="B928">(PRODUCT(1+sp500_monthly!B929:B1048)^(1/120)-1)*100</f>
        <v>0.67263030906898891</v>
      </c>
      <c r="C928" cm="1">
        <f t="array" ref="C928">(PRODUCT(1+sp500_monthly!C929:C1048)^(1/120)-1)*100</f>
        <v>0.49618933951269817</v>
      </c>
      <c r="D928" cm="1">
        <f t="array" ref="D928">(PRODUCT(1+sp500_monthly!D929:D1048)^(1/120)-1)*100</f>
        <v>0.94566130832312023</v>
      </c>
      <c r="E928" cm="1">
        <f t="array" ref="E928">(PRODUCT(1+sp500_monthly!E929:E1048)^(1/120)-1)*100</f>
        <v>0.78994177830191692</v>
      </c>
      <c r="F928" cm="1">
        <f t="array" ref="F928">(PRODUCT(1+sp500_monthly!K929:K1048)^(1/120)-1)*100</f>
        <v>0.49136512058718385</v>
      </c>
      <c r="G928" cm="1">
        <f t="array" ref="G928">(PRODUCT(1+sp500_monthly!L929:L1048)^(1/120)-1)</f>
        <v>0.12491567890220523</v>
      </c>
      <c r="H928" cm="1">
        <f t="array" ref="H928">(PRODUCT(1+sp500_monthly!N929:N1048)^(1/120)-1)*100</f>
        <v>0.47315363742443939</v>
      </c>
      <c r="I928" cm="1">
        <f t="array" ref="I928">(PRODUCT(1+sp500_monthly!O929:O1048)^(1/120)-1)*100</f>
        <v>-6.435425636918124E-2</v>
      </c>
    </row>
    <row r="929" spans="1:9" x14ac:dyDescent="0.35">
      <c r="A929" s="1">
        <v>37711</v>
      </c>
      <c r="B929" cm="1">
        <f t="array" ref="B929">(PRODUCT(1+sp500_monthly!B930:B1049)^(1/120)-1)*100</f>
        <v>0.6949818612457026</v>
      </c>
      <c r="C929" cm="1">
        <f t="array" ref="C929">(PRODUCT(1+sp500_monthly!C930:C1049)^(1/120)-1)*100</f>
        <v>0.51835474385744096</v>
      </c>
      <c r="D929" cm="1">
        <f t="array" ref="D929">(PRODUCT(1+sp500_monthly!D930:D1049)^(1/120)-1)*100</f>
        <v>0.97675496271305562</v>
      </c>
      <c r="E929" cm="1">
        <f t="array" ref="E929">(PRODUCT(1+sp500_monthly!E930:E1049)^(1/120)-1)*100</f>
        <v>0.8206787887004019</v>
      </c>
      <c r="F929" cm="1">
        <f t="array" ref="F929">(PRODUCT(1+sp500_monthly!K930:K1049)^(1/120)-1)*100</f>
        <v>0.51400527280867081</v>
      </c>
      <c r="G929" cm="1">
        <f t="array" ref="G929">(PRODUCT(1+sp500_monthly!L930:L1049)^(1/120)-1)</f>
        <v>0.12402256766311837</v>
      </c>
      <c r="H929" cm="1">
        <f t="array" ref="H929">(PRODUCT(1+sp500_monthly!N930:N1049)^(1/120)-1)*100</f>
        <v>0.49918644887083641</v>
      </c>
      <c r="I929" cm="1">
        <f t="array" ref="I929">(PRODUCT(1+sp500_monthly!O930:O1049)^(1/120)-1)*100</f>
        <v>-6.1481870536095329E-2</v>
      </c>
    </row>
    <row r="930" spans="1:9" x14ac:dyDescent="0.35">
      <c r="A930" s="1">
        <v>37741</v>
      </c>
      <c r="B930" cm="1">
        <f t="array" ref="B930">(PRODUCT(1+sp500_monthly!B931:B1050)^(1/120)-1)*100</f>
        <v>0.64456704576449919</v>
      </c>
      <c r="C930" cm="1">
        <f t="array" ref="C930">(PRODUCT(1+sp500_monthly!C931:C1050)^(1/120)-1)*100</f>
        <v>0.46810767211546978</v>
      </c>
      <c r="D930" cm="1">
        <f t="array" ref="D930">(PRODUCT(1+sp500_monthly!D931:D1050)^(1/120)-1)*100</f>
        <v>0.90703721987834829</v>
      </c>
      <c r="E930" cm="1">
        <f t="array" ref="E930">(PRODUCT(1+sp500_monthly!E931:E1050)^(1/120)-1)*100</f>
        <v>0.75128192297020391</v>
      </c>
      <c r="F930" cm="1">
        <f t="array" ref="F930">(PRODUCT(1+sp500_monthly!K931:K1050)^(1/120)-1)*100</f>
        <v>0.46375844886832329</v>
      </c>
      <c r="G930" cm="1">
        <f t="array" ref="G930">(PRODUCT(1+sp500_monthly!L931:L1050)^(1/120)-1)</f>
        <v>0.1231301654973429</v>
      </c>
      <c r="H930" cm="1">
        <f t="array" ref="H930">(PRODUCT(1+sp500_monthly!N931:N1050)^(1/120)-1)*100</f>
        <v>0.44742696104669299</v>
      </c>
      <c r="I930" cm="1">
        <f t="array" ref="I930">(PRODUCT(1+sp500_monthly!O931:O1050)^(1/120)-1)*100</f>
        <v>-6.3749630978571226E-2</v>
      </c>
    </row>
    <row r="931" spans="1:9" x14ac:dyDescent="0.35">
      <c r="A931" s="1">
        <v>37771</v>
      </c>
      <c r="B931" cm="1">
        <f t="array" ref="B931">(PRODUCT(1+sp500_monthly!B932:B1051)^(1/120)-1)*100</f>
        <v>0.62022676167994284</v>
      </c>
      <c r="C931" cm="1">
        <f t="array" ref="C931">(PRODUCT(1+sp500_monthly!C932:C1051)^(1/120)-1)*100</f>
        <v>0.44300178860661177</v>
      </c>
      <c r="D931" cm="1">
        <f t="array" ref="D931">(PRODUCT(1+sp500_monthly!D932:D1051)^(1/120)-1)*100</f>
        <v>0.85345683839630482</v>
      </c>
      <c r="E931" cm="1">
        <f t="array" ref="E931">(PRODUCT(1+sp500_monthly!E932:E1051)^(1/120)-1)*100</f>
        <v>0.69730623825805527</v>
      </c>
      <c r="F931" cm="1">
        <f t="array" ref="F931">(PRODUCT(1+sp500_monthly!K932:K1051)^(1/120)-1)*100</f>
        <v>0.43940262271549013</v>
      </c>
      <c r="G931" cm="1">
        <f t="array" ref="G931">(PRODUCT(1+sp500_monthly!L932:L1051)^(1/120)-1)</f>
        <v>0.12232388196189037</v>
      </c>
      <c r="H931" cm="1">
        <f t="array" ref="H931">(PRODUCT(1+sp500_monthly!N932:N1051)^(1/120)-1)*100</f>
        <v>0.42141632430294784</v>
      </c>
      <c r="I931" cm="1">
        <f t="array" ref="I931">(PRODUCT(1+sp500_monthly!O932:O1051)^(1/120)-1)*100</f>
        <v>-6.6208500386566449E-2</v>
      </c>
    </row>
    <row r="932" spans="1:9" x14ac:dyDescent="0.35">
      <c r="A932" s="1">
        <v>37802</v>
      </c>
      <c r="B932" cm="1">
        <f t="array" ref="B932">(PRODUCT(1+sp500_monthly!B933:B1052)^(1/120)-1)*100</f>
        <v>0.59806851003800787</v>
      </c>
      <c r="C932" cm="1">
        <f t="array" ref="C932">(PRODUCT(1+sp500_monthly!C933:C1052)^(1/120)-1)*100</f>
        <v>0.42068355359372589</v>
      </c>
      <c r="D932" cm="1">
        <f t="array" ref="D932">(PRODUCT(1+sp500_monthly!D933:D1052)^(1/120)-1)*100</f>
        <v>0.8381868013833671</v>
      </c>
      <c r="E932" cm="1">
        <f t="array" ref="E932">(PRODUCT(1+sp500_monthly!E933:E1052)^(1/120)-1)*100</f>
        <v>0.68156647904020762</v>
      </c>
      <c r="F932" cm="1">
        <f t="array" ref="F932">(PRODUCT(1+sp500_monthly!K933:K1052)^(1/120)-1)*100</f>
        <v>0.41733264504246748</v>
      </c>
      <c r="G932" cm="1">
        <f t="array" ref="G932">(PRODUCT(1+sp500_monthly!L933:L1052)^(1/120)-1)</f>
        <v>0.12143282844412462</v>
      </c>
      <c r="H932" cm="1">
        <f t="array" ref="H932">(PRODUCT(1+sp500_monthly!N933:N1052)^(1/120)-1)*100</f>
        <v>0.39822701561909035</v>
      </c>
      <c r="I932" cm="1">
        <f t="array" ref="I932">(PRODUCT(1+sp500_monthly!O933:O1052)^(1/120)-1)*100</f>
        <v>-6.8110708322122182E-2</v>
      </c>
    </row>
    <row r="933" spans="1:9" x14ac:dyDescent="0.35">
      <c r="A933" s="1">
        <v>37833</v>
      </c>
      <c r="B933" cm="1">
        <f t="array" ref="B933">(PRODUCT(1+sp500_monthly!B934:B1053)^(1/120)-1)*100</f>
        <v>0.62461048653084106</v>
      </c>
      <c r="C933" cm="1">
        <f t="array" ref="C933">(PRODUCT(1+sp500_monthly!C934:C1053)^(1/120)-1)*100</f>
        <v>0.44724885053255559</v>
      </c>
      <c r="D933" cm="1">
        <f t="array" ref="D933">(PRODUCT(1+sp500_monthly!D934:D1053)^(1/120)-1)*100</f>
        <v>0.85978716346959416</v>
      </c>
      <c r="E933" cm="1">
        <f t="array" ref="E933">(PRODUCT(1+sp500_monthly!E934:E1053)^(1/120)-1)*100</f>
        <v>0.70328121029041846</v>
      </c>
      <c r="F933" cm="1">
        <f t="array" ref="F933">(PRODUCT(1+sp500_monthly!K934:K1053)^(1/120)-1)*100</f>
        <v>0.44426806385438056</v>
      </c>
      <c r="G933" cm="1">
        <f t="array" ref="G933">(PRODUCT(1+sp500_monthly!L934:L1053)^(1/120)-1)</f>
        <v>0.12080071808036785</v>
      </c>
      <c r="H933" cm="1">
        <f t="array" ref="H933">(PRODUCT(1+sp500_monthly!N934:N1053)^(1/120)-1)*100</f>
        <v>0.42581759729765079</v>
      </c>
      <c r="I933" cm="1">
        <f t="array" ref="I933">(PRODUCT(1+sp500_monthly!O934:O1053)^(1/120)-1)*100</f>
        <v>-6.7597518079964836E-2</v>
      </c>
    </row>
    <row r="934" spans="1:9" x14ac:dyDescent="0.35">
      <c r="A934" s="1">
        <v>37862</v>
      </c>
      <c r="B934" cm="1">
        <f t="array" ref="B934">(PRODUCT(1+sp500_monthly!B935:B1054)^(1/120)-1)*100</f>
        <v>0.58348902870775099</v>
      </c>
      <c r="C934" cm="1">
        <f t="array" ref="C934">(PRODUCT(1+sp500_monthly!C935:C1054)^(1/120)-1)*100</f>
        <v>0.40540206736148221</v>
      </c>
      <c r="D934" cm="1">
        <f t="array" ref="D934">(PRODUCT(1+sp500_monthly!D935:D1054)^(1/120)-1)*100</f>
        <v>0.79940584009867699</v>
      </c>
      <c r="E934" cm="1">
        <f t="array" ref="E934">(PRODUCT(1+sp500_monthly!E935:E1054)^(1/120)-1)*100</f>
        <v>0.64249735849926104</v>
      </c>
      <c r="F934" cm="1">
        <f t="array" ref="F934">(PRODUCT(1+sp500_monthly!K935:K1054)^(1/120)-1)*100</f>
        <v>0.40283213283776043</v>
      </c>
      <c r="G934" cm="1">
        <f t="array" ref="G934">(PRODUCT(1+sp500_monthly!L935:L1054)^(1/120)-1)</f>
        <v>0.12016896401393184</v>
      </c>
      <c r="H934" cm="1">
        <f t="array" ref="H934">(PRODUCT(1+sp500_monthly!N935:N1054)^(1/120)-1)*100</f>
        <v>0.38641786799429312</v>
      </c>
      <c r="I934" cm="1">
        <f t="array" ref="I934">(PRODUCT(1+sp500_monthly!O935:O1054)^(1/120)-1)*100</f>
        <v>-6.6547164288144334E-2</v>
      </c>
    </row>
    <row r="935" spans="1:9" x14ac:dyDescent="0.35">
      <c r="A935" s="1">
        <v>37894</v>
      </c>
      <c r="B935" cm="1">
        <f t="array" ref="B935">(PRODUCT(1+sp500_monthly!B936:B1055)^(1/120)-1)*100</f>
        <v>0.61866940427317552</v>
      </c>
      <c r="C935" cm="1">
        <f t="array" ref="C935">(PRODUCT(1+sp500_monthly!C936:C1055)^(1/120)-1)*100</f>
        <v>0.44038423365249102</v>
      </c>
      <c r="D935" cm="1">
        <f t="array" ref="D935">(PRODUCT(1+sp500_monthly!D936:D1055)^(1/120)-1)*100</f>
        <v>0.84671440803532061</v>
      </c>
      <c r="E935" cm="1">
        <f t="array" ref="E935">(PRODUCT(1+sp500_monthly!E936:E1055)^(1/120)-1)*100</f>
        <v>0.68937960207626769</v>
      </c>
      <c r="F935" cm="1">
        <f t="array" ref="F935">(PRODUCT(1+sp500_monthly!K936:K1055)^(1/120)-1)*100</f>
        <v>0.43741932250245252</v>
      </c>
      <c r="G935" cm="1">
        <f t="array" ref="G935">(PRODUCT(1+sp500_monthly!L936:L1055)^(1/120)-1)</f>
        <v>0.11945078292407629</v>
      </c>
      <c r="H935" cm="1">
        <f t="array" ref="H935">(PRODUCT(1+sp500_monthly!N936:N1055)^(1/120)-1)*100</f>
        <v>0.42393099394950617</v>
      </c>
      <c r="I935" cm="1">
        <f t="array" ref="I935">(PRODUCT(1+sp500_monthly!O936:O1055)^(1/120)-1)*100</f>
        <v>-6.482312891586961E-2</v>
      </c>
    </row>
    <row r="936" spans="1:9" x14ac:dyDescent="0.35">
      <c r="A936" s="1">
        <v>37925</v>
      </c>
      <c r="B936" cm="1">
        <f t="array" ref="B936">(PRODUCT(1+sp500_monthly!B937:B1056)^(1/120)-1)*100</f>
        <v>0.61125585502614932</v>
      </c>
      <c r="C936" cm="1">
        <f t="array" ref="C936">(PRODUCT(1+sp500_monthly!C937:C1056)^(1/120)-1)*100</f>
        <v>0.43319289398637828</v>
      </c>
      <c r="D936" cm="1">
        <f t="array" ref="D936">(PRODUCT(1+sp500_monthly!D937:D1056)^(1/120)-1)*100</f>
        <v>0.82432444116529169</v>
      </c>
      <c r="E936" cm="1">
        <f t="array" ref="E936">(PRODUCT(1+sp500_monthly!E937:E1056)^(1/120)-1)*100</f>
        <v>0.66701382042524404</v>
      </c>
      <c r="F936" cm="1">
        <f t="array" ref="F936">(PRODUCT(1+sp500_monthly!K937:K1056)^(1/120)-1)*100</f>
        <v>0.42915488531336532</v>
      </c>
      <c r="G936" cm="1">
        <f t="array" ref="G936">(PRODUCT(1+sp500_monthly!L937:L1056)^(1/120)-1)</f>
        <v>0.11881978976634633</v>
      </c>
      <c r="H936" cm="1">
        <f t="array" ref="H936">(PRODUCT(1+sp500_monthly!N937:N1056)^(1/120)-1)*100</f>
        <v>0.41517938464619153</v>
      </c>
      <c r="I936" cm="1">
        <f t="array" ref="I936">(PRODUCT(1+sp500_monthly!O937:O1056)^(1/120)-1)*100</f>
        <v>-6.6751796062813895E-2</v>
      </c>
    </row>
    <row r="937" spans="1:9" x14ac:dyDescent="0.35">
      <c r="A937" s="1">
        <v>37953</v>
      </c>
      <c r="B937" cm="1">
        <f t="array" ref="B937">(PRODUCT(1+sp500_monthly!B938:B1057)^(1/120)-1)*100</f>
        <v>0.62897781914232898</v>
      </c>
      <c r="C937" cm="1">
        <f t="array" ref="C937">(PRODUCT(1+sp500_monthly!C938:C1057)^(1/120)-1)*100</f>
        <v>0.45028894155996202</v>
      </c>
      <c r="D937" cm="1">
        <f t="array" ref="D937">(PRODUCT(1+sp500_monthly!D938:D1057)^(1/120)-1)*100</f>
        <v>0.82635573399998385</v>
      </c>
      <c r="E937" cm="1">
        <f t="array" ref="E937">(PRODUCT(1+sp500_monthly!E938:E1057)^(1/120)-1)*100</f>
        <v>0.66876694436091011</v>
      </c>
      <c r="F937" cm="1">
        <f t="array" ref="F937">(PRODUCT(1+sp500_monthly!K938:K1057)^(1/120)-1)*100</f>
        <v>0.44636248677296653</v>
      </c>
      <c r="G937" cm="1">
        <f t="array" ref="G937">(PRODUCT(1+sp500_monthly!L938:L1057)^(1/120)-1)</f>
        <v>0.1181891522762093</v>
      </c>
      <c r="H937" cm="1">
        <f t="array" ref="H937">(PRODUCT(1+sp500_monthly!N938:N1057)^(1/120)-1)*100</f>
        <v>0.43177703373944443</v>
      </c>
      <c r="I937" cm="1">
        <f t="array" ref="I937">(PRODUCT(1+sp500_monthly!O938:O1057)^(1/120)-1)*100</f>
        <v>-6.8418884322329898E-2</v>
      </c>
    </row>
    <row r="938" spans="1:9" x14ac:dyDescent="0.35">
      <c r="A938" s="1">
        <v>37986</v>
      </c>
      <c r="B938" cm="1">
        <f t="array" ref="B938">(PRODUCT(1+sp500_monthly!B939:B1058)^(1/120)-1)*100</f>
        <v>0.60812885475216572</v>
      </c>
      <c r="C938" cm="1">
        <f t="array" ref="C938">(PRODUCT(1+sp500_monthly!C939:C1058)^(1/120)-1)*100</f>
        <v>0.42937724351554962</v>
      </c>
      <c r="D938" cm="1">
        <f t="array" ref="D938">(PRODUCT(1+sp500_monthly!D939:D1058)^(1/120)-1)*100</f>
        <v>0.8074563502850296</v>
      </c>
      <c r="E938" cm="1">
        <f t="array" ref="E938">(PRODUCT(1+sp500_monthly!E939:E1058)^(1/120)-1)*100</f>
        <v>0.64957225739481483</v>
      </c>
      <c r="F938" cm="1">
        <f t="array" ref="F938">(PRODUCT(1+sp500_monthly!K939:K1058)^(1/120)-1)*100</f>
        <v>0.42440999589774542</v>
      </c>
      <c r="G938" cm="1">
        <f t="array" ref="G938">(PRODUCT(1+sp500_monthly!L939:L1058)^(1/120)-1)</f>
        <v>0.11747224051571137</v>
      </c>
      <c r="H938" cm="1">
        <f t="array" ref="H938">(PRODUCT(1+sp500_monthly!N939:N1058)^(1/120)-1)*100</f>
        <v>0.41101777452334787</v>
      </c>
      <c r="I938" cm="1">
        <f t="array" ref="I938">(PRODUCT(1+sp500_monthly!O939:O1058)^(1/120)-1)*100</f>
        <v>-6.9036212001993835E-2</v>
      </c>
    </row>
    <row r="939" spans="1:9" x14ac:dyDescent="0.35">
      <c r="A939" s="1">
        <v>38016</v>
      </c>
      <c r="B939" cm="1">
        <f t="array" ref="B939">(PRODUCT(1+sp500_monthly!B940:B1059)^(1/120)-1)*100</f>
        <v>0.562715023277649</v>
      </c>
      <c r="C939" cm="1">
        <f t="array" ref="C939">(PRODUCT(1+sp500_monthly!C940:C1059)^(1/120)-1)*100</f>
        <v>0.38401345341008142</v>
      </c>
      <c r="D939" cm="1">
        <f t="array" ref="D939">(PRODUCT(1+sp500_monthly!D940:D1059)^(1/120)-1)*100</f>
        <v>0.76201200293384286</v>
      </c>
      <c r="E939" cm="1">
        <f t="array" ref="E939">(PRODUCT(1+sp500_monthly!E940:E1059)^(1/120)-1)*100</f>
        <v>0.6041094422384985</v>
      </c>
      <c r="F939" cm="1">
        <f t="array" ref="F939">(PRODUCT(1+sp500_monthly!K940:K1059)^(1/120)-1)*100</f>
        <v>0.37976455861092884</v>
      </c>
      <c r="G939" cm="1">
        <f t="array" ref="G939">(PRODUCT(1+sp500_monthly!L940:L1059)^(1/120)-1)</f>
        <v>0.11684236258943348</v>
      </c>
      <c r="H939" cm="1">
        <f t="array" ref="H939">(PRODUCT(1+sp500_monthly!N940:N1059)^(1/120)-1)*100</f>
        <v>0.3672671272958894</v>
      </c>
      <c r="I939" cm="1">
        <f t="array" ref="I939">(PRODUCT(1+sp500_monthly!O940:O1059)^(1/120)-1)*100</f>
        <v>-6.8051555113501916E-2</v>
      </c>
    </row>
    <row r="940" spans="1:9" x14ac:dyDescent="0.35">
      <c r="A940" s="1">
        <v>38044</v>
      </c>
      <c r="B940" cm="1">
        <f t="array" ref="B940">(PRODUCT(1+sp500_monthly!B941:B1060)^(1/120)-1)*100</f>
        <v>0.58822830725258068</v>
      </c>
      <c r="C940" cm="1">
        <f t="array" ref="C940">(PRODUCT(1+sp500_monthly!C941:C1060)^(1/120)-1)*100</f>
        <v>0.40882084746560743</v>
      </c>
      <c r="D940" cm="1">
        <f t="array" ref="D940">(PRODUCT(1+sp500_monthly!D941:D1060)^(1/120)-1)*100</f>
        <v>0.78874107410129568</v>
      </c>
      <c r="E940" cm="1">
        <f t="array" ref="E940">(PRODUCT(1+sp500_monthly!E941:E1060)^(1/120)-1)*100</f>
        <v>0.63030364678036133</v>
      </c>
      <c r="F940" cm="1">
        <f t="array" ref="F940">(PRODUCT(1+sp500_monthly!K941:K1060)^(1/120)-1)*100</f>
        <v>0.40492813003889516</v>
      </c>
      <c r="G940" cm="1">
        <f t="array" ref="G940">(PRODUCT(1+sp500_monthly!L941:L1060)^(1/120)-1)</f>
        <v>0.11630018435885359</v>
      </c>
      <c r="H940" cm="1">
        <f t="array" ref="H940">(PRODUCT(1+sp500_monthly!N941:N1060)^(1/120)-1)*100</f>
        <v>0.39360474742451412</v>
      </c>
      <c r="I940" cm="1">
        <f t="array" ref="I940">(PRODUCT(1+sp500_monthly!O941:O1060)^(1/120)-1)*100</f>
        <v>-6.7681156942911436E-2</v>
      </c>
    </row>
    <row r="941" spans="1:9" x14ac:dyDescent="0.35">
      <c r="A941" s="1">
        <v>38077</v>
      </c>
      <c r="B941" cm="1">
        <f t="array" ref="B941">(PRODUCT(1+sp500_monthly!B942:B1061)^(1/120)-1)*100</f>
        <v>0.60760940795177021</v>
      </c>
      <c r="C941" cm="1">
        <f t="array" ref="C941">(PRODUCT(1+sp500_monthly!C942:C1061)^(1/120)-1)*100</f>
        <v>0.42799782358058369</v>
      </c>
      <c r="D941" cm="1">
        <f t="array" ref="D941">(PRODUCT(1+sp500_monthly!D942:D1061)^(1/120)-1)*100</f>
        <v>0.79969977248470769</v>
      </c>
      <c r="E941" cm="1">
        <f t="array" ref="E941">(PRODUCT(1+sp500_monthly!E942:E1061)^(1/120)-1)*100</f>
        <v>0.64083138551256358</v>
      </c>
      <c r="F941" cm="1">
        <f t="array" ref="F941">(PRODUCT(1+sp500_monthly!K942:K1061)^(1/120)-1)*100</f>
        <v>0.42451098351885541</v>
      </c>
      <c r="G941" cm="1">
        <f t="array" ref="G941">(PRODUCT(1+sp500_monthly!L942:L1061)^(1/120)-1)</f>
        <v>0.11549880399625545</v>
      </c>
      <c r="H941" cm="1">
        <f t="array" ref="H941">(PRODUCT(1+sp500_monthly!N942:N1061)^(1/120)-1)*100</f>
        <v>0.41303220139219388</v>
      </c>
      <c r="I941" cm="1">
        <f t="array" ref="I941">(PRODUCT(1+sp500_monthly!O942:O1061)^(1/120)-1)*100</f>
        <v>-6.8346858573320457E-2</v>
      </c>
    </row>
    <row r="942" spans="1:9" x14ac:dyDescent="0.35">
      <c r="A942" s="1">
        <v>38107</v>
      </c>
      <c r="B942" cm="1">
        <f t="array" ref="B942">(PRODUCT(1+sp500_monthly!B943:B1062)^(1/120)-1)*100</f>
        <v>0.62625734489052398</v>
      </c>
      <c r="C942" cm="1">
        <f t="array" ref="C942">(PRODUCT(1+sp500_monthly!C943:C1062)^(1/120)-1)*100</f>
        <v>0.44660707854116133</v>
      </c>
      <c r="D942" cm="1">
        <f t="array" ref="D942">(PRODUCT(1+sp500_monthly!D943:D1062)^(1/120)-1)*100</f>
        <v>0.82339439225627142</v>
      </c>
      <c r="E942" cm="1">
        <f t="array" ref="E942">(PRODUCT(1+sp500_monthly!E943:E1062)^(1/120)-1)*100</f>
        <v>0.66448954580773378</v>
      </c>
      <c r="F942" cm="1">
        <f t="array" ref="F942">(PRODUCT(1+sp500_monthly!K943:K1062)^(1/120)-1)*100</f>
        <v>0.44385746963284678</v>
      </c>
      <c r="G942" cm="1">
        <f t="array" ref="G942">(PRODUCT(1+sp500_monthly!L943:L1062)^(1/120)-1)</f>
        <v>0.11478361711595153</v>
      </c>
      <c r="H942" cm="1">
        <f t="array" ref="H942">(PRODUCT(1+sp500_monthly!N943:N1062)^(1/120)-1)*100</f>
        <v>0.43142620867675507</v>
      </c>
      <c r="I942" cm="1">
        <f t="array" ref="I942">(PRODUCT(1+sp500_monthly!O943:O1062)^(1/120)-1)*100</f>
        <v>-6.922957912580685E-2</v>
      </c>
    </row>
    <row r="943" spans="1:9" x14ac:dyDescent="0.35">
      <c r="A943" s="1">
        <v>38135</v>
      </c>
      <c r="B943" cm="1">
        <f t="array" ref="B943">(PRODUCT(1+sp500_monthly!B944:B1063)^(1/120)-1)*100</f>
        <v>0.63422770759651304</v>
      </c>
      <c r="C943" cm="1">
        <f t="array" ref="C943">(PRODUCT(1+sp500_monthly!C944:C1063)^(1/120)-1)*100</f>
        <v>0.45391266483496562</v>
      </c>
      <c r="D943" cm="1">
        <f t="array" ref="D943">(PRODUCT(1+sp500_monthly!D944:D1063)^(1/120)-1)*100</f>
        <v>0.82643937588275929</v>
      </c>
      <c r="E943" cm="1">
        <f t="array" ref="E943">(PRODUCT(1+sp500_monthly!E944:E1063)^(1/120)-1)*100</f>
        <v>0.66710374125356076</v>
      </c>
      <c r="F943" cm="1">
        <f t="array" ref="F943">(PRODUCT(1+sp500_monthly!K944:K1063)^(1/120)-1)*100</f>
        <v>0.45122474296581672</v>
      </c>
      <c r="G943" cm="1">
        <f t="array" ref="G943">(PRODUCT(1+sp500_monthly!L944:L1063)^(1/120)-1)</f>
        <v>0.11424243831645997</v>
      </c>
      <c r="H943" cm="1">
        <f t="array" ref="H943">(PRODUCT(1+sp500_monthly!N944:N1063)^(1/120)-1)*100</f>
        <v>0.44135534482432348</v>
      </c>
      <c r="I943" cm="1">
        <f t="array" ref="I943">(PRODUCT(1+sp500_monthly!O944:O1063)^(1/120)-1)*100</f>
        <v>-6.7764883261922648E-2</v>
      </c>
    </row>
    <row r="944" spans="1:9" x14ac:dyDescent="0.35">
      <c r="A944" s="1">
        <v>38168</v>
      </c>
      <c r="B944" cm="1">
        <f t="array" ref="B944">(PRODUCT(1+sp500_monthly!B945:B1064)^(1/120)-1)*100</f>
        <v>0.63517069005512017</v>
      </c>
      <c r="C944" cm="1">
        <f t="array" ref="C944">(PRODUCT(1+sp500_monthly!C945:C1064)^(1/120)-1)*100</f>
        <v>0.45475838665010038</v>
      </c>
      <c r="D944" cm="1">
        <f t="array" ref="D944">(PRODUCT(1+sp500_monthly!D945:D1064)^(1/120)-1)*100</f>
        <v>0.82480109549700753</v>
      </c>
      <c r="E944" cm="1">
        <f t="array" ref="E944">(PRODUCT(1+sp500_monthly!E945:E1064)^(1/120)-1)*100</f>
        <v>0.66508836037384444</v>
      </c>
      <c r="F944" cm="1">
        <f t="array" ref="F944">(PRODUCT(1+sp500_monthly!K945:K1064)^(1/120)-1)*100</f>
        <v>0.45210332553091703</v>
      </c>
      <c r="G944" cm="1">
        <f t="array" ref="G944">(PRODUCT(1+sp500_monthly!L945:L1064)^(1/120)-1)</f>
        <v>0.1135280569379169</v>
      </c>
      <c r="H944" cm="1">
        <f t="array" ref="H944">(PRODUCT(1+sp500_monthly!N945:N1064)^(1/120)-1)*100</f>
        <v>0.44429893001896037</v>
      </c>
      <c r="I944" cm="1">
        <f t="array" ref="I944">(PRODUCT(1+sp500_monthly!O945:O1064)^(1/120)-1)*100</f>
        <v>-6.6438601395402141E-2</v>
      </c>
    </row>
    <row r="945" spans="1:9" x14ac:dyDescent="0.35">
      <c r="A945" s="1">
        <v>38198</v>
      </c>
      <c r="B945" cm="1">
        <f t="array" ref="B945">(PRODUCT(1+sp500_monthly!B946:B1065)^(1/120)-1)*100</f>
        <v>0.65147210625804419</v>
      </c>
      <c r="C945" cm="1">
        <f t="array" ref="C945">(PRODUCT(1+sp500_monthly!C946:C1065)^(1/120)-1)*100</f>
        <v>0.47092490648801277</v>
      </c>
      <c r="D945" cm="1">
        <f t="array" ref="D945">(PRODUCT(1+sp500_monthly!D946:D1065)^(1/120)-1)*100</f>
        <v>0.84271659004626631</v>
      </c>
      <c r="E945" cm="1">
        <f t="array" ref="E945">(PRODUCT(1+sp500_monthly!E946:E1065)^(1/120)-1)*100</f>
        <v>0.68292524319695236</v>
      </c>
      <c r="F945" cm="1">
        <f t="array" ref="F945">(PRODUCT(1+sp500_monthly!K946:K1065)^(1/120)-1)*100</f>
        <v>0.46859378539345631</v>
      </c>
      <c r="G945" cm="1">
        <f t="array" ref="G945">(PRODUCT(1+sp500_monthly!L946:L1065)^(1/120)-1)</f>
        <v>0.11264398674373099</v>
      </c>
      <c r="H945" cm="1">
        <f t="array" ref="H945">(PRODUCT(1+sp500_monthly!N946:N1065)^(1/120)-1)*100</f>
        <v>0.46051362930450424</v>
      </c>
      <c r="I945" cm="1">
        <f t="array" ref="I945">(PRODUCT(1+sp500_monthly!O946:O1065)^(1/120)-1)*100</f>
        <v>-6.7326466820150088E-2</v>
      </c>
    </row>
    <row r="946" spans="1:9" x14ac:dyDescent="0.35">
      <c r="A946" s="1">
        <v>38230</v>
      </c>
      <c r="B946" cm="1">
        <f t="array" ref="B946">(PRODUCT(1+sp500_monthly!B947:B1066)^(1/120)-1)*100</f>
        <v>0.68100631841852</v>
      </c>
      <c r="C946" cm="1">
        <f t="array" ref="C946">(PRODUCT(1+sp500_monthly!C947:C1066)^(1/120)-1)*100</f>
        <v>0.50001960307859417</v>
      </c>
      <c r="D946" cm="1">
        <f t="array" ref="D946">(PRODUCT(1+sp500_monthly!D947:D1066)^(1/120)-1)*100</f>
        <v>0.88040735983179186</v>
      </c>
      <c r="E946" cm="1">
        <f t="array" ref="E946">(PRODUCT(1+sp500_monthly!E947:E1066)^(1/120)-1)*100</f>
        <v>0.72047130007926174</v>
      </c>
      <c r="F946" cm="1">
        <f t="array" ref="F946">(PRODUCT(1+sp500_monthly!K947:K1066)^(1/120)-1)*100</f>
        <v>0.49763254305084104</v>
      </c>
      <c r="G946" cm="1">
        <f t="array" ref="G946">(PRODUCT(1+sp500_monthly!L947:L1066)^(1/120)-1)</f>
        <v>0.11167677785019503</v>
      </c>
      <c r="H946" cm="1">
        <f t="array" ref="H946">(PRODUCT(1+sp500_monthly!N947:N1066)^(1/120)-1)*100</f>
        <v>0.49056853478779416</v>
      </c>
      <c r="I946" cm="1">
        <f t="array" ref="I946">(PRODUCT(1+sp500_monthly!O947:O1066)^(1/120)-1)*100</f>
        <v>-6.7668486093985791E-2</v>
      </c>
    </row>
    <row r="947" spans="1:9" x14ac:dyDescent="0.35">
      <c r="A947" s="1">
        <v>38260</v>
      </c>
      <c r="B947" cm="1">
        <f t="array" ref="B947">(PRODUCT(1+sp500_monthly!B948:B1067)^(1/120)-1)*100</f>
        <v>0.66021379434475502</v>
      </c>
      <c r="C947" cm="1">
        <f t="array" ref="C947">(PRODUCT(1+sp500_monthly!C948:C1067)^(1/120)-1)*100</f>
        <v>0.47917517240179119</v>
      </c>
      <c r="D947" cm="1">
        <f t="array" ref="D947">(PRODUCT(1+sp500_monthly!D948:D1067)^(1/120)-1)*100</f>
        <v>0.83601355905884578</v>
      </c>
      <c r="E947" cm="1">
        <f t="array" ref="E947">(PRODUCT(1+sp500_monthly!E948:E1067)^(1/120)-1)*100</f>
        <v>0.67556409561480013</v>
      </c>
      <c r="F947" cm="1">
        <f t="array" ref="F947">(PRODUCT(1+sp500_monthly!K948:K1067)^(1/120)-1)*100</f>
        <v>0.47673453259970966</v>
      </c>
      <c r="G947" cm="1">
        <f t="array" ref="G947">(PRODUCT(1+sp500_monthly!L948:L1067)^(1/120)-1)</f>
        <v>0.11071040974046298</v>
      </c>
      <c r="H947" cm="1">
        <f t="array" ref="H947">(PRODUCT(1+sp500_monthly!N948:N1067)^(1/120)-1)*100</f>
        <v>0.47240635662446628</v>
      </c>
      <c r="I947" cm="1">
        <f t="array" ref="I947">(PRODUCT(1+sp500_monthly!O948:O1067)^(1/120)-1)*100</f>
        <v>-6.6006892680392504E-2</v>
      </c>
    </row>
    <row r="948" spans="1:9" x14ac:dyDescent="0.35">
      <c r="A948" s="1">
        <v>38289</v>
      </c>
      <c r="B948" cm="1">
        <f t="array" ref="B948">(PRODUCT(1+sp500_monthly!B949:B1068)^(1/120)-1)*100</f>
        <v>0.66761860797424077</v>
      </c>
      <c r="C948" cm="1">
        <f t="array" ref="C948">(PRODUCT(1+sp500_monthly!C949:C1068)^(1/120)-1)*100</f>
        <v>0.48665943107273346</v>
      </c>
      <c r="D948" cm="1">
        <f t="array" ref="D948">(PRODUCT(1+sp500_monthly!D949:D1068)^(1/120)-1)*100</f>
        <v>0.84040417516277888</v>
      </c>
      <c r="E948" cm="1">
        <f t="array" ref="E948">(PRODUCT(1+sp500_monthly!E949:E1068)^(1/120)-1)*100</f>
        <v>0.67992392297562265</v>
      </c>
      <c r="F948" cm="1">
        <f t="array" ref="F948">(PRODUCT(1+sp500_monthly!K949:K1068)^(1/120)-1)*100</f>
        <v>0.48428667861095676</v>
      </c>
      <c r="G948" cm="1">
        <f t="array" ref="G948">(PRODUCT(1+sp500_monthly!L949:L1068)^(1/120)-1)</f>
        <v>0.10974488168365104</v>
      </c>
      <c r="H948" cm="1">
        <f t="array" ref="H948">(PRODUCT(1+sp500_monthly!N949:N1068)^(1/120)-1)*100</f>
        <v>0.48436326570377997</v>
      </c>
      <c r="I948" cm="1">
        <f t="array" ref="I948">(PRODUCT(1+sp500_monthly!O949:O1068)^(1/120)-1)*100</f>
        <v>-6.2381379138010118E-2</v>
      </c>
    </row>
    <row r="949" spans="1:9" x14ac:dyDescent="0.35">
      <c r="A949" s="1">
        <v>38321</v>
      </c>
      <c r="B949" cm="1">
        <f t="array" ref="B949">(PRODUCT(1+sp500_monthly!B950:B1069)^(1/120)-1)*100</f>
        <v>0.65713133703966253</v>
      </c>
      <c r="C949" cm="1">
        <f t="array" ref="C949">(PRODUCT(1+sp500_monthly!C950:C1069)^(1/120)-1)*100</f>
        <v>0.47819696128463818</v>
      </c>
      <c r="D949" cm="1">
        <f t="array" ref="D949">(PRODUCT(1+sp500_monthly!D950:D1069)^(1/120)-1)*100</f>
        <v>0.81259197100971292</v>
      </c>
      <c r="E949" cm="1">
        <f t="array" ref="E949">(PRODUCT(1+sp500_monthly!E950:E1069)^(1/120)-1)*100</f>
        <v>0.65160332347187211</v>
      </c>
      <c r="F949" cm="1">
        <f t="array" ref="F949">(PRODUCT(1+sp500_monthly!K950:K1069)^(1/120)-1)*100</f>
        <v>0.47287318009747725</v>
      </c>
      <c r="G949" cm="1">
        <f t="array" ref="G949">(PRODUCT(1+sp500_monthly!L950:L1069)^(1/120)-1)</f>
        <v>0.10845313323326478</v>
      </c>
      <c r="H949" cm="1">
        <f t="array" ref="H949">(PRODUCT(1+sp500_monthly!N950:N1069)^(1/120)-1)*100</f>
        <v>0.4794132013652197</v>
      </c>
      <c r="I949" cm="1">
        <f t="array" ref="I949">(PRODUCT(1+sp500_monthly!O950:O1069)^(1/120)-1)*100</f>
        <v>-5.8141061364791469E-2</v>
      </c>
    </row>
    <row r="950" spans="1:9" x14ac:dyDescent="0.35">
      <c r="A950" s="1">
        <v>38352</v>
      </c>
      <c r="B950" cm="1">
        <f t="array" ref="B950">(PRODUCT(1+sp500_monthly!B951:B1070)^(1/120)-1)*100</f>
        <v>0.62722924341935826</v>
      </c>
      <c r="C950" cm="1">
        <f t="array" ref="C950">(PRODUCT(1+sp500_monthly!C951:C1070)^(1/120)-1)*100</f>
        <v>0.44819191259997115</v>
      </c>
      <c r="D950" cm="1">
        <f t="array" ref="D950">(PRODUCT(1+sp500_monthly!D951:D1070)^(1/120)-1)*100</f>
        <v>0.78451440474098799</v>
      </c>
      <c r="E950" cm="1">
        <f t="array" ref="E950">(PRODUCT(1+sp500_monthly!E951:E1070)^(1/120)-1)*100</f>
        <v>0.62321474797986109</v>
      </c>
      <c r="F950" cm="1">
        <f t="array" ref="F950">(PRODUCT(1+sp500_monthly!K951:K1070)^(1/120)-1)*100</f>
        <v>0.44261851732025903</v>
      </c>
      <c r="G950" cm="1">
        <f t="array" ref="G950">(PRODUCT(1+sp500_monthly!L951:L1070)^(1/120)-1)</f>
        <v>0.10708300888479072</v>
      </c>
      <c r="H950" cm="1">
        <f t="array" ref="H950">(PRODUCT(1+sp500_monthly!N951:N1070)^(1/120)-1)*100</f>
        <v>0.45214999003160283</v>
      </c>
      <c r="I950" cm="1">
        <f t="array" ref="I950">(PRODUCT(1+sp500_monthly!O951:O1070)^(1/120)-1)*100</f>
        <v>-5.6899563144097165E-2</v>
      </c>
    </row>
    <row r="951" spans="1:9" x14ac:dyDescent="0.35">
      <c r="A951" s="1">
        <v>38383</v>
      </c>
      <c r="B951" cm="1">
        <f t="array" ref="B951">(PRODUCT(1+sp500_monthly!B952:B1071)^(1/120)-1)*100</f>
        <v>0.62239978039633215</v>
      </c>
      <c r="C951" cm="1">
        <f t="array" ref="C951">(PRODUCT(1+sp500_monthly!C952:C1071)^(1/120)-1)*100</f>
        <v>0.44326890586878775</v>
      </c>
      <c r="D951" cm="1">
        <f t="array" ref="D951">(PRODUCT(1+sp500_monthly!D952:D1071)^(1/120)-1)*100</f>
        <v>0.78571988083280253</v>
      </c>
      <c r="E951" cm="1">
        <f t="array" ref="E951">(PRODUCT(1+sp500_monthly!E952:E1071)^(1/120)-1)*100</f>
        <v>0.62439152925928276</v>
      </c>
      <c r="F951" cm="1">
        <f t="array" ref="F951">(PRODUCT(1+sp500_monthly!K952:K1071)^(1/120)-1)*100</f>
        <v>0.4376654025154858</v>
      </c>
      <c r="G951" cm="1">
        <f t="array" ref="G951">(PRODUCT(1+sp500_monthly!L952:L1071)^(1/120)-1)</f>
        <v>0.10571457810429363</v>
      </c>
      <c r="H951" cm="1">
        <f t="array" ref="H951">(PRODUCT(1+sp500_monthly!N952:N1071)^(1/120)-1)*100</f>
        <v>0.45224168508124496</v>
      </c>
      <c r="I951" cm="1">
        <f t="array" ref="I951">(PRODUCT(1+sp500_monthly!O952:O1071)^(1/120)-1)*100</f>
        <v>-5.3343034951924828E-2</v>
      </c>
    </row>
    <row r="952" spans="1:9" x14ac:dyDescent="0.35">
      <c r="A952" s="1">
        <v>38411</v>
      </c>
      <c r="B952" cm="1">
        <f t="array" ref="B952">(PRODUCT(1+sp500_monthly!B953:B1072)^(1/120)-1)*100</f>
        <v>0.65131660655119994</v>
      </c>
      <c r="C952" cm="1">
        <f t="array" ref="C952">(PRODUCT(1+sp500_monthly!C953:C1072)^(1/120)-1)*100</f>
        <v>0.47176979859204771</v>
      </c>
      <c r="D952" cm="1">
        <f t="array" ref="D952">(PRODUCT(1+sp500_monthly!D953:D1072)^(1/120)-1)*100</f>
        <v>0.81663424854427902</v>
      </c>
      <c r="E952" cm="1">
        <f t="array" ref="E952">(PRODUCT(1+sp500_monthly!E953:E1072)^(1/120)-1)*100</f>
        <v>0.65475779964090375</v>
      </c>
      <c r="F952" cm="1">
        <f t="array" ref="F952">(PRODUCT(1+sp500_monthly!K953:K1072)^(1/120)-1)*100</f>
        <v>0.46672352807564099</v>
      </c>
      <c r="G952" cm="1">
        <f t="array" ref="G952">(PRODUCT(1+sp500_monthly!L953:L1072)^(1/120)-1)</f>
        <v>0.10434783879840692</v>
      </c>
      <c r="H952" cm="1">
        <f t="array" ref="H952">(PRODUCT(1+sp500_monthly!N953:N1072)^(1/120)-1)*100</f>
        <v>0.48247887316736904</v>
      </c>
      <c r="I952" cm="1">
        <f t="array" ref="I952">(PRODUCT(1+sp500_monthly!O953:O1072)^(1/120)-1)*100</f>
        <v>-5.3312622476675564E-2</v>
      </c>
    </row>
    <row r="953" spans="1:9" x14ac:dyDescent="0.35">
      <c r="A953" s="1">
        <v>38442</v>
      </c>
      <c r="B953" cm="1">
        <f t="array" ref="B953">(PRODUCT(1+sp500_monthly!B954:B1073)^(1/120)-1)*100</f>
        <v>0.65323219376989261</v>
      </c>
      <c r="C953" cm="1">
        <f t="array" ref="C953">(PRODUCT(1+sp500_monthly!C954:C1073)^(1/120)-1)*100</f>
        <v>0.4735605662617548</v>
      </c>
      <c r="D953" cm="1">
        <f t="array" ref="D953">(PRODUCT(1+sp500_monthly!D954:D1073)^(1/120)-1)*100</f>
        <v>0.82031799313198039</v>
      </c>
      <c r="E953" cm="1">
        <f t="array" ref="E953">(PRODUCT(1+sp500_monthly!E954:E1073)^(1/120)-1)*100</f>
        <v>0.65808532775928352</v>
      </c>
      <c r="F953" cm="1">
        <f t="array" ref="F953">(PRODUCT(1+sp500_monthly!K954:K1073)^(1/120)-1)*100</f>
        <v>0.46819204721848529</v>
      </c>
      <c r="G953" cm="1">
        <f t="array" ref="G953">(PRODUCT(1+sp500_monthly!L954:L1073)^(1/120)-1)</f>
        <v>0.10259497153307584</v>
      </c>
      <c r="H953" cm="1">
        <f t="array" ref="H953">(PRODUCT(1+sp500_monthly!N954:N1073)^(1/120)-1)*100</f>
        <v>0.48517948457720284</v>
      </c>
      <c r="I953" cm="1">
        <f t="array" ref="I953">(PRODUCT(1+sp500_monthly!O954:O1073)^(1/120)-1)*100</f>
        <v>-5.4275834441896986E-2</v>
      </c>
    </row>
    <row r="954" spans="1:9" x14ac:dyDescent="0.35">
      <c r="A954" s="1">
        <v>38471</v>
      </c>
      <c r="B954" cm="1">
        <f t="array" ref="B954">(PRODUCT(1+sp500_monthly!B955:B1074)^(1/120)-1)*100</f>
        <v>0.67686098504982084</v>
      </c>
      <c r="C954" cm="1">
        <f t="array" ref="C954">(PRODUCT(1+sp500_monthly!C955:C1074)^(1/120)-1)*100</f>
        <v>0.49721851067805467</v>
      </c>
      <c r="D954" cm="1">
        <f t="array" ref="D954">(PRODUCT(1+sp500_monthly!D955:D1074)^(1/120)-1)*100</f>
        <v>0.85005651416496519</v>
      </c>
      <c r="E954" cm="1">
        <f t="array" ref="E954">(PRODUCT(1+sp500_monthly!E955:E1074)^(1/120)-1)*100</f>
        <v>0.68771065880706139</v>
      </c>
      <c r="F954" cm="1">
        <f t="array" ref="F954">(PRODUCT(1+sp500_monthly!K955:K1074)^(1/120)-1)*100</f>
        <v>0.49230633492380882</v>
      </c>
      <c r="G954" cm="1">
        <f t="array" ref="G954">(PRODUCT(1+sp500_monthly!L955:L1074)^(1/120)-1)</f>
        <v>0.10084488649227774</v>
      </c>
      <c r="H954" cm="1">
        <f t="array" ref="H954">(PRODUCT(1+sp500_monthly!N955:N1074)^(1/120)-1)*100</f>
        <v>0.51049461288041886</v>
      </c>
      <c r="I954" cm="1">
        <f t="array" ref="I954">(PRODUCT(1+sp500_monthly!O955:O1074)^(1/120)-1)*100</f>
        <v>-5.430694503905098E-2</v>
      </c>
    </row>
    <row r="955" spans="1:9" x14ac:dyDescent="0.35">
      <c r="A955" s="1">
        <v>38503</v>
      </c>
      <c r="B955" cm="1">
        <f t="array" ref="B955">(PRODUCT(1+sp500_monthly!B956:B1075)^(1/120)-1)*100</f>
        <v>0.6608809721486697</v>
      </c>
      <c r="C955" cm="1">
        <f t="array" ref="C955">(PRODUCT(1+sp500_monthly!C956:C1075)^(1/120)-1)*100</f>
        <v>0.48078828900153248</v>
      </c>
      <c r="D955" cm="1">
        <f t="array" ref="D955">(PRODUCT(1+sp500_monthly!D956:D1075)^(1/120)-1)*100</f>
        <v>0.81753529033352645</v>
      </c>
      <c r="E955" cm="1">
        <f t="array" ref="E955">(PRODUCT(1+sp500_monthly!E956:E1075)^(1/120)-1)*100</f>
        <v>0.65477429906191098</v>
      </c>
      <c r="F955" cm="1">
        <f t="array" ref="F955">(PRODUCT(1+sp500_monthly!K956:K1075)^(1/120)-1)*100</f>
        <v>0.47633280500880559</v>
      </c>
      <c r="G955" cm="1">
        <f t="array" ref="G955">(PRODUCT(1+sp500_monthly!L956:L1075)^(1/120)-1)</f>
        <v>9.8873285308969772E-2</v>
      </c>
      <c r="H955" cm="1">
        <f t="array" ref="H955">(PRODUCT(1+sp500_monthly!N956:N1075)^(1/120)-1)*100</f>
        <v>0.49135143145071503</v>
      </c>
      <c r="I955" cm="1">
        <f t="array" ref="I955">(PRODUCT(1+sp500_monthly!O956:O1075)^(1/120)-1)*100</f>
        <v>-5.9475536117026273E-2</v>
      </c>
    </row>
    <row r="956" spans="1:9" x14ac:dyDescent="0.35">
      <c r="A956" s="1">
        <v>38533</v>
      </c>
      <c r="B956" cm="1">
        <f t="array" ref="B956">(PRODUCT(1+sp500_monthly!B957:B1076)^(1/120)-1)*100</f>
        <v>0.64305882026456374</v>
      </c>
      <c r="C956" cm="1">
        <f t="array" ref="C956">(PRODUCT(1+sp500_monthly!C957:C1076)^(1/120)-1)*100</f>
        <v>0.46288499812920936</v>
      </c>
      <c r="D956" cm="1">
        <f t="array" ref="D956">(PRODUCT(1+sp500_monthly!D957:D1076)^(1/120)-1)*100</f>
        <v>0.78682187735636955</v>
      </c>
      <c r="E956" cm="1">
        <f t="array" ref="E956">(PRODUCT(1+sp500_monthly!E957:E1076)^(1/120)-1)*100</f>
        <v>0.62367698904950419</v>
      </c>
      <c r="F956" cm="1">
        <f t="array" ref="F956">(PRODUCT(1+sp500_monthly!K957:K1076)^(1/120)-1)*100</f>
        <v>0.45867322707571212</v>
      </c>
      <c r="G956" cm="1">
        <f t="array" ref="G956">(PRODUCT(1+sp500_monthly!L957:L1076)^(1/120)-1)</f>
        <v>9.6979233340205306E-2</v>
      </c>
      <c r="H956" cm="1">
        <f t="array" ref="H956">(PRODUCT(1+sp500_monthly!N957:N1076)^(1/120)-1)*100</f>
        <v>0.4716773578034017</v>
      </c>
      <c r="I956" cm="1">
        <f t="array" ref="I956">(PRODUCT(1+sp500_monthly!O957:O1076)^(1/120)-1)*100</f>
        <v>-6.3260762308514629E-2</v>
      </c>
    </row>
    <row r="957" spans="1:9" x14ac:dyDescent="0.35">
      <c r="A957" s="1">
        <v>38562</v>
      </c>
      <c r="B957" cm="1">
        <f t="array" ref="B957">(PRODUCT(1+sp500_monthly!B958:B1077)^(1/120)-1)*100</f>
        <v>0.62996811316051726</v>
      </c>
      <c r="C957" cm="1">
        <f t="array" ref="C957">(PRODUCT(1+sp500_monthly!C958:C1077)^(1/120)-1)*100</f>
        <v>0.449806565254951</v>
      </c>
      <c r="D957" cm="1">
        <f t="array" ref="D957">(PRODUCT(1+sp500_monthly!D958:D1077)^(1/120)-1)*100</f>
        <v>0.75266508634612705</v>
      </c>
      <c r="E957" cm="1">
        <f t="array" ref="E957">(PRODUCT(1+sp500_monthly!E958:E1077)^(1/120)-1)*100</f>
        <v>0.58952672023393493</v>
      </c>
      <c r="F957" cm="1">
        <f t="array" ref="F957">(PRODUCT(1+sp500_monthly!K958:K1077)^(1/120)-1)*100</f>
        <v>0.44545825457780186</v>
      </c>
      <c r="G957" cm="1">
        <f t="array" ref="G957">(PRODUCT(1+sp500_monthly!L958:L1077)^(1/120)-1)</f>
        <v>9.5014555499524755E-2</v>
      </c>
      <c r="H957" cm="1">
        <f t="array" ref="H957">(PRODUCT(1+sp500_monthly!N958:N1077)^(1/120)-1)*100</f>
        <v>0.46245237242514836</v>
      </c>
      <c r="I957" cm="1">
        <f t="array" ref="I957">(PRODUCT(1+sp500_monthly!O958:O1077)^(1/120)-1)*100</f>
        <v>-6.1433694981016806E-2</v>
      </c>
    </row>
    <row r="958" spans="1:9" x14ac:dyDescent="0.35">
      <c r="A958" s="1">
        <v>38595</v>
      </c>
      <c r="B958" cm="1">
        <f t="array" ref="B958">(PRODUCT(1+sp500_monthly!B959:B1078)^(1/120)-1)*100</f>
        <v>0.58574101436845716</v>
      </c>
      <c r="C958" cm="1">
        <f t="array" ref="C958">(PRODUCT(1+sp500_monthly!C959:C1078)^(1/120)-1)*100</f>
        <v>0.40534795191284889</v>
      </c>
      <c r="D958" cm="1">
        <f t="array" ref="D958">(PRODUCT(1+sp500_monthly!D959:D1078)^(1/120)-1)*100</f>
        <v>0.71460064179655891</v>
      </c>
      <c r="E958" cm="1">
        <f t="array" ref="E958">(PRODUCT(1+sp500_monthly!E959:E1078)^(1/120)-1)*100</f>
        <v>0.55113896806988638</v>
      </c>
      <c r="F958" cm="1">
        <f t="array" ref="F958">(PRODUCT(1+sp500_monthly!K959:K1078)^(1/120)-1)*100</f>
        <v>0.40082060236503736</v>
      </c>
      <c r="G958" cm="1">
        <f t="array" ref="G958">(PRODUCT(1+sp500_monthly!L959:L1078)^(1/120)-1)</f>
        <v>9.2623065055350562E-2</v>
      </c>
      <c r="H958" cm="1">
        <f t="array" ref="H958">(PRODUCT(1+sp500_monthly!N959:N1078)^(1/120)-1)*100</f>
        <v>0.42343904628745488</v>
      </c>
      <c r="I958" cm="1">
        <f t="array" ref="I958">(PRODUCT(1+sp500_monthly!O959:O1078)^(1/120)-1)*100</f>
        <v>-5.8812922625550712E-2</v>
      </c>
    </row>
    <row r="959" spans="1:9" x14ac:dyDescent="0.35">
      <c r="A959" s="1">
        <v>38625</v>
      </c>
      <c r="B959" cm="1">
        <f t="array" ref="B959">(PRODUCT(1+sp500_monthly!B960:B1079)^(1/120)-1)*100</f>
        <v>0.55817764636278966</v>
      </c>
      <c r="C959" cm="1">
        <f t="array" ref="C959">(PRODUCT(1+sp500_monthly!C960:C1079)^(1/120)-1)*100</f>
        <v>0.3773211245914343</v>
      </c>
      <c r="D959" cm="1">
        <f t="array" ref="D959">(PRODUCT(1+sp500_monthly!D960:D1079)^(1/120)-1)*100</f>
        <v>0.67900674793792692</v>
      </c>
      <c r="E959" cm="1">
        <f t="array" ref="E959">(PRODUCT(1+sp500_monthly!E960:E1079)^(1/120)-1)*100</f>
        <v>0.51482700338638665</v>
      </c>
      <c r="F959" cm="1">
        <f t="array" ref="F959">(PRODUCT(1+sp500_monthly!K960:K1079)^(1/120)-1)*100</f>
        <v>0.37260869722661738</v>
      </c>
      <c r="G959" cm="1">
        <f t="array" ref="G959">(PRODUCT(1+sp500_monthly!L960:L1079)^(1/120)-1)</f>
        <v>9.0306956993759124E-2</v>
      </c>
      <c r="H959" cm="1">
        <f t="array" ref="H959">(PRODUCT(1+sp500_monthly!N960:N1079)^(1/120)-1)*100</f>
        <v>0.40924414369623019</v>
      </c>
      <c r="I959" cm="1">
        <f t="array" ref="I959">(PRODUCT(1+sp500_monthly!O960:O1079)^(1/120)-1)*100</f>
        <v>-4.7961323217970975E-2</v>
      </c>
    </row>
    <row r="960" spans="1:9" x14ac:dyDescent="0.35">
      <c r="A960" s="1">
        <v>38656</v>
      </c>
      <c r="B960" cm="1">
        <f t="array" ref="B960">(PRODUCT(1+sp500_monthly!B961:B1080)^(1/120)-1)*100</f>
        <v>0.63861073215483177</v>
      </c>
      <c r="C960" cm="1">
        <f t="array" ref="C960">(PRODUCT(1+sp500_monthly!C961:C1080)^(1/120)-1)*100</f>
        <v>0.45739930588373223</v>
      </c>
      <c r="D960" cm="1">
        <f t="array" ref="D960">(PRODUCT(1+sp500_monthly!D961:D1080)^(1/120)-1)*100</f>
        <v>0.75857113825079647</v>
      </c>
      <c r="E960" cm="1">
        <f t="array" ref="E960">(PRODUCT(1+sp500_monthly!E961:E1080)^(1/120)-1)*100</f>
        <v>0.59405461316233144</v>
      </c>
      <c r="F960" cm="1">
        <f t="array" ref="F960">(PRODUCT(1+sp500_monthly!K961:K1080)^(1/120)-1)*100</f>
        <v>0.45429464128661223</v>
      </c>
      <c r="G960" cm="1">
        <f t="array" ref="G960">(PRODUCT(1+sp500_monthly!L961:L1080)^(1/120)-1)</f>
        <v>8.8137436765837629E-2</v>
      </c>
      <c r="H960" cm="1">
        <f t="array" ref="H960">(PRODUCT(1+sp500_monthly!N961:N1080)^(1/120)-1)*100</f>
        <v>0.48999265728908448</v>
      </c>
      <c r="I960" cm="1">
        <f t="array" ref="I960">(PRODUCT(1+sp500_monthly!O961:O1080)^(1/120)-1)*100</f>
        <v>-4.9774967741911258E-2</v>
      </c>
    </row>
    <row r="961" spans="1:9" x14ac:dyDescent="0.35">
      <c r="A961" s="1">
        <v>38686</v>
      </c>
      <c r="B961" cm="1">
        <f t="array" ref="B961">(PRODUCT(1+sp500_monthly!B962:B1081)^(1/120)-1)*100</f>
        <v>0.60992707858844586</v>
      </c>
      <c r="C961" cm="1">
        <f t="array" ref="C961">(PRODUCT(1+sp500_monthly!C962:C1081)^(1/120)-1)*100</f>
        <v>0.42874229396430152</v>
      </c>
      <c r="D961" cm="1">
        <f t="array" ref="D961">(PRODUCT(1+sp500_monthly!D962:D1081)^(1/120)-1)*100</f>
        <v>0.72505816278125579</v>
      </c>
      <c r="E961" cm="1">
        <f t="array" ref="E961">(PRODUCT(1+sp500_monthly!E962:E1081)^(1/120)-1)*100</f>
        <v>0.56013547018189946</v>
      </c>
      <c r="F961" cm="1">
        <f t="array" ref="F961">(PRODUCT(1+sp500_monthly!K962:K1081)^(1/120)-1)*100</f>
        <v>0.42577281216933383</v>
      </c>
      <c r="G961" cm="1">
        <f t="array" ref="G961">(PRODUCT(1+sp500_monthly!L962:L1081)^(1/120)-1)</f>
        <v>8.5691634294330798E-2</v>
      </c>
      <c r="H961" cm="1">
        <f t="array" ref="H961">(PRODUCT(1+sp500_monthly!N962:N1081)^(1/120)-1)*100</f>
        <v>0.45613658083316633</v>
      </c>
      <c r="I961" cm="1">
        <f t="array" ref="I961">(PRODUCT(1+sp500_monthly!O962:O1081)^(1/120)-1)*100</f>
        <v>-5.7541103991531894E-2</v>
      </c>
    </row>
    <row r="962" spans="1:9" x14ac:dyDescent="0.35">
      <c r="A962" s="1">
        <v>38716</v>
      </c>
      <c r="B962" cm="1">
        <f t="array" ref="B962">(PRODUCT(1+sp500_monthly!B963:B1082)^(1/120)-1)*100</f>
        <v>0.5970964178529492</v>
      </c>
      <c r="C962" cm="1">
        <f t="array" ref="C962">(PRODUCT(1+sp500_monthly!C963:C1082)^(1/120)-1)*100</f>
        <v>0.41549787090819912</v>
      </c>
      <c r="D962" cm="1">
        <f t="array" ref="D962">(PRODUCT(1+sp500_monthly!D963:D1082)^(1/120)-1)*100</f>
        <v>0.69686068779621912</v>
      </c>
      <c r="E962" cm="1">
        <f t="array" ref="E962">(PRODUCT(1+sp500_monthly!E963:E1082)^(1/120)-1)*100</f>
        <v>0.53138490136801497</v>
      </c>
      <c r="F962" cm="1">
        <f t="array" ref="F962">(PRODUCT(1+sp500_monthly!K963:K1082)^(1/120)-1)*100</f>
        <v>0.41177023742111629</v>
      </c>
      <c r="G962" cm="1">
        <f t="array" ref="G962">(PRODUCT(1+sp500_monthly!L963:L1082)^(1/120)-1)</f>
        <v>8.3272504590334195E-2</v>
      </c>
      <c r="H962" cm="1">
        <f t="array" ref="H962">(PRODUCT(1+sp500_monthly!N963:N1082)^(1/120)-1)*100</f>
        <v>0.4442262893657567</v>
      </c>
      <c r="I962" cm="1">
        <f t="array" ref="I962">(PRODUCT(1+sp500_monthly!O963:O1082)^(1/120)-1)*100</f>
        <v>-5.9222424872185098E-2</v>
      </c>
    </row>
    <row r="963" spans="1:9" x14ac:dyDescent="0.35">
      <c r="A963" s="1">
        <v>38748</v>
      </c>
      <c r="B963" cm="1">
        <f t="array" ref="B963">(PRODUCT(1+sp500_monthly!B964:B1083)^(1/120)-1)*100</f>
        <v>0.53303242821742813</v>
      </c>
      <c r="C963" cm="1">
        <f t="array" ref="C963">(PRODUCT(1+sp500_monthly!C964:C1083)^(1/120)-1)*100</f>
        <v>0.3513673545923135</v>
      </c>
      <c r="D963" cm="1">
        <f t="array" ref="D963">(PRODUCT(1+sp500_monthly!D964:D1083)^(1/120)-1)*100</f>
        <v>0.61454550285899856</v>
      </c>
      <c r="E963" cm="1">
        <f t="array" ref="E963">(PRODUCT(1+sp500_monthly!E964:E1083)^(1/120)-1)*100</f>
        <v>0.44913419988581449</v>
      </c>
      <c r="F963" cm="1">
        <f t="array" ref="F963">(PRODUCT(1+sp500_monthly!K964:K1083)^(1/120)-1)*100</f>
        <v>0.34717989813910499</v>
      </c>
      <c r="G963" cm="1">
        <f t="array" ref="G963">(PRODUCT(1+sp500_monthly!L964:L1083)^(1/120)-1)</f>
        <v>8.0656367598025414E-2</v>
      </c>
      <c r="H963" cm="1">
        <f t="array" ref="H963">(PRODUCT(1+sp500_monthly!N964:N1083)^(1/120)-1)*100</f>
        <v>0.38569524262870303</v>
      </c>
      <c r="I963" cm="1">
        <f t="array" ref="I963">(PRODUCT(1+sp500_monthly!O964:O1083)^(1/120)-1)*100</f>
        <v>-5.6637316672880633E-2</v>
      </c>
    </row>
    <row r="964" spans="1:9" x14ac:dyDescent="0.35">
      <c r="A964" s="1">
        <v>38776</v>
      </c>
      <c r="B964" cm="1">
        <f t="array" ref="B964">(PRODUCT(1+sp500_monthly!B965:B1084)^(1/120)-1)*100</f>
        <v>0.52954266596356714</v>
      </c>
      <c r="C964" cm="1">
        <f t="array" ref="C964">(PRODUCT(1+sp500_monthly!C965:C1084)^(1/120)-1)*100</f>
        <v>0.34749223751906477</v>
      </c>
      <c r="D964" cm="1">
        <f t="array" ref="D964">(PRODUCT(1+sp500_monthly!D965:D1084)^(1/120)-1)*100</f>
        <v>0.62193750148333837</v>
      </c>
      <c r="E964" cm="1">
        <f t="array" ref="E964">(PRODUCT(1+sp500_monthly!E965:E1084)^(1/120)-1)*100</f>
        <v>0.45592215848500039</v>
      </c>
      <c r="F964" cm="1">
        <f t="array" ref="F964">(PRODUCT(1+sp500_monthly!K965:K1084)^(1/120)-1)*100</f>
        <v>0.34334215923077505</v>
      </c>
      <c r="G964" cm="1">
        <f t="array" ref="G964">(PRODUCT(1+sp500_monthly!L965:L1084)^(1/120)-1)</f>
        <v>7.8201863904499014E-2</v>
      </c>
      <c r="H964" cm="1">
        <f t="array" ref="H964">(PRODUCT(1+sp500_monthly!N965:N1084)^(1/120)-1)*100</f>
        <v>0.383743267582215</v>
      </c>
      <c r="I964" cm="1">
        <f t="array" ref="I964">(PRODUCT(1+sp500_monthly!O965:O1084)^(1/120)-1)*100</f>
        <v>-5.7771719563504131E-2</v>
      </c>
    </row>
    <row r="965" spans="1:9" x14ac:dyDescent="0.35">
      <c r="A965" s="1">
        <v>38807</v>
      </c>
      <c r="B965" cm="1">
        <f t="array" ref="B965">(PRODUCT(1+sp500_monthly!B966:B1085)^(1/120)-1)*100</f>
        <v>0.57340253297224475</v>
      </c>
      <c r="C965" cm="1">
        <f t="array" ref="C965">(PRODUCT(1+sp500_monthly!C966:C1085)^(1/120)-1)*100</f>
        <v>0.39070667660183744</v>
      </c>
      <c r="D965" cm="1">
        <f t="array" ref="D965">(PRODUCT(1+sp500_monthly!D966:D1085)^(1/120)-1)*100</f>
        <v>0.67238961495359462</v>
      </c>
      <c r="E965" cm="1">
        <f t="array" ref="E965">(PRODUCT(1+sp500_monthly!E966:E1085)^(1/120)-1)*100</f>
        <v>0.50515950223741779</v>
      </c>
      <c r="F965" cm="1">
        <f t="array" ref="F965">(PRODUCT(1+sp500_monthly!K966:K1085)^(1/120)-1)*100</f>
        <v>0.38758714631841329</v>
      </c>
      <c r="G965" cm="1">
        <f t="array" ref="G965">(PRODUCT(1+sp500_monthly!L966:L1085)^(1/120)-1)</f>
        <v>7.5554466945997989E-2</v>
      </c>
      <c r="H965" cm="1">
        <f t="array" ref="H965">(PRODUCT(1+sp500_monthly!N966:N1085)^(1/120)-1)*100</f>
        <v>0.42617831316515975</v>
      </c>
      <c r="I965" cm="1">
        <f t="array" ref="I965">(PRODUCT(1+sp500_monthly!O966:O1085)^(1/120)-1)*100</f>
        <v>-6.2035582114083887E-2</v>
      </c>
    </row>
    <row r="966" spans="1:9" x14ac:dyDescent="0.35">
      <c r="A966" s="1">
        <v>38835</v>
      </c>
      <c r="B966" cm="1">
        <f t="array" ref="B966">(PRODUCT(1+sp500_monthly!B967:B1086)^(1/120)-1)*100</f>
        <v>0.56648683026125912</v>
      </c>
      <c r="C966" cm="1">
        <f t="array" ref="C966">(PRODUCT(1+sp500_monthly!C967:C1086)^(1/120)-1)*100</f>
        <v>0.38383109125612602</v>
      </c>
      <c r="D966" cm="1">
        <f t="array" ref="D966">(PRODUCT(1+sp500_monthly!D967:D1086)^(1/120)-1)*100</f>
        <v>0.67428281436530124</v>
      </c>
      <c r="E966" cm="1">
        <f t="array" ref="E966">(PRODUCT(1+sp500_monthly!E967:E1086)^(1/120)-1)*100</f>
        <v>0.50705445111958181</v>
      </c>
      <c r="F966" cm="1">
        <f t="array" ref="F966">(PRODUCT(1+sp500_monthly!K967:K1086)^(1/120)-1)*100</f>
        <v>0.37970872630608277</v>
      </c>
      <c r="G966" cm="1">
        <f t="array" ref="G966">(PRODUCT(1+sp500_monthly!L967:L1086)^(1/120)-1)</f>
        <v>7.2890983472206905E-2</v>
      </c>
      <c r="H966" cm="1">
        <f t="array" ref="H966">(PRODUCT(1+sp500_monthly!N967:N1086)^(1/120)-1)*100</f>
        <v>0.42025323963805761</v>
      </c>
      <c r="I966" cm="1">
        <f t="array" ref="I966">(PRODUCT(1+sp500_monthly!O967:O1086)^(1/120)-1)*100</f>
        <v>-6.3969239805450329E-2</v>
      </c>
    </row>
    <row r="967" spans="1:9" x14ac:dyDescent="0.35">
      <c r="A967" s="1">
        <v>38868</v>
      </c>
      <c r="B967" cm="1">
        <f t="array" ref="B967">(PRODUCT(1+sp500_monthly!B968:B1087)^(1/120)-1)*100</f>
        <v>0.60592157602878949</v>
      </c>
      <c r="C967" cm="1">
        <f t="array" ref="C967">(PRODUCT(1+sp500_monthly!C968:C1087)^(1/120)-1)*100</f>
        <v>0.42295121415447667</v>
      </c>
      <c r="D967" cm="1">
        <f t="array" ref="D967">(PRODUCT(1+sp500_monthly!D968:D1087)^(1/120)-1)*100</f>
        <v>0.71043845900158331</v>
      </c>
      <c r="E967" cm="1">
        <f t="array" ref="E967">(PRODUCT(1+sp500_monthly!E968:E1087)^(1/120)-1)*100</f>
        <v>0.54276035814111445</v>
      </c>
      <c r="F967" cm="1">
        <f t="array" ref="F967">(PRODUCT(1+sp500_monthly!K968:K1087)^(1/120)-1)*100</f>
        <v>0.4187119058731259</v>
      </c>
      <c r="G967" cm="1">
        <f t="array" ref="G967">(PRODUCT(1+sp500_monthly!L968:L1087)^(1/120)-1)</f>
        <v>6.9786566263920546E-2</v>
      </c>
      <c r="H967" cm="1">
        <f t="array" ref="H967">(PRODUCT(1+sp500_monthly!N968:N1087)^(1/120)-1)*100</f>
        <v>0.46015284316569538</v>
      </c>
      <c r="I967" cm="1">
        <f t="array" ref="I967">(PRODUCT(1+sp500_monthly!O968:O1087)^(1/120)-1)*100</f>
        <v>-6.6939806964916304E-2</v>
      </c>
    </row>
    <row r="968" spans="1:9" x14ac:dyDescent="0.35">
      <c r="A968" s="1">
        <v>38898</v>
      </c>
      <c r="B968" cm="1">
        <f t="array" ref="B968">(PRODUCT(1+sp500_monthly!B969:B1088)^(1/120)-1)*100</f>
        <v>0.60683180091112288</v>
      </c>
      <c r="C968" cm="1">
        <f t="array" ref="C968">(PRODUCT(1+sp500_monthly!C969:C1088)^(1/120)-1)*100</f>
        <v>0.42349815156572657</v>
      </c>
      <c r="D968" cm="1">
        <f t="array" ref="D968">(PRODUCT(1+sp500_monthly!D969:D1088)^(1/120)-1)*100</f>
        <v>0.71199437804041477</v>
      </c>
      <c r="E968" cm="1">
        <f t="array" ref="E968">(PRODUCT(1+sp500_monthly!E969:E1088)^(1/120)-1)*100</f>
        <v>0.54378695365673302</v>
      </c>
      <c r="F968" cm="1">
        <f t="array" ref="F968">(PRODUCT(1+sp500_monthly!K969:K1088)^(1/120)-1)*100</f>
        <v>0.41939692584536115</v>
      </c>
      <c r="G968" cm="1">
        <f t="array" ref="G968">(PRODUCT(1+sp500_monthly!L969:L1088)^(1/120)-1)</f>
        <v>6.6967213796904179E-2</v>
      </c>
      <c r="H968" cm="1">
        <f t="array" ref="H968">(PRODUCT(1+sp500_monthly!N969:N1088)^(1/120)-1)*100</f>
        <v>0.46081785001204079</v>
      </c>
      <c r="I968" cm="1">
        <f t="array" ref="I968">(PRODUCT(1+sp500_monthly!O969:O1088)^(1/120)-1)*100</f>
        <v>-7.0340285793735191E-2</v>
      </c>
    </row>
    <row r="969" spans="1:9" x14ac:dyDescent="0.35">
      <c r="A969" s="1">
        <v>38929</v>
      </c>
      <c r="B969" cm="1">
        <f t="array" ref="B969">(PRODUCT(1+sp500_monthly!B970:B1089)^(1/120)-1)*100</f>
        <v>0.63229073903421362</v>
      </c>
      <c r="C969" cm="1">
        <f t="array" ref="C969">(PRODUCT(1+sp500_monthly!C970:C1089)^(1/120)-1)*100</f>
        <v>0.44878676752493352</v>
      </c>
      <c r="D969" cm="1">
        <f t="array" ref="D969">(PRODUCT(1+sp500_monthly!D970:D1089)^(1/120)-1)*100</f>
        <v>0.7596875140791326</v>
      </c>
      <c r="E969" cm="1">
        <f t="array" ref="E969">(PRODUCT(1+sp500_monthly!E970:E1089)^(1/120)-1)*100</f>
        <v>0.59144545849110219</v>
      </c>
      <c r="F969" cm="1">
        <f t="array" ref="F969">(PRODUCT(1+sp500_monthly!K970:K1089)^(1/120)-1)*100</f>
        <v>0.44443587050810862</v>
      </c>
      <c r="G969" cm="1">
        <f t="array" ref="G969">(PRODUCT(1+sp500_monthly!L970:L1089)^(1/120)-1)</f>
        <v>6.4155291548759319E-2</v>
      </c>
      <c r="H969" cm="1">
        <f t="array" ref="H969">(PRODUCT(1+sp500_monthly!N970:N1089)^(1/120)-1)*100</f>
        <v>0.49121400272931215</v>
      </c>
      <c r="I969" cm="1">
        <f t="array" ref="I969">(PRODUCT(1+sp500_monthly!O970:O1089)^(1/120)-1)*100</f>
        <v>-6.8551591092258501E-2</v>
      </c>
    </row>
    <row r="970" spans="1:9" x14ac:dyDescent="0.35">
      <c r="A970" s="1">
        <v>38960</v>
      </c>
      <c r="B970" cm="1">
        <f t="array" ref="B970">(PRODUCT(1+sp500_monthly!B971:B1090)^(1/120)-1)*100</f>
        <v>0.61332604216630671</v>
      </c>
      <c r="C970" cm="1">
        <f t="array" ref="C970">(PRODUCT(1+sp500_monthly!C971:C1090)^(1/120)-1)*100</f>
        <v>0.42966621251596671</v>
      </c>
      <c r="D970" cm="1">
        <f t="array" ref="D970">(PRODUCT(1+sp500_monthly!D971:D1090)^(1/120)-1)*100</f>
        <v>0.73641470486192073</v>
      </c>
      <c r="E970" cm="1">
        <f t="array" ref="E970">(PRODUCT(1+sp500_monthly!E971:E1090)^(1/120)-1)*100</f>
        <v>0.56778828548165183</v>
      </c>
      <c r="F970" cm="1">
        <f t="array" ref="F970">(PRODUCT(1+sp500_monthly!K971:K1090)^(1/120)-1)*100</f>
        <v>0.42579627546053267</v>
      </c>
      <c r="G970" cm="1">
        <f t="array" ref="G970">(PRODUCT(1+sp500_monthly!L971:L1090)^(1/120)-1)</f>
        <v>6.1225330073763518E-2</v>
      </c>
      <c r="H970" cm="1">
        <f t="array" ref="H970">(PRODUCT(1+sp500_monthly!N971:N1090)^(1/120)-1)*100</f>
        <v>0.47443469643135838</v>
      </c>
      <c r="I970" cm="1">
        <f t="array" ref="I970">(PRODUCT(1+sp500_monthly!O971:O1090)^(1/120)-1)*100</f>
        <v>-6.9728164330729037E-2</v>
      </c>
    </row>
    <row r="971" spans="1:9" x14ac:dyDescent="0.35">
      <c r="A971" s="1">
        <v>38989</v>
      </c>
      <c r="B971" cm="1">
        <f t="array" ref="B971">(PRODUCT(1+sp500_monthly!B972:B1091)^(1/120)-1)*100</f>
        <v>0.59178335287259909</v>
      </c>
      <c r="C971" cm="1">
        <f t="array" ref="C971">(PRODUCT(1+sp500_monthly!C972:C1091)^(1/120)-1)*100</f>
        <v>0.40789635362472598</v>
      </c>
      <c r="D971" cm="1">
        <f t="array" ref="D971">(PRODUCT(1+sp500_monthly!D972:D1091)^(1/120)-1)*100</f>
        <v>0.71510456583634419</v>
      </c>
      <c r="E971" cm="1">
        <f t="array" ref="E971">(PRODUCT(1+sp500_monthly!E972:E1091)^(1/120)-1)*100</f>
        <v>0.54597434773773212</v>
      </c>
      <c r="F971" cm="1">
        <f t="array" ref="F971">(PRODUCT(1+sp500_monthly!K972:K1091)^(1/120)-1)*100</f>
        <v>0.40445482272628563</v>
      </c>
      <c r="G971" cm="1">
        <f t="array" ref="G971">(PRODUCT(1+sp500_monthly!L972:L1091)^(1/120)-1)</f>
        <v>5.8365764287510835E-2</v>
      </c>
      <c r="H971" cm="1">
        <f t="array" ref="H971">(PRODUCT(1+sp500_monthly!N972:N1091)^(1/120)-1)*100</f>
        <v>0.44661130362271262</v>
      </c>
      <c r="I971" cm="1">
        <f t="array" ref="I971">(PRODUCT(1+sp500_monthly!O972:O1091)^(1/120)-1)*100</f>
        <v>-7.9246287716649988E-2</v>
      </c>
    </row>
    <row r="972" spans="1:9" x14ac:dyDescent="0.35">
      <c r="A972" s="1">
        <v>39021</v>
      </c>
      <c r="B972" cm="1">
        <f t="array" ref="B972">(PRODUCT(1+sp500_monthly!B973:B1092)^(1/120)-1)*100</f>
        <v>0.54978152386375712</v>
      </c>
      <c r="C972" cm="1">
        <f t="array" ref="C972">(PRODUCT(1+sp500_monthly!C973:C1092)^(1/120)-1)*100</f>
        <v>0.36580408908324369</v>
      </c>
      <c r="D972" cm="1">
        <f t="array" ref="D972">(PRODUCT(1+sp500_monthly!D973:D1092)^(1/120)-1)*100</f>
        <v>0.66428922626406983</v>
      </c>
      <c r="E972" cm="1">
        <f t="array" ref="E972">(PRODUCT(1+sp500_monthly!E973:E1092)^(1/120)-1)*100</f>
        <v>0.49529130055427917</v>
      </c>
      <c r="F972" cm="1">
        <f t="array" ref="F972">(PRODUCT(1+sp500_monthly!K973:K1092)^(1/120)-1)*100</f>
        <v>0.36209394010215945</v>
      </c>
      <c r="G972" cm="1">
        <f t="array" ref="G972">(PRODUCT(1+sp500_monthly!L973:L1092)^(1/120)-1)</f>
        <v>5.5513903854922608E-2</v>
      </c>
      <c r="H972" cm="1">
        <f t="array" ref="H972">(PRODUCT(1+sp500_monthly!N973:N1092)^(1/120)-1)*100</f>
        <v>0.39899094989099826</v>
      </c>
      <c r="I972" cm="1">
        <f t="array" ref="I972">(PRODUCT(1+sp500_monthly!O973:O1092)^(1/120)-1)*100</f>
        <v>-8.8138282882110897E-2</v>
      </c>
    </row>
    <row r="973" spans="1:9" x14ac:dyDescent="0.35">
      <c r="A973" s="1">
        <v>39051</v>
      </c>
      <c r="B973" cm="1">
        <f t="array" ref="B973">(PRODUCT(1+sp500_monthly!B974:B1093)^(1/120)-1)*100</f>
        <v>0.56399995061717778</v>
      </c>
      <c r="C973" cm="1">
        <f t="array" ref="C973">(PRODUCT(1+sp500_monthly!C974:C1093)^(1/120)-1)*100</f>
        <v>0.37980035767573028</v>
      </c>
      <c r="D973" cm="1">
        <f t="array" ref="D973">(PRODUCT(1+sp500_monthly!D974:D1093)^(1/120)-1)*100</f>
        <v>0.68551643405270202</v>
      </c>
      <c r="E973" cm="1">
        <f t="array" ref="E973">(PRODUCT(1+sp500_monthly!E974:E1093)^(1/120)-1)*100</f>
        <v>0.51616925442734551</v>
      </c>
      <c r="F973" cm="1">
        <f t="array" ref="F973">(PRODUCT(1+sp500_monthly!K974:K1093)^(1/120)-1)*100</f>
        <v>0.3765388840280659</v>
      </c>
      <c r="G973" cm="1">
        <f t="array" ref="G973">(PRODUCT(1+sp500_monthly!L974:L1093)^(1/120)-1)</f>
        <v>5.252131674935212E-2</v>
      </c>
      <c r="H973" cm="1">
        <f t="array" ref="H973">(PRODUCT(1+sp500_monthly!N974:N1093)^(1/120)-1)*100</f>
        <v>0.41261646909347416</v>
      </c>
      <c r="I973" cm="1">
        <f t="array" ref="I973">(PRODUCT(1+sp500_monthly!O974:O1093)^(1/120)-1)*100</f>
        <v>-9.2113272858762585E-2</v>
      </c>
    </row>
    <row r="974" spans="1:9" x14ac:dyDescent="0.35">
      <c r="A974" s="1">
        <v>39080</v>
      </c>
      <c r="B974" cm="1">
        <f t="array" ref="B974">(PRODUCT(1+sp500_monthly!B975:B1094)^(1/120)-1)*100</f>
        <v>0.56848172564079036</v>
      </c>
      <c r="C974" cm="1">
        <f t="array" ref="C974">(PRODUCT(1+sp500_monthly!C975:C1094)^(1/120)-1)*100</f>
        <v>0.38415465067000998</v>
      </c>
      <c r="D974" cm="1">
        <f t="array" ref="D974">(PRODUCT(1+sp500_monthly!D975:D1094)^(1/120)-1)*100</f>
        <v>0.68760508823657585</v>
      </c>
      <c r="E974" cm="1">
        <f t="array" ref="E974">(PRODUCT(1+sp500_monthly!E975:E1094)^(1/120)-1)*100</f>
        <v>0.51794631205759334</v>
      </c>
      <c r="F974" cm="1">
        <f t="array" ref="F974">(PRODUCT(1+sp500_monthly!K975:K1094)^(1/120)-1)*100</f>
        <v>0.38113980105622947</v>
      </c>
      <c r="G974" cm="1">
        <f t="array" ref="G974">(PRODUCT(1+sp500_monthly!L975:L1094)^(1/120)-1)</f>
        <v>4.9832815186083401E-2</v>
      </c>
      <c r="H974" cm="1">
        <f t="array" ref="H974">(PRODUCT(1+sp500_monthly!N975:N1094)^(1/120)-1)*100</f>
        <v>0.41952616473686088</v>
      </c>
      <c r="I974" cm="1">
        <f t="array" ref="I974">(PRODUCT(1+sp500_monthly!O975:O1094)^(1/120)-1)*100</f>
        <v>-9.2764866625139053E-2</v>
      </c>
    </row>
    <row r="975" spans="1:9" x14ac:dyDescent="0.35">
      <c r="A975" s="1">
        <v>39113</v>
      </c>
      <c r="B975" cm="1">
        <f t="array" ref="B975">(PRODUCT(1+sp500_monthly!B976:B1095)^(1/120)-1)*100</f>
        <v>0.5718353917458785</v>
      </c>
      <c r="C975" cm="1">
        <f t="array" ref="C975">(PRODUCT(1+sp500_monthly!C976:C1095)^(1/120)-1)*100</f>
        <v>0.38741910315600592</v>
      </c>
      <c r="D975" cm="1">
        <f t="array" ref="D975">(PRODUCT(1+sp500_monthly!D976:D1095)^(1/120)-1)*100</f>
        <v>0.68536232138431963</v>
      </c>
      <c r="E975" cm="1">
        <f t="array" ref="E975">(PRODUCT(1+sp500_monthly!E976:E1095)^(1/120)-1)*100</f>
        <v>0.51568352192890021</v>
      </c>
      <c r="F975" cm="1">
        <f t="array" ref="F975">(PRODUCT(1+sp500_monthly!K976:K1095)^(1/120)-1)*100</f>
        <v>0.3842892031840961</v>
      </c>
      <c r="G975" cm="1">
        <f t="array" ref="G975">(PRODUCT(1+sp500_monthly!L976:L1095)^(1/120)-1)</f>
        <v>4.698967938902876E-2</v>
      </c>
      <c r="H975" cm="1">
        <f t="array" ref="H975">(PRODUCT(1+sp500_monthly!N976:N1095)^(1/120)-1)*100</f>
        <v>0.42088565732190109</v>
      </c>
      <c r="I975" cm="1">
        <f t="array" ref="I975">(PRODUCT(1+sp500_monthly!O976:O1095)^(1/120)-1)*100</f>
        <v>-9.8066010056652164E-2</v>
      </c>
    </row>
    <row r="976" spans="1:9" x14ac:dyDescent="0.35">
      <c r="A976" s="1">
        <v>39141</v>
      </c>
      <c r="B976" cm="1">
        <f t="array" ref="B976">(PRODUCT(1+sp500_monthly!B977:B1096)^(1/120)-1)*100</f>
        <v>0.62060513081021451</v>
      </c>
      <c r="C976" cm="1">
        <f t="array" ref="C976">(PRODUCT(1+sp500_monthly!C977:C1096)^(1/120)-1)*100</f>
        <v>0.43613280683660882</v>
      </c>
      <c r="D976" cm="1">
        <f t="array" ref="D976">(PRODUCT(1+sp500_monthly!D977:D1096)^(1/120)-1)*100</f>
        <v>0.7140432929498175</v>
      </c>
      <c r="E976" cm="1">
        <f t="array" ref="E976">(PRODUCT(1+sp500_monthly!E977:E1096)^(1/120)-1)*100</f>
        <v>0.54397918782913557</v>
      </c>
      <c r="F976" cm="1">
        <f t="array" ref="F976">(PRODUCT(1+sp500_monthly!K977:K1096)^(1/120)-1)*100</f>
        <v>0.43333137833991842</v>
      </c>
      <c r="G976" cm="1">
        <f t="array" ref="G976">(PRODUCT(1+sp500_monthly!L977:L1096)^(1/120)-1)</f>
        <v>4.4524632342048287E-2</v>
      </c>
      <c r="H976" cm="1">
        <f t="array" ref="H976">(PRODUCT(1+sp500_monthly!N977:N1096)^(1/120)-1)*100</f>
        <v>0.47149068416869611</v>
      </c>
      <c r="I976" cm="1">
        <f t="array" ref="I976">(PRODUCT(1+sp500_monthly!O977:O1096)^(1/120)-1)*100</f>
        <v>-9.8992945440568025E-2</v>
      </c>
    </row>
    <row r="977" spans="1:9" x14ac:dyDescent="0.35">
      <c r="A977" s="1">
        <v>39171</v>
      </c>
      <c r="B977" cm="1">
        <f t="array" ref="B977">(PRODUCT(1+sp500_monthly!B978:B1097)^(1/120)-1)*100</f>
        <v>0.61291426175393848</v>
      </c>
      <c r="C977" cm="1">
        <f t="array" ref="C977">(PRODUCT(1+sp500_monthly!C978:C1097)^(1/120)-1)*100</f>
        <v>0.42811710128893843</v>
      </c>
      <c r="D977" cm="1">
        <f t="array" ref="D977">(PRODUCT(1+sp500_monthly!D978:D1097)^(1/120)-1)*100</f>
        <v>0.70806003483399049</v>
      </c>
      <c r="E977" cm="1">
        <f t="array" ref="E977">(PRODUCT(1+sp500_monthly!E978:E1097)^(1/120)-1)*100</f>
        <v>0.53749284405089082</v>
      </c>
      <c r="F977" cm="1">
        <f t="array" ref="F977">(PRODUCT(1+sp500_monthly!K978:K1097)^(1/120)-1)*100</f>
        <v>0.42469481433589085</v>
      </c>
      <c r="G977" cm="1">
        <f t="array" ref="G977">(PRODUCT(1+sp500_monthly!L978:L1097)^(1/120)-1)</f>
        <v>4.1672492830988617E-2</v>
      </c>
      <c r="H977" cm="1">
        <f t="array" ref="H977">(PRODUCT(1+sp500_monthly!N978:N1097)^(1/120)-1)*100</f>
        <v>0.46854480907709828</v>
      </c>
      <c r="I977" cm="1">
        <f t="array" ref="I977">(PRODUCT(1+sp500_monthly!O978:O1097)^(1/120)-1)*100</f>
        <v>-9.760836459526967E-2</v>
      </c>
    </row>
    <row r="978" spans="1:9" x14ac:dyDescent="0.35">
      <c r="A978" s="1">
        <v>39202</v>
      </c>
      <c r="B978" cm="1">
        <f t="array" ref="B978">(PRODUCT(1+sp500_monthly!B979:B1098)^(1/120)-1)*100</f>
        <v>0.58565557746335095</v>
      </c>
      <c r="C978" cm="1">
        <f t="array" ref="C978">(PRODUCT(1+sp500_monthly!C979:C1098)^(1/120)-1)*100</f>
        <v>0.40086349492391982</v>
      </c>
      <c r="D978" cm="1">
        <f t="array" ref="D978">(PRODUCT(1+sp500_monthly!D979:D1098)^(1/120)-1)*100</f>
        <v>0.67823101261612617</v>
      </c>
      <c r="E978" cm="1">
        <f t="array" ref="E978">(PRODUCT(1+sp500_monthly!E979:E1098)^(1/120)-1)*100</f>
        <v>0.50814988146052897</v>
      </c>
      <c r="F978" cm="1">
        <f t="array" ref="F978">(PRODUCT(1+sp500_monthly!K979:K1098)^(1/120)-1)*100</f>
        <v>0.39680554927601364</v>
      </c>
      <c r="G978" cm="1">
        <f t="array" ref="G978">(PRODUCT(1+sp500_monthly!L979:L1098)^(1/120)-1)</f>
        <v>3.8934303606688925E-2</v>
      </c>
      <c r="H978" cm="1">
        <f t="array" ref="H978">(PRODUCT(1+sp500_monthly!N979:N1098)^(1/120)-1)*100</f>
        <v>0.44280071342432947</v>
      </c>
      <c r="I978" cm="1">
        <f t="array" ref="I978">(PRODUCT(1+sp500_monthly!O979:O1098)^(1/120)-1)*100</f>
        <v>-9.9379697933210664E-2</v>
      </c>
    </row>
    <row r="979" spans="1:9" x14ac:dyDescent="0.35">
      <c r="A979" s="1">
        <v>39233</v>
      </c>
      <c r="B979" cm="1">
        <f t="array" ref="B979">(PRODUCT(1+sp500_monthly!B980:B1099)^(1/120)-1)*100</f>
        <v>0.56936918748022869</v>
      </c>
      <c r="C979" cm="1">
        <f t="array" ref="C979">(PRODUCT(1+sp500_monthly!C980:C1099)^(1/120)-1)*100</f>
        <v>0.38430008733734144</v>
      </c>
      <c r="D979" cm="1">
        <f t="array" ref="D979">(PRODUCT(1+sp500_monthly!D980:D1099)^(1/120)-1)*100</f>
        <v>0.65510248022768724</v>
      </c>
      <c r="E979" cm="1">
        <f t="array" ref="E979">(PRODUCT(1+sp500_monthly!E980:E1099)^(1/120)-1)*100</f>
        <v>0.48456257102180711</v>
      </c>
      <c r="F979" cm="1">
        <f t="array" ref="F979">(PRODUCT(1+sp500_monthly!K980:K1099)^(1/120)-1)*100</f>
        <v>0.37963833381255974</v>
      </c>
      <c r="G979" cm="1">
        <f t="array" ref="G979">(PRODUCT(1+sp500_monthly!L980:L1099)^(1/120)-1)</f>
        <v>3.6466991643514302E-2</v>
      </c>
      <c r="H979" cm="1">
        <f t="array" ref="H979">(PRODUCT(1+sp500_monthly!N980:N1099)^(1/120)-1)*100</f>
        <v>0.43063724532099723</v>
      </c>
      <c r="I979" cm="1">
        <f t="array" ref="I979">(PRODUCT(1+sp500_monthly!O980:O1099)^(1/120)-1)*100</f>
        <v>-9.82083925398336E-2</v>
      </c>
    </row>
    <row r="980" spans="1:9" x14ac:dyDescent="0.35">
      <c r="A980" s="1">
        <v>39262</v>
      </c>
      <c r="B980" cm="1">
        <f t="array" ref="B980">(PRODUCT(1+sp500_monthly!B981:B1100)^(1/120)-1)*100</f>
        <v>0.58826201113499899</v>
      </c>
      <c r="C980" cm="1">
        <f t="array" ref="C980">(PRODUCT(1+sp500_monthly!C981:C1100)^(1/120)-1)*100</f>
        <v>0.40299368278087222</v>
      </c>
      <c r="D980" cm="1">
        <f t="array" ref="D980">(PRODUCT(1+sp500_monthly!D981:D1100)^(1/120)-1)*100</f>
        <v>0.68161788199132545</v>
      </c>
      <c r="E980" cm="1">
        <f t="array" ref="E980">(PRODUCT(1+sp500_monthly!E981:E1100)^(1/120)-1)*100</f>
        <v>0.51061123524298591</v>
      </c>
      <c r="F980" cm="1">
        <f t="array" ref="F980">(PRODUCT(1+sp500_monthly!K981:K1100)^(1/120)-1)*100</f>
        <v>0.39869476186242814</v>
      </c>
      <c r="G980" cm="1">
        <f t="array" ref="G980">(PRODUCT(1+sp500_monthly!L981:L1100)^(1/120)-1)</f>
        <v>3.4066870168018903E-2</v>
      </c>
      <c r="H980" cm="1">
        <f t="array" ref="H980">(PRODUCT(1+sp500_monthly!N981:N1100)^(1/120)-1)*100</f>
        <v>0.45089579115840106</v>
      </c>
      <c r="I980" cm="1">
        <f t="array" ref="I980">(PRODUCT(1+sp500_monthly!O981:O1100)^(1/120)-1)*100</f>
        <v>-9.9648254582995754E-2</v>
      </c>
    </row>
    <row r="981" spans="1:9" x14ac:dyDescent="0.35">
      <c r="A981" s="1">
        <v>39294</v>
      </c>
      <c r="B981" cm="1">
        <f t="array" ref="B981">(PRODUCT(1+sp500_monthly!B982:B1101)^(1/120)-1)*100</f>
        <v>0.63200959280711455</v>
      </c>
      <c r="C981" cm="1">
        <f t="array" ref="C981">(PRODUCT(1+sp500_monthly!C982:C1101)^(1/120)-1)*100</f>
        <v>0.44634057604469035</v>
      </c>
      <c r="D981" cm="1">
        <f t="array" ref="D981">(PRODUCT(1+sp500_monthly!D982:D1101)^(1/120)-1)*100</f>
        <v>0.73347003307262515</v>
      </c>
      <c r="E981" cm="1">
        <f t="array" ref="E981">(PRODUCT(1+sp500_monthly!E982:E1101)^(1/120)-1)*100</f>
        <v>0.56186529880415392</v>
      </c>
      <c r="F981" cm="1">
        <f t="array" ref="F981">(PRODUCT(1+sp500_monthly!K982:K1101)^(1/120)-1)*100</f>
        <v>0.4419330580037073</v>
      </c>
      <c r="G981" cm="1">
        <f t="array" ref="G981">(PRODUCT(1+sp500_monthly!L982:L1101)^(1/120)-1)</f>
        <v>3.1753035879728664E-2</v>
      </c>
      <c r="H981" cm="1">
        <f t="array" ref="H981">(PRODUCT(1+sp500_monthly!N982:N1101)^(1/120)-1)*100</f>
        <v>0.49579913275001886</v>
      </c>
      <c r="I981" cm="1">
        <f t="array" ref="I981">(PRODUCT(1+sp500_monthly!O982:O1101)^(1/120)-1)*100</f>
        <v>-0.10118075584478747</v>
      </c>
    </row>
    <row r="982" spans="1:9" x14ac:dyDescent="0.35">
      <c r="A982" s="1">
        <v>39325</v>
      </c>
      <c r="B982" cm="1">
        <f t="array" ref="B982">(PRODUCT(1+sp500_monthly!B983:B1102)^(1/120)-1)*100</f>
        <v>0.62132159892152039</v>
      </c>
      <c r="C982" cm="1">
        <f t="array" ref="C982">(PRODUCT(1+sp500_monthly!C983:C1102)^(1/120)-1)*100</f>
        <v>0.43537488049918416</v>
      </c>
      <c r="D982" cm="1">
        <f t="array" ref="D982">(PRODUCT(1+sp500_monthly!D983:D1102)^(1/120)-1)*100</f>
        <v>0.72378154797050342</v>
      </c>
      <c r="E982" cm="1">
        <f t="array" ref="E982">(PRODUCT(1+sp500_monthly!E983:E1102)^(1/120)-1)*100</f>
        <v>0.55184827045555718</v>
      </c>
      <c r="F982" cm="1">
        <f t="array" ref="F982">(PRODUCT(1+sp500_monthly!K983:K1102)^(1/120)-1)*100</f>
        <v>0.43169175849795405</v>
      </c>
      <c r="G982" cm="1">
        <f t="array" ref="G982">(PRODUCT(1+sp500_monthly!L983:L1102)^(1/120)-1)</f>
        <v>2.9481563353161322E-2</v>
      </c>
      <c r="H982" cm="1">
        <f t="array" ref="H982">(PRODUCT(1+sp500_monthly!N983:N1102)^(1/120)-1)*100</f>
        <v>0.48216719459515112</v>
      </c>
      <c r="I982" cm="1">
        <f t="array" ref="I982">(PRODUCT(1+sp500_monthly!O983:O1102)^(1/120)-1)*100</f>
        <v>-0.10686201939720252</v>
      </c>
    </row>
    <row r="983" spans="1:9" x14ac:dyDescent="0.35">
      <c r="A983" s="1">
        <v>39353</v>
      </c>
      <c r="B983" cm="1">
        <f t="array" ref="B983">(PRODUCT(1+sp500_monthly!B984:B1103)^(1/120)-1)*100</f>
        <v>0.60712536501266179</v>
      </c>
      <c r="C983" cm="1">
        <f t="array" ref="C983">(PRODUCT(1+sp500_monthly!C984:C1103)^(1/120)-1)*100</f>
        <v>0.42137827478456735</v>
      </c>
      <c r="D983" cm="1">
        <f t="array" ref="D983">(PRODUCT(1+sp500_monthly!D984:D1103)^(1/120)-1)*100</f>
        <v>0.72791537425087594</v>
      </c>
      <c r="E983" cm="1">
        <f t="array" ref="E983">(PRODUCT(1+sp500_monthly!E984:E1103)^(1/120)-1)*100</f>
        <v>0.55574762172461156</v>
      </c>
      <c r="F983" cm="1">
        <f t="array" ref="F983">(PRODUCT(1+sp500_monthly!K984:K1103)^(1/120)-1)*100</f>
        <v>0.41826056905920339</v>
      </c>
      <c r="G983" cm="1">
        <f t="array" ref="G983">(PRODUCT(1+sp500_monthly!L984:L1103)^(1/120)-1)</f>
        <v>2.7840386203131784E-2</v>
      </c>
      <c r="H983" cm="1">
        <f t="array" ref="H983">(PRODUCT(1+sp500_monthly!N984:N1103)^(1/120)-1)*100</f>
        <v>0.46726655979281162</v>
      </c>
      <c r="I983" cm="1">
        <f t="array" ref="I983">(PRODUCT(1+sp500_monthly!O984:O1103)^(1/120)-1)*100</f>
        <v>-0.10949258059056444</v>
      </c>
    </row>
    <row r="984" spans="1:9" x14ac:dyDescent="0.35">
      <c r="A984" s="1">
        <v>39386</v>
      </c>
      <c r="B984" cm="1">
        <f t="array" ref="B984">(PRODUCT(1+sp500_monthly!B985:B1104)^(1/120)-1)*100</f>
        <v>0.61268774117406721</v>
      </c>
      <c r="C984" cm="1">
        <f t="array" ref="C984">(PRODUCT(1+sp500_monthly!C985:C1104)^(1/120)-1)*100</f>
        <v>0.42688875002632187</v>
      </c>
      <c r="D984" cm="1">
        <f t="array" ref="D984">(PRODUCT(1+sp500_monthly!D985:D1104)^(1/120)-1)*100</f>
        <v>0.72534801481025646</v>
      </c>
      <c r="E984" cm="1">
        <f t="array" ref="E984">(PRODUCT(1+sp500_monthly!E985:E1104)^(1/120)-1)*100</f>
        <v>0.55314352864317406</v>
      </c>
      <c r="F984" cm="1">
        <f t="array" ref="F984">(PRODUCT(1+sp500_monthly!K985:K1104)^(1/120)-1)*100</f>
        <v>0.42431279283843271</v>
      </c>
      <c r="G984" cm="1">
        <f t="array" ref="G984">(PRODUCT(1+sp500_monthly!L985:L1104)^(1/120)-1)</f>
        <v>2.620182538207172E-2</v>
      </c>
      <c r="H984" cm="1">
        <f t="array" ref="H984">(PRODUCT(1+sp500_monthly!N985:N1104)^(1/120)-1)*100</f>
        <v>0.47475008438955246</v>
      </c>
      <c r="I984" cm="1">
        <f t="array" ref="I984">(PRODUCT(1+sp500_monthly!O985:O1104)^(1/120)-1)*100</f>
        <v>-0.10948554938050581</v>
      </c>
    </row>
    <row r="985" spans="1:9" x14ac:dyDescent="0.35">
      <c r="A985" s="1">
        <v>39416</v>
      </c>
      <c r="B985" cm="1">
        <f t="array" ref="B985">(PRODUCT(1+sp500_monthly!B986:B1105)^(1/120)-1)*100</f>
        <v>0.67405424008086801</v>
      </c>
      <c r="C985" cm="1">
        <f t="array" ref="C985">(PRODUCT(1+sp500_monthly!C986:C1105)^(1/120)-1)*100</f>
        <v>0.48800921207063919</v>
      </c>
      <c r="D985" cm="1">
        <f t="array" ref="D985">(PRODUCT(1+sp500_monthly!D986:D1105)^(1/120)-1)*100</f>
        <v>0.80018800137362511</v>
      </c>
      <c r="E985" cm="1">
        <f t="array" ref="E985">(PRODUCT(1+sp500_monthly!E986:E1105)^(1/120)-1)*100</f>
        <v>0.62775330552733433</v>
      </c>
      <c r="F985" cm="1">
        <f t="array" ref="F985">(PRODUCT(1+sp500_monthly!K986:K1105)^(1/120)-1)*100</f>
        <v>0.48520365119359976</v>
      </c>
      <c r="G985" cm="1">
        <f t="array" ref="G985">(PRODUCT(1+sp500_monthly!L986:L1105)^(1/120)-1)</f>
        <v>2.4358811259907798E-2</v>
      </c>
      <c r="H985" cm="1">
        <f t="array" ref="H985">(PRODUCT(1+sp500_monthly!N986:N1105)^(1/120)-1)*100</f>
        <v>0.54035870152215892</v>
      </c>
      <c r="I985" cm="1">
        <f t="array" ref="I985">(PRODUCT(1+sp500_monthly!O986:O1105)^(1/120)-1)*100</f>
        <v>-0.10734690672353775</v>
      </c>
    </row>
    <row r="986" spans="1:9" x14ac:dyDescent="0.35">
      <c r="A986" s="1">
        <v>39447</v>
      </c>
      <c r="B986" cm="1">
        <f t="array" ref="B986">(PRODUCT(1+sp500_monthly!B987:B1106)^(1/120)-1)*100</f>
        <v>0.68850375490003834</v>
      </c>
      <c r="C986" cm="1">
        <f t="array" ref="C986">(PRODUCT(1+sp500_monthly!C987:C1106)^(1/120)-1)*100</f>
        <v>0.50286343364072117</v>
      </c>
      <c r="D986" cm="1">
        <f t="array" ref="D986">(PRODUCT(1+sp500_monthly!D987:D1106)^(1/120)-1)*100</f>
        <v>0.82528806380250952</v>
      </c>
      <c r="E986" cm="1">
        <f t="array" ref="E986">(PRODUCT(1+sp500_monthly!E987:E1106)^(1/120)-1)*100</f>
        <v>0.65311112468853239</v>
      </c>
      <c r="F986" cm="1">
        <f t="array" ref="F986">(PRODUCT(1+sp500_monthly!K987:K1106)^(1/120)-1)*100</f>
        <v>0.50065395079461616</v>
      </c>
      <c r="G986" cm="1">
        <f t="array" ref="G986">(PRODUCT(1+sp500_monthly!L987:L1106)^(1/120)-1)</f>
        <v>2.3054956890116385E-2</v>
      </c>
      <c r="H986" cm="1">
        <f t="array" ref="H986">(PRODUCT(1+sp500_monthly!N987:N1106)^(1/120)-1)*100</f>
        <v>0.55545030338453039</v>
      </c>
      <c r="I986" cm="1">
        <f t="array" ref="I986">(PRODUCT(1+sp500_monthly!O987:O1106)^(1/120)-1)*100</f>
        <v>-0.10818568163849518</v>
      </c>
    </row>
    <row r="987" spans="1:9" x14ac:dyDescent="0.35">
      <c r="A987" s="1">
        <v>39478</v>
      </c>
      <c r="B987" cm="1">
        <f t="array" ref="B987">(PRODUCT(1+sp500_monthly!B988:B1107)^(1/120)-1)*100</f>
        <v>0.7888677195302618</v>
      </c>
      <c r="C987" cm="1">
        <f t="array" ref="C987">(PRODUCT(1+sp500_monthly!C988:C1107)^(1/120)-1)*100</f>
        <v>0.60325817642552515</v>
      </c>
      <c r="D987" cm="1">
        <f t="array" ref="D987">(PRODUCT(1+sp500_monthly!D988:D1107)^(1/120)-1)*100</f>
        <v>0.90078420521058078</v>
      </c>
      <c r="E987" cm="1">
        <f t="array" ref="E987">(PRODUCT(1+sp500_monthly!E988:E1107)^(1/120)-1)*100</f>
        <v>0.7285848016976848</v>
      </c>
      <c r="F987" cm="1">
        <f t="array" ref="F987">(PRODUCT(1+sp500_monthly!K988:K1107)^(1/120)-1)*100</f>
        <v>0.59933629076351913</v>
      </c>
      <c r="G987" cm="1">
        <f t="array" ref="G987">(PRODUCT(1+sp500_monthly!L988:L1107)^(1/120)-1)</f>
        <v>2.2396222136518151E-2</v>
      </c>
      <c r="H987" cm="1">
        <f t="array" ref="H987">(PRODUCT(1+sp500_monthly!N988:N1107)^(1/120)-1)*100</f>
        <v>0.65500846962063264</v>
      </c>
      <c r="I987" cm="1">
        <f t="array" ref="I987">(PRODUCT(1+sp500_monthly!O988:O1107)^(1/120)-1)*100</f>
        <v>-0.10960169351111881</v>
      </c>
    </row>
    <row r="988" spans="1:9" x14ac:dyDescent="0.35">
      <c r="A988" s="1">
        <v>39507</v>
      </c>
      <c r="B988" cm="1">
        <f t="array" ref="B988">(PRODUCT(1+sp500_monthly!B989:B1108)^(1/120)-1)*100</f>
        <v>0.78343758470575953</v>
      </c>
      <c r="C988" cm="1">
        <f t="array" ref="C988">(PRODUCT(1+sp500_monthly!C989:C1108)^(1/120)-1)*100</f>
        <v>0.59802867317657604</v>
      </c>
      <c r="D988" cm="1">
        <f t="array" ref="D988">(PRODUCT(1+sp500_monthly!D989:D1108)^(1/120)-1)*100</f>
        <v>0.88869533342956775</v>
      </c>
      <c r="E988" cm="1">
        <f t="array" ref="E988">(PRODUCT(1+sp500_monthly!E989:E1108)^(1/120)-1)*100</f>
        <v>0.71655320372487896</v>
      </c>
      <c r="F988" cm="1">
        <f t="array" ref="F988">(PRODUCT(1+sp500_monthly!K989:K1108)^(1/120)-1)*100</f>
        <v>0.59569283259994776</v>
      </c>
      <c r="G988" cm="1">
        <f t="array" ref="G988">(PRODUCT(1+sp500_monthly!L989:L1108)^(1/120)-1)</f>
        <v>2.2244087118618472E-2</v>
      </c>
      <c r="H988" cm="1">
        <f t="array" ref="H988">(PRODUCT(1+sp500_monthly!N989:N1108)^(1/120)-1)*100</f>
        <v>0.64935593060202468</v>
      </c>
      <c r="I988" cm="1">
        <f t="array" ref="I988">(PRODUCT(1+sp500_monthly!O989:O1108)^(1/120)-1)*100</f>
        <v>-0.10999586152460328</v>
      </c>
    </row>
    <row r="989" spans="1:9" x14ac:dyDescent="0.35">
      <c r="A989" s="1">
        <v>39538</v>
      </c>
      <c r="B989" cm="1">
        <f t="array" ref="B989">(PRODUCT(1+sp500_monthly!B990:B1109)^(1/120)-1)*100</f>
        <v>0.76464079533904439</v>
      </c>
      <c r="C989" cm="1">
        <f t="array" ref="C989">(PRODUCT(1+sp500_monthly!C990:C1109)^(1/120)-1)*100</f>
        <v>0.57925301585657341</v>
      </c>
      <c r="D989" cm="1">
        <f t="array" ref="D989">(PRODUCT(1+sp500_monthly!D990:D1109)^(1/120)-1)*100</f>
        <v>0.89222543261351372</v>
      </c>
      <c r="E989" cm="1">
        <f t="array" ref="E989">(PRODUCT(1+sp500_monthly!E990:E1109)^(1/120)-1)*100</f>
        <v>0.71965528417656799</v>
      </c>
      <c r="F989" cm="1">
        <f t="array" ref="F989">(PRODUCT(1+sp500_monthly!K990:K1109)^(1/120)-1)*100</f>
        <v>0.57785948379533991</v>
      </c>
      <c r="G989" cm="1">
        <f t="array" ref="G989">(PRODUCT(1+sp500_monthly!L990:L1109)^(1/120)-1)</f>
        <v>2.1795729261946173E-2</v>
      </c>
      <c r="H989" cm="1">
        <f t="array" ref="H989">(PRODUCT(1+sp500_monthly!N990:N1109)^(1/120)-1)*100</f>
        <v>0.63341802768366318</v>
      </c>
      <c r="I989" cm="1">
        <f t="array" ref="I989">(PRODUCT(1+sp500_monthly!O990:O1109)^(1/120)-1)*100</f>
        <v>-0.10768160242192737</v>
      </c>
    </row>
    <row r="990" spans="1:9" x14ac:dyDescent="0.35">
      <c r="A990" s="1">
        <v>39568</v>
      </c>
      <c r="B990" cm="1">
        <f t="array" ref="B990">(PRODUCT(1+sp500_monthly!B991:B1110)^(1/120)-1)*100</f>
        <v>0.72793498948120483</v>
      </c>
      <c r="C990" cm="1">
        <f t="array" ref="C990">(PRODUCT(1+sp500_monthly!C991:C1110)^(1/120)-1)*100</f>
        <v>0.54259491651977854</v>
      </c>
      <c r="D990" cm="1">
        <f t="array" ref="D990">(PRODUCT(1+sp500_monthly!D991:D1110)^(1/120)-1)*100</f>
        <v>0.85254446844935661</v>
      </c>
      <c r="E990" cm="1">
        <f t="array" ref="E990">(PRODUCT(1+sp500_monthly!E991:E1110)^(1/120)-1)*100</f>
        <v>0.68001025941486493</v>
      </c>
      <c r="F990" cm="1">
        <f t="array" ref="F990">(PRODUCT(1+sp500_monthly!K991:K1110)^(1/120)-1)*100</f>
        <v>0.5412089443423973</v>
      </c>
      <c r="G990" cm="1">
        <f t="array" ref="G990">(PRODUCT(1+sp500_monthly!L991:L1110)^(1/120)-1)</f>
        <v>2.1502122891070119E-2</v>
      </c>
      <c r="H990" cm="1">
        <f t="array" ref="H990">(PRODUCT(1+sp500_monthly!N991:N1110)^(1/120)-1)*100</f>
        <v>0.59651748914468783</v>
      </c>
      <c r="I990" cm="1">
        <f t="array" ref="I990">(PRODUCT(1+sp500_monthly!O991:O1110)^(1/120)-1)*100</f>
        <v>-0.10825487873677986</v>
      </c>
    </row>
    <row r="991" spans="1:9" x14ac:dyDescent="0.35">
      <c r="A991" s="1">
        <v>39598</v>
      </c>
      <c r="B991" cm="1">
        <f t="array" ref="B991">(PRODUCT(1+sp500_monthly!B992:B1111)^(1/120)-1)*100</f>
        <v>0.7368487906122434</v>
      </c>
      <c r="C991" cm="1">
        <f t="array" ref="C991">(PRODUCT(1+sp500_monthly!C992:C1111)^(1/120)-1)*100</f>
        <v>0.55134409111934346</v>
      </c>
      <c r="D991" cm="1">
        <f t="array" ref="D991">(PRODUCT(1+sp500_monthly!D992:D1111)^(1/120)-1)*100</f>
        <v>0.84421711579991676</v>
      </c>
      <c r="E991" cm="1">
        <f t="array" ref="E991">(PRODUCT(1+sp500_monthly!E992:E1111)^(1/120)-1)*100</f>
        <v>0.67158893433127975</v>
      </c>
      <c r="F991" cm="1">
        <f t="array" ref="F991">(PRODUCT(1+sp500_monthly!K992:K1111)^(1/120)-1)*100</f>
        <v>0.55022489681784137</v>
      </c>
      <c r="G991" cm="1">
        <f t="array" ref="G991">(PRODUCT(1+sp500_monthly!L992:L1111)^(1/120)-1)</f>
        <v>2.1208600886079454E-2</v>
      </c>
      <c r="H991" cm="1">
        <f t="array" ref="H991">(PRODUCT(1+sp500_monthly!N992:N1111)^(1/120)-1)*100</f>
        <v>0.60847530123815385</v>
      </c>
      <c r="I991" cm="1">
        <f t="array" ref="I991">(PRODUCT(1+sp500_monthly!O992:O1111)^(1/120)-1)*100</f>
        <v>-0.10555336436064433</v>
      </c>
    </row>
    <row r="992" spans="1:9" x14ac:dyDescent="0.35">
      <c r="A992" s="1">
        <v>39629</v>
      </c>
      <c r="B992" cm="1">
        <f t="array" ref="B992">(PRODUCT(1+sp500_monthly!B993:B1112)^(1/120)-1)*100</f>
        <v>0.8151956219704326</v>
      </c>
      <c r="C992" cm="1">
        <f t="array" ref="C992">(PRODUCT(1+sp500_monthly!C993:C1112)^(1/120)-1)*100</f>
        <v>0.63001620749467691</v>
      </c>
      <c r="D992" cm="1">
        <f t="array" ref="D992">(PRODUCT(1+sp500_monthly!D993:D1112)^(1/120)-1)*100</f>
        <v>0.94065330366566169</v>
      </c>
      <c r="E992" cm="1">
        <f t="array" ref="E992">(PRODUCT(1+sp500_monthly!E993:E1112)^(1/120)-1)*100</f>
        <v>0.76795274885508302</v>
      </c>
      <c r="F992" cm="1">
        <f t="array" ref="F992">(PRODUCT(1+sp500_monthly!K993:K1112)^(1/120)-1)*100</f>
        <v>0.62961837873418691</v>
      </c>
      <c r="G992" cm="1">
        <f t="array" ref="G992">(PRODUCT(1+sp500_monthly!L993:L1112)^(1/120)-1)</f>
        <v>2.0987571558150231E-2</v>
      </c>
      <c r="H992" cm="1">
        <f t="array" ref="H992">(PRODUCT(1+sp500_monthly!N993:N1112)^(1/120)-1)*100</f>
        <v>0.69471292196403578</v>
      </c>
      <c r="I992" cm="1">
        <f t="array" ref="I992">(PRODUCT(1+sp500_monthly!O993:O1112)^(1/120)-1)*100</f>
        <v>-9.7874979246603822E-2</v>
      </c>
    </row>
    <row r="993" spans="1:9" x14ac:dyDescent="0.35">
      <c r="A993" s="1">
        <v>39660</v>
      </c>
      <c r="B993" cm="1">
        <f t="array" ref="B993">(PRODUCT(1+sp500_monthly!B994:B1113)^(1/120)-1)*100</f>
        <v>0.85200291134059913</v>
      </c>
      <c r="C993" cm="1">
        <f t="array" ref="C993">(PRODUCT(1+sp500_monthly!C994:C1113)^(1/120)-1)*100</f>
        <v>0.66701677077241062</v>
      </c>
      <c r="D993" cm="1">
        <f t="array" ref="D993">(PRODUCT(1+sp500_monthly!D994:D1113)^(1/120)-1)*100</f>
        <v>0.97046221836945001</v>
      </c>
      <c r="E993" cm="1">
        <f t="array" ref="E993">(PRODUCT(1+sp500_monthly!E994:E1113)^(1/120)-1)*100</f>
        <v>0.79803583349524754</v>
      </c>
      <c r="F993" cm="1">
        <f t="array" ref="F993">(PRODUCT(1+sp500_monthly!K994:K1113)^(1/120)-1)*100</f>
        <v>0.66761012757408089</v>
      </c>
      <c r="G993" cm="1">
        <f t="array" ref="G993">(PRODUCT(1+sp500_monthly!L994:L1113)^(1/120)-1)</f>
        <v>2.1061239002811316E-2</v>
      </c>
      <c r="H993" cm="1">
        <f t="array" ref="H993">(PRODUCT(1+sp500_monthly!N994:N1113)^(1/120)-1)*100</f>
        <v>0.73679460774507266</v>
      </c>
      <c r="I993" cm="1">
        <f t="array" ref="I993">(PRODUCT(1+sp500_monthly!O994:O1113)^(1/120)-1)*100</f>
        <v>-9.2517255439328316E-2</v>
      </c>
    </row>
    <row r="994" spans="1:9" x14ac:dyDescent="0.35">
      <c r="A994" s="1">
        <v>39689</v>
      </c>
      <c r="B994" cm="1">
        <f t="array" ref="B994">(PRODUCT(1+sp500_monthly!B995:B1114)^(1/120)-1)*100</f>
        <v>0.86676443220552457</v>
      </c>
      <c r="C994" cm="1">
        <f t="array" ref="C994">(PRODUCT(1+sp500_monthly!C995:C1114)^(1/120)-1)*100</f>
        <v>0.68176934750747709</v>
      </c>
      <c r="D994" cm="1">
        <f t="array" ref="D994">(PRODUCT(1+sp500_monthly!D995:D1114)^(1/120)-1)*100</f>
        <v>0.96359750418009149</v>
      </c>
      <c r="E994" cm="1">
        <f t="array" ref="E994">(PRODUCT(1+sp500_monthly!E995:E1114)^(1/120)-1)*100</f>
        <v>0.79113363762983724</v>
      </c>
      <c r="F994" cm="1">
        <f t="array" ref="F994">(PRODUCT(1+sp500_monthly!K995:K1114)^(1/120)-1)*100</f>
        <v>0.68245702813405362</v>
      </c>
      <c r="G994" cm="1">
        <f t="array" ref="G994">(PRODUCT(1+sp500_monthly!L995:L1114)^(1/120)-1)</f>
        <v>2.1284215235880533E-2</v>
      </c>
      <c r="H994" cm="1">
        <f t="array" ref="H994">(PRODUCT(1+sp500_monthly!N995:N1114)^(1/120)-1)*100</f>
        <v>0.74878936559372722</v>
      </c>
      <c r="I994" cm="1">
        <f t="array" ref="I994">(PRODUCT(1+sp500_monthly!O995:O1114)^(1/120)-1)*100</f>
        <v>-9.4994717481655666E-2</v>
      </c>
    </row>
    <row r="995" spans="1:9" x14ac:dyDescent="0.35">
      <c r="A995" s="1">
        <v>39721</v>
      </c>
      <c r="B995" cm="1">
        <f t="array" ref="B995">(PRODUCT(1+sp500_monthly!B996:B1115)^(1/120)-1)*100</f>
        <v>0.94620017375710574</v>
      </c>
      <c r="C995" cm="1">
        <f t="array" ref="C995">(PRODUCT(1+sp500_monthly!C996:C1115)^(1/120)-1)*100</f>
        <v>0.76157847192932504</v>
      </c>
      <c r="D995" cm="1">
        <f t="array" ref="D995">(PRODUCT(1+sp500_monthly!D996:D1115)^(1/120)-1)*100</f>
        <v>1.0568027991550322</v>
      </c>
      <c r="E995" cm="1">
        <f t="array" ref="E995">(PRODUCT(1+sp500_monthly!E996:E1115)^(1/120)-1)*100</f>
        <v>0.88441318560101845</v>
      </c>
      <c r="F995" cm="1">
        <f t="array" ref="F995">(PRODUCT(1+sp500_monthly!K996:K1115)^(1/120)-1)*100</f>
        <v>0.76594487543455436</v>
      </c>
      <c r="G995" cm="1">
        <f t="array" ref="G995">(PRODUCT(1+sp500_monthly!L996:L1115)^(1/120)-1)</f>
        <v>2.1284215235880533E-2</v>
      </c>
      <c r="H995" cm="1">
        <f t="array" ref="H995">(PRODUCT(1+sp500_monthly!N996:N1115)^(1/120)-1)*100</f>
        <v>0.82711935784312018</v>
      </c>
      <c r="I995" cm="1">
        <f t="array" ref="I995">(PRODUCT(1+sp500_monthly!O996:O1115)^(1/120)-1)*100</f>
        <v>-9.5998284709519766E-2</v>
      </c>
    </row>
    <row r="996" spans="1:9" x14ac:dyDescent="0.35">
      <c r="A996" s="1">
        <v>39752</v>
      </c>
      <c r="B996" cm="1">
        <f t="array" ref="B996">(PRODUCT(1+sp500_monthly!B997:B1116)^(1/120)-1)*100</f>
        <v>1.0403227101030366</v>
      </c>
      <c r="C996" cm="1">
        <f t="array" ref="C996">(PRODUCT(1+sp500_monthly!C997:C1116)^(1/120)-1)*100</f>
        <v>0.85604073617051579</v>
      </c>
      <c r="D996" cm="1">
        <f t="array" ref="D996">(PRODUCT(1+sp500_monthly!D997:D1116)^(1/120)-1)*100</f>
        <v>1.1904421500932294</v>
      </c>
      <c r="E996" cm="1">
        <f t="array" ref="E996">(PRODUCT(1+sp500_monthly!E997:E1116)^(1/120)-1)*100</f>
        <v>1.0182235540669993</v>
      </c>
      <c r="F996" cm="1">
        <f t="array" ref="F996">(PRODUCT(1+sp500_monthly!K997:K1116)^(1/120)-1)*100</f>
        <v>0.86147264853571048</v>
      </c>
      <c r="G996" cm="1">
        <f t="array" ref="G996">(PRODUCT(1+sp500_monthly!L997:L1116)^(1/120)-1)</f>
        <v>2.2110021179652994E-2</v>
      </c>
      <c r="H996" cm="1">
        <f t="array" ref="H996">(PRODUCT(1+sp500_monthly!N997:N1116)^(1/120)-1)*100</f>
        <v>0.91190333914257238</v>
      </c>
      <c r="I996" cm="1">
        <f t="array" ref="I996">(PRODUCT(1+sp500_monthly!O997:O1116)^(1/120)-1)*100</f>
        <v>-0.10421833656629742</v>
      </c>
    </row>
    <row r="997" spans="1:9" x14ac:dyDescent="0.35">
      <c r="A997" s="1">
        <v>39780</v>
      </c>
      <c r="B997" cm="1">
        <f t="array" ref="B997">(PRODUCT(1+sp500_monthly!B998:B1117)^(1/120)-1)*100</f>
        <v>1.121114541154844</v>
      </c>
      <c r="C997" cm="1">
        <f t="array" ref="C997">(PRODUCT(1+sp500_monthly!C998:C1117)^(1/120)-1)*100</f>
        <v>0.93735623512634092</v>
      </c>
      <c r="D997" cm="1">
        <f t="array" ref="D997">(PRODUCT(1+sp500_monthly!D998:D1117)^(1/120)-1)*100</f>
        <v>1.3055618488291509</v>
      </c>
      <c r="E997" cm="1">
        <f t="array" ref="E997">(PRODUCT(1+sp500_monthly!E998:E1117)^(1/120)-1)*100</f>
        <v>1.1339842164185487</v>
      </c>
      <c r="F997" cm="1">
        <f t="array" ref="F997">(PRODUCT(1+sp500_monthly!K998:K1117)^(1/120)-1)*100</f>
        <v>0.94177327809130684</v>
      </c>
      <c r="G997" cm="1">
        <f t="array" ref="G997">(PRODUCT(1+sp500_monthly!L998:L1117)^(1/120)-1)</f>
        <v>2.3268690906318668E-2</v>
      </c>
      <c r="H997" cm="1">
        <f t="array" ref="H997">(PRODUCT(1+sp500_monthly!N998:N1117)^(1/120)-1)*100</f>
        <v>0.97815186896175188</v>
      </c>
      <c r="I997" cm="1">
        <f t="array" ref="I997">(PRODUCT(1+sp500_monthly!O998:O1117)^(1/120)-1)*100</f>
        <v>-0.11725490693691443</v>
      </c>
    </row>
    <row r="998" spans="1:9" x14ac:dyDescent="0.35">
      <c r="A998" s="1">
        <v>39813</v>
      </c>
      <c r="B998" cm="1">
        <f t="array" ref="B998">(PRODUCT(1+sp500_monthly!B999:B1118)^(1/120)-1)*100</f>
        <v>1.0310351686430019</v>
      </c>
      <c r="C998" cm="1">
        <f t="array" ref="C998">(PRODUCT(1+sp500_monthly!C999:C1118)^(1/120)-1)*100</f>
        <v>0.84831440978578865</v>
      </c>
      <c r="D998" cm="1">
        <f t="array" ref="D998">(PRODUCT(1+sp500_monthly!D999:D1118)^(1/120)-1)*100</f>
        <v>1.1800422636659702</v>
      </c>
      <c r="E998" cm="1">
        <f t="array" ref="E998">(PRODUCT(1+sp500_monthly!E999:E1118)^(1/120)-1)*100</f>
        <v>1.0095607797452777</v>
      </c>
      <c r="F998" cm="1">
        <f t="array" ref="F998">(PRODUCT(1+sp500_monthly!K999:K1118)^(1/120)-1)*100</f>
        <v>0.85428048229814202</v>
      </c>
      <c r="G998" cm="1">
        <f t="array" ref="G998">(PRODUCT(1+sp500_monthly!L999:L1118)^(1/120)-1)</f>
        <v>2.482457207437494E-2</v>
      </c>
      <c r="H998" cm="1">
        <f t="array" ref="H998">(PRODUCT(1+sp500_monthly!N999:N1118)^(1/120)-1)*100</f>
        <v>0.88067364750152866</v>
      </c>
      <c r="I998" cm="1">
        <f t="array" ref="I998">(PRODUCT(1+sp500_monthly!O999:O1118)^(1/120)-1)*100</f>
        <v>-0.12304316195644871</v>
      </c>
    </row>
    <row r="999" spans="1:9" x14ac:dyDescent="0.35">
      <c r="A999" s="1">
        <v>39843</v>
      </c>
      <c r="B999" cm="1">
        <f t="array" ref="B999">(PRODUCT(1+sp500_monthly!B1000:B1119)^(1/120)-1)*100</f>
        <v>1.1696208378378925</v>
      </c>
      <c r="C999" cm="1">
        <f t="array" ref="C999">(PRODUCT(1+sp500_monthly!C1000:C1119)^(1/120)-1)*100</f>
        <v>0.98687824642083033</v>
      </c>
      <c r="D999" cm="1">
        <f t="array" ref="D999">(PRODUCT(1+sp500_monthly!D1000:D1119)^(1/120)-1)*100</f>
        <v>1.3301379500421096</v>
      </c>
      <c r="E999" cm="1">
        <f t="array" ref="E999">(PRODUCT(1+sp500_monthly!E1000:E1119)^(1/120)-1)*100</f>
        <v>1.1594188818958129</v>
      </c>
      <c r="F999" cm="1">
        <f t="array" ref="F999">(PRODUCT(1+sp500_monthly!K1000:K1119)^(1/120)-1)*100</f>
        <v>0.9932956479663746</v>
      </c>
      <c r="G999" cm="1">
        <f t="array" ref="G999">(PRODUCT(1+sp500_monthly!L1000:L1119)^(1/120)-1)</f>
        <v>2.6453802654483827E-2</v>
      </c>
      <c r="H999" cm="1">
        <f t="array" ref="H999">(PRODUCT(1+sp500_monthly!N1000:N1119)^(1/120)-1)*100</f>
        <v>1.0218672297466869</v>
      </c>
      <c r="I999" cm="1">
        <f t="array" ref="I999">(PRODUCT(1+sp500_monthly!O1000:O1119)^(1/120)-1)*100</f>
        <v>-0.11851473421303771</v>
      </c>
    </row>
    <row r="1000" spans="1:9" x14ac:dyDescent="0.35">
      <c r="A1000" s="1">
        <v>39871</v>
      </c>
      <c r="B1000" cm="1">
        <f t="array" ref="B1000">(PRODUCT(1+sp500_monthly!B1001:B1120)^(1/120)-1)*100</f>
        <v>1.2882027601820889</v>
      </c>
      <c r="C1000" cm="1">
        <f t="array" ref="C1000">(PRODUCT(1+sp500_monthly!C1001:C1120)^(1/120)-1)*100</f>
        <v>1.106949865909379</v>
      </c>
      <c r="D1000" cm="1">
        <f t="array" ref="D1000">(PRODUCT(1+sp500_monthly!D1001:D1120)^(1/120)-1)*100</f>
        <v>1.4656688247477012</v>
      </c>
      <c r="E1000" cm="1">
        <f t="array" ref="E1000">(PRODUCT(1+sp500_monthly!E1001:E1120)^(1/120)-1)*100</f>
        <v>1.2958214295108128</v>
      </c>
      <c r="F1000" cm="1">
        <f t="array" ref="F1000">(PRODUCT(1+sp500_monthly!K1001:K1120)^(1/120)-1)*100</f>
        <v>1.1160365899213875</v>
      </c>
      <c r="G1000" cm="1">
        <f t="array" ref="G1000">(PRODUCT(1+sp500_monthly!L1001:L1120)^(1/120)-1)</f>
        <v>2.7785326955694689E-2</v>
      </c>
      <c r="H1000" cm="1">
        <f t="array" ref="H1000">(PRODUCT(1+sp500_monthly!N1001:N1120)^(1/120)-1)*100</f>
        <v>1.1408147795821444</v>
      </c>
      <c r="I1000" cm="1">
        <f t="array" ref="I1000">(PRODUCT(1+sp500_monthly!O1001:O1120)^(1/120)-1)*100</f>
        <v>-0.11656896665797056</v>
      </c>
    </row>
    <row r="1001" spans="1:9" x14ac:dyDescent="0.35">
      <c r="A1001" s="1">
        <v>39903</v>
      </c>
      <c r="B1001" cm="1">
        <f t="array" ref="B1001">(PRODUCT(1+sp500_monthly!B1002:B1121)^(1/120)-1)*100</f>
        <v>1.2336383337487655</v>
      </c>
      <c r="C1001" cm="1">
        <f t="array" ref="C1001">(PRODUCT(1+sp500_monthly!C1002:C1121)^(1/120)-1)*100</f>
        <v>1.0539220890765089</v>
      </c>
      <c r="D1001" cm="1">
        <f t="array" ref="D1001">(PRODUCT(1+sp500_monthly!D1002:D1121)^(1/120)-1)*100</f>
        <v>1.3855730022630075</v>
      </c>
      <c r="E1001" cm="1">
        <f t="array" ref="E1001">(PRODUCT(1+sp500_monthly!E1002:E1121)^(1/120)-1)*100</f>
        <v>1.2169421548909209</v>
      </c>
      <c r="F1001" cm="1">
        <f t="array" ref="F1001">(PRODUCT(1+sp500_monthly!K1002:K1121)^(1/120)-1)*100</f>
        <v>1.0619641438152527</v>
      </c>
      <c r="G1001" cm="1">
        <f t="array" ref="G1001">(PRODUCT(1+sp500_monthly!L1002:L1121)^(1/120)-1)</f>
        <v>2.910645705250392E-2</v>
      </c>
      <c r="H1001" cm="1">
        <f t="array" ref="H1001">(PRODUCT(1+sp500_monthly!N1002:N1121)^(1/120)-1)*100</f>
        <v>1.0823180262166998</v>
      </c>
      <c r="I1001" cm="1">
        <f t="array" ref="I1001">(PRODUCT(1+sp500_monthly!O1002:O1121)^(1/120)-1)*100</f>
        <v>-0.11911946847387167</v>
      </c>
    </row>
    <row r="1002" spans="1:9" x14ac:dyDescent="0.35">
      <c r="A1002" s="1">
        <v>39933</v>
      </c>
      <c r="B1002" cm="1">
        <f t="array" ref="B1002">(PRODUCT(1+sp500_monthly!B1003:B1122)^(1/120)-1)*100</f>
        <v>1.191276213320247</v>
      </c>
      <c r="C1002" cm="1">
        <f t="array" ref="C1002">(PRODUCT(1+sp500_monthly!C1003:C1122)^(1/120)-1)*100</f>
        <v>1.0119897019661206</v>
      </c>
      <c r="D1002" cm="1">
        <f t="array" ref="D1002">(PRODUCT(1+sp500_monthly!D1003:D1122)^(1/120)-1)*100</f>
        <v>1.272759265736223</v>
      </c>
      <c r="E1002" cm="1">
        <f t="array" ref="E1002">(PRODUCT(1+sp500_monthly!E1003:E1122)^(1/120)-1)*100</f>
        <v>1.1044672102971997</v>
      </c>
      <c r="F1002" cm="1">
        <f t="array" ref="F1002">(PRODUCT(1+sp500_monthly!K1003:K1122)^(1/120)-1)*100</f>
        <v>1.0188432762552546</v>
      </c>
      <c r="G1002" cm="1">
        <f t="array" ref="G1002">(PRODUCT(1+sp500_monthly!L1003:L1122)^(1/120)-1)</f>
        <v>3.0657029794595392E-2</v>
      </c>
      <c r="H1002" cm="1">
        <f t="array" ref="H1002">(PRODUCT(1+sp500_monthly!N1003:N1122)^(1/120)-1)*100</f>
        <v>1.0377070759037821</v>
      </c>
      <c r="I1002" cm="1">
        <f t="array" ref="I1002">(PRODUCT(1+sp500_monthly!O1003:O1122)^(1/120)-1)*100</f>
        <v>-0.1197422659727776</v>
      </c>
    </row>
    <row r="1003" spans="1:9" x14ac:dyDescent="0.35">
      <c r="A1003" s="1">
        <v>39962</v>
      </c>
      <c r="B1003" cm="1">
        <f t="array" ref="B1003">(PRODUCT(1+sp500_monthly!B1004:B1123)^(1/120)-1)*100</f>
        <v>1.0914235251024307</v>
      </c>
      <c r="C1003" cm="1">
        <f t="array" ref="C1003">(PRODUCT(1+sp500_monthly!C1004:C1123)^(1/120)-1)*100</f>
        <v>0.9124615858689733</v>
      </c>
      <c r="D1003" cm="1">
        <f t="array" ref="D1003">(PRODUCT(1+sp500_monthly!D1004:D1123)^(1/120)-1)*100</f>
        <v>1.1618260742992437</v>
      </c>
      <c r="E1003" cm="1">
        <f t="array" ref="E1003">(PRODUCT(1+sp500_monthly!E1004:E1123)^(1/120)-1)*100</f>
        <v>0.99353085581799228</v>
      </c>
      <c r="F1003" cm="1">
        <f t="array" ref="F1003">(PRODUCT(1+sp500_monthly!K1004:K1123)^(1/120)-1)*100</f>
        <v>0.91807563889003685</v>
      </c>
      <c r="G1003" cm="1">
        <f t="array" ref="G1003">(PRODUCT(1+sp500_monthly!L1004:L1123)^(1/120)-1)</f>
        <v>3.229553261381124E-2</v>
      </c>
      <c r="H1003" cm="1">
        <f t="array" ref="H1003">(PRODUCT(1+sp500_monthly!N1004:N1123)^(1/120)-1)*100</f>
        <v>0.93903516980888835</v>
      </c>
      <c r="I1003" cm="1">
        <f t="array" ref="I1003">(PRODUCT(1+sp500_monthly!O1004:O1123)^(1/120)-1)*100</f>
        <v>-0.11697770233132232</v>
      </c>
    </row>
    <row r="1004" spans="1:9" x14ac:dyDescent="0.35">
      <c r="A1004" s="1">
        <v>39994</v>
      </c>
      <c r="B1004" cm="1">
        <f t="array" ref="B1004">(PRODUCT(1+sp500_monthly!B1005:B1124)^(1/120)-1)*100</f>
        <v>1.146006853579995</v>
      </c>
      <c r="C1004" cm="1">
        <f t="array" ref="C1004">(PRODUCT(1+sp500_monthly!C1005:C1124)^(1/120)-1)*100</f>
        <v>0.96727227269757243</v>
      </c>
      <c r="D1004" cm="1">
        <f t="array" ref="D1004">(PRODUCT(1+sp500_monthly!D1005:D1124)^(1/120)-1)*100</f>
        <v>1.2273851848784156</v>
      </c>
      <c r="E1004" cm="1">
        <f t="array" ref="E1004">(PRODUCT(1+sp500_monthly!E1005:E1124)^(1/120)-1)*100</f>
        <v>1.0590993878461186</v>
      </c>
      <c r="F1004" cm="1">
        <f t="array" ref="F1004">(PRODUCT(1+sp500_monthly!K1005:K1124)^(1/120)-1)*100</f>
        <v>0.97398473705450073</v>
      </c>
      <c r="G1004" cm="1">
        <f t="array" ref="G1004">(PRODUCT(1+sp500_monthly!L1005:L1124)^(1/120)-1)</f>
        <v>3.3634634855092882E-2</v>
      </c>
      <c r="H1004" cm="1">
        <f t="array" ref="H1004">(PRODUCT(1+sp500_monthly!N1005:N1124)^(1/120)-1)*100</f>
        <v>1.0007663727291005</v>
      </c>
      <c r="I1004" cm="1">
        <f t="array" ref="I1004">(PRODUCT(1+sp500_monthly!O1005:O1124)^(1/120)-1)*100</f>
        <v>-0.1084132712304342</v>
      </c>
    </row>
    <row r="1005" spans="1:9" x14ac:dyDescent="0.35">
      <c r="A1005" s="1">
        <v>40025</v>
      </c>
      <c r="B1005" cm="1">
        <f t="array" ref="B1005">(PRODUCT(1+sp500_monthly!B1006:B1125)^(1/120)-1)*100</f>
        <v>1.0976863851329455</v>
      </c>
      <c r="C1005" cm="1">
        <f t="array" ref="C1005">(PRODUCT(1+sp500_monthly!C1006:C1125)^(1/120)-1)*100</f>
        <v>0.91909365872828719</v>
      </c>
      <c r="D1005" cm="1">
        <f t="array" ref="D1005">(PRODUCT(1+sp500_monthly!D1006:D1125)^(1/120)-1)*100</f>
        <v>1.159101063376089</v>
      </c>
      <c r="E1005" cm="1">
        <f t="array" ref="E1005">(PRODUCT(1+sp500_monthly!E1006:E1125)^(1/120)-1)*100</f>
        <v>0.99077798702604802</v>
      </c>
      <c r="F1005" cm="1">
        <f t="array" ref="F1005">(PRODUCT(1+sp500_monthly!K1006:K1125)^(1/120)-1)*100</f>
        <v>0.92478904915020976</v>
      </c>
      <c r="G1005" cm="1">
        <f t="array" ref="G1005">(PRODUCT(1+sp500_monthly!L1006:L1125)^(1/120)-1)</f>
        <v>3.5048260267387832E-2</v>
      </c>
      <c r="H1005" cm="1">
        <f t="array" ref="H1005">(PRODUCT(1+sp500_monthly!N1006:N1125)^(1/120)-1)*100</f>
        <v>0.95032529450187475</v>
      </c>
      <c r="I1005" cm="1">
        <f t="array" ref="I1005">(PRODUCT(1+sp500_monthly!O1006:O1125)^(1/120)-1)*100</f>
        <v>-0.10908339559031477</v>
      </c>
    </row>
    <row r="1006" spans="1:9" x14ac:dyDescent="0.35">
      <c r="A1006" s="1">
        <v>40056</v>
      </c>
      <c r="B1006" cm="1">
        <f t="array" ref="B1006">(PRODUCT(1+sp500_monthly!B1007:B1126)^(1/120)-1)*100</f>
        <v>1.0552539901176328</v>
      </c>
      <c r="C1006" cm="1">
        <f t="array" ref="C1006">(PRODUCT(1+sp500_monthly!C1007:C1126)^(1/120)-1)*100</f>
        <v>0.87680591241605654</v>
      </c>
      <c r="D1006" cm="1">
        <f t="array" ref="D1006">(PRODUCT(1+sp500_monthly!D1007:D1126)^(1/120)-1)*100</f>
        <v>1.084974122929383</v>
      </c>
      <c r="E1006" cm="1">
        <f t="array" ref="E1006">(PRODUCT(1+sp500_monthly!E1007:E1126)^(1/120)-1)*100</f>
        <v>0.91645055013787058</v>
      </c>
      <c r="F1006" cm="1">
        <f t="array" ref="F1006">(PRODUCT(1+sp500_monthly!K1007:K1126)^(1/120)-1)*100</f>
        <v>0.88168082083857069</v>
      </c>
      <c r="G1006" cm="1">
        <f t="array" ref="G1006">(PRODUCT(1+sp500_monthly!L1007:L1126)^(1/120)-1)</f>
        <v>3.6243306253636698E-2</v>
      </c>
      <c r="H1006" cm="1">
        <f t="array" ref="H1006">(PRODUCT(1+sp500_monthly!N1007:N1126)^(1/120)-1)*100</f>
        <v>0.90999690146711387</v>
      </c>
      <c r="I1006" cm="1">
        <f t="array" ref="I1006">(PRODUCT(1+sp500_monthly!O1007:O1126)^(1/120)-1)*100</f>
        <v>-0.10581421682598346</v>
      </c>
    </row>
    <row r="1007" spans="1:9" x14ac:dyDescent="0.35">
      <c r="A1007" s="1">
        <v>40086</v>
      </c>
      <c r="B1007" cm="1">
        <f t="array" ref="B1007">(PRODUCT(1+sp500_monthly!B1008:B1127)^(1/120)-1)*100</f>
        <v>1.0407150167556223</v>
      </c>
      <c r="C1007" cm="1">
        <f t="array" ref="C1007">(PRODUCT(1+sp500_monthly!C1008:C1127)^(1/120)-1)*100</f>
        <v>0.86230117673706808</v>
      </c>
      <c r="D1007" cm="1">
        <f t="array" ref="D1007">(PRODUCT(1+sp500_monthly!D1008:D1127)^(1/120)-1)*100</f>
        <v>1.0696308013182332</v>
      </c>
      <c r="E1007" cm="1">
        <f t="array" ref="E1007">(PRODUCT(1+sp500_monthly!E1008:E1127)^(1/120)-1)*100</f>
        <v>0.90077057662740767</v>
      </c>
      <c r="F1007" cm="1">
        <f t="array" ref="F1007">(PRODUCT(1+sp500_monthly!K1008:K1127)^(1/120)-1)*100</f>
        <v>0.86649535509526476</v>
      </c>
      <c r="G1007" cm="1">
        <f t="array" ref="G1007">(PRODUCT(1+sp500_monthly!L1008:L1127)^(1/120)-1)</f>
        <v>3.7587529579299783E-2</v>
      </c>
      <c r="H1007" cm="1">
        <f t="array" ref="H1007">(PRODUCT(1+sp500_monthly!N1008:N1127)^(1/120)-1)*100</f>
        <v>0.89580788261940381</v>
      </c>
      <c r="I1007" cm="1">
        <f t="array" ref="I1007">(PRODUCT(1+sp500_monthly!O1008:O1127)^(1/120)-1)*100</f>
        <v>-0.10407458678954873</v>
      </c>
    </row>
    <row r="1008" spans="1:9" x14ac:dyDescent="0.35">
      <c r="A1008" s="1">
        <v>40116</v>
      </c>
      <c r="B1008" cm="1">
        <f t="array" ref="B1008">(PRODUCT(1+sp500_monthly!B1009:B1128)^(1/120)-1)*100</f>
        <v>1.0742478546804435</v>
      </c>
      <c r="C1008" cm="1">
        <f t="array" ref="C1008">(PRODUCT(1+sp500_monthly!C1009:C1128)^(1/120)-1)*100</f>
        <v>0.89583059179545454</v>
      </c>
      <c r="D1008" cm="1">
        <f t="array" ref="D1008">(PRODUCT(1+sp500_monthly!D1009:D1128)^(1/120)-1)*100</f>
        <v>1.1101766697032112</v>
      </c>
      <c r="E1008" cm="1">
        <f t="array" ref="E1008">(PRODUCT(1+sp500_monthly!E1009:E1128)^(1/120)-1)*100</f>
        <v>0.94110243745206823</v>
      </c>
      <c r="F1008" cm="1">
        <f t="array" ref="F1008">(PRODUCT(1+sp500_monthly!K1009:K1128)^(1/120)-1)*100</f>
        <v>0.90027947502968608</v>
      </c>
      <c r="G1008" cm="1">
        <f t="array" ref="G1008">(PRODUCT(1+sp500_monthly!L1009:L1128)^(1/120)-1)</f>
        <v>3.8871646421975825E-2</v>
      </c>
      <c r="H1008" cm="1">
        <f t="array" ref="H1008">(PRODUCT(1+sp500_monthly!N1009:N1128)^(1/120)-1)*100</f>
        <v>0.92943909652682954</v>
      </c>
      <c r="I1008" cm="1">
        <f t="array" ref="I1008">(PRODUCT(1+sp500_monthly!O1009:O1128)^(1/120)-1)*100</f>
        <v>-0.10259872738076492</v>
      </c>
    </row>
    <row r="1009" spans="1:9" x14ac:dyDescent="0.35">
      <c r="A1009" s="1">
        <v>40147</v>
      </c>
      <c r="B1009" cm="1">
        <f t="array" ref="B1009">(PRODUCT(1+sp500_monthly!B1010:B1129)^(1/120)-1)*100</f>
        <v>1.0549231557094085</v>
      </c>
      <c r="C1009" cm="1">
        <f t="array" ref="C1009">(PRODUCT(1+sp500_monthly!C1010:C1129)^(1/120)-1)*100</f>
        <v>0.87683508891174267</v>
      </c>
      <c r="D1009" cm="1">
        <f t="array" ref="D1009">(PRODUCT(1+sp500_monthly!D1010:D1129)^(1/120)-1)*100</f>
        <v>1.0940567799064604</v>
      </c>
      <c r="E1009" cm="1">
        <f t="array" ref="E1009">(PRODUCT(1+sp500_monthly!E1010:E1129)^(1/120)-1)*100</f>
        <v>0.92507146361151538</v>
      </c>
      <c r="F1009" cm="1">
        <f t="array" ref="F1009">(PRODUCT(1+sp500_monthly!K1010:K1129)^(1/120)-1)*100</f>
        <v>0.88153160007264919</v>
      </c>
      <c r="G1009" cm="1">
        <f t="array" ref="G1009">(PRODUCT(1+sp500_monthly!L1010:L1129)^(1/120)-1)</f>
        <v>3.9853226169543898E-2</v>
      </c>
      <c r="H1009" cm="1">
        <f t="array" ref="H1009">(PRODUCT(1+sp500_monthly!N1010:N1129)^(1/120)-1)*100</f>
        <v>0.91058905789425104</v>
      </c>
      <c r="I1009" cm="1">
        <f t="array" ref="I1009">(PRODUCT(1+sp500_monthly!O1010:O1129)^(1/120)-1)*100</f>
        <v>-0.10115785481887851</v>
      </c>
    </row>
    <row r="1010" spans="1:9" x14ac:dyDescent="0.35">
      <c r="A1010" s="1">
        <v>40178</v>
      </c>
      <c r="B1010" cm="1">
        <f t="array" ref="B1010">(PRODUCT(1+sp500_monthly!B1011:B1130)^(1/120)-1)*100</f>
        <v>1.0638053589491214</v>
      </c>
      <c r="C1010" cm="1">
        <f t="array" ref="C1010">(PRODUCT(1+sp500_monthly!C1011:C1130)^(1/120)-1)*100</f>
        <v>0.88570438390940254</v>
      </c>
      <c r="D1010" cm="1">
        <f t="array" ref="D1010">(PRODUCT(1+sp500_monthly!D1011:D1130)^(1/120)-1)*100</f>
        <v>1.0782703273974903</v>
      </c>
      <c r="E1010" cm="1">
        <f t="array" ref="E1010">(PRODUCT(1+sp500_monthly!E1011:E1130)^(1/120)-1)*100</f>
        <v>0.90888423481809699</v>
      </c>
      <c r="F1010" cm="1">
        <f t="array" ref="F1010">(PRODUCT(1+sp500_monthly!K1011:K1130)^(1/120)-1)*100</f>
        <v>0.8904213279724793</v>
      </c>
      <c r="G1010" cm="1">
        <f t="array" ref="G1010">(PRODUCT(1+sp500_monthly!L1011:L1130)^(1/120)-1)</f>
        <v>4.0902949638127462E-2</v>
      </c>
      <c r="H1010" cm="1">
        <f t="array" ref="H1010">(PRODUCT(1+sp500_monthly!N1011:N1130)^(1/120)-1)*100</f>
        <v>0.91745034386523372</v>
      </c>
      <c r="I1010" cm="1">
        <f t="array" ref="I1010">(PRODUCT(1+sp500_monthly!O1011:O1130)^(1/120)-1)*100</f>
        <v>-0.10206436539940134</v>
      </c>
    </row>
    <row r="1011" spans="1:9" x14ac:dyDescent="0.35">
      <c r="A1011" s="1">
        <v>40207</v>
      </c>
      <c r="B1011" cm="1">
        <f t="array" ref="B1011">(PRODUCT(1+sp500_monthly!B1012:B1131)^(1/120)-1)*100</f>
        <v>1.0945618279949443</v>
      </c>
      <c r="C1011" cm="1">
        <f t="array" ref="C1011">(PRODUCT(1+sp500_monthly!C1012:C1131)^(1/120)-1)*100</f>
        <v>0.9162646355879378</v>
      </c>
      <c r="D1011" cm="1">
        <f t="array" ref="D1011">(PRODUCT(1+sp500_monthly!D1012:D1131)^(1/120)-1)*100</f>
        <v>1.0898096635411081</v>
      </c>
      <c r="E1011" cm="1">
        <f t="array" ref="E1011">(PRODUCT(1+sp500_monthly!E1012:E1131)^(1/120)-1)*100</f>
        <v>0.92012240468533069</v>
      </c>
      <c r="F1011" cm="1">
        <f t="array" ref="F1011">(PRODUCT(1+sp500_monthly!K1012:K1131)^(1/120)-1)*100</f>
        <v>0.92073129594818504</v>
      </c>
      <c r="G1011" cm="1">
        <f t="array" ref="G1011">(PRODUCT(1+sp500_monthly!L1012:L1131)^(1/120)-1)</f>
        <v>4.1963628806848785E-2</v>
      </c>
      <c r="H1011" cm="1">
        <f t="array" ref="H1011">(PRODUCT(1+sp500_monthly!N1012:N1131)^(1/120)-1)*100</f>
        <v>0.94781057813675407</v>
      </c>
      <c r="I1011" cm="1">
        <f t="array" ref="I1011">(PRODUCT(1+sp500_monthly!O1012:O1131)^(1/120)-1)*100</f>
        <v>-0.10133087457030454</v>
      </c>
    </row>
    <row r="1012" spans="1:9" x14ac:dyDescent="0.35">
      <c r="A1012" s="1">
        <v>40235</v>
      </c>
      <c r="B1012" cm="1">
        <f t="array" ref="B1012">(PRODUCT(1+sp500_monthly!B1013:B1132)^(1/120)-1)*100</f>
        <v>0.99739868801405063</v>
      </c>
      <c r="C1012" cm="1">
        <f t="array" ref="C1012">(PRODUCT(1+sp500_monthly!C1013:C1132)^(1/120)-1)*100</f>
        <v>0.8192172342182058</v>
      </c>
      <c r="D1012" cm="1">
        <f t="array" ref="D1012">(PRODUCT(1+sp500_monthly!D1013:D1132)^(1/120)-1)*100</f>
        <v>0.97396578899424657</v>
      </c>
      <c r="E1012" cm="1">
        <f t="array" ref="E1012">(PRODUCT(1+sp500_monthly!E1013:E1132)^(1/120)-1)*100</f>
        <v>0.80350280503402871</v>
      </c>
      <c r="F1012" cm="1">
        <f t="array" ref="F1012">(PRODUCT(1+sp500_monthly!K1013:K1132)^(1/120)-1)*100</f>
        <v>0.82324352848994753</v>
      </c>
      <c r="G1012" cm="1">
        <f t="array" ref="G1012">(PRODUCT(1+sp500_monthly!L1013:L1132)^(1/120)-1)</f>
        <v>4.2948130019546005E-2</v>
      </c>
      <c r="H1012" cm="1">
        <f t="array" ref="H1012">(PRODUCT(1+sp500_monthly!N1013:N1132)^(1/120)-1)*100</f>
        <v>0.84888528948239284</v>
      </c>
      <c r="I1012" cm="1">
        <f t="array" ref="I1012">(PRODUCT(1+sp500_monthly!O1013:O1132)^(1/120)-1)*100</f>
        <v>-0.10221772582195143</v>
      </c>
    </row>
    <row r="1013" spans="1:9" x14ac:dyDescent="0.35">
      <c r="A1013" s="1">
        <v>40268</v>
      </c>
      <c r="B1013" cm="1">
        <f t="array" ref="B1013">(PRODUCT(1+sp500_monthly!B1014:B1133)^(1/120)-1)*100</f>
        <v>0.83817541077157998</v>
      </c>
      <c r="C1013" cm="1">
        <f t="array" ref="C1013">(PRODUCT(1+sp500_monthly!C1014:C1133)^(1/120)-1)*100</f>
        <v>0.65991289687572507</v>
      </c>
      <c r="D1013" cm="1">
        <f t="array" ref="D1013">(PRODUCT(1+sp500_monthly!D1014:D1133)^(1/120)-1)*100</f>
        <v>0.74126161303686988</v>
      </c>
      <c r="E1013" cm="1">
        <f t="array" ref="E1013">(PRODUCT(1+sp500_monthly!E1014:E1133)^(1/120)-1)*100</f>
        <v>0.57007062949956389</v>
      </c>
      <c r="F1013" cm="1">
        <f t="array" ref="F1013">(PRODUCT(1+sp500_monthly!K1014:K1133)^(1/120)-1)*100</f>
        <v>0.66306210425535195</v>
      </c>
      <c r="G1013" cm="1">
        <f t="array" ref="G1013">(PRODUCT(1+sp500_monthly!L1014:L1133)^(1/120)-1)</f>
        <v>4.392432803257007E-2</v>
      </c>
      <c r="H1013" cm="1">
        <f t="array" ref="H1013">(PRODUCT(1+sp500_monthly!N1014:N1133)^(1/120)-1)*100</f>
        <v>0.69372907926494864</v>
      </c>
      <c r="I1013" cm="1">
        <f t="array" ref="I1013">(PRODUCT(1+sp500_monthly!O1014:O1133)^(1/120)-1)*100</f>
        <v>-9.7416622503831984E-2</v>
      </c>
    </row>
    <row r="1014" spans="1:9" x14ac:dyDescent="0.35">
      <c r="A1014" s="1">
        <v>40298</v>
      </c>
      <c r="B1014" cm="1">
        <f t="array" ref="B1014">(PRODUCT(1+sp500_monthly!B1015:B1134)^(1/120)-1)*100</f>
        <v>0.92677050881277978</v>
      </c>
      <c r="C1014" cm="1">
        <f t="array" ref="C1014">(PRODUCT(1+sp500_monthly!C1015:C1134)^(1/120)-1)*100</f>
        <v>0.74827496107692237</v>
      </c>
      <c r="D1014" cm="1">
        <f t="array" ref="D1014">(PRODUCT(1+sp500_monthly!D1015:D1134)^(1/120)-1)*100</f>
        <v>0.83299338390252498</v>
      </c>
      <c r="E1014" cm="1">
        <f t="array" ref="E1014">(PRODUCT(1+sp500_monthly!E1015:E1134)^(1/120)-1)*100</f>
        <v>0.66139053154561367</v>
      </c>
      <c r="F1014" cm="1">
        <f t="array" ref="F1014">(PRODUCT(1+sp500_monthly!K1015:K1134)^(1/120)-1)*100</f>
        <v>0.75098743738295504</v>
      </c>
      <c r="G1014" cm="1">
        <f t="array" ref="G1014">(PRODUCT(1+sp500_monthly!L1015:L1134)^(1/120)-1)</f>
        <v>4.3837770017543409E-2</v>
      </c>
      <c r="H1014" cm="1">
        <f t="array" ref="H1014">(PRODUCT(1+sp500_monthly!N1015:N1134)^(1/120)-1)*100</f>
        <v>0.78900140063615787</v>
      </c>
      <c r="I1014" cm="1">
        <f t="array" ref="I1014">(PRODUCT(1+sp500_monthly!O1015:O1134)^(1/120)-1)*100</f>
        <v>-9.0755129675790247E-2</v>
      </c>
    </row>
    <row r="1015" spans="1:9" x14ac:dyDescent="0.35">
      <c r="A1015" s="1">
        <v>40326</v>
      </c>
      <c r="B1015" cm="1">
        <f t="array" ref="B1015">(PRODUCT(1+sp500_monthly!B1016:B1135)^(1/120)-1)*100</f>
        <v>1.0363457341171278</v>
      </c>
      <c r="C1015" cm="1">
        <f t="array" ref="C1015">(PRODUCT(1+sp500_monthly!C1016:C1135)^(1/120)-1)*100</f>
        <v>0.85790125569811249</v>
      </c>
      <c r="D1015" cm="1">
        <f t="array" ref="D1015">(PRODUCT(1+sp500_monthly!D1016:D1135)^(1/120)-1)*100</f>
        <v>0.93704437703461263</v>
      </c>
      <c r="E1015" cm="1">
        <f t="array" ref="E1015">(PRODUCT(1+sp500_monthly!E1016:E1135)^(1/120)-1)*100</f>
        <v>0.76496168144082333</v>
      </c>
      <c r="F1015" cm="1">
        <f t="array" ref="F1015">(PRODUCT(1+sp500_monthly!K1016:K1135)^(1/120)-1)*100</f>
        <v>0.86004089040478959</v>
      </c>
      <c r="G1015" cm="1">
        <f t="array" ref="G1015">(PRODUCT(1+sp500_monthly!L1016:L1135)^(1/120)-1)</f>
        <v>4.3837770017543409E-2</v>
      </c>
      <c r="H1015" cm="1">
        <f t="array" ref="H1015">(PRODUCT(1+sp500_monthly!N1016:N1135)^(1/120)-1)*100</f>
        <v>0.89890302867934313</v>
      </c>
      <c r="I1015" cm="1">
        <f t="array" ref="I1015">(PRODUCT(1+sp500_monthly!O1016:O1135)^(1/120)-1)*100</f>
        <v>-9.0283818698688734E-2</v>
      </c>
    </row>
    <row r="1016" spans="1:9" x14ac:dyDescent="0.35">
      <c r="A1016" s="1">
        <v>40359</v>
      </c>
      <c r="B1016" cm="1">
        <f t="array" ref="B1016">(PRODUCT(1+sp500_monthly!B1017:B1136)^(1/120)-1)*100</f>
        <v>1.0996433261834859</v>
      </c>
      <c r="C1016" cm="1">
        <f t="array" ref="C1016">(PRODUCT(1+sp500_monthly!C1017:C1136)^(1/120)-1)*100</f>
        <v>0.92129434468468663</v>
      </c>
      <c r="D1016" cm="1">
        <f t="array" ref="D1016">(PRODUCT(1+sp500_monthly!D1017:D1136)^(1/120)-1)*100</f>
        <v>1.0020545643117051</v>
      </c>
      <c r="E1016" cm="1">
        <f t="array" ref="E1016">(PRODUCT(1+sp500_monthly!E1017:E1136)^(1/120)-1)*100</f>
        <v>0.82971088572512119</v>
      </c>
      <c r="F1016" cm="1">
        <f t="array" ref="F1016">(PRODUCT(1+sp500_monthly!K1017:K1136)^(1/120)-1)*100</f>
        <v>0.92192823139201074</v>
      </c>
      <c r="G1016" cm="1">
        <f t="array" ref="G1016">(PRODUCT(1+sp500_monthly!L1017:L1136)^(1/120)-1)</f>
        <v>4.3837770017543409E-2</v>
      </c>
      <c r="H1016" cm="1">
        <f t="array" ref="H1016">(PRODUCT(1+sp500_monthly!N1017:N1136)^(1/120)-1)*100</f>
        <v>0.95796925258366805</v>
      </c>
      <c r="I1016" cm="1">
        <f t="array" ref="I1016">(PRODUCT(1+sp500_monthly!O1017:O1136)^(1/120)-1)*100</f>
        <v>-9.4385872334301624E-2</v>
      </c>
    </row>
    <row r="1017" spans="1:9" x14ac:dyDescent="0.35">
      <c r="A1017" s="1">
        <v>40389</v>
      </c>
      <c r="B1017" cm="1">
        <f t="array" ref="B1017">(PRODUCT(1+sp500_monthly!B1018:B1137)^(1/120)-1)*100</f>
        <v>1.0889184880365832</v>
      </c>
      <c r="C1017" cm="1">
        <f t="array" ref="C1017">(PRODUCT(1+sp500_monthly!C1018:C1137)^(1/120)-1)*100</f>
        <v>0.91105043412402775</v>
      </c>
      <c r="D1017" cm="1">
        <f t="array" ref="D1017">(PRODUCT(1+sp500_monthly!D1018:D1137)^(1/120)-1)*100</f>
        <v>0.98087129720652033</v>
      </c>
      <c r="E1017" cm="1">
        <f t="array" ref="E1017">(PRODUCT(1+sp500_monthly!E1018:E1137)^(1/120)-1)*100</f>
        <v>0.80947409371545653</v>
      </c>
      <c r="F1017" cm="1">
        <f t="array" ref="F1017">(PRODUCT(1+sp500_monthly!K1018:K1137)^(1/120)-1)*100</f>
        <v>0.91109699429325897</v>
      </c>
      <c r="G1017" cm="1">
        <f t="array" ref="G1017">(PRODUCT(1+sp500_monthly!L1018:L1137)^(1/120)-1)</f>
        <v>4.3837770017543409E-2</v>
      </c>
      <c r="H1017" cm="1">
        <f t="array" ref="H1017">(PRODUCT(1+sp500_monthly!N1018:N1137)^(1/120)-1)*100</f>
        <v>0.9442474127021816</v>
      </c>
      <c r="I1017" cm="1">
        <f t="array" ref="I1017">(PRODUCT(1+sp500_monthly!O1018:O1137)^(1/120)-1)*100</f>
        <v>-9.736682285124143E-2</v>
      </c>
    </row>
    <row r="1018" spans="1:9" x14ac:dyDescent="0.35">
      <c r="A1018" s="1">
        <v>40421</v>
      </c>
      <c r="B1018" cm="1">
        <f t="array" ref="B1018">(PRODUCT(1+sp500_monthly!B1019:B1138)^(1/120)-1)*100</f>
        <v>1.1867592135145433</v>
      </c>
      <c r="C1018" cm="1">
        <f t="array" ref="C1018">(PRODUCT(1+sp500_monthly!C1019:C1138)^(1/120)-1)*100</f>
        <v>1.009460298274556</v>
      </c>
      <c r="D1018" cm="1">
        <f t="array" ref="D1018">(PRODUCT(1+sp500_monthly!D1019:D1138)^(1/120)-1)*100</f>
        <v>1.0598778246880824</v>
      </c>
      <c r="E1018" cm="1">
        <f t="array" ref="E1018">(PRODUCT(1+sp500_monthly!E1019:E1138)^(1/120)-1)*100</f>
        <v>0.88831603004051463</v>
      </c>
      <c r="F1018" cm="1">
        <f t="array" ref="F1018">(PRODUCT(1+sp500_monthly!K1019:K1138)^(1/120)-1)*100</f>
        <v>1.0089701877206814</v>
      </c>
      <c r="G1018" cm="1">
        <f t="array" ref="G1018">(PRODUCT(1+sp500_monthly!L1019:L1138)^(1/120)-1)</f>
        <v>4.3837770017543409E-2</v>
      </c>
      <c r="H1018" cm="1">
        <f t="array" ref="H1018">(PRODUCT(1+sp500_monthly!N1019:N1138)^(1/120)-1)*100</f>
        <v>1.0400618791023719</v>
      </c>
      <c r="I1018" cm="1">
        <f t="array" ref="I1018">(PRODUCT(1+sp500_monthly!O1019:O1138)^(1/120)-1)*100</f>
        <v>-9.9231790862552849E-2</v>
      </c>
    </row>
    <row r="1019" spans="1:9" x14ac:dyDescent="0.35">
      <c r="A1019" s="1">
        <v>40451</v>
      </c>
      <c r="B1019" cm="1">
        <f t="array" ref="B1019">(PRODUCT(1+sp500_monthly!B1020:B1139)^(1/120)-1)*100</f>
        <v>1.0810516919143476</v>
      </c>
      <c r="C1019" cm="1">
        <f t="array" ref="C1019">(PRODUCT(1+sp500_monthly!C1020:C1139)^(1/120)-1)*100</f>
        <v>0.90413463565697239</v>
      </c>
      <c r="D1019" cm="1">
        <f t="array" ref="D1019">(PRODUCT(1+sp500_monthly!D1020:D1139)^(1/120)-1)*100</f>
        <v>0.95488159351726498</v>
      </c>
      <c r="E1019" cm="1">
        <f t="array" ref="E1019">(PRODUCT(1+sp500_monthly!E1020:E1139)^(1/120)-1)*100</f>
        <v>0.78317164116712412</v>
      </c>
      <c r="F1019" cm="1">
        <f t="array" ref="F1019">(PRODUCT(1+sp500_monthly!K1020:K1139)^(1/120)-1)*100</f>
        <v>0.90469312191339135</v>
      </c>
      <c r="G1019" cm="1">
        <f t="array" ref="G1019">(PRODUCT(1+sp500_monthly!L1020:L1139)^(1/120)-1)</f>
        <v>4.3837770017543409E-2</v>
      </c>
      <c r="H1019" cm="1">
        <f t="array" ref="H1019">(PRODUCT(1+sp500_monthly!N1020:N1139)^(1/120)-1)*100</f>
        <v>0.93397012244946787</v>
      </c>
      <c r="I1019" cm="1">
        <f t="array" ref="I1019">(PRODUCT(1+sp500_monthly!O1020:O1139)^(1/120)-1)*100</f>
        <v>-9.9763772540018003E-2</v>
      </c>
    </row>
    <row r="1020" spans="1:9" x14ac:dyDescent="0.35">
      <c r="A1020" s="1">
        <v>40480</v>
      </c>
      <c r="B1020" cm="1">
        <f t="array" ref="B1020">(PRODUCT(1+sp500_monthly!B1021:B1140)^(1/120)-1)*100</f>
        <v>1.0265172238172582</v>
      </c>
      <c r="C1020" cm="1">
        <f t="array" ref="C1020">(PRODUCT(1+sp500_monthly!C1021:C1140)^(1/120)-1)*100</f>
        <v>0.85007927133400329</v>
      </c>
      <c r="D1020" cm="1">
        <f t="array" ref="D1020">(PRODUCT(1+sp500_monthly!D1021:D1140)^(1/120)-1)*100</f>
        <v>0.91997566900983152</v>
      </c>
      <c r="E1020" cm="1">
        <f t="array" ref="E1020">(PRODUCT(1+sp500_monthly!E1021:E1140)^(1/120)-1)*100</f>
        <v>0.74853474677460952</v>
      </c>
      <c r="F1020" cm="1">
        <f t="array" ref="F1020">(PRODUCT(1+sp500_monthly!K1021:K1140)^(1/120)-1)*100</f>
        <v>0.85068239404446633</v>
      </c>
      <c r="G1020" cm="1">
        <f t="array" ref="G1020">(PRODUCT(1+sp500_monthly!L1021:L1140)^(1/120)-1)</f>
        <v>4.3837770017543409E-2</v>
      </c>
      <c r="H1020" cm="1">
        <f t="array" ref="H1020">(PRODUCT(1+sp500_monthly!N1021:N1140)^(1/120)-1)*100</f>
        <v>0.8814738413820411</v>
      </c>
      <c r="I1020" cm="1">
        <f t="array" ref="I1020">(PRODUCT(1+sp500_monthly!O1021:O1140)^(1/120)-1)*100</f>
        <v>-9.7823953033526756E-2</v>
      </c>
    </row>
    <row r="1021" spans="1:9" x14ac:dyDescent="0.35">
      <c r="A1021" s="1">
        <v>40512</v>
      </c>
      <c r="B1021" cm="1">
        <f t="array" ref="B1021">(PRODUCT(1+sp500_monthly!B1022:B1141)^(1/120)-1)*100</f>
        <v>1.1140052666552602</v>
      </c>
      <c r="C1021" cm="1">
        <f t="array" ref="C1021">(PRODUCT(1+sp500_monthly!C1022:C1141)^(1/120)-1)*100</f>
        <v>0.93818632101771993</v>
      </c>
      <c r="D1021" cm="1">
        <f t="array" ref="D1021">(PRODUCT(1+sp500_monthly!D1022:D1141)^(1/120)-1)*100</f>
        <v>1.0282800854887642</v>
      </c>
      <c r="E1021" cm="1">
        <f t="array" ref="E1021">(PRODUCT(1+sp500_monthly!E1022:E1141)^(1/120)-1)*100</f>
        <v>0.85688762760867121</v>
      </c>
      <c r="F1021" cm="1">
        <f t="array" ref="F1021">(PRODUCT(1+sp500_monthly!K1022:K1141)^(1/120)-1)*100</f>
        <v>0.93849379300954272</v>
      </c>
      <c r="G1021" cm="1">
        <f t="array" ref="G1021">(PRODUCT(1+sp500_monthly!L1022:L1141)^(1/120)-1)</f>
        <v>4.3837770017543409E-2</v>
      </c>
      <c r="H1021" cm="1">
        <f t="array" ref="H1021">(PRODUCT(1+sp500_monthly!N1022:N1141)^(1/120)-1)*100</f>
        <v>0.96887958886735515</v>
      </c>
      <c r="I1021" cm="1">
        <f t="array" ref="I1021">(PRODUCT(1+sp500_monthly!O1022:O1141)^(1/120)-1)*100</f>
        <v>-9.7781099686600204E-2</v>
      </c>
    </row>
    <row r="1022" spans="1:9" x14ac:dyDescent="0.35">
      <c r="A1022" s="1">
        <v>40543</v>
      </c>
      <c r="B1022" cm="1">
        <f t="array" ref="B1022">(PRODUCT(1+sp500_monthly!B1023:B1142)^(1/120)-1)*100</f>
        <v>1.0936408758443816</v>
      </c>
      <c r="C1022" cm="1">
        <f t="array" ref="C1022">(PRODUCT(1+sp500_monthly!C1023:C1142)^(1/120)-1)*100</f>
        <v>0.91812168681968398</v>
      </c>
      <c r="D1022" cm="1">
        <f t="array" ref="D1022">(PRODUCT(1+sp500_monthly!D1023:D1142)^(1/120)-1)*100</f>
        <v>1.004267316581231</v>
      </c>
      <c r="E1022" cm="1">
        <f t="array" ref="E1022">(PRODUCT(1+sp500_monthly!E1023:E1142)^(1/120)-1)*100</f>
        <v>0.83305694494664184</v>
      </c>
      <c r="F1022" cm="1">
        <f t="array" ref="F1022">(PRODUCT(1+sp500_monthly!K1023:K1142)^(1/120)-1)*100</f>
        <v>0.91594678291297971</v>
      </c>
      <c r="G1022" cm="1">
        <f t="array" ref="G1022">(PRODUCT(1+sp500_monthly!L1023:L1142)^(1/120)-1)</f>
        <v>4.3837770017543409E-2</v>
      </c>
      <c r="H1022" cm="1">
        <f t="array" ref="H1022">(PRODUCT(1+sp500_monthly!N1023:N1142)^(1/120)-1)*100</f>
        <v>0.94834502918919039</v>
      </c>
      <c r="I1022" cm="1">
        <f t="array" ref="I1022">(PRODUCT(1+sp500_monthly!O1023:O1142)^(1/120)-1)*100</f>
        <v>-9.7978430168577102E-2</v>
      </c>
    </row>
    <row r="1023" spans="1:9" x14ac:dyDescent="0.35">
      <c r="A1023" s="1">
        <v>40574</v>
      </c>
      <c r="B1023" cm="1">
        <f t="array" ref="B1023">(PRODUCT(1+sp500_monthly!B1024:B1143)^(1/120)-1)*100</f>
        <v>1.0656894469909473</v>
      </c>
      <c r="C1023" cm="1">
        <f t="array" ref="C1023">(PRODUCT(1+sp500_monthly!C1024:C1143)^(1/120)-1)*100</f>
        <v>0.89018340522712958</v>
      </c>
      <c r="D1023" cm="1">
        <f t="array" ref="D1023">(PRODUCT(1+sp500_monthly!D1024:D1143)^(1/120)-1)*100</f>
        <v>0.98061542531546753</v>
      </c>
      <c r="E1023" cm="1">
        <f t="array" ref="E1023">(PRODUCT(1+sp500_monthly!E1024:E1143)^(1/120)-1)*100</f>
        <v>0.80926104786014363</v>
      </c>
      <c r="F1023" cm="1">
        <f t="array" ref="F1023">(PRODUCT(1+sp500_monthly!K1024:K1143)^(1/120)-1)*100</f>
        <v>0.88770027049789313</v>
      </c>
      <c r="G1023" cm="1">
        <f t="array" ref="G1023">(PRODUCT(1+sp500_monthly!L1024:L1143)^(1/120)-1)</f>
        <v>4.3837770017543409E-2</v>
      </c>
      <c r="H1023" cm="1">
        <f t="array" ref="H1023">(PRODUCT(1+sp500_monthly!N1024:N1143)^(1/120)-1)*100</f>
        <v>0.92151171968355428</v>
      </c>
      <c r="I1023" cm="1">
        <f t="array" ref="I1023">(PRODUCT(1+sp500_monthly!O1024:O1143)^(1/120)-1)*100</f>
        <v>-9.6911361553431163E-2</v>
      </c>
    </row>
    <row r="1024" spans="1:9" x14ac:dyDescent="0.35">
      <c r="A1024" s="1">
        <v>40602</v>
      </c>
      <c r="B1024" cm="1">
        <f t="array" ref="B1024">(PRODUCT(1+sp500_monthly!B1025:B1144)^(1/120)-1)*100</f>
        <v>1.0604495897084565</v>
      </c>
      <c r="C1024" cm="1">
        <f t="array" ref="C1024">(PRODUCT(1+sp500_monthly!C1025:C1144)^(1/120)-1)*100</f>
        <v>0.88558467139967512</v>
      </c>
      <c r="D1024" cm="1">
        <f t="array" ref="D1024">(PRODUCT(1+sp500_monthly!D1025:D1144)^(1/120)-1)*100</f>
        <v>0.99847421837042649</v>
      </c>
      <c r="E1024" cm="1">
        <f t="array" ref="E1024">(PRODUCT(1+sp500_monthly!E1025:E1144)^(1/120)-1)*100</f>
        <v>0.8272452968758115</v>
      </c>
      <c r="F1024" cm="1">
        <f t="array" ref="F1024">(PRODUCT(1+sp500_monthly!K1025:K1144)^(1/120)-1)*100</f>
        <v>0.88290774544670381</v>
      </c>
      <c r="G1024" cm="1">
        <f t="array" ref="G1024">(PRODUCT(1+sp500_monthly!L1025:L1144)^(1/120)-1)</f>
        <v>4.375121917955993E-2</v>
      </c>
      <c r="H1024" cm="1">
        <f t="array" ref="H1024">(PRODUCT(1+sp500_monthly!N1025:N1144)^(1/120)-1)*100</f>
        <v>0.91557348223310075</v>
      </c>
      <c r="I1024" cm="1">
        <f t="array" ref="I1024">(PRODUCT(1+sp500_monthly!O1025:O1144)^(1/120)-1)*100</f>
        <v>-9.7693377837126949E-2</v>
      </c>
    </row>
    <row r="1025" spans="1:9" x14ac:dyDescent="0.35">
      <c r="A1025" s="1">
        <v>40633</v>
      </c>
      <c r="B1025" cm="1">
        <f t="array" ref="B1025">(PRODUCT(1+sp500_monthly!B1026:B1145)^(1/120)-1)*100</f>
        <v>1.0956393888040372</v>
      </c>
      <c r="C1025" cm="1">
        <f t="array" ref="C1025">(PRODUCT(1+sp500_monthly!C1026:C1145)^(1/120)-1)*100</f>
        <v>0.92088443006201892</v>
      </c>
      <c r="D1025" cm="1">
        <f t="array" ref="D1025">(PRODUCT(1+sp500_monthly!D1026:D1145)^(1/120)-1)*100</f>
        <v>1.0377080830890284</v>
      </c>
      <c r="E1025" cm="1">
        <f t="array" ref="E1025">(PRODUCT(1+sp500_monthly!E1026:E1145)^(1/120)-1)*100</f>
        <v>0.86616752073294112</v>
      </c>
      <c r="F1025" cm="1">
        <f t="array" ref="F1025">(PRODUCT(1+sp500_monthly!K1026:K1145)^(1/120)-1)*100</f>
        <v>0.91873654088048262</v>
      </c>
      <c r="G1025" cm="1">
        <f t="array" ref="G1025">(PRODUCT(1+sp500_monthly!L1026:L1145)^(1/120)-1)</f>
        <v>4.3664675518024332E-2</v>
      </c>
      <c r="H1025" cm="1">
        <f t="array" ref="H1025">(PRODUCT(1+sp500_monthly!N1026:N1145)^(1/120)-1)*100</f>
        <v>0.95082924321734374</v>
      </c>
      <c r="I1025" cm="1">
        <f t="array" ref="I1025">(PRODUCT(1+sp500_monthly!O1026:O1145)^(1/120)-1)*100</f>
        <v>-9.7661426060557943E-2</v>
      </c>
    </row>
    <row r="1026" spans="1:9" x14ac:dyDescent="0.35">
      <c r="A1026" s="1">
        <v>40662</v>
      </c>
      <c r="B1026" cm="1">
        <f t="array" ref="B1026">(PRODUCT(1+sp500_monthly!B1027:B1146)^(1/120)-1)*100</f>
        <v>1.1154269446591591</v>
      </c>
      <c r="C1026" cm="1">
        <f t="array" ref="C1026">(PRODUCT(1+sp500_monthly!C1027:C1146)^(1/120)-1)*100</f>
        <v>0.94079415726280313</v>
      </c>
      <c r="D1026" cm="1">
        <f t="array" ref="D1026">(PRODUCT(1+sp500_monthly!D1027:D1146)^(1/120)-1)*100</f>
        <v>1.0502444745153383</v>
      </c>
      <c r="E1026" cm="1">
        <f t="array" ref="E1026">(PRODUCT(1+sp500_monthly!E1027:E1146)^(1/120)-1)*100</f>
        <v>0.87868514666502584</v>
      </c>
      <c r="F1026" cm="1">
        <f t="array" ref="F1026">(PRODUCT(1+sp500_monthly!K1027:K1146)^(1/120)-1)*100</f>
        <v>0.93808153648335946</v>
      </c>
      <c r="G1026" cm="1">
        <f t="array" ref="G1026">(PRODUCT(1+sp500_monthly!L1027:L1146)^(1/120)-1)</f>
        <v>4.3664675518024332E-2</v>
      </c>
      <c r="H1026" cm="1">
        <f t="array" ref="H1026">(PRODUCT(1+sp500_monthly!N1027:N1146)^(1/120)-1)*100</f>
        <v>0.96869853396586159</v>
      </c>
      <c r="I1026" cm="1">
        <f t="array" ref="I1026">(PRODUCT(1+sp500_monthly!O1027:O1146)^(1/120)-1)*100</f>
        <v>-9.9531352312642873E-2</v>
      </c>
    </row>
    <row r="1027" spans="1:9" x14ac:dyDescent="0.35">
      <c r="A1027" s="1">
        <v>40694</v>
      </c>
      <c r="B1027" cm="1">
        <f t="array" ref="B1027">(PRODUCT(1+sp500_monthly!B1028:B1147)^(1/120)-1)*100</f>
        <v>1.1302298844428238</v>
      </c>
      <c r="C1027" cm="1">
        <f t="array" ref="C1027">(PRODUCT(1+sp500_monthly!C1028:C1147)^(1/120)-1)*100</f>
        <v>0.9562651563927993</v>
      </c>
      <c r="D1027" cm="1">
        <f t="array" ref="D1027">(PRODUCT(1+sp500_monthly!D1028:D1147)^(1/120)-1)*100</f>
        <v>1.0711220966086232</v>
      </c>
      <c r="E1027" cm="1">
        <f t="array" ref="E1027">(PRODUCT(1+sp500_monthly!E1028:E1147)^(1/120)-1)*100</f>
        <v>0.89981596541008901</v>
      </c>
      <c r="F1027" cm="1">
        <f t="array" ref="F1027">(PRODUCT(1+sp500_monthly!K1028:K1147)^(1/120)-1)*100</f>
        <v>0.95411932162381419</v>
      </c>
      <c r="G1027" cm="1">
        <f t="array" ref="G1027">(PRODUCT(1+sp500_monthly!L1028:L1147)^(1/120)-1)</f>
        <v>4.3664675518024332E-2</v>
      </c>
      <c r="H1027" cm="1">
        <f t="array" ref="H1027">(PRODUCT(1+sp500_monthly!N1028:N1147)^(1/120)-1)*100</f>
        <v>0.9808072690322911</v>
      </c>
      <c r="I1027" cm="1">
        <f t="array" ref="I1027">(PRODUCT(1+sp500_monthly!O1028:O1147)^(1/120)-1)*100</f>
        <v>-0.10217541250950868</v>
      </c>
    </row>
    <row r="1028" spans="1:9" x14ac:dyDescent="0.35">
      <c r="A1028" s="1">
        <v>40724</v>
      </c>
      <c r="B1028" cm="1">
        <f t="array" ref="B1028">(PRODUCT(1+sp500_monthly!B1029:B1148)^(1/120)-1)*100</f>
        <v>1.1640208870747015</v>
      </c>
      <c r="C1028" cm="1">
        <f t="array" ref="C1028">(PRODUCT(1+sp500_monthly!C1029:C1148)^(1/120)-1)*100</f>
        <v>0.99041528054031325</v>
      </c>
      <c r="D1028" cm="1">
        <f t="array" ref="D1028">(PRODUCT(1+sp500_monthly!D1029:D1148)^(1/120)-1)*100</f>
        <v>1.0883688377490319</v>
      </c>
      <c r="E1028" cm="1">
        <f t="array" ref="E1028">(PRODUCT(1+sp500_monthly!E1029:E1148)^(1/120)-1)*100</f>
        <v>0.91713836780729086</v>
      </c>
      <c r="F1028" cm="1">
        <f t="array" ref="F1028">(PRODUCT(1+sp500_monthly!K1029:K1148)^(1/120)-1)*100</f>
        <v>0.98811090851500527</v>
      </c>
      <c r="G1028" cm="1">
        <f t="array" ref="G1028">(PRODUCT(1+sp500_monthly!L1029:L1148)^(1/120)-1)</f>
        <v>4.3664675518024332E-2</v>
      </c>
      <c r="H1028" cm="1">
        <f t="array" ref="H1028">(PRODUCT(1+sp500_monthly!N1029:N1148)^(1/120)-1)*100</f>
        <v>1.0076408084234156</v>
      </c>
      <c r="I1028" cm="1">
        <f t="array" ref="I1028">(PRODUCT(1+sp500_monthly!O1029:O1148)^(1/120)-1)*100</f>
        <v>-0.10900658528759655</v>
      </c>
    </row>
    <row r="1029" spans="1:9" x14ac:dyDescent="0.35">
      <c r="A1029" s="1">
        <v>40753</v>
      </c>
      <c r="B1029" cm="1">
        <f t="array" ref="B1029">(PRODUCT(1+sp500_monthly!B1030:B1149)^(1/120)-1)*100</f>
        <v>1.2011562005128429</v>
      </c>
      <c r="C1029" cm="1">
        <f t="array" ref="C1029">(PRODUCT(1+sp500_monthly!C1030:C1149)^(1/120)-1)*100</f>
        <v>1.0276596225214485</v>
      </c>
      <c r="D1029" cm="1">
        <f t="array" ref="D1029">(PRODUCT(1+sp500_monthly!D1030:D1149)^(1/120)-1)*100</f>
        <v>1.1290085026945729</v>
      </c>
      <c r="E1029" cm="1">
        <f t="array" ref="E1029">(PRODUCT(1+sp500_monthly!E1030:E1149)^(1/120)-1)*100</f>
        <v>0.95762322392842769</v>
      </c>
      <c r="F1029" cm="1">
        <f t="array" ref="F1029">(PRODUCT(1+sp500_monthly!K1030:K1149)^(1/120)-1)*100</f>
        <v>1.0253159258989841</v>
      </c>
      <c r="G1029" cm="1">
        <f t="array" ref="G1029">(PRODUCT(1+sp500_monthly!L1030:L1149)^(1/120)-1)</f>
        <v>4.3664675518024332E-2</v>
      </c>
      <c r="H1029" cm="1">
        <f t="array" ref="H1029">(PRODUCT(1+sp500_monthly!N1030:N1149)^(1/120)-1)*100</f>
        <v>1.04279451000584</v>
      </c>
      <c r="I1029" cm="1">
        <f t="array" ref="I1029">(PRODUCT(1+sp500_monthly!O1030:O1149)^(1/120)-1)*100</f>
        <v>-0.11090882256382661</v>
      </c>
    </row>
    <row r="1030" spans="1:9" x14ac:dyDescent="0.35">
      <c r="A1030" s="1">
        <v>40786</v>
      </c>
      <c r="B1030" cm="1">
        <f t="array" ref="B1030">(PRODUCT(1+sp500_monthly!B1031:B1150)^(1/120)-1)*100</f>
        <v>1.2737057774459659</v>
      </c>
      <c r="C1030" cm="1">
        <f t="array" ref="C1030">(PRODUCT(1+sp500_monthly!C1031:C1150)^(1/120)-1)*100</f>
        <v>1.1010952508128335</v>
      </c>
      <c r="D1030" cm="1">
        <f t="array" ref="D1030">(PRODUCT(1+sp500_monthly!D1031:D1150)^(1/120)-1)*100</f>
        <v>1.203757185450649</v>
      </c>
      <c r="E1030" cm="1">
        <f t="array" ref="E1030">(PRODUCT(1+sp500_monthly!E1031:E1150)^(1/120)-1)*100</f>
        <v>1.032625581073443</v>
      </c>
      <c r="F1030" cm="1">
        <f t="array" ref="F1030">(PRODUCT(1+sp500_monthly!K1031:K1150)^(1/120)-1)*100</f>
        <v>1.098623855589409</v>
      </c>
      <c r="G1030" cm="1">
        <f t="array" ref="G1030">(PRODUCT(1+sp500_monthly!L1031:L1150)^(1/120)-1)</f>
        <v>4.3578139032341978E-2</v>
      </c>
      <c r="H1030" cm="1">
        <f t="array" ref="H1030">(PRODUCT(1+sp500_monthly!N1031:N1150)^(1/120)-1)*100</f>
        <v>1.115425124220315</v>
      </c>
      <c r="I1030" cm="1">
        <f t="array" ref="I1030">(PRODUCT(1+sp500_monthly!O1031:O1150)^(1/120)-1)*100</f>
        <v>-0.11079985437545403</v>
      </c>
    </row>
    <row r="1031" spans="1:9" x14ac:dyDescent="0.35">
      <c r="A1031" s="1">
        <v>40816</v>
      </c>
      <c r="B1031" cm="1">
        <f t="array" ref="B1031">(PRODUCT(1+sp500_monthly!B1032:B1151)^(1/120)-1)*100</f>
        <v>1.295359873916202</v>
      </c>
      <c r="C1031" cm="1">
        <f t="array" ref="C1031">(PRODUCT(1+sp500_monthly!C1032:C1151)^(1/120)-1)*100</f>
        <v>1.1231229040071788</v>
      </c>
      <c r="D1031" cm="1">
        <f t="array" ref="D1031">(PRODUCT(1+sp500_monthly!D1032:D1151)^(1/120)-1)*100</f>
        <v>1.2516360672197635</v>
      </c>
      <c r="E1031" cm="1">
        <f t="array" ref="E1031">(PRODUCT(1+sp500_monthly!E1032:E1151)^(1/120)-1)*100</f>
        <v>1.0805770386824065</v>
      </c>
      <c r="F1031" cm="1">
        <f t="array" ref="F1031">(PRODUCT(1+sp500_monthly!K1032:K1151)^(1/120)-1)*100</f>
        <v>1.1203029866555969</v>
      </c>
      <c r="G1031" cm="1">
        <f t="array" ref="G1031">(PRODUCT(1+sp500_monthly!L1032:L1151)^(1/120)-1)</f>
        <v>4.3578139032341978E-2</v>
      </c>
      <c r="H1031" cm="1">
        <f t="array" ref="H1031">(PRODUCT(1+sp500_monthly!N1032:N1151)^(1/120)-1)*100</f>
        <v>1.1354880336265083</v>
      </c>
      <c r="I1031" cm="1">
        <f t="array" ref="I1031">(PRODUCT(1+sp500_monthly!O1032:O1151)^(1/120)-1)*100</f>
        <v>-0.11233798349590263</v>
      </c>
    </row>
    <row r="1032" spans="1:9" x14ac:dyDescent="0.35">
      <c r="A1032" s="1">
        <v>40847</v>
      </c>
      <c r="B1032" cm="1">
        <f t="array" ref="B1032">(PRODUCT(1+sp500_monthly!B1033:B1152)^(1/120)-1)*100</f>
        <v>1.2655360216316858</v>
      </c>
      <c r="C1032" cm="1">
        <f t="array" ref="C1032">(PRODUCT(1+sp500_monthly!C1033:C1152)^(1/120)-1)*100</f>
        <v>1.0937643903420113</v>
      </c>
      <c r="D1032" cm="1">
        <f t="array" ref="D1032">(PRODUCT(1+sp500_monthly!D1033:D1152)^(1/120)-1)*100</f>
        <v>1.188644647659487</v>
      </c>
      <c r="E1032" cm="1">
        <f t="array" ref="E1032">(PRODUCT(1+sp500_monthly!E1033:E1152)^(1/120)-1)*100</f>
        <v>1.0177471813290095</v>
      </c>
      <c r="F1032" cm="1">
        <f t="array" ref="F1032">(PRODUCT(1+sp500_monthly!K1033:K1152)^(1/120)-1)*100</f>
        <v>1.090436267938566</v>
      </c>
      <c r="G1032" cm="1">
        <f t="array" ref="G1032">(PRODUCT(1+sp500_monthly!L1033:L1152)^(1/120)-1)</f>
        <v>4.3578139032341978E-2</v>
      </c>
      <c r="H1032" cm="1">
        <f t="array" ref="H1032">(PRODUCT(1+sp500_monthly!N1033:N1152)^(1/120)-1)*100</f>
        <v>1.09848118603455</v>
      </c>
      <c r="I1032" cm="1">
        <f t="array" ref="I1032">(PRODUCT(1+sp500_monthly!O1033:O1152)^(1/120)-1)*100</f>
        <v>-0.11948094636227147</v>
      </c>
    </row>
    <row r="1033" spans="1:9" x14ac:dyDescent="0.35">
      <c r="A1033" s="1">
        <v>40877</v>
      </c>
      <c r="B1033" cm="1">
        <f t="array" ref="B1033">(PRODUCT(1+sp500_monthly!B1034:B1153)^(1/120)-1)*100</f>
        <v>1.2616949848768932</v>
      </c>
      <c r="C1033" cm="1">
        <f t="array" ref="C1033">(PRODUCT(1+sp500_monthly!C1034:C1153)^(1/120)-1)*100</f>
        <v>1.0911222563570799</v>
      </c>
      <c r="D1033" cm="1">
        <f t="array" ref="D1033">(PRODUCT(1+sp500_monthly!D1034:D1153)^(1/120)-1)*100</f>
        <v>1.1722400394435839</v>
      </c>
      <c r="E1033" cm="1">
        <f t="array" ref="E1033">(PRODUCT(1+sp500_monthly!E1034:E1153)^(1/120)-1)*100</f>
        <v>1.0019197856529383</v>
      </c>
      <c r="F1033" cm="1">
        <f t="array" ref="F1033">(PRODUCT(1+sp500_monthly!K1034:K1153)^(1/120)-1)*100</f>
        <v>1.0876587773853474</v>
      </c>
      <c r="G1033" cm="1">
        <f t="array" ref="G1033">(PRODUCT(1+sp500_monthly!L1034:L1153)^(1/120)-1)</f>
        <v>4.3578139032341978E-2</v>
      </c>
      <c r="H1033" cm="1">
        <f t="array" ref="H1033">(PRODUCT(1+sp500_monthly!N1034:N1153)^(1/120)-1)*100</f>
        <v>1.0890250612841657</v>
      </c>
      <c r="I1033" cm="1">
        <f t="array" ref="I1033">(PRODUCT(1+sp500_monthly!O1034:O1153)^(1/120)-1)*100</f>
        <v>-0.12503485856953933</v>
      </c>
    </row>
    <row r="1034" spans="1:9" x14ac:dyDescent="0.35">
      <c r="A1034" s="1">
        <v>40907</v>
      </c>
      <c r="B1034" cm="1">
        <f t="array" ref="B1034">(PRODUCT(1+sp500_monthly!B1035:B1154)^(1/120)-1)*100</f>
        <v>1.2897004407838919</v>
      </c>
      <c r="C1034" cm="1">
        <f t="array" ref="C1034">(PRODUCT(1+sp500_monthly!C1035:C1154)^(1/120)-1)*100</f>
        <v>1.1196266003758337</v>
      </c>
      <c r="D1034" cm="1">
        <f t="array" ref="D1034">(PRODUCT(1+sp500_monthly!D1035:D1154)^(1/120)-1)*100</f>
        <v>1.2232910984422363</v>
      </c>
      <c r="E1034" cm="1">
        <f t="array" ref="E1034">(PRODUCT(1+sp500_monthly!E1035:E1154)^(1/120)-1)*100</f>
        <v>1.0531864608840591</v>
      </c>
      <c r="F1034" cm="1">
        <f t="array" ref="F1034">(PRODUCT(1+sp500_monthly!K1035:K1154)^(1/120)-1)*100</f>
        <v>1.11646606699769</v>
      </c>
      <c r="G1034" cm="1">
        <f t="array" ref="G1034">(PRODUCT(1+sp500_monthly!L1035:L1154)^(1/120)-1)</f>
        <v>4.3664675518024332E-2</v>
      </c>
      <c r="H1034" cm="1">
        <f t="array" ref="H1034">(PRODUCT(1+sp500_monthly!N1035:N1154)^(1/120)-1)*100</f>
        <v>1.1111329863016106</v>
      </c>
      <c r="I1034" cm="1">
        <f t="array" ref="I1034">(PRODUCT(1+sp500_monthly!O1035:O1154)^(1/120)-1)*100</f>
        <v>-0.13072956210747888</v>
      </c>
    </row>
    <row r="1035" spans="1:9" x14ac:dyDescent="0.35">
      <c r="A1035" s="1">
        <v>40939</v>
      </c>
      <c r="B1035" cm="1">
        <f t="array" ref="B1035">(PRODUCT(1+sp500_monthly!B1036:B1155)^(1/120)-1)*100</f>
        <v>1.2071237784710531</v>
      </c>
      <c r="C1035" cm="1">
        <f t="array" ref="C1035">(PRODUCT(1+sp500_monthly!C1036:C1155)^(1/120)-1)*100</f>
        <v>1.0374072990400718</v>
      </c>
      <c r="D1035" cm="1">
        <f t="array" ref="D1035">(PRODUCT(1+sp500_monthly!D1036:D1155)^(1/120)-1)*100</f>
        <v>1.1402524259235713</v>
      </c>
      <c r="E1035" cm="1">
        <f t="array" ref="E1035">(PRODUCT(1+sp500_monthly!E1036:E1155)^(1/120)-1)*100</f>
        <v>0.97023977886776525</v>
      </c>
      <c r="F1035" cm="1">
        <f t="array" ref="F1035">(PRODUCT(1+sp500_monthly!K1036:K1155)^(1/120)-1)*100</f>
        <v>1.0350343593878542</v>
      </c>
      <c r="G1035" cm="1">
        <f t="array" ref="G1035">(PRODUCT(1+sp500_monthly!L1036:L1155)^(1/120)-1)</f>
        <v>4.3664675518024332E-2</v>
      </c>
      <c r="H1035" cm="1">
        <f t="array" ref="H1035">(PRODUCT(1+sp500_monthly!N1036:N1155)^(1/120)-1)*100</f>
        <v>1.0262625590355512</v>
      </c>
      <c r="I1035" cm="1">
        <f t="array" ref="I1035">(PRODUCT(1+sp500_monthly!O1036:O1155)^(1/120)-1)*100</f>
        <v>-0.1331409100664982</v>
      </c>
    </row>
    <row r="1036" spans="1:9" x14ac:dyDescent="0.35">
      <c r="A1036" s="1">
        <v>40968</v>
      </c>
      <c r="B1036" cm="1">
        <f t="array" ref="B1036">(PRODUCT(1+sp500_monthly!B1037:B1156)^(1/120)-1)*100</f>
        <v>1.1462839761546828</v>
      </c>
      <c r="C1036" cm="1">
        <f t="array" ref="C1036">(PRODUCT(1+sp500_monthly!C1037:C1156)^(1/120)-1)*100</f>
        <v>0.9775460955577131</v>
      </c>
      <c r="D1036" cm="1">
        <f t="array" ref="D1036">(PRODUCT(1+sp500_monthly!D1037:D1156)^(1/120)-1)*100</f>
        <v>1.0970104952758408</v>
      </c>
      <c r="E1036" cm="1">
        <f t="array" ref="E1036">(PRODUCT(1+sp500_monthly!E1037:E1156)^(1/120)-1)*100</f>
        <v>0.92737720096860432</v>
      </c>
      <c r="F1036" cm="1">
        <f t="array" ref="F1036">(PRODUCT(1+sp500_monthly!K1037:K1156)^(1/120)-1)*100</f>
        <v>0.97472587536577837</v>
      </c>
      <c r="G1036" cm="1">
        <f t="array" ref="G1036">(PRODUCT(1+sp500_monthly!L1037:L1156)^(1/120)-1)</f>
        <v>4.3664675518024332E-2</v>
      </c>
      <c r="H1036" cm="1">
        <f t="array" ref="H1036">(PRODUCT(1+sp500_monthly!N1037:N1156)^(1/120)-1)*100</f>
        <v>0.96096120222470827</v>
      </c>
      <c r="I1036" cm="1">
        <f t="array" ref="I1036">(PRODUCT(1+sp500_monthly!O1037:O1156)^(1/120)-1)*100</f>
        <v>-0.13766145554694464</v>
      </c>
    </row>
    <row r="1037" spans="1:9" x14ac:dyDescent="0.35">
      <c r="A1037" s="1">
        <v>40998</v>
      </c>
      <c r="B1037" cm="1">
        <f t="array" ref="B1037">(PRODUCT(1+sp500_monthly!B1038:B1157)^(1/120)-1)*100</f>
        <v>1.1504024546031388</v>
      </c>
      <c r="C1037" cm="1">
        <f t="array" ref="C1037">(PRODUCT(1+sp500_monthly!C1038:C1157)^(1/120)-1)*100</f>
        <v>0.98187834546050734</v>
      </c>
      <c r="D1037" cm="1">
        <f t="array" ref="D1037">(PRODUCT(1+sp500_monthly!D1038:D1157)^(1/120)-1)*100</f>
        <v>1.1003076833422165</v>
      </c>
      <c r="E1037" cm="1">
        <f t="array" ref="E1037">(PRODUCT(1+sp500_monthly!E1038:E1157)^(1/120)-1)*100</f>
        <v>0.93064366931081555</v>
      </c>
      <c r="F1037" cm="1">
        <f t="array" ref="F1037">(PRODUCT(1+sp500_monthly!K1038:K1157)^(1/120)-1)*100</f>
        <v>0.97834153975386862</v>
      </c>
      <c r="G1037" cm="1">
        <f t="array" ref="G1037">(PRODUCT(1+sp500_monthly!L1038:L1157)^(1/120)-1)</f>
        <v>4.375121917955993E-2</v>
      </c>
      <c r="H1037" cm="1">
        <f t="array" ref="H1037">(PRODUCT(1+sp500_monthly!N1038:N1157)^(1/120)-1)*100</f>
        <v>0.95795465080612541</v>
      </c>
      <c r="I1037" cm="1">
        <f t="array" ref="I1037">(PRODUCT(1+sp500_monthly!O1038:O1157)^(1/120)-1)*100</f>
        <v>-0.14461799413989507</v>
      </c>
    </row>
    <row r="1038" spans="1:9" x14ac:dyDescent="0.35">
      <c r="A1038" s="1">
        <v>41029</v>
      </c>
      <c r="B1038" cm="1">
        <f t="array" ref="B1038">(PRODUCT(1+sp500_monthly!B1039:B1158)^(1/120)-1)*100</f>
        <v>1.0782757403236198</v>
      </c>
      <c r="C1038" cm="1">
        <f t="array" ref="C1038">(PRODUCT(1+sp500_monthly!C1039:C1158)^(1/120)-1)*100</f>
        <v>0.91013687158227885</v>
      </c>
      <c r="D1038" cm="1">
        <f t="array" ref="D1038">(PRODUCT(1+sp500_monthly!D1039:D1158)^(1/120)-1)*100</f>
        <v>1.0519203700519952</v>
      </c>
      <c r="E1038" cm="1">
        <f t="array" ref="E1038">(PRODUCT(1+sp500_monthly!E1039:E1158)^(1/120)-1)*100</f>
        <v>0.88239662173894562</v>
      </c>
      <c r="F1038" cm="1">
        <f t="array" ref="F1038">(PRODUCT(1+sp500_monthly!K1039:K1158)^(1/120)-1)*100</f>
        <v>0.90722491486605605</v>
      </c>
      <c r="G1038" cm="1">
        <f t="array" ref="G1038">(PRODUCT(1+sp500_monthly!L1039:L1158)^(1/120)-1)</f>
        <v>4.3837770017543409E-2</v>
      </c>
      <c r="H1038" cm="1">
        <f t="array" ref="H1038">(PRODUCT(1+sp500_monthly!N1039:N1158)^(1/120)-1)*100</f>
        <v>0.88382712425965071</v>
      </c>
      <c r="I1038" cm="1">
        <f t="array" ref="I1038">(PRODUCT(1+sp500_monthly!O1039:O1158)^(1/120)-1)*100</f>
        <v>-0.14665098630823881</v>
      </c>
    </row>
    <row r="1039" spans="1:9" x14ac:dyDescent="0.35">
      <c r="A1039" s="1">
        <v>41060</v>
      </c>
      <c r="B1039" cm="1">
        <f t="array" ref="B1039">(PRODUCT(1+sp500_monthly!B1040:B1159)^(1/120)-1)*100</f>
        <v>1.1305348828511308</v>
      </c>
      <c r="C1039" cm="1">
        <f t="array" ref="C1039">(PRODUCT(1+sp500_monthly!C1040:C1159)^(1/120)-1)*100</f>
        <v>0.96322210974999489</v>
      </c>
      <c r="D1039" cm="1">
        <f t="array" ref="D1039">(PRODUCT(1+sp500_monthly!D1040:D1159)^(1/120)-1)*100</f>
        <v>1.122101819816268</v>
      </c>
      <c r="E1039" cm="1">
        <f t="array" ref="E1039">(PRODUCT(1+sp500_monthly!E1040:E1159)^(1/120)-1)*100</f>
        <v>0.95285721090663245</v>
      </c>
      <c r="F1039" cm="1">
        <f t="array" ref="F1039">(PRODUCT(1+sp500_monthly!K1040:K1159)^(1/120)-1)*100</f>
        <v>0.96168965083873736</v>
      </c>
      <c r="G1039" cm="1">
        <f t="array" ref="G1039">(PRODUCT(1+sp500_monthly!L1040:L1159)^(1/120)-1)</f>
        <v>4.4008351146039404E-2</v>
      </c>
      <c r="H1039" cm="1">
        <f t="array" ref="H1039">(PRODUCT(1+sp500_monthly!N1040:N1159)^(1/120)-1)*100</f>
        <v>0.92671959618655375</v>
      </c>
      <c r="I1039" cm="1">
        <f t="array" ref="I1039">(PRODUCT(1+sp500_monthly!O1040:O1159)^(1/120)-1)*100</f>
        <v>-0.15565136157340564</v>
      </c>
    </row>
    <row r="1040" spans="1:9" x14ac:dyDescent="0.35">
      <c r="A1040" s="1">
        <v>41089</v>
      </c>
      <c r="B1040" cm="1">
        <f t="array" ref="B1040">(PRODUCT(1+sp500_monthly!B1041:B1160)^(1/120)-1)*100</f>
        <v>1.0245374007455954</v>
      </c>
      <c r="C1040" cm="1">
        <f t="array" ref="C1040">(PRODUCT(1+sp500_monthly!C1041:C1160)^(1/120)-1)*100</f>
        <v>0.85735189357045716</v>
      </c>
      <c r="D1040" cm="1">
        <f t="array" ref="D1040">(PRODUCT(1+sp500_monthly!D1041:D1160)^(1/120)-1)*100</f>
        <v>1.0083555342260464</v>
      </c>
      <c r="E1040" cm="1">
        <f t="array" ref="E1040">(PRODUCT(1+sp500_monthly!E1041:E1160)^(1/120)-1)*100</f>
        <v>0.83902280554992714</v>
      </c>
      <c r="F1040" cm="1">
        <f t="array" ref="F1040">(PRODUCT(1+sp500_monthly!K1041:K1160)^(1/120)-1)*100</f>
        <v>0.85536207885363869</v>
      </c>
      <c r="G1040" cm="1">
        <f t="array" ref="G1040">(PRODUCT(1+sp500_monthly!L1041:L1160)^(1/120)-1)</f>
        <v>4.4515417801107793E-2</v>
      </c>
      <c r="H1040" cm="1">
        <f t="array" ref="H1040">(PRODUCT(1+sp500_monthly!N1041:N1160)^(1/120)-1)*100</f>
        <v>0.80981889536317908</v>
      </c>
      <c r="I1040" cm="1">
        <f t="array" ref="I1040">(PRODUCT(1+sp500_monthly!O1041:O1160)^(1/120)-1)*100</f>
        <v>-0.16616150436076227</v>
      </c>
    </row>
    <row r="1041" spans="1:9" x14ac:dyDescent="0.35">
      <c r="A1041" s="1">
        <v>41121</v>
      </c>
      <c r="B1041" cm="1">
        <f t="array" ref="B1041">(PRODUCT(1+sp500_monthly!B1042:B1161)^(1/120)-1)*100</f>
        <v>1.0880057545545663</v>
      </c>
      <c r="C1041" cm="1">
        <f t="array" ref="C1041">(PRODUCT(1+sp500_monthly!C1042:C1161)^(1/120)-1)*100</f>
        <v>0.92092703929924635</v>
      </c>
      <c r="D1041" cm="1">
        <f t="array" ref="D1041">(PRODUCT(1+sp500_monthly!D1042:D1161)^(1/120)-1)*100</f>
        <v>1.0769140888821971</v>
      </c>
      <c r="E1041" cm="1">
        <f t="array" ref="E1041">(PRODUCT(1+sp500_monthly!E1042:E1161)^(1/120)-1)*100</f>
        <v>0.90748971956111646</v>
      </c>
      <c r="F1041" cm="1">
        <f t="array" ref="F1041">(PRODUCT(1+sp500_monthly!K1042:K1161)^(1/120)-1)*100</f>
        <v>0.91814871384208185</v>
      </c>
      <c r="G1041" cm="1">
        <f t="array" ref="G1041">(PRODUCT(1+sp500_monthly!L1042:L1161)^(1/120)-1)</f>
        <v>4.5185524278828826E-2</v>
      </c>
      <c r="H1041" cm="1">
        <f t="array" ref="H1041">(PRODUCT(1+sp500_monthly!N1042:N1161)^(1/120)-1)*100</f>
        <v>0.87344923815360076</v>
      </c>
      <c r="I1041" cm="1">
        <f t="array" ref="I1041">(PRODUCT(1+sp500_monthly!O1042:O1161)^(1/120)-1)*100</f>
        <v>-0.16520238098529649</v>
      </c>
    </row>
    <row r="1042" spans="1:9" x14ac:dyDescent="0.35">
      <c r="A1042" s="1">
        <v>41152</v>
      </c>
      <c r="B1042" cm="1">
        <f t="array" ref="B1042">(PRODUCT(1+sp500_monthly!B1043:B1162)^(1/120)-1)*100</f>
        <v>1.0344276930426721</v>
      </c>
      <c r="C1042" cm="1">
        <f t="array" ref="C1042">(PRODUCT(1+sp500_monthly!C1043:C1162)^(1/120)-1)*100</f>
        <v>0.86820658285466923</v>
      </c>
      <c r="D1042" cm="1">
        <f t="array" ref="D1042">(PRODUCT(1+sp500_monthly!D1043:D1162)^(1/120)-1)*100</f>
        <v>1.0224440302490256</v>
      </c>
      <c r="E1042" cm="1">
        <f t="array" ref="E1042">(PRODUCT(1+sp500_monthly!E1043:E1162)^(1/120)-1)*100</f>
        <v>0.85328944097027293</v>
      </c>
      <c r="F1042" cm="1">
        <f t="array" ref="F1042">(PRODUCT(1+sp500_monthly!K1043:K1162)^(1/120)-1)*100</f>
        <v>0.86523342425939287</v>
      </c>
      <c r="G1042" cm="1">
        <f t="array" ref="G1042">(PRODUCT(1+sp500_monthly!L1043:L1162)^(1/120)-1)</f>
        <v>4.6614946985712669E-2</v>
      </c>
      <c r="H1042" cm="1">
        <f t="array" ref="H1042">(PRODUCT(1+sp500_monthly!N1043:N1162)^(1/120)-1)*100</f>
        <v>0.82419129703898975</v>
      </c>
      <c r="I1042" cm="1">
        <f t="array" ref="I1042">(PRODUCT(1+sp500_monthly!O1043:O1162)^(1/120)-1)*100</f>
        <v>-0.15954098248006643</v>
      </c>
    </row>
    <row r="1043" spans="1:9" x14ac:dyDescent="0.35">
      <c r="A1043" s="1">
        <v>41180</v>
      </c>
      <c r="B1043" cm="1">
        <f t="array" ref="B1043">(PRODUCT(1+sp500_monthly!B1044:B1163)^(1/120)-1)*100</f>
        <v>0.93280068170180641</v>
      </c>
      <c r="C1043" cm="1">
        <f t="array" ref="C1043">(PRODUCT(1+sp500_monthly!C1044:C1163)^(1/120)-1)*100</f>
        <v>0.76675885686094958</v>
      </c>
      <c r="D1043" cm="1">
        <f t="array" ref="D1043">(PRODUCT(1+sp500_monthly!D1044:D1163)^(1/120)-1)*100</f>
        <v>0.92039026989967354</v>
      </c>
      <c r="E1043" cm="1">
        <f t="array" ref="E1043">(PRODUCT(1+sp500_monthly!E1044:E1163)^(1/120)-1)*100</f>
        <v>0.75101692326757785</v>
      </c>
      <c r="F1043" cm="1">
        <f t="array" ref="F1043">(PRODUCT(1+sp500_monthly!K1044:K1163)^(1/120)-1)*100</f>
        <v>0.76274215491982655</v>
      </c>
      <c r="G1043" cm="1">
        <f t="array" ref="G1043">(PRODUCT(1+sp500_monthly!L1044:L1163)^(1/120)-1)</f>
        <v>4.8046324607994295E-2</v>
      </c>
      <c r="H1043" cm="1">
        <f t="array" ref="H1043">(PRODUCT(1+sp500_monthly!N1044:N1163)^(1/120)-1)*100</f>
        <v>0.72355861058239768</v>
      </c>
      <c r="I1043" cm="1">
        <f t="array" ref="I1043">(PRODUCT(1+sp500_monthly!O1044:O1163)^(1/120)-1)*100</f>
        <v>-0.15726885074592856</v>
      </c>
    </row>
    <row r="1044" spans="1:9" x14ac:dyDescent="0.35">
      <c r="A1044" s="1">
        <v>41213</v>
      </c>
      <c r="B1044" cm="1">
        <f t="array" ref="B1044">(PRODUCT(1+sp500_monthly!B1045:B1164)^(1/120)-1)*100</f>
        <v>1.0128962460511204</v>
      </c>
      <c r="C1044" cm="1">
        <f t="array" ref="C1044">(PRODUCT(1+sp500_monthly!C1045:C1164)^(1/120)-1)*100</f>
        <v>0.84709482339968556</v>
      </c>
      <c r="D1044" cm="1">
        <f t="array" ref="D1044">(PRODUCT(1+sp500_monthly!D1045:D1164)^(1/120)-1)*100</f>
        <v>1.0043951459846712</v>
      </c>
      <c r="E1044" cm="1">
        <f t="array" ref="E1044">(PRODUCT(1+sp500_monthly!E1045:E1164)^(1/120)-1)*100</f>
        <v>0.8352103601805716</v>
      </c>
      <c r="F1044" cm="1">
        <f t="array" ref="F1044">(PRODUCT(1+sp500_monthly!K1045:K1164)^(1/120)-1)*100</f>
        <v>0.84407504943768696</v>
      </c>
      <c r="G1044" cm="1">
        <f t="array" ref="G1044">(PRODUCT(1+sp500_monthly!L1045:L1164)^(1/120)-1)</f>
        <v>4.9768838840210439E-2</v>
      </c>
      <c r="H1044" cm="1">
        <f t="array" ref="H1044">(PRODUCT(1+sp500_monthly!N1045:N1164)^(1/120)-1)*100</f>
        <v>0.8014471605918061</v>
      </c>
      <c r="I1044" cm="1">
        <f t="array" ref="I1044">(PRODUCT(1+sp500_monthly!O1045:O1164)^(1/120)-1)*100</f>
        <v>-0.15746213125382713</v>
      </c>
    </row>
    <row r="1045" spans="1:9" x14ac:dyDescent="0.35">
      <c r="A1045" s="1">
        <v>41243</v>
      </c>
      <c r="B1045" cm="1">
        <f t="array" ref="B1045">(PRODUCT(1+sp500_monthly!B1046:B1165)^(1/120)-1)*100</f>
        <v>1.0528354781362159</v>
      </c>
      <c r="C1045" cm="1">
        <f t="array" ref="C1045">(PRODUCT(1+sp500_monthly!C1046:C1165)^(1/120)-1)*100</f>
        <v>0.8880223888889649</v>
      </c>
      <c r="D1045" cm="1">
        <f t="array" ref="D1045">(PRODUCT(1+sp500_monthly!D1046:D1165)^(1/120)-1)*100</f>
        <v>1.049171203925825</v>
      </c>
      <c r="E1045" cm="1">
        <f t="array" ref="E1045">(PRODUCT(1+sp500_monthly!E1046:E1165)^(1/120)-1)*100</f>
        <v>0.88064023120482116</v>
      </c>
      <c r="F1045" cm="1">
        <f t="array" ref="F1045">(PRODUCT(1+sp500_monthly!K1046:K1165)^(1/120)-1)*100</f>
        <v>0.88569452475901755</v>
      </c>
      <c r="G1045" cm="1">
        <f t="array" ref="G1045">(PRODUCT(1+sp500_monthly!L1046:L1165)^(1/120)-1)</f>
        <v>5.1911605409706407E-2</v>
      </c>
      <c r="H1045" cm="1">
        <f t="array" ref="H1045">(PRODUCT(1+sp500_monthly!N1046:N1165)^(1/120)-1)*100</f>
        <v>0.83767867649675587</v>
      </c>
      <c r="I1045" cm="1">
        <f t="array" ref="I1045">(PRODUCT(1+sp500_monthly!O1046:O1165)^(1/120)-1)*100</f>
        <v>-0.15872423376566136</v>
      </c>
    </row>
    <row r="1046" spans="1:9" x14ac:dyDescent="0.35">
      <c r="A1046" s="1">
        <v>41274</v>
      </c>
      <c r="B1046" cm="1">
        <f t="array" ref="B1046">(PRODUCT(1+sp500_monthly!B1047:B1166)^(1/120)-1)*100</f>
        <v>0.99470081890997708</v>
      </c>
      <c r="C1046" cm="1">
        <f t="array" ref="C1046">(PRODUCT(1+sp500_monthly!C1047:C1166)^(1/120)-1)*100</f>
        <v>0.83091834486501703</v>
      </c>
      <c r="D1046" cm="1">
        <f t="array" ref="D1046">(PRODUCT(1+sp500_monthly!D1047:D1166)^(1/120)-1)*100</f>
        <v>0.98671208638752006</v>
      </c>
      <c r="E1046" cm="1">
        <f t="array" ref="E1046">(PRODUCT(1+sp500_monthly!E1047:E1166)^(1/120)-1)*100</f>
        <v>0.81906927928272477</v>
      </c>
      <c r="F1046" cm="1">
        <f t="array" ref="F1046">(PRODUCT(1+sp500_monthly!K1047:K1166)^(1/120)-1)*100</f>
        <v>0.82868965438689379</v>
      </c>
      <c r="G1046" cm="1">
        <f t="array" ref="G1046">(PRODUCT(1+sp500_monthly!L1047:L1166)^(1/120)-1)</f>
        <v>5.4327009055423092E-2</v>
      </c>
      <c r="H1046" cm="1">
        <f t="array" ref="H1046">(PRODUCT(1+sp500_monthly!N1047:N1166)^(1/120)-1)*100</f>
        <v>0.7791050429481361</v>
      </c>
      <c r="I1046" cm="1">
        <f t="array" ref="I1046">(PRODUCT(1+sp500_monthly!O1047:O1166)^(1/120)-1)*100</f>
        <v>-0.15662380726257918</v>
      </c>
    </row>
    <row r="1047" spans="1:9" x14ac:dyDescent="0.35">
      <c r="A1047" s="1">
        <v>41305</v>
      </c>
      <c r="B1047" cm="1">
        <f t="array" ref="B1047">(PRODUCT(1+sp500_monthly!B1048:B1167)^(1/120)-1)*100</f>
        <v>1.00380808344529</v>
      </c>
      <c r="C1047" cm="1">
        <f t="array" ref="C1047">(PRODUCT(1+sp500_monthly!C1048:C1167)^(1/120)-1)*100</f>
        <v>0.84026275104576165</v>
      </c>
      <c r="D1047" cm="1">
        <f t="array" ref="D1047">(PRODUCT(1+sp500_monthly!D1048:D1167)^(1/120)-1)*100</f>
        <v>0.99469763335207073</v>
      </c>
      <c r="E1047" cm="1">
        <f t="array" ref="E1047">(PRODUCT(1+sp500_monthly!E1048:E1167)^(1/120)-1)*100</f>
        <v>0.82700539933844297</v>
      </c>
      <c r="F1047" cm="1">
        <f t="array" ref="F1047">(PRODUCT(1+sp500_monthly!K1048:K1167)^(1/120)-1)*100</f>
        <v>0.83770045788333913</v>
      </c>
      <c r="G1047" cm="1">
        <f t="array" ref="G1047">(PRODUCT(1+sp500_monthly!L1048:L1167)^(1/120)-1)</f>
        <v>5.696704535336683E-2</v>
      </c>
      <c r="H1047" cm="1">
        <f t="array" ref="H1047">(PRODUCT(1+sp500_monthly!N1048:N1167)^(1/120)-1)*100</f>
        <v>0.78552621792418176</v>
      </c>
      <c r="I1047" cm="1">
        <f t="array" ref="I1047">(PRODUCT(1+sp500_monthly!O1048:O1167)^(1/120)-1)*100</f>
        <v>-0.1563584778595084</v>
      </c>
    </row>
    <row r="1048" spans="1:9" x14ac:dyDescent="0.35">
      <c r="A1048" s="1">
        <v>41333</v>
      </c>
      <c r="B1048" cm="1">
        <f t="array" ref="B1048">(PRODUCT(1+sp500_monthly!B1049:B1168)^(1/120)-1)*100</f>
        <v>0.9722549588299767</v>
      </c>
      <c r="C1048" cm="1">
        <f t="array" ref="C1048">(PRODUCT(1+sp500_monthly!C1049:C1168)^(1/120)-1)*100</f>
        <v>0.80934908271315109</v>
      </c>
      <c r="D1048" cm="1">
        <f t="array" ref="D1048">(PRODUCT(1+sp500_monthly!D1049:D1168)^(1/120)-1)*100</f>
        <v>0.95604430323006362</v>
      </c>
      <c r="E1048" cm="1">
        <f t="array" ref="E1048">(PRODUCT(1+sp500_monthly!E1049:E1168)^(1/120)-1)*100</f>
        <v>0.78843118056610706</v>
      </c>
      <c r="F1048" cm="1">
        <f t="array" ref="F1048">(PRODUCT(1+sp500_monthly!K1049:K1168)^(1/120)-1)*100</f>
        <v>0.8062278349916685</v>
      </c>
      <c r="G1048" cm="1">
        <f t="array" ref="G1048">(PRODUCT(1+sp500_monthly!L1049:L1168)^(1/120)-1)</f>
        <v>5.9548042631267339E-2</v>
      </c>
      <c r="H1048" cm="1">
        <f t="array" ref="H1048">(PRODUCT(1+sp500_monthly!N1049:N1168)^(1/120)-1)*100</f>
        <v>0.75537108545635778</v>
      </c>
      <c r="I1048" cm="1">
        <f t="array" ref="I1048">(PRODUCT(1+sp500_monthly!O1049:O1168)^(1/120)-1)*100</f>
        <v>-0.15221650974104328</v>
      </c>
    </row>
    <row r="1049" spans="1:9" x14ac:dyDescent="0.35">
      <c r="A1049" s="1">
        <v>41361</v>
      </c>
      <c r="B1049" cm="1">
        <f t="array" ref="B1049">(PRODUCT(1+sp500_monthly!B1050:B1169)^(1/120)-1)*100</f>
        <v>0.97216980412777598</v>
      </c>
      <c r="C1049" cm="1">
        <f t="array" ref="C1049">(PRODUCT(1+sp500_monthly!C1050:C1169)^(1/120)-1)*100</f>
        <v>0.80922420007609741</v>
      </c>
      <c r="D1049" cm="1">
        <f t="array" ref="D1049">(PRODUCT(1+sp500_monthly!D1050:D1169)^(1/120)-1)*100</f>
        <v>0.91838460927109455</v>
      </c>
      <c r="E1049" cm="1">
        <f t="array" ref="E1049">(PRODUCT(1+sp500_monthly!E1050:E1169)^(1/120)-1)*100</f>
        <v>0.75045867241791964</v>
      </c>
      <c r="F1049" cm="1">
        <f t="array" ref="F1049">(PRODUCT(1+sp500_monthly!K1050:K1169)^(1/120)-1)*100</f>
        <v>0.80546852018432702</v>
      </c>
      <c r="G1049" cm="1">
        <f t="array" ref="G1049">(PRODUCT(1+sp500_monthly!L1050:L1169)^(1/120)-1)</f>
        <v>6.2266480734042506E-2</v>
      </c>
      <c r="H1049" cm="1">
        <f t="array" ref="H1049">(PRODUCT(1+sp500_monthly!N1050:N1169)^(1/120)-1)*100</f>
        <v>0.75226770743364035</v>
      </c>
      <c r="I1049" cm="1">
        <f t="array" ref="I1049">(PRODUCT(1+sp500_monthly!O1050:O1169)^(1/120)-1)*100</f>
        <v>-0.15221771936851924</v>
      </c>
    </row>
    <row r="1050" spans="1:9" x14ac:dyDescent="0.35">
      <c r="A1050" s="1">
        <v>41394</v>
      </c>
      <c r="B1050" cm="1">
        <f t="array" ref="B1050">(PRODUCT(1+sp500_monthly!B1051:B1170)^(1/120)-1)*100</f>
        <v>0.96836019694663822</v>
      </c>
      <c r="C1050" cm="1">
        <f t="array" ref="C1050">(PRODUCT(1+sp500_monthly!C1051:C1170)^(1/120)-1)*100</f>
        <v>0.80557305875255114</v>
      </c>
      <c r="D1050" cm="1">
        <f t="array" ref="D1050">(PRODUCT(1+sp500_monthly!D1051:D1170)^(1/120)-1)*100</f>
        <v>0.90703134690341969</v>
      </c>
      <c r="E1050" cm="1">
        <f t="array" ref="E1050">(PRODUCT(1+sp500_monthly!E1051:E1170)^(1/120)-1)*100</f>
        <v>0.73898477040408306</v>
      </c>
      <c r="F1050" cm="1">
        <f t="array" ref="F1050">(PRODUCT(1+sp500_monthly!K1051:K1170)^(1/120)-1)*100</f>
        <v>0.80262202142271644</v>
      </c>
      <c r="G1050" cm="1">
        <f t="array" ref="G1050">(PRODUCT(1+sp500_monthly!L1051:L1170)^(1/120)-1)</f>
        <v>6.4926397480118636E-2</v>
      </c>
      <c r="H1050" cm="1">
        <f t="array" ref="H1050">(PRODUCT(1+sp500_monthly!N1051:N1170)^(1/120)-1)*100</f>
        <v>0.74313560348864272</v>
      </c>
      <c r="I1050" cm="1">
        <f t="array" ref="I1050">(PRODUCT(1+sp500_monthly!O1051:O1170)^(1/120)-1)*100</f>
        <v>-0.15459382502156505</v>
      </c>
    </row>
    <row r="1051" spans="1:9" x14ac:dyDescent="0.35">
      <c r="A1051" s="1">
        <v>41425</v>
      </c>
      <c r="B1051" cm="1">
        <f t="array" ref="B1051">(PRODUCT(1+sp500_monthly!B1052:B1171)^(1/120)-1)*100</f>
        <v>0.95358219520427223</v>
      </c>
      <c r="C1051" cm="1">
        <f t="array" ref="C1051">(PRODUCT(1+sp500_monthly!C1052:C1171)^(1/120)-1)*100</f>
        <v>0.79148906197514801</v>
      </c>
      <c r="D1051" cm="1">
        <f t="array" ref="D1051">(PRODUCT(1+sp500_monthly!D1052:D1171)^(1/120)-1)*100</f>
        <v>0.85106714497358293</v>
      </c>
      <c r="E1051" cm="1">
        <f t="array" ref="E1051">(PRODUCT(1+sp500_monthly!E1052:E1171)^(1/120)-1)*100</f>
        <v>0.68302176866259501</v>
      </c>
      <c r="F1051" cm="1">
        <f t="array" ref="F1051">(PRODUCT(1+sp500_monthly!K1052:K1171)^(1/120)-1)*100</f>
        <v>0.78744274151885119</v>
      </c>
      <c r="G1051" cm="1">
        <f t="array" ref="G1051">(PRODUCT(1+sp500_monthly!L1052:L1171)^(1/120)-1)</f>
        <v>6.7658634603007251E-2</v>
      </c>
      <c r="H1051" cm="1">
        <f t="array" ref="H1051">(PRODUCT(1+sp500_monthly!N1052:N1171)^(1/120)-1)*100</f>
        <v>0.72781623073565616</v>
      </c>
      <c r="I1051" cm="1">
        <f t="array" ref="I1051">(PRODUCT(1+sp500_monthly!O1052:O1171)^(1/120)-1)*100</f>
        <v>-0.15217311473112449</v>
      </c>
    </row>
    <row r="1052" spans="1:9" x14ac:dyDescent="0.35">
      <c r="A1052" s="1">
        <v>41453</v>
      </c>
      <c r="B1052" cm="1">
        <f t="array" ref="B1052">(PRODUCT(1+sp500_monthly!B1053:B1172)^(1/120)-1)*100</f>
        <v>1.0196445436817747</v>
      </c>
      <c r="C1052" cm="1">
        <f t="array" ref="C1052">(PRODUCT(1+sp500_monthly!C1053:C1172)^(1/120)-1)*100</f>
        <v>0.85783713365061853</v>
      </c>
      <c r="D1052" cm="1">
        <f t="array" ref="D1052">(PRODUCT(1+sp500_monthly!D1053:D1172)^(1/120)-1)*100</f>
        <v>0.92360295617734955</v>
      </c>
      <c r="E1052" cm="1">
        <f t="array" ref="E1052">(PRODUCT(1+sp500_monthly!E1053:E1172)^(1/120)-1)*100</f>
        <v>0.75549552761311478</v>
      </c>
      <c r="F1052" cm="1">
        <f t="array" ref="F1052">(PRODUCT(1+sp500_monthly!K1053:K1172)^(1/120)-1)*100</f>
        <v>0.85283467284280601</v>
      </c>
      <c r="G1052" cm="1">
        <f t="array" ref="G1052">(PRODUCT(1+sp500_monthly!L1053:L1172)^(1/120)-1)</f>
        <v>7.0656481262388882E-2</v>
      </c>
      <c r="H1052" cm="1">
        <f t="array" ref="H1052">(PRODUCT(1+sp500_monthly!N1053:N1172)^(1/120)-1)*100</f>
        <v>0.79396326454828081</v>
      </c>
      <c r="I1052" cm="1">
        <f t="array" ref="I1052">(PRODUCT(1+sp500_monthly!O1053:O1172)^(1/120)-1)*100</f>
        <v>-0.14862118809824132</v>
      </c>
    </row>
    <row r="1053" spans="1:9" x14ac:dyDescent="0.35">
      <c r="A1053" s="1">
        <v>41486</v>
      </c>
      <c r="B1053" cm="1">
        <f t="array" ref="B1053">(PRODUCT(1+sp500_monthly!B1054:B1173)^(1/120)-1)*100</f>
        <v>1.0043058480612821</v>
      </c>
      <c r="C1053" cm="1">
        <f t="array" ref="C1053">(PRODUCT(1+sp500_monthly!C1054:C1173)^(1/120)-1)*100</f>
        <v>0.84285325654740451</v>
      </c>
      <c r="D1053" cm="1">
        <f t="array" ref="D1053">(PRODUCT(1+sp500_monthly!D1054:D1173)^(1/120)-1)*100</f>
        <v>0.90763478978632683</v>
      </c>
      <c r="E1053" cm="1">
        <f t="array" ref="E1053">(PRODUCT(1+sp500_monthly!E1054:E1173)^(1/120)-1)*100</f>
        <v>0.7394702688243715</v>
      </c>
      <c r="F1053" cm="1">
        <f t="array" ref="F1053">(PRODUCT(1+sp500_monthly!K1054:K1173)^(1/120)-1)*100</f>
        <v>0.8380325503785313</v>
      </c>
      <c r="G1053" cm="1">
        <f t="array" ref="G1053">(PRODUCT(1+sp500_monthly!L1054:L1173)^(1/120)-1)</f>
        <v>7.3976760086296833E-2</v>
      </c>
      <c r="H1053" cm="1">
        <f t="array" ref="H1053">(PRODUCT(1+sp500_monthly!N1054:N1173)^(1/120)-1)*100</f>
        <v>0.77857632249982434</v>
      </c>
      <c r="I1053" cm="1">
        <f t="array" ref="I1053">(PRODUCT(1+sp500_monthly!O1054:O1173)^(1/120)-1)*100</f>
        <v>-0.14496684869662602</v>
      </c>
    </row>
    <row r="1054" spans="1:9" x14ac:dyDescent="0.35">
      <c r="A1054" s="1">
        <v>41516</v>
      </c>
      <c r="B1054" cm="1">
        <f t="array" ref="B1054">(PRODUCT(1+sp500_monthly!B1055:B1174)^(1/120)-1)*100</f>
        <v>1.0161727231878581</v>
      </c>
      <c r="C1054" cm="1">
        <f t="array" ref="C1054">(PRODUCT(1+sp500_monthly!C1055:C1174)^(1/120)-1)*100</f>
        <v>0.85529786127394036</v>
      </c>
      <c r="D1054" cm="1">
        <f t="array" ref="D1054">(PRODUCT(1+sp500_monthly!D1055:D1174)^(1/120)-1)*100</f>
        <v>0.90502289230554034</v>
      </c>
      <c r="E1054" cm="1">
        <f t="array" ref="E1054">(PRODUCT(1+sp500_monthly!E1055:E1174)^(1/120)-1)*100</f>
        <v>0.73676438860321714</v>
      </c>
      <c r="F1054" cm="1">
        <f t="array" ref="F1054">(PRODUCT(1+sp500_monthly!K1055:K1174)^(1/120)-1)*100</f>
        <v>0.84973333264657391</v>
      </c>
      <c r="G1054" cm="1">
        <f t="array" ref="G1054">(PRODUCT(1+sp500_monthly!L1055:L1174)^(1/120)-1)</f>
        <v>7.7307335631572771E-2</v>
      </c>
      <c r="H1054" cm="1">
        <f t="array" ref="H1054">(PRODUCT(1+sp500_monthly!N1055:N1174)^(1/120)-1)*100</f>
        <v>0.78813193467444087</v>
      </c>
      <c r="I1054" cm="1">
        <f t="array" ref="I1054">(PRODUCT(1+sp500_monthly!O1055:O1174)^(1/120)-1)*100</f>
        <v>-0.14349423858142085</v>
      </c>
    </row>
    <row r="1055" spans="1:9" x14ac:dyDescent="0.35">
      <c r="A1055" s="1">
        <v>41547</v>
      </c>
      <c r="B1055" cm="1">
        <f t="array" ref="B1055">(PRODUCT(1+sp500_monthly!B1056:B1175)^(1/120)-1)*100</f>
        <v>0.94893212892177559</v>
      </c>
      <c r="C1055" cm="1">
        <f t="array" ref="C1055">(PRODUCT(1+sp500_monthly!C1056:C1175)^(1/120)-1)*100</f>
        <v>0.78853383956687395</v>
      </c>
      <c r="D1055" cm="1">
        <f t="array" ref="D1055">(PRODUCT(1+sp500_monthly!D1056:D1175)^(1/120)-1)*100</f>
        <v>0.82833546339724506</v>
      </c>
      <c r="E1055" cm="1">
        <f t="array" ref="E1055">(PRODUCT(1+sp500_monthly!E1056:E1175)^(1/120)-1)*100</f>
        <v>0.6600213743964245</v>
      </c>
      <c r="F1055" cm="1">
        <f t="array" ref="F1055">(PRODUCT(1+sp500_monthly!K1056:K1175)^(1/120)-1)*100</f>
        <v>0.78314335093998544</v>
      </c>
      <c r="G1055" cm="1">
        <f t="array" ref="G1055">(PRODUCT(1+sp500_monthly!L1056:L1175)^(1/120)-1)</f>
        <v>8.0523170029695779E-2</v>
      </c>
      <c r="H1055" cm="1">
        <f t="array" ref="H1055">(PRODUCT(1+sp500_monthly!N1056:N1175)^(1/120)-1)*100</f>
        <v>0.71834676820430321</v>
      </c>
      <c r="I1055" cm="1">
        <f t="array" ref="I1055">(PRODUCT(1+sp500_monthly!O1056:O1175)^(1/120)-1)*100</f>
        <v>-0.14259697149706652</v>
      </c>
    </row>
    <row r="1056" spans="1:9" x14ac:dyDescent="0.35">
      <c r="A1056" s="1">
        <v>41578</v>
      </c>
      <c r="B1056" cm="1">
        <f t="array" ref="B1056">(PRODUCT(1+sp500_monthly!B1057:B1176)^(1/120)-1)*100</f>
        <v>0.89301010268392211</v>
      </c>
      <c r="C1056" cm="1">
        <f t="array" ref="C1056">(PRODUCT(1+sp500_monthly!C1057:C1176)^(1/120)-1)*100</f>
        <v>0.73292850268595888</v>
      </c>
      <c r="D1056" cm="1">
        <f t="array" ref="D1056">(PRODUCT(1+sp500_monthly!D1057:D1176)^(1/120)-1)*100</f>
        <v>0.75808882263372901</v>
      </c>
      <c r="E1056" cm="1">
        <f t="array" ref="E1056">(PRODUCT(1+sp500_monthly!E1057:E1176)^(1/120)-1)*100</f>
        <v>0.58979721215375314</v>
      </c>
      <c r="F1056" cm="1">
        <f t="array" ref="F1056">(PRODUCT(1+sp500_monthly!K1057:K1176)^(1/120)-1)*100</f>
        <v>0.72784926739277722</v>
      </c>
      <c r="G1056" cm="1">
        <f t="array" ref="G1056">(PRODUCT(1+sp500_monthly!L1057:L1176)^(1/120)-1)</f>
        <v>8.3997785962109717E-2</v>
      </c>
      <c r="H1056" cm="1">
        <f t="array" ref="H1056">(PRODUCT(1+sp500_monthly!N1057:N1176)^(1/120)-1)*100</f>
        <v>0.66233824406627395</v>
      </c>
      <c r="I1056" cm="1">
        <f t="array" ref="I1056">(PRODUCT(1+sp500_monthly!O1057:O1176)^(1/120)-1)*100</f>
        <v>-0.13890750452297818</v>
      </c>
    </row>
    <row r="1057" spans="1:9" x14ac:dyDescent="0.35">
      <c r="A1057" s="1">
        <v>41607</v>
      </c>
      <c r="B1057" cm="1">
        <f t="array" ref="B1057">(PRODUCT(1+sp500_monthly!B1058:B1177)^(1/120)-1)*100</f>
        <v>0.94057836581793453</v>
      </c>
      <c r="C1057" cm="1">
        <f t="array" ref="C1057">(PRODUCT(1+sp500_monthly!C1058:C1177)^(1/120)-1)*100</f>
        <v>0.7807474959467875</v>
      </c>
      <c r="D1057" cm="1">
        <f t="array" ref="D1057">(PRODUCT(1+sp500_monthly!D1058:D1177)^(1/120)-1)*100</f>
        <v>0.81289595183133834</v>
      </c>
      <c r="E1057" cm="1">
        <f t="array" ref="E1057">(PRODUCT(1+sp500_monthly!E1058:E1177)^(1/120)-1)*100</f>
        <v>0.6440932783144504</v>
      </c>
      <c r="F1057" cm="1">
        <f t="array" ref="F1057">(PRODUCT(1+sp500_monthly!K1058:K1177)^(1/120)-1)*100</f>
        <v>0.77634575977980624</v>
      </c>
      <c r="G1057" cm="1">
        <f t="array" ref="G1057">(PRODUCT(1+sp500_monthly!L1058:L1177)^(1/120)-1)</f>
        <v>8.7296731729698207E-2</v>
      </c>
      <c r="H1057" cm="1">
        <f t="array" ref="H1057">(PRODUCT(1+sp500_monthly!N1058:N1177)^(1/120)-1)*100</f>
        <v>0.7099999970862747</v>
      </c>
      <c r="I1057" cm="1">
        <f t="array" ref="I1057">(PRODUCT(1+sp500_monthly!O1058:O1177)^(1/120)-1)*100</f>
        <v>-0.13505334795148594</v>
      </c>
    </row>
    <row r="1058" spans="1:9" x14ac:dyDescent="0.35">
      <c r="A1058" s="1">
        <v>41639</v>
      </c>
      <c r="B1058" cm="1">
        <f t="array" ref="B1058">(PRODUCT(1+sp500_monthly!B1059:B1178)^(1/120)-1)*100</f>
        <v>0.95629519582853817</v>
      </c>
      <c r="C1058" cm="1">
        <f t="array" ref="C1058">(PRODUCT(1+sp500_monthly!C1059:C1178)^(1/120)-1)*100</f>
        <v>0.79679682326905255</v>
      </c>
      <c r="D1058" cm="1">
        <f t="array" ref="D1058">(PRODUCT(1+sp500_monthly!D1059:D1178)^(1/120)-1)*100</f>
        <v>0.84564174944670167</v>
      </c>
      <c r="E1058" cm="1">
        <f t="array" ref="E1058">(PRODUCT(1+sp500_monthly!E1059:E1178)^(1/120)-1)*100</f>
        <v>0.67681771985907968</v>
      </c>
      <c r="F1058" cm="1">
        <f t="array" ref="F1058">(PRODUCT(1+sp500_monthly!K1059:K1178)^(1/120)-1)*100</f>
        <v>0.79313409230938881</v>
      </c>
      <c r="G1058" cm="1">
        <f t="array" ref="G1058">(PRODUCT(1+sp500_monthly!L1059:L1178)^(1/120)-1)</f>
        <v>9.0542385142809989E-2</v>
      </c>
      <c r="H1058" cm="1">
        <f t="array" ref="H1058">(PRODUCT(1+sp500_monthly!N1059:N1178)^(1/120)-1)*100</f>
        <v>0.72594315209373317</v>
      </c>
      <c r="I1058" cm="1">
        <f t="array" ref="I1058">(PRODUCT(1+sp500_monthly!O1059:O1178)^(1/120)-1)*100</f>
        <v>-0.13122246656437353</v>
      </c>
    </row>
    <row r="1059" spans="1:9" x14ac:dyDescent="0.35">
      <c r="A1059" s="1">
        <v>41670</v>
      </c>
      <c r="B1059" cm="1">
        <f t="array" ref="B1059">(PRODUCT(1+sp500_monthly!B1060:B1179)^(1/120)-1)*100</f>
        <v>0.98598165568539731</v>
      </c>
      <c r="C1059" cm="1">
        <f t="array" ref="C1059">(PRODUCT(1+sp500_monthly!C1060:C1179)^(1/120)-1)*100</f>
        <v>0.82736386712367604</v>
      </c>
      <c r="D1059" cm="1">
        <f t="array" ref="D1059">(PRODUCT(1+sp500_monthly!D1060:D1179)^(1/120)-1)*100</f>
        <v>0.87101270264289266</v>
      </c>
      <c r="E1059" cm="1">
        <f t="array" ref="E1059">(PRODUCT(1+sp500_monthly!E1060:E1179)^(1/120)-1)*100</f>
        <v>0.70286870701148363</v>
      </c>
      <c r="F1059" cm="1">
        <f t="array" ref="F1059">(PRODUCT(1+sp500_monthly!K1060:K1179)^(1/120)-1)*100</f>
        <v>0.82357107841128929</v>
      </c>
      <c r="G1059" cm="1">
        <f t="array" ref="G1059">(PRODUCT(1+sp500_monthly!L1060:L1179)^(1/120)-1)</f>
        <v>9.0542385142809989E-2</v>
      </c>
      <c r="H1059" cm="1">
        <f t="array" ref="H1059">(PRODUCT(1+sp500_monthly!N1060:N1179)^(1/120)-1)*100</f>
        <v>0.75503422634395356</v>
      </c>
      <c r="I1059" cm="1">
        <f t="array" ref="I1059">(PRODUCT(1+sp500_monthly!O1060:O1179)^(1/120)-1)*100</f>
        <v>-0.13174547252746693</v>
      </c>
    </row>
    <row r="1060" spans="1:9" x14ac:dyDescent="0.35">
      <c r="A1060" s="1">
        <v>41698</v>
      </c>
      <c r="B1060" cm="1">
        <f t="array" ref="B1060">(PRODUCT(1+sp500_monthly!B1061:B1180)^(1/120)-1)*100</f>
        <v>0.9483368710824891</v>
      </c>
      <c r="C1060" cm="1">
        <f t="array" ref="C1060">(PRODUCT(1+sp500_monthly!C1061:C1180)^(1/120)-1)*100</f>
        <v>0.79183926902828272</v>
      </c>
      <c r="D1060" cm="1">
        <f t="array" ref="D1060">(PRODUCT(1+sp500_monthly!D1061:D1180)^(1/120)-1)*100</f>
        <v>0.82687897905291408</v>
      </c>
      <c r="E1060" cm="1">
        <f t="array" ref="E1060">(PRODUCT(1+sp500_monthly!E1061:E1180)^(1/120)-1)*100</f>
        <v>0.66050955560827962</v>
      </c>
      <c r="F1060" cm="1">
        <f t="array" ref="F1060">(PRODUCT(1+sp500_monthly!K1061:K1180)^(1/120)-1)*100</f>
        <v>0.78810981347838815</v>
      </c>
      <c r="G1060" cm="1">
        <f t="array" ref="G1060">(PRODUCT(1+sp500_monthly!L1061:L1180)^(1/120)-1)</f>
        <v>9.0542385142809989E-2</v>
      </c>
      <c r="H1060" cm="1">
        <f t="array" ref="H1060">(PRODUCT(1+sp500_monthly!N1061:N1180)^(1/120)-1)*100</f>
        <v>0.71839892569758312</v>
      </c>
      <c r="I1060" cm="1">
        <f t="array" ref="I1060">(PRODUCT(1+sp500_monthly!O1061:O1180)^(1/120)-1)*100</f>
        <v>-0.13082986518084816</v>
      </c>
    </row>
    <row r="1061" spans="1:9" x14ac:dyDescent="0.35">
      <c r="A1061" s="1">
        <v>41729</v>
      </c>
      <c r="B1061" cm="1">
        <f t="array" ref="B1061">(PRODUCT(1+sp500_monthly!B1062:B1181)^(1/120)-1)*100</f>
        <v>0.94158725041331159</v>
      </c>
      <c r="C1061" cm="1">
        <f t="array" ref="C1061">(PRODUCT(1+sp500_monthly!C1062:C1181)^(1/120)-1)*100</f>
        <v>0.78636665047491228</v>
      </c>
      <c r="D1061" cm="1">
        <f t="array" ref="D1061">(PRODUCT(1+sp500_monthly!D1062:D1181)^(1/120)-1)*100</f>
        <v>0.82081285029753648</v>
      </c>
      <c r="E1061" cm="1">
        <f t="array" ref="E1061">(PRODUCT(1+sp500_monthly!E1062:E1181)^(1/120)-1)*100</f>
        <v>0.65601881830861242</v>
      </c>
      <c r="F1061" cm="1">
        <f t="array" ref="F1061">(PRODUCT(1+sp500_monthly!K1062:K1181)^(1/120)-1)*100</f>
        <v>0.78230787428399395</v>
      </c>
      <c r="G1061" cm="1">
        <f t="array" ref="G1061">(PRODUCT(1+sp500_monthly!L1062:L1181)^(1/120)-1)</f>
        <v>9.0542385142809989E-2</v>
      </c>
      <c r="H1061" cm="1">
        <f t="array" ref="H1061">(PRODUCT(1+sp500_monthly!N1062:N1181)^(1/120)-1)*100</f>
        <v>0.71337676947851314</v>
      </c>
      <c r="I1061" cm="1">
        <f t="array" ref="I1061">(PRODUCT(1+sp500_monthly!O1062:O1181)^(1/120)-1)*100</f>
        <v>-0.1291320972116039</v>
      </c>
    </row>
    <row r="1062" spans="1:9" x14ac:dyDescent="0.35">
      <c r="A1062" s="1">
        <v>41759</v>
      </c>
      <c r="B1062" cm="1">
        <f t="array" ref="B1062">(PRODUCT(1+sp500_monthly!B1063:B1182)^(1/120)-1)*100</f>
        <v>0.93609145915638514</v>
      </c>
      <c r="C1062" cm="1">
        <f t="array" ref="C1062">(PRODUCT(1+sp500_monthly!C1063:C1182)^(1/120)-1)*100</f>
        <v>0.78185359122413534</v>
      </c>
      <c r="D1062" cm="1">
        <f t="array" ref="D1062">(PRODUCT(1+sp500_monthly!D1063:D1182)^(1/120)-1)*100</f>
        <v>0.81799631361572089</v>
      </c>
      <c r="E1062" cm="1">
        <f t="array" ref="E1062">(PRODUCT(1+sp500_monthly!E1063:E1182)^(1/120)-1)*100</f>
        <v>0.6539294767565984</v>
      </c>
      <c r="F1062" cm="1">
        <f t="array" ref="F1062">(PRODUCT(1+sp500_monthly!K1063:K1182)^(1/120)-1)*100</f>
        <v>0.77711616298270503</v>
      </c>
      <c r="G1062" cm="1">
        <f t="array" ref="G1062">(PRODUCT(1+sp500_monthly!L1063:L1182)^(1/120)-1)</f>
        <v>9.0542385142809989E-2</v>
      </c>
      <c r="H1062" cm="1">
        <f t="array" ref="H1062">(PRODUCT(1+sp500_monthly!N1063:N1182)^(1/120)-1)*100</f>
        <v>0.70945644393858309</v>
      </c>
      <c r="I1062" cm="1">
        <f t="array" ref="I1062">(PRODUCT(1+sp500_monthly!O1063:O1182)^(1/120)-1)*100</f>
        <v>-0.12758204756075919</v>
      </c>
    </row>
    <row r="1063" spans="1:9" x14ac:dyDescent="0.35">
      <c r="A1063" s="1">
        <v>41789</v>
      </c>
      <c r="B1063" cm="1">
        <f t="array" ref="B1063">(PRODUCT(1+sp500_monthly!B1064:B1183)^(1/120)-1)*100</f>
        <v>0.91671233339478686</v>
      </c>
      <c r="C1063" cm="1">
        <f t="array" ref="C1063">(PRODUCT(1+sp500_monthly!C1064:C1183)^(1/120)-1)*100</f>
        <v>0.76448727225266744</v>
      </c>
      <c r="D1063" cm="1">
        <f t="array" ref="D1063">(PRODUCT(1+sp500_monthly!D1064:D1183)^(1/120)-1)*100</f>
        <v>0.79883196371497434</v>
      </c>
      <c r="E1063" cm="1">
        <f t="array" ref="E1063">(PRODUCT(1+sp500_monthly!E1064:E1183)^(1/120)-1)*100</f>
        <v>0.63643981304304376</v>
      </c>
      <c r="F1063" cm="1">
        <f t="array" ref="F1063">(PRODUCT(1+sp500_monthly!K1064:K1183)^(1/120)-1)*100</f>
        <v>0.75963963309708671</v>
      </c>
      <c r="G1063" cm="1">
        <f t="array" ref="G1063">(PRODUCT(1+sp500_monthly!L1064:L1183)^(1/120)-1)</f>
        <v>9.0542385142809989E-2</v>
      </c>
      <c r="H1063" cm="1">
        <f t="array" ref="H1063">(PRODUCT(1+sp500_monthly!N1064:N1183)^(1/120)-1)*100</f>
        <v>0.69171610841605169</v>
      </c>
      <c r="I1063" cm="1">
        <f t="array" ref="I1063">(PRODUCT(1+sp500_monthly!O1064:O1183)^(1/120)-1)*100</f>
        <v>-0.12599972511362356</v>
      </c>
    </row>
    <row r="1064" spans="1:9" x14ac:dyDescent="0.35">
      <c r="A1064" s="1">
        <v>41820</v>
      </c>
      <c r="B1064" cm="1">
        <f t="array" ref="B1064">(PRODUCT(1+sp500_monthly!B1065:B1184)^(1/120)-1)*100</f>
        <v>0.89953694434281584</v>
      </c>
      <c r="C1064" cm="1">
        <f t="array" ref="C1064">(PRODUCT(1+sp500_monthly!C1065:C1184)^(1/120)-1)*100</f>
        <v>0.74864426107088544</v>
      </c>
      <c r="D1064" cm="1">
        <f t="array" ref="D1064">(PRODUCT(1+sp500_monthly!D1065:D1184)^(1/120)-1)*100</f>
        <v>0.77538250335986714</v>
      </c>
      <c r="E1064" cm="1">
        <f t="array" ref="E1064">(PRODUCT(1+sp500_monthly!E1065:E1184)^(1/120)-1)*100</f>
        <v>0.61453627703726976</v>
      </c>
      <c r="F1064" cm="1">
        <f t="array" ref="F1064">(PRODUCT(1+sp500_monthly!K1065:K1184)^(1/120)-1)*100</f>
        <v>0.743789145749707</v>
      </c>
      <c r="G1064" cm="1">
        <f t="array" ref="G1064">(PRODUCT(1+sp500_monthly!L1065:L1184)^(1/120)-1)</f>
        <v>9.0542385142809989E-2</v>
      </c>
      <c r="H1064" cm="1">
        <f t="array" ref="H1064">(PRODUCT(1+sp500_monthly!N1065:N1184)^(1/120)-1)*100</f>
        <v>0.67568665712947062</v>
      </c>
      <c r="I1064" cm="1">
        <f t="array" ref="I1064">(PRODUCT(1+sp500_monthly!O1065:O1184)^(1/120)-1)*100</f>
        <v>-0.12490088844010483</v>
      </c>
    </row>
    <row r="1065" spans="1:9" x14ac:dyDescent="0.35">
      <c r="A1065" s="1">
        <v>41851</v>
      </c>
      <c r="B1065" cm="1">
        <f t="array" ref="B1065">(PRODUCT(1+sp500_monthly!B1066:B1185)^(1/120)-1)*100</f>
        <v>0.91137025767913382</v>
      </c>
      <c r="C1065" cm="1">
        <f t="array" ref="C1065">(PRODUCT(1+sp500_monthly!C1066:C1185)^(1/120)-1)*100</f>
        <v>0.76157106676395525</v>
      </c>
      <c r="D1065" cm="1">
        <f t="array" ref="D1065">(PRODUCT(1+sp500_monthly!D1066:D1185)^(1/120)-1)*100</f>
        <v>0.79451613946588395</v>
      </c>
      <c r="E1065" cm="1">
        <f t="array" ref="E1065">(PRODUCT(1+sp500_monthly!E1066:E1185)^(1/120)-1)*100</f>
        <v>0.63444365073437314</v>
      </c>
      <c r="F1065" cm="1">
        <f t="array" ref="F1065">(PRODUCT(1+sp500_monthly!K1066:K1185)^(1/120)-1)*100</f>
        <v>0.75654651767409486</v>
      </c>
      <c r="G1065" cm="1">
        <f t="array" ref="G1065">(PRODUCT(1+sp500_monthly!L1066:L1185)^(1/120)-1)</f>
        <v>9.0542385142809989E-2</v>
      </c>
      <c r="H1065" cm="1">
        <f t="array" ref="H1065">(PRODUCT(1+sp500_monthly!N1066:N1185)^(1/120)-1)*100</f>
        <v>0.68843754354701581</v>
      </c>
      <c r="I1065" cm="1">
        <f t="array" ref="I1065">(PRODUCT(1+sp500_monthly!O1066:O1185)^(1/120)-1)*100</f>
        <v>-0.1239646778421144</v>
      </c>
    </row>
    <row r="1066" spans="1:9" x14ac:dyDescent="0.35">
      <c r="A1066" s="1">
        <v>41880</v>
      </c>
      <c r="B1066" cm="1">
        <f t="array" ref="B1066">(PRODUCT(1+sp500_monthly!B1067:B1186)^(1/120)-1)*100</f>
        <v>0.87857412269518598</v>
      </c>
      <c r="C1066" cm="1">
        <f t="array" ref="C1066">(PRODUCT(1+sp500_monthly!C1067:C1186)^(1/120)-1)*100</f>
        <v>0.73070755139037491</v>
      </c>
      <c r="D1066" cm="1">
        <f t="array" ref="D1066">(PRODUCT(1+sp500_monthly!D1067:D1186)^(1/120)-1)*100</f>
        <v>0.75933640656113965</v>
      </c>
      <c r="E1066" cm="1">
        <f t="array" ref="E1066">(PRODUCT(1+sp500_monthly!E1067:E1186)^(1/120)-1)*100</f>
        <v>0.60093888036758525</v>
      </c>
      <c r="F1066" cm="1">
        <f t="array" ref="F1066">(PRODUCT(1+sp500_monthly!K1067:K1186)^(1/120)-1)*100</f>
        <v>0.72551546000012568</v>
      </c>
      <c r="G1066" cm="1">
        <f t="array" ref="G1066">(PRODUCT(1+sp500_monthly!L1067:L1186)^(1/120)-1)</f>
        <v>9.0542385142809989E-2</v>
      </c>
      <c r="H1066" cm="1">
        <f t="array" ref="H1066">(PRODUCT(1+sp500_monthly!N1067:N1186)^(1/120)-1)*100</f>
        <v>0.65557964216471643</v>
      </c>
      <c r="I1066" cm="1">
        <f t="array" ref="I1066">(PRODUCT(1+sp500_monthly!O1067:O1186)^(1/120)-1)*100</f>
        <v>-0.12409785757659941</v>
      </c>
    </row>
    <row r="1067" spans="1:9" x14ac:dyDescent="0.35">
      <c r="A1067" s="1">
        <v>41912</v>
      </c>
      <c r="B1067" cm="1">
        <f t="array" ref="B1067">(PRODUCT(1+sp500_monthly!B1068:B1187)^(1/120)-1)*100</f>
        <v>0.89036575571856957</v>
      </c>
      <c r="C1067" cm="1">
        <f t="array" ref="C1067">(PRODUCT(1+sp500_monthly!C1068:C1187)^(1/120)-1)*100</f>
        <v>0.74379320427404583</v>
      </c>
      <c r="D1067" cm="1">
        <f t="array" ref="D1067">(PRODUCT(1+sp500_monthly!D1068:D1187)^(1/120)-1)*100</f>
        <v>0.78085289568172733</v>
      </c>
      <c r="E1067" cm="1">
        <f t="array" ref="E1067">(PRODUCT(1+sp500_monthly!E1068:E1187)^(1/120)-1)*100</f>
        <v>0.62407062021683224</v>
      </c>
      <c r="F1067" cm="1">
        <f t="array" ref="F1067">(PRODUCT(1+sp500_monthly!K1068:K1187)^(1/120)-1)*100</f>
        <v>0.7386405151621922</v>
      </c>
      <c r="G1067" cm="1">
        <f t="array" ref="G1067">(PRODUCT(1+sp500_monthly!L1068:L1187)^(1/120)-1)</f>
        <v>9.0542385142809989E-2</v>
      </c>
      <c r="H1067" cm="1">
        <f t="array" ref="H1067">(PRODUCT(1+sp500_monthly!N1068:N1187)^(1/120)-1)*100</f>
        <v>0.66740526467519157</v>
      </c>
      <c r="I1067" cm="1">
        <f t="array" ref="I1067">(PRODUCT(1+sp500_monthly!O1068:O1187)^(1/120)-1)*100</f>
        <v>-0.12403827455669258</v>
      </c>
    </row>
    <row r="1068" spans="1:9" x14ac:dyDescent="0.35">
      <c r="A1068" s="1">
        <v>41943</v>
      </c>
      <c r="B1068" cm="1">
        <f t="array" ref="B1068">(PRODUCT(1+sp500_monthly!B1069:B1188)^(1/120)-1)*100</f>
        <v>0.87045096908564545</v>
      </c>
      <c r="C1068" cm="1">
        <f t="array" ref="C1068">(PRODUCT(1+sp500_monthly!C1069:C1188)^(1/120)-1)*100</f>
        <v>0.72486861121838775</v>
      </c>
      <c r="D1068" cm="1">
        <f t="array" ref="D1068">(PRODUCT(1+sp500_monthly!D1069:D1188)^(1/120)-1)*100</f>
        <v>0.75613399416996074</v>
      </c>
      <c r="E1068" cm="1">
        <f t="array" ref="E1068">(PRODUCT(1+sp500_monthly!E1069:E1188)^(1/120)-1)*100</f>
        <v>0.60016547266412701</v>
      </c>
      <c r="F1068" cm="1">
        <f t="array" ref="F1068">(PRODUCT(1+sp500_monthly!K1069:K1188)^(1/120)-1)*100</f>
        <v>0.71938788611207727</v>
      </c>
      <c r="G1068" cm="1">
        <f t="array" ref="G1068">(PRODUCT(1+sp500_monthly!L1069:L1188)^(1/120)-1)</f>
        <v>9.0542385142809989E-2</v>
      </c>
      <c r="H1068" cm="1">
        <f t="array" ref="H1068">(PRODUCT(1+sp500_monthly!N1069:N1188)^(1/120)-1)*100</f>
        <v>0.64736847578434897</v>
      </c>
      <c r="I1068" cm="1">
        <f t="array" ref="I1068">(PRODUCT(1+sp500_monthly!O1069:O1188)^(1/120)-1)*100</f>
        <v>-0.12420301440208004</v>
      </c>
    </row>
    <row r="1069" spans="1:9" x14ac:dyDescent="0.35">
      <c r="A1069" s="1">
        <v>41971</v>
      </c>
      <c r="B1069" cm="1">
        <f t="array" ref="B1069">(PRODUCT(1+sp500_monthly!B1070:B1189)^(1/120)-1)*100</f>
        <v>0.84754240032491879</v>
      </c>
      <c r="C1069" cm="1">
        <f t="array" ref="C1069">(PRODUCT(1+sp500_monthly!C1070:C1189)^(1/120)-1)*100</f>
        <v>0.70401424051422801</v>
      </c>
      <c r="D1069" cm="1">
        <f t="array" ref="D1069">(PRODUCT(1+sp500_monthly!D1070:D1189)^(1/120)-1)*100</f>
        <v>0.73602110428618861</v>
      </c>
      <c r="E1069" cm="1">
        <f t="array" ref="E1069">(PRODUCT(1+sp500_monthly!E1070:E1189)^(1/120)-1)*100</f>
        <v>0.58210744437547923</v>
      </c>
      <c r="F1069" cm="1">
        <f t="array" ref="F1069">(PRODUCT(1+sp500_monthly!K1070:K1189)^(1/120)-1)*100</f>
        <v>0.69904640765405812</v>
      </c>
      <c r="G1069" cm="1">
        <f t="array" ref="G1069">(PRODUCT(1+sp500_monthly!L1070:L1189)^(1/120)-1)</f>
        <v>9.0542385142809989E-2</v>
      </c>
      <c r="H1069" cm="1">
        <f t="array" ref="H1069">(PRODUCT(1+sp500_monthly!N1070:N1189)^(1/120)-1)*100</f>
        <v>0.62293041420038442</v>
      </c>
      <c r="I1069" cm="1">
        <f t="array" ref="I1069">(PRODUCT(1+sp500_monthly!O1070:O1189)^(1/120)-1)*100</f>
        <v>-0.12577141380392121</v>
      </c>
    </row>
    <row r="1070" spans="1:9" x14ac:dyDescent="0.35">
      <c r="A1070" s="1">
        <v>42004</v>
      </c>
      <c r="B1070" cm="1">
        <f t="array" ref="B1070">(PRODUCT(1+sp500_monthly!B1071:B1190)^(1/120)-1)*100</f>
        <v>0.84962329562523475</v>
      </c>
      <c r="C1070" cm="1">
        <f t="array" ref="C1070">(PRODUCT(1+sp500_monthly!C1071:C1190)^(1/120)-1)*100</f>
        <v>0.70758766220457847</v>
      </c>
      <c r="D1070" cm="1">
        <f t="array" ref="D1070">(PRODUCT(1+sp500_monthly!D1071:D1190)^(1/120)-1)*100</f>
        <v>0.73311407516012395</v>
      </c>
      <c r="E1070" cm="1">
        <f t="array" ref="E1070">(PRODUCT(1+sp500_monthly!E1071:E1190)^(1/120)-1)*100</f>
        <v>0.58089045398861394</v>
      </c>
      <c r="F1070" cm="1">
        <f t="array" ref="F1070">(PRODUCT(1+sp500_monthly!K1071:K1190)^(1/120)-1)*100</f>
        <v>0.70256908843446819</v>
      </c>
      <c r="G1070" cm="1">
        <f t="array" ref="G1070">(PRODUCT(1+sp500_monthly!L1071:L1190)^(1/120)-1)</f>
        <v>9.0542385142809989E-2</v>
      </c>
      <c r="H1070" cm="1">
        <f t="array" ref="H1070">(PRODUCT(1+sp500_monthly!N1071:N1190)^(1/120)-1)*100</f>
        <v>0.62241613696403242</v>
      </c>
      <c r="I1070" cm="1">
        <f t="array" ref="I1070">(PRODUCT(1+sp500_monthly!O1071:O1190)^(1/120)-1)*100</f>
        <v>-0.1283426232939866</v>
      </c>
    </row>
    <row r="1071" spans="1:9" x14ac:dyDescent="0.35">
      <c r="A1071" s="1">
        <v>42034</v>
      </c>
      <c r="B1071" cm="1">
        <f t="array" ref="B1071">(PRODUCT(1+sp500_monthly!B1072:B1191)^(1/120)-1)*100</f>
        <v>0.87473104434903082</v>
      </c>
      <c r="C1071" cm="1">
        <f t="array" ref="C1071">(PRODUCT(1+sp500_monthly!C1072:C1191)^(1/120)-1)*100</f>
        <v>0.73355829237380377</v>
      </c>
      <c r="D1071" cm="1">
        <f t="array" ref="D1071">(PRODUCT(1+sp500_monthly!D1072:D1191)^(1/120)-1)*100</f>
        <v>0.75702487083559866</v>
      </c>
      <c r="E1071" cm="1">
        <f t="array" ref="E1071">(PRODUCT(1+sp500_monthly!E1072:E1191)^(1/120)-1)*100</f>
        <v>0.60539332224094355</v>
      </c>
      <c r="F1071" cm="1">
        <f t="array" ref="F1071">(PRODUCT(1+sp500_monthly!K1072:K1191)^(1/120)-1)*100</f>
        <v>0.72903466603910783</v>
      </c>
      <c r="G1071" cm="1">
        <f t="array" ref="G1071">(PRODUCT(1+sp500_monthly!L1072:L1191)^(1/120)-1)</f>
        <v>9.0542385142809989E-2</v>
      </c>
      <c r="H1071" cm="1">
        <f t="array" ref="H1071">(PRODUCT(1+sp500_monthly!N1072:N1191)^(1/120)-1)*100</f>
        <v>0.64210740312085068</v>
      </c>
      <c r="I1071" cm="1">
        <f t="array" ref="I1071">(PRODUCT(1+sp500_monthly!O1072:O1191)^(1/120)-1)*100</f>
        <v>-0.13366122459361751</v>
      </c>
    </row>
    <row r="1072" spans="1:9" x14ac:dyDescent="0.35">
      <c r="A1072" s="1">
        <v>42062</v>
      </c>
      <c r="B1072" cm="1">
        <f t="array" ref="B1072">(PRODUCT(1+sp500_monthly!B1073:B1192)^(1/120)-1)*100</f>
        <v>0.82816120834809936</v>
      </c>
      <c r="C1072" cm="1">
        <f t="array" ref="C1072">(PRODUCT(1+sp500_monthly!C1073:C1192)^(1/120)-1)*100</f>
        <v>0.68917665486718516</v>
      </c>
      <c r="D1072" cm="1">
        <f t="array" ref="D1072">(PRODUCT(1+sp500_monthly!D1073:D1192)^(1/120)-1)*100</f>
        <v>0.7092391276946941</v>
      </c>
      <c r="E1072" cm="1">
        <f t="array" ref="E1072">(PRODUCT(1+sp500_monthly!E1073:E1192)^(1/120)-1)*100</f>
        <v>0.55946887445790239</v>
      </c>
      <c r="F1072" cm="1">
        <f t="array" ref="F1072">(PRODUCT(1+sp500_monthly!K1073:K1192)^(1/120)-1)*100</f>
        <v>0.68418720994272153</v>
      </c>
      <c r="G1072" cm="1">
        <f t="array" ref="G1072">(PRODUCT(1+sp500_monthly!L1073:L1192)^(1/120)-1)</f>
        <v>9.0542385142809989E-2</v>
      </c>
      <c r="H1072" cm="1">
        <f t="array" ref="H1072">(PRODUCT(1+sp500_monthly!N1073:N1192)^(1/120)-1)*100</f>
        <v>0.5977670786050604</v>
      </c>
      <c r="I1072" cm="1">
        <f t="array" ref="I1072">(PRODUCT(1+sp500_monthly!O1073:O1192)^(1/120)-1)*100</f>
        <v>-0.1315544912568023</v>
      </c>
    </row>
    <row r="1073" spans="1:9" x14ac:dyDescent="0.35">
      <c r="A1073" s="1">
        <v>42094</v>
      </c>
      <c r="B1073" cm="1">
        <f t="array" ref="B1073">(PRODUCT(1+sp500_monthly!B1074:B1193)^(1/120)-1)*100</f>
        <v>0.84085503872022294</v>
      </c>
      <c r="C1073" cm="1">
        <f t="array" ref="C1073">(PRODUCT(1+sp500_monthly!C1074:C1193)^(1/120)-1)*100</f>
        <v>0.70324710188631734</v>
      </c>
      <c r="D1073" cm="1">
        <f t="array" ref="D1073">(PRODUCT(1+sp500_monthly!D1074:D1193)^(1/120)-1)*100</f>
        <v>0.71636873847831239</v>
      </c>
      <c r="E1073" cm="1">
        <f t="array" ref="E1073">(PRODUCT(1+sp500_monthly!E1074:E1193)^(1/120)-1)*100</f>
        <v>0.56822157682481222</v>
      </c>
      <c r="F1073" cm="1">
        <f t="array" ref="F1073">(PRODUCT(1+sp500_monthly!K1074:K1193)^(1/120)-1)*100</f>
        <v>0.69891258418841584</v>
      </c>
      <c r="G1073" cm="1">
        <f t="array" ref="G1073">(PRODUCT(1+sp500_monthly!L1074:L1193)^(1/120)-1)</f>
        <v>9.0542385142809989E-2</v>
      </c>
      <c r="H1073" cm="1">
        <f t="array" ref="H1073">(PRODUCT(1+sp500_monthly!N1074:N1193)^(1/120)-1)*100</f>
        <v>0.61268755549124254</v>
      </c>
      <c r="I1073" cm="1">
        <f t="array" ref="I1073">(PRODUCT(1+sp500_monthly!O1074:O1193)^(1/120)-1)*100</f>
        <v>-0.12931547420219625</v>
      </c>
    </row>
    <row r="1074" spans="1:9" x14ac:dyDescent="0.35">
      <c r="A1074" s="1">
        <v>42124</v>
      </c>
      <c r="B1074" cm="1">
        <f t="array" ref="B1074">(PRODUCT(1+sp500_monthly!B1075:B1194)^(1/120)-1)*100</f>
        <v>0.83324197981744508</v>
      </c>
      <c r="C1074" cm="1">
        <f t="array" ref="C1074">(PRODUCT(1+sp500_monthly!C1075:C1194)^(1/120)-1)*100</f>
        <v>0.69655715600700496</v>
      </c>
      <c r="D1074" cm="1">
        <f t="array" ref="D1074">(PRODUCT(1+sp500_monthly!D1075:D1194)^(1/120)-1)*100</f>
        <v>0.71306174805922939</v>
      </c>
      <c r="E1074" cm="1">
        <f t="array" ref="E1074">(PRODUCT(1+sp500_monthly!E1075:E1194)^(1/120)-1)*100</f>
        <v>0.56567858094225265</v>
      </c>
      <c r="F1074" cm="1">
        <f t="array" ref="F1074">(PRODUCT(1+sp500_monthly!K1075:K1194)^(1/120)-1)*100</f>
        <v>0.69179266653884852</v>
      </c>
      <c r="G1074" cm="1">
        <f t="array" ref="G1074">(PRODUCT(1+sp500_monthly!L1075:L1194)^(1/120)-1)</f>
        <v>9.0542385142809989E-2</v>
      </c>
      <c r="H1074" cm="1">
        <f t="array" ref="H1074">(PRODUCT(1+sp500_monthly!N1075:N1194)^(1/120)-1)*100</f>
        <v>0.60596525986291727</v>
      </c>
      <c r="I1074" cm="1">
        <f t="array" ref="I1074">(PRODUCT(1+sp500_monthly!O1075:O1194)^(1/120)-1)*100</f>
        <v>-0.12844831334747342</v>
      </c>
    </row>
    <row r="1075" spans="1:9" x14ac:dyDescent="0.35">
      <c r="A1075" s="1">
        <v>42153</v>
      </c>
      <c r="B1075" cm="1">
        <f t="array" ref="B1075">(PRODUCT(1+sp500_monthly!B1076:B1195)^(1/120)-1)*100</f>
        <v>0.82278590627065107</v>
      </c>
      <c r="C1075" cm="1">
        <f t="array" ref="C1075">(PRODUCT(1+sp500_monthly!C1076:C1195)^(1/120)-1)*100</f>
        <v>0.68809067265029888</v>
      </c>
      <c r="D1075" cm="1">
        <f t="array" ref="D1075">(PRODUCT(1+sp500_monthly!D1076:D1195)^(1/120)-1)*100</f>
        <v>0.70574530343878727</v>
      </c>
      <c r="E1075" cm="1">
        <f t="array" ref="E1075">(PRODUCT(1+sp500_monthly!E1076:E1195)^(1/120)-1)*100</f>
        <v>0.56006673007034102</v>
      </c>
      <c r="F1075" cm="1">
        <f t="array" ref="F1075">(PRODUCT(1+sp500_monthly!K1076:K1195)^(1/120)-1)*100</f>
        <v>0.68303592295195781</v>
      </c>
      <c r="G1075" cm="1">
        <f t="array" ref="G1075">(PRODUCT(1+sp500_monthly!L1076:L1195)^(1/120)-1)</f>
        <v>9.0542385142809989E-2</v>
      </c>
      <c r="H1075" cm="1">
        <f t="array" ref="H1075">(PRODUCT(1+sp500_monthly!N1076:N1195)^(1/120)-1)*100</f>
        <v>0.5982927308096686</v>
      </c>
      <c r="I1075" cm="1">
        <f t="array" ref="I1075">(PRODUCT(1+sp500_monthly!O1076:O1195)^(1/120)-1)*100</f>
        <v>-0.1257082001130061</v>
      </c>
    </row>
    <row r="1076" spans="1:9" x14ac:dyDescent="0.35">
      <c r="A1076" s="1">
        <v>42185</v>
      </c>
      <c r="B1076" cm="1">
        <f t="array" ref="B1076">(PRODUCT(1+sp500_monthly!B1077:B1196)^(1/120)-1)*100</f>
        <v>0.83919827082166165</v>
      </c>
      <c r="C1076" cm="1">
        <f t="array" ref="C1076">(PRODUCT(1+sp500_monthly!C1077:C1196)^(1/120)-1)*100</f>
        <v>0.70591745399575245</v>
      </c>
      <c r="D1076" cm="1">
        <f t="array" ref="D1076">(PRODUCT(1+sp500_monthly!D1077:D1196)^(1/120)-1)*100</f>
        <v>0.72435064796267934</v>
      </c>
      <c r="E1076" cm="1">
        <f t="array" ref="E1076">(PRODUCT(1+sp500_monthly!E1077:E1196)^(1/120)-1)*100</f>
        <v>0.58022515018878451</v>
      </c>
      <c r="F1076" cm="1">
        <f t="array" ref="F1076">(PRODUCT(1+sp500_monthly!K1077:K1196)^(1/120)-1)*100</f>
        <v>0.70085495184828428</v>
      </c>
      <c r="G1076" cm="1">
        <f t="array" ref="G1076">(PRODUCT(1+sp500_monthly!L1077:L1196)^(1/120)-1)</f>
        <v>9.0542385142809989E-2</v>
      </c>
      <c r="H1076" cm="1">
        <f t="array" ref="H1076">(PRODUCT(1+sp500_monthly!N1077:N1196)^(1/120)-1)*100</f>
        <v>0.61698615076586361</v>
      </c>
      <c r="I1076" cm="1">
        <f t="array" ref="I1076">(PRODUCT(1+sp500_monthly!O1077:O1196)^(1/120)-1)*100</f>
        <v>-0.12340765488847438</v>
      </c>
    </row>
    <row r="1077" spans="1:9" x14ac:dyDescent="0.35">
      <c r="A1077" s="1">
        <v>42216</v>
      </c>
      <c r="B1077" cm="1">
        <f t="array" ref="B1077">(PRODUCT(1+sp500_monthly!B1078:B1197)^(1/120)-1)*100</f>
        <v>0.82149129591364556</v>
      </c>
      <c r="C1077" cm="1">
        <f t="array" ref="C1077">(PRODUCT(1+sp500_monthly!C1078:C1197)^(1/120)-1)*100</f>
        <v>0.68921706291702467</v>
      </c>
      <c r="D1077" cm="1">
        <f t="array" ref="D1077">(PRODUCT(1+sp500_monthly!D1078:D1197)^(1/120)-1)*100</f>
        <v>0.71643454185263966</v>
      </c>
      <c r="E1077" cm="1">
        <f t="array" ref="E1077">(PRODUCT(1+sp500_monthly!E1078:E1197)^(1/120)-1)*100</f>
        <v>0.57304298994917957</v>
      </c>
      <c r="F1077" cm="1">
        <f t="array" ref="F1077">(PRODUCT(1+sp500_monthly!K1078:K1197)^(1/120)-1)*100</f>
        <v>0.6844507307516956</v>
      </c>
      <c r="G1077" cm="1">
        <f t="array" ref="G1077">(PRODUCT(1+sp500_monthly!L1078:L1197)^(1/120)-1)</f>
        <v>9.0542385142809989E-2</v>
      </c>
      <c r="H1077" cm="1">
        <f t="array" ref="H1077">(PRODUCT(1+sp500_monthly!N1078:N1197)^(1/120)-1)*100</f>
        <v>0.60064700628845724</v>
      </c>
      <c r="I1077" cm="1">
        <f t="array" ref="I1077">(PRODUCT(1+sp500_monthly!O1078:O1197)^(1/120)-1)*100</f>
        <v>-0.12208839049631104</v>
      </c>
    </row>
    <row r="1078" spans="1:9" x14ac:dyDescent="0.35">
      <c r="A1078" s="1">
        <v>42247</v>
      </c>
      <c r="B1078" cm="1">
        <f t="array" ref="B1078">(PRODUCT(1+sp500_monthly!B1079:B1198)^(1/120)-1)*100</f>
        <v>0.87355640585846661</v>
      </c>
      <c r="C1078" cm="1">
        <f t="array" ref="C1078">(PRODUCT(1+sp500_monthly!C1079:C1198)^(1/120)-1)*100</f>
        <v>0.74331187206562177</v>
      </c>
      <c r="D1078" cm="1">
        <f t="array" ref="D1078">(PRODUCT(1+sp500_monthly!D1079:D1198)^(1/120)-1)*100</f>
        <v>0.76275955898283954</v>
      </c>
      <c r="E1078" cm="1">
        <f t="array" ref="E1078">(PRODUCT(1+sp500_monthly!E1079:E1198)^(1/120)-1)*100</f>
        <v>0.62104321927327621</v>
      </c>
      <c r="F1078" cm="1">
        <f t="array" ref="F1078">(PRODUCT(1+sp500_monthly!K1079:K1198)^(1/120)-1)*100</f>
        <v>0.73868804281740363</v>
      </c>
      <c r="G1078" cm="1">
        <f t="array" ref="G1078">(PRODUCT(1+sp500_monthly!L1079:L1198)^(1/120)-1)</f>
        <v>9.0542385142809989E-2</v>
      </c>
      <c r="H1078" cm="1">
        <f t="array" ref="H1078">(PRODUCT(1+sp500_monthly!N1079:N1198)^(1/120)-1)*100</f>
        <v>0.65259454653401328</v>
      </c>
      <c r="I1078" cm="1">
        <f t="array" ref="I1078">(PRODUCT(1+sp500_monthly!O1079:O1198)^(1/120)-1)*100</f>
        <v>-0.12209188712983821</v>
      </c>
    </row>
    <row r="1079" spans="1:9" x14ac:dyDescent="0.35">
      <c r="A1079" s="1">
        <v>42277</v>
      </c>
      <c r="B1079" cm="1">
        <f t="array" ref="B1079">(PRODUCT(1+sp500_monthly!B1080:B1199)^(1/120)-1)*100</f>
        <v>0.89445057623716018</v>
      </c>
      <c r="C1079" cm="1">
        <f t="array" ref="C1079">(PRODUCT(1+sp500_monthly!C1080:C1199)^(1/120)-1)*100</f>
        <v>0.76565325279380758</v>
      </c>
      <c r="D1079" cm="1">
        <f t="array" ref="D1079">(PRODUCT(1+sp500_monthly!D1080:D1199)^(1/120)-1)*100</f>
        <v>0.79145601528984866</v>
      </c>
      <c r="E1079" cm="1">
        <f t="array" ref="E1079">(PRODUCT(1+sp500_monthly!E1080:E1199)^(1/120)-1)*100</f>
        <v>0.65149085965585662</v>
      </c>
      <c r="F1079" cm="1">
        <f t="array" ref="F1079">(PRODUCT(1+sp500_monthly!K1080:K1199)^(1/120)-1)*100</f>
        <v>0.76118794224953046</v>
      </c>
      <c r="G1079" cm="1">
        <f t="array" ref="G1079">(PRODUCT(1+sp500_monthly!L1080:L1199)^(1/120)-1)</f>
        <v>9.0542385142809989E-2</v>
      </c>
      <c r="H1079" cm="1">
        <f t="array" ref="H1079">(PRODUCT(1+sp500_monthly!N1080:N1199)^(1/120)-1)*100</f>
        <v>0.67155524095041663</v>
      </c>
      <c r="I1079" cm="1">
        <f t="array" ref="I1079">(PRODUCT(1+sp500_monthly!O1080:O1199)^(1/120)-1)*100</f>
        <v>-0.1239646778421144</v>
      </c>
    </row>
    <row r="1080" spans="1:9" x14ac:dyDescent="0.35">
      <c r="A1080" s="1">
        <v>42307</v>
      </c>
      <c r="B1080" cm="1">
        <f t="array" ref="B1080">(PRODUCT(1+sp500_monthly!B1081:B1200)^(1/120)-1)*100</f>
        <v>0.82708443556722688</v>
      </c>
      <c r="C1080" cm="1">
        <f t="array" ref="C1080">(PRODUCT(1+sp500_monthly!C1081:C1200)^(1/120)-1)*100</f>
        <v>0.69945814397598394</v>
      </c>
      <c r="D1080" cm="1">
        <f t="array" ref="D1080">(PRODUCT(1+sp500_monthly!D1081:D1200)^(1/120)-1)*100</f>
        <v>0.73179744599309871</v>
      </c>
      <c r="E1080" cm="1">
        <f t="array" ref="E1080">(PRODUCT(1+sp500_monthly!E1081:E1200)^(1/120)-1)*100</f>
        <v>0.59286588179041644</v>
      </c>
      <c r="F1080" cm="1">
        <f t="array" ref="F1080">(PRODUCT(1+sp500_monthly!K1081:K1200)^(1/120)-1)*100</f>
        <v>0.6942717683007249</v>
      </c>
      <c r="G1080" cm="1">
        <f t="array" ref="G1080">(PRODUCT(1+sp500_monthly!L1081:L1200)^(1/120)-1)</f>
        <v>9.0542385142809989E-2</v>
      </c>
      <c r="H1080" cm="1">
        <f t="array" ref="H1080">(PRODUCT(1+sp500_monthly!N1081:N1200)^(1/120)-1)*100</f>
        <v>0.6051670699017242</v>
      </c>
      <c r="I1080" cm="1">
        <f t="array" ref="I1080">(PRODUCT(1+sp500_monthly!O1081:O1200)^(1/120)-1)*100</f>
        <v>-0.12314153544985551</v>
      </c>
    </row>
    <row r="1081" spans="1:9" x14ac:dyDescent="0.35">
      <c r="A1081" s="1">
        <v>42338</v>
      </c>
      <c r="B1081" cm="1">
        <f t="array" ref="B1081">(PRODUCT(1+sp500_monthly!B1082:B1201)^(1/120)-1)*100</f>
        <v>0.82425516292254919</v>
      </c>
      <c r="C1081" cm="1">
        <f t="array" ref="C1081">(PRODUCT(1+sp500_monthly!C1082:C1201)^(1/120)-1)*100</f>
        <v>0.69877283074371022</v>
      </c>
      <c r="D1081" cm="1">
        <f t="array" ref="D1081">(PRODUCT(1+sp500_monthly!D1082:D1201)^(1/120)-1)*100</f>
        <v>0.72936748353640279</v>
      </c>
      <c r="E1081" cm="1">
        <f t="array" ref="E1081">(PRODUCT(1+sp500_monthly!E1082:E1201)^(1/120)-1)*100</f>
        <v>0.59255075054531758</v>
      </c>
      <c r="F1081" cm="1">
        <f t="array" ref="F1081">(PRODUCT(1+sp500_monthly!K1082:K1201)^(1/120)-1)*100</f>
        <v>0.69384812109369864</v>
      </c>
      <c r="G1081" cm="1">
        <f t="array" ref="G1081">(PRODUCT(1+sp500_monthly!L1082:L1201)^(1/120)-1)</f>
        <v>9.0542385142809989E-2</v>
      </c>
      <c r="H1081" cm="1">
        <f t="array" ref="H1081">(PRODUCT(1+sp500_monthly!N1082:N1201)^(1/120)-1)*100</f>
        <v>0.60334494264295824</v>
      </c>
      <c r="I1081" cm="1">
        <f t="array" ref="I1081">(PRODUCT(1+sp500_monthly!O1082:O1201)^(1/120)-1)*100</f>
        <v>-0.12214783524742145</v>
      </c>
    </row>
    <row r="1082" spans="1:9" x14ac:dyDescent="0.35">
      <c r="A1082" s="1">
        <v>42369</v>
      </c>
      <c r="B1082" cm="1">
        <f t="array" ref="B1082">(PRODUCT(1+sp500_monthly!B1083:B1202)^(1/120)-1)*100</f>
        <v>0.83716521671202138</v>
      </c>
      <c r="C1082" cm="1">
        <f t="array" ref="C1082">(PRODUCT(1+sp500_monthly!C1083:C1202)^(1/120)-1)*100</f>
        <v>0.71322705896887939</v>
      </c>
      <c r="D1082" cm="1">
        <f t="array" ref="D1082">(PRODUCT(1+sp500_monthly!D1083:D1202)^(1/120)-1)*100</f>
        <v>0.7508655137452136</v>
      </c>
      <c r="E1082" cm="1">
        <f t="array" ref="E1082">(PRODUCT(1+sp500_monthly!E1083:E1202)^(1/120)-1)*100</f>
        <v>0.61582796279728846</v>
      </c>
      <c r="F1082" cm="1">
        <f t="array" ref="F1082">(PRODUCT(1+sp500_monthly!K1083:K1202)^(1/120)-1)*100</f>
        <v>0.70868936500818602</v>
      </c>
      <c r="G1082" cm="1">
        <f t="array" ref="G1082">(PRODUCT(1+sp500_monthly!L1083:L1202)^(1/120)-1)</f>
        <v>9.0451961745609877E-2</v>
      </c>
      <c r="H1082" cm="1">
        <f t="array" ref="H1082">(PRODUCT(1+sp500_monthly!N1083:N1202)^(1/120)-1)*100</f>
        <v>0.61532441094946932</v>
      </c>
      <c r="I1082" cm="1">
        <f t="array" ref="I1082">(PRODUCT(1+sp500_monthly!O1083:O1202)^(1/120)-1)*100</f>
        <v>-0.12312673931349494</v>
      </c>
    </row>
    <row r="1083" spans="1:9" x14ac:dyDescent="0.35">
      <c r="A1083" s="1">
        <v>42398</v>
      </c>
      <c r="B1083" cm="1">
        <f t="array" ref="B1083">(PRODUCT(1+sp500_monthly!B1084:B1203)^(1/120)-1)*100</f>
        <v>0.87948064018477101</v>
      </c>
      <c r="C1083" cm="1">
        <f t="array" ref="C1083">(PRODUCT(1+sp500_monthly!C1084:C1203)^(1/120)-1)*100</f>
        <v>0.75650652364938065</v>
      </c>
      <c r="D1083" cm="1">
        <f t="array" ref="D1083">(PRODUCT(1+sp500_monthly!D1084:D1203)^(1/120)-1)*100</f>
        <v>0.79922906931235715</v>
      </c>
      <c r="E1083" cm="1">
        <f t="array" ref="E1083">(PRODUCT(1+sp500_monthly!E1084:E1203)^(1/120)-1)*100</f>
        <v>0.66489390833348594</v>
      </c>
      <c r="F1083" cm="1">
        <f t="array" ref="F1083">(PRODUCT(1+sp500_monthly!K1084:K1203)^(1/120)-1)*100</f>
        <v>0.75239574071284121</v>
      </c>
      <c r="G1083" cm="1">
        <f t="array" ref="G1083">(PRODUCT(1+sp500_monthly!L1084:L1203)^(1/120)-1)</f>
        <v>9.0361545845955238E-2</v>
      </c>
      <c r="H1083" cm="1">
        <f t="array" ref="H1083">(PRODUCT(1+sp500_monthly!N1084:N1203)^(1/120)-1)*100</f>
        <v>0.65716210508375283</v>
      </c>
      <c r="I1083" cm="1">
        <f t="array" ref="I1083">(PRODUCT(1+sp500_monthly!O1084:O1203)^(1/120)-1)*100</f>
        <v>-0.12359161820173492</v>
      </c>
    </row>
    <row r="1084" spans="1:9" x14ac:dyDescent="0.35">
      <c r="A1084" s="1">
        <v>42429</v>
      </c>
      <c r="B1084" cm="1">
        <f t="array" ref="B1084">(PRODUCT(1+sp500_monthly!B1085:B1204)^(1/120)-1)*100</f>
        <v>0.88094636163176254</v>
      </c>
      <c r="C1084" cm="1">
        <f t="array" ref="C1084">(PRODUCT(1+sp500_monthly!C1085:C1204)^(1/120)-1)*100</f>
        <v>0.76025722253763028</v>
      </c>
      <c r="D1084" cm="1">
        <f t="array" ref="D1084">(PRODUCT(1+sp500_monthly!D1085:D1204)^(1/120)-1)*100</f>
        <v>0.78934908780128321</v>
      </c>
      <c r="E1084" cm="1">
        <f t="array" ref="E1084">(PRODUCT(1+sp500_monthly!E1085:E1204)^(1/120)-1)*100</f>
        <v>0.65694092935926207</v>
      </c>
      <c r="F1084" cm="1">
        <f t="array" ref="F1084">(PRODUCT(1+sp500_monthly!K1085:K1204)^(1/120)-1)*100</f>
        <v>0.75586885631631073</v>
      </c>
      <c r="G1084" cm="1">
        <f t="array" ref="G1084">(PRODUCT(1+sp500_monthly!L1085:L1204)^(1/120)-1)</f>
        <v>9.0181627164036993E-2</v>
      </c>
      <c r="H1084" cm="1">
        <f t="array" ref="H1084">(PRODUCT(1+sp500_monthly!N1085:N1204)^(1/120)-1)*100</f>
        <v>0.6575084996211622</v>
      </c>
      <c r="I1084" cm="1">
        <f t="array" ref="I1084">(PRODUCT(1+sp500_monthly!O1085:O1204)^(1/120)-1)*100</f>
        <v>-0.12486548383595641</v>
      </c>
    </row>
    <row r="1085" spans="1:9" x14ac:dyDescent="0.35">
      <c r="A1085" s="1">
        <v>42460</v>
      </c>
      <c r="B1085" cm="1">
        <f t="array" ref="B1085">(PRODUCT(1+sp500_monthly!B1086:B1205)^(1/120)-1)*100</f>
        <v>0.82617483483495846</v>
      </c>
      <c r="C1085" cm="1">
        <f t="array" ref="C1085">(PRODUCT(1+sp500_monthly!C1086:C1205)^(1/120)-1)*100</f>
        <v>0.70727807915957897</v>
      </c>
      <c r="D1085" cm="1">
        <f t="array" ref="D1085">(PRODUCT(1+sp500_monthly!D1086:D1205)^(1/120)-1)*100</f>
        <v>0.72393312203646865</v>
      </c>
      <c r="E1085" cm="1">
        <f t="array" ref="E1085">(PRODUCT(1+sp500_monthly!E1086:E1205)^(1/120)-1)*100</f>
        <v>0.59390702731982881</v>
      </c>
      <c r="F1085" cm="1">
        <f t="array" ref="F1085">(PRODUCT(1+sp500_monthly!K1086:K1205)^(1/120)-1)*100</f>
        <v>0.70222654090938974</v>
      </c>
      <c r="G1085" cm="1">
        <f t="array" ref="G1085">(PRODUCT(1+sp500_monthly!L1086:L1205)^(1/120)-1)</f>
        <v>9.000173817019097E-2</v>
      </c>
      <c r="H1085" cm="1">
        <f t="array" ref="H1085">(PRODUCT(1+sp500_monthly!N1086:N1205)^(1/120)-1)*100</f>
        <v>0.60548228687260508</v>
      </c>
      <c r="I1085" cm="1">
        <f t="array" ref="I1085">(PRODUCT(1+sp500_monthly!O1086:O1205)^(1/120)-1)*100</f>
        <v>-0.12242690860251315</v>
      </c>
    </row>
    <row r="1086" spans="1:9" x14ac:dyDescent="0.35">
      <c r="A1086" s="1">
        <v>42489</v>
      </c>
      <c r="B1086" cm="1">
        <f t="array" ref="B1086">(PRODUCT(1+sp500_monthly!B1087:B1206)^(1/120)-1)*100</f>
        <v>0.82303247013670866</v>
      </c>
      <c r="C1086" cm="1">
        <f t="array" ref="C1086">(PRODUCT(1+sp500_monthly!C1087:C1206)^(1/120)-1)*100</f>
        <v>0.70511903242380658</v>
      </c>
      <c r="D1086" cm="1">
        <f t="array" ref="D1086">(PRODUCT(1+sp500_monthly!D1087:D1206)^(1/120)-1)*100</f>
        <v>0.7132405793710106</v>
      </c>
      <c r="E1086" cm="1">
        <f t="array" ref="E1086">(PRODUCT(1+sp500_monthly!E1087:E1206)^(1/120)-1)*100</f>
        <v>0.58392623332019777</v>
      </c>
      <c r="F1086" cm="1">
        <f t="array" ref="F1086">(PRODUCT(1+sp500_monthly!K1087:K1206)^(1/120)-1)*100</f>
        <v>0.69996465647612638</v>
      </c>
      <c r="G1086" cm="1">
        <f t="array" ref="G1086">(PRODUCT(1+sp500_monthly!L1087:L1206)^(1/120)-1)</f>
        <v>8.9911359601267726E-2</v>
      </c>
      <c r="H1086" cm="1">
        <f t="array" ref="H1086">(PRODUCT(1+sp500_monthly!N1087:N1206)^(1/120)-1)*100</f>
        <v>0.60555214855175787</v>
      </c>
      <c r="I1086" cm="1">
        <f t="array" ref="I1086">(PRODUCT(1+sp500_monthly!O1087:O1206)^(1/120)-1)*100</f>
        <v>-0.11932788255590854</v>
      </c>
    </row>
    <row r="1087" spans="1:9" x14ac:dyDescent="0.35">
      <c r="A1087" s="1">
        <v>42521</v>
      </c>
      <c r="B1087" cm="1">
        <f t="array" ref="B1087">(PRODUCT(1+sp500_monthly!B1088:B1207)^(1/120)-1)*100</f>
        <v>0.80764284695113986</v>
      </c>
      <c r="C1087" cm="1">
        <f t="array" ref="C1087">(PRODUCT(1+sp500_monthly!C1088:C1207)^(1/120)-1)*100</f>
        <v>0.6918930069135687</v>
      </c>
      <c r="D1087" cm="1">
        <f t="array" ref="D1087">(PRODUCT(1+sp500_monthly!D1088:D1207)^(1/120)-1)*100</f>
        <v>0.70117571658423472</v>
      </c>
      <c r="E1087" cm="1">
        <f t="array" ref="E1087">(PRODUCT(1+sp500_monthly!E1088:E1207)^(1/120)-1)*100</f>
        <v>0.57369966380151904</v>
      </c>
      <c r="F1087" cm="1">
        <f t="array" ref="F1087">(PRODUCT(1+sp500_monthly!K1088:K1207)^(1/120)-1)*100</f>
        <v>0.68719948111966023</v>
      </c>
      <c r="G1087" cm="1">
        <f t="array" ref="G1087">(PRODUCT(1+sp500_monthly!L1088:L1207)^(1/120)-1)</f>
        <v>8.9820988526172707E-2</v>
      </c>
      <c r="H1087" cm="1">
        <f t="array" ref="H1087">(PRODUCT(1+sp500_monthly!N1088:N1207)^(1/120)-1)*100</f>
        <v>0.59217510945821505</v>
      </c>
      <c r="I1087" cm="1">
        <f t="array" ref="I1087">(PRODUCT(1+sp500_monthly!O1088:O1207)^(1/120)-1)*100</f>
        <v>-0.11744568780790443</v>
      </c>
    </row>
    <row r="1088" spans="1:9" x14ac:dyDescent="0.35">
      <c r="A1088" s="1">
        <v>42551</v>
      </c>
      <c r="B1088" cm="1">
        <f t="array" ref="B1088">(PRODUCT(1+sp500_monthly!B1089:B1208)^(1/120)-1)*100</f>
        <v>0.80539870180003081</v>
      </c>
      <c r="C1088" cm="1">
        <f t="array" ref="C1088">(PRODUCT(1+sp500_monthly!C1089:C1208)^(1/120)-1)*100</f>
        <v>0.69105265406192995</v>
      </c>
      <c r="D1088" cm="1">
        <f t="array" ref="D1088">(PRODUCT(1+sp500_monthly!D1089:D1208)^(1/120)-1)*100</f>
        <v>0.70126635257761194</v>
      </c>
      <c r="E1088" cm="1">
        <f t="array" ref="E1088">(PRODUCT(1+sp500_monthly!E1089:E1208)^(1/120)-1)*100</f>
        <v>0.57541789634263374</v>
      </c>
      <c r="F1088" cm="1">
        <f t="array" ref="F1088">(PRODUCT(1+sp500_monthly!K1089:K1208)^(1/120)-1)*100</f>
        <v>0.68643963978816114</v>
      </c>
      <c r="G1088" cm="1">
        <f t="array" ref="G1088">(PRODUCT(1+sp500_monthly!L1089:L1208)^(1/120)-1)</f>
        <v>8.964115904068759E-2</v>
      </c>
      <c r="H1088" cm="1">
        <f t="array" ref="H1088">(PRODUCT(1+sp500_monthly!N1089:N1208)^(1/120)-1)*100</f>
        <v>0.59225950874179922</v>
      </c>
      <c r="I1088" cm="1">
        <f t="array" ref="I1088">(PRODUCT(1+sp500_monthly!O1089:O1208)^(1/120)-1)*100</f>
        <v>-0.11530473938471397</v>
      </c>
    </row>
    <row r="1089" spans="1:9" x14ac:dyDescent="0.35">
      <c r="A1089" s="1">
        <v>42580</v>
      </c>
      <c r="B1089" cm="1">
        <f t="array" ref="B1089">(PRODUCT(1+sp500_monthly!B1090:B1209)^(1/120)-1)*100</f>
        <v>0.77523035480304703</v>
      </c>
      <c r="C1089" cm="1">
        <f t="array" ref="C1089">(PRODUCT(1+sp500_monthly!C1090:C1209)^(1/120)-1)*100</f>
        <v>0.66192827013491495</v>
      </c>
      <c r="D1089" cm="1">
        <f t="array" ref="D1089">(PRODUCT(1+sp500_monthly!D1090:D1209)^(1/120)-1)*100</f>
        <v>0.66567762974387712</v>
      </c>
      <c r="E1089" cm="1">
        <f t="array" ref="E1089">(PRODUCT(1+sp500_monthly!E1090:E1209)^(1/120)-1)*100</f>
        <v>0.54052677555869177</v>
      </c>
      <c r="F1089" cm="1">
        <f t="array" ref="F1089">(PRODUCT(1+sp500_monthly!K1090:K1209)^(1/120)-1)*100</f>
        <v>0.65708490757514504</v>
      </c>
      <c r="G1089" cm="1">
        <f t="array" ref="G1089">(PRODUCT(1+sp500_monthly!L1090:L1209)^(1/120)-1)</f>
        <v>8.9461359228556248E-2</v>
      </c>
      <c r="H1089" cm="1">
        <f t="array" ref="H1089">(PRODUCT(1+sp500_monthly!N1090:N1209)^(1/120)-1)*100</f>
        <v>0.56173273285140546</v>
      </c>
      <c r="I1089" cm="1">
        <f t="array" ref="I1089">(PRODUCT(1+sp500_monthly!O1090:O1209)^(1/120)-1)*100</f>
        <v>-0.11589056776876161</v>
      </c>
    </row>
    <row r="1090" spans="1:9" x14ac:dyDescent="0.35">
      <c r="A1090" s="1">
        <v>42613</v>
      </c>
      <c r="B1090" cm="1">
        <f t="array" ref="B1090">(PRODUCT(1+sp500_monthly!B1091:B1210)^(1/120)-1)*100</f>
        <v>0.77418379003633131</v>
      </c>
      <c r="C1090" cm="1">
        <f t="array" ref="C1090">(PRODUCT(1+sp500_monthly!C1091:C1210)^(1/120)-1)*100</f>
        <v>0.66310012886459102</v>
      </c>
      <c r="D1090" cm="1">
        <f t="array" ref="D1090">(PRODUCT(1+sp500_monthly!D1091:D1210)^(1/120)-1)*100</f>
        <v>0.66379312316262595</v>
      </c>
      <c r="E1090" cm="1">
        <f t="array" ref="E1090">(PRODUCT(1+sp500_monthly!E1091:E1210)^(1/120)-1)*100</f>
        <v>0.54047148010891721</v>
      </c>
      <c r="F1090" cm="1">
        <f t="array" ref="F1090">(PRODUCT(1+sp500_monthly!K1091:K1210)^(1/120)-1)*100</f>
        <v>0.65810804472152817</v>
      </c>
      <c r="G1090" cm="1">
        <f t="array" ref="G1090">(PRODUCT(1+sp500_monthly!L1091:L1210)^(1/120)-1)</f>
        <v>8.9281589084882373E-2</v>
      </c>
      <c r="H1090" cm="1">
        <f t="array" ref="H1090">(PRODUCT(1+sp500_monthly!N1091:N1210)^(1/120)-1)*100</f>
        <v>0.56223662460295198</v>
      </c>
      <c r="I1090" cm="1">
        <f t="array" ref="I1090">(PRODUCT(1+sp500_monthly!O1091:O1210)^(1/120)-1)*100</f>
        <v>-0.11451920440398444</v>
      </c>
    </row>
    <row r="1091" spans="1:9" x14ac:dyDescent="0.35">
      <c r="A1091" s="1">
        <v>42643</v>
      </c>
      <c r="B1091" cm="1">
        <f t="array" ref="B1091">(PRODUCT(1+sp500_monthly!B1092:B1211)^(1/120)-1)*100</f>
        <v>0.77380933018078579</v>
      </c>
      <c r="C1091" cm="1">
        <f t="array" ref="C1091">(PRODUCT(1+sp500_monthly!C1092:C1211)^(1/120)-1)*100</f>
        <v>0.66396712199563446</v>
      </c>
      <c r="D1091" cm="1">
        <f t="array" ref="D1091">(PRODUCT(1+sp500_monthly!D1092:D1211)^(1/120)-1)*100</f>
        <v>0.66326899771051995</v>
      </c>
      <c r="E1091" cm="1">
        <f t="array" ref="E1091">(PRODUCT(1+sp500_monthly!E1092:E1211)^(1/120)-1)*100</f>
        <v>0.54150601504927565</v>
      </c>
      <c r="F1091" cm="1">
        <f t="array" ref="F1091">(PRODUCT(1+sp500_monthly!K1092:K1211)^(1/120)-1)*100</f>
        <v>0.65914379011111635</v>
      </c>
      <c r="G1091" cm="1">
        <f t="array" ref="G1091">(PRODUCT(1+sp500_monthly!L1092:L1211)^(1/120)-1)</f>
        <v>8.910184860477055E-2</v>
      </c>
      <c r="H1091" cm="1">
        <f t="array" ref="H1091">(PRODUCT(1+sp500_monthly!N1092:N1211)^(1/120)-1)*100</f>
        <v>0.56405838854782786</v>
      </c>
      <c r="I1091" cm="1">
        <f t="array" ref="I1091">(PRODUCT(1+sp500_monthly!O1092:O1211)^(1/120)-1)*100</f>
        <v>-0.11250499738592046</v>
      </c>
    </row>
    <row r="1092" spans="1:9" x14ac:dyDescent="0.35">
      <c r="A1092" s="1">
        <v>42674</v>
      </c>
      <c r="B1092" cm="1">
        <f t="array" ref="B1092">(PRODUCT(1+sp500_monthly!B1093:B1212)^(1/120)-1)*100</f>
        <v>0.78901635996626585</v>
      </c>
      <c r="C1092" cm="1">
        <f t="array" ref="C1092">(PRODUCT(1+sp500_monthly!C1093:C1212)^(1/120)-1)*100</f>
        <v>0.68022531045781598</v>
      </c>
      <c r="D1092" cm="1">
        <f t="array" ref="D1092">(PRODUCT(1+sp500_monthly!D1093:D1212)^(1/120)-1)*100</f>
        <v>0.68378336070422652</v>
      </c>
      <c r="E1092" cm="1">
        <f t="array" ref="E1092">(PRODUCT(1+sp500_monthly!E1093:E1212)^(1/120)-1)*100</f>
        <v>0.56288915524227434</v>
      </c>
      <c r="F1092" cm="1">
        <f t="array" ref="F1092">(PRODUCT(1+sp500_monthly!K1093:K1212)^(1/120)-1)*100</f>
        <v>0.67560052673245607</v>
      </c>
      <c r="G1092" cm="1">
        <f t="array" ref="G1092">(PRODUCT(1+sp500_monthly!L1093:L1212)^(1/120)-1)</f>
        <v>8.8922137783325805E-2</v>
      </c>
      <c r="H1092" cm="1">
        <f t="array" ref="H1092">(PRODUCT(1+sp500_monthly!N1093:N1212)^(1/120)-1)*100</f>
        <v>0.5811950367019092</v>
      </c>
      <c r="I1092" cm="1">
        <f t="array" ref="I1092">(PRODUCT(1+sp500_monthly!O1093:O1212)^(1/120)-1)*100</f>
        <v>-0.1107236814107182</v>
      </c>
    </row>
    <row r="1093" spans="1:9" x14ac:dyDescent="0.35">
      <c r="A1093" s="1">
        <v>42704</v>
      </c>
      <c r="B1093" cm="1">
        <f t="array" ref="B1093">(PRODUCT(1+sp500_monthly!B1094:B1213)^(1/120)-1)*100</f>
        <v>0.75946795817480872</v>
      </c>
      <c r="C1093" cm="1">
        <f t="array" ref="C1093">(PRODUCT(1+sp500_monthly!C1094:C1213)^(1/120)-1)*100</f>
        <v>0.65296541459618496</v>
      </c>
      <c r="D1093" cm="1">
        <f t="array" ref="D1093">(PRODUCT(1+sp500_monthly!D1094:D1213)^(1/120)-1)*100</f>
        <v>0.64156780418573867</v>
      </c>
      <c r="E1093" cm="1">
        <f t="array" ref="E1093">(PRODUCT(1+sp500_monthly!E1094:E1213)^(1/120)-1)*100</f>
        <v>0.5225392396371209</v>
      </c>
      <c r="F1093" cm="1">
        <f t="array" ref="F1093">(PRODUCT(1+sp500_monthly!K1094:K1213)^(1/120)-1)*100</f>
        <v>0.6474127545807562</v>
      </c>
      <c r="G1093" cm="1">
        <f t="array" ref="G1093">(PRODUCT(1+sp500_monthly!L1094:L1213)^(1/120)-1)</f>
        <v>8.8831848730533292E-2</v>
      </c>
      <c r="H1093" cm="1">
        <f t="array" ref="H1093">(PRODUCT(1+sp500_monthly!N1094:N1213)^(1/120)-1)*100</f>
        <v>0.55269486175870686</v>
      </c>
      <c r="I1093" cm="1">
        <f t="array" ref="I1093">(PRODUCT(1+sp500_monthly!O1094:O1213)^(1/120)-1)*100</f>
        <v>-0.10982612369820899</v>
      </c>
    </row>
    <row r="1094" spans="1:9" x14ac:dyDescent="0.35">
      <c r="A1094" s="1">
        <v>42734</v>
      </c>
      <c r="B1094" cm="1">
        <f t="array" ref="B1094">(PRODUCT(1+sp500_monthly!B1095:B1214)^(1/120)-1)*100</f>
        <v>0.74349722739892599</v>
      </c>
      <c r="C1094" cm="1">
        <f t="array" ref="C1094">(PRODUCT(1+sp500_monthly!C1095:C1214)^(1/120)-1)*100</f>
        <v>0.63835140405750224</v>
      </c>
      <c r="D1094" cm="1">
        <f t="array" ref="D1094">(PRODUCT(1+sp500_monthly!D1095:D1214)^(1/120)-1)*100</f>
        <v>0.63257562183136606</v>
      </c>
      <c r="E1094" cm="1">
        <f t="array" ref="E1094">(PRODUCT(1+sp500_monthly!E1095:E1214)^(1/120)-1)*100</f>
        <v>0.51516107680380507</v>
      </c>
      <c r="F1094" cm="1">
        <f t="array" ref="F1094">(PRODUCT(1+sp500_monthly!K1095:K1214)^(1/120)-1)*100</f>
        <v>0.63228545760991572</v>
      </c>
      <c r="G1094" cm="1">
        <f t="array" ref="G1094">(PRODUCT(1+sp500_monthly!L1095:L1214)^(1/120)-1)</f>
        <v>8.8563677049605438E-2</v>
      </c>
      <c r="H1094" cm="1">
        <f t="array" ref="H1094">(PRODUCT(1+sp500_monthly!N1095:N1214)^(1/120)-1)*100</f>
        <v>0.53886932275371002</v>
      </c>
      <c r="I1094" cm="1">
        <f t="array" ref="I1094">(PRODUCT(1+sp500_monthly!O1095:O1214)^(1/120)-1)*100</f>
        <v>-0.10797698472083672</v>
      </c>
    </row>
    <row r="1095" spans="1:9" x14ac:dyDescent="0.35">
      <c r="A1095" s="1">
        <v>42766</v>
      </c>
      <c r="B1095" cm="1">
        <f t="array" ref="B1095">(PRODUCT(1+sp500_monthly!B1096:B1215)^(1/120)-1)*100</f>
        <v>0.72738079683039025</v>
      </c>
      <c r="C1095" cm="1">
        <f t="array" ref="C1095">(PRODUCT(1+sp500_monthly!C1096:C1215)^(1/120)-1)*100</f>
        <v>0.62313488479690538</v>
      </c>
      <c r="D1095" cm="1">
        <f t="array" ref="D1095">(PRODUCT(1+sp500_monthly!D1096:D1215)^(1/120)-1)*100</f>
        <v>0.61507324561989041</v>
      </c>
      <c r="E1095" cm="1">
        <f t="array" ref="E1095">(PRODUCT(1+sp500_monthly!E1096:E1215)^(1/120)-1)*100</f>
        <v>0.49831418487591428</v>
      </c>
      <c r="F1095" cm="1">
        <f t="array" ref="F1095">(PRODUCT(1+sp500_monthly!K1096:K1215)^(1/120)-1)*100</f>
        <v>0.61742152095964897</v>
      </c>
      <c r="G1095" cm="1">
        <f t="array" ref="G1095">(PRODUCT(1+sp500_monthly!L1096:L1215)^(1/120)-1)</f>
        <v>8.8207949821198284E-2</v>
      </c>
      <c r="H1095" cm="1">
        <f t="array" ref="H1095">(PRODUCT(1+sp500_monthly!N1096:N1215)^(1/120)-1)*100</f>
        <v>0.52616570053405365</v>
      </c>
      <c r="I1095" cm="1">
        <f t="array" ref="I1095">(PRODUCT(1+sp500_monthly!O1096:O1215)^(1/120)-1)*100</f>
        <v>-0.10495103852959931</v>
      </c>
    </row>
    <row r="1096" spans="1:9" x14ac:dyDescent="0.35">
      <c r="A1096" s="1">
        <v>42794</v>
      </c>
      <c r="B1096" cm="1">
        <f t="array" ref="B1096">(PRODUCT(1+sp500_monthly!B1097:B1216)^(1/120)-1)*100</f>
        <v>0.69490113061769776</v>
      </c>
      <c r="C1096" cm="1">
        <f t="array" ref="C1096">(PRODUCT(1+sp500_monthly!C1097:C1216)^(1/120)-1)*100</f>
        <v>0.59263219064016326</v>
      </c>
      <c r="D1096" cm="1">
        <f t="array" ref="D1096">(PRODUCT(1+sp500_monthly!D1097:D1216)^(1/120)-1)*100</f>
        <v>0.58897508358299877</v>
      </c>
      <c r="E1096" cm="1">
        <f t="array" ref="E1096">(PRODUCT(1+sp500_monthly!E1097:E1216)^(1/120)-1)*100</f>
        <v>0.47381093437279809</v>
      </c>
      <c r="F1096" cm="1">
        <f t="array" ref="F1096">(PRODUCT(1+sp500_monthly!K1097:K1216)^(1/120)-1)*100</f>
        <v>0.58680255880629861</v>
      </c>
      <c r="G1096" cm="1">
        <f t="array" ref="G1096">(PRODUCT(1+sp500_monthly!L1097:L1216)^(1/120)-1)</f>
        <v>8.7852338839423005E-2</v>
      </c>
      <c r="H1096" cm="1">
        <f t="array" ref="H1096">(PRODUCT(1+sp500_monthly!N1097:N1216)^(1/120)-1)*100</f>
        <v>0.49508363181713921</v>
      </c>
      <c r="I1096" cm="1">
        <f t="array" ref="I1096">(PRODUCT(1+sp500_monthly!O1097:O1216)^(1/120)-1)*100</f>
        <v>-0.10395918365441181</v>
      </c>
    </row>
    <row r="1097" spans="1:9" x14ac:dyDescent="0.35">
      <c r="A1097" s="1">
        <v>42825</v>
      </c>
      <c r="B1097" cm="1">
        <f t="array" ref="B1097">(PRODUCT(1+sp500_monthly!B1098:B1217)^(1/120)-1)*100</f>
        <v>0.69350599809023805</v>
      </c>
      <c r="C1097" cm="1">
        <f t="array" ref="C1097">(PRODUCT(1+sp500_monthly!C1098:C1217)^(1/120)-1)*100</f>
        <v>0.59258608696215465</v>
      </c>
      <c r="D1097" cm="1">
        <f t="array" ref="D1097">(PRODUCT(1+sp500_monthly!D1098:D1217)^(1/120)-1)*100</f>
        <v>0.58882169954714847</v>
      </c>
      <c r="E1097" cm="1">
        <f t="array" ref="E1097">(PRODUCT(1+sp500_monthly!E1098:E1217)^(1/120)-1)*100</f>
        <v>0.47529844104727825</v>
      </c>
      <c r="F1097" cm="1">
        <f t="array" ref="F1097">(PRODUCT(1+sp500_monthly!K1098:K1217)^(1/120)-1)*100</f>
        <v>0.58712869165682413</v>
      </c>
      <c r="G1097" cm="1">
        <f t="array" ref="G1097">(PRODUCT(1+sp500_monthly!L1098:L1217)^(1/120)-1)</f>
        <v>8.7584408404941083E-2</v>
      </c>
      <c r="H1097" cm="1">
        <f t="array" ref="H1097">(PRODUCT(1+sp500_monthly!N1098:N1217)^(1/120)-1)*100</f>
        <v>0.4932999203061561</v>
      </c>
      <c r="I1097" cm="1">
        <f t="array" ref="I1097">(PRODUCT(1+sp500_monthly!O1098:O1217)^(1/120)-1)*100</f>
        <v>-0.1045979050829593</v>
      </c>
    </row>
    <row r="1098" spans="1:9" x14ac:dyDescent="0.35">
      <c r="A1098" s="1">
        <v>42853</v>
      </c>
      <c r="B1098" cm="1">
        <f t="array" ref="B1098">(PRODUCT(1+sp500_monthly!B1099:B1218)^(1/120)-1)*100</f>
        <v>0.68466607678472347</v>
      </c>
      <c r="C1098" cm="1">
        <f t="array" ref="C1098">(PRODUCT(1+sp500_monthly!C1099:C1218)^(1/120)-1)*100</f>
        <v>0.58471105951489744</v>
      </c>
      <c r="D1098" cm="1">
        <f t="array" ref="D1098">(PRODUCT(1+sp500_monthly!D1099:D1218)^(1/120)-1)*100</f>
        <v>0.58309283399413658</v>
      </c>
      <c r="E1098" cm="1">
        <f t="array" ref="E1098">(PRODUCT(1+sp500_monthly!E1099:E1218)^(1/120)-1)*100</f>
        <v>0.47029064450667679</v>
      </c>
      <c r="F1098" cm="1">
        <f t="array" ref="F1098">(PRODUCT(1+sp500_monthly!K1099:K1218)^(1/120)-1)*100</f>
        <v>0.57954309409844473</v>
      </c>
      <c r="G1098" cm="1">
        <f t="array" ref="G1098">(PRODUCT(1+sp500_monthly!L1099:L1218)^(1/120)-1)</f>
        <v>8.7142303105705476E-2</v>
      </c>
      <c r="H1098" cm="1">
        <f t="array" ref="H1098">(PRODUCT(1+sp500_monthly!N1099:N1218)^(1/120)-1)*100</f>
        <v>0.48551038663320334</v>
      </c>
      <c r="I1098" cm="1">
        <f t="array" ref="I1098">(PRODUCT(1+sp500_monthly!O1099:O1218)^(1/120)-1)*100</f>
        <v>-0.10398727855313039</v>
      </c>
    </row>
    <row r="1099" spans="1:9" x14ac:dyDescent="0.35">
      <c r="A1099" s="1">
        <v>42886</v>
      </c>
      <c r="B1099" cm="1">
        <f t="array" ref="B1099">(PRODUCT(1+sp500_monthly!B1100:B1219)^(1/120)-1)*100</f>
        <v>0.67254509778498228</v>
      </c>
      <c r="C1099" cm="1">
        <f t="array" ref="C1099">(PRODUCT(1+sp500_monthly!C1100:C1219)^(1/120)-1)*100</f>
        <v>0.57477921506294827</v>
      </c>
      <c r="D1099" cm="1">
        <f t="array" ref="D1099">(PRODUCT(1+sp500_monthly!D1100:D1219)^(1/120)-1)*100</f>
        <v>0.5793536978750069</v>
      </c>
      <c r="E1099" cm="1">
        <f t="array" ref="E1099">(PRODUCT(1+sp500_monthly!E1100:E1219)^(1/120)-1)*100</f>
        <v>0.4683396285478425</v>
      </c>
      <c r="F1099" cm="1">
        <f t="array" ref="F1099">(PRODUCT(1+sp500_monthly!K1100:K1219)^(1/120)-1)*100</f>
        <v>0.56989671228182548</v>
      </c>
      <c r="G1099" cm="1">
        <f t="array" ref="G1099">(PRODUCT(1+sp500_monthly!L1100:L1219)^(1/120)-1)</f>
        <v>8.6614542957962115E-2</v>
      </c>
      <c r="H1099" cm="1">
        <f t="array" ref="H1099">(PRODUCT(1+sp500_monthly!N1100:N1219)^(1/120)-1)*100</f>
        <v>0.47276509921776455</v>
      </c>
      <c r="I1099" cm="1">
        <f t="array" ref="I1099">(PRODUCT(1+sp500_monthly!O1100:O1219)^(1/120)-1)*100</f>
        <v>-0.10513116268791034</v>
      </c>
    </row>
    <row r="1100" spans="1:9" x14ac:dyDescent="0.35">
      <c r="A1100" s="1">
        <v>42916</v>
      </c>
      <c r="B1100" cm="1">
        <f t="array" ref="B1100">(PRODUCT(1+sp500_monthly!B1101:B1220)^(1/120)-1)*100</f>
        <v>0.66769509974657915</v>
      </c>
      <c r="C1100" cm="1">
        <f t="array" ref="C1100">(PRODUCT(1+sp500_monthly!C1101:C1220)^(1/120)-1)*100</f>
        <v>0.57112966948253963</v>
      </c>
      <c r="D1100" cm="1">
        <f t="array" ref="D1100">(PRODUCT(1+sp500_monthly!D1101:D1220)^(1/120)-1)*100</f>
        <v>0.56848620852116838</v>
      </c>
      <c r="E1100" cm="1">
        <f t="array" ref="E1100">(PRODUCT(1+sp500_monthly!E1101:E1220)^(1/120)-1)*100</f>
        <v>0.45895801669939562</v>
      </c>
      <c r="F1100" cm="1">
        <f t="array" ref="F1100">(PRODUCT(1+sp500_monthly!K1101:K1220)^(1/120)-1)*100</f>
        <v>0.56587194385298023</v>
      </c>
      <c r="G1100" cm="1">
        <f t="array" ref="G1100">(PRODUCT(1+sp500_monthly!L1101:L1220)^(1/120)-1)</f>
        <v>8.608703901474013E-2</v>
      </c>
      <c r="H1100" cm="1">
        <f t="array" ref="H1100">(PRODUCT(1+sp500_monthly!N1101:N1220)^(1/120)-1)*100</f>
        <v>0.46847011440815933</v>
      </c>
      <c r="I1100" cm="1">
        <f t="array" ref="I1100">(PRODUCT(1+sp500_monthly!O1101:O1220)^(1/120)-1)*100</f>
        <v>-0.10508821090515763</v>
      </c>
    </row>
    <row r="1101" spans="1:9" x14ac:dyDescent="0.35">
      <c r="A1101" s="1">
        <v>42947</v>
      </c>
      <c r="B1101" cm="1">
        <f t="array" ref="B1101">(PRODUCT(1+sp500_monthly!B1102:B1221)^(1/120)-1)*100</f>
        <v>0.65051196375920384</v>
      </c>
      <c r="C1101" cm="1">
        <f t="array" ref="C1101">(PRODUCT(1+sp500_monthly!C1102:C1221)^(1/120)-1)*100</f>
        <v>0.55522332288595599</v>
      </c>
      <c r="D1101" cm="1">
        <f t="array" ref="D1101">(PRODUCT(1+sp500_monthly!D1102:D1221)^(1/120)-1)*100</f>
        <v>0.55536391712573963</v>
      </c>
      <c r="E1101" cm="1">
        <f t="array" ref="E1101">(PRODUCT(1+sp500_monthly!E1102:E1221)^(1/120)-1)*100</f>
        <v>0.44708205174845972</v>
      </c>
      <c r="F1101" cm="1">
        <f t="array" ref="F1101">(PRODUCT(1+sp500_monthly!K1102:K1221)^(1/120)-1)*100</f>
        <v>0.54981269872396155</v>
      </c>
      <c r="G1101" cm="1">
        <f t="array" ref="G1101">(PRODUCT(1+sp500_monthly!L1102:L1221)^(1/120)-1)</f>
        <v>8.5474851770092286E-2</v>
      </c>
      <c r="H1101" cm="1">
        <f t="array" ref="H1101">(PRODUCT(1+sp500_monthly!N1102:N1221)^(1/120)-1)*100</f>
        <v>0.45159521385260692</v>
      </c>
      <c r="I1101" cm="1">
        <f t="array" ref="I1101">(PRODUCT(1+sp500_monthly!O1102:O1221)^(1/120)-1)*100</f>
        <v>-0.10539801685245376</v>
      </c>
    </row>
    <row r="1102" spans="1:9" x14ac:dyDescent="0.35">
      <c r="A1102" s="1">
        <v>42978</v>
      </c>
      <c r="B1102" cm="1">
        <f t="array" ref="B1102">(PRODUCT(1+sp500_monthly!B1103:B1222)^(1/120)-1)*100</f>
        <v>0.64863694655816762</v>
      </c>
      <c r="C1102" cm="1">
        <f t="array" ref="C1102">(PRODUCT(1+sp500_monthly!C1103:C1222)^(1/120)-1)*100</f>
        <v>0.55549486634791645</v>
      </c>
      <c r="D1102" cm="1">
        <f t="array" ref="D1102">(PRODUCT(1+sp500_monthly!D1103:D1222)^(1/120)-1)*100</f>
        <v>0.56428649304145484</v>
      </c>
      <c r="E1102" cm="1">
        <f t="array" ref="E1102">(PRODUCT(1+sp500_monthly!E1103:E1222)^(1/120)-1)*100</f>
        <v>0.45791363826286346</v>
      </c>
      <c r="F1102" cm="1">
        <f t="array" ref="F1102">(PRODUCT(1+sp500_monthly!K1103:K1222)^(1/120)-1)*100</f>
        <v>0.5493553229689363</v>
      </c>
      <c r="G1102" cm="1">
        <f t="array" ref="G1102">(PRODUCT(1+sp500_monthly!L1103:L1222)^(1/120)-1)</f>
        <v>8.4695600595102727E-2</v>
      </c>
      <c r="H1102" cm="1">
        <f t="array" ref="H1102">(PRODUCT(1+sp500_monthly!N1103:N1222)^(1/120)-1)*100</f>
        <v>0.45293938216621754</v>
      </c>
      <c r="I1102" cm="1">
        <f t="array" ref="I1102">(PRODUCT(1+sp500_monthly!O1103:O1222)^(1/120)-1)*100</f>
        <v>-0.1029492006114574</v>
      </c>
    </row>
    <row r="1103" spans="1:9" x14ac:dyDescent="0.35">
      <c r="A1103" s="1">
        <v>43007</v>
      </c>
      <c r="B1103" cm="1">
        <f t="array" ref="B1103">(PRODUCT(1+sp500_monthly!B1104:B1223)^(1/120)-1)*100</f>
        <v>0.63198798137586998</v>
      </c>
      <c r="C1103" cm="1">
        <f t="array" ref="C1103">(PRODUCT(1+sp500_monthly!C1104:C1223)^(1/120)-1)*100</f>
        <v>0.53993633676863162</v>
      </c>
      <c r="D1103" cm="1">
        <f t="array" ref="D1103">(PRODUCT(1+sp500_monthly!D1104:D1223)^(1/120)-1)*100</f>
        <v>0.5400348979834213</v>
      </c>
      <c r="E1103" cm="1">
        <f t="array" ref="E1103">(PRODUCT(1+sp500_monthly!E1104:E1223)^(1/120)-1)*100</f>
        <v>0.43508491474850697</v>
      </c>
      <c r="F1103" cm="1">
        <f t="array" ref="F1103">(PRODUCT(1+sp500_monthly!K1104:K1223)^(1/120)-1)*100</f>
        <v>0.53333652247109509</v>
      </c>
      <c r="G1103" cm="1">
        <f t="array" ref="G1103">(PRODUCT(1+sp500_monthly!L1104:L1223)^(1/120)-1)</f>
        <v>8.3916908836476178E-2</v>
      </c>
      <c r="H1103" cm="1">
        <f t="array" ref="H1103">(PRODUCT(1+sp500_monthly!N1104:N1223)^(1/120)-1)*100</f>
        <v>0.44058589591511321</v>
      </c>
      <c r="I1103" cm="1">
        <f t="array" ref="I1103">(PRODUCT(1+sp500_monthly!O1104:O1223)^(1/120)-1)*100</f>
        <v>-9.9457903105637513E-2</v>
      </c>
    </row>
    <row r="1104" spans="1:9" x14ac:dyDescent="0.35">
      <c r="A1104" s="1">
        <v>43039</v>
      </c>
      <c r="B1104" cm="1">
        <f t="array" ref="B1104">(PRODUCT(1+sp500_monthly!B1105:B1224)^(1/120)-1)*100</f>
        <v>0.61199319739466684</v>
      </c>
      <c r="C1104" cm="1">
        <f t="array" ref="C1104">(PRODUCT(1+sp500_monthly!C1105:C1224)^(1/120)-1)*100</f>
        <v>0.52088134064849356</v>
      </c>
      <c r="D1104" cm="1">
        <f t="array" ref="D1104">(PRODUCT(1+sp500_monthly!D1105:D1224)^(1/120)-1)*100</f>
        <v>0.53140659989243666</v>
      </c>
      <c r="E1104" cm="1">
        <f t="array" ref="E1104">(PRODUCT(1+sp500_monthly!E1105:E1224)^(1/120)-1)*100</f>
        <v>0.42719402966326925</v>
      </c>
      <c r="F1104" cm="1">
        <f t="array" ref="F1104">(PRODUCT(1+sp500_monthly!K1105:K1224)^(1/120)-1)*100</f>
        <v>0.51495281111615387</v>
      </c>
      <c r="G1104" cm="1">
        <f t="array" ref="G1104">(PRODUCT(1+sp500_monthly!L1105:L1224)^(1/120)-1)</f>
        <v>8.3138776092613442E-2</v>
      </c>
      <c r="H1104" cm="1">
        <f t="array" ref="H1104">(PRODUCT(1+sp500_monthly!N1105:N1224)^(1/120)-1)*100</f>
        <v>0.421277486514815</v>
      </c>
      <c r="I1104" cm="1">
        <f t="array" ref="I1104">(PRODUCT(1+sp500_monthly!O1105:O1224)^(1/120)-1)*100</f>
        <v>-9.9561835575978641E-2</v>
      </c>
    </row>
    <row r="1105" spans="1:9" x14ac:dyDescent="0.35">
      <c r="A1105" s="1">
        <v>43069</v>
      </c>
      <c r="B1105" cm="1">
        <f t="array" ref="B1105">(PRODUCT(1+sp500_monthly!B1106:B1225)^(1/120)-1)*100</f>
        <v>0.58608354846907407</v>
      </c>
      <c r="C1105" cm="1">
        <f t="array" ref="C1105">(PRODUCT(1+sp500_monthly!C1106:C1225)^(1/120)-1)*100</f>
        <v>0.49705117312281999</v>
      </c>
      <c r="D1105" cm="1">
        <f t="array" ref="D1105">(PRODUCT(1+sp500_monthly!D1106:D1225)^(1/120)-1)*100</f>
        <v>0.49953253862848879</v>
      </c>
      <c r="E1105" cm="1">
        <f t="array" ref="E1105">(PRODUCT(1+sp500_monthly!E1106:E1225)^(1/120)-1)*100</f>
        <v>0.39713402642307383</v>
      </c>
      <c r="F1105" cm="1">
        <f t="array" ref="F1105">(PRODUCT(1+sp500_monthly!K1106:K1225)^(1/120)-1)*100</f>
        <v>0.4917567181182303</v>
      </c>
      <c r="G1105" cm="1">
        <f t="array" ref="G1105">(PRODUCT(1+sp500_monthly!L1106:L1225)^(1/120)-1)</f>
        <v>8.2444336403897589E-2</v>
      </c>
      <c r="H1105" cm="1">
        <f t="array" ref="H1105">(PRODUCT(1+sp500_monthly!N1106:N1225)^(1/120)-1)*100</f>
        <v>0.39764613413857397</v>
      </c>
      <c r="I1105" cm="1">
        <f t="array" ref="I1105">(PRODUCT(1+sp500_monthly!O1106:O1225)^(1/120)-1)*100</f>
        <v>-9.8009391980280469E-2</v>
      </c>
    </row>
    <row r="1106" spans="1:9" x14ac:dyDescent="0.35">
      <c r="A1106" s="1">
        <v>43098</v>
      </c>
      <c r="B1106" cm="1">
        <f t="array" ref="B1106">(PRODUCT(1+sp500_monthly!B1107:B1226)^(1/120)-1)*100</f>
        <v>0.5767904037086824</v>
      </c>
      <c r="C1106" cm="1">
        <f t="array" ref="C1106">(PRODUCT(1+sp500_monthly!C1107:C1226)^(1/120)-1)*100</f>
        <v>0.48884190832925167</v>
      </c>
      <c r="D1106" cm="1">
        <f t="array" ref="D1106">(PRODUCT(1+sp500_monthly!D1107:D1226)^(1/120)-1)*100</f>
        <v>0.48863151744480415</v>
      </c>
      <c r="E1106" cm="1">
        <f t="array" ref="E1106">(PRODUCT(1+sp500_monthly!E1107:E1226)^(1/120)-1)*100</f>
        <v>0.3876713805999854</v>
      </c>
      <c r="F1106" cm="1">
        <f t="array" ref="F1106">(PRODUCT(1+sp500_monthly!K1107:K1226)^(1/120)-1)*100</f>
        <v>0.48356364065582635</v>
      </c>
      <c r="G1106" cm="1">
        <f t="array" ref="G1106">(PRODUCT(1+sp500_monthly!L1107:L1226)^(1/120)-1)</f>
        <v>8.1667260804561659E-2</v>
      </c>
      <c r="H1106" cm="1">
        <f t="array" ref="H1106">(PRODUCT(1+sp500_monthly!N1107:N1226)^(1/120)-1)*100</f>
        <v>0.39013112020536145</v>
      </c>
      <c r="I1106" cm="1">
        <f t="array" ref="I1106">(PRODUCT(1+sp500_monthly!O1107:O1226)^(1/120)-1)*100</f>
        <v>-9.7006139831057325E-2</v>
      </c>
    </row>
    <row r="1107" spans="1:9" x14ac:dyDescent="0.35">
      <c r="A1107" s="1">
        <v>43131</v>
      </c>
      <c r="B1107" cm="1">
        <f t="array" ref="B1107">(PRODUCT(1+sp500_monthly!B1108:B1227)^(1/120)-1)*100</f>
        <v>0.52949938689421661</v>
      </c>
      <c r="C1107" cm="1">
        <f t="array" ref="C1107">(PRODUCT(1+sp500_monthly!C1108:C1227)^(1/120)-1)*100</f>
        <v>0.44241696275781894</v>
      </c>
      <c r="D1107" cm="1">
        <f t="array" ref="D1107">(PRODUCT(1+sp500_monthly!D1108:D1227)^(1/120)-1)*100</f>
        <v>0.45201304646731444</v>
      </c>
      <c r="E1107" cm="1">
        <f t="array" ref="E1107">(PRODUCT(1+sp500_monthly!E1108:E1227)^(1/120)-1)*100</f>
        <v>0.35174234161265971</v>
      </c>
      <c r="F1107" cm="1">
        <f t="array" ref="F1107">(PRODUCT(1+sp500_monthly!K1108:K1227)^(1/120)-1)*100</f>
        <v>0.43780574306959696</v>
      </c>
      <c r="G1107" cm="1">
        <f t="array" ref="G1107">(PRODUCT(1+sp500_monthly!L1108:L1227)^(1/120)-1)</f>
        <v>8.0646210285033826E-2</v>
      </c>
      <c r="H1107" cm="1">
        <f t="array" ref="H1107">(PRODUCT(1+sp500_monthly!N1108:N1227)^(1/120)-1)*100</f>
        <v>0.3464769991926131</v>
      </c>
      <c r="I1107" cm="1">
        <f t="array" ref="I1107">(PRODUCT(1+sp500_monthly!O1108:O1227)^(1/120)-1)*100</f>
        <v>-9.4471032660881082E-2</v>
      </c>
    </row>
    <row r="1108" spans="1:9" x14ac:dyDescent="0.35">
      <c r="A1108" s="1">
        <v>43159</v>
      </c>
      <c r="B1108" cm="1">
        <f t="array" ref="B1108">(PRODUCT(1+sp500_monthly!B1109:B1228)^(1/120)-1)*100</f>
        <v>0.56166433681128503</v>
      </c>
      <c r="C1108" cm="1">
        <f t="array" ref="C1108">(PRODUCT(1+sp500_monthly!C1109:C1228)^(1/120)-1)*100</f>
        <v>0.47633173413650365</v>
      </c>
      <c r="D1108" cm="1">
        <f t="array" ref="D1108">(PRODUCT(1+sp500_monthly!D1109:D1228)^(1/120)-1)*100</f>
        <v>0.48912260986095912</v>
      </c>
      <c r="E1108" cm="1">
        <f t="array" ref="E1108">(PRODUCT(1+sp500_monthly!E1109:E1228)^(1/120)-1)*100</f>
        <v>0.39030807989182126</v>
      </c>
      <c r="F1108" cm="1">
        <f t="array" ref="F1108">(PRODUCT(1+sp500_monthly!K1109:K1228)^(1/120)-1)*100</f>
        <v>0.47106094907396479</v>
      </c>
      <c r="G1108" cm="1">
        <f t="array" ref="G1108">(PRODUCT(1+sp500_monthly!L1109:L1228)^(1/120)-1)</f>
        <v>7.9706816698400074E-2</v>
      </c>
      <c r="H1108" cm="1">
        <f t="array" ref="H1108">(PRODUCT(1+sp500_monthly!N1109:N1228)^(1/120)-1)*100</f>
        <v>0.38083245593534265</v>
      </c>
      <c r="I1108" cm="1">
        <f t="array" ref="I1108">(PRODUCT(1+sp500_monthly!O1109:O1228)^(1/120)-1)*100</f>
        <v>-9.3147879699928549E-2</v>
      </c>
    </row>
    <row r="1109" spans="1:9" x14ac:dyDescent="0.35">
      <c r="A1109" s="1">
        <v>43188</v>
      </c>
      <c r="B1109" cm="1">
        <f t="array" ref="B1109">(PRODUCT(1+sp500_monthly!B1110:B1229)^(1/120)-1)*100</f>
        <v>0.5832779374426611</v>
      </c>
      <c r="C1109" cm="1">
        <f t="array" ref="C1109">(PRODUCT(1+sp500_monthly!C1110:C1229)^(1/120)-1)*100</f>
        <v>0.49933151806187404</v>
      </c>
      <c r="D1109" cm="1">
        <f t="array" ref="D1109">(PRODUCT(1+sp500_monthly!D1110:D1229)^(1/120)-1)*100</f>
        <v>0.49633461862681472</v>
      </c>
      <c r="E1109" cm="1">
        <f t="array" ref="E1109">(PRODUCT(1+sp500_monthly!E1110:E1229)^(1/120)-1)*100</f>
        <v>0.39945958308358342</v>
      </c>
      <c r="F1109" cm="1">
        <f t="array" ref="F1109">(PRODUCT(1+sp500_monthly!K1110:K1229)^(1/120)-1)*100</f>
        <v>0.4938813660960939</v>
      </c>
      <c r="G1109" cm="1">
        <f t="array" ref="G1109">(PRODUCT(1+sp500_monthly!L1110:L1229)^(1/120)-1)</f>
        <v>7.876823971603697E-2</v>
      </c>
      <c r="H1109" cm="1">
        <f t="array" ref="H1109">(PRODUCT(1+sp500_monthly!N1110:N1229)^(1/120)-1)*100</f>
        <v>0.40256812230923256</v>
      </c>
      <c r="I1109" cm="1">
        <f t="array" ref="I1109">(PRODUCT(1+sp500_monthly!O1110:O1229)^(1/120)-1)*100</f>
        <v>-9.3903049039623099E-2</v>
      </c>
    </row>
    <row r="1110" spans="1:9" x14ac:dyDescent="0.35">
      <c r="A1110" s="1">
        <v>43220</v>
      </c>
      <c r="B1110" cm="1">
        <f t="array" ref="B1110">(PRODUCT(1+sp500_monthly!B1111:B1230)^(1/120)-1)*100</f>
        <v>0.580123937233612</v>
      </c>
      <c r="C1110" cm="1">
        <f t="array" ref="C1110">(PRODUCT(1+sp500_monthly!C1111:C1230)^(1/120)-1)*100</f>
        <v>0.49711010617217166</v>
      </c>
      <c r="D1110" cm="1">
        <f t="array" ref="D1110">(PRODUCT(1+sp500_monthly!D1111:D1230)^(1/120)-1)*100</f>
        <v>0.49308824019422826</v>
      </c>
      <c r="E1110" cm="1">
        <f t="array" ref="E1110">(PRODUCT(1+sp500_monthly!E1111:E1230)^(1/120)-1)*100</f>
        <v>0.39695839018965007</v>
      </c>
      <c r="F1110" cm="1">
        <f t="array" ref="F1110">(PRODUCT(1+sp500_monthly!K1111:K1230)^(1/120)-1)*100</f>
        <v>0.49160745797480754</v>
      </c>
      <c r="G1110" cm="1">
        <f t="array" ref="G1110">(PRODUCT(1+sp500_monthly!L1111:L1230)^(1/120)-1)</f>
        <v>7.7590973163055077E-2</v>
      </c>
      <c r="H1110" cm="1">
        <f t="array" ref="H1110">(PRODUCT(1+sp500_monthly!N1111:N1230)^(1/120)-1)*100</f>
        <v>0.40159598727023127</v>
      </c>
      <c r="I1110" cm="1">
        <f t="array" ref="I1110">(PRODUCT(1+sp500_monthly!O1111:O1230)^(1/120)-1)*100</f>
        <v>-9.2902317829657299E-2</v>
      </c>
    </row>
    <row r="1111" spans="1:9" x14ac:dyDescent="0.35">
      <c r="A1111" s="1">
        <v>43251</v>
      </c>
      <c r="B1111" cm="1">
        <f t="array" ref="B1111">(PRODUCT(1+sp500_monthly!B1112:B1231)^(1/120)-1)*100</f>
        <v>0.56041116330995955</v>
      </c>
      <c r="C1111" cm="1">
        <f t="array" ref="C1111">(PRODUCT(1+sp500_monthly!C1112:C1231)^(1/120)-1)*100</f>
        <v>0.47944680342788537</v>
      </c>
      <c r="D1111" cm="1">
        <f t="array" ref="D1111">(PRODUCT(1+sp500_monthly!D1112:D1231)^(1/120)-1)*100</f>
        <v>0.48015550881581603</v>
      </c>
      <c r="E1111" cm="1">
        <f t="array" ref="E1111">(PRODUCT(1+sp500_monthly!E1112:E1231)^(1/120)-1)*100</f>
        <v>0.38578036468712718</v>
      </c>
      <c r="F1111" cm="1">
        <f t="array" ref="F1111">(PRODUCT(1+sp500_monthly!K1112:K1231)^(1/120)-1)*100</f>
        <v>0.47370659278409555</v>
      </c>
      <c r="G1111" cm="1">
        <f t="array" ref="G1111">(PRODUCT(1+sp500_monthly!L1112:L1231)^(1/120)-1)</f>
        <v>7.6414991368453977E-2</v>
      </c>
      <c r="H1111" cm="1">
        <f t="array" ref="H1111">(PRODUCT(1+sp500_monthly!N1112:N1231)^(1/120)-1)*100</f>
        <v>0.38380490277354351</v>
      </c>
      <c r="I1111" cm="1">
        <f t="array" ref="I1111">(PRODUCT(1+sp500_monthly!O1112:O1231)^(1/120)-1)*100</f>
        <v>-9.2189325343927653E-2</v>
      </c>
    </row>
    <row r="1112" spans="1:9" x14ac:dyDescent="0.35">
      <c r="A1112" s="1">
        <v>43280</v>
      </c>
      <c r="B1112" cm="1">
        <f t="array" ref="B1112">(PRODUCT(1+sp500_monthly!B1113:B1232)^(1/120)-1)*100</f>
        <v>0.55469889643238179</v>
      </c>
      <c r="C1112" cm="1">
        <f t="array" ref="C1112">(PRODUCT(1+sp500_monthly!C1113:C1232)^(1/120)-1)*100</f>
        <v>0.47484838980600408</v>
      </c>
      <c r="D1112" cm="1">
        <f t="array" ref="D1112">(PRODUCT(1+sp500_monthly!D1113:D1232)^(1/120)-1)*100</f>
        <v>0.47081419097350086</v>
      </c>
      <c r="E1112" cm="1">
        <f t="array" ref="E1112">(PRODUCT(1+sp500_monthly!E1113:E1232)^(1/120)-1)*100</f>
        <v>0.37794804488135991</v>
      </c>
      <c r="F1112" cm="1">
        <f t="array" ref="F1112">(PRODUCT(1+sp500_monthly!K1113:K1232)^(1/120)-1)*100</f>
        <v>0.46966234356136116</v>
      </c>
      <c r="G1112" cm="1">
        <f t="array" ref="G1112">(PRODUCT(1+sp500_monthly!L1113:L1232)^(1/120)-1)</f>
        <v>7.5240292930168318E-2</v>
      </c>
      <c r="H1112" cm="1">
        <f t="array" ref="H1112">(PRODUCT(1+sp500_monthly!N1113:N1232)^(1/120)-1)*100</f>
        <v>0.37885612497770005</v>
      </c>
      <c r="I1112" cm="1">
        <f t="array" ref="I1112">(PRODUCT(1+sp500_monthly!O1113:O1232)^(1/120)-1)*100</f>
        <v>-9.2604176288269002E-2</v>
      </c>
    </row>
    <row r="1113" spans="1:9" x14ac:dyDescent="0.35">
      <c r="A1113" s="1">
        <v>43312</v>
      </c>
      <c r="B1113" cm="1">
        <f t="array" ref="B1113">(PRODUCT(1+sp500_monthly!B1114:B1233)^(1/120)-1)*100</f>
        <v>0.52414263610147671</v>
      </c>
      <c r="C1113" cm="1">
        <f t="array" ref="C1113">(PRODUCT(1+sp500_monthly!C1114:C1233)^(1/120)-1)*100</f>
        <v>0.44526442212231565</v>
      </c>
      <c r="D1113" cm="1">
        <f t="array" ref="D1113">(PRODUCT(1+sp500_monthly!D1114:D1233)^(1/120)-1)*100</f>
        <v>0.44420594436616057</v>
      </c>
      <c r="E1113" cm="1">
        <f t="array" ref="E1113">(PRODUCT(1+sp500_monthly!E1114:E1233)^(1/120)-1)*100</f>
        <v>0.35209299167819896</v>
      </c>
      <c r="F1113" cm="1">
        <f t="array" ref="F1113">(PRODUCT(1+sp500_monthly!K1114:K1233)^(1/120)-1)*100</f>
        <v>0.44003789109516855</v>
      </c>
      <c r="G1113" cm="1">
        <f t="array" ref="G1113">(PRODUCT(1+sp500_monthly!L1114:L1233)^(1/120)-1)</f>
        <v>7.3911221937778659E-2</v>
      </c>
      <c r="H1113" cm="1">
        <f t="array" ref="H1113">(PRODUCT(1+sp500_monthly!N1114:N1233)^(1/120)-1)*100</f>
        <v>0.34900599698499679</v>
      </c>
      <c r="I1113" cm="1">
        <f t="array" ref="I1113">(PRODUCT(1+sp500_monthly!O1114:O1233)^(1/120)-1)*100</f>
        <v>-9.3285380510910176E-2</v>
      </c>
    </row>
    <row r="1114" spans="1:9" x14ac:dyDescent="0.35">
      <c r="A1114" s="1">
        <v>43343</v>
      </c>
      <c r="B1114" cm="1">
        <f t="array" ref="B1114">(PRODUCT(1+sp500_monthly!B1115:B1234)^(1/120)-1)*100</f>
        <v>0.49699877752737986</v>
      </c>
      <c r="C1114" cm="1">
        <f t="array" ref="C1114">(PRODUCT(1+sp500_monthly!C1115:C1234)^(1/120)-1)*100</f>
        <v>0.41999995724155692</v>
      </c>
      <c r="D1114" cm="1">
        <f t="array" ref="D1114">(PRODUCT(1+sp500_monthly!D1115:D1234)^(1/120)-1)*100</f>
        <v>0.42762935737286067</v>
      </c>
      <c r="E1114" cm="1">
        <f t="array" ref="E1114">(PRODUCT(1+sp500_monthly!E1115:E1234)^(1/120)-1)*100</f>
        <v>0.33724661918481669</v>
      </c>
      <c r="F1114" cm="1">
        <f t="array" ref="F1114">(PRODUCT(1+sp500_monthly!K1115:K1234)^(1/120)-1)*100</f>
        <v>0.41508657178570552</v>
      </c>
      <c r="G1114" cm="1">
        <f t="array" ref="G1114">(PRODUCT(1+sp500_monthly!L1115:L1234)^(1/120)-1)</f>
        <v>7.2583793768592697E-2</v>
      </c>
      <c r="H1114" cm="1">
        <f t="array" ref="H1114">(PRODUCT(1+sp500_monthly!N1115:N1234)^(1/120)-1)*100</f>
        <v>0.32340233534813301</v>
      </c>
      <c r="I1114" cm="1">
        <f t="array" ref="I1114">(PRODUCT(1+sp500_monthly!O1115:O1234)^(1/120)-1)*100</f>
        <v>-9.3129689054516351E-2</v>
      </c>
    </row>
    <row r="1115" spans="1:9" x14ac:dyDescent="0.35">
      <c r="A1115" s="1">
        <v>43371</v>
      </c>
      <c r="B1115" cm="1">
        <f t="array" ref="B1115">(PRODUCT(1+sp500_monthly!B1116:B1235)^(1/120)-1)*100</f>
        <v>0.4927069392265615</v>
      </c>
      <c r="C1115" cm="1">
        <f t="array" ref="C1115">(PRODUCT(1+sp500_monthly!C1116:C1235)^(1/120)-1)*100</f>
        <v>0.41686108098739627</v>
      </c>
      <c r="D1115" cm="1">
        <f t="array" ref="D1115">(PRODUCT(1+sp500_monthly!D1116:D1235)^(1/120)-1)*100</f>
        <v>0.4262939079645589</v>
      </c>
      <c r="E1115" cm="1">
        <f t="array" ref="E1115">(PRODUCT(1+sp500_monthly!E1116:E1235)^(1/120)-1)*100</f>
        <v>0.33743895454458883</v>
      </c>
      <c r="F1115" cm="1">
        <f t="array" ref="F1115">(PRODUCT(1+sp500_monthly!K1116:K1235)^(1/120)-1)*100</f>
        <v>0.41150114184165254</v>
      </c>
      <c r="G1115" cm="1">
        <f t="array" ref="G1115">(PRODUCT(1+sp500_monthly!L1116:L1235)^(1/120)-1)</f>
        <v>7.133530100563612E-2</v>
      </c>
      <c r="H1115" cm="1">
        <f t="array" ref="H1115">(PRODUCT(1+sp500_monthly!N1116:N1235)^(1/120)-1)*100</f>
        <v>0.32084020250755518</v>
      </c>
      <c r="I1115" cm="1">
        <f t="array" ref="I1115">(PRODUCT(1+sp500_monthly!O1116:O1235)^(1/120)-1)*100</f>
        <v>-9.2662388566311371E-2</v>
      </c>
    </row>
    <row r="1116" spans="1:9" x14ac:dyDescent="0.35">
      <c r="A1116" s="1">
        <v>43404</v>
      </c>
      <c r="B1116" cm="1">
        <f t="array" ref="B1116">(PRODUCT(1+sp500_monthly!B1117:B1236)^(1/120)-1)*100</f>
        <v>0.55206658116699892</v>
      </c>
      <c r="C1116" cm="1">
        <f t="array" ref="C1116">(PRODUCT(1+sp500_monthly!C1117:C1236)^(1/120)-1)*100</f>
        <v>0.47714987862879088</v>
      </c>
      <c r="D1116" cm="1">
        <f t="array" ref="D1116">(PRODUCT(1+sp500_monthly!D1117:D1236)^(1/120)-1)*100</f>
        <v>0.48828916943297607</v>
      </c>
      <c r="E1116" cm="1">
        <f t="array" ref="E1116">(PRODUCT(1+sp500_monthly!E1117:E1236)^(1/120)-1)*100</f>
        <v>0.40016087544862966</v>
      </c>
      <c r="F1116" cm="1">
        <f t="array" ref="F1116">(PRODUCT(1+sp500_monthly!K1117:K1236)^(1/120)-1)*100</f>
        <v>0.47170664371021243</v>
      </c>
      <c r="G1116" cm="1">
        <f t="array" ref="G1116">(PRODUCT(1+sp500_monthly!L1117:L1236)^(1/120)-1)</f>
        <v>6.9783406776717349E-2</v>
      </c>
      <c r="H1116" cm="1">
        <f t="array" ref="H1116">(PRODUCT(1+sp500_monthly!N1117:N1236)^(1/120)-1)*100</f>
        <v>0.38205311911672091</v>
      </c>
      <c r="I1116" cm="1">
        <f t="array" ref="I1116">(PRODUCT(1+sp500_monthly!O1117:O1236)^(1/120)-1)*100</f>
        <v>-9.2297184697875956E-2</v>
      </c>
    </row>
    <row r="1117" spans="1:9" x14ac:dyDescent="0.35">
      <c r="A1117" s="1">
        <v>43434</v>
      </c>
      <c r="B1117" cm="1">
        <f t="array" ref="B1117">(PRODUCT(1+sp500_monthly!B1118:B1237)^(1/120)-1)*100</f>
        <v>0.53567838203518736</v>
      </c>
      <c r="C1117" cm="1">
        <f t="array" ref="C1117">(PRODUCT(1+sp500_monthly!C1118:C1237)^(1/120)-1)*100</f>
        <v>0.46282306350491353</v>
      </c>
      <c r="D1117" cm="1">
        <f t="array" ref="D1117">(PRODUCT(1+sp500_monthly!D1118:D1237)^(1/120)-1)*100</f>
        <v>0.46565398052933471</v>
      </c>
      <c r="E1117" cm="1">
        <f t="array" ref="E1117">(PRODUCT(1+sp500_monthly!E1118:E1237)^(1/120)-1)*100</f>
        <v>0.37946675850908385</v>
      </c>
      <c r="F1117" cm="1">
        <f t="array" ref="F1117">(PRODUCT(1+sp500_monthly!K1118:K1237)^(1/120)-1)*100</f>
        <v>0.45688698648436166</v>
      </c>
      <c r="G1117" cm="1">
        <f t="array" ref="G1117">(PRODUCT(1+sp500_monthly!L1118:L1237)^(1/120)-1)</f>
        <v>6.8308885572226474E-2</v>
      </c>
      <c r="H1117" cm="1">
        <f t="array" ref="H1117">(PRODUCT(1+sp500_monthly!N1118:N1237)^(1/120)-1)*100</f>
        <v>0.36510345083198281</v>
      </c>
      <c r="I1117" cm="1">
        <f t="array" ref="I1117">(PRODUCT(1+sp500_monthly!O1118:O1237)^(1/120)-1)*100</f>
        <v>-9.4380922873360529E-2</v>
      </c>
    </row>
    <row r="1118" spans="1:9" x14ac:dyDescent="0.35">
      <c r="A1118" s="1">
        <v>43465</v>
      </c>
      <c r="B1118" cm="1">
        <f t="array" ref="B1118">(PRODUCT(1+sp500_monthly!B1119:B1238)^(1/120)-1)*100</f>
        <v>0.61531809856483211</v>
      </c>
      <c r="C1118" cm="1">
        <f t="array" ref="C1118">(PRODUCT(1+sp500_monthly!C1119:C1238)^(1/120)-1)*100</f>
        <v>0.54382703916153741</v>
      </c>
      <c r="D1118" cm="1">
        <f t="array" ref="D1118">(PRODUCT(1+sp500_monthly!D1119:D1238)^(1/120)-1)*100</f>
        <v>0.55419346305125572</v>
      </c>
      <c r="E1118" cm="1">
        <f t="array" ref="E1118">(PRODUCT(1+sp500_monthly!E1119:E1238)^(1/120)-1)*100</f>
        <v>0.46975436719536301</v>
      </c>
      <c r="F1118" cm="1">
        <f t="array" ref="F1118">(PRODUCT(1+sp500_monthly!K1119:K1238)^(1/120)-1)*100</f>
        <v>0.53750695228824696</v>
      </c>
      <c r="G1118" cm="1">
        <f t="array" ref="G1118">(PRODUCT(1+sp500_monthly!L1119:L1238)^(1/120)-1)</f>
        <v>6.6686986837534157E-2</v>
      </c>
      <c r="H1118" cm="1">
        <f t="array" ref="H1118">(PRODUCT(1+sp500_monthly!N1119:N1238)^(1/120)-1)*100</f>
        <v>0.44518113338982701</v>
      </c>
      <c r="I1118" cm="1">
        <f t="array" ref="I1118">(PRODUCT(1+sp500_monthly!O1119:O1238)^(1/120)-1)*100</f>
        <v>-9.5474336893963674E-2</v>
      </c>
    </row>
    <row r="1119" spans="1:9" x14ac:dyDescent="0.35">
      <c r="A1119" s="1">
        <v>43496</v>
      </c>
      <c r="B1119" cm="1">
        <f t="array" ref="B1119">(PRODUCT(1+sp500_monthly!B1120:B1239)^(1/120)-1)*100</f>
        <v>0.54971749507031209</v>
      </c>
      <c r="C1119" cm="1">
        <f t="array" ref="C1119">(PRODUCT(1+sp500_monthly!C1120:C1239)^(1/120)-1)*100</f>
        <v>0.47934612540956323</v>
      </c>
      <c r="D1119" cm="1">
        <f t="array" ref="D1119">(PRODUCT(1+sp500_monthly!D1120:D1239)^(1/120)-1)*100</f>
        <v>0.47358458282167337</v>
      </c>
      <c r="E1119" cm="1">
        <f t="array" ref="E1119">(PRODUCT(1+sp500_monthly!E1120:E1239)^(1/120)-1)*100</f>
        <v>0.38998627474211567</v>
      </c>
      <c r="F1119" cm="1">
        <f t="array" ref="F1119">(PRODUCT(1+sp500_monthly!K1120:K1239)^(1/120)-1)*100</f>
        <v>0.47406956052198357</v>
      </c>
      <c r="G1119" cm="1">
        <f t="array" ref="G1119">(PRODUCT(1+sp500_monthly!L1120:L1239)^(1/120)-1)</f>
        <v>6.4993896457951728E-2</v>
      </c>
      <c r="H1119" cm="1">
        <f t="array" ref="H1119">(PRODUCT(1+sp500_monthly!N1120:N1239)^(1/120)-1)*100</f>
        <v>0.37900945406739162</v>
      </c>
      <c r="I1119" cm="1">
        <f t="array" ref="I1119">(PRODUCT(1+sp500_monthly!O1120:O1239)^(1/120)-1)*100</f>
        <v>-9.7899581531035729E-2</v>
      </c>
    </row>
    <row r="1120" spans="1:9" x14ac:dyDescent="0.35">
      <c r="A1120" s="1">
        <v>43524</v>
      </c>
      <c r="B1120" cm="1">
        <f t="array" ref="B1120">(PRODUCT(1+sp500_monthly!B1121:B1240)^(1/120)-1)*100</f>
        <v>0.52356483065003623</v>
      </c>
      <c r="C1120" cm="1">
        <f t="array" ref="C1120">(PRODUCT(1+sp500_monthly!C1121:C1240)^(1/120)-1)*100</f>
        <v>0.45508817750632424</v>
      </c>
      <c r="D1120" cm="1">
        <f t="array" ref="D1120">(PRODUCT(1+sp500_monthly!D1121:D1240)^(1/120)-1)*100</f>
        <v>0.44341864473598225</v>
      </c>
      <c r="E1120" cm="1">
        <f t="array" ref="E1120">(PRODUCT(1+sp500_monthly!E1121:E1240)^(1/120)-1)*100</f>
        <v>0.36158172638294239</v>
      </c>
      <c r="F1120" cm="1">
        <f t="array" ref="F1120">(PRODUCT(1+sp500_monthly!K1121:K1240)^(1/120)-1)*100</f>
        <v>0.44954376885968372</v>
      </c>
      <c r="G1120" cm="1">
        <f t="array" ref="G1120">(PRODUCT(1+sp500_monthly!L1121:L1240)^(1/120)-1)</f>
        <v>6.3525976808952889E-2</v>
      </c>
      <c r="H1120" cm="1">
        <f t="array" ref="H1120">(PRODUCT(1+sp500_monthly!N1121:N1240)^(1/120)-1)*100</f>
        <v>0.35540733487158249</v>
      </c>
      <c r="I1120" cm="1">
        <f t="array" ref="I1120">(PRODUCT(1+sp500_monthly!O1121:O1240)^(1/120)-1)*100</f>
        <v>-9.690190553413025E-2</v>
      </c>
    </row>
    <row r="1121" spans="1:9" x14ac:dyDescent="0.35">
      <c r="A1121" s="1">
        <v>43553</v>
      </c>
      <c r="B1121" cm="1">
        <f t="array" ref="B1121">(PRODUCT(1+sp500_monthly!B1122:B1241)^(1/120)-1)*100</f>
        <v>0.50736281206527067</v>
      </c>
      <c r="C1121" cm="1">
        <f t="array" ref="C1121">(PRODUCT(1+sp500_monthly!C1122:C1241)^(1/120)-1)*100</f>
        <v>0.44014927759528089</v>
      </c>
      <c r="D1121" cm="1">
        <f t="array" ref="D1121">(PRODUCT(1+sp500_monthly!D1122:D1241)^(1/120)-1)*100</f>
        <v>0.43581070847307224</v>
      </c>
      <c r="E1121" cm="1">
        <f t="array" ref="E1121">(PRODUCT(1+sp500_monthly!E1122:E1241)^(1/120)-1)*100</f>
        <v>0.35575035716917114</v>
      </c>
      <c r="F1121" cm="1">
        <f t="array" ref="F1121">(PRODUCT(1+sp500_monthly!K1122:K1241)^(1/120)-1)*100</f>
        <v>0.43467393477345517</v>
      </c>
      <c r="G1121" cm="1">
        <f t="array" ref="G1121">(PRODUCT(1+sp500_monthly!L1122:L1241)^(1/120)-1)</f>
        <v>6.1985394860271104E-2</v>
      </c>
      <c r="H1121" cm="1">
        <f t="array" ref="H1121">(PRODUCT(1+sp500_monthly!N1122:N1241)^(1/120)-1)*100</f>
        <v>0.34238868958995639</v>
      </c>
      <c r="I1121" cm="1">
        <f t="array" ref="I1121">(PRODUCT(1+sp500_monthly!O1122:O1241)^(1/120)-1)*100</f>
        <v>-9.5339689732076849E-2</v>
      </c>
    </row>
    <row r="1122" spans="1:9" x14ac:dyDescent="0.35">
      <c r="A1122" s="1">
        <v>43585</v>
      </c>
      <c r="B1122" cm="1">
        <f t="array" ref="B1122">(PRODUCT(1+sp500_monthly!B1123:B1242)^(1/120)-1)*100</f>
        <v>0.47401218239009335</v>
      </c>
      <c r="C1122" cm="1">
        <f t="array" ref="C1122">(PRODUCT(1+sp500_monthly!C1123:C1242)^(1/120)-1)*100</f>
        <v>0.40775417989253882</v>
      </c>
      <c r="D1122" cm="1">
        <f t="array" ref="D1122">(PRODUCT(1+sp500_monthly!D1123:D1242)^(1/120)-1)*100</f>
        <v>0.40566660389360631</v>
      </c>
      <c r="E1122" cm="1">
        <f t="array" ref="E1122">(PRODUCT(1+sp500_monthly!E1123:E1242)^(1/120)-1)*100</f>
        <v>0.32639032179635485</v>
      </c>
      <c r="F1122" cm="1">
        <f t="array" ref="F1122">(PRODUCT(1+sp500_monthly!K1123:K1242)^(1/120)-1)*100</f>
        <v>0.40240617950462187</v>
      </c>
      <c r="G1122" cm="1">
        <f t="array" ref="G1122">(PRODUCT(1+sp500_monthly!L1123:L1242)^(1/120)-1)</f>
        <v>6.0299767044911912E-2</v>
      </c>
      <c r="H1122" cm="1">
        <f t="array" ref="H1122">(PRODUCT(1+sp500_monthly!N1123:N1242)^(1/120)-1)*100</f>
        <v>0.3122297082823966</v>
      </c>
      <c r="I1122" cm="1">
        <f t="array" ref="I1122">(PRODUCT(1+sp500_monthly!O1123:O1242)^(1/120)-1)*100</f>
        <v>-9.3961968831146603E-2</v>
      </c>
    </row>
    <row r="1123" spans="1:9" x14ac:dyDescent="0.35">
      <c r="A1123" s="1">
        <v>43616</v>
      </c>
      <c r="B1123" cm="1">
        <f t="array" ref="B1123">(PRODUCT(1+sp500_monthly!B1124:B1243)^(1/120)-1)*100</f>
        <v>0.52867786907169201</v>
      </c>
      <c r="C1123" cm="1">
        <f t="array" ref="C1123">(PRODUCT(1+sp500_monthly!C1124:C1243)^(1/120)-1)*100</f>
        <v>0.46445610331535825</v>
      </c>
      <c r="D1123" cm="1">
        <f t="array" ref="D1123">(PRODUCT(1+sp500_monthly!D1124:D1243)^(1/120)-1)*100</f>
        <v>0.46501257800564133</v>
      </c>
      <c r="E1123" cm="1">
        <f t="array" ref="E1123">(PRODUCT(1+sp500_monthly!E1124:E1243)^(1/120)-1)*100</f>
        <v>0.38775025248545258</v>
      </c>
      <c r="F1123" cm="1">
        <f t="array" ref="F1123">(PRODUCT(1+sp500_monthly!K1124:K1243)^(1/120)-1)*100</f>
        <v>0.45935147520881348</v>
      </c>
      <c r="G1123" cm="1">
        <f t="array" ref="G1123">(PRODUCT(1+sp500_monthly!L1124:L1243)^(1/120)-1)</f>
        <v>5.8616814728807087E-2</v>
      </c>
      <c r="H1123" cm="1">
        <f t="array" ref="H1123">(PRODUCT(1+sp500_monthly!N1124:N1243)^(1/120)-1)*100</f>
        <v>0.36701379634405118</v>
      </c>
      <c r="I1123" cm="1">
        <f t="array" ref="I1123">(PRODUCT(1+sp500_monthly!O1124:O1243)^(1/120)-1)*100</f>
        <v>-9.5503003631935979E-2</v>
      </c>
    </row>
    <row r="1124" spans="1:9" x14ac:dyDescent="0.35">
      <c r="A1124" s="1">
        <v>43644</v>
      </c>
      <c r="B1124" cm="1">
        <f t="array" ref="B1124">(PRODUCT(1+sp500_monthly!B1125:B1244)^(1/120)-1)*100</f>
        <v>0.47235714275783991</v>
      </c>
      <c r="C1124" cm="1">
        <f t="array" ref="C1124">(PRODUCT(1+sp500_monthly!C1125:C1244)^(1/120)-1)*100</f>
        <v>0.40934957868996591</v>
      </c>
      <c r="D1124" cm="1">
        <f t="array" ref="D1124">(PRODUCT(1+sp500_monthly!D1125:D1244)^(1/120)-1)*100</f>
        <v>0.40384769981982593</v>
      </c>
      <c r="E1124" cm="1">
        <f t="array" ref="E1124">(PRODUCT(1+sp500_monthly!E1125:E1244)^(1/120)-1)*100</f>
        <v>0.32817957748336735</v>
      </c>
      <c r="F1124" cm="1">
        <f t="array" ref="F1124">(PRODUCT(1+sp500_monthly!K1125:K1244)^(1/120)-1)*100</f>
        <v>0.40356335192488491</v>
      </c>
      <c r="G1124" cm="1">
        <f t="array" ref="G1124">(PRODUCT(1+sp500_monthly!L1125:L1244)^(1/120)-1)</f>
        <v>5.7157684842457979E-2</v>
      </c>
      <c r="H1124" cm="1">
        <f t="array" ref="H1124">(PRODUCT(1+sp500_monthly!N1125:N1244)^(1/120)-1)*100</f>
        <v>0.31051182841954628</v>
      </c>
      <c r="I1124" cm="1">
        <f t="array" ref="I1124">(PRODUCT(1+sp500_monthly!O1125:O1244)^(1/120)-1)*100</f>
        <v>-9.7270920956216145E-2</v>
      </c>
    </row>
    <row r="1125" spans="1:9" x14ac:dyDescent="0.35">
      <c r="A1125" s="1">
        <v>43677</v>
      </c>
      <c r="B1125" cm="1">
        <f t="array" ref="B1125">(PRODUCT(1+sp500_monthly!B1126:B1245)^(1/120)-1)*100</f>
        <v>0.46021964053633013</v>
      </c>
      <c r="C1125" cm="1">
        <f t="array" ref="C1125">(PRODUCT(1+sp500_monthly!C1126:C1245)^(1/120)-1)*100</f>
        <v>0.39823952241850868</v>
      </c>
      <c r="D1125" cm="1">
        <f t="array" ref="D1125">(PRODUCT(1+sp500_monthly!D1126:D1245)^(1/120)-1)*100</f>
        <v>0.3964848831498724</v>
      </c>
      <c r="E1125" cm="1">
        <f t="array" ref="E1125">(PRODUCT(1+sp500_monthly!E1126:E1245)^(1/120)-1)*100</f>
        <v>0.32164642919667585</v>
      </c>
      <c r="F1125" cm="1">
        <f t="array" ref="F1125">(PRODUCT(1+sp500_monthly!K1126:K1245)^(1/120)-1)*100</f>
        <v>0.3926512702008722</v>
      </c>
      <c r="G1125" cm="1">
        <f t="array" ref="G1125">(PRODUCT(1+sp500_monthly!L1126:L1245)^(1/120)-1)</f>
        <v>5.5626327751336246E-2</v>
      </c>
      <c r="H1125" cm="1">
        <f t="array" ref="H1125">(PRODUCT(1+sp500_monthly!N1126:N1245)^(1/120)-1)*100</f>
        <v>0.30032064277740744</v>
      </c>
      <c r="I1125" cm="1">
        <f t="array" ref="I1125">(PRODUCT(1+sp500_monthly!O1126:O1245)^(1/120)-1)*100</f>
        <v>-9.6932067118749021E-2</v>
      </c>
    </row>
    <row r="1126" spans="1:9" x14ac:dyDescent="0.35">
      <c r="A1126" s="1">
        <v>43707</v>
      </c>
      <c r="B1126" cm="1">
        <f t="array" ref="B1126">(PRODUCT(1+sp500_monthly!B1127:B1246)^(1/120)-1)*100</f>
        <v>0.47379588774014714</v>
      </c>
      <c r="C1126" cm="1">
        <f t="array" ref="C1126">(PRODUCT(1+sp500_monthly!C1127:C1246)^(1/120)-1)*100</f>
        <v>0.41375890511883284</v>
      </c>
      <c r="D1126" cm="1">
        <f t="array" ref="D1126">(PRODUCT(1+sp500_monthly!D1127:D1246)^(1/120)-1)*100</f>
        <v>0.42304881714654297</v>
      </c>
      <c r="E1126" cm="1">
        <f t="array" ref="E1126">(PRODUCT(1+sp500_monthly!E1127:E1246)^(1/120)-1)*100</f>
        <v>0.3502155292492759</v>
      </c>
      <c r="F1126" cm="1">
        <f t="array" ref="F1126">(PRODUCT(1+sp500_monthly!K1127:K1246)^(1/120)-1)*100</f>
        <v>0.40792689083450906</v>
      </c>
      <c r="G1126" cm="1">
        <f t="array" ref="G1126">(PRODUCT(1+sp500_monthly!L1127:L1246)^(1/120)-1)</f>
        <v>5.4321500969600089E-2</v>
      </c>
      <c r="H1126" cm="1">
        <f t="array" ref="H1126">(PRODUCT(1+sp500_monthly!N1127:N1246)^(1/120)-1)*100</f>
        <v>0.31463963555384833</v>
      </c>
      <c r="I1126" cm="1">
        <f t="array" ref="I1126">(PRODUCT(1+sp500_monthly!O1127:O1246)^(1/120)-1)*100</f>
        <v>-9.750182059397039E-2</v>
      </c>
    </row>
    <row r="1127" spans="1:9" x14ac:dyDescent="0.35">
      <c r="A1127" s="1">
        <v>43738</v>
      </c>
      <c r="B1127" cm="1">
        <f t="array" ref="B1127">(PRODUCT(1+sp500_monthly!B1128:B1247)^(1/120)-1)*100</f>
        <v>0.45820973428660761</v>
      </c>
      <c r="C1127" cm="1">
        <f t="array" ref="C1127">(PRODUCT(1+sp500_monthly!C1128:C1247)^(1/120)-1)*100</f>
        <v>0.39943043677124201</v>
      </c>
      <c r="D1127" cm="1">
        <f t="array" ref="D1127">(PRODUCT(1+sp500_monthly!D1128:D1247)^(1/120)-1)*100</f>
        <v>0.39545452067104581</v>
      </c>
      <c r="E1127" cm="1">
        <f t="array" ref="E1127">(PRODUCT(1+sp500_monthly!E1128:E1247)^(1/120)-1)*100</f>
        <v>0.32438464181094862</v>
      </c>
      <c r="F1127" cm="1">
        <f t="array" ref="F1127">(PRODUCT(1+sp500_monthly!K1128:K1247)^(1/120)-1)*100</f>
        <v>0.39367409724768709</v>
      </c>
      <c r="G1127" cm="1">
        <f t="array" ref="G1127">(PRODUCT(1+sp500_monthly!L1128:L1247)^(1/120)-1)</f>
        <v>5.2868291469730933E-2</v>
      </c>
      <c r="H1127" cm="1">
        <f t="array" ref="H1127">(PRODUCT(1+sp500_monthly!N1128:N1247)^(1/120)-1)*100</f>
        <v>0.30036339811569945</v>
      </c>
      <c r="I1127" cm="1">
        <f t="array" ref="I1127">(PRODUCT(1+sp500_monthly!O1128:O1247)^(1/120)-1)*100</f>
        <v>-9.7718874063634775E-2</v>
      </c>
    </row>
    <row r="1128" spans="1:9" x14ac:dyDescent="0.35">
      <c r="A1128" s="1">
        <v>43769</v>
      </c>
      <c r="B1128" cm="1">
        <f t="array" ref="B1128">(PRODUCT(1+sp500_monthly!B1129:B1248)^(1/120)-1)*100</f>
        <v>0.44030416750917567</v>
      </c>
      <c r="C1128" cm="1">
        <f t="array" ref="C1128">(PRODUCT(1+sp500_monthly!C1129:C1248)^(1/120)-1)*100</f>
        <v>0.38250210482628777</v>
      </c>
      <c r="D1128" cm="1">
        <f t="array" ref="D1128">(PRODUCT(1+sp500_monthly!D1129:D1248)^(1/120)-1)*100</f>
        <v>0.38451607264304855</v>
      </c>
      <c r="E1128" cm="1">
        <f t="array" ref="E1128">(PRODUCT(1+sp500_monthly!E1129:E1248)^(1/120)-1)*100</f>
        <v>0.31424887638893395</v>
      </c>
      <c r="F1128" cm="1">
        <f t="array" ref="F1128">(PRODUCT(1+sp500_monthly!K1129:K1248)^(1/120)-1)*100</f>
        <v>0.37675411336450804</v>
      </c>
      <c r="G1128" cm="1">
        <f t="array" ref="G1128">(PRODUCT(1+sp500_monthly!L1129:L1248)^(1/120)-1)</f>
        <v>5.1566873810626968E-2</v>
      </c>
      <c r="H1128" cm="1">
        <f t="array" ref="H1128">(PRODUCT(1+sp500_monthly!N1129:N1248)^(1/120)-1)*100</f>
        <v>0.28484538384432323</v>
      </c>
      <c r="I1128" cm="1">
        <f t="array" ref="I1128">(PRODUCT(1+sp500_monthly!O1129:O1248)^(1/120)-1)*100</f>
        <v>-9.6699389651278E-2</v>
      </c>
    </row>
    <row r="1129" spans="1:9" x14ac:dyDescent="0.35">
      <c r="A1129" s="1">
        <v>43798</v>
      </c>
      <c r="B1129" cm="1">
        <f t="array" ref="B1129">(PRODUCT(1+sp500_monthly!B1130:B1249)^(1/120)-1)*100</f>
        <v>0.41053977505838279</v>
      </c>
      <c r="C1129" cm="1">
        <f t="array" ref="C1129">(PRODUCT(1+sp500_monthly!C1130:C1249)^(1/120)-1)*100</f>
        <v>0.35455409825611017</v>
      </c>
      <c r="D1129" cm="1">
        <f t="array" ref="D1129">(PRODUCT(1+sp500_monthly!D1130:D1249)^(1/120)-1)*100</f>
        <v>0.35613166495331861</v>
      </c>
      <c r="E1129" cm="1">
        <f t="array" ref="E1129">(PRODUCT(1+sp500_monthly!E1130:E1249)^(1/120)-1)*100</f>
        <v>0.28787317796448164</v>
      </c>
      <c r="F1129" cm="1">
        <f t="array" ref="F1129">(PRODUCT(1+sp500_monthly!K1130:K1249)^(1/120)-1)*100</f>
        <v>0.34875271331755719</v>
      </c>
      <c r="G1129" cm="1">
        <f t="array" ref="G1129">(PRODUCT(1+sp500_monthly!L1130:L1249)^(1/120)-1)</f>
        <v>5.05742368494011E-2</v>
      </c>
      <c r="H1129" cm="1">
        <f t="array" ref="H1129">(PRODUCT(1+sp500_monthly!N1130:N1249)^(1/120)-1)*100</f>
        <v>0.25747595371230503</v>
      </c>
      <c r="I1129" cm="1">
        <f t="array" ref="I1129">(PRODUCT(1+sp500_monthly!O1130:O1249)^(1/120)-1)*100</f>
        <v>-9.53571913214879E-2</v>
      </c>
    </row>
    <row r="1130" spans="1:9" x14ac:dyDescent="0.35">
      <c r="A1130" s="1">
        <v>43830</v>
      </c>
      <c r="B1130" cm="1">
        <f t="array" ref="B1130">(PRODUCT(1+sp500_monthly!B1131:B1250)^(1/120)-1)*100</f>
        <v>0.38598237328957286</v>
      </c>
      <c r="C1130" cm="1">
        <f t="array" ref="C1130">(PRODUCT(1+sp500_monthly!C1131:C1250)^(1/120)-1)*100</f>
        <v>0.33135191941708886</v>
      </c>
      <c r="D1130" cm="1">
        <f t="array" ref="D1130">(PRODUCT(1+sp500_monthly!D1131:D1250)^(1/120)-1)*100</f>
        <v>0.33241938488672851</v>
      </c>
      <c r="E1130" cm="1">
        <f t="array" ref="E1130">(PRODUCT(1+sp500_monthly!E1131:E1250)^(1/120)-1)*100</f>
        <v>0.26600155229021816</v>
      </c>
      <c r="F1130" cm="1">
        <f t="array" ref="F1130">(PRODUCT(1+sp500_monthly!K1131:K1250)^(1/120)-1)*100</f>
        <v>0.32518278011806068</v>
      </c>
      <c r="G1130" cm="1">
        <f t="array" ref="G1130">(PRODUCT(1+sp500_monthly!L1131:L1250)^(1/120)-1)</f>
        <v>4.9427738588761816E-2</v>
      </c>
      <c r="H1130" cm="1">
        <f t="array" ref="H1130">(PRODUCT(1+sp500_monthly!N1131:N1250)^(1/120)-1)*100</f>
        <v>0.23538498331707736</v>
      </c>
      <c r="I1130" cm="1">
        <f t="array" ref="I1130">(PRODUCT(1+sp500_monthly!O1131:O1250)^(1/120)-1)*100</f>
        <v>-9.4100911416994393E-2</v>
      </c>
    </row>
    <row r="1131" spans="1:9" x14ac:dyDescent="0.35">
      <c r="A1131" s="1">
        <v>43861</v>
      </c>
      <c r="B1131" cm="1">
        <f t="array" ref="B1131">(PRODUCT(1+sp500_monthly!B1132:B1251)^(1/120)-1)*100</f>
        <v>0.3858920308244862</v>
      </c>
      <c r="C1131" cm="1">
        <f t="array" ref="C1131">(PRODUCT(1+sp500_monthly!C1132:C1251)^(1/120)-1)*100</f>
        <v>0.33229640792689086</v>
      </c>
      <c r="D1131" cm="1">
        <f t="array" ref="D1131">(PRODUCT(1+sp500_monthly!D1132:D1251)^(1/120)-1)*100</f>
        <v>0.34725757711362437</v>
      </c>
      <c r="E1131" cm="1">
        <f t="array" ref="E1131">(PRODUCT(1+sp500_monthly!E1132:E1251)^(1/120)-1)*100</f>
        <v>0.28167673667445214</v>
      </c>
      <c r="F1131" cm="1">
        <f t="array" ref="F1131">(PRODUCT(1+sp500_monthly!K1132:K1251)^(1/120)-1)*100</f>
        <v>0.32654497680053574</v>
      </c>
      <c r="G1131" cm="1">
        <f t="array" ref="G1131">(PRODUCT(1+sp500_monthly!L1132:L1251)^(1/120)-1)</f>
        <v>4.8359461241428647E-2</v>
      </c>
      <c r="H1131" cm="1">
        <f t="array" ref="H1131">(PRODUCT(1+sp500_monthly!N1132:N1251)^(1/120)-1)*100</f>
        <v>0.23618569884717999</v>
      </c>
      <c r="I1131" cm="1">
        <f t="array" ref="I1131">(PRODUCT(1+sp500_monthly!O1132:O1251)^(1/120)-1)*100</f>
        <v>-9.4294531493965827E-2</v>
      </c>
    </row>
    <row r="1132" spans="1:9" x14ac:dyDescent="0.35">
      <c r="A1132" s="1">
        <v>43889</v>
      </c>
      <c r="B1132" cm="1">
        <f t="array" ref="B1132">(PRODUCT(1+sp500_monthly!B1133:B1252)^(1/120)-1)*100</f>
        <v>0.45737420869560452</v>
      </c>
      <c r="C1132" cm="1">
        <f t="array" ref="C1132">(PRODUCT(1+sp500_monthly!C1133:C1252)^(1/120)-1)*100</f>
        <v>0.4057550345105021</v>
      </c>
      <c r="D1132" cm="1">
        <f t="array" ref="D1132">(PRODUCT(1+sp500_monthly!D1133:D1252)^(1/120)-1)*100</f>
        <v>0.42684927590734834</v>
      </c>
      <c r="E1132" cm="1">
        <f t="array" ref="E1132">(PRODUCT(1+sp500_monthly!E1133:E1252)^(1/120)-1)*100</f>
        <v>0.36385775268197307</v>
      </c>
      <c r="F1132" cm="1">
        <f t="array" ref="F1132">(PRODUCT(1+sp500_monthly!K1133:K1252)^(1/120)-1)*100</f>
        <v>0.40002679704707056</v>
      </c>
      <c r="G1132" cm="1">
        <f t="array" ref="G1132">(PRODUCT(1+sp500_monthly!L1133:L1252)^(1/120)-1)</f>
        <v>4.7369851949051522E-2</v>
      </c>
      <c r="H1132" cm="1">
        <f t="array" ref="H1132">(PRODUCT(1+sp500_monthly!N1133:N1252)^(1/120)-1)*100</f>
        <v>0.30865827466242113</v>
      </c>
      <c r="I1132" cm="1">
        <f t="array" ref="I1132">(PRODUCT(1+sp500_monthly!O1133:O1252)^(1/120)-1)*100</f>
        <v>-9.4200390442666926E-2</v>
      </c>
    </row>
    <row r="1133" spans="1:9" x14ac:dyDescent="0.35">
      <c r="A1133" s="1">
        <v>43921</v>
      </c>
      <c r="B1133" cm="1">
        <f t="array" ref="B1133">(PRODUCT(1+sp500_monthly!B1134:B1253)^(1/120)-1)*100</f>
        <v>0.56635022152509151</v>
      </c>
      <c r="C1133" cm="1">
        <f t="array" ref="C1133">(PRODUCT(1+sp500_monthly!C1134:C1253)^(1/120)-1)*100</f>
        <v>0.51628793599431955</v>
      </c>
      <c r="D1133" cm="1">
        <f t="array" ref="D1133">(PRODUCT(1+sp500_monthly!D1134:D1253)^(1/120)-1)*100</f>
        <v>0.60129541777402817</v>
      </c>
      <c r="E1133" cm="1">
        <f t="array" ref="E1133">(PRODUCT(1+sp500_monthly!E1134:E1253)^(1/120)-1)*100</f>
        <v>0.54074384793387775</v>
      </c>
      <c r="F1133" cm="1">
        <f t="array" ref="F1133">(PRODUCT(1+sp500_monthly!K1134:K1253)^(1/120)-1)*100</f>
        <v>0.51192419587111626</v>
      </c>
      <c r="G1133" cm="1">
        <f t="array" ref="G1133">(PRODUCT(1+sp500_monthly!L1134:L1253)^(1/120)-1)</f>
        <v>4.6303669451701612E-2</v>
      </c>
      <c r="H1133" cm="1">
        <f t="array" ref="H1133">(PRODUCT(1+sp500_monthly!N1134:N1253)^(1/120)-1)*100</f>
        <v>0.41392777888795695</v>
      </c>
      <c r="I1133" cm="1">
        <f t="array" ref="I1133">(PRODUCT(1+sp500_monthly!O1134:O1253)^(1/120)-1)*100</f>
        <v>-9.8809073776473522E-2</v>
      </c>
    </row>
    <row r="1134" spans="1:9" x14ac:dyDescent="0.35">
      <c r="A1134" s="1">
        <v>43951</v>
      </c>
      <c r="B1134" cm="1">
        <f t="array" ref="B1134">(PRODUCT(1+sp500_monthly!B1135:B1254)^(1/120)-1)*100</f>
        <v>0.46480030852933396</v>
      </c>
      <c r="C1134" cm="1">
        <f t="array" ref="C1134">(PRODUCT(1+sp500_monthly!C1135:C1254)^(1/120)-1)*100</f>
        <v>0.41570526622309867</v>
      </c>
      <c r="D1134" cm="1">
        <f t="array" ref="D1134">(PRODUCT(1+sp500_monthly!D1135:D1254)^(1/120)-1)*100</f>
        <v>0.48660722770530462</v>
      </c>
      <c r="E1134" cm="1">
        <f t="array" ref="E1134">(PRODUCT(1+sp500_monthly!E1135:E1254)^(1/120)-1)*100</f>
        <v>0.42695418374489869</v>
      </c>
      <c r="F1134" cm="1">
        <f t="array" ref="F1134">(PRODUCT(1+sp500_monthly!K1135:K1254)^(1/120)-1)*100</f>
        <v>0.4119471606256031</v>
      </c>
      <c r="G1134" cm="1">
        <f t="array" ref="G1134">(PRODUCT(1+sp500_monthly!L1135:L1254)^(1/120)-1)</f>
        <v>4.6303669451701612E-2</v>
      </c>
      <c r="H1134" cm="1">
        <f t="array" ref="H1134">(PRODUCT(1+sp500_monthly!N1135:N1254)^(1/120)-1)*100</f>
        <v>0.30595207757162513</v>
      </c>
      <c r="I1134" cm="1">
        <f t="array" ref="I1134">(PRODUCT(1+sp500_monthly!O1135:O1254)^(1/120)-1)*100</f>
        <v>-0.10536179459029738</v>
      </c>
    </row>
    <row r="1135" spans="1:9" x14ac:dyDescent="0.35">
      <c r="A1135" s="1">
        <v>43980</v>
      </c>
      <c r="B1135" cm="1">
        <f t="array" ref="B1135">(PRODUCT(1+sp500_monthly!B1136:B1255)^(1/120)-1)*100</f>
        <v>0.42570207309704511</v>
      </c>
      <c r="C1135" cm="1">
        <f t="array" ref="C1135">(PRODUCT(1+sp500_monthly!C1136:C1255)^(1/120)-1)*100</f>
        <v>0.37840905654640267</v>
      </c>
      <c r="D1135" cm="1">
        <f t="array" ref="D1135">(PRODUCT(1+sp500_monthly!D1136:D1255)^(1/120)-1)*100</f>
        <v>0.44688960062670979</v>
      </c>
      <c r="E1135" cm="1">
        <f t="array" ref="E1135">(PRODUCT(1+sp500_monthly!E1136:E1255)^(1/120)-1)*100</f>
        <v>0.38919946022284435</v>
      </c>
      <c r="F1135" cm="1">
        <f t="array" ref="F1135">(PRODUCT(1+sp500_monthly!K1136:K1255)^(1/120)-1)*100</f>
        <v>0.37489637853633795</v>
      </c>
      <c r="G1135" cm="1">
        <f t="array" ref="G1135">(PRODUCT(1+sp500_monthly!L1136:L1255)^(1/120)-1)</f>
        <v>4.6216914151234967E-2</v>
      </c>
      <c r="H1135" cm="1">
        <f t="array" ref="H1135">(PRODUCT(1+sp500_monthly!N1136:N1255)^(1/120)-1)*100</f>
        <v>0.26600825623037672</v>
      </c>
      <c r="I1135" cm="1">
        <f t="array" ref="I1135">(PRODUCT(1+sp500_monthly!O1136:O1255)^(1/120)-1)*100</f>
        <v>-0.10634907152583528</v>
      </c>
    </row>
    <row r="1136" spans="1:9" x14ac:dyDescent="0.35">
      <c r="A1136" s="1">
        <v>44012</v>
      </c>
      <c r="B1136" cm="1">
        <f t="array" ref="B1136">(PRODUCT(1+sp500_monthly!B1137:B1256)^(1/120)-1)*100</f>
        <v>0.40884557300613356</v>
      </c>
      <c r="C1136" cm="1">
        <f t="array" ref="C1136">(PRODUCT(1+sp500_monthly!C1137:C1256)^(1/120)-1)*100</f>
        <v>0.36276053621078219</v>
      </c>
      <c r="D1136" cm="1">
        <f t="array" ref="D1136">(PRODUCT(1+sp500_monthly!D1137:D1256)^(1/120)-1)*100</f>
        <v>0.43564903378596753</v>
      </c>
      <c r="E1136" cm="1">
        <f t="array" ref="E1136">(PRODUCT(1+sp500_monthly!E1137:E1256)^(1/120)-1)*100</f>
        <v>0.3796060654147615</v>
      </c>
      <c r="F1136" cm="1">
        <f t="array" ref="F1136">(PRODUCT(1+sp500_monthly!K1137:K1256)^(1/120)-1)*100</f>
        <v>0.35965645657953793</v>
      </c>
      <c r="G1136" cm="1">
        <f t="array" ref="G1136">(PRODUCT(1+sp500_monthly!L1137:L1256)^(1/120)-1)</f>
        <v>4.6130166044169751E-2</v>
      </c>
      <c r="H1136" cm="1">
        <f t="array" ref="H1136">(PRODUCT(1+sp500_monthly!N1137:N1256)^(1/120)-1)*100</f>
        <v>0.25294476833976898</v>
      </c>
      <c r="I1136" cm="1">
        <f t="array" ref="I1136">(PRODUCT(1+sp500_monthly!O1137:O1256)^(1/120)-1)*100</f>
        <v>-0.10267946427210406</v>
      </c>
    </row>
    <row r="1137" spans="1:9" x14ac:dyDescent="0.35">
      <c r="A1137" s="1">
        <v>44043</v>
      </c>
      <c r="B1137" cm="1">
        <f t="array" ref="B1137">(PRODUCT(1+sp500_monthly!B1138:B1257)^(1/120)-1)*100</f>
        <v>0.36254304323459774</v>
      </c>
      <c r="C1137" cm="1">
        <f t="array" ref="C1137">(PRODUCT(1+sp500_monthly!C1138:C1257)^(1/120)-1)*100</f>
        <v>0.3174511230408239</v>
      </c>
      <c r="D1137" cm="1">
        <f t="array" ref="D1137">(PRODUCT(1+sp500_monthly!D1138:D1257)^(1/120)-1)*100</f>
        <v>0.39727307481300933</v>
      </c>
      <c r="E1137" cm="1">
        <f t="array" ref="E1137">(PRODUCT(1+sp500_monthly!E1138:E1257)^(1/120)-1)*100</f>
        <v>0.3421441437311934</v>
      </c>
      <c r="F1137" cm="1">
        <f t="array" ref="F1137">(PRODUCT(1+sp500_monthly!K1138:K1257)^(1/120)-1)*100</f>
        <v>0.31480864343511605</v>
      </c>
      <c r="G1137" cm="1">
        <f t="array" ref="G1137">(PRODUCT(1+sp500_monthly!L1138:L1257)^(1/120)-1)</f>
        <v>4.604342512990911E-2</v>
      </c>
      <c r="H1137" cm="1">
        <f t="array" ref="H1137">(PRODUCT(1+sp500_monthly!N1138:N1257)^(1/120)-1)*100</f>
        <v>0.21126368740018719</v>
      </c>
      <c r="I1137" cm="1">
        <f t="array" ref="I1137">(PRODUCT(1+sp500_monthly!O1138:O1257)^(1/120)-1)*100</f>
        <v>-9.8227201878753334E-2</v>
      </c>
    </row>
    <row r="1138" spans="1:9" x14ac:dyDescent="0.35">
      <c r="A1138" s="1">
        <v>44074</v>
      </c>
      <c r="B1138" cm="1">
        <f t="array" ref="B1138">(PRODUCT(1+sp500_monthly!B1139:B1258)^(1/120)-1)*100</f>
        <v>0.30435842807305935</v>
      </c>
      <c r="C1138" cm="1">
        <f t="array" ref="C1138">(PRODUCT(1+sp500_monthly!C1139:C1258)^(1/120)-1)*100</f>
        <v>0.26066540591549447</v>
      </c>
      <c r="D1138" cm="1">
        <f t="array" ref="D1138">(PRODUCT(1+sp500_monthly!D1139:D1258)^(1/120)-1)*100</f>
        <v>0.36016770158671108</v>
      </c>
      <c r="E1138" cm="1">
        <f t="array" ref="E1138">(PRODUCT(1+sp500_monthly!E1139:E1258)^(1/120)-1)*100</f>
        <v>0.30680652929244712</v>
      </c>
      <c r="F1138" cm="1">
        <f t="array" ref="F1138">(PRODUCT(1+sp500_monthly!K1139:K1258)^(1/120)-1)*100</f>
        <v>0.2582141298804741</v>
      </c>
      <c r="G1138" cm="1">
        <f t="array" ref="G1138">(PRODUCT(1+sp500_monthly!L1139:L1258)^(1/120)-1)</f>
        <v>4.5956691407857075E-2</v>
      </c>
      <c r="H1138" cm="1">
        <f t="array" ref="H1138">(PRODUCT(1+sp500_monthly!N1139:N1258)^(1/120)-1)*100</f>
        <v>0.15625526344225094</v>
      </c>
      <c r="I1138" cm="1">
        <f t="array" ref="I1138">(PRODUCT(1+sp500_monthly!O1139:O1258)^(1/120)-1)*100</f>
        <v>-9.5229716269640274E-2</v>
      </c>
    </row>
    <row r="1139" spans="1:9" x14ac:dyDescent="0.35">
      <c r="A1139" s="1">
        <v>44104</v>
      </c>
      <c r="B1139" cm="1">
        <f t="array" ref="B1139">(PRODUCT(1+sp500_monthly!B1140:B1259)^(1/120)-1)*100</f>
        <v>0.33687719327613053</v>
      </c>
      <c r="C1139" cm="1">
        <f t="array" ref="C1139">(PRODUCT(1+sp500_monthly!C1140:C1259)^(1/120)-1)*100</f>
        <v>0.29422642484788764</v>
      </c>
      <c r="D1139" cm="1">
        <f t="array" ref="D1139">(PRODUCT(1+sp500_monthly!D1140:D1259)^(1/120)-1)*100</f>
        <v>0.38151399106653994</v>
      </c>
      <c r="E1139" cm="1">
        <f t="array" ref="E1139">(PRODUCT(1+sp500_monthly!E1140:E1259)^(1/120)-1)*100</f>
        <v>0.32972110331253024</v>
      </c>
      <c r="F1139" cm="1">
        <f t="array" ref="F1139">(PRODUCT(1+sp500_monthly!K1140:K1259)^(1/120)-1)*100</f>
        <v>0.2916542750761586</v>
      </c>
      <c r="G1139" cm="1">
        <f t="array" ref="G1139">(PRODUCT(1+sp500_monthly!L1140:L1259)^(1/120)-1)</f>
        <v>4.5869964877417235E-2</v>
      </c>
      <c r="H1139" cm="1">
        <f t="array" ref="H1139">(PRODUCT(1+sp500_monthly!N1140:N1259)^(1/120)-1)*100</f>
        <v>0.19060704116269367</v>
      </c>
      <c r="I1139" cm="1">
        <f t="array" ref="I1139">(PRODUCT(1+sp500_monthly!O1140:O1259)^(1/120)-1)*100</f>
        <v>-9.3437271135821121E-2</v>
      </c>
    </row>
    <row r="1140" spans="1:9" x14ac:dyDescent="0.35">
      <c r="A1140" s="1">
        <v>44134</v>
      </c>
      <c r="B1140" cm="1">
        <f t="array" ref="B1140">(PRODUCT(1+sp500_monthly!B1141:B1260)^(1/120)-1)*100</f>
        <v>0.35925814165005399</v>
      </c>
      <c r="C1140" cm="1">
        <f t="array" ref="C1140">(PRODUCT(1+sp500_monthly!C1141:C1260)^(1/120)-1)*100</f>
        <v>0.31754119124176583</v>
      </c>
      <c r="D1140" cm="1">
        <f t="array" ref="D1140">(PRODUCT(1+sp500_monthly!D1141:D1260)^(1/120)-1)*100</f>
        <v>0.3866863453007241</v>
      </c>
      <c r="E1140" cm="1">
        <f t="array" ref="E1140">(PRODUCT(1+sp500_monthly!E1141:E1260)^(1/120)-1)*100</f>
        <v>0.33583696077783554</v>
      </c>
      <c r="F1140" cm="1">
        <f t="array" ref="F1140">(PRODUCT(1+sp500_monthly!K1141:K1260)^(1/120)-1)*100</f>
        <v>0.31510513171091326</v>
      </c>
      <c r="G1140" cm="1">
        <f t="array" ref="G1140">(PRODUCT(1+sp500_monthly!L1141:L1260)^(1/120)-1)</f>
        <v>4.5783245537992956E-2</v>
      </c>
      <c r="H1140" cm="1">
        <f t="array" ref="H1140">(PRODUCT(1+sp500_monthly!N1141:N1260)^(1/120)-1)*100</f>
        <v>0.21391216167772065</v>
      </c>
      <c r="I1140" cm="1">
        <f t="array" ref="I1140">(PRODUCT(1+sp500_monthly!O1141:O1260)^(1/120)-1)*100</f>
        <v>-9.2566649657743749E-2</v>
      </c>
    </row>
    <row r="1141" spans="1:9" x14ac:dyDescent="0.35">
      <c r="A1141" s="1">
        <v>44165</v>
      </c>
      <c r="B1141" cm="1">
        <f t="array" ref="B1141">(PRODUCT(1+sp500_monthly!B1142:B1261)^(1/120)-1)*100</f>
        <v>0.2724657542912956</v>
      </c>
      <c r="C1141" cm="1">
        <f t="array" ref="C1141">(PRODUCT(1+sp500_monthly!C1142:C1261)^(1/120)-1)*100</f>
        <v>0.23212610660687805</v>
      </c>
      <c r="D1141" cm="1">
        <f t="array" ref="D1141">(PRODUCT(1+sp500_monthly!D1142:D1261)^(1/120)-1)*100</f>
        <v>0.27224135795087534</v>
      </c>
      <c r="E1141" cm="1">
        <f t="array" ref="E1141">(PRODUCT(1+sp500_monthly!E1142:E1261)^(1/120)-1)*100</f>
        <v>0.22308740445278197</v>
      </c>
      <c r="F1141" cm="1">
        <f t="array" ref="F1141">(PRODUCT(1+sp500_monthly!K1142:K1261)^(1/120)-1)*100</f>
        <v>0.22975094230770488</v>
      </c>
      <c r="G1141" cm="1">
        <f t="array" ref="G1141">(PRODUCT(1+sp500_monthly!L1142:L1261)^(1/120)-1)</f>
        <v>4.5696533388988492E-2</v>
      </c>
      <c r="H1141" cm="1">
        <f t="array" ref="H1141">(PRODUCT(1+sp500_monthly!N1142:N1261)^(1/120)-1)*100</f>
        <v>0.12931409095569002</v>
      </c>
      <c r="I1141" cm="1">
        <f t="array" ref="I1141">(PRODUCT(1+sp500_monthly!O1142:O1261)^(1/120)-1)*100</f>
        <v>-9.0585825701738898E-2</v>
      </c>
    </row>
    <row r="1142" spans="1:9" x14ac:dyDescent="0.35">
      <c r="A1142" s="1">
        <v>44196</v>
      </c>
      <c r="B1142" cm="1">
        <f t="array" ref="B1142">(PRODUCT(1+sp500_monthly!B1143:B1262)^(1/120)-1)*100</f>
        <v>0.23843645589964879</v>
      </c>
      <c r="C1142" cm="1">
        <f t="array" ref="C1142">(PRODUCT(1+sp500_monthly!C1143:C1262)^(1/120)-1)*100</f>
        <v>0.19926167686319385</v>
      </c>
      <c r="D1142" cm="1">
        <f t="array" ref="D1142">(PRODUCT(1+sp500_monthly!D1143:D1262)^(1/120)-1)*100</f>
        <v>0.2378825880721136</v>
      </c>
      <c r="E1142" cm="1">
        <f t="array" ref="E1142">(PRODUCT(1+sp500_monthly!E1143:E1262)^(1/120)-1)*100</f>
        <v>0.19032547919968223</v>
      </c>
      <c r="F1142" cm="1">
        <f t="array" ref="F1142">(PRODUCT(1+sp500_monthly!K1143:K1262)^(1/120)-1)*100</f>
        <v>0.19931194346025638</v>
      </c>
      <c r="G1142" cm="1">
        <f t="array" ref="G1142">(PRODUCT(1+sp500_monthly!L1143:L1262)^(1/120)-1)</f>
        <v>4.5609828429807209E-2</v>
      </c>
      <c r="H1142" cm="1">
        <f t="array" ref="H1142">(PRODUCT(1+sp500_monthly!N1143:N1262)^(1/120)-1)*100</f>
        <v>9.8874775896717892E-2</v>
      </c>
      <c r="I1142" cm="1">
        <f t="array" ref="I1142">(PRODUCT(1+sp500_monthly!O1143:O1262)^(1/120)-1)*100</f>
        <v>-8.7134257977838914E-2</v>
      </c>
    </row>
    <row r="1143" spans="1:9" x14ac:dyDescent="0.35">
      <c r="A1143" s="1">
        <v>44225</v>
      </c>
      <c r="B1143" cm="1">
        <f t="array" ref="B1143">(PRODUCT(1+sp500_monthly!B1144:B1263)^(1/120)-1)*100</f>
        <v>0.24687593731747004</v>
      </c>
      <c r="C1143" cm="1">
        <f t="array" ref="C1143">(PRODUCT(1+sp500_monthly!C1144:C1263)^(1/120)-1)*100</f>
        <v>0.20857392129607355</v>
      </c>
      <c r="D1143" cm="1">
        <f t="array" ref="D1143">(PRODUCT(1+sp500_monthly!D1144:D1263)^(1/120)-1)*100</f>
        <v>0.24323332154523314</v>
      </c>
      <c r="E1143" cm="1">
        <f t="array" ref="E1143">(PRODUCT(1+sp500_monthly!E1144:E1263)^(1/120)-1)*100</f>
        <v>0.19646311960570539</v>
      </c>
      <c r="F1143" cm="1">
        <f t="array" ref="F1143">(PRODUCT(1+sp500_monthly!K1144:K1263)^(1/120)-1)*100</f>
        <v>0.20866388203932829</v>
      </c>
      <c r="G1143" cm="1">
        <f t="array" ref="G1143">(PRODUCT(1+sp500_monthly!L1144:L1263)^(1/120)-1)</f>
        <v>4.5523130659853139E-2</v>
      </c>
      <c r="H1143" cm="1">
        <f t="array" ref="H1143">(PRODUCT(1+sp500_monthly!N1144:N1263)^(1/120)-1)*100</f>
        <v>0.1089343224041972</v>
      </c>
      <c r="I1143" cm="1">
        <f t="array" ref="I1143">(PRODUCT(1+sp500_monthly!O1144:O1263)^(1/120)-1)*100</f>
        <v>-8.5588869952291091E-2</v>
      </c>
    </row>
    <row r="1144" spans="1:9" x14ac:dyDescent="0.35">
      <c r="A1144" s="1">
        <v>44253</v>
      </c>
      <c r="B1144" cm="1">
        <f t="array" ref="B1144">(PRODUCT(1+sp500_monthly!B1145:B1264)^(1/120)-1)*100</f>
        <v>0.22535097868223719</v>
      </c>
      <c r="C1144" cm="1">
        <f t="array" ref="C1144">(PRODUCT(1+sp500_monthly!C1145:C1264)^(1/120)-1)*100</f>
        <v>0.18825656531678003</v>
      </c>
      <c r="D1144" cm="1">
        <f t="array" ref="D1144">(PRODUCT(1+sp500_monthly!D1145:D1264)^(1/120)-1)*100</f>
        <v>0.19186593578812694</v>
      </c>
      <c r="E1144" cm="1">
        <f t="array" ref="E1144">(PRODUCT(1+sp500_monthly!E1145:E1264)^(1/120)-1)*100</f>
        <v>0.14645408102413882</v>
      </c>
      <c r="F1144" cm="1">
        <f t="array" ref="F1144">(PRODUCT(1+sp500_monthly!K1145:K1264)^(1/120)-1)*100</f>
        <v>0.18715770583763724</v>
      </c>
      <c r="G1144" cm="1">
        <f t="array" ref="G1144">(PRODUCT(1+sp500_monthly!L1145:L1264)^(1/120)-1)</f>
        <v>4.5523130659853139E-2</v>
      </c>
      <c r="H1144" cm="1">
        <f t="array" ref="H1144">(PRODUCT(1+sp500_monthly!N1145:N1264)^(1/120)-1)*100</f>
        <v>9.0815871064142684E-2</v>
      </c>
      <c r="I1144" cm="1">
        <f t="array" ref="I1144">(PRODUCT(1+sp500_monthly!O1145:O1264)^(1/120)-1)*100</f>
        <v>-8.2217819264251979E-2</v>
      </c>
    </row>
    <row r="1145" spans="1:9" x14ac:dyDescent="0.35">
      <c r="A1145" s="1">
        <v>44286</v>
      </c>
      <c r="B1145" cm="1">
        <f t="array" ref="B1145">(PRODUCT(1+sp500_monthly!B1146:B1265)^(1/120)-1)*100</f>
        <v>0.18994245229564388</v>
      </c>
      <c r="C1145" cm="1">
        <f t="array" ref="C1145">(PRODUCT(1+sp500_monthly!C1146:C1265)^(1/120)-1)*100</f>
        <v>0.15393698614627471</v>
      </c>
      <c r="D1145" cm="1">
        <f t="array" ref="D1145">(PRODUCT(1+sp500_monthly!D1146:D1265)^(1/120)-1)*100</f>
        <v>0.14547713690085118</v>
      </c>
      <c r="E1145" cm="1">
        <f t="array" ref="E1145">(PRODUCT(1+sp500_monthly!E1146:E1265)^(1/120)-1)*100</f>
        <v>0.10163434210344047</v>
      </c>
      <c r="F1145" cm="1">
        <f t="array" ref="F1145">(PRODUCT(1+sp500_monthly!K1146:K1265)^(1/120)-1)*100</f>
        <v>0.15246292424948571</v>
      </c>
      <c r="G1145" cm="1">
        <f t="array" ref="G1145">(PRODUCT(1+sp500_monthly!L1146:L1265)^(1/120)-1)</f>
        <v>4.5523130659853139E-2</v>
      </c>
      <c r="H1145" cm="1">
        <f t="array" ref="H1145">(PRODUCT(1+sp500_monthly!N1146:N1265)^(1/120)-1)*100</f>
        <v>5.9642146765059856E-2</v>
      </c>
      <c r="I1145" cm="1">
        <f t="array" ref="I1145">(PRODUCT(1+sp500_monthly!O1146:O1265)^(1/120)-1)*100</f>
        <v>-7.8036308502471563E-2</v>
      </c>
    </row>
    <row r="1146" spans="1:9" x14ac:dyDescent="0.35">
      <c r="A1146" s="1">
        <v>44316</v>
      </c>
      <c r="B1146" cm="1">
        <f t="array" ref="B1146">(PRODUCT(1+sp500_monthly!B1147:B1266)^(1/120)-1)*100</f>
        <v>0.14611780092295135</v>
      </c>
      <c r="C1146" cm="1">
        <f t="array" ref="C1146">(PRODUCT(1+sp500_monthly!C1147:C1266)^(1/120)-1)*100</f>
        <v>0.11085111401192282</v>
      </c>
      <c r="D1146" cm="1">
        <f t="array" ref="D1146">(PRODUCT(1+sp500_monthly!D1147:D1266)^(1/120)-1)*100</f>
        <v>0.10707500723479146</v>
      </c>
      <c r="E1146" cm="1">
        <f t="array" ref="E1146">(PRODUCT(1+sp500_monthly!E1147:E1266)^(1/120)-1)*100</f>
        <v>6.3900697361130021E-2</v>
      </c>
      <c r="F1146" cm="1">
        <f t="array" ref="F1146">(PRODUCT(1+sp500_monthly!K1147:K1266)^(1/120)-1)*100</f>
        <v>0.10982622813948684</v>
      </c>
      <c r="G1146" cm="1">
        <f t="array" ref="G1146">(PRODUCT(1+sp500_monthly!L1147:L1266)^(1/120)-1)</f>
        <v>4.5523130659853139E-2</v>
      </c>
      <c r="H1146" cm="1">
        <f t="array" ref="H1146">(PRODUCT(1+sp500_monthly!N1147:N1266)^(1/120)-1)*100</f>
        <v>2.1649942645529663E-2</v>
      </c>
      <c r="I1146" cm="1">
        <f t="array" ref="I1146">(PRODUCT(1+sp500_monthly!O1147:O1266)^(1/120)-1)*100</f>
        <v>-7.226627955764231E-2</v>
      </c>
    </row>
    <row r="1147" spans="1:9" x14ac:dyDescent="0.35">
      <c r="A1147" s="1">
        <v>44344</v>
      </c>
      <c r="B1147" cm="1">
        <f t="array" ref="B1147">(PRODUCT(1+sp500_monthly!B1148:B1267)^(1/120)-1)*100</f>
        <v>0.14095305685433157</v>
      </c>
      <c r="C1147" cm="1">
        <f t="array" ref="C1147">(PRODUCT(1+sp500_monthly!C1148:C1267)^(1/120)-1)*100</f>
        <v>0.10690864635907182</v>
      </c>
      <c r="D1147" cm="1">
        <f t="array" ref="D1147">(PRODUCT(1+sp500_monthly!D1148:D1267)^(1/120)-1)*100</f>
        <v>9.106284294355671E-2</v>
      </c>
      <c r="E1147" cm="1">
        <f t="array" ref="E1147">(PRODUCT(1+sp500_monthly!E1148:E1267)^(1/120)-1)*100</f>
        <v>4.9224745717224572E-2</v>
      </c>
      <c r="F1147" cm="1">
        <f t="array" ref="F1147">(PRODUCT(1+sp500_monthly!K1148:K1267)^(1/120)-1)*100</f>
        <v>0.10526132309640612</v>
      </c>
      <c r="G1147" cm="1">
        <f t="array" ref="G1147">(PRODUCT(1+sp500_monthly!L1148:L1267)^(1/120)-1)</f>
        <v>4.5523130659853139E-2</v>
      </c>
      <c r="H1147" cm="1">
        <f t="array" ref="H1147">(PRODUCT(1+sp500_monthly!N1148:N1267)^(1/120)-1)*100</f>
        <v>2.1786580196003769E-2</v>
      </c>
      <c r="I1147" cm="1">
        <f t="array" ref="I1147">(PRODUCT(1+sp500_monthly!O1148:O1267)^(1/120)-1)*100</f>
        <v>-6.6976015927977528E-2</v>
      </c>
    </row>
    <row r="1148" spans="1:9" x14ac:dyDescent="0.35">
      <c r="A1148" s="1">
        <v>44377</v>
      </c>
      <c r="B1148" cm="1">
        <f t="array" ref="B1148">(PRODUCT(1+sp500_monthly!B1149:B1268)^(1/120)-1)*100</f>
        <v>0.12142252588520641</v>
      </c>
      <c r="C1148" cm="1">
        <f t="array" ref="C1148">(PRODUCT(1+sp500_monthly!C1149:C1268)^(1/120)-1)*100</f>
        <v>8.8296165677825833E-2</v>
      </c>
      <c r="D1148" cm="1">
        <f t="array" ref="D1148">(PRODUCT(1+sp500_monthly!D1149:D1268)^(1/120)-1)*100</f>
        <v>9.0068368989659753E-2</v>
      </c>
      <c r="E1148" cm="1">
        <f t="array" ref="E1148">(PRODUCT(1+sp500_monthly!E1149:E1268)^(1/120)-1)*100</f>
        <v>4.9511603248331149E-2</v>
      </c>
      <c r="F1148" cm="1">
        <f t="array" ref="F1148">(PRODUCT(1+sp500_monthly!K1149:K1268)^(1/120)-1)*100</f>
        <v>8.6934675840799613E-2</v>
      </c>
      <c r="G1148" cm="1">
        <f t="array" ref="G1148">(PRODUCT(1+sp500_monthly!L1149:L1268)^(1/120)-1)</f>
        <v>4.5523130659853139E-2</v>
      </c>
      <c r="H1148" cm="1">
        <f t="array" ref="H1148">(PRODUCT(1+sp500_monthly!N1149:N1268)^(1/120)-1)*100</f>
        <v>9.1180735178664207E-3</v>
      </c>
      <c r="I1148" cm="1">
        <f t="array" ref="I1148">(PRODUCT(1+sp500_monthly!O1149:O1268)^(1/120)-1)*100</f>
        <v>-6.0141968835880633E-2</v>
      </c>
    </row>
    <row r="1149" spans="1:9" x14ac:dyDescent="0.35">
      <c r="A1149" s="1">
        <v>44407</v>
      </c>
      <c r="B1149" cm="1">
        <f t="array" ref="B1149">(PRODUCT(1+sp500_monthly!B1150:B1269)^(1/120)-1)*100</f>
        <v>0.10138828670456235</v>
      </c>
      <c r="C1149" cm="1">
        <f t="array" ref="C1149">(PRODUCT(1+sp500_monthly!C1150:C1269)^(1/120)-1)*100</f>
        <v>6.9079811541095104E-2</v>
      </c>
      <c r="D1149" cm="1">
        <f t="array" ref="D1149">(PRODUCT(1+sp500_monthly!D1150:D1269)^(1/120)-1)*100</f>
        <v>7.9842579362532362E-2</v>
      </c>
      <c r="E1149" cm="1">
        <f t="array" ref="E1149">(PRODUCT(1+sp500_monthly!E1150:E1269)^(1/120)-1)*100</f>
        <v>4.0051223380443979E-2</v>
      </c>
      <c r="F1149" cm="1">
        <f t="array" ref="F1149">(PRODUCT(1+sp500_monthly!K1150:K1269)^(1/120)-1)*100</f>
        <v>6.8175870132569649E-2</v>
      </c>
      <c r="G1149" cm="1">
        <f t="array" ref="G1149">(PRODUCT(1+sp500_monthly!L1150:L1269)^(1/120)-1)</f>
        <v>4.5523130659853139E-2</v>
      </c>
      <c r="H1149" cm="1">
        <f t="array" ref="H1149">(PRODUCT(1+sp500_monthly!N1150:N1269)^(1/120)-1)*100</f>
        <v>-6.8092151739085338E-3</v>
      </c>
      <c r="I1149" cm="1">
        <f t="array" ref="I1149">(PRODUCT(1+sp500_monthly!O1150:O1269)^(1/120)-1)*100</f>
        <v>-5.6059502157801422E-2</v>
      </c>
    </row>
    <row r="1150" spans="1:9" x14ac:dyDescent="0.35">
      <c r="A1150" s="1">
        <v>44439</v>
      </c>
      <c r="B1150" cm="1">
        <f t="array" ref="B1150">(PRODUCT(1+sp500_monthly!B1151:B1270)^(1/120)-1)*100</f>
        <v>7.6248347019869378E-2</v>
      </c>
      <c r="C1150" cm="1">
        <f t="array" ref="C1150">(PRODUCT(1+sp500_monthly!C1151:C1270)^(1/120)-1)*100</f>
        <v>4.5077236192647696E-2</v>
      </c>
      <c r="D1150" cm="1">
        <f t="array" ref="D1150">(PRODUCT(1+sp500_monthly!D1151:D1270)^(1/120)-1)*100</f>
        <v>6.058873661263231E-2</v>
      </c>
      <c r="E1150" cm="1">
        <f t="array" ref="E1150">(PRODUCT(1+sp500_monthly!E1151:E1270)^(1/120)-1)*100</f>
        <v>2.2210398258160069E-2</v>
      </c>
      <c r="F1150" cm="1">
        <f t="array" ref="F1150">(PRODUCT(1+sp500_monthly!K1151:K1270)^(1/120)-1)*100</f>
        <v>4.4347689431800674E-2</v>
      </c>
      <c r="G1150" cm="1">
        <f t="array" ref="G1150">(PRODUCT(1+sp500_monthly!L1151:L1270)^(1/120)-1)</f>
        <v>4.5523130659853139E-2</v>
      </c>
      <c r="H1150" cm="1">
        <f t="array" ref="H1150">(PRODUCT(1+sp500_monthly!N1151:N1270)^(1/120)-1)*100</f>
        <v>-2.9490565660283963E-2</v>
      </c>
      <c r="I1150" cm="1">
        <f t="array" ref="I1150">(PRODUCT(1+sp500_monthly!O1151:O1270)^(1/120)-1)*100</f>
        <v>-5.3628673266647997E-2</v>
      </c>
    </row>
    <row r="1151" spans="1:9" x14ac:dyDescent="0.35">
      <c r="A1151" s="1">
        <v>44469</v>
      </c>
      <c r="B1151" cm="1">
        <f t="array" ref="B1151">(PRODUCT(1+sp500_monthly!B1152:B1271)^(1/120)-1)*100</f>
        <v>0.11559544889652162</v>
      </c>
      <c r="C1151" cm="1">
        <f t="array" ref="C1151">(PRODUCT(1+sp500_monthly!C1152:C1271)^(1/120)-1)*100</f>
        <v>8.5353388396103291E-2</v>
      </c>
      <c r="D1151" cm="1">
        <f t="array" ref="D1151">(PRODUCT(1+sp500_monthly!D1152:D1271)^(1/120)-1)*100</f>
        <v>9.2542985956312052E-2</v>
      </c>
      <c r="E1151" cm="1">
        <f t="array" ref="E1151">(PRODUCT(1+sp500_monthly!E1152:E1271)^(1/120)-1)*100</f>
        <v>5.5526700269181717E-2</v>
      </c>
      <c r="F1151" cm="1">
        <f t="array" ref="F1151">(PRODUCT(1+sp500_monthly!K1152:K1271)^(1/120)-1)*100</f>
        <v>8.4988633264804214E-2</v>
      </c>
      <c r="G1151" cm="1">
        <f t="array" ref="G1151">(PRODUCT(1+sp500_monthly!L1152:L1271)^(1/120)-1)</f>
        <v>4.5523130659853139E-2</v>
      </c>
      <c r="H1151" cm="1">
        <f t="array" ref="H1151">(PRODUCT(1+sp500_monthly!N1152:N1271)^(1/120)-1)*100</f>
        <v>1.3162855634152315E-2</v>
      </c>
      <c r="I1151" cm="1">
        <f t="array" ref="I1151">(PRODUCT(1+sp500_monthly!O1152:O1271)^(1/120)-1)*100</f>
        <v>-5.0282904166831788E-2</v>
      </c>
    </row>
    <row r="1152" spans="1:9" x14ac:dyDescent="0.35">
      <c r="A1152" s="1">
        <v>44498</v>
      </c>
      <c r="B1152" cm="1">
        <f t="array" ref="B1152">(PRODUCT(1+sp500_monthly!B1153:B1272)^(1/120)-1)*100</f>
        <v>5.8766640934315717E-2</v>
      </c>
      <c r="C1152" cm="1">
        <f t="array" ref="C1152">(PRODUCT(1+sp500_monthly!C1153:C1272)^(1/120)-1)*100</f>
        <v>2.9229596145952108E-2</v>
      </c>
      <c r="D1152" cm="1">
        <f t="array" ref="D1152">(PRODUCT(1+sp500_monthly!D1153:D1272)^(1/120)-1)*100</f>
        <v>4.9621307905978185E-2</v>
      </c>
      <c r="E1152" cm="1">
        <f t="array" ref="E1152">(PRODUCT(1+sp500_monthly!E1153:E1272)^(1/120)-1)*100</f>
        <v>1.3292468104264543E-2</v>
      </c>
      <c r="F1152" cm="1">
        <f t="array" ref="F1152">(PRODUCT(1+sp500_monthly!K1153:K1272)^(1/120)-1)*100</f>
        <v>2.9241539294422303E-2</v>
      </c>
      <c r="G1152" cm="1">
        <f t="array" ref="G1152">(PRODUCT(1+sp500_monthly!L1153:L1272)^(1/120)-1)</f>
        <v>4.5523130659853139E-2</v>
      </c>
      <c r="H1152" cm="1">
        <f t="array" ref="H1152">(PRODUCT(1+sp500_monthly!N1153:N1272)^(1/120)-1)*100</f>
        <v>-3.5897139811147394E-2</v>
      </c>
      <c r="I1152" cm="1">
        <f t="array" ref="I1152">(PRODUCT(1+sp500_monthly!O1153:O1272)^(1/120)-1)*100</f>
        <v>-4.2572750578873109E-2</v>
      </c>
    </row>
    <row r="1153" spans="1:9" x14ac:dyDescent="0.35">
      <c r="A1153" s="1">
        <v>44530</v>
      </c>
      <c r="B1153" cm="1">
        <f t="array" ref="B1153">(PRODUCT(1+sp500_monthly!B1154:B1273)^(1/120)-1)*100</f>
        <v>6.483910224219791E-2</v>
      </c>
      <c r="C1153" cm="1">
        <f t="array" ref="C1153">(PRODUCT(1+sp500_monthly!C1154:C1273)^(1/120)-1)*100</f>
        <v>3.6485119445828218E-2</v>
      </c>
      <c r="D1153" cm="1">
        <f t="array" ref="D1153">(PRODUCT(1+sp500_monthly!D1154:D1273)^(1/120)-1)*100</f>
        <v>7.13507944518188E-2</v>
      </c>
      <c r="E1153" cm="1">
        <f t="array" ref="E1153">(PRODUCT(1+sp500_monthly!E1154:E1273)^(1/120)-1)*100</f>
        <v>3.657707421016454E-2</v>
      </c>
      <c r="F1153" cm="1">
        <f t="array" ref="F1153">(PRODUCT(1+sp500_monthly!K1154:K1273)^(1/120)-1)*100</f>
        <v>3.6217923512693595E-2</v>
      </c>
      <c r="G1153" cm="1">
        <f t="array" ref="G1153">(PRODUCT(1+sp500_monthly!L1154:L1273)^(1/120)-1)</f>
        <v>4.5523130659853139E-2</v>
      </c>
      <c r="H1153" cm="1">
        <f t="array" ref="H1153">(PRODUCT(1+sp500_monthly!N1154:N1273)^(1/120)-1)*100</f>
        <v>-2.2733124654039649E-2</v>
      </c>
      <c r="I1153" cm="1">
        <f t="array" ref="I1153">(PRODUCT(1+sp500_monthly!O1154:O1273)^(1/120)-1)*100</f>
        <v>-3.5476356315233826E-2</v>
      </c>
    </row>
    <row r="1154" spans="1:9" x14ac:dyDescent="0.35">
      <c r="A1154" s="1">
        <v>44561</v>
      </c>
      <c r="B1154" cm="1">
        <f t="array" ref="B1154">(PRODUCT(1+sp500_monthly!B1155:B1274)^(1/120)-1)*100</f>
        <v>2.9350669968675192E-2</v>
      </c>
      <c r="C1154" cm="1">
        <f t="array" ref="C1154">(PRODUCT(1+sp500_monthly!C1155:C1274)^(1/120)-1)*100</f>
        <v>1.9656358884123648E-3</v>
      </c>
      <c r="D1154" cm="1">
        <f t="array" ref="D1154">(PRODUCT(1+sp500_monthly!D1155:D1274)^(1/120)-1)*100</f>
        <v>1.9920230473879919E-2</v>
      </c>
      <c r="E1154" cm="1">
        <f t="array" ref="E1154">(PRODUCT(1+sp500_monthly!E1155:E1274)^(1/120)-1)*100</f>
        <v>-1.3449469561166438E-2</v>
      </c>
      <c r="F1154" cm="1">
        <f t="array" ref="F1154">(PRODUCT(1+sp500_monthly!K1155:K1274)^(1/120)-1)*100</f>
        <v>6.3742586844384164E-4</v>
      </c>
      <c r="G1154" cm="1">
        <f t="array" ref="G1154">(PRODUCT(1+sp500_monthly!L1155:L1274)^(1/120)-1)</f>
        <v>4.5436440078530094E-2</v>
      </c>
      <c r="H1154" cm="1">
        <f t="array" ref="H1154">(PRODUCT(1+sp500_monthly!N1155:N1274)^(1/120)-1)*100</f>
        <v>-5.2210410503361615E-2</v>
      </c>
      <c r="I1154" cm="1">
        <f t="array" ref="I1154">(PRODUCT(1+sp500_monthly!O1155:O1274)^(1/120)-1)*100</f>
        <v>-2.9578213201475467E-2</v>
      </c>
    </row>
    <row r="1155" spans="1:9" x14ac:dyDescent="0.35">
      <c r="A1155" s="1">
        <v>44592</v>
      </c>
      <c r="B1155" cm="1">
        <f t="array" ref="B1155">(PRODUCT(1+sp500_monthly!B1156:B1275)^(1/120)-1)*100</f>
        <v>7.4088077419154352E-2</v>
      </c>
      <c r="C1155" cm="1">
        <f t="array" ref="C1155">(PRODUCT(1+sp500_monthly!C1156:C1275)^(1/120)-1)*100</f>
        <v>4.7433578632838369E-2</v>
      </c>
      <c r="D1155" cm="1">
        <f t="array" ref="D1155">(PRODUCT(1+sp500_monthly!D1156:D1275)^(1/120)-1)*100</f>
        <v>5.6282050028033659E-2</v>
      </c>
      <c r="E1155" cm="1">
        <f t="array" ref="E1155">(PRODUCT(1+sp500_monthly!E1156:E1275)^(1/120)-1)*100</f>
        <v>2.3587474656938667E-2</v>
      </c>
      <c r="F1155" cm="1">
        <f t="array" ref="F1155">(PRODUCT(1+sp500_monthly!K1156:K1275)^(1/120)-1)*100</f>
        <v>4.5662892673314914E-2</v>
      </c>
      <c r="G1155" cm="1">
        <f t="array" ref="G1155">(PRODUCT(1+sp500_monthly!L1156:L1275)^(1/120)-1)</f>
        <v>4.5436440078530094E-2</v>
      </c>
      <c r="H1155" cm="1">
        <f t="array" ref="H1155">(PRODUCT(1+sp500_monthly!N1156:N1275)^(1/120)-1)*100</f>
        <v>-2.8281122656848012E-3</v>
      </c>
      <c r="I1155" cm="1">
        <f t="array" ref="I1155">(PRODUCT(1+sp500_monthly!O1156:O1275)^(1/120)-1)*100</f>
        <v>-2.4897878004059848E-2</v>
      </c>
    </row>
    <row r="1156" spans="1:9" x14ac:dyDescent="0.35">
      <c r="A1156" s="1">
        <v>44620</v>
      </c>
      <c r="B1156" cm="1">
        <f t="array" ref="B1156">(PRODUCT(1+sp500_monthly!B1157:B1276)^(1/120)-1)*100</f>
        <v>9.8885010603688706E-2</v>
      </c>
      <c r="C1156" cm="1">
        <f t="array" ref="C1156">(PRODUCT(1+sp500_monthly!C1157:C1276)^(1/120)-1)*100</f>
        <v>7.3433546272960726E-2</v>
      </c>
      <c r="D1156" cm="1">
        <f t="array" ref="D1156">(PRODUCT(1+sp500_monthly!D1157:D1276)^(1/120)-1)*100</f>
        <v>6.4793803100404723E-2</v>
      </c>
      <c r="E1156" cm="1">
        <f t="array" ref="E1156">(PRODUCT(1+sp500_monthly!E1157:E1276)^(1/120)-1)*100</f>
        <v>3.3469454332069049E-2</v>
      </c>
      <c r="F1156" cm="1">
        <f t="array" ref="F1156">(PRODUCT(1+sp500_monthly!K1157:K1276)^(1/120)-1)*100</f>
        <v>7.223128252007438E-2</v>
      </c>
      <c r="G1156" cm="1">
        <f t="array" ref="G1156">(PRODUCT(1+sp500_monthly!L1157:L1276)^(1/120)-1)</f>
        <v>4.5436440078530094E-2</v>
      </c>
      <c r="H1156" cm="1">
        <f t="array" ref="H1156">(PRODUCT(1+sp500_monthly!N1157:N1276)^(1/120)-1)*100</f>
        <v>2.8257324054603572E-2</v>
      </c>
      <c r="I1156" cm="1">
        <f t="array" ref="I1156">(PRODUCT(1+sp500_monthly!O1157:O1276)^(1/120)-1)*100</f>
        <v>-1.8593270427835762E-2</v>
      </c>
    </row>
    <row r="1157" spans="1:9" x14ac:dyDescent="0.35">
      <c r="A1157" s="1">
        <v>44651</v>
      </c>
      <c r="B1157" cm="1">
        <f t="array" ref="B1157">(PRODUCT(1+sp500_monthly!B1158:B1277)^(1/120)-1)*100</f>
        <v>6.7839545703662907E-2</v>
      </c>
      <c r="C1157" cm="1">
        <f t="array" ref="C1157">(PRODUCT(1+sp500_monthly!C1158:C1277)^(1/120)-1)*100</f>
        <v>4.3456911631900574E-2</v>
      </c>
      <c r="D1157" cm="1">
        <f t="array" ref="D1157">(PRODUCT(1+sp500_monthly!D1158:D1277)^(1/120)-1)*100</f>
        <v>4.2464199668668101E-2</v>
      </c>
      <c r="E1157" cm="1">
        <f t="array" ref="E1157">(PRODUCT(1+sp500_monthly!E1158:E1277)^(1/120)-1)*100</f>
        <v>1.2689132027099426E-2</v>
      </c>
      <c r="F1157" cm="1">
        <f t="array" ref="F1157">(PRODUCT(1+sp500_monthly!K1158:K1277)^(1/120)-1)*100</f>
        <v>4.2924411624700731E-2</v>
      </c>
      <c r="G1157" cm="1">
        <f t="array" ref="G1157">(PRODUCT(1+sp500_monthly!L1158:L1277)^(1/120)-1)</f>
        <v>4.5349756685242104E-2</v>
      </c>
      <c r="H1157" cm="1">
        <f t="array" ref="H1157">(PRODUCT(1+sp500_monthly!N1158:N1277)^(1/120)-1)*100</f>
        <v>6.0263426920892371E-3</v>
      </c>
      <c r="I1157" cm="1">
        <f t="array" ref="I1157">(PRODUCT(1+sp500_monthly!O1158:O1277)^(1/120)-1)*100</f>
        <v>-9.8854045303409244E-3</v>
      </c>
    </row>
    <row r="1158" spans="1:9" x14ac:dyDescent="0.35">
      <c r="A1158" s="1">
        <v>44680</v>
      </c>
      <c r="B1158" cm="1">
        <f t="array" ref="B1158">(PRODUCT(1+sp500_monthly!B1159:B1278)^(1/120)-1)*100</f>
        <v>0.14429595554783514</v>
      </c>
      <c r="C1158" cm="1">
        <f t="array" ref="C1158">(PRODUCT(1+sp500_monthly!C1159:C1278)^(1/120)-1)*100</f>
        <v>0.12064210498958783</v>
      </c>
      <c r="D1158" cm="1">
        <f t="array" ref="D1158">(PRODUCT(1+sp500_monthly!D1159:D1278)^(1/120)-1)*100</f>
        <v>9.6903104305212651E-2</v>
      </c>
      <c r="E1158" cm="1">
        <f t="array" ref="E1158">(PRODUCT(1+sp500_monthly!E1159:E1278)^(1/120)-1)*100</f>
        <v>6.7794858500569433E-2</v>
      </c>
      <c r="F1158" cm="1">
        <f t="array" ref="F1158">(PRODUCT(1+sp500_monthly!K1159:K1278)^(1/120)-1)*100</f>
        <v>0.119710248066629</v>
      </c>
      <c r="G1158" cm="1">
        <f t="array" ref="G1158">(PRODUCT(1+sp500_monthly!L1159:L1278)^(1/120)-1)</f>
        <v>4.5263080479392981E-2</v>
      </c>
      <c r="H1158" cm="1">
        <f t="array" ref="H1158">(PRODUCT(1+sp500_monthly!N1159:N1278)^(1/120)-1)*100</f>
        <v>8.5940601490053226E-2</v>
      </c>
      <c r="I1158" cm="1">
        <f t="array" ref="I1158">(PRODUCT(1+sp500_monthly!O1159:O1278)^(1/120)-1)*100</f>
        <v>-6.4668845272675135E-3</v>
      </c>
    </row>
    <row r="1159" spans="1:9" x14ac:dyDescent="0.35">
      <c r="A1159" s="1">
        <v>44712</v>
      </c>
      <c r="B1159" cm="1">
        <f t="array" ref="B1159">(PRODUCT(1+sp500_monthly!B1160:B1279)^(1/120)-1)*100</f>
        <v>0.1439838979961916</v>
      </c>
      <c r="C1159" cm="1">
        <f t="array" ref="C1159">(PRODUCT(1+sp500_monthly!C1160:C1279)^(1/120)-1)*100</f>
        <v>0.12177340692409722</v>
      </c>
      <c r="D1159" cm="1">
        <f t="array" ref="D1159">(PRODUCT(1+sp500_monthly!D1160:D1279)^(1/120)-1)*100</f>
        <v>8.8618335660806125E-2</v>
      </c>
      <c r="E1159" cm="1">
        <f t="array" ref="E1159">(PRODUCT(1+sp500_monthly!E1160:E1279)^(1/120)-1)*100</f>
        <v>6.11090758321442E-2</v>
      </c>
      <c r="F1159" cm="1">
        <f t="array" ref="F1159">(PRODUCT(1+sp500_monthly!K1160:K1279)^(1/120)-1)*100</f>
        <v>0.11966602970947537</v>
      </c>
      <c r="G1159" cm="1">
        <f t="array" ref="G1159">(PRODUCT(1+sp500_monthly!L1160:L1279)^(1/120)-1)</f>
        <v>4.5005639481840554E-2</v>
      </c>
      <c r="H1159" cm="1">
        <f t="array" ref="H1159">(PRODUCT(1+sp500_monthly!N1160:N1279)^(1/120)-1)*100</f>
        <v>9.3090753106594981E-2</v>
      </c>
      <c r="I1159" cm="1">
        <f t="array" ref="I1159">(PRODUCT(1+sp500_monthly!O1160:O1279)^(1/120)-1)*100</f>
        <v>7.3831181555128467E-4</v>
      </c>
    </row>
    <row r="1160" spans="1:9" x14ac:dyDescent="0.35">
      <c r="A1160" s="1">
        <v>44742</v>
      </c>
      <c r="B1160" cm="1">
        <f t="array" ref="B1160">(PRODUCT(1+sp500_monthly!B1161:B1280)^(1/120)-1)*100</f>
        <v>0.21512192319557144</v>
      </c>
      <c r="C1160" cm="1">
        <f t="array" ref="C1160">(PRODUCT(1+sp500_monthly!C1161:C1280)^(1/120)-1)*100</f>
        <v>0.19420868178634532</v>
      </c>
      <c r="D1160" cm="1">
        <f t="array" ref="D1160">(PRODUCT(1+sp500_monthly!D1161:D1280)^(1/120)-1)*100</f>
        <v>0.16995253317921843</v>
      </c>
      <c r="E1160" cm="1">
        <f t="array" ref="E1160">(PRODUCT(1+sp500_monthly!E1161:E1280)^(1/120)-1)*100</f>
        <v>0.14416239703454181</v>
      </c>
      <c r="F1160" cm="1">
        <f t="array" ref="F1160">(PRODUCT(1+sp500_monthly!K1161:K1280)^(1/120)-1)*100</f>
        <v>0.19282313706185938</v>
      </c>
      <c r="G1160" cm="1">
        <f t="array" ref="G1160">(PRODUCT(1+sp500_monthly!L1161:L1280)^(1/120)-1)</f>
        <v>4.4498334845538556E-2</v>
      </c>
      <c r="H1160" cm="1">
        <f t="array" ref="H1160">(PRODUCT(1+sp500_monthly!N1161:N1280)^(1/120)-1)*100</f>
        <v>0.17454814644493055</v>
      </c>
      <c r="I1160" cm="1">
        <f t="array" ref="I1160">(PRODUCT(1+sp500_monthly!O1161:O1280)^(1/120)-1)*100</f>
        <v>1.0577029302183405E-2</v>
      </c>
    </row>
    <row r="1161" spans="1:9" x14ac:dyDescent="0.35">
      <c r="A1161" s="1">
        <v>44771</v>
      </c>
      <c r="B1161" cm="1">
        <f t="array" ref="B1161">(PRODUCT(1+sp500_monthly!B1162:B1281)^(1/120)-1)*100</f>
        <v>0.14030020678039712</v>
      </c>
      <c r="C1161" cm="1">
        <f t="array" ref="C1161">(PRODUCT(1+sp500_monthly!C1162:C1281)^(1/120)-1)*100</f>
        <v>0.12023521666431058</v>
      </c>
      <c r="D1161" cm="1">
        <f t="array" ref="D1161">(PRODUCT(1+sp500_monthly!D1162:D1281)^(1/120)-1)*100</f>
        <v>9.9621831609586486E-2</v>
      </c>
      <c r="E1161" cm="1">
        <f t="array" ref="E1161">(PRODUCT(1+sp500_monthly!E1162:E1281)^(1/120)-1)*100</f>
        <v>7.4582941496115218E-2</v>
      </c>
      <c r="F1161" cm="1">
        <f t="array" ref="F1161">(PRODUCT(1+sp500_monthly!K1162:K1281)^(1/120)-1)*100</f>
        <v>0.12004194322179362</v>
      </c>
      <c r="G1161" cm="1">
        <f t="array" ref="G1161">(PRODUCT(1+sp500_monthly!L1162:L1281)^(1/120)-1)</f>
        <v>4.3828668949972283E-2</v>
      </c>
      <c r="H1161" cm="1">
        <f t="array" ref="H1161">(PRODUCT(1+sp500_monthly!N1162:N1281)^(1/120)-1)*100</f>
        <v>9.9702994556927216E-2</v>
      </c>
      <c r="I1161" cm="1">
        <f t="array" ref="I1161">(PRODUCT(1+sp500_monthly!O1162:O1281)^(1/120)-1)*100</f>
        <v>9.8568808176047185E-3</v>
      </c>
    </row>
    <row r="1162" spans="1:9" x14ac:dyDescent="0.35">
      <c r="A1162" s="1">
        <v>44804</v>
      </c>
      <c r="B1162" cm="1">
        <f t="array" ref="B1162">(PRODUCT(1+sp500_monthly!B1163:B1282)^(1/120)-1)*100</f>
        <v>0.17462862100641185</v>
      </c>
      <c r="C1162" cm="1">
        <f t="array" ref="C1162">(PRODUCT(1+sp500_monthly!C1163:C1282)^(1/120)-1)*100</f>
        <v>0.15608616505562445</v>
      </c>
      <c r="D1162" cm="1">
        <f t="array" ref="D1162">(PRODUCT(1+sp500_monthly!D1163:D1282)^(1/120)-1)*100</f>
        <v>0.1282874496947084</v>
      </c>
      <c r="E1162" cm="1">
        <f t="array" ref="E1162">(PRODUCT(1+sp500_monthly!E1163:E1282)^(1/120)-1)*100</f>
        <v>0.10500797022015007</v>
      </c>
      <c r="F1162" cm="1">
        <f t="array" ref="F1162">(PRODUCT(1+sp500_monthly!K1163:K1282)^(1/120)-1)*100</f>
        <v>0.1562309446563992</v>
      </c>
      <c r="G1162" cm="1">
        <f t="array" ref="G1162">(PRODUCT(1+sp500_monthly!L1163:L1282)^(1/120)-1)</f>
        <v>4.2316619747633233E-2</v>
      </c>
      <c r="H1162" cm="1">
        <f t="array" ref="H1162">(PRODUCT(1+sp500_monthly!N1163:N1282)^(1/120)-1)*100</f>
        <v>0.13467353283136418</v>
      </c>
      <c r="I1162" cm="1">
        <f t="array" ref="I1162">(PRODUCT(1+sp500_monthly!O1163:O1282)^(1/120)-1)*100</f>
        <v>8.930123424777392E-3</v>
      </c>
    </row>
    <row r="1163" spans="1:9" x14ac:dyDescent="0.35">
      <c r="A1163" s="1">
        <v>44834</v>
      </c>
      <c r="B1163" cm="1">
        <f t="array" ref="B1163">(PRODUCT(1+sp500_monthly!B1164:B1283)^(1/120)-1)*100</f>
        <v>0.25476269887232394</v>
      </c>
      <c r="C1163" cm="1">
        <f t="array" ref="C1163">(PRODUCT(1+sp500_monthly!C1164:C1283)^(1/120)-1)*100</f>
        <v>0.23747610924125251</v>
      </c>
      <c r="D1163" cm="1">
        <f t="array" ref="D1163">(PRODUCT(1+sp500_monthly!D1164:D1283)^(1/120)-1)*100</f>
        <v>0.20972569149595444</v>
      </c>
      <c r="E1163" cm="1">
        <f t="array" ref="E1163">(PRODUCT(1+sp500_monthly!E1164:E1283)^(1/120)-1)*100</f>
        <v>0.18827298492589684</v>
      </c>
      <c r="F1163" cm="1">
        <f t="array" ref="F1163">(PRODUCT(1+sp500_monthly!K1164:K1283)^(1/120)-1)*100</f>
        <v>0.23809998027004564</v>
      </c>
      <c r="G1163" cm="1">
        <f t="array" ref="G1163">(PRODUCT(1+sp500_monthly!L1164:L1283)^(1/120)-1)</f>
        <v>4.0806760840366829E-2</v>
      </c>
      <c r="H1163" cm="1">
        <f t="array" ref="H1163">(PRODUCT(1+sp500_monthly!N1164:N1283)^(1/120)-1)*100</f>
        <v>0.21797191499568491</v>
      </c>
      <c r="I1163" cm="1">
        <f t="array" ref="I1163">(PRODUCT(1+sp500_monthly!O1164:O1283)^(1/120)-1)*100</f>
        <v>1.0537814007971491E-2</v>
      </c>
    </row>
    <row r="1164" spans="1:9" x14ac:dyDescent="0.35">
      <c r="A1164" s="1">
        <v>44865</v>
      </c>
      <c r="B1164" cm="1">
        <f t="array" ref="B1164">(PRODUCT(1+sp500_monthly!B1165:B1284)^(1/120)-1)*100</f>
        <v>0.19029402152852537</v>
      </c>
      <c r="C1164" cm="1">
        <f t="array" ref="C1164">(PRODUCT(1+sp500_monthly!C1165:C1284)^(1/120)-1)*100</f>
        <v>0.17383112005404655</v>
      </c>
      <c r="D1164" cm="1">
        <f t="array" ref="D1164">(PRODUCT(1+sp500_monthly!D1165:D1284)^(1/120)-1)*100</f>
        <v>0.13272815909863844</v>
      </c>
      <c r="E1164" cm="1">
        <f t="array" ref="E1164">(PRODUCT(1+sp500_monthly!E1165:E1284)^(1/120)-1)*100</f>
        <v>0.11201115880956625</v>
      </c>
      <c r="F1164" cm="1">
        <f t="array" ref="F1164">(PRODUCT(1+sp500_monthly!K1165:K1284)^(1/120)-1)*100</f>
        <v>0.17393958675220311</v>
      </c>
      <c r="G1164" cm="1">
        <f t="array" ref="G1164">(PRODUCT(1+sp500_monthly!L1165:L1284)^(1/120)-1)</f>
        <v>3.9012794128437278E-2</v>
      </c>
      <c r="H1164" cm="1">
        <f t="array" ref="H1164">(PRODUCT(1+sp500_monthly!N1165:N1284)^(1/120)-1)*100</f>
        <v>0.157802567091192</v>
      </c>
      <c r="I1164" cm="1">
        <f t="array" ref="I1164">(PRODUCT(1+sp500_monthly!O1165:O1284)^(1/120)-1)*100</f>
        <v>1.2892649789186805E-2</v>
      </c>
    </row>
    <row r="1165" spans="1:9" x14ac:dyDescent="0.35">
      <c r="A1165" s="1">
        <v>44895</v>
      </c>
      <c r="B1165" cm="1">
        <f t="array" ref="B1165">(PRODUCT(1+sp500_monthly!B1166:B1285)^(1/120)-1)*100</f>
        <v>0.14626256436500729</v>
      </c>
      <c r="C1165" cm="1">
        <f t="array" ref="C1165">(PRODUCT(1+sp500_monthly!C1166:C1285)^(1/120)-1)*100</f>
        <v>0.13139784110429709</v>
      </c>
      <c r="D1165" cm="1">
        <f t="array" ref="D1165">(PRODUCT(1+sp500_monthly!D1166:D1285)^(1/120)-1)*100</f>
        <v>7.7059006236224192E-2</v>
      </c>
      <c r="E1165" cm="1">
        <f t="array" ref="E1165">(PRODUCT(1+sp500_monthly!E1166:E1285)^(1/120)-1)*100</f>
        <v>5.8065784181082769E-2</v>
      </c>
      <c r="F1165" cm="1">
        <f t="array" ref="F1165">(PRODUCT(1+sp500_monthly!K1166:K1285)^(1/120)-1)*100</f>
        <v>0.13024149662181905</v>
      </c>
      <c r="G1165" cm="1">
        <f t="array" ref="G1165">(PRODUCT(1+sp500_monthly!L1166:L1285)^(1/120)-1)</f>
        <v>3.6810327435629953E-2</v>
      </c>
      <c r="H1165" cm="1">
        <f t="array" ref="H1165">(PRODUCT(1+sp500_monthly!N1166:N1285)^(1/120)-1)*100</f>
        <v>0.11598121988116716</v>
      </c>
      <c r="I1165" cm="1">
        <f t="array" ref="I1165">(PRODUCT(1+sp500_monthly!O1166:O1285)^(1/120)-1)*100</f>
        <v>1.2672763342624904E-2</v>
      </c>
    </row>
    <row r="1166" spans="1:9" x14ac:dyDescent="0.35">
      <c r="A1166" s="1">
        <v>44925</v>
      </c>
      <c r="B1166" cm="1">
        <f t="array" ref="B1166">(PRODUCT(1+sp500_monthly!B1167:B1286)^(1/120)-1)*100</f>
        <v>0.19683468942068849</v>
      </c>
      <c r="C1166" cm="1">
        <f t="array" ref="C1166">(PRODUCT(1+sp500_monthly!C1167:C1286)^(1/120)-1)*100</f>
        <v>0.18319274222511339</v>
      </c>
      <c r="D1166" cm="1">
        <f t="array" ref="D1166">(PRODUCT(1+sp500_monthly!D1167:D1286)^(1/120)-1)*100</f>
        <v>0.11877035001095493</v>
      </c>
      <c r="E1166" cm="1">
        <f t="array" ref="E1166">(PRODUCT(1+sp500_monthly!E1167:E1286)^(1/120)-1)*100</f>
        <v>0.10149506957057852</v>
      </c>
      <c r="F1166" cm="1">
        <f t="array" ref="F1166">(PRODUCT(1+sp500_monthly!K1167:K1286)^(1/120)-1)*100</f>
        <v>0.18097141324808774</v>
      </c>
      <c r="G1166" cm="1">
        <f t="array" ref="G1166">(PRODUCT(1+sp500_monthly!L1167:L1286)^(1/120)-1)</f>
        <v>3.4349282315960572E-2</v>
      </c>
      <c r="H1166" cm="1">
        <f t="array" ref="H1166">(PRODUCT(1+sp500_monthly!N1167:N1286)^(1/120)-1)*100</f>
        <v>0.16699630861458648</v>
      </c>
      <c r="I1166" cm="1">
        <f t="array" ref="I1166">(PRODUCT(1+sp500_monthly!O1167:O1286)^(1/120)-1)*100</f>
        <v>1.0384519396167136E-2</v>
      </c>
    </row>
    <row r="1167" spans="1:9" x14ac:dyDescent="0.35">
      <c r="A1167" s="1">
        <v>44957</v>
      </c>
      <c r="B1167" cm="1">
        <f t="array" ref="B1167">(PRODUCT(1+sp500_monthly!B1168:B1287)^(1/120)-1)*100</f>
        <v>0.14519919959694594</v>
      </c>
      <c r="C1167" cm="1">
        <f t="array" ref="C1167">(PRODUCT(1+sp500_monthly!C1168:C1287)^(1/120)-1)*100</f>
        <v>0.13237494258462323</v>
      </c>
      <c r="D1167" cm="1">
        <f t="array" ref="D1167">(PRODUCT(1+sp500_monthly!D1168:D1287)^(1/120)-1)*100</f>
        <v>5.7961993016042435E-2</v>
      </c>
      <c r="E1167" cm="1">
        <f t="array" ref="E1167">(PRODUCT(1+sp500_monthly!E1168:E1287)^(1/120)-1)*100</f>
        <v>4.1367900143818304E-2</v>
      </c>
      <c r="F1167" cm="1">
        <f t="array" ref="F1167">(PRODUCT(1+sp500_monthly!K1168:K1287)^(1/120)-1)*100</f>
        <v>0.13095910414873124</v>
      </c>
      <c r="G1167" cm="1">
        <f t="array" ref="G1167">(PRODUCT(1+sp500_monthly!L1168:L1287)^(1/120)-1)</f>
        <v>3.1765739468460064E-2</v>
      </c>
      <c r="H1167" cm="1">
        <f t="array" ref="H1167">(PRODUCT(1+sp500_monthly!N1168:N1287)^(1/120)-1)*100</f>
        <v>0.1196760972065114</v>
      </c>
      <c r="I1167" cm="1">
        <f t="array" ref="I1167">(PRODUCT(1+sp500_monthly!O1168:O1287)^(1/120)-1)*100</f>
        <v>1.1767952145969041E-2</v>
      </c>
    </row>
    <row r="1168" spans="1:9" x14ac:dyDescent="0.35">
      <c r="A1168" s="1">
        <v>44985</v>
      </c>
      <c r="B1168" cm="1">
        <f t="array" ref="B1168">(PRODUCT(1+sp500_monthly!B1169:B1288)^(1/120)-1)*100</f>
        <v>0.16570122536041509</v>
      </c>
      <c r="C1168" cm="1">
        <f t="array" ref="C1168">(PRODUCT(1+sp500_monthly!C1169:C1288)^(1/120)-1)*100</f>
        <v>0.15435373088745763</v>
      </c>
      <c r="D1168" cm="1">
        <f t="array" ref="D1168">(PRODUCT(1+sp500_monthly!D1169:D1288)^(1/120)-1)*100</f>
        <v>8.633345910902257E-2</v>
      </c>
      <c r="E1168" cm="1">
        <f t="array" ref="E1168">(PRODUCT(1+sp500_monthly!E1169:E1288)^(1/120)-1)*100</f>
        <v>7.1352216314224393E-2</v>
      </c>
      <c r="F1168" cm="1">
        <f t="array" ref="F1168">(PRODUCT(1+sp500_monthly!K1169:K1288)^(1/120)-1)*100</f>
        <v>0.15303955676522207</v>
      </c>
      <c r="G1168" cm="1">
        <f t="array" ref="G1168">(PRODUCT(1+sp500_monthly!L1169:L1288)^(1/120)-1)</f>
        <v>2.9252418261820123E-2</v>
      </c>
      <c r="H1168" cm="1">
        <f t="array" ref="H1168">(PRODUCT(1+sp500_monthly!N1169:N1288)^(1/120)-1)*100</f>
        <v>0.14337028159927545</v>
      </c>
      <c r="I1168" cm="1">
        <f t="array" ref="I1168">(PRODUCT(1+sp500_monthly!O1169:O1288)^(1/120)-1)*100</f>
        <v>1.2132325358438223E-2</v>
      </c>
    </row>
    <row r="1169" spans="1:9" x14ac:dyDescent="0.35">
      <c r="A1169" s="1">
        <v>45016</v>
      </c>
      <c r="B1169" cm="1">
        <f t="array" ref="B1169">(PRODUCT(1+sp500_monthly!B1170:B1289)^(1/120)-1)*100</f>
        <v>0.1349936836064769</v>
      </c>
      <c r="C1169" cm="1">
        <f t="array" ref="C1169">(PRODUCT(1+sp500_monthly!C1170:C1289)^(1/120)-1)*100</f>
        <v>0.12494386892891729</v>
      </c>
      <c r="D1169" cm="1">
        <f t="array" ref="D1169">(PRODUCT(1+sp500_monthly!D1170:D1289)^(1/120)-1)*100</f>
        <v>8.8621090120533097E-2</v>
      </c>
      <c r="E1169" cm="1">
        <f t="array" ref="E1169">(PRODUCT(1+sp500_monthly!E1170:E1289)^(1/120)-1)*100</f>
        <v>7.5564252719662051E-2</v>
      </c>
      <c r="F1169" cm="1">
        <f t="array" ref="F1169">(PRODUCT(1+sp500_monthly!K1170:K1289)^(1/120)-1)*100</f>
        <v>0.12429002418516966</v>
      </c>
      <c r="G1169" cm="1">
        <f t="array" ref="G1169">(PRODUCT(1+sp500_monthly!L1170:L1289)^(1/120)-1)</f>
        <v>2.6618466196192569E-2</v>
      </c>
      <c r="H1169" cm="1">
        <f t="array" ref="H1169">(PRODUCT(1+sp500_monthly!N1170:N1289)^(1/120)-1)*100</f>
        <v>0.11331957716318453</v>
      </c>
      <c r="I1169" cm="1">
        <f t="array" ref="I1169">(PRODUCT(1+sp500_monthly!O1170:O1289)^(1/120)-1)*100</f>
        <v>9.7867131454654199E-3</v>
      </c>
    </row>
    <row r="1170" spans="1:9" x14ac:dyDescent="0.35">
      <c r="A1170" s="1">
        <v>45044</v>
      </c>
      <c r="B1170" cm="1">
        <f t="array" ref="B1170">(PRODUCT(1+sp500_monthly!B1171:B1290)^(1/120)-1)*100</f>
        <v>0.12255819804640744</v>
      </c>
      <c r="C1170" cm="1">
        <f t="array" ref="C1170">(PRODUCT(1+sp500_monthly!C1171:C1290)^(1/120)-1)*100</f>
        <v>0.11329083327056289</v>
      </c>
      <c r="D1170" cm="1">
        <f t="array" ref="D1170">(PRODUCT(1+sp500_monthly!D1171:D1290)^(1/120)-1)*100</f>
        <v>8.6858074259588136E-2</v>
      </c>
      <c r="E1170" cm="1">
        <f t="array" ref="E1170">(PRODUCT(1+sp500_monthly!E1171:E1290)^(1/120)-1)*100</f>
        <v>7.4578262407198892E-2</v>
      </c>
      <c r="F1170" cm="1">
        <f t="array" ref="F1170">(PRODUCT(1+sp500_monthly!K1171:K1290)^(1/120)-1)*100</f>
        <v>0.1121625024507189</v>
      </c>
      <c r="G1170" cm="1">
        <f t="array" ref="G1170">(PRODUCT(1+sp500_monthly!L1171:L1290)^(1/120)-1)</f>
        <v>2.4054232971691958E-2</v>
      </c>
      <c r="H1170" cm="1">
        <f t="array" ref="H1170">(PRODUCT(1+sp500_monthly!N1171:N1290)^(1/120)-1)*100</f>
        <v>0.10443995625224467</v>
      </c>
      <c r="I1170" cm="1">
        <f t="array" ref="I1170">(PRODUCT(1+sp500_monthly!O1171:O1290)^(1/120)-1)*100</f>
        <v>1.042473217351958E-2</v>
      </c>
    </row>
    <row r="1171" spans="1:9" x14ac:dyDescent="0.35">
      <c r="A1171" s="1">
        <v>45077</v>
      </c>
      <c r="B1171" cm="1">
        <f t="array" ref="B1171">(PRODUCT(1+sp500_monthly!B1172:B1291)^(1/120)-1)*100</f>
        <v>0.11814291329901305</v>
      </c>
      <c r="C1171" cm="1">
        <f t="array" ref="C1171">(PRODUCT(1+sp500_monthly!C1172:C1291)^(1/120)-1)*100</f>
        <v>0.11039761799065406</v>
      </c>
      <c r="D1171" cm="1">
        <f t="array" ref="D1171">(PRODUCT(1+sp500_monthly!D1172:D1291)^(1/120)-1)*100</f>
        <v>0.11903573469793649</v>
      </c>
      <c r="E1171" cm="1">
        <f t="array" ref="E1171">(PRODUCT(1+sp500_monthly!E1172:E1291)^(1/120)-1)*100</f>
        <v>0.10856171140749549</v>
      </c>
      <c r="F1171" cm="1">
        <f t="array" ref="F1171">(PRODUCT(1+sp500_monthly!K1172:K1291)^(1/120)-1)*100</f>
        <v>0.11009443602039148</v>
      </c>
      <c r="G1171" cm="1">
        <f t="array" ref="G1171">(PRODUCT(1+sp500_monthly!L1172:L1291)^(1/120)-1)</f>
        <v>2.143358354265712E-2</v>
      </c>
      <c r="H1171" cm="1">
        <f t="array" ref="H1171">(PRODUCT(1+sp500_monthly!N1172:N1291)^(1/120)-1)*100</f>
        <v>0.1009416322522716</v>
      </c>
      <c r="I1171" cm="1">
        <f t="array" ref="I1171">(PRODUCT(1+sp500_monthly!O1172:O1291)^(1/120)-1)*100</f>
        <v>8.3451661875288963E-3</v>
      </c>
    </row>
    <row r="1172" spans="1:9" x14ac:dyDescent="0.35">
      <c r="A1172" s="1">
        <v>45107</v>
      </c>
      <c r="B1172" cm="1">
        <f t="array" ref="B1172">(PRODUCT(1+sp500_monthly!B1173:B1292)^(1/120)-1)*100</f>
        <v>6.4088719722321663E-2</v>
      </c>
      <c r="C1172" cm="1">
        <f t="array" ref="C1172">(PRODUCT(1+sp500_monthly!C1173:C1292)^(1/120)-1)*100</f>
        <v>5.7364156231942687E-2</v>
      </c>
      <c r="D1172" cm="1">
        <f t="array" ref="D1172">(PRODUCT(1+sp500_monthly!D1173:D1292)^(1/120)-1)*100</f>
        <v>5.5874758619611775E-2</v>
      </c>
      <c r="E1172" cm="1">
        <f t="array" ref="E1172">(PRODUCT(1+sp500_monthly!E1173:E1292)^(1/120)-1)*100</f>
        <v>4.7028174010876889E-2</v>
      </c>
      <c r="F1172" cm="1">
        <f t="array" ref="F1172">(PRODUCT(1+sp500_monthly!K1173:K1292)^(1/120)-1)*100</f>
        <v>5.7784425744045187E-2</v>
      </c>
      <c r="G1172" cm="1">
        <f t="array" ref="G1172">(PRODUCT(1+sp500_monthly!L1173:L1292)^(1/120)-1)</f>
        <v>1.8573561388218529E-2</v>
      </c>
      <c r="H1172" cm="1">
        <f t="array" ref="H1172">(PRODUCT(1+sp500_monthly!N1173:N1292)^(1/120)-1)*100</f>
        <v>4.8648286065566815E-2</v>
      </c>
      <c r="I1172" cm="1">
        <f t="array" ref="I1172">(PRODUCT(1+sp500_monthly!O1173:O1292)^(1/120)-1)*100</f>
        <v>6.7690866824898777E-3</v>
      </c>
    </row>
    <row r="1173" spans="1:9" x14ac:dyDescent="0.35">
      <c r="A1173" s="1">
        <v>45138</v>
      </c>
      <c r="B1173" cm="1">
        <f t="array" ref="B1173">(PRODUCT(1+sp500_monthly!B1174:B1293)^(1/120)-1)*100</f>
        <v>3.8068830076443128E-2</v>
      </c>
      <c r="C1173" cm="1">
        <f t="array" ref="C1173">(PRODUCT(1+sp500_monthly!C1174:C1293)^(1/120)-1)*100</f>
        <v>3.2117997883851501E-2</v>
      </c>
      <c r="D1173" cm="1">
        <f t="array" ref="D1173">(PRODUCT(1+sp500_monthly!D1174:D1293)^(1/120)-1)*100</f>
        <v>2.6955030053410489E-2</v>
      </c>
      <c r="E1173" cm="1">
        <f t="array" ref="E1173">(PRODUCT(1+sp500_monthly!E1174:E1293)^(1/120)-1)*100</f>
        <v>1.8913238329409943E-2</v>
      </c>
      <c r="F1173" cm="1">
        <f t="array" ref="F1173">(PRODUCT(1+sp500_monthly!K1174:K1293)^(1/120)-1)*100</f>
        <v>3.2219579273662369E-2</v>
      </c>
      <c r="G1173" cm="1">
        <f t="array" ref="G1173">(PRODUCT(1+sp500_monthly!L1174:L1293)^(1/120)-1)</f>
        <v>1.5424565663024303E-2</v>
      </c>
      <c r="H1173" cm="1">
        <f t="array" ref="H1173">(PRODUCT(1+sp500_monthly!N1174:N1293)^(1/120)-1)*100</f>
        <v>2.4344305341861272E-2</v>
      </c>
      <c r="I1173" cm="1">
        <f t="array" ref="I1173">(PRODUCT(1+sp500_monthly!O1174:O1293)^(1/120)-1)*100</f>
        <v>4.7388740540998953E-3</v>
      </c>
    </row>
    <row r="1174" spans="1:9" x14ac:dyDescent="0.35">
      <c r="A1174" s="1">
        <v>45169</v>
      </c>
      <c r="B1174" cm="1">
        <f t="array" ref="B1174">(PRODUCT(1+sp500_monthly!B1175:B1294)^(1/120)-1)*100</f>
        <v>5.1028090085059041E-2</v>
      </c>
      <c r="C1174" cm="1">
        <f t="array" ref="C1174">(PRODUCT(1+sp500_monthly!C1175:C1294)^(1/120)-1)*100</f>
        <v>4.6574932547627235E-2</v>
      </c>
      <c r="D1174" cm="1">
        <f t="array" ref="D1174">(PRODUCT(1+sp500_monthly!D1175:D1294)^(1/120)-1)*100</f>
        <v>5.307355131327629E-2</v>
      </c>
      <c r="E1174" cm="1">
        <f t="array" ref="E1174">(PRODUCT(1+sp500_monthly!E1175:E1294)^(1/120)-1)*100</f>
        <v>4.686659471857535E-2</v>
      </c>
      <c r="F1174" cm="1">
        <f t="array" ref="F1174">(PRODUCT(1+sp500_monthly!K1175:K1294)^(1/120)-1)*100</f>
        <v>4.7121160695207109E-2</v>
      </c>
      <c r="G1174" cm="1">
        <f t="array" ref="G1174">(PRODUCT(1+sp500_monthly!L1175:L1294)^(1/120)-1)</f>
        <v>1.2285305291714232E-2</v>
      </c>
      <c r="H1174" cm="1">
        <f t="array" ref="H1174">(PRODUCT(1+sp500_monthly!N1175:N1294)^(1/120)-1)*100</f>
        <v>4.1557353336707514E-2</v>
      </c>
      <c r="I1174" cm="1">
        <f t="array" ref="I1174">(PRODUCT(1+sp500_monthly!O1175:O1294)^(1/120)-1)*100</f>
        <v>5.251200533229472E-3</v>
      </c>
    </row>
    <row r="1175" spans="1:9" x14ac:dyDescent="0.35">
      <c r="A1175" s="1">
        <v>45198</v>
      </c>
      <c r="B1175" cm="1">
        <f t="array" ref="B1175">(PRODUCT(1+sp500_monthly!B1176:B1295)^(1/120)-1)*100</f>
        <v>9.166912042828379E-2</v>
      </c>
      <c r="C1175" cm="1">
        <f t="array" ref="C1175">(PRODUCT(1+sp500_monthly!C1176:C1295)^(1/120)-1)*100</f>
        <v>8.8138548972138686E-2</v>
      </c>
      <c r="D1175" cm="1">
        <f t="array" ref="D1175">(PRODUCT(1+sp500_monthly!D1176:D1295)^(1/120)-1)*100</f>
        <v>9.6128174395926358E-2</v>
      </c>
      <c r="E1175" cm="1">
        <f t="array" ref="E1175">(PRODUCT(1+sp500_monthly!E1176:E1295)^(1/120)-1)*100</f>
        <v>9.1585434226804097E-2</v>
      </c>
      <c r="F1175" cm="1">
        <f t="array" ref="F1175">(PRODUCT(1+sp500_monthly!K1176:K1295)^(1/120)-1)*100</f>
        <v>8.8770924944214791E-2</v>
      </c>
      <c r="G1175" cm="1">
        <f t="array" ref="G1175">(PRODUCT(1+sp500_monthly!L1176:L1295)^(1/120)-1)</f>
        <v>9.2725592481639474E-3</v>
      </c>
      <c r="H1175" cm="1">
        <f t="array" ref="H1175">(PRODUCT(1+sp500_monthly!N1176:N1295)^(1/120)-1)*100</f>
        <v>8.5188200125951852E-2</v>
      </c>
      <c r="I1175" cm="1">
        <f t="array" ref="I1175">(PRODUCT(1+sp500_monthly!O1176:O1295)^(1/120)-1)*100</f>
        <v>4.6666805130213262E-3</v>
      </c>
    </row>
    <row r="1176" spans="1:9" x14ac:dyDescent="0.35">
      <c r="A1176" s="1">
        <v>45230</v>
      </c>
      <c r="B1176" cm="1">
        <f t="array" ref="B1176">(PRODUCT(1+sp500_monthly!B1177:B1296)^(1/120)-1)*100</f>
        <v>0.1094073489259717</v>
      </c>
      <c r="C1176" cm="1">
        <f t="array" ref="C1176">(PRODUCT(1+sp500_monthly!C1177:C1296)^(1/120)-1)*100</f>
        <v>0.1066988804203417</v>
      </c>
      <c r="D1176" cm="1">
        <f t="array" ref="D1176">(PRODUCT(1+sp500_monthly!D1177:D1296)^(1/120)-1)*100</f>
        <v>0.13091456506961752</v>
      </c>
      <c r="E1176" cm="1">
        <f t="array" ref="E1176">(PRODUCT(1+sp500_monthly!E1177:E1296)^(1/120)-1)*100</f>
        <v>0.12725629158110152</v>
      </c>
      <c r="F1176" cm="1">
        <f t="array" ref="F1176">(PRODUCT(1+sp500_monthly!K1177:K1296)^(1/120)-1)*100</f>
        <v>0.10731004898540952</v>
      </c>
      <c r="G1176" cm="1">
        <f t="array" ref="G1176">(PRODUCT(1+sp500_monthly!L1177:L1296)^(1/120)-1)</f>
        <v>6.0374654500714442E-3</v>
      </c>
      <c r="H1176" cm="1">
        <f t="array" ref="H1176">(PRODUCT(1+sp500_monthly!N1177:N1296)^(1/120)-1)*100</f>
        <v>0.10358469073805665</v>
      </c>
      <c r="I1176" cm="1">
        <f t="array" ref="I1176">(PRODUCT(1+sp500_monthly!O1177:O1296)^(1/120)-1)*100</f>
        <v>1.417820929328073E-3</v>
      </c>
    </row>
    <row r="1177" spans="1:9" x14ac:dyDescent="0.35">
      <c r="A1177" s="1">
        <v>45260</v>
      </c>
      <c r="B1177" cm="1">
        <f t="array" ref="B1177">(PRODUCT(1+sp500_monthly!B1178:B1297)^(1/120)-1)*100</f>
        <v>3.6925159182810141E-2</v>
      </c>
      <c r="C1177" cm="1">
        <f t="array" ref="C1177">(PRODUCT(1+sp500_monthly!C1178:C1297)^(1/120)-1)*100</f>
        <v>3.5853413369713039E-2</v>
      </c>
      <c r="D1177" cm="1">
        <f t="array" ref="D1177">(PRODUCT(1+sp500_monthly!D1178:D1297)^(1/120)-1)*100</f>
        <v>5.6913813728343143E-2</v>
      </c>
      <c r="E1177" cm="1">
        <f t="array" ref="E1177">(PRODUCT(1+sp500_monthly!E1178:E1297)^(1/120)-1)*100</f>
        <v>5.5302537477164293E-2</v>
      </c>
      <c r="F1177" cm="1">
        <f t="array" ref="F1177">(PRODUCT(1+sp500_monthly!K1178:K1297)^(1/120)-1)*100</f>
        <v>3.607218283609992E-2</v>
      </c>
      <c r="G1177" cm="1">
        <f t="array" ref="G1177">(PRODUCT(1+sp500_monthly!L1178:L1297)^(1/120)-1)</f>
        <v>2.9850668344679754E-3</v>
      </c>
      <c r="H1177" cm="1">
        <f t="array" ref="H1177">(PRODUCT(1+sp500_monthly!N1178:N1297)^(1/120)-1)*100</f>
        <v>3.2441979944319854E-2</v>
      </c>
      <c r="I1177" cm="1">
        <f t="array" ref="I1177">(PRODUCT(1+sp500_monthly!O1178:O1297)^(1/120)-1)*100</f>
        <v>-9.0596956686672669E-4</v>
      </c>
    </row>
    <row r="1178" spans="1:9" x14ac:dyDescent="0.35">
      <c r="A1178" s="1">
        <v>45289</v>
      </c>
      <c r="B1178" cm="1">
        <f t="array" ref="B1178">(PRODUCT(1+sp500_monthly!B1179:B1298)^(1/120)-1)*100</f>
        <v>0</v>
      </c>
      <c r="C1178" cm="1">
        <f t="array" ref="C1178">(PRODUCT(1+sp500_monthly!C1179:C1298)^(1/120)-1)*100</f>
        <v>0</v>
      </c>
      <c r="D1178" cm="1">
        <f t="array" ref="D1178">(PRODUCT(1+sp500_monthly!D1179:D1298)^(1/120)-1)*100</f>
        <v>0</v>
      </c>
      <c r="E1178" cm="1">
        <f t="array" ref="E1178">(PRODUCT(1+sp500_monthly!E1179:E1298)^(1/120)-1)*100</f>
        <v>0</v>
      </c>
      <c r="F1178" cm="1">
        <f t="array" ref="F1178">(PRODUCT(1+sp500_monthly!K1179:K1298)^(1/120)-1)*100</f>
        <v>0</v>
      </c>
      <c r="G1178" cm="1">
        <f t="array" ref="G1178">(PRODUCT(1+sp500_monthly!L1179:L1298)^(1/120)-1)</f>
        <v>0</v>
      </c>
      <c r="H1178" cm="1">
        <f t="array" ref="H1178">(PRODUCT(1+sp500_monthly!N1179:N1298)^(1/120)-1)*100</f>
        <v>-2.5413636755677871E-3</v>
      </c>
      <c r="I1178" cm="1">
        <f t="array" ref="I1178">(PRODUCT(1+sp500_monthly!O1179:O1298)^(1/120)-1)*100</f>
        <v>-2.5413636755677871E-3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37"/>
  <sheetViews>
    <sheetView workbookViewId="0">
      <selection activeCell="H16" sqref="H16"/>
    </sheetView>
  </sheetViews>
  <sheetFormatPr defaultRowHeight="14.5" x14ac:dyDescent="0.35"/>
  <cols>
    <col min="1" max="1" width="10.08984375" bestFit="1" customWidth="1"/>
  </cols>
  <sheetData>
    <row r="1" spans="1:7" x14ac:dyDescent="0.35">
      <c r="A1" t="s">
        <v>0</v>
      </c>
      <c r="B1" t="str">
        <f>'10years'!B1</f>
        <v>vw_ret</v>
      </c>
      <c r="C1" t="str">
        <f>'10years'!C1</f>
        <v>vw_ret_xd</v>
      </c>
      <c r="D1" t="str">
        <f>'10years'!D1</f>
        <v>ew_ret</v>
      </c>
      <c r="E1" t="str">
        <f>'10years'!E1</f>
        <v>ew_ret_xd</v>
      </c>
      <c r="F1" t="str">
        <f>'10years'!F1</f>
        <v>ret_index</v>
      </c>
      <c r="G1" t="str">
        <f>'10years'!H1</f>
        <v>vw_real_ret</v>
      </c>
    </row>
    <row r="2" spans="1:7" x14ac:dyDescent="0.35">
      <c r="A2" s="1">
        <v>25962</v>
      </c>
      <c r="B2">
        <f>'10years_f'!B543-'10years_f'!$G543</f>
        <v>6.458058518576526E-2</v>
      </c>
      <c r="C2">
        <f>'10years_f'!C543-'10years_f'!$G543</f>
        <v>-0.29057720720227365</v>
      </c>
      <c r="D2">
        <f>'10years_f'!D543-'10years_f'!$G543</f>
        <v>0.29145611376030911</v>
      </c>
      <c r="E2">
        <f>'10years_f'!E543-'10years_f'!$G543</f>
        <v>-7.0340684359963879E-2</v>
      </c>
      <c r="F2">
        <f>'10years_f'!F543-'10years_f'!$G543</f>
        <v>-0.28873799157356639</v>
      </c>
      <c r="G2">
        <f>'10years_f'!H543-'10years_f'!$I543</f>
        <v>5.0840358240444861E-2</v>
      </c>
    </row>
    <row r="3" spans="1:7" x14ac:dyDescent="0.35">
      <c r="A3" s="1">
        <v>25990</v>
      </c>
      <c r="B3">
        <f>'10years_f'!B544-'10years_f'!$G544</f>
        <v>6.544553193081315E-2</v>
      </c>
      <c r="C3">
        <f>'10years_f'!C544-'10years_f'!$G544</f>
        <v>-0.29185081911638511</v>
      </c>
      <c r="D3">
        <f>'10years_f'!D544-'10years_f'!$G544</f>
        <v>0.29158422518886207</v>
      </c>
      <c r="E3">
        <f>'10years_f'!E544-'10years_f'!$G544</f>
        <v>-7.1875275601912758E-2</v>
      </c>
      <c r="F3">
        <f>'10years_f'!F544-'10years_f'!$G544</f>
        <v>-0.29095248905005056</v>
      </c>
      <c r="G3">
        <f>'10years_f'!H544-'10years_f'!$I544</f>
        <v>5.1228000787639782E-2</v>
      </c>
    </row>
    <row r="4" spans="1:7" x14ac:dyDescent="0.35">
      <c r="A4" s="1">
        <v>26023</v>
      </c>
      <c r="B4">
        <f>'10years_f'!B545-'10years_f'!$G545</f>
        <v>5.7964084903361801E-2</v>
      </c>
      <c r="C4">
        <f>'10years_f'!C545-'10years_f'!$G545</f>
        <v>-0.30047181722313532</v>
      </c>
      <c r="D4">
        <f>'10years_f'!D545-'10years_f'!$G545</f>
        <v>0.31812549375355204</v>
      </c>
      <c r="E4">
        <f>'10years_f'!E545-'10years_f'!$G545</f>
        <v>-4.6671484407500685E-2</v>
      </c>
      <c r="F4">
        <f>'10years_f'!F545-'10years_f'!$G545</f>
        <v>-0.29841694980533529</v>
      </c>
      <c r="G4">
        <f>'10years_f'!H545-'10years_f'!$I545</f>
        <v>4.3079348074159807E-2</v>
      </c>
    </row>
    <row r="5" spans="1:7" x14ac:dyDescent="0.35">
      <c r="A5" s="1">
        <v>26053</v>
      </c>
      <c r="B5">
        <f>'10years_f'!B546-'10years_f'!$G546</f>
        <v>4.1297520025780354E-3</v>
      </c>
      <c r="C5">
        <f>'10years_f'!C546-'10years_f'!$G546</f>
        <v>-0.35468715964960418</v>
      </c>
      <c r="D5">
        <f>'10years_f'!D546-'10years_f'!$G546</f>
        <v>0.27831466897144508</v>
      </c>
      <c r="E5">
        <f>'10years_f'!E546-'10years_f'!$G546</f>
        <v>-8.6959465125415081E-2</v>
      </c>
      <c r="F5">
        <f>'10years_f'!F546-'10years_f'!$G546</f>
        <v>-0.35430774214210303</v>
      </c>
      <c r="G5">
        <f>'10years_f'!H546-'10years_f'!$I546</f>
        <v>-1.0762563860089447E-2</v>
      </c>
    </row>
    <row r="6" spans="1:7" x14ac:dyDescent="0.35">
      <c r="A6" s="1">
        <v>26081</v>
      </c>
      <c r="B6">
        <f>'10years_f'!B547-'10years_f'!$G547</f>
        <v>3.4674905427352742E-2</v>
      </c>
      <c r="C6">
        <f>'10years_f'!C547-'10years_f'!$G547</f>
        <v>-0.3263199727112347</v>
      </c>
      <c r="D6">
        <f>'10years_f'!D547-'10years_f'!$G547</f>
        <v>0.32114689402578844</v>
      </c>
      <c r="E6">
        <f>'10years_f'!E547-'10years_f'!$G547</f>
        <v>-4.5625721595669466E-2</v>
      </c>
      <c r="F6">
        <f>'10years_f'!F547-'10years_f'!$G547</f>
        <v>-0.32689191902085901</v>
      </c>
      <c r="G6">
        <f>'10years_f'!H547-'10years_f'!$I547</f>
        <v>1.9075892826492247E-2</v>
      </c>
    </row>
    <row r="7" spans="1:7" x14ac:dyDescent="0.35">
      <c r="A7" s="1">
        <v>26114</v>
      </c>
      <c r="B7">
        <f>'10years_f'!B548-'10years_f'!$G548</f>
        <v>1.8629199923243522E-2</v>
      </c>
      <c r="C7">
        <f>'10years_f'!C548-'10years_f'!$G548</f>
        <v>-0.34365152494410411</v>
      </c>
      <c r="D7">
        <f>'10years_f'!D548-'10years_f'!$G548</f>
        <v>0.31145858128452497</v>
      </c>
      <c r="E7">
        <f>'10years_f'!E548-'10years_f'!$G548</f>
        <v>-5.6614940256720647E-2</v>
      </c>
      <c r="F7">
        <f>'10years_f'!F548-'10years_f'!$G548</f>
        <v>-0.34327282032905915</v>
      </c>
      <c r="G7">
        <f>'10years_f'!H548-'10years_f'!$I548</f>
        <v>2.0542746470120221E-3</v>
      </c>
    </row>
    <row r="8" spans="1:7" x14ac:dyDescent="0.35">
      <c r="A8" s="1">
        <v>26144</v>
      </c>
      <c r="B8">
        <f>'10years_f'!B549-'10years_f'!$G549</f>
        <v>4.8004921795497868E-2</v>
      </c>
      <c r="C8">
        <f>'10years_f'!C549-'10years_f'!$G549</f>
        <v>-0.31485488745960266</v>
      </c>
      <c r="D8">
        <f>'10years_f'!D549-'10years_f'!$G549</f>
        <v>0.32717940716705618</v>
      </c>
      <c r="E8">
        <f>'10years_f'!E549-'10years_f'!$G549</f>
        <v>-4.146362309244056E-2</v>
      </c>
      <c r="F8">
        <f>'10years_f'!F549-'10years_f'!$G549</f>
        <v>-0.31603685877777865</v>
      </c>
      <c r="G8">
        <f>'10years_f'!H549-'10years_f'!$I549</f>
        <v>3.0423538580715004E-2</v>
      </c>
    </row>
    <row r="9" spans="1:7" x14ac:dyDescent="0.35">
      <c r="A9" s="1">
        <v>26176</v>
      </c>
      <c r="B9">
        <f>'10years_f'!B550-'10years_f'!$G550</f>
        <v>-4.0191064861917036E-2</v>
      </c>
      <c r="C9">
        <f>'10years_f'!C550-'10years_f'!$G550</f>
        <v>-0.40555377060836961</v>
      </c>
      <c r="D9">
        <f>'10years_f'!D550-'10years_f'!$G550</f>
        <v>0.22395034522778512</v>
      </c>
      <c r="E9">
        <f>'10years_f'!E550-'10years_f'!$G550</f>
        <v>-0.1461948303284617</v>
      </c>
      <c r="F9">
        <f>'10years_f'!F550-'10years_f'!$G550</f>
        <v>-0.40497931216533289</v>
      </c>
      <c r="G9">
        <f>'10years_f'!H550-'10years_f'!$I550</f>
        <v>-5.8115591144425327E-2</v>
      </c>
    </row>
    <row r="10" spans="1:7" x14ac:dyDescent="0.35">
      <c r="A10" s="1">
        <v>26206</v>
      </c>
      <c r="B10">
        <f>'10years_f'!B551-'10years_f'!$G551</f>
        <v>-8.5844443680551441E-2</v>
      </c>
      <c r="C10">
        <f>'10years_f'!C551-'10years_f'!$G551</f>
        <v>-0.45260337211984392</v>
      </c>
      <c r="D10">
        <f>'10years_f'!D551-'10years_f'!$G551</f>
        <v>0.18512177827815024</v>
      </c>
      <c r="E10">
        <f>'10years_f'!E551-'10years_f'!$G551</f>
        <v>-0.18683151838502421</v>
      </c>
      <c r="F10">
        <f>'10years_f'!F551-'10years_f'!$G551</f>
        <v>-0.45183381000116962</v>
      </c>
      <c r="G10">
        <f>'10years_f'!H551-'10years_f'!$I551</f>
        <v>-0.10417866925017671</v>
      </c>
    </row>
    <row r="11" spans="1:7" x14ac:dyDescent="0.35">
      <c r="A11" s="1">
        <v>26235</v>
      </c>
      <c r="B11">
        <f>'10years_f'!B552-'10years_f'!$G552</f>
        <v>-1.5315196939585052E-2</v>
      </c>
      <c r="C11">
        <f>'10years_f'!C552-'10years_f'!$G552</f>
        <v>-0.38343203402034143</v>
      </c>
      <c r="D11">
        <f>'10years_f'!D552-'10years_f'!$G552</f>
        <v>0.27427936756780436</v>
      </c>
      <c r="E11">
        <f>'10years_f'!E552-'10years_f'!$G552</f>
        <v>-9.8857095312259391E-2</v>
      </c>
      <c r="F11">
        <f>'10years_f'!F552-'10years_f'!$G552</f>
        <v>-0.38249306342424316</v>
      </c>
      <c r="G11">
        <f>'10years_f'!H552-'10years_f'!$I552</f>
        <v>-3.4763866288534118E-2</v>
      </c>
    </row>
    <row r="12" spans="1:7" x14ac:dyDescent="0.35">
      <c r="A12" s="1">
        <v>26267</v>
      </c>
      <c r="B12">
        <f>'10years_f'!B553-'10years_f'!$G553</f>
        <v>1.2714621749871924E-2</v>
      </c>
      <c r="C12">
        <f>'10years_f'!C553-'10years_f'!$G553</f>
        <v>-0.35776452755321042</v>
      </c>
      <c r="D12">
        <f>'10years_f'!D553-'10years_f'!$G553</f>
        <v>0.31829132284272976</v>
      </c>
      <c r="E12">
        <f>'10years_f'!E553-'10years_f'!$G553</f>
        <v>-5.6657634642847121E-2</v>
      </c>
      <c r="F12">
        <f>'10years_f'!F553-'10years_f'!$G553</f>
        <v>-0.35584980284888879</v>
      </c>
      <c r="G12">
        <f>'10years_f'!H553-'10years_f'!$I553</f>
        <v>-7.2484536761563412E-3</v>
      </c>
    </row>
    <row r="13" spans="1:7" x14ac:dyDescent="0.35">
      <c r="A13" s="1">
        <v>26298</v>
      </c>
      <c r="B13">
        <f>'10years_f'!B554-'10years_f'!$G554</f>
        <v>-8.502753159477483E-2</v>
      </c>
      <c r="C13">
        <f>'10years_f'!C554-'10years_f'!$G554</f>
        <v>-0.45639922397521482</v>
      </c>
      <c r="D13">
        <f>'10years_f'!D554-'10years_f'!$G554</f>
        <v>0.21038816509030034</v>
      </c>
      <c r="E13">
        <f>'10years_f'!E554-'10years_f'!$G554</f>
        <v>-0.16561520015500286</v>
      </c>
      <c r="F13">
        <f>'10years_f'!F554-'10years_f'!$G554</f>
        <v>-0.45453435385060215</v>
      </c>
      <c r="G13">
        <f>'10years_f'!H554-'10years_f'!$I554</f>
        <v>-0.10432421713763018</v>
      </c>
    </row>
    <row r="14" spans="1:7" x14ac:dyDescent="0.35">
      <c r="A14" s="1">
        <v>26329</v>
      </c>
      <c r="B14">
        <f>'10years_f'!B555-'10years_f'!$G555</f>
        <v>-0.11830218569865192</v>
      </c>
      <c r="C14">
        <f>'10years_f'!C555-'10years_f'!$G555</f>
        <v>-0.48980171247644844</v>
      </c>
      <c r="D14">
        <f>'10years_f'!D555-'10years_f'!$G555</f>
        <v>0.15789944627312114</v>
      </c>
      <c r="E14">
        <f>'10years_f'!E555-'10years_f'!$G555</f>
        <v>-0.21828784562111547</v>
      </c>
      <c r="F14">
        <f>'10years_f'!F555-'10years_f'!$G555</f>
        <v>-0.48875781672873853</v>
      </c>
      <c r="G14">
        <f>'10years_f'!H555-'10years_f'!$I555</f>
        <v>-0.137156933439464</v>
      </c>
    </row>
    <row r="15" spans="1:7" x14ac:dyDescent="0.35">
      <c r="A15" s="1">
        <v>26358</v>
      </c>
      <c r="B15">
        <f>'10years_f'!B556-'10years_f'!$G556</f>
        <v>-0.19232974144378212</v>
      </c>
      <c r="C15">
        <f>'10years_f'!C556-'10years_f'!$G556</f>
        <v>-0.56774961941818547</v>
      </c>
      <c r="D15">
        <f>'10years_f'!D556-'10years_f'!$G556</f>
        <v>9.7965485165744992E-2</v>
      </c>
      <c r="E15">
        <f>'10years_f'!E556-'10years_f'!$G556</f>
        <v>-0.28054648633967916</v>
      </c>
      <c r="F15">
        <f>'10years_f'!F556-'10years_f'!$G556</f>
        <v>-0.56746614380418081</v>
      </c>
      <c r="G15">
        <f>'10years_f'!H556-'10years_f'!$I556</f>
        <v>-0.21049176995265872</v>
      </c>
    </row>
    <row r="16" spans="1:7" x14ac:dyDescent="0.35">
      <c r="A16" s="1">
        <v>26388</v>
      </c>
      <c r="B16">
        <f>'10years_f'!B557-'10years_f'!$G557</f>
        <v>-0.21013836601772806</v>
      </c>
      <c r="C16">
        <f>'10years_f'!C557-'10years_f'!$G557</f>
        <v>-0.58761048449855413</v>
      </c>
      <c r="D16">
        <f>'10years_f'!D557-'10years_f'!$G557</f>
        <v>8.8165167342538764E-2</v>
      </c>
      <c r="E16">
        <f>'10years_f'!E557-'10years_f'!$G557</f>
        <v>-0.29269965484181815</v>
      </c>
      <c r="F16">
        <f>'10years_f'!F557-'10years_f'!$G557</f>
        <v>-0.58689541938372281</v>
      </c>
      <c r="G16">
        <f>'10years_f'!H557-'10years_f'!$I557</f>
        <v>-0.22810062598379588</v>
      </c>
    </row>
    <row r="17" spans="1:7" x14ac:dyDescent="0.35">
      <c r="A17" s="1">
        <v>26417</v>
      </c>
      <c r="B17">
        <f>'10years_f'!B558-'10years_f'!$G558</f>
        <v>-0.1874357854315758</v>
      </c>
      <c r="C17">
        <f>'10years_f'!C558-'10years_f'!$G558</f>
        <v>-0.56553148362651151</v>
      </c>
      <c r="D17">
        <f>'10years_f'!D558-'10years_f'!$G558</f>
        <v>0.116503081259691</v>
      </c>
      <c r="E17">
        <f>'10years_f'!E558-'10years_f'!$G558</f>
        <v>-0.26509861908297983</v>
      </c>
      <c r="F17">
        <f>'10years_f'!F558-'10years_f'!$G558</f>
        <v>-0.56462804520701426</v>
      </c>
      <c r="G17">
        <f>'10years_f'!H558-'10years_f'!$I558</f>
        <v>-0.20574983551610027</v>
      </c>
    </row>
    <row r="18" spans="1:7" x14ac:dyDescent="0.35">
      <c r="A18" s="1">
        <v>26450</v>
      </c>
      <c r="B18">
        <f>'10years_f'!B559-'10years_f'!$G559</f>
        <v>-0.23698941089339254</v>
      </c>
      <c r="C18">
        <f>'10years_f'!C559-'10years_f'!$G559</f>
        <v>-0.61954305905536877</v>
      </c>
      <c r="D18">
        <f>'10years_f'!D559-'10years_f'!$G559</f>
        <v>7.1699722277399403E-2</v>
      </c>
      <c r="E18">
        <f>'10years_f'!E559-'10years_f'!$G559</f>
        <v>-0.31261049544751529</v>
      </c>
      <c r="F18">
        <f>'10years_f'!F559-'10years_f'!$G559</f>
        <v>-0.61847652119314223</v>
      </c>
      <c r="G18">
        <f>'10years_f'!H559-'10years_f'!$I559</f>
        <v>-0.25501428544130178</v>
      </c>
    </row>
    <row r="19" spans="1:7" x14ac:dyDescent="0.35">
      <c r="A19" s="1">
        <v>26480</v>
      </c>
      <c r="B19">
        <f>'10years_f'!B560-'10years_f'!$G560</f>
        <v>-0.23897367691763916</v>
      </c>
      <c r="C19">
        <f>'10years_f'!C560-'10years_f'!$G560</f>
        <v>-0.62317753211221505</v>
      </c>
      <c r="D19">
        <f>'10years_f'!D560-'10years_f'!$G560</f>
        <v>8.6348219020196515E-2</v>
      </c>
      <c r="E19">
        <f>'10years_f'!E560-'10years_f'!$G560</f>
        <v>-0.29967417670145591</v>
      </c>
      <c r="F19">
        <f>'10years_f'!F560-'10years_f'!$G560</f>
        <v>-0.62288641092841091</v>
      </c>
      <c r="G19">
        <f>'10years_f'!H560-'10years_f'!$I560</f>
        <v>-0.25683822982089932</v>
      </c>
    </row>
    <row r="20" spans="1:7" x14ac:dyDescent="0.35">
      <c r="A20" s="1">
        <v>26511</v>
      </c>
      <c r="B20">
        <f>'10years_f'!B561-'10years_f'!$G561</f>
        <v>-0.26489431929970308</v>
      </c>
      <c r="C20">
        <f>'10years_f'!C561-'10years_f'!$G561</f>
        <v>-0.64967507005154834</v>
      </c>
      <c r="D20">
        <f>'10years_f'!D561-'10years_f'!$G561</f>
        <v>8.4591583141956583E-2</v>
      </c>
      <c r="E20">
        <f>'10years_f'!E561-'10years_f'!$G561</f>
        <v>-0.30192963819903973</v>
      </c>
      <c r="F20">
        <f>'10years_f'!F561-'10years_f'!$G561</f>
        <v>-0.65035152296368892</v>
      </c>
      <c r="G20">
        <f>'10years_f'!H561-'10years_f'!$I561</f>
        <v>-0.28259766804682451</v>
      </c>
    </row>
    <row r="21" spans="1:7" x14ac:dyDescent="0.35">
      <c r="A21" s="1">
        <v>26542</v>
      </c>
      <c r="B21">
        <f>'10years_f'!B562-'10years_f'!$G562</f>
        <v>-0.20117721616410389</v>
      </c>
      <c r="C21">
        <f>'10years_f'!C562-'10years_f'!$G562</f>
        <v>-0.5903712245834507</v>
      </c>
      <c r="D21">
        <f>'10years_f'!D562-'10years_f'!$G562</f>
        <v>0.14870329505847391</v>
      </c>
      <c r="E21">
        <f>'10years_f'!E562-'10years_f'!$G562</f>
        <v>-0.24056417069908509</v>
      </c>
      <c r="F21">
        <f>'10years_f'!F562-'10years_f'!$G562</f>
        <v>-0.59139140308161853</v>
      </c>
      <c r="G21">
        <f>'10years_f'!H562-'10years_f'!$I562</f>
        <v>-0.21898194284055705</v>
      </c>
    </row>
    <row r="22" spans="1:7" x14ac:dyDescent="0.35">
      <c r="A22" s="1">
        <v>26571</v>
      </c>
      <c r="B22">
        <f>'10years_f'!B563-'10years_f'!$G563</f>
        <v>-0.19133397107321026</v>
      </c>
      <c r="C22">
        <f>'10years_f'!C563-'10years_f'!$G563</f>
        <v>-0.58183180412013136</v>
      </c>
      <c r="D22">
        <f>'10years_f'!D563-'10years_f'!$G563</f>
        <v>0.17881932005338563</v>
      </c>
      <c r="E22">
        <f>'10years_f'!E563-'10years_f'!$G563</f>
        <v>-0.21185776163566472</v>
      </c>
      <c r="F22">
        <f>'10years_f'!F563-'10years_f'!$G563</f>
        <v>-0.58264826754748689</v>
      </c>
      <c r="G22">
        <f>'10years_f'!H563-'10years_f'!$I563</f>
        <v>-0.20899252797165202</v>
      </c>
    </row>
    <row r="23" spans="1:7" x14ac:dyDescent="0.35">
      <c r="A23" s="1">
        <v>26603</v>
      </c>
      <c r="B23">
        <f>'10years_f'!B564-'10years_f'!$G564</f>
        <v>-0.1118363475001003</v>
      </c>
      <c r="C23">
        <f>'10years_f'!C564-'10years_f'!$G564</f>
        <v>-0.5034854611254922</v>
      </c>
      <c r="D23">
        <f>'10years_f'!D564-'10years_f'!$G564</f>
        <v>0.28745527620470024</v>
      </c>
      <c r="E23">
        <f>'10years_f'!E564-'10years_f'!$G564</f>
        <v>-0.10393420367503325</v>
      </c>
      <c r="F23">
        <f>'10years_f'!F564-'10years_f'!$G564</f>
        <v>-0.50480321185142984</v>
      </c>
      <c r="G23">
        <f>'10years_f'!H564-'10years_f'!$I564</f>
        <v>-0.12988118248369318</v>
      </c>
    </row>
    <row r="24" spans="1:7" x14ac:dyDescent="0.35">
      <c r="A24" s="1">
        <v>26633</v>
      </c>
      <c r="B24">
        <f>'10years_f'!B565-'10years_f'!$G565</f>
        <v>-0.11786759447312467</v>
      </c>
      <c r="C24">
        <f>'10years_f'!C565-'10years_f'!$G565</f>
        <v>-0.51199086920315406</v>
      </c>
      <c r="D24">
        <f>'10years_f'!D565-'10years_f'!$G565</f>
        <v>0.27484014446871963</v>
      </c>
      <c r="E24">
        <f>'10years_f'!E565-'10years_f'!$G565</f>
        <v>-0.1177545255757686</v>
      </c>
      <c r="F24">
        <f>'10years_f'!F565-'10years_f'!$G565</f>
        <v>-0.51481477023725319</v>
      </c>
      <c r="G24">
        <f>'10years_f'!H565-'10years_f'!$I565</f>
        <v>-0.1356494251363638</v>
      </c>
    </row>
    <row r="25" spans="1:7" x14ac:dyDescent="0.35">
      <c r="A25" s="1">
        <v>26662</v>
      </c>
      <c r="B25">
        <f>'10years_f'!B566-'10years_f'!$G566</f>
        <v>-0.11798815581273647</v>
      </c>
      <c r="C25">
        <f>'10years_f'!C566-'10years_f'!$G566</f>
        <v>-0.51303806213966396</v>
      </c>
      <c r="D25">
        <f>'10years_f'!D566-'10years_f'!$G566</f>
        <v>0.29503571909013715</v>
      </c>
      <c r="E25">
        <f>'10years_f'!E566-'10years_f'!$G566</f>
        <v>-9.8465200483615511E-2</v>
      </c>
      <c r="F25">
        <f>'10years_f'!F566-'10years_f'!$G566</f>
        <v>-0.51481104536469857</v>
      </c>
      <c r="G25">
        <f>'10years_f'!H566-'10years_f'!$I566</f>
        <v>-0.13554254169482194</v>
      </c>
    </row>
    <row r="26" spans="1:7" x14ac:dyDescent="0.35">
      <c r="A26" s="1">
        <v>26695</v>
      </c>
      <c r="B26">
        <f>'10years_f'!B567-'10years_f'!$G567</f>
        <v>-7.6980663202776078E-2</v>
      </c>
      <c r="C26">
        <f>'10years_f'!C567-'10years_f'!$G567</f>
        <v>-0.47269767379963934</v>
      </c>
      <c r="D26">
        <f>'10years_f'!D567-'10years_f'!$G567</f>
        <v>0.36430465481048646</v>
      </c>
      <c r="E26">
        <f>'10years_f'!E567-'10years_f'!$G567</f>
        <v>-2.9833123174118015E-2</v>
      </c>
      <c r="F26">
        <f>'10years_f'!F567-'10years_f'!$G567</f>
        <v>-0.47541218393753049</v>
      </c>
      <c r="G26">
        <f>'10years_f'!H567-'10years_f'!$I567</f>
        <v>-9.4690137612873926E-2</v>
      </c>
    </row>
    <row r="27" spans="1:7" x14ac:dyDescent="0.35">
      <c r="A27" s="1">
        <v>26723</v>
      </c>
      <c r="B27">
        <f>'10years_f'!B568-'10years_f'!$G568</f>
        <v>-2.8759158161772547E-2</v>
      </c>
      <c r="C27">
        <f>'10years_f'!C568-'10years_f'!$G568</f>
        <v>-0.42673034962151757</v>
      </c>
      <c r="D27">
        <f>'10years_f'!D568-'10years_f'!$G568</f>
        <v>0.43769327383108614</v>
      </c>
      <c r="E27">
        <f>'10years_f'!E568-'10years_f'!$G568</f>
        <v>4.275227976652296E-2</v>
      </c>
      <c r="F27">
        <f>'10years_f'!F568-'10years_f'!$G568</f>
        <v>-0.42971385202242818</v>
      </c>
      <c r="G27">
        <f>'10years_f'!H568-'10years_f'!$I568</f>
        <v>-4.6632123860435026E-2</v>
      </c>
    </row>
    <row r="28" spans="1:7" x14ac:dyDescent="0.35">
      <c r="A28" s="1">
        <v>26753</v>
      </c>
      <c r="B28">
        <f>'10years_f'!B569-'10years_f'!$G569</f>
        <v>-1.3544555704503303E-4</v>
      </c>
      <c r="C28">
        <f>'10years_f'!C569-'10years_f'!$G569</f>
        <v>-0.39982556715497375</v>
      </c>
      <c r="D28">
        <f>'10years_f'!D569-'10years_f'!$G569</f>
        <v>0.48991729080497826</v>
      </c>
      <c r="E28">
        <f>'10years_f'!E569-'10years_f'!$G569</f>
        <v>9.4025772968545196E-2</v>
      </c>
      <c r="F28">
        <f>'10years_f'!F569-'10years_f'!$G569</f>
        <v>-0.40284445823418324</v>
      </c>
      <c r="G28">
        <f>'10years_f'!H569-'10years_f'!$I569</f>
        <v>-1.8095931725237158E-2</v>
      </c>
    </row>
    <row r="29" spans="1:7" x14ac:dyDescent="0.35">
      <c r="A29" s="1">
        <v>26784</v>
      </c>
      <c r="B29">
        <f>'10years_f'!B570-'10years_f'!$G570</f>
        <v>9.3804032893352707E-2</v>
      </c>
      <c r="C29">
        <f>'10years_f'!C570-'10years_f'!$G570</f>
        <v>-0.30607148005762297</v>
      </c>
      <c r="D29">
        <f>'10years_f'!D570-'10years_f'!$G570</f>
        <v>0.58660080038307538</v>
      </c>
      <c r="E29">
        <f>'10years_f'!E570-'10years_f'!$G570</f>
        <v>0.19083368831450742</v>
      </c>
      <c r="F29">
        <f>'10years_f'!F570-'10years_f'!$G570</f>
        <v>-0.30926571663351043</v>
      </c>
      <c r="G29">
        <f>'10years_f'!H570-'10years_f'!$I570</f>
        <v>7.5258878742001656E-2</v>
      </c>
    </row>
    <row r="30" spans="1:7" x14ac:dyDescent="0.35">
      <c r="A30" s="1">
        <v>26815</v>
      </c>
      <c r="B30">
        <f>'10years_f'!B571-'10years_f'!$G571</f>
        <v>9.9245146259612449E-2</v>
      </c>
      <c r="C30">
        <f>'10years_f'!C571-'10years_f'!$G571</f>
        <v>-0.30177387673595102</v>
      </c>
      <c r="D30">
        <f>'10years_f'!D571-'10years_f'!$G571</f>
        <v>0.64706471229623497</v>
      </c>
      <c r="E30">
        <f>'10years_f'!E571-'10years_f'!$G571</f>
        <v>0.25110182555099692</v>
      </c>
      <c r="F30">
        <f>'10years_f'!F571-'10years_f'!$G571</f>
        <v>-0.30527719077106474</v>
      </c>
      <c r="G30">
        <f>'10years_f'!H571-'10years_f'!$I571</f>
        <v>8.07280161547963E-2</v>
      </c>
    </row>
    <row r="31" spans="1:7" x14ac:dyDescent="0.35">
      <c r="A31" s="1">
        <v>26844</v>
      </c>
      <c r="B31">
        <f>'10years_f'!B572-'10years_f'!$G572</f>
        <v>0.1326938293193205</v>
      </c>
      <c r="C31">
        <f>'10years_f'!C572-'10years_f'!$G572</f>
        <v>-0.26995996629795993</v>
      </c>
      <c r="D31">
        <f>'10years_f'!D572-'10years_f'!$G572</f>
        <v>0.69486256933676405</v>
      </c>
      <c r="E31">
        <f>'10years_f'!E572-'10years_f'!$G572</f>
        <v>0.29881682891016581</v>
      </c>
      <c r="F31">
        <f>'10years_f'!F572-'10years_f'!$G572</f>
        <v>-0.27220260174486288</v>
      </c>
      <c r="G31">
        <f>'10years_f'!H572-'10years_f'!$I572</f>
        <v>0.11402164467464448</v>
      </c>
    </row>
    <row r="32" spans="1:7" x14ac:dyDescent="0.35">
      <c r="A32" s="1">
        <v>26876</v>
      </c>
      <c r="B32">
        <f>'10years_f'!B573-'10years_f'!$G573</f>
        <v>7.2985052572592135E-2</v>
      </c>
      <c r="C32">
        <f>'10years_f'!C573-'10years_f'!$G573</f>
        <v>-0.32920202277612232</v>
      </c>
      <c r="D32">
        <f>'10years_f'!D573-'10years_f'!$G573</f>
        <v>0.61091115893497738</v>
      </c>
      <c r="E32">
        <f>'10years_f'!E573-'10years_f'!$G573</f>
        <v>0.21563567650047899</v>
      </c>
      <c r="F32">
        <f>'10years_f'!F573-'10years_f'!$G573</f>
        <v>-0.33228650955837891</v>
      </c>
      <c r="G32">
        <f>'10years_f'!H573-'10years_f'!$I573</f>
        <v>5.470411869097358E-2</v>
      </c>
    </row>
    <row r="33" spans="1:7" x14ac:dyDescent="0.35">
      <c r="A33" s="1">
        <v>26907</v>
      </c>
      <c r="B33">
        <f>'10years_f'!B574-'10years_f'!$G574</f>
        <v>0.11263280697711875</v>
      </c>
      <c r="C33">
        <f>'10years_f'!C574-'10years_f'!$G574</f>
        <v>-0.29068853617574386</v>
      </c>
      <c r="D33">
        <f>'10years_f'!D574-'10years_f'!$G574</f>
        <v>0.63166010173912768</v>
      </c>
      <c r="E33">
        <f>'10years_f'!E574-'10years_f'!$G574</f>
        <v>0.23647002360821401</v>
      </c>
      <c r="F33">
        <f>'10years_f'!F574-'10years_f'!$G574</f>
        <v>-0.29209876474706298</v>
      </c>
      <c r="G33">
        <f>'10years_f'!H574-'10years_f'!$I574</f>
        <v>9.4079048524808861E-2</v>
      </c>
    </row>
    <row r="34" spans="1:7" x14ac:dyDescent="0.35">
      <c r="A34" s="1">
        <v>26935</v>
      </c>
      <c r="B34">
        <f>'10years_f'!B575-'10years_f'!$G575</f>
        <v>8.9020023272764259E-2</v>
      </c>
      <c r="C34">
        <f>'10years_f'!C575-'10years_f'!$G575</f>
        <v>-0.31595979719047174</v>
      </c>
      <c r="D34">
        <f>'10years_f'!D575-'10years_f'!$G575</f>
        <v>0.57600917990781797</v>
      </c>
      <c r="E34">
        <f>'10years_f'!E575-'10years_f'!$G575</f>
        <v>0.18053247896650726</v>
      </c>
      <c r="F34">
        <f>'10years_f'!F575-'10years_f'!$G575</f>
        <v>-0.31717537414001429</v>
      </c>
      <c r="G34">
        <f>'10years_f'!H575-'10years_f'!$I575</f>
        <v>7.0606025250019577E-2</v>
      </c>
    </row>
    <row r="35" spans="1:7" x14ac:dyDescent="0.35">
      <c r="A35" s="1">
        <v>26968</v>
      </c>
      <c r="B35">
        <f>'10years_f'!B576-'10years_f'!$G576</f>
        <v>7.677931681560568E-2</v>
      </c>
      <c r="C35">
        <f>'10years_f'!C576-'10years_f'!$G576</f>
        <v>-0.32793433290171969</v>
      </c>
      <c r="D35">
        <f>'10years_f'!D576-'10years_f'!$G576</f>
        <v>0.55877120404282343</v>
      </c>
      <c r="E35">
        <f>'10years_f'!E576-'10years_f'!$G576</f>
        <v>0.16380738638717651</v>
      </c>
      <c r="F35">
        <f>'10years_f'!F576-'10years_f'!$G576</f>
        <v>-0.32978165012808636</v>
      </c>
      <c r="G35">
        <f>'10years_f'!H576-'10years_f'!$I576</f>
        <v>5.8432427691257338E-2</v>
      </c>
    </row>
    <row r="36" spans="1:7" x14ac:dyDescent="0.35">
      <c r="A36" s="1">
        <v>26998</v>
      </c>
      <c r="B36">
        <f>'10years_f'!B577-'10years_f'!$G577</f>
        <v>0.19065367592561211</v>
      </c>
      <c r="C36">
        <f>'10years_f'!C577-'10years_f'!$G577</f>
        <v>-0.21435903219428853</v>
      </c>
      <c r="D36">
        <f>'10years_f'!D577-'10years_f'!$G577</f>
        <v>0.73462617000712482</v>
      </c>
      <c r="E36">
        <f>'10years_f'!E577-'10years_f'!$G577</f>
        <v>0.34010757861278096</v>
      </c>
      <c r="F36">
        <f>'10years_f'!F577-'10years_f'!$G577</f>
        <v>-0.21538702246501851</v>
      </c>
      <c r="G36">
        <f>'10years_f'!H577-'10years_f'!$I577</f>
        <v>0.17159335777008344</v>
      </c>
    </row>
    <row r="37" spans="1:7" x14ac:dyDescent="0.35">
      <c r="A37" s="1">
        <v>27029</v>
      </c>
      <c r="B37">
        <f>'10years_f'!B578-'10years_f'!$G578</f>
        <v>0.17009202863064865</v>
      </c>
      <c r="C37">
        <f>'10years_f'!C578-'10years_f'!$G578</f>
        <v>-0.23614586619869349</v>
      </c>
      <c r="D37">
        <f>'10years_f'!D578-'10years_f'!$G578</f>
        <v>0.71796968781598491</v>
      </c>
      <c r="E37">
        <f>'10years_f'!E578-'10years_f'!$G578</f>
        <v>0.32400985276876537</v>
      </c>
      <c r="F37">
        <f>'10years_f'!F578-'10years_f'!$G578</f>
        <v>-0.23731645161666903</v>
      </c>
      <c r="G37">
        <f>'10years_f'!H578-'10years_f'!$I578</f>
        <v>0.15116969704707106</v>
      </c>
    </row>
    <row r="38" spans="1:7" x14ac:dyDescent="0.35">
      <c r="A38" s="1">
        <v>27060</v>
      </c>
      <c r="B38">
        <f>'10years_f'!B579-'10years_f'!$G579</f>
        <v>0.17258964401089161</v>
      </c>
      <c r="C38">
        <f>'10years_f'!C579-'10years_f'!$G579</f>
        <v>-0.23376621957590205</v>
      </c>
      <c r="D38">
        <f>'10years_f'!D579-'10years_f'!$G579</f>
        <v>0.64745040118100627</v>
      </c>
      <c r="E38">
        <f>'10years_f'!E579-'10years_f'!$G579</f>
        <v>0.25410765035337635</v>
      </c>
      <c r="F38">
        <f>'10years_f'!F579-'10years_f'!$G579</f>
        <v>-0.23768699423883755</v>
      </c>
      <c r="G38">
        <f>'10years_f'!H579-'10years_f'!$I579</f>
        <v>0.15364474150751928</v>
      </c>
    </row>
    <row r="39" spans="1:7" x14ac:dyDescent="0.35">
      <c r="A39" s="1">
        <v>27088</v>
      </c>
      <c r="B39">
        <f>'10years_f'!B580-'10years_f'!$G580</f>
        <v>0.14071588154749071</v>
      </c>
      <c r="C39">
        <f>'10years_f'!C580-'10years_f'!$G580</f>
        <v>-0.26550596336763155</v>
      </c>
      <c r="D39">
        <f>'10years_f'!D580-'10years_f'!$G580</f>
        <v>0.59256293107987412</v>
      </c>
      <c r="E39">
        <f>'10years_f'!E580-'10years_f'!$G580</f>
        <v>0.19966905718977523</v>
      </c>
      <c r="F39">
        <f>'10years_f'!F580-'10years_f'!$G580</f>
        <v>-0.26892259144582153</v>
      </c>
      <c r="G39">
        <f>'10years_f'!H580-'10years_f'!$I580</f>
        <v>0.12200466240042118</v>
      </c>
    </row>
    <row r="40" spans="1:7" x14ac:dyDescent="0.35">
      <c r="A40" s="1">
        <v>27117</v>
      </c>
      <c r="B40">
        <f>'10years_f'!B581-'10years_f'!$G581</f>
        <v>0.17221394082512753</v>
      </c>
      <c r="C40">
        <f>'10years_f'!C581-'10years_f'!$G581</f>
        <v>-0.23594831116658965</v>
      </c>
      <c r="D40">
        <f>'10years_f'!D581-'10years_f'!$G581</f>
        <v>0.62760615563920408</v>
      </c>
      <c r="E40">
        <f>'10years_f'!E581-'10years_f'!$G581</f>
        <v>0.23472406861534378</v>
      </c>
      <c r="F40">
        <f>'10years_f'!F581-'10years_f'!$G581</f>
        <v>-0.23943639075699763</v>
      </c>
      <c r="G40">
        <f>'10years_f'!H581-'10years_f'!$I581</f>
        <v>0.15333932126437855</v>
      </c>
    </row>
    <row r="41" spans="1:7" x14ac:dyDescent="0.35">
      <c r="A41" s="1">
        <v>27149</v>
      </c>
      <c r="B41">
        <f>'10years_f'!B582-'10years_f'!$G582</f>
        <v>0.2096813281222536</v>
      </c>
      <c r="C41">
        <f>'10years_f'!C582-'10years_f'!$G582</f>
        <v>-0.1984370716335766</v>
      </c>
      <c r="D41">
        <f>'10years_f'!D582-'10years_f'!$G582</f>
        <v>0.66683618341688167</v>
      </c>
      <c r="E41">
        <f>'10years_f'!E582-'10years_f'!$G582</f>
        <v>0.27461121133836741</v>
      </c>
      <c r="F41">
        <f>'10years_f'!F582-'10years_f'!$G582</f>
        <v>-0.20199749858777327</v>
      </c>
      <c r="G41">
        <f>'10years_f'!H582-'10years_f'!$I582</f>
        <v>0.19054432578697877</v>
      </c>
    </row>
    <row r="42" spans="1:7" x14ac:dyDescent="0.35">
      <c r="A42" s="1">
        <v>27180</v>
      </c>
      <c r="B42">
        <f>'10years_f'!B583-'10years_f'!$G583</f>
        <v>0.18646815715208609</v>
      </c>
      <c r="C42">
        <f>'10years_f'!C583-'10years_f'!$G583</f>
        <v>-0.22186879061845177</v>
      </c>
      <c r="D42">
        <f>'10years_f'!D583-'10years_f'!$G583</f>
        <v>0.66951594343249665</v>
      </c>
      <c r="E42">
        <f>'10years_f'!E583-'10years_f'!$G583</f>
        <v>0.27809705651695671</v>
      </c>
      <c r="F42">
        <f>'10years_f'!F583-'10years_f'!$G583</f>
        <v>-0.22489388568718338</v>
      </c>
      <c r="G42">
        <f>'10years_f'!H583-'10years_f'!$I583</f>
        <v>0.1674785024549541</v>
      </c>
    </row>
    <row r="43" spans="1:7" x14ac:dyDescent="0.35">
      <c r="A43" s="1">
        <v>27208</v>
      </c>
      <c r="B43">
        <f>'10years_f'!B584-'10years_f'!$G584</f>
        <v>0.21512160452599427</v>
      </c>
      <c r="C43">
        <f>'10years_f'!C584-'10years_f'!$G584</f>
        <v>-0.19530447881998847</v>
      </c>
      <c r="D43">
        <f>'10years_f'!D584-'10years_f'!$G584</f>
        <v>0.71887647164117463</v>
      </c>
      <c r="E43">
        <f>'10years_f'!E584-'10years_f'!$G584</f>
        <v>0.32759794131336473</v>
      </c>
      <c r="F43">
        <f>'10years_f'!F584-'10years_f'!$G584</f>
        <v>-0.1992806022387914</v>
      </c>
      <c r="G43">
        <f>'10years_f'!H584-'10years_f'!$I584</f>
        <v>0.19596714109118007</v>
      </c>
    </row>
    <row r="44" spans="1:7" x14ac:dyDescent="0.35">
      <c r="A44" s="1">
        <v>27241</v>
      </c>
      <c r="B44">
        <f>'10years_f'!B585-'10years_f'!$G585</f>
        <v>0.26962205372363002</v>
      </c>
      <c r="C44">
        <f>'10years_f'!C585-'10years_f'!$G585</f>
        <v>-0.14098805539075432</v>
      </c>
      <c r="D44">
        <f>'10years_f'!D585-'10years_f'!$G585</f>
        <v>0.73425146331942592</v>
      </c>
      <c r="E44">
        <f>'10years_f'!E585-'10years_f'!$G585</f>
        <v>0.34370096158611485</v>
      </c>
      <c r="F44">
        <f>'10years_f'!F585-'10years_f'!$G585</f>
        <v>-0.14630041507974578</v>
      </c>
      <c r="G44">
        <f>'10years_f'!H585-'10years_f'!$I585</f>
        <v>0.25008977186757875</v>
      </c>
    </row>
    <row r="45" spans="1:7" x14ac:dyDescent="0.35">
      <c r="A45" s="1">
        <v>27271</v>
      </c>
      <c r="B45">
        <f>'10years_f'!B586-'10years_f'!$G586</f>
        <v>0.42964725284526528</v>
      </c>
      <c r="C45">
        <f>'10years_f'!C586-'10years_f'!$G586</f>
        <v>2.0261370201167583E-2</v>
      </c>
      <c r="D45">
        <f>'10years_f'!D586-'10years_f'!$G586</f>
        <v>0.91284717474937471</v>
      </c>
      <c r="E45">
        <f>'10years_f'!E586-'10years_f'!$G586</f>
        <v>0.5239975687789431</v>
      </c>
      <c r="F45">
        <f>'10years_f'!F586-'10years_f'!$G586</f>
        <v>1.5879498087499666E-2</v>
      </c>
      <c r="G45">
        <f>'10years_f'!H586-'10years_f'!$I586</f>
        <v>0.40912073966525853</v>
      </c>
    </row>
    <row r="46" spans="1:7" x14ac:dyDescent="0.35">
      <c r="A46" s="1">
        <v>27302</v>
      </c>
      <c r="B46">
        <f>'10years_f'!B587-'10years_f'!$G587</f>
        <v>0.53460024440837195</v>
      </c>
      <c r="C46">
        <f>'10years_f'!C587-'10years_f'!$G587</f>
        <v>0.12404152471976904</v>
      </c>
      <c r="D46">
        <f>'10years_f'!D587-'10years_f'!$G587</f>
        <v>0.98648031860058438</v>
      </c>
      <c r="E46">
        <f>'10years_f'!E587-'10years_f'!$G587</f>
        <v>0.59904766029781786</v>
      </c>
      <c r="F46">
        <f>'10years_f'!F587-'10years_f'!$G587</f>
        <v>0.11926483615816608</v>
      </c>
      <c r="G46">
        <f>'10years_f'!H587-'10years_f'!$I587</f>
        <v>0.51344400552930658</v>
      </c>
    </row>
    <row r="47" spans="1:7" x14ac:dyDescent="0.35">
      <c r="A47" s="1">
        <v>27333</v>
      </c>
      <c r="B47">
        <f>'10years_f'!B588-'10years_f'!$G588</f>
        <v>0.40246600488192219</v>
      </c>
      <c r="C47">
        <f>'10years_f'!C588-'10years_f'!$G588</f>
        <v>-7.8087792522791855E-3</v>
      </c>
      <c r="D47">
        <f>'10years_f'!D588-'10years_f'!$G588</f>
        <v>0.87466221320314053</v>
      </c>
      <c r="E47">
        <f>'10years_f'!E588-'10years_f'!$G588</f>
        <v>0.48874780116139704</v>
      </c>
      <c r="F47">
        <f>'10years_f'!F588-'10years_f'!$G588</f>
        <v>-1.1537275524560853E-2</v>
      </c>
      <c r="G47">
        <f>'10years_f'!H588-'10years_f'!$I588</f>
        <v>0.38199064348745093</v>
      </c>
    </row>
    <row r="48" spans="1:7" x14ac:dyDescent="0.35">
      <c r="A48" s="1">
        <v>27362</v>
      </c>
      <c r="B48">
        <f>'10years_f'!B589-'10years_f'!$G589</f>
        <v>0.43189718850548164</v>
      </c>
      <c r="C48">
        <f>'10years_f'!C589-'10years_f'!$G589</f>
        <v>2.4333464851856057E-2</v>
      </c>
      <c r="D48">
        <f>'10years_f'!D589-'10years_f'!$G589</f>
        <v>0.90534581039166717</v>
      </c>
      <c r="E48">
        <f>'10years_f'!E589-'10years_f'!$G589</f>
        <v>0.52253402487093581</v>
      </c>
      <c r="F48">
        <f>'10years_f'!F589-'10years_f'!$G589</f>
        <v>1.9901748124640406E-2</v>
      </c>
      <c r="G48">
        <f>'10years_f'!H589-'10years_f'!$I589</f>
        <v>0.41132509089325531</v>
      </c>
    </row>
    <row r="49" spans="1:7" x14ac:dyDescent="0.35">
      <c r="A49" s="1">
        <v>27394</v>
      </c>
      <c r="B49">
        <f>'10years_f'!B590-'10years_f'!$G590</f>
        <v>0.46899947413235998</v>
      </c>
      <c r="C49">
        <f>'10years_f'!C590-'10years_f'!$G590</f>
        <v>6.019811466030478E-2</v>
      </c>
      <c r="D49">
        <f>'10years_f'!D590-'10years_f'!$G590</f>
        <v>0.95633234475153261</v>
      </c>
      <c r="E49">
        <f>'10years_f'!E590-'10years_f'!$G590</f>
        <v>0.57481272776637282</v>
      </c>
      <c r="F49">
        <f>'10years_f'!F590-'10years_f'!$G590</f>
        <v>5.6069039489304862E-2</v>
      </c>
      <c r="G49">
        <f>'10years_f'!H590-'10years_f'!$I590</f>
        <v>0.44822287033037256</v>
      </c>
    </row>
    <row r="50" spans="1:7" x14ac:dyDescent="0.35">
      <c r="A50" s="1">
        <v>27425</v>
      </c>
      <c r="B50">
        <f>'10years_f'!B591-'10years_f'!$G591</f>
        <v>0.43257670353946098</v>
      </c>
      <c r="C50">
        <f>'10years_f'!C591-'10years_f'!$G591</f>
        <v>2.3686964757957174E-2</v>
      </c>
      <c r="D50">
        <f>'10years_f'!D591-'10years_f'!$G591</f>
        <v>0.85618458166387112</v>
      </c>
      <c r="E50">
        <f>'10years_f'!E591-'10years_f'!$G591</f>
        <v>0.47543594298652936</v>
      </c>
      <c r="F50">
        <f>'10years_f'!F591-'10years_f'!$G591</f>
        <v>1.8216999469816475E-2</v>
      </c>
      <c r="G50">
        <f>'10years_f'!H591-'10years_f'!$I591</f>
        <v>0.41206116867431586</v>
      </c>
    </row>
    <row r="51" spans="1:7" x14ac:dyDescent="0.35">
      <c r="A51" s="1">
        <v>27453</v>
      </c>
      <c r="B51">
        <f>'10years_f'!B592-'10years_f'!$G592</f>
        <v>0.38802138086266136</v>
      </c>
      <c r="C51">
        <f>'10years_f'!C592-'10years_f'!$G592</f>
        <v>-1.8791281894399825E-2</v>
      </c>
      <c r="D51">
        <f>'10years_f'!D592-'10years_f'!$G592</f>
        <v>0.82408000984125862</v>
      </c>
      <c r="E51">
        <f>'10years_f'!E592-'10years_f'!$G592</f>
        <v>0.44553166511617603</v>
      </c>
      <c r="F51">
        <f>'10years_f'!F592-'10years_f'!$G592</f>
        <v>-2.4734113776444078E-2</v>
      </c>
      <c r="G51">
        <f>'10years_f'!H592-'10years_f'!$I592</f>
        <v>0.36791882273439214</v>
      </c>
    </row>
    <row r="52" spans="1:7" x14ac:dyDescent="0.35">
      <c r="A52" s="1">
        <v>27484</v>
      </c>
      <c r="B52">
        <f>'10years_f'!B593-'10years_f'!$G593</f>
        <v>0.36554034456868512</v>
      </c>
      <c r="C52">
        <f>'10years_f'!C593-'10years_f'!$G593</f>
        <v>-4.244988359209656E-2</v>
      </c>
      <c r="D52">
        <f>'10years_f'!D593-'10years_f'!$G593</f>
        <v>0.76294144951911957</v>
      </c>
      <c r="E52">
        <f>'10years_f'!E593-'10years_f'!$G593</f>
        <v>0.38541984034261856</v>
      </c>
      <c r="F52">
        <f>'10years_f'!F593-'10years_f'!$G593</f>
        <v>-4.7152247706946815E-2</v>
      </c>
      <c r="G52">
        <f>'10years_f'!H593-'10years_f'!$I593</f>
        <v>0.34577053329054586</v>
      </c>
    </row>
    <row r="53" spans="1:7" x14ac:dyDescent="0.35">
      <c r="A53" s="1">
        <v>27514</v>
      </c>
      <c r="B53">
        <f>'10years_f'!B594-'10years_f'!$G594</f>
        <v>0.3192877989227394</v>
      </c>
      <c r="C53">
        <f>'10years_f'!C594-'10years_f'!$G594</f>
        <v>-8.8261003877755373E-2</v>
      </c>
      <c r="D53">
        <f>'10years_f'!D594-'10years_f'!$G594</f>
        <v>0.71489228597152343</v>
      </c>
      <c r="E53">
        <f>'10years_f'!E594-'10years_f'!$G594</f>
        <v>0.33809733400789077</v>
      </c>
      <c r="F53">
        <f>'10years_f'!F594-'10years_f'!$G594</f>
        <v>-9.2248857555322639E-2</v>
      </c>
      <c r="G53">
        <f>'10years_f'!H594-'10years_f'!$I594</f>
        <v>0.29996585696181466</v>
      </c>
    </row>
    <row r="54" spans="1:7" x14ac:dyDescent="0.35">
      <c r="A54" s="1">
        <v>27544</v>
      </c>
      <c r="B54">
        <f>'10years_f'!B595-'10years_f'!$G595</f>
        <v>0.32647371564252703</v>
      </c>
      <c r="C54">
        <f>'10years_f'!C595-'10years_f'!$G595</f>
        <v>-8.065485116776161E-2</v>
      </c>
      <c r="D54">
        <f>'10years_f'!D595-'10years_f'!$G595</f>
        <v>0.71896969960371004</v>
      </c>
      <c r="E54">
        <f>'10years_f'!E595-'10years_f'!$G595</f>
        <v>0.34358526737320227</v>
      </c>
      <c r="F54">
        <f>'10years_f'!F595-'10years_f'!$G595</f>
        <v>-8.630789490055113E-2</v>
      </c>
      <c r="G54">
        <f>'10years_f'!H595-'10years_f'!$I595</f>
        <v>0.30728344842108068</v>
      </c>
    </row>
    <row r="55" spans="1:7" x14ac:dyDescent="0.35">
      <c r="A55" s="1">
        <v>27575</v>
      </c>
      <c r="B55">
        <f>'10years_f'!B596-'10years_f'!$G596</f>
        <v>0.30051472504614041</v>
      </c>
      <c r="C55">
        <f>'10years_f'!C596-'10years_f'!$G596</f>
        <v>-0.1076031174627079</v>
      </c>
      <c r="D55">
        <f>'10years_f'!D596-'10years_f'!$G596</f>
        <v>0.67735388627577664</v>
      </c>
      <c r="E55">
        <f>'10years_f'!E596-'10years_f'!$G596</f>
        <v>0.30259153864627852</v>
      </c>
      <c r="F55">
        <f>'10years_f'!F596-'10years_f'!$G596</f>
        <v>-0.11389429762073244</v>
      </c>
      <c r="G55">
        <f>'10years_f'!H596-'10years_f'!$I596</f>
        <v>0.28165691271571092</v>
      </c>
    </row>
    <row r="56" spans="1:7" x14ac:dyDescent="0.35">
      <c r="A56" s="1">
        <v>27606</v>
      </c>
      <c r="B56">
        <f>'10years_f'!B597-'10years_f'!$G597</f>
        <v>0.35347006255960789</v>
      </c>
      <c r="C56">
        <f>'10years_f'!C597-'10years_f'!$G597</f>
        <v>-5.4638124789768483E-2</v>
      </c>
      <c r="D56">
        <f>'10years_f'!D597-'10years_f'!$G597</f>
        <v>0.73144566541378264</v>
      </c>
      <c r="E56">
        <f>'10years_f'!E597-'10years_f'!$G597</f>
        <v>0.35702080572085926</v>
      </c>
      <c r="F56">
        <f>'10years_f'!F597-'10years_f'!$G597</f>
        <v>-6.0515641247854468E-2</v>
      </c>
      <c r="G56">
        <f>'10years_f'!H597-'10years_f'!$I597</f>
        <v>0.33443734269917869</v>
      </c>
    </row>
    <row r="57" spans="1:7" x14ac:dyDescent="0.35">
      <c r="A57" s="1">
        <v>27635</v>
      </c>
      <c r="B57">
        <f>'10years_f'!B598-'10years_f'!$G598</f>
        <v>0.36064095580375755</v>
      </c>
      <c r="C57">
        <f>'10years_f'!C598-'10years_f'!$G598</f>
        <v>-4.6881781641196607E-2</v>
      </c>
      <c r="D57">
        <f>'10years_f'!D598-'10years_f'!$G598</f>
        <v>0.74781963011797226</v>
      </c>
      <c r="E57">
        <f>'10years_f'!E598-'10years_f'!$G598</f>
        <v>0.37433407655823414</v>
      </c>
      <c r="F57">
        <f>'10years_f'!F598-'10years_f'!$G598</f>
        <v>-5.3431578223074983E-2</v>
      </c>
      <c r="G57">
        <f>'10years_f'!H598-'10years_f'!$I598</f>
        <v>0.34164258737536812</v>
      </c>
    </row>
    <row r="58" spans="1:7" x14ac:dyDescent="0.35">
      <c r="A58" s="1">
        <v>27667</v>
      </c>
      <c r="B58">
        <f>'10years_f'!B599-'10years_f'!$G599</f>
        <v>0.35913753651585423</v>
      </c>
      <c r="C58">
        <f>'10years_f'!C599-'10years_f'!$G599</f>
        <v>-4.9229823798633499E-2</v>
      </c>
      <c r="D58">
        <f>'10years_f'!D599-'10years_f'!$G599</f>
        <v>0.7388601664929737</v>
      </c>
      <c r="E58">
        <f>'10years_f'!E599-'10years_f'!$G599</f>
        <v>0.36637315844735485</v>
      </c>
      <c r="F58">
        <f>'10years_f'!F599-'10years_f'!$G599</f>
        <v>-5.4134683652771409E-2</v>
      </c>
      <c r="G58">
        <f>'10years_f'!H599-'10years_f'!$I599</f>
        <v>0.3402133166408472</v>
      </c>
    </row>
    <row r="59" spans="1:7" x14ac:dyDescent="0.35">
      <c r="A59" s="1">
        <v>27698</v>
      </c>
      <c r="B59">
        <f>'10years_f'!B600-'10years_f'!$G600</f>
        <v>0.34255534821038203</v>
      </c>
      <c r="C59">
        <f>'10years_f'!C600-'10years_f'!$G600</f>
        <v>-6.5552355507859206E-2</v>
      </c>
      <c r="D59">
        <f>'10years_f'!D600-'10years_f'!$G600</f>
        <v>0.73365776404289362</v>
      </c>
      <c r="E59">
        <f>'10years_f'!E600-'10years_f'!$G600</f>
        <v>0.36211167922673915</v>
      </c>
      <c r="F59">
        <f>'10years_f'!F600-'10years_f'!$G600</f>
        <v>-7.0183738700946963E-2</v>
      </c>
      <c r="G59">
        <f>'10years_f'!H600-'10years_f'!$I600</f>
        <v>0.3237747735847174</v>
      </c>
    </row>
    <row r="60" spans="1:7" x14ac:dyDescent="0.35">
      <c r="A60" s="1">
        <v>27726</v>
      </c>
      <c r="B60">
        <f>'10years_f'!B601-'10years_f'!$G601</f>
        <v>0.37417016920565649</v>
      </c>
      <c r="C60">
        <f>'10years_f'!C601-'10years_f'!$G601</f>
        <v>-3.3220408107659249E-2</v>
      </c>
      <c r="D60">
        <f>'10years_f'!D601-'10years_f'!$G601</f>
        <v>0.76312542857569499</v>
      </c>
      <c r="E60">
        <f>'10years_f'!E601-'10years_f'!$G601</f>
        <v>0.39226046956549743</v>
      </c>
      <c r="F60">
        <f>'10years_f'!F601-'10years_f'!$G601</f>
        <v>-3.9670562106575158E-2</v>
      </c>
      <c r="G60">
        <f>'10years_f'!H601-'10years_f'!$I601</f>
        <v>0.35543063562055721</v>
      </c>
    </row>
    <row r="61" spans="1:7" x14ac:dyDescent="0.35">
      <c r="A61" s="1">
        <v>27759</v>
      </c>
      <c r="B61">
        <f>'10years_f'!B602-'10years_f'!$G602</f>
        <v>0.42113131077827592</v>
      </c>
      <c r="C61">
        <f>'10years_f'!C602-'10years_f'!$G602</f>
        <v>1.2677023255467823E-2</v>
      </c>
      <c r="D61">
        <f>'10years_f'!D602-'10years_f'!$G602</f>
        <v>0.79948988665043785</v>
      </c>
      <c r="E61">
        <f>'10years_f'!E602-'10years_f'!$G602</f>
        <v>0.42940090679790366</v>
      </c>
      <c r="F61">
        <f>'10years_f'!F602-'10years_f'!$G602</f>
        <v>5.4782300787907801E-3</v>
      </c>
      <c r="G61">
        <f>'10years_f'!H602-'10years_f'!$I602</f>
        <v>0.40225568691771851</v>
      </c>
    </row>
    <row r="62" spans="1:7" x14ac:dyDescent="0.35">
      <c r="A62" s="1">
        <v>27789</v>
      </c>
      <c r="B62">
        <f>'10years_f'!B603-'10years_f'!$G603</f>
        <v>0.32867114567702638</v>
      </c>
      <c r="C62">
        <f>'10years_f'!C603-'10years_f'!$G603</f>
        <v>-7.9672827043666405E-2</v>
      </c>
      <c r="D62">
        <f>'10years_f'!D603-'10years_f'!$G603</f>
        <v>0.68713655666381213</v>
      </c>
      <c r="E62">
        <f>'10years_f'!E603-'10years_f'!$G603</f>
        <v>0.31763282814323057</v>
      </c>
      <c r="F62">
        <f>'10years_f'!F603-'10years_f'!$G603</f>
        <v>-8.7183480739618791E-2</v>
      </c>
      <c r="G62">
        <f>'10years_f'!H603-'10years_f'!$I603</f>
        <v>0.31040925223371207</v>
      </c>
    </row>
    <row r="63" spans="1:7" x14ac:dyDescent="0.35">
      <c r="A63" s="1">
        <v>27817</v>
      </c>
      <c r="B63">
        <f>'10years_f'!B604-'10years_f'!$G604</f>
        <v>0.39375125542262124</v>
      </c>
      <c r="C63">
        <f>'10years_f'!C604-'10years_f'!$G604</f>
        <v>-1.3781785918846712E-2</v>
      </c>
      <c r="D63">
        <f>'10years_f'!D604-'10years_f'!$G604</f>
        <v>0.72139150830696375</v>
      </c>
      <c r="E63">
        <f>'10years_f'!E604-'10years_f'!$G604</f>
        <v>0.35269774763717221</v>
      </c>
      <c r="F63">
        <f>'10years_f'!F604-'10years_f'!$G604</f>
        <v>-2.1535009539723315E-2</v>
      </c>
      <c r="G63">
        <f>'10years_f'!H604-'10years_f'!$I604</f>
        <v>0.37543208124275473</v>
      </c>
    </row>
    <row r="64" spans="1:7" x14ac:dyDescent="0.35">
      <c r="A64" s="1">
        <v>27850</v>
      </c>
      <c r="B64">
        <f>'10years_f'!B605-'10years_f'!$G605</f>
        <v>0.41056287717430973</v>
      </c>
      <c r="C64">
        <f>'10years_f'!C605-'10years_f'!$G605</f>
        <v>2.4634290971503603E-3</v>
      </c>
      <c r="D64">
        <f>'10years_f'!D605-'10years_f'!$G605</f>
        <v>0.75288649428139731</v>
      </c>
      <c r="E64">
        <f>'10years_f'!E605-'10years_f'!$G605</f>
        <v>0.38509397528385225</v>
      </c>
      <c r="F64">
        <f>'10years_f'!F605-'10years_f'!$G605</f>
        <v>-5.6314012452807205E-3</v>
      </c>
      <c r="G64">
        <f>'10years_f'!H605-'10years_f'!$I605</f>
        <v>0.39240452983690943</v>
      </c>
    </row>
    <row r="65" spans="1:7" x14ac:dyDescent="0.35">
      <c r="A65" s="1">
        <v>27880</v>
      </c>
      <c r="B65">
        <f>'10years_f'!B606-'10years_f'!$G606</f>
        <v>0.40640576160730224</v>
      </c>
      <c r="C65">
        <f>'10years_f'!C606-'10years_f'!$G606</f>
        <v>-2.2098942583939074E-3</v>
      </c>
      <c r="D65">
        <f>'10years_f'!D606-'10years_f'!$G606</f>
        <v>0.74224124612118225</v>
      </c>
      <c r="E65">
        <f>'10years_f'!E606-'10years_f'!$G606</f>
        <v>0.37479807133466303</v>
      </c>
      <c r="F65">
        <f>'10years_f'!F606-'10years_f'!$G606</f>
        <v>-9.2817364874944186E-3</v>
      </c>
      <c r="G65">
        <f>'10years_f'!H606-'10years_f'!$I606</f>
        <v>0.38842254461473047</v>
      </c>
    </row>
    <row r="66" spans="1:7" x14ac:dyDescent="0.35">
      <c r="A66" s="1">
        <v>27908</v>
      </c>
      <c r="B66">
        <f>'10years_f'!B607-'10years_f'!$G607</f>
        <v>0.45746445726681029</v>
      </c>
      <c r="C66">
        <f>'10years_f'!C607-'10years_f'!$G607</f>
        <v>5.0902097995043194E-2</v>
      </c>
      <c r="D66">
        <f>'10years_f'!D607-'10years_f'!$G607</f>
        <v>0.80267259125713708</v>
      </c>
      <c r="E66">
        <f>'10years_f'!E607-'10years_f'!$G607</f>
        <v>0.43644315891645591</v>
      </c>
      <c r="F66">
        <f>'10years_f'!F607-'10years_f'!$G607</f>
        <v>4.2802736161896116E-2</v>
      </c>
      <c r="G66">
        <f>'10years_f'!H607-'10years_f'!$I607</f>
        <v>0.43940431923117362</v>
      </c>
    </row>
    <row r="67" spans="1:7" x14ac:dyDescent="0.35">
      <c r="A67" s="1">
        <v>27941</v>
      </c>
      <c r="B67">
        <f>'10years_f'!B608-'10years_f'!$G608</f>
        <v>0.43349577274800866</v>
      </c>
      <c r="C67">
        <f>'10years_f'!C608-'10years_f'!$G608</f>
        <v>2.6461666102299164E-2</v>
      </c>
      <c r="D67">
        <f>'10years_f'!D608-'10years_f'!$G608</f>
        <v>0.75891305239826168</v>
      </c>
      <c r="E67">
        <f>'10years_f'!E608-'10years_f'!$G608</f>
        <v>0.39385190204060216</v>
      </c>
      <c r="F67">
        <f>'10years_f'!F608-'10years_f'!$G608</f>
        <v>2.0019618011972051E-2</v>
      </c>
      <c r="G67">
        <f>'10years_f'!H608-'10years_f'!$I608</f>
        <v>0.41569164404451353</v>
      </c>
    </row>
    <row r="68" spans="1:7" x14ac:dyDescent="0.35">
      <c r="A68" s="1">
        <v>27971</v>
      </c>
      <c r="B68">
        <f>'10years_f'!B609-'10years_f'!$G609</f>
        <v>0.38916746964205173</v>
      </c>
      <c r="C68">
        <f>'10years_f'!C609-'10years_f'!$G609</f>
        <v>-1.8268493475667613E-2</v>
      </c>
      <c r="D68">
        <f>'10years_f'!D609-'10years_f'!$G609</f>
        <v>0.69736349026382771</v>
      </c>
      <c r="E68">
        <f>'10years_f'!E609-'10years_f'!$G609</f>
        <v>0.33241982719146868</v>
      </c>
      <c r="F68">
        <f>'10years_f'!F609-'10years_f'!$G609</f>
        <v>-2.4425545602521526E-2</v>
      </c>
      <c r="G68">
        <f>'10years_f'!H609-'10years_f'!$I609</f>
        <v>0.37167885356501618</v>
      </c>
    </row>
    <row r="69" spans="1:7" x14ac:dyDescent="0.35">
      <c r="A69" s="1">
        <v>28003</v>
      </c>
      <c r="B69">
        <f>'10years_f'!B610-'10years_f'!$G610</f>
        <v>0.44791703643104852</v>
      </c>
      <c r="C69">
        <f>'10years_f'!C610-'10years_f'!$G610</f>
        <v>4.2378467611962511E-2</v>
      </c>
      <c r="D69">
        <f>'10years_f'!D610-'10years_f'!$G610</f>
        <v>0.76928881171146979</v>
      </c>
      <c r="E69">
        <f>'10years_f'!E610-'10years_f'!$G610</f>
        <v>0.40578161806614044</v>
      </c>
      <c r="F69">
        <f>'10years_f'!F610-'10years_f'!$G610</f>
        <v>3.7213468998068988E-2</v>
      </c>
      <c r="G69">
        <f>'10years_f'!H610-'10years_f'!$I610</f>
        <v>0.43018753137447074</v>
      </c>
    </row>
    <row r="70" spans="1:7" x14ac:dyDescent="0.35">
      <c r="A70" s="1">
        <v>28033</v>
      </c>
      <c r="B70">
        <f>'10years_f'!B611-'10years_f'!$G611</f>
        <v>0.35425167215310371</v>
      </c>
      <c r="C70">
        <f>'10years_f'!C611-'10years_f'!$G611</f>
        <v>-5.1694977368190065E-2</v>
      </c>
      <c r="D70">
        <f>'10years_f'!D611-'10years_f'!$G611</f>
        <v>0.69007157699567512</v>
      </c>
      <c r="E70">
        <f>'10years_f'!E611-'10years_f'!$G611</f>
        <v>0.32762423028880172</v>
      </c>
      <c r="F70">
        <f>'10years_f'!F611-'10years_f'!$G611</f>
        <v>-5.6624980316379192E-2</v>
      </c>
      <c r="G70">
        <f>'10years_f'!H611-'10years_f'!$I611</f>
        <v>0.33704670238230428</v>
      </c>
    </row>
    <row r="71" spans="1:7" x14ac:dyDescent="0.35">
      <c r="A71" s="1">
        <v>28062</v>
      </c>
      <c r="B71">
        <f>'10years_f'!B612-'10years_f'!$G612</f>
        <v>0.41729186150080144</v>
      </c>
      <c r="C71">
        <f>'10years_f'!C612-'10years_f'!$G612</f>
        <v>1.0452033485341961E-2</v>
      </c>
      <c r="D71">
        <f>'10years_f'!D612-'10years_f'!$G612</f>
        <v>0.76185708741850489</v>
      </c>
      <c r="E71">
        <f>'10years_f'!E612-'10years_f'!$G612</f>
        <v>0.39835616569953158</v>
      </c>
      <c r="F71">
        <f>'10years_f'!F612-'10years_f'!$G612</f>
        <v>6.4542248047971817E-3</v>
      </c>
      <c r="G71">
        <f>'10years_f'!H612-'10years_f'!$I612</f>
        <v>0.39983898360576031</v>
      </c>
    </row>
    <row r="72" spans="1:7" x14ac:dyDescent="0.35">
      <c r="A72" s="1">
        <v>28094</v>
      </c>
      <c r="B72">
        <f>'10years_f'!B613-'10years_f'!$G613</f>
        <v>0.43898276142669146</v>
      </c>
      <c r="C72">
        <f>'10years_f'!C613-'10years_f'!$G613</f>
        <v>3.4220001636357855E-2</v>
      </c>
      <c r="D72">
        <f>'10years_f'!D613-'10years_f'!$G613</f>
        <v>0.76147005036564663</v>
      </c>
      <c r="E72">
        <f>'10years_f'!E613-'10years_f'!$G613</f>
        <v>0.39913419686151008</v>
      </c>
      <c r="F72">
        <f>'10years_f'!F613-'10years_f'!$G613</f>
        <v>3.0946984267936406E-2</v>
      </c>
      <c r="G72">
        <f>'10years_f'!H613-'10years_f'!$I613</f>
        <v>0.42140083631465597</v>
      </c>
    </row>
    <row r="73" spans="1:7" x14ac:dyDescent="0.35">
      <c r="A73" s="1">
        <v>28125</v>
      </c>
      <c r="B73">
        <f>'10years_f'!B614-'10years_f'!$G614</f>
        <v>0.37044423202864385</v>
      </c>
      <c r="C73">
        <f>'10years_f'!C614-'10years_f'!$G614</f>
        <v>-3.5067895835794172E-2</v>
      </c>
      <c r="D73">
        <f>'10years_f'!D614-'10years_f'!$G614</f>
        <v>0.67184687916769237</v>
      </c>
      <c r="E73">
        <f>'10years_f'!E614-'10years_f'!$G614</f>
        <v>0.30994950624777529</v>
      </c>
      <c r="F73">
        <f>'10years_f'!F614-'10years_f'!$G614</f>
        <v>-3.6970213907638882E-2</v>
      </c>
      <c r="G73">
        <f>'10years_f'!H614-'10years_f'!$I614</f>
        <v>0.35337052396862134</v>
      </c>
    </row>
    <row r="74" spans="1:7" x14ac:dyDescent="0.35">
      <c r="A74" s="1">
        <v>28156</v>
      </c>
      <c r="B74">
        <f>'10years_f'!B615-'10years_f'!$G615</f>
        <v>0.5196496647409059</v>
      </c>
      <c r="C74">
        <f>'10years_f'!C615-'10years_f'!$G615</f>
        <v>0.1137946770147662</v>
      </c>
      <c r="D74">
        <f>'10years_f'!D615-'10years_f'!$G615</f>
        <v>0.81204360277008436</v>
      </c>
      <c r="E74">
        <f>'10years_f'!E615-'10years_f'!$G615</f>
        <v>0.45014282823235763</v>
      </c>
      <c r="F74">
        <f>'10years_f'!F615-'10years_f'!$G615</f>
        <v>0.10987399635701212</v>
      </c>
      <c r="G74">
        <f>'10years_f'!H615-'10years_f'!$I615</f>
        <v>0.50189593511273944</v>
      </c>
    </row>
    <row r="75" spans="1:7" x14ac:dyDescent="0.35">
      <c r="A75" s="1">
        <v>28184</v>
      </c>
      <c r="B75">
        <f>'10years_f'!B616-'10years_f'!$G616</f>
        <v>0.56666328259170706</v>
      </c>
      <c r="C75">
        <f>'10years_f'!C616-'10years_f'!$G616</f>
        <v>0.16323157577958858</v>
      </c>
      <c r="D75">
        <f>'10years_f'!D616-'10years_f'!$G616</f>
        <v>0.87610009741562278</v>
      </c>
      <c r="E75">
        <f>'10years_f'!E616-'10years_f'!$G616</f>
        <v>0.51592847765503747</v>
      </c>
      <c r="F75">
        <f>'10years_f'!F616-'10years_f'!$G616</f>
        <v>0.15792653083682806</v>
      </c>
      <c r="G75">
        <f>'10years_f'!H616-'10years_f'!$I616</f>
        <v>0.54884348772012981</v>
      </c>
    </row>
    <row r="76" spans="1:7" x14ac:dyDescent="0.35">
      <c r="A76" s="1">
        <v>28215</v>
      </c>
      <c r="B76">
        <f>'10years_f'!B617-'10years_f'!$G617</f>
        <v>0.59832343651008624</v>
      </c>
      <c r="C76">
        <f>'10years_f'!C617-'10years_f'!$G617</f>
        <v>0.19445198340199066</v>
      </c>
      <c r="D76">
        <f>'10years_f'!D617-'10years_f'!$G617</f>
        <v>0.89124658323945982</v>
      </c>
      <c r="E76">
        <f>'10years_f'!E617-'10years_f'!$G617</f>
        <v>0.53205371967236714</v>
      </c>
      <c r="F76">
        <f>'10years_f'!F617-'10years_f'!$G617</f>
        <v>0.19079742765354601</v>
      </c>
      <c r="G76">
        <f>'10years_f'!H617-'10years_f'!$I617</f>
        <v>0.58049546691711917</v>
      </c>
    </row>
    <row r="77" spans="1:7" x14ac:dyDescent="0.35">
      <c r="A77" s="1">
        <v>28244</v>
      </c>
      <c r="B77">
        <f>'10years_f'!B618-'10years_f'!$G618</f>
        <v>0.58950154683041966</v>
      </c>
      <c r="C77">
        <f>'10years_f'!C618-'10years_f'!$G618</f>
        <v>0.18488509822882837</v>
      </c>
      <c r="D77">
        <f>'10years_f'!D618-'10years_f'!$G618</f>
        <v>0.87293507044423824</v>
      </c>
      <c r="E77">
        <f>'10years_f'!E618-'10years_f'!$G618</f>
        <v>0.51283364839487455</v>
      </c>
      <c r="F77">
        <f>'10years_f'!F618-'10years_f'!$G618</f>
        <v>0.18033354893649745</v>
      </c>
      <c r="G77">
        <f>'10years_f'!H618-'10years_f'!$I618</f>
        <v>0.57183814406163158</v>
      </c>
    </row>
    <row r="78" spans="1:7" x14ac:dyDescent="0.35">
      <c r="A78" s="1">
        <v>28276</v>
      </c>
      <c r="B78">
        <f>'10years_f'!B619-'10years_f'!$G619</f>
        <v>0.60988507657783364</v>
      </c>
      <c r="C78">
        <f>'10years_f'!C619-'10years_f'!$G619</f>
        <v>0.20917579369318551</v>
      </c>
      <c r="D78">
        <f>'10years_f'!D619-'10years_f'!$G619</f>
        <v>0.89551185432727065</v>
      </c>
      <c r="E78">
        <f>'10years_f'!E619-'10years_f'!$G619</f>
        <v>0.53795771646131429</v>
      </c>
      <c r="F78">
        <f>'10years_f'!F619-'10years_f'!$G619</f>
        <v>0.20534474330514874</v>
      </c>
      <c r="G78">
        <f>'10years_f'!H619-'10years_f'!$I619</f>
        <v>0.59213864493157242</v>
      </c>
    </row>
    <row r="79" spans="1:7" x14ac:dyDescent="0.35">
      <c r="A79" s="1">
        <v>28306</v>
      </c>
      <c r="B79">
        <f>'10years_f'!B620-'10years_f'!$G620</f>
        <v>0.61099169177190915</v>
      </c>
      <c r="C79">
        <f>'10years_f'!C620-'10years_f'!$G620</f>
        <v>0.20994552537133315</v>
      </c>
      <c r="D79">
        <f>'10years_f'!D620-'10years_f'!$G620</f>
        <v>0.88772134648796608</v>
      </c>
      <c r="E79">
        <f>'10years_f'!E620-'10years_f'!$G620</f>
        <v>0.53088052506880845</v>
      </c>
      <c r="F79">
        <f>'10years_f'!F620-'10years_f'!$G620</f>
        <v>0.20660144723068963</v>
      </c>
      <c r="G79">
        <f>'10years_f'!H620-'10years_f'!$I620</f>
        <v>0.59336935082994202</v>
      </c>
    </row>
    <row r="80" spans="1:7" x14ac:dyDescent="0.35">
      <c r="A80" s="1">
        <v>28335</v>
      </c>
      <c r="B80">
        <f>'10years_f'!B621-'10years_f'!$G621</f>
        <v>0.66483218393383092</v>
      </c>
      <c r="C80">
        <f>'10years_f'!C621-'10years_f'!$G621</f>
        <v>0.26297033489866317</v>
      </c>
      <c r="D80">
        <f>'10years_f'!D621-'10years_f'!$G621</f>
        <v>0.95591903569039216</v>
      </c>
      <c r="E80">
        <f>'10years_f'!E621-'10years_f'!$G621</f>
        <v>0.59821283772907607</v>
      </c>
      <c r="F80">
        <f>'10years_f'!F621-'10years_f'!$G621</f>
        <v>0.25958429980153275</v>
      </c>
      <c r="G80">
        <f>'10years_f'!H621-'10years_f'!$I621</f>
        <v>0.64700435983811033</v>
      </c>
    </row>
    <row r="81" spans="1:7" x14ac:dyDescent="0.35">
      <c r="A81" s="1">
        <v>28368</v>
      </c>
      <c r="B81">
        <f>'10years_f'!B622-'10years_f'!$G622</f>
        <v>0.70742237213275683</v>
      </c>
      <c r="C81">
        <f>'10years_f'!C622-'10years_f'!$G622</f>
        <v>0.30918466538763756</v>
      </c>
      <c r="D81">
        <f>'10years_f'!D622-'10years_f'!$G622</f>
        <v>0.99266268544729552</v>
      </c>
      <c r="E81">
        <f>'10years_f'!E622-'10years_f'!$G622</f>
        <v>0.63757997591092597</v>
      </c>
      <c r="F81">
        <f>'10years_f'!F622-'10years_f'!$G622</f>
        <v>0.30611083064774025</v>
      </c>
      <c r="G81">
        <f>'10years_f'!H622-'10years_f'!$I622</f>
        <v>0.68942048242792708</v>
      </c>
    </row>
    <row r="82" spans="1:7" x14ac:dyDescent="0.35">
      <c r="A82" s="1">
        <v>28398</v>
      </c>
      <c r="B82">
        <f>'10years_f'!B623-'10years_f'!$G623</f>
        <v>0.68917144980628553</v>
      </c>
      <c r="C82">
        <f>'10years_f'!C623-'10years_f'!$G623</f>
        <v>0.29106695029472096</v>
      </c>
      <c r="D82">
        <f>'10years_f'!D623-'10years_f'!$G623</f>
        <v>0.98011305901734502</v>
      </c>
      <c r="E82">
        <f>'10years_f'!E623-'10years_f'!$G623</f>
        <v>0.62592133048135423</v>
      </c>
      <c r="F82">
        <f>'10years_f'!F623-'10years_f'!$G623</f>
        <v>0.28740878969592476</v>
      </c>
      <c r="G82">
        <f>'10years_f'!H623-'10years_f'!$I623</f>
        <v>0.67129517948698592</v>
      </c>
    </row>
    <row r="83" spans="1:7" x14ac:dyDescent="0.35">
      <c r="A83" s="1">
        <v>28429</v>
      </c>
      <c r="B83">
        <f>'10years_f'!B624-'10years_f'!$G624</f>
        <v>0.51910948044760041</v>
      </c>
      <c r="C83">
        <f>'10years_f'!C624-'10years_f'!$G624</f>
        <v>0.12101765873515746</v>
      </c>
      <c r="D83">
        <f>'10years_f'!D624-'10years_f'!$G624</f>
        <v>0.76084097303048659</v>
      </c>
      <c r="E83">
        <f>'10years_f'!E624-'10years_f'!$G624</f>
        <v>0.40737497713434601</v>
      </c>
      <c r="F83">
        <f>'10years_f'!F624-'10years_f'!$G624</f>
        <v>0.11729612353646002</v>
      </c>
      <c r="G83">
        <f>'10years_f'!H624-'10years_f'!$I624</f>
        <v>0.50223126910671212</v>
      </c>
    </row>
    <row r="84" spans="1:7" x14ac:dyDescent="0.35">
      <c r="A84" s="1">
        <v>28459</v>
      </c>
      <c r="B84">
        <f>'10years_f'!B625-'10years_f'!$G625</f>
        <v>0.41815468681767332</v>
      </c>
      <c r="C84">
        <f>'10years_f'!C625-'10years_f'!$G625</f>
        <v>2.4160050963994983E-2</v>
      </c>
      <c r="D84">
        <f>'10years_f'!D625-'10years_f'!$G625</f>
        <v>0.65646746031093883</v>
      </c>
      <c r="E84">
        <f>'10years_f'!E625-'10years_f'!$G625</f>
        <v>0.30524048643962853</v>
      </c>
      <c r="F84">
        <f>'10years_f'!F625-'10years_f'!$G625</f>
        <v>2.1526310936681448E-2</v>
      </c>
      <c r="G84">
        <f>'10years_f'!H625-'10years_f'!$I625</f>
        <v>0.40155416179870063</v>
      </c>
    </row>
    <row r="85" spans="1:7" x14ac:dyDescent="0.35">
      <c r="A85" s="1">
        <v>28489</v>
      </c>
      <c r="B85">
        <f>'10years_f'!B626-'10years_f'!$G626</f>
        <v>0.47459216081654931</v>
      </c>
      <c r="C85">
        <f>'10years_f'!C626-'10years_f'!$G626</f>
        <v>7.9728792942084237E-2</v>
      </c>
      <c r="D85">
        <f>'10years_f'!D626-'10years_f'!$G626</f>
        <v>0.7328037902236173</v>
      </c>
      <c r="E85">
        <f>'10years_f'!E626-'10years_f'!$G626</f>
        <v>0.38188193765728462</v>
      </c>
      <c r="F85">
        <f>'10years_f'!F626-'10years_f'!$G626</f>
        <v>7.9193769160472716E-2</v>
      </c>
      <c r="G85">
        <f>'10years_f'!H626-'10years_f'!$I626</f>
        <v>0.45755275896892655</v>
      </c>
    </row>
    <row r="86" spans="1:7" x14ac:dyDescent="0.35">
      <c r="A86" s="1">
        <v>28521</v>
      </c>
      <c r="B86">
        <f>'10years_f'!B627-'10years_f'!$G627</f>
        <v>0.56472077147795474</v>
      </c>
      <c r="C86">
        <f>'10years_f'!C627-'10years_f'!$G627</f>
        <v>0.16996493775038779</v>
      </c>
      <c r="D86">
        <f>'10years_f'!D627-'10years_f'!$G627</f>
        <v>0.82154248387220541</v>
      </c>
      <c r="E86">
        <f>'10years_f'!E627-'10years_f'!$G627</f>
        <v>0.47096360320817343</v>
      </c>
      <c r="F86">
        <f>'10years_f'!F627-'10years_f'!$G627</f>
        <v>0.16791785453056285</v>
      </c>
      <c r="G86">
        <f>'10years_f'!H627-'10years_f'!$I627</f>
        <v>0.54684183344084758</v>
      </c>
    </row>
    <row r="87" spans="1:7" x14ac:dyDescent="0.35">
      <c r="A87" s="1">
        <v>28549</v>
      </c>
      <c r="B87">
        <f>'10years_f'!B628-'10years_f'!$G628</f>
        <v>0.61769471799335474</v>
      </c>
      <c r="C87">
        <f>'10years_f'!C628-'10years_f'!$G628</f>
        <v>0.22464962034143188</v>
      </c>
      <c r="D87">
        <f>'10years_f'!D628-'10years_f'!$G628</f>
        <v>0.89163248810093432</v>
      </c>
      <c r="E87">
        <f>'10years_f'!E628-'10years_f'!$G628</f>
        <v>0.54242138593765166</v>
      </c>
      <c r="F87">
        <f>'10years_f'!F628-'10years_f'!$G628</f>
        <v>0.22345381628878691</v>
      </c>
      <c r="G87">
        <f>'10years_f'!H628-'10years_f'!$I628</f>
        <v>0.59956012427888616</v>
      </c>
    </row>
    <row r="88" spans="1:7" x14ac:dyDescent="0.35">
      <c r="A88" s="1">
        <v>28580</v>
      </c>
      <c r="B88">
        <f>'10years_f'!B629-'10years_f'!$G629</f>
        <v>0.56967833067824136</v>
      </c>
      <c r="C88">
        <f>'10years_f'!C629-'10years_f'!$G629</f>
        <v>0.17673888360782408</v>
      </c>
      <c r="D88">
        <f>'10years_f'!D629-'10years_f'!$G629</f>
        <v>0.84241737013185913</v>
      </c>
      <c r="E88">
        <f>'10years_f'!E629-'10years_f'!$G629</f>
        <v>0.49439092442792854</v>
      </c>
      <c r="F88">
        <f>'10years_f'!F629-'10years_f'!$G629</f>
        <v>0.17509358805449216</v>
      </c>
      <c r="G88">
        <f>'10years_f'!H629-'10years_f'!$I629</f>
        <v>0.55169023787409177</v>
      </c>
    </row>
    <row r="89" spans="1:7" x14ac:dyDescent="0.35">
      <c r="A89" s="1">
        <v>28608</v>
      </c>
      <c r="B89">
        <f>'10years_f'!B630-'10years_f'!$G630</f>
        <v>0.50735475400982466</v>
      </c>
      <c r="C89">
        <f>'10years_f'!C630-'10years_f'!$G630</f>
        <v>0.1142680197560022</v>
      </c>
      <c r="D89">
        <f>'10years_f'!D630-'10years_f'!$G630</f>
        <v>0.77754882002116688</v>
      </c>
      <c r="E89">
        <f>'10years_f'!E630-'10years_f'!$G630</f>
        <v>0.43001337093153591</v>
      </c>
      <c r="F89">
        <f>'10years_f'!F630-'10years_f'!$G630</f>
        <v>0.11485023844854858</v>
      </c>
      <c r="G89">
        <f>'10years_f'!H630-'10years_f'!$I630</f>
        <v>0.48959515546089794</v>
      </c>
    </row>
    <row r="90" spans="1:7" x14ac:dyDescent="0.35">
      <c r="A90" s="1">
        <v>28641</v>
      </c>
      <c r="B90">
        <f>'10years_f'!B631-'10years_f'!$G631</f>
        <v>0.50259258648528338</v>
      </c>
      <c r="C90">
        <f>'10years_f'!C631-'10years_f'!$G631</f>
        <v>0.11296703698908583</v>
      </c>
      <c r="D90">
        <f>'10years_f'!D631-'10years_f'!$G631</f>
        <v>0.75346496386254813</v>
      </c>
      <c r="E90">
        <f>'10years_f'!E631-'10years_f'!$G631</f>
        <v>0.40811751555722608</v>
      </c>
      <c r="F90">
        <f>'10years_f'!F631-'10years_f'!$G631</f>
        <v>0.11396453232284021</v>
      </c>
      <c r="G90">
        <f>'10years_f'!H631-'10years_f'!$I631</f>
        <v>0.48488443167271633</v>
      </c>
    </row>
    <row r="91" spans="1:7" x14ac:dyDescent="0.35">
      <c r="A91" s="1">
        <v>28671</v>
      </c>
      <c r="B91">
        <f>'10years_f'!B632-'10years_f'!$G632</f>
        <v>0.5564640415445723</v>
      </c>
      <c r="C91">
        <f>'10years_f'!C632-'10years_f'!$G632</f>
        <v>0.16657033669773913</v>
      </c>
      <c r="D91">
        <f>'10years_f'!D632-'10years_f'!$G632</f>
        <v>0.81378796750004945</v>
      </c>
      <c r="E91">
        <f>'10years_f'!E632-'10years_f'!$G632</f>
        <v>0.46924003536885994</v>
      </c>
      <c r="F91">
        <f>'10years_f'!F632-'10years_f'!$G632</f>
        <v>0.16493801750259518</v>
      </c>
      <c r="G91">
        <f>'10years_f'!H632-'10years_f'!$I632</f>
        <v>0.53844882257838567</v>
      </c>
    </row>
    <row r="92" spans="1:7" x14ac:dyDescent="0.35">
      <c r="A92" s="1">
        <v>28702</v>
      </c>
      <c r="B92">
        <f>'10years_f'!B633-'10years_f'!$G633</f>
        <v>0.50640920840095971</v>
      </c>
      <c r="C92">
        <f>'10years_f'!C633-'10years_f'!$G633</f>
        <v>0.11570350791628714</v>
      </c>
      <c r="D92">
        <f>'10years_f'!D633-'10years_f'!$G633</f>
        <v>0.75468044991330308</v>
      </c>
      <c r="E92">
        <f>'10years_f'!E633-'10years_f'!$G633</f>
        <v>0.40857082170723258</v>
      </c>
      <c r="F92">
        <f>'10years_f'!F633-'10years_f'!$G633</f>
        <v>0.11671307494541816</v>
      </c>
      <c r="G92">
        <f>'10years_f'!H633-'10years_f'!$I633</f>
        <v>0.48860817020170977</v>
      </c>
    </row>
    <row r="93" spans="1:7" x14ac:dyDescent="0.35">
      <c r="A93" s="1">
        <v>28733</v>
      </c>
      <c r="B93">
        <f>'10years_f'!B634-'10years_f'!$G634</f>
        <v>0.45038355827082244</v>
      </c>
      <c r="C93">
        <f>'10years_f'!C634-'10years_f'!$G634</f>
        <v>6.2303452656869762E-2</v>
      </c>
      <c r="D93">
        <f>'10years_f'!D634-'10years_f'!$G634</f>
        <v>0.6840732169659689</v>
      </c>
      <c r="E93">
        <f>'10years_f'!E634-'10years_f'!$G634</f>
        <v>0.33961781573336713</v>
      </c>
      <c r="F93">
        <f>'10years_f'!F634-'10years_f'!$G634</f>
        <v>6.1873372567971874E-2</v>
      </c>
      <c r="G93">
        <f>'10years_f'!H634-'10years_f'!$I634</f>
        <v>0.43288716578775421</v>
      </c>
    </row>
    <row r="94" spans="1:7" x14ac:dyDescent="0.35">
      <c r="A94" s="1">
        <v>28762</v>
      </c>
      <c r="B94">
        <f>'10years_f'!B635-'10years_f'!$G635</f>
        <v>0.490037542745275</v>
      </c>
      <c r="C94">
        <f>'10years_f'!C635-'10years_f'!$G635</f>
        <v>0.10162659000742513</v>
      </c>
      <c r="D94">
        <f>'10years_f'!D635-'10years_f'!$G635</f>
        <v>0.7257418814735348</v>
      </c>
      <c r="E94">
        <f>'10years_f'!E635-'10years_f'!$G635</f>
        <v>0.38193855331822268</v>
      </c>
      <c r="F94">
        <f>'10years_f'!F635-'10years_f'!$G635</f>
        <v>0.10072002865101881</v>
      </c>
      <c r="G94">
        <f>'10years_f'!H635-'10years_f'!$I635</f>
        <v>0.47236551168121643</v>
      </c>
    </row>
    <row r="95" spans="1:7" x14ac:dyDescent="0.35">
      <c r="A95" s="1">
        <v>28794</v>
      </c>
      <c r="B95">
        <f>'10years_f'!B636-'10years_f'!$G636</f>
        <v>0.59221750061996459</v>
      </c>
      <c r="C95">
        <f>'10years_f'!C636-'10years_f'!$G636</f>
        <v>0.20299052630948977</v>
      </c>
      <c r="D95">
        <f>'10years_f'!D636-'10years_f'!$G636</f>
        <v>0.85838633620049154</v>
      </c>
      <c r="E95">
        <f>'10years_f'!E636-'10years_f'!$G636</f>
        <v>0.51419123905906061</v>
      </c>
      <c r="F95">
        <f>'10years_f'!F636-'10years_f'!$G636</f>
        <v>0.20360291439026823</v>
      </c>
      <c r="G95">
        <f>'10years_f'!H636-'10years_f'!$I636</f>
        <v>0.57405030051544959</v>
      </c>
    </row>
    <row r="96" spans="1:7" x14ac:dyDescent="0.35">
      <c r="A96" s="1">
        <v>28824</v>
      </c>
      <c r="B96">
        <f>'10years_f'!B637-'10years_f'!$G637</f>
        <v>0.55884956742785752</v>
      </c>
      <c r="C96">
        <f>'10years_f'!C637-'10years_f'!$G637</f>
        <v>0.17283177946642292</v>
      </c>
      <c r="D96">
        <f>'10years_f'!D637-'10years_f'!$G637</f>
        <v>0.81587911894804011</v>
      </c>
      <c r="E96">
        <f>'10years_f'!E637-'10years_f'!$G637</f>
        <v>0.47325554731913178</v>
      </c>
      <c r="F96">
        <f>'10years_f'!F637-'10years_f'!$G637</f>
        <v>0.17482580895745992</v>
      </c>
      <c r="G96">
        <f>'10years_f'!H637-'10years_f'!$I637</f>
        <v>0.54080342180502505</v>
      </c>
    </row>
    <row r="97" spans="1:7" x14ac:dyDescent="0.35">
      <c r="A97" s="1">
        <v>28853</v>
      </c>
      <c r="B97">
        <f>'10years_f'!B638-'10years_f'!$G638</f>
        <v>0.56170351109402605</v>
      </c>
      <c r="C97">
        <f>'10years_f'!C638-'10years_f'!$G638</f>
        <v>0.1748506271207606</v>
      </c>
      <c r="D97">
        <f>'10years_f'!D638-'10years_f'!$G638</f>
        <v>0.83260364342735538</v>
      </c>
      <c r="E97">
        <f>'10years_f'!E638-'10years_f'!$G638</f>
        <v>0.49047808643641999</v>
      </c>
      <c r="F97">
        <f>'10years_f'!F638-'10years_f'!$G638</f>
        <v>0.17591588955553461</v>
      </c>
      <c r="G97">
        <f>'10years_f'!H638-'10years_f'!$I638</f>
        <v>0.54364909862723021</v>
      </c>
    </row>
    <row r="98" spans="1:7" x14ac:dyDescent="0.35">
      <c r="A98" s="1">
        <v>28886</v>
      </c>
      <c r="B98">
        <f>'10years_f'!B639-'10years_f'!$G639</f>
        <v>0.58722801039008732</v>
      </c>
      <c r="C98">
        <f>'10years_f'!C639-'10years_f'!$G639</f>
        <v>0.20023611988289391</v>
      </c>
      <c r="D98">
        <f>'10years_f'!D639-'10years_f'!$G639</f>
        <v>0.83637801261784772</v>
      </c>
      <c r="E98">
        <f>'10years_f'!E639-'10years_f'!$G639</f>
        <v>0.49425686963864623</v>
      </c>
      <c r="F98">
        <f>'10years_f'!F639-'10years_f'!$G639</f>
        <v>0.2028015417696627</v>
      </c>
      <c r="G98">
        <f>'10years_f'!H639-'10years_f'!$I639</f>
        <v>0.56901567528657715</v>
      </c>
    </row>
    <row r="99" spans="1:7" x14ac:dyDescent="0.35">
      <c r="A99" s="1">
        <v>28914</v>
      </c>
      <c r="B99">
        <f>'10years_f'!B640-'10years_f'!$G640</f>
        <v>0.59139073482412496</v>
      </c>
      <c r="C99">
        <f>'10years_f'!C640-'10years_f'!$G640</f>
        <v>0.2080190163131086</v>
      </c>
      <c r="D99">
        <f>'10years_f'!D640-'10years_f'!$G640</f>
        <v>0.85418246300248257</v>
      </c>
      <c r="E99">
        <f>'10years_f'!E640-'10years_f'!$G640</f>
        <v>0.51436944391633888</v>
      </c>
      <c r="F99">
        <f>'10years_f'!F640-'10years_f'!$G640</f>
        <v>0.21041792099531897</v>
      </c>
      <c r="G99">
        <f>'10years_f'!H640-'10years_f'!$I640</f>
        <v>0.57316782345651074</v>
      </c>
    </row>
    <row r="100" spans="1:7" x14ac:dyDescent="0.35">
      <c r="A100" s="1">
        <v>28944</v>
      </c>
      <c r="B100">
        <f>'10years_f'!B641-'10years_f'!$G641</f>
        <v>0.56468359534071144</v>
      </c>
      <c r="C100">
        <f>'10years_f'!C641-'10years_f'!$G641</f>
        <v>0.18129838953055089</v>
      </c>
      <c r="D100">
        <f>'10years_f'!D641-'10years_f'!$G641</f>
        <v>0.81254645366334532</v>
      </c>
      <c r="E100">
        <f>'10years_f'!E641-'10years_f'!$G641</f>
        <v>0.47352600111335796</v>
      </c>
      <c r="F100">
        <f>'10years_f'!F641-'10years_f'!$G641</f>
        <v>0.18373753380901636</v>
      </c>
      <c r="G100">
        <f>'10years_f'!H641-'10years_f'!$I641</f>
        <v>0.54662931483266952</v>
      </c>
    </row>
    <row r="101" spans="1:7" x14ac:dyDescent="0.35">
      <c r="A101" s="1">
        <v>28975</v>
      </c>
      <c r="B101">
        <f>'10years_f'!B642-'10years_f'!$G642</f>
        <v>0.60478194976787547</v>
      </c>
      <c r="C101">
        <f>'10years_f'!C642-'10years_f'!$G642</f>
        <v>0.2214492780725732</v>
      </c>
      <c r="D101">
        <f>'10years_f'!D642-'10years_f'!$G642</f>
        <v>0.84557071344513313</v>
      </c>
      <c r="E101">
        <f>'10years_f'!E642-'10years_f'!$G642</f>
        <v>0.50748625284500326</v>
      </c>
      <c r="F101">
        <f>'10years_f'!F642-'10years_f'!$G642</f>
        <v>0.22449987359780676</v>
      </c>
      <c r="G101">
        <f>'10years_f'!H642-'10years_f'!$I642</f>
        <v>0.58657064240854595</v>
      </c>
    </row>
    <row r="102" spans="1:7" x14ac:dyDescent="0.35">
      <c r="A102" s="1">
        <v>29006</v>
      </c>
      <c r="B102">
        <f>'10years_f'!B643-'10years_f'!$G643</f>
        <v>0.65329146680170935</v>
      </c>
      <c r="C102">
        <f>'10years_f'!C643-'10years_f'!$G643</f>
        <v>0.27341830598322026</v>
      </c>
      <c r="D102">
        <f>'10years_f'!D643-'10years_f'!$G643</f>
        <v>0.89589804877956492</v>
      </c>
      <c r="E102">
        <f>'10years_f'!E643-'10years_f'!$G643</f>
        <v>0.55925679906392367</v>
      </c>
      <c r="F102">
        <f>'10years_f'!F643-'10years_f'!$G643</f>
        <v>0.27624456774817463</v>
      </c>
      <c r="G102">
        <f>'10years_f'!H643-'10years_f'!$I643</f>
        <v>0.63490311929514931</v>
      </c>
    </row>
    <row r="103" spans="1:7" x14ac:dyDescent="0.35">
      <c r="A103" s="1">
        <v>29035</v>
      </c>
      <c r="B103">
        <f>'10years_f'!B644-'10years_f'!$G644</f>
        <v>0.61596248422123501</v>
      </c>
      <c r="C103">
        <f>'10years_f'!C644-'10years_f'!$G644</f>
        <v>0.23630958670074675</v>
      </c>
      <c r="D103">
        <f>'10years_f'!D644-'10years_f'!$G644</f>
        <v>0.84824546446357263</v>
      </c>
      <c r="E103">
        <f>'10years_f'!E644-'10years_f'!$G644</f>
        <v>0.51312090715761793</v>
      </c>
      <c r="F103">
        <f>'10years_f'!F644-'10years_f'!$G644</f>
        <v>0.23844746148701446</v>
      </c>
      <c r="G103">
        <f>'10years_f'!H644-'10years_f'!$I644</f>
        <v>0.59780880732447361</v>
      </c>
    </row>
    <row r="104" spans="1:7" x14ac:dyDescent="0.35">
      <c r="A104" s="1">
        <v>29067</v>
      </c>
      <c r="B104">
        <f>'10years_f'!B645-'10years_f'!$G645</f>
        <v>0.67924627370430168</v>
      </c>
      <c r="C104">
        <f>'10years_f'!C645-'10years_f'!$G645</f>
        <v>0.29984843341714718</v>
      </c>
      <c r="D104">
        <f>'10years_f'!D645-'10years_f'!$G645</f>
        <v>0.89336249855689132</v>
      </c>
      <c r="E104">
        <f>'10years_f'!E645-'10years_f'!$G645</f>
        <v>0.55911555148755254</v>
      </c>
      <c r="F104">
        <f>'10years_f'!F645-'10years_f'!$G645</f>
        <v>0.30295028870295027</v>
      </c>
      <c r="G104">
        <f>'10years_f'!H645-'10years_f'!$I645</f>
        <v>0.66086016843940332</v>
      </c>
    </row>
    <row r="105" spans="1:7" x14ac:dyDescent="0.35">
      <c r="A105" s="1">
        <v>29098</v>
      </c>
      <c r="B105">
        <f>'10years_f'!B646-'10years_f'!$G646</f>
        <v>0.64538886231153869</v>
      </c>
      <c r="C105">
        <f>'10years_f'!C646-'10years_f'!$G646</f>
        <v>0.26940960965247429</v>
      </c>
      <c r="D105">
        <f>'10years_f'!D646-'10years_f'!$G646</f>
        <v>0.85917727506996977</v>
      </c>
      <c r="E105">
        <f>'10years_f'!E646-'10years_f'!$G646</f>
        <v>0.52729083885159378</v>
      </c>
      <c r="F105">
        <f>'10years_f'!F646-'10years_f'!$G646</f>
        <v>0.27262640941854466</v>
      </c>
      <c r="G105">
        <f>'10years_f'!H646-'10years_f'!$I646</f>
        <v>0.62720986640900644</v>
      </c>
    </row>
    <row r="106" spans="1:7" x14ac:dyDescent="0.35">
      <c r="A106" s="1">
        <v>29126</v>
      </c>
      <c r="B106">
        <f>'10years_f'!B647-'10years_f'!$G647</f>
        <v>0.64227610284862124</v>
      </c>
      <c r="C106">
        <f>'10years_f'!C647-'10years_f'!$G647</f>
        <v>0.26602897817567528</v>
      </c>
      <c r="D106">
        <f>'10years_f'!D647-'10years_f'!$G647</f>
        <v>0.84811809303944607</v>
      </c>
      <c r="E106">
        <f>'10years_f'!E647-'10years_f'!$G647</f>
        <v>0.51547545959025887</v>
      </c>
      <c r="F106">
        <f>'10years_f'!F647-'10years_f'!$G647</f>
        <v>0.26857255308908035</v>
      </c>
      <c r="G106">
        <f>'10years_f'!H647-'10years_f'!$I647</f>
        <v>0.62417615257424064</v>
      </c>
    </row>
    <row r="107" spans="1:7" x14ac:dyDescent="0.35">
      <c r="A107" s="1">
        <v>29159</v>
      </c>
      <c r="B107">
        <f>'10years_f'!B648-'10years_f'!$G648</f>
        <v>0.68086657856815958</v>
      </c>
      <c r="C107">
        <f>'10years_f'!C648-'10years_f'!$G648</f>
        <v>0.30539863481433294</v>
      </c>
      <c r="D107">
        <f>'10years_f'!D648-'10years_f'!$G648</f>
        <v>0.89035170807358632</v>
      </c>
      <c r="E107">
        <f>'10years_f'!E648-'10years_f'!$G648</f>
        <v>0.55892246742976504</v>
      </c>
      <c r="F107">
        <f>'10years_f'!F648-'10years_f'!$G648</f>
        <v>0.30844940323748471</v>
      </c>
      <c r="G107">
        <f>'10years_f'!H648-'10years_f'!$I648</f>
        <v>0.66269479029850142</v>
      </c>
    </row>
    <row r="108" spans="1:7" x14ac:dyDescent="0.35">
      <c r="A108" s="1">
        <v>29189</v>
      </c>
      <c r="B108">
        <f>'10years_f'!B649-'10years_f'!$G649</f>
        <v>0.65686121697571043</v>
      </c>
      <c r="C108">
        <f>'10years_f'!C649-'10years_f'!$G649</f>
        <v>0.28571173252312843</v>
      </c>
      <c r="D108">
        <f>'10years_f'!D649-'10years_f'!$G649</f>
        <v>0.84906365887738922</v>
      </c>
      <c r="E108">
        <f>'10years_f'!E649-'10years_f'!$G649</f>
        <v>0.52047345383460009</v>
      </c>
      <c r="F108">
        <f>'10years_f'!F649-'10years_f'!$G649</f>
        <v>0.28944228966075514</v>
      </c>
      <c r="G108">
        <f>'10years_f'!H649-'10years_f'!$I649</f>
        <v>0.63900636946365719</v>
      </c>
    </row>
    <row r="109" spans="1:7" x14ac:dyDescent="0.35">
      <c r="A109" s="1">
        <v>29220</v>
      </c>
      <c r="B109">
        <f>'10years_f'!B650-'10years_f'!$G650</f>
        <v>0.6631464174045405</v>
      </c>
      <c r="C109">
        <f>'10years_f'!C650-'10years_f'!$G650</f>
        <v>0.29181008552349574</v>
      </c>
      <c r="D109">
        <f>'10years_f'!D650-'10years_f'!$G650</f>
        <v>0.83112151572729953</v>
      </c>
      <c r="E109">
        <f>'10years_f'!E650-'10years_f'!$G650</f>
        <v>0.50372986467112479</v>
      </c>
      <c r="F109">
        <f>'10years_f'!F650-'10years_f'!$G650</f>
        <v>0.29599445798120083</v>
      </c>
      <c r="G109">
        <f>'10years_f'!H650-'10years_f'!$I650</f>
        <v>0.64543035366779744</v>
      </c>
    </row>
    <row r="110" spans="1:7" x14ac:dyDescent="0.35">
      <c r="A110" s="1">
        <v>29251</v>
      </c>
      <c r="B110">
        <f>'10years_f'!B651-'10years_f'!$G651</f>
        <v>0.55570177379764818</v>
      </c>
      <c r="C110">
        <f>'10years_f'!C651-'10years_f'!$G651</f>
        <v>0.18507211636966936</v>
      </c>
      <c r="D110">
        <f>'10years_f'!D651-'10years_f'!$G651</f>
        <v>0.72049203644524429</v>
      </c>
      <c r="E110">
        <f>'10years_f'!E651-'10years_f'!$G651</f>
        <v>0.39409464886211154</v>
      </c>
      <c r="F110">
        <f>'10years_f'!F651-'10years_f'!$G651</f>
        <v>0.190825513184814</v>
      </c>
      <c r="G110">
        <f>'10years_f'!H651-'10years_f'!$I651</f>
        <v>0.53843504281725352</v>
      </c>
    </row>
    <row r="111" spans="1:7" x14ac:dyDescent="0.35">
      <c r="A111" s="1">
        <v>29280</v>
      </c>
      <c r="B111">
        <f>'10years_f'!B652-'10years_f'!$G652</f>
        <v>0.56733614919864839</v>
      </c>
      <c r="C111">
        <f>'10years_f'!C652-'10years_f'!$G652</f>
        <v>0.19991107465416769</v>
      </c>
      <c r="D111">
        <f>'10years_f'!D652-'10years_f'!$G652</f>
        <v>0.76205235837679575</v>
      </c>
      <c r="E111">
        <f>'10years_f'!E652-'10years_f'!$G652</f>
        <v>0.437793334699631</v>
      </c>
      <c r="F111">
        <f>'10years_f'!F652-'10years_f'!$G652</f>
        <v>0.20428363556817986</v>
      </c>
      <c r="G111">
        <f>'10years_f'!H652-'10years_f'!$I652</f>
        <v>0.55010955439820375</v>
      </c>
    </row>
    <row r="112" spans="1:7" x14ac:dyDescent="0.35">
      <c r="A112" s="1">
        <v>29311</v>
      </c>
      <c r="B112">
        <f>'10years_f'!B653-'10years_f'!$G653</f>
        <v>0.68032269505970366</v>
      </c>
      <c r="C112">
        <f>'10years_f'!C653-'10years_f'!$G653</f>
        <v>0.31308196843677316</v>
      </c>
      <c r="D112">
        <f>'10years_f'!D653-'10years_f'!$G653</f>
        <v>0.88721564206696812</v>
      </c>
      <c r="E112">
        <f>'10years_f'!E653-'10years_f'!$G653</f>
        <v>0.56464559505541811</v>
      </c>
      <c r="F112">
        <f>'10years_f'!F653-'10years_f'!$G653</f>
        <v>0.31896362528826505</v>
      </c>
      <c r="G112">
        <f>'10years_f'!H653-'10years_f'!$I653</f>
        <v>0.66322820598267995</v>
      </c>
    </row>
    <row r="113" spans="1:7" x14ac:dyDescent="0.35">
      <c r="A113" s="1">
        <v>29341</v>
      </c>
      <c r="B113">
        <f>'10years_f'!B654-'10years_f'!$G654</f>
        <v>0.6283917947615254</v>
      </c>
      <c r="C113">
        <f>'10years_f'!C654-'10years_f'!$G654</f>
        <v>0.26165776621311543</v>
      </c>
      <c r="D113">
        <f>'10years_f'!D654-'10years_f'!$G654</f>
        <v>0.81822748297137493</v>
      </c>
      <c r="E113">
        <f>'10years_f'!E654-'10years_f'!$G654</f>
        <v>0.49678096217950674</v>
      </c>
      <c r="F113">
        <f>'10years_f'!F654-'10years_f'!$G654</f>
        <v>0.26618745982906655</v>
      </c>
      <c r="G113">
        <f>'10years_f'!H654-'10years_f'!$I654</f>
        <v>0.61219055682537604</v>
      </c>
    </row>
    <row r="114" spans="1:7" x14ac:dyDescent="0.35">
      <c r="A114" s="1">
        <v>29371</v>
      </c>
      <c r="B114">
        <f>'10years_f'!B655-'10years_f'!$G655</f>
        <v>0.66227648401636507</v>
      </c>
      <c r="C114">
        <f>'10years_f'!C655-'10years_f'!$G655</f>
        <v>0.29870482970503076</v>
      </c>
      <c r="D114">
        <f>'10years_f'!D655-'10years_f'!$G655</f>
        <v>0.83079274443887829</v>
      </c>
      <c r="E114">
        <f>'10years_f'!E655-'10years_f'!$G655</f>
        <v>0.51148117090199374</v>
      </c>
      <c r="F114">
        <f>'10years_f'!F655-'10years_f'!$G655</f>
        <v>0.30297761950165292</v>
      </c>
      <c r="G114">
        <f>'10years_f'!H655-'10years_f'!$I655</f>
        <v>0.64602538704370271</v>
      </c>
    </row>
    <row r="115" spans="1:7" x14ac:dyDescent="0.35">
      <c r="A115" s="1">
        <v>29402</v>
      </c>
      <c r="B115">
        <f>'10years_f'!B656-'10years_f'!$G656</f>
        <v>0.63164861574350395</v>
      </c>
      <c r="C115">
        <f>'10years_f'!C656-'10years_f'!$G656</f>
        <v>0.26866157999199869</v>
      </c>
      <c r="D115">
        <f>'10years_f'!D656-'10years_f'!$G656</f>
        <v>0.79099575537618572</v>
      </c>
      <c r="E115">
        <f>'10years_f'!E656-'10years_f'!$G656</f>
        <v>0.47331202886758605</v>
      </c>
      <c r="F115">
        <f>'10years_f'!F656-'10years_f'!$G656</f>
        <v>0.27290219230707491</v>
      </c>
      <c r="G115">
        <f>'10years_f'!H656-'10years_f'!$I656</f>
        <v>0.61553874799045172</v>
      </c>
    </row>
    <row r="116" spans="1:7" x14ac:dyDescent="0.35">
      <c r="A116" s="1">
        <v>29433</v>
      </c>
      <c r="B116">
        <f>'10years_f'!B657-'10years_f'!$G657</f>
        <v>0.57088229418923286</v>
      </c>
      <c r="C116">
        <f>'10years_f'!C657-'10years_f'!$G657</f>
        <v>0.20839706811185255</v>
      </c>
      <c r="D116">
        <f>'10years_f'!D657-'10years_f'!$G657</f>
        <v>0.69451905274239123</v>
      </c>
      <c r="E116">
        <f>'10years_f'!E657-'10years_f'!$G657</f>
        <v>0.37773242986741518</v>
      </c>
      <c r="F116">
        <f>'10years_f'!F657-'10years_f'!$G657</f>
        <v>0.21418848024977577</v>
      </c>
      <c r="G116">
        <f>'10years_f'!H657-'10years_f'!$I657</f>
        <v>0.55504742077239211</v>
      </c>
    </row>
    <row r="117" spans="1:7" x14ac:dyDescent="0.35">
      <c r="A117" s="1">
        <v>29462</v>
      </c>
      <c r="B117">
        <f>'10years_f'!B658-'10years_f'!$G658</f>
        <v>0.47915453847541034</v>
      </c>
      <c r="C117">
        <f>'10years_f'!C658-'10years_f'!$G658</f>
        <v>0.11938037274151547</v>
      </c>
      <c r="D117">
        <f>'10years_f'!D658-'10years_f'!$G658</f>
        <v>0.57128961539164358</v>
      </c>
      <c r="E117">
        <f>'10years_f'!E658-'10years_f'!$G658</f>
        <v>0.25600749895474451</v>
      </c>
      <c r="F117">
        <f>'10years_f'!F658-'10years_f'!$G658</f>
        <v>0.12587048395527933</v>
      </c>
      <c r="G117">
        <f>'10years_f'!H658-'10years_f'!$I658</f>
        <v>0.463667579071525</v>
      </c>
    </row>
    <row r="118" spans="1:7" x14ac:dyDescent="0.35">
      <c r="A118" s="1">
        <v>29494</v>
      </c>
      <c r="B118">
        <f>'10years_f'!B659-'10years_f'!$G659</f>
        <v>0.41488763023952457</v>
      </c>
      <c r="C118">
        <f>'10years_f'!C659-'10years_f'!$G659</f>
        <v>5.5627947647763021E-2</v>
      </c>
      <c r="D118">
        <f>'10years_f'!D659-'10years_f'!$G659</f>
        <v>0.48426200658636698</v>
      </c>
      <c r="E118">
        <f>'10years_f'!E659-'10years_f'!$G659</f>
        <v>0.17039026349475761</v>
      </c>
      <c r="F118">
        <f>'10years_f'!F659-'10years_f'!$G659</f>
        <v>6.2128887743851058E-2</v>
      </c>
      <c r="G118">
        <f>'10years_f'!H659-'10years_f'!$I659</f>
        <v>0.39964342469893666</v>
      </c>
    </row>
    <row r="119" spans="1:7" x14ac:dyDescent="0.35">
      <c r="A119" s="1">
        <v>29525</v>
      </c>
      <c r="B119">
        <f>'10years_f'!B660-'10years_f'!$G660</f>
        <v>0.39907136549968492</v>
      </c>
      <c r="C119">
        <f>'10years_f'!C660-'10years_f'!$G660</f>
        <v>4.0288799017544008E-2</v>
      </c>
      <c r="D119">
        <f>'10years_f'!D660-'10years_f'!$G660</f>
        <v>0.447579268815538</v>
      </c>
      <c r="E119">
        <f>'10years_f'!E660-'10years_f'!$G660</f>
        <v>0.13455173313912461</v>
      </c>
      <c r="F119">
        <f>'10years_f'!F660-'10years_f'!$G660</f>
        <v>4.5234541181397248E-2</v>
      </c>
      <c r="G119">
        <f>'10years_f'!H660-'10years_f'!$I660</f>
        <v>0.38405284245344173</v>
      </c>
    </row>
    <row r="120" spans="1:7" x14ac:dyDescent="0.35">
      <c r="A120" s="1">
        <v>29553</v>
      </c>
      <c r="B120">
        <f>'10years_f'!B661-'10years_f'!$G661</f>
        <v>0.36704448817903224</v>
      </c>
      <c r="C120">
        <f>'10years_f'!C661-'10years_f'!$G661</f>
        <v>9.9311906872809885E-3</v>
      </c>
      <c r="D120">
        <f>'10years_f'!D661-'10years_f'!$G661</f>
        <v>0.47212421017128392</v>
      </c>
      <c r="E120">
        <f>'10years_f'!E661-'10years_f'!$G661</f>
        <v>0.15987530052563237</v>
      </c>
      <c r="F120">
        <f>'10years_f'!F661-'10years_f'!$G661</f>
        <v>1.5390078239204463E-2</v>
      </c>
      <c r="G120">
        <f>'10years_f'!H661-'10years_f'!$I661</f>
        <v>0.35231215789990333</v>
      </c>
    </row>
    <row r="121" spans="1:7" x14ac:dyDescent="0.35">
      <c r="A121" s="1">
        <v>29586</v>
      </c>
      <c r="B121">
        <f>'10years_f'!B662-'10years_f'!$G662</f>
        <v>0.42162705587970217</v>
      </c>
      <c r="C121">
        <f>'10years_f'!C662-'10years_f'!$G662</f>
        <v>6.3915187982132249E-2</v>
      </c>
      <c r="D121">
        <f>'10years_f'!D662-'10years_f'!$G662</f>
        <v>0.52126128953920903</v>
      </c>
      <c r="E121">
        <f>'10years_f'!E662-'10years_f'!$G662</f>
        <v>0.20973863500565093</v>
      </c>
      <c r="F121">
        <f>'10years_f'!F662-'10years_f'!$G662</f>
        <v>7.002743289842206E-2</v>
      </c>
      <c r="G121">
        <f>'10years_f'!H662-'10years_f'!$I662</f>
        <v>0.40748020683127884</v>
      </c>
    </row>
    <row r="122" spans="1:7" x14ac:dyDescent="0.35">
      <c r="A122" s="1">
        <v>29616</v>
      </c>
      <c r="B122">
        <f>'10years_f'!B663-'10years_f'!$G663</f>
        <v>0.50018940915866539</v>
      </c>
      <c r="C122">
        <f>'10years_f'!C663-'10years_f'!$G663</f>
        <v>0.14211894652137103</v>
      </c>
      <c r="D122">
        <f>'10years_f'!D663-'10years_f'!$G663</f>
        <v>0.60153751041592463</v>
      </c>
      <c r="E122">
        <f>'10years_f'!E663-'10years_f'!$G663</f>
        <v>0.29021667979503762</v>
      </c>
      <c r="F122">
        <f>'10years_f'!F663-'10years_f'!$G663</f>
        <v>0.14761167567850153</v>
      </c>
      <c r="G122">
        <f>'10years_f'!H663-'10years_f'!$I663</f>
        <v>0.48600716079356676</v>
      </c>
    </row>
    <row r="123" spans="1:7" x14ac:dyDescent="0.35">
      <c r="A123" s="1">
        <v>29644</v>
      </c>
      <c r="B123">
        <f>'10years_f'!B664-'10years_f'!$G664</f>
        <v>0.54539038592076494</v>
      </c>
      <c r="C123">
        <f>'10years_f'!C664-'10years_f'!$G664</f>
        <v>0.19030343244053238</v>
      </c>
      <c r="D123">
        <f>'10years_f'!D664-'10years_f'!$G664</f>
        <v>0.65174404791372886</v>
      </c>
      <c r="E123">
        <f>'10years_f'!E664-'10years_f'!$G664</f>
        <v>0.34216978864152381</v>
      </c>
      <c r="F123">
        <f>'10years_f'!F664-'10years_f'!$G664</f>
        <v>0.19590598096148781</v>
      </c>
      <c r="G123">
        <f>'10years_f'!H664-'10years_f'!$I664</f>
        <v>0.53133208160383028</v>
      </c>
    </row>
    <row r="124" spans="1:7" x14ac:dyDescent="0.35">
      <c r="A124" s="1">
        <v>29676</v>
      </c>
      <c r="B124">
        <f>'10years_f'!B665-'10years_f'!$G665</f>
        <v>0.53992968697993704</v>
      </c>
      <c r="C124">
        <f>'10years_f'!C665-'10years_f'!$G665</f>
        <v>0.18552300822789758</v>
      </c>
      <c r="D124">
        <f>'10years_f'!D665-'10years_f'!$G665</f>
        <v>0.6167724016978211</v>
      </c>
      <c r="E124">
        <f>'10years_f'!E665-'10years_f'!$G665</f>
        <v>0.30876198679339617</v>
      </c>
      <c r="F124">
        <f>'10years_f'!F665-'10years_f'!$G665</f>
        <v>0.19054281820978525</v>
      </c>
      <c r="G124">
        <f>'10years_f'!H665-'10years_f'!$I665</f>
        <v>0.52639427772933622</v>
      </c>
    </row>
    <row r="125" spans="1:7" x14ac:dyDescent="0.35">
      <c r="A125" s="1">
        <v>29706</v>
      </c>
      <c r="B125">
        <f>'10years_f'!B666-'10years_f'!$G666</f>
        <v>0.5633005973464813</v>
      </c>
      <c r="C125">
        <f>'10years_f'!C666-'10years_f'!$G666</f>
        <v>0.20861037897179435</v>
      </c>
      <c r="D125">
        <f>'10years_f'!D666-'10years_f'!$G666</f>
        <v>0.62470234582405548</v>
      </c>
      <c r="E125">
        <f>'10years_f'!E666-'10years_f'!$G666</f>
        <v>0.31701886377621746</v>
      </c>
      <c r="F125">
        <f>'10years_f'!F666-'10years_f'!$G666</f>
        <v>0.21502275302684803</v>
      </c>
      <c r="G125">
        <f>'10years_f'!H666-'10years_f'!$I666</f>
        <v>0.55003552387806742</v>
      </c>
    </row>
    <row r="126" spans="1:7" x14ac:dyDescent="0.35">
      <c r="A126" s="1">
        <v>29735</v>
      </c>
      <c r="B126">
        <f>'10years_f'!B667-'10years_f'!$G667</f>
        <v>0.59849628361603413</v>
      </c>
      <c r="C126">
        <f>'10years_f'!C667-'10years_f'!$G667</f>
        <v>0.24675734992622944</v>
      </c>
      <c r="D126">
        <f>'10years_f'!D667-'10years_f'!$G667</f>
        <v>0.66042872797347174</v>
      </c>
      <c r="E126">
        <f>'10years_f'!E667-'10years_f'!$G667</f>
        <v>0.35427702049879395</v>
      </c>
      <c r="F126">
        <f>'10years_f'!F667-'10years_f'!$G667</f>
        <v>0.25347327791664886</v>
      </c>
      <c r="G126">
        <f>'10years_f'!H667-'10years_f'!$I667</f>
        <v>0.58554715652214817</v>
      </c>
    </row>
    <row r="127" spans="1:7" x14ac:dyDescent="0.35">
      <c r="A127" s="1">
        <v>29767</v>
      </c>
      <c r="B127">
        <f>'10years_f'!B668-'10years_f'!$G668</f>
        <v>0.57324029850366842</v>
      </c>
      <c r="C127">
        <f>'10years_f'!C668-'10years_f'!$G668</f>
        <v>0.22220859629950529</v>
      </c>
      <c r="D127">
        <f>'10years_f'!D668-'10years_f'!$G668</f>
        <v>0.63169393556187736</v>
      </c>
      <c r="E127">
        <f>'10years_f'!E668-'10years_f'!$G668</f>
        <v>0.32724444489357585</v>
      </c>
      <c r="F127">
        <f>'10years_f'!F668-'10years_f'!$G668</f>
        <v>0.22791775111018997</v>
      </c>
      <c r="G127">
        <f>'10years_f'!H668-'10years_f'!$I668</f>
        <v>0.56122622324901172</v>
      </c>
    </row>
    <row r="128" spans="1:7" x14ac:dyDescent="0.35">
      <c r="A128" s="1">
        <v>29798</v>
      </c>
      <c r="B128">
        <f>'10years_f'!B669-'10years_f'!$G669</f>
        <v>0.61657327307004683</v>
      </c>
      <c r="C128">
        <f>'10years_f'!C669-'10years_f'!$G669</f>
        <v>0.26541784281494563</v>
      </c>
      <c r="D128">
        <f>'10years_f'!D669-'10years_f'!$G669</f>
        <v>0.68695430532891733</v>
      </c>
      <c r="E128">
        <f>'10years_f'!E669-'10years_f'!$G669</f>
        <v>0.38286431266777887</v>
      </c>
      <c r="F128">
        <f>'10years_f'!F669-'10years_f'!$G669</f>
        <v>0.27224200040329327</v>
      </c>
      <c r="G128">
        <f>'10years_f'!H669-'10years_f'!$I669</f>
        <v>0.60512426536434294</v>
      </c>
    </row>
    <row r="129" spans="1:7" x14ac:dyDescent="0.35">
      <c r="A129" s="1">
        <v>29829</v>
      </c>
      <c r="B129">
        <f>'10years_f'!B670-'10years_f'!$G670</f>
        <v>0.69079668462691979</v>
      </c>
      <c r="C129">
        <f>'10years_f'!C670-'10years_f'!$G670</f>
        <v>0.34339811944396503</v>
      </c>
      <c r="D129">
        <f>'10years_f'!D670-'10years_f'!$G670</f>
        <v>0.76650321995398896</v>
      </c>
      <c r="E129">
        <f>'10years_f'!E670-'10years_f'!$G670</f>
        <v>0.46429082017961809</v>
      </c>
      <c r="F129">
        <f>'10years_f'!F670-'10years_f'!$G670</f>
        <v>0.34860929363977222</v>
      </c>
      <c r="G129">
        <f>'10years_f'!H670-'10years_f'!$I670</f>
        <v>0.67987547203571808</v>
      </c>
    </row>
    <row r="130" spans="1:7" x14ac:dyDescent="0.35">
      <c r="A130" s="1">
        <v>29859</v>
      </c>
      <c r="B130">
        <f>'10years_f'!B671-'10years_f'!$G671</f>
        <v>0.7259730855581854</v>
      </c>
      <c r="C130">
        <f>'10years_f'!C671-'10years_f'!$G671</f>
        <v>0.37928195993809433</v>
      </c>
      <c r="D130">
        <f>'10years_f'!D671-'10years_f'!$G671</f>
        <v>0.80050055733663705</v>
      </c>
      <c r="E130">
        <f>'10years_f'!E671-'10years_f'!$G671</f>
        <v>0.50034728181837029</v>
      </c>
      <c r="F130">
        <f>'10years_f'!F671-'10years_f'!$G671</f>
        <v>0.38471876859472798</v>
      </c>
      <c r="G130">
        <f>'10years_f'!H671-'10years_f'!$I671</f>
        <v>0.71565487053306676</v>
      </c>
    </row>
    <row r="131" spans="1:7" x14ac:dyDescent="0.35">
      <c r="A131" s="1">
        <v>29889</v>
      </c>
      <c r="B131">
        <f>'10years_f'!B672-'10years_f'!$G672</f>
        <v>0.70034014323608829</v>
      </c>
      <c r="C131">
        <f>'10years_f'!C672-'10years_f'!$G672</f>
        <v>0.35520221728692003</v>
      </c>
      <c r="D131">
        <f>'10years_f'!D672-'10years_f'!$G672</f>
        <v>0.76727520290843443</v>
      </c>
      <c r="E131">
        <f>'10years_f'!E672-'10years_f'!$G672</f>
        <v>0.46860785690258022</v>
      </c>
      <c r="F131">
        <f>'10years_f'!F672-'10years_f'!$G672</f>
        <v>0.36024075428128177</v>
      </c>
      <c r="G131">
        <f>'10years_f'!H672-'10years_f'!$I672</f>
        <v>0.69070510104900507</v>
      </c>
    </row>
    <row r="132" spans="1:7" x14ac:dyDescent="0.35">
      <c r="A132" s="1">
        <v>29920</v>
      </c>
      <c r="B132">
        <f>'10years_f'!B673-'10years_f'!$G673</f>
        <v>0.63485710564143027</v>
      </c>
      <c r="C132">
        <f>'10years_f'!C673-'10years_f'!$G673</f>
        <v>0.29305627488688413</v>
      </c>
      <c r="D132">
        <f>'10years_f'!D673-'10years_f'!$G673</f>
        <v>0.69357899879213414</v>
      </c>
      <c r="E132">
        <f>'10years_f'!E673-'10years_f'!$G673</f>
        <v>0.39710086786834009</v>
      </c>
      <c r="F132">
        <f>'10years_f'!F673-'10years_f'!$G673</f>
        <v>0.29758569108958732</v>
      </c>
      <c r="G132">
        <f>'10years_f'!H673-'10years_f'!$I673</f>
        <v>0.62572691913305167</v>
      </c>
    </row>
    <row r="133" spans="1:7" x14ac:dyDescent="0.35">
      <c r="A133" s="1">
        <v>29951</v>
      </c>
      <c r="B133">
        <f>'10years_f'!B674-'10years_f'!$G674</f>
        <v>0.75330239746389194</v>
      </c>
      <c r="C133">
        <f>'10years_f'!C674-'10years_f'!$G674</f>
        <v>0.41146598812035973</v>
      </c>
      <c r="D133">
        <f>'10years_f'!D674-'10years_f'!$G674</f>
        <v>0.80544233898078521</v>
      </c>
      <c r="E133">
        <f>'10years_f'!E674-'10years_f'!$G674</f>
        <v>0.5100679128216179</v>
      </c>
      <c r="F133">
        <f>'10years_f'!F674-'10years_f'!$G674</f>
        <v>0.41637175217532296</v>
      </c>
      <c r="G133">
        <f>'10years_f'!H674-'10years_f'!$I674</f>
        <v>0.74379742082162359</v>
      </c>
    </row>
    <row r="134" spans="1:7" x14ac:dyDescent="0.35">
      <c r="A134" s="1">
        <v>29980</v>
      </c>
      <c r="B134">
        <f>'10years_f'!B675-'10years_f'!$G675</f>
        <v>0.75469465196230812</v>
      </c>
      <c r="C134">
        <f>'10years_f'!C675-'10years_f'!$G675</f>
        <v>0.41303557726698625</v>
      </c>
      <c r="D134">
        <f>'10years_f'!D675-'10years_f'!$G675</f>
        <v>0.84104056893684764</v>
      </c>
      <c r="E134">
        <f>'10years_f'!E675-'10years_f'!$G675</f>
        <v>0.54625193525871407</v>
      </c>
      <c r="F134">
        <f>'10years_f'!F675-'10years_f'!$G675</f>
        <v>0.41830387417604187</v>
      </c>
      <c r="G134">
        <f>'10years_f'!H675-'10years_f'!$I675</f>
        <v>0.7450824975320014</v>
      </c>
    </row>
    <row r="135" spans="1:7" x14ac:dyDescent="0.35">
      <c r="A135" s="1">
        <v>30008</v>
      </c>
      <c r="B135">
        <f>'10years_f'!B676-'10years_f'!$G676</f>
        <v>0.81464053568064565</v>
      </c>
      <c r="C135">
        <f>'10years_f'!C676-'10years_f'!$G676</f>
        <v>0.47809935813801929</v>
      </c>
      <c r="D135">
        <f>'10years_f'!D676-'10years_f'!$G676</f>
        <v>0.90331787305392308</v>
      </c>
      <c r="E135">
        <f>'10years_f'!E676-'10years_f'!$G676</f>
        <v>0.61132154849738041</v>
      </c>
      <c r="F135">
        <f>'10years_f'!F676-'10years_f'!$G676</f>
        <v>0.48433375311026805</v>
      </c>
      <c r="G135">
        <f>'10years_f'!H676-'10years_f'!$I676</f>
        <v>0.80476298597926821</v>
      </c>
    </row>
    <row r="136" spans="1:7" x14ac:dyDescent="0.35">
      <c r="A136" s="1">
        <v>30041</v>
      </c>
      <c r="B136">
        <f>'10years_f'!B677-'10years_f'!$G677</f>
        <v>0.80899268956740067</v>
      </c>
      <c r="C136">
        <f>'10years_f'!C677-'10years_f'!$G677</f>
        <v>0.47352861959344428</v>
      </c>
      <c r="D136">
        <f>'10years_f'!D677-'10years_f'!$G677</f>
        <v>0.89395184525948879</v>
      </c>
      <c r="E136">
        <f>'10years_f'!E677-'10years_f'!$G677</f>
        <v>0.60424958004574614</v>
      </c>
      <c r="F136">
        <f>'10years_f'!F677-'10years_f'!$G677</f>
        <v>0.47954580153444248</v>
      </c>
      <c r="G136">
        <f>'10years_f'!H677-'10years_f'!$I677</f>
        <v>0.79924136212163877</v>
      </c>
    </row>
    <row r="137" spans="1:7" x14ac:dyDescent="0.35">
      <c r="A137" s="1">
        <v>30071</v>
      </c>
      <c r="B137">
        <f>'10years_f'!B678-'10years_f'!$G678</f>
        <v>0.80477929978203733</v>
      </c>
      <c r="C137">
        <f>'10years_f'!C678-'10years_f'!$G678</f>
        <v>0.46935962037044021</v>
      </c>
      <c r="D137">
        <f>'10years_f'!D678-'10years_f'!$G678</f>
        <v>0.87488301615471986</v>
      </c>
      <c r="E137">
        <f>'10years_f'!E678-'10years_f'!$G678</f>
        <v>0.5858775129296383</v>
      </c>
      <c r="F137">
        <f>'10years_f'!F678-'10years_f'!$G678</f>
        <v>0.47601911185512424</v>
      </c>
      <c r="G137">
        <f>'10years_f'!H678-'10years_f'!$I678</f>
        <v>0.79544140331535562</v>
      </c>
    </row>
    <row r="138" spans="1:7" x14ac:dyDescent="0.35">
      <c r="A138" s="1">
        <v>30099</v>
      </c>
      <c r="B138">
        <f>'10years_f'!B679-'10years_f'!$G679</f>
        <v>0.84046383401654134</v>
      </c>
      <c r="C138">
        <f>'10years_f'!C679-'10years_f'!$G679</f>
        <v>0.51080019222990414</v>
      </c>
      <c r="D138">
        <f>'10years_f'!D679-'10years_f'!$G679</f>
        <v>0.92082979796190267</v>
      </c>
      <c r="E138">
        <f>'10years_f'!E679-'10years_f'!$G679</f>
        <v>0.63521797242746514</v>
      </c>
      <c r="F138">
        <f>'10years_f'!F679-'10years_f'!$G679</f>
        <v>0.51676904106514021</v>
      </c>
      <c r="G138">
        <f>'10years_f'!H679-'10years_f'!$I679</f>
        <v>0.8312699312560623</v>
      </c>
    </row>
    <row r="139" spans="1:7" x14ac:dyDescent="0.35">
      <c r="A139" s="1">
        <v>30132</v>
      </c>
      <c r="B139">
        <f>'10years_f'!B680-'10years_f'!$G680</f>
        <v>0.8463107716700331</v>
      </c>
      <c r="C139">
        <f>'10years_f'!C680-'10years_f'!$G680</f>
        <v>0.51719607581555094</v>
      </c>
      <c r="D139">
        <f>'10years_f'!D680-'10years_f'!$G680</f>
        <v>0.91468992552179396</v>
      </c>
      <c r="E139">
        <f>'10years_f'!E680-'10years_f'!$G680</f>
        <v>0.63075500045282018</v>
      </c>
      <c r="F139">
        <f>'10years_f'!F680-'10years_f'!$G680</f>
        <v>0.52448977937224983</v>
      </c>
      <c r="G139">
        <f>'10years_f'!H680-'10years_f'!$I680</f>
        <v>0.83728431465666109</v>
      </c>
    </row>
    <row r="140" spans="1:7" x14ac:dyDescent="0.35">
      <c r="A140" s="1">
        <v>30162</v>
      </c>
      <c r="B140">
        <f>'10years_f'!B681-'10years_f'!$G681</f>
        <v>0.90334472212236805</v>
      </c>
      <c r="C140">
        <f>'10years_f'!C681-'10years_f'!$G681</f>
        <v>0.57448250845642002</v>
      </c>
      <c r="D140">
        <f>'10years_f'!D681-'10years_f'!$G681</f>
        <v>0.96725554842331829</v>
      </c>
      <c r="E140">
        <f>'10years_f'!E681-'10years_f'!$G681</f>
        <v>0.68403875718940932</v>
      </c>
      <c r="F140">
        <f>'10years_f'!F681-'10years_f'!$G681</f>
        <v>0.58251071296295831</v>
      </c>
      <c r="G140">
        <f>'10years_f'!H681-'10years_f'!$I681</f>
        <v>0.8944461599615261</v>
      </c>
    </row>
    <row r="141" spans="1:7" x14ac:dyDescent="0.35">
      <c r="A141" s="1">
        <v>30194</v>
      </c>
      <c r="B141">
        <f>'10years_f'!B682-'10years_f'!$G682</f>
        <v>0.78876619652029256</v>
      </c>
      <c r="C141">
        <f>'10years_f'!C682-'10years_f'!$G682</f>
        <v>0.46526005025465289</v>
      </c>
      <c r="D141">
        <f>'10years_f'!D682-'10years_f'!$G682</f>
        <v>0.84525732621299654</v>
      </c>
      <c r="E141">
        <f>'10years_f'!E682-'10years_f'!$G682</f>
        <v>0.56529871904947471</v>
      </c>
      <c r="F141">
        <f>'10years_f'!F682-'10years_f'!$G682</f>
        <v>0.47397096699942254</v>
      </c>
      <c r="G141">
        <f>'10years_f'!H682-'10years_f'!$I682</f>
        <v>0.78001558122515746</v>
      </c>
    </row>
    <row r="142" spans="1:7" x14ac:dyDescent="0.35">
      <c r="A142" s="1">
        <v>30224</v>
      </c>
      <c r="B142">
        <f>'10years_f'!B683-'10years_f'!$G683</f>
        <v>0.79183290911933835</v>
      </c>
      <c r="C142">
        <f>'10years_f'!C683-'10years_f'!$G683</f>
        <v>0.46862274974818163</v>
      </c>
      <c r="D142">
        <f>'10years_f'!D683-'10years_f'!$G683</f>
        <v>0.8498744165197909</v>
      </c>
      <c r="E142">
        <f>'10years_f'!E683-'10years_f'!$G683</f>
        <v>0.57138024073907179</v>
      </c>
      <c r="F142">
        <f>'10years_f'!F683-'10years_f'!$G683</f>
        <v>0.47757837510192758</v>
      </c>
      <c r="G142">
        <f>'10years_f'!H683-'10years_f'!$I683</f>
        <v>0.78278559681290716</v>
      </c>
    </row>
    <row r="143" spans="1:7" x14ac:dyDescent="0.35">
      <c r="A143" s="1">
        <v>30253</v>
      </c>
      <c r="B143">
        <f>'10years_f'!B684-'10years_f'!$G684</f>
        <v>0.70817425027958092</v>
      </c>
      <c r="C143">
        <f>'10years_f'!C684-'10years_f'!$G684</f>
        <v>0.38610517269697131</v>
      </c>
      <c r="D143">
        <f>'10years_f'!D684-'10years_f'!$G684</f>
        <v>0.75669493652530417</v>
      </c>
      <c r="E143">
        <f>'10years_f'!E684-'10years_f'!$G684</f>
        <v>0.47946565705954147</v>
      </c>
      <c r="F143">
        <f>'10years_f'!F684-'10years_f'!$G684</f>
        <v>0.3945811005313884</v>
      </c>
      <c r="G143">
        <f>'10years_f'!H684-'10years_f'!$I684</f>
        <v>0.69904428107925298</v>
      </c>
    </row>
    <row r="144" spans="1:7" x14ac:dyDescent="0.35">
      <c r="A144" s="1">
        <v>30285</v>
      </c>
      <c r="B144">
        <f>'10years_f'!B685-'10years_f'!$G685</f>
        <v>0.70212629746680877</v>
      </c>
      <c r="C144">
        <f>'10years_f'!C685-'10years_f'!$G685</f>
        <v>0.38367345439150791</v>
      </c>
      <c r="D144">
        <f>'10years_f'!D685-'10years_f'!$G685</f>
        <v>0.74764955475524664</v>
      </c>
      <c r="E144">
        <f>'10years_f'!E685-'10years_f'!$G685</f>
        <v>0.47204764670604105</v>
      </c>
      <c r="F144">
        <f>'10years_f'!F685-'10years_f'!$G685</f>
        <v>0.39346753913157473</v>
      </c>
      <c r="G144">
        <f>'10years_f'!H685-'10years_f'!$I685</f>
        <v>0.69267274752535801</v>
      </c>
    </row>
    <row r="145" spans="1:7" x14ac:dyDescent="0.35">
      <c r="A145" s="1">
        <v>30316</v>
      </c>
      <c r="B145">
        <f>'10years_f'!B686-'10years_f'!$G686</f>
        <v>0.70270244953879857</v>
      </c>
      <c r="C145">
        <f>'10years_f'!C686-'10years_f'!$G686</f>
        <v>0.38423257272114775</v>
      </c>
      <c r="D145">
        <f>'10years_f'!D686-'10years_f'!$G686</f>
        <v>0.75694688230975427</v>
      </c>
      <c r="E145">
        <f>'10years_f'!E686-'10years_f'!$G686</f>
        <v>0.48234910373442919</v>
      </c>
      <c r="F145">
        <f>'10years_f'!F686-'10years_f'!$G686</f>
        <v>0.39272042243720229</v>
      </c>
      <c r="G145">
        <f>'10years_f'!H686-'10years_f'!$I686</f>
        <v>0.69302659087673302</v>
      </c>
    </row>
    <row r="146" spans="1:7" x14ac:dyDescent="0.35">
      <c r="A146" s="1">
        <v>30347</v>
      </c>
      <c r="B146">
        <f>'10years_f'!B687-'10years_f'!$G687</f>
        <v>0.68366953762843208</v>
      </c>
      <c r="C146">
        <f>'10years_f'!C687-'10years_f'!$G687</f>
        <v>0.36577797710347992</v>
      </c>
      <c r="D146">
        <f>'10years_f'!D687-'10years_f'!$G687</f>
        <v>0.75075445242240102</v>
      </c>
      <c r="E146">
        <f>'10years_f'!E687-'10years_f'!$G687</f>
        <v>0.47708783571217905</v>
      </c>
      <c r="F146">
        <f>'10years_f'!F687-'10years_f'!$G687</f>
        <v>0.37531701378904847</v>
      </c>
      <c r="G146">
        <f>'10years_f'!H687-'10years_f'!$I687</f>
        <v>0.6737739177268498</v>
      </c>
    </row>
    <row r="147" spans="1:7" x14ac:dyDescent="0.35">
      <c r="A147" s="1">
        <v>30375</v>
      </c>
      <c r="B147">
        <f>'10years_f'!B688-'10years_f'!$G688</f>
        <v>0.6772285675998202</v>
      </c>
      <c r="C147">
        <f>'10years_f'!C688-'10years_f'!$G688</f>
        <v>0.36265710786271943</v>
      </c>
      <c r="D147">
        <f>'10years_f'!D688-'10years_f'!$G688</f>
        <v>0.72964199390206486</v>
      </c>
      <c r="E147">
        <f>'10years_f'!E688-'10years_f'!$G688</f>
        <v>0.45757992275614723</v>
      </c>
      <c r="F147">
        <f>'10years_f'!F688-'10years_f'!$G688</f>
        <v>0.3719214527169179</v>
      </c>
      <c r="G147">
        <f>'10years_f'!H688-'10years_f'!$I688</f>
        <v>0.66702766477491071</v>
      </c>
    </row>
    <row r="148" spans="1:7" x14ac:dyDescent="0.35">
      <c r="A148" s="1">
        <v>30406</v>
      </c>
      <c r="B148">
        <f>'10years_f'!B689-'10years_f'!$G689</f>
        <v>0.66894177173687219</v>
      </c>
      <c r="C148">
        <f>'10years_f'!C689-'10years_f'!$G689</f>
        <v>0.35469194158284911</v>
      </c>
      <c r="D148">
        <f>'10years_f'!D689-'10years_f'!$G689</f>
        <v>0.71359477726045939</v>
      </c>
      <c r="E148">
        <f>'10years_f'!E689-'10years_f'!$G689</f>
        <v>0.44236854039879359</v>
      </c>
      <c r="F148">
        <f>'10years_f'!F689-'10years_f'!$G689</f>
        <v>0.36353564428955587</v>
      </c>
      <c r="G148">
        <f>'10years_f'!H689-'10years_f'!$I689</f>
        <v>0.65851935491154645</v>
      </c>
    </row>
    <row r="149" spans="1:7" x14ac:dyDescent="0.35">
      <c r="A149" s="1">
        <v>30435</v>
      </c>
      <c r="B149">
        <f>'10years_f'!B690-'10years_f'!$G690</f>
        <v>0.59060261197592046</v>
      </c>
      <c r="C149">
        <f>'10years_f'!C690-'10years_f'!$G690</f>
        <v>0.27635348220176259</v>
      </c>
      <c r="D149">
        <f>'10years_f'!D690-'10years_f'!$G690</f>
        <v>0.64293618077952908</v>
      </c>
      <c r="E149">
        <f>'10years_f'!E690-'10years_f'!$G690</f>
        <v>0.37209025903519533</v>
      </c>
      <c r="F149">
        <f>'10years_f'!F690-'10years_f'!$G690</f>
        <v>0.28529423857011005</v>
      </c>
      <c r="G149">
        <f>'10years_f'!H690-'10years_f'!$I690</f>
        <v>0.58023840514909164</v>
      </c>
    </row>
    <row r="150" spans="1:7" x14ac:dyDescent="0.35">
      <c r="A150" s="1">
        <v>30467</v>
      </c>
      <c r="B150">
        <f>'10years_f'!B691-'10years_f'!$G691</f>
        <v>0.62142956148330697</v>
      </c>
      <c r="C150">
        <f>'10years_f'!C691-'10years_f'!$G691</f>
        <v>0.30949173981962996</v>
      </c>
      <c r="D150">
        <f>'10years_f'!D691-'10years_f'!$G691</f>
        <v>0.65189770239078726</v>
      </c>
      <c r="E150">
        <f>'10years_f'!E691-'10years_f'!$G691</f>
        <v>0.38248717574636704</v>
      </c>
      <c r="F150">
        <f>'10years_f'!F691-'10years_f'!$G691</f>
        <v>0.31878244185444427</v>
      </c>
      <c r="G150">
        <f>'10years_f'!H691-'10years_f'!$I691</f>
        <v>0.61072349420363548</v>
      </c>
    </row>
    <row r="151" spans="1:7" x14ac:dyDescent="0.35">
      <c r="A151" s="1">
        <v>30497</v>
      </c>
      <c r="B151">
        <f>'10years_f'!B692-'10years_f'!$G692</f>
        <v>0.59744777959837703</v>
      </c>
      <c r="C151">
        <f>'10years_f'!C692-'10years_f'!$G692</f>
        <v>0.28624593701124934</v>
      </c>
      <c r="D151">
        <f>'10years_f'!D692-'10years_f'!$G692</f>
        <v>0.63226675789910947</v>
      </c>
      <c r="E151">
        <f>'10years_f'!E692-'10years_f'!$G692</f>
        <v>0.36345902666811836</v>
      </c>
      <c r="F151">
        <f>'10years_f'!F692-'10years_f'!$G692</f>
        <v>0.29402636343573563</v>
      </c>
      <c r="G151">
        <f>'10years_f'!H692-'10years_f'!$I692</f>
        <v>0.58662629476735617</v>
      </c>
    </row>
    <row r="152" spans="1:7" x14ac:dyDescent="0.35">
      <c r="A152" s="1">
        <v>30526</v>
      </c>
      <c r="B152">
        <f>'10years_f'!B693-'10years_f'!$G693</f>
        <v>0.62463180853706302</v>
      </c>
      <c r="C152">
        <f>'10years_f'!C693-'10years_f'!$G693</f>
        <v>0.31318782951954027</v>
      </c>
      <c r="D152">
        <f>'10years_f'!D693-'10years_f'!$G693</f>
        <v>0.65862616287401554</v>
      </c>
      <c r="E152">
        <f>'10years_f'!E693-'10years_f'!$G693</f>
        <v>0.39005356015655046</v>
      </c>
      <c r="F152">
        <f>'10years_f'!F693-'10years_f'!$G693</f>
        <v>0.32206394418491957</v>
      </c>
      <c r="G152">
        <f>'10years_f'!H693-'10years_f'!$I693</f>
        <v>0.61359286566771143</v>
      </c>
    </row>
    <row r="153" spans="1:7" x14ac:dyDescent="0.35">
      <c r="A153" s="1">
        <v>30559</v>
      </c>
      <c r="B153">
        <f>'10years_f'!B694-'10years_f'!$G694</f>
        <v>0.6466881795016528</v>
      </c>
      <c r="C153">
        <f>'10years_f'!C694-'10years_f'!$G694</f>
        <v>0.33766566510920981</v>
      </c>
      <c r="D153">
        <f>'10years_f'!D694-'10years_f'!$G694</f>
        <v>0.69226176329394384</v>
      </c>
      <c r="E153">
        <f>'10years_f'!E694-'10years_f'!$G694</f>
        <v>0.42502222899677378</v>
      </c>
      <c r="F153">
        <f>'10years_f'!F694-'10years_f'!$G694</f>
        <v>0.34540305581317554</v>
      </c>
      <c r="G153">
        <f>'10years_f'!H694-'10years_f'!$I694</f>
        <v>0.63549110193983349</v>
      </c>
    </row>
    <row r="154" spans="1:7" x14ac:dyDescent="0.35">
      <c r="A154" s="1">
        <v>30589</v>
      </c>
      <c r="B154">
        <f>'10years_f'!B695-'10years_f'!$G695</f>
        <v>0.63269826825422149</v>
      </c>
      <c r="C154">
        <f>'10years_f'!C695-'10years_f'!$G695</f>
        <v>0.32452714335728272</v>
      </c>
      <c r="D154">
        <f>'10years_f'!D695-'10years_f'!$G695</f>
        <v>0.66956560668435694</v>
      </c>
      <c r="E154">
        <f>'10years_f'!E695-'10years_f'!$G695</f>
        <v>0.40319545478341601</v>
      </c>
      <c r="F154">
        <f>'10years_f'!F695-'10years_f'!$G695</f>
        <v>0.33270482002669022</v>
      </c>
      <c r="G154">
        <f>'10years_f'!H695-'10years_f'!$I695</f>
        <v>0.62148672897044399</v>
      </c>
    </row>
    <row r="155" spans="1:7" x14ac:dyDescent="0.35">
      <c r="A155" s="1">
        <v>30620</v>
      </c>
      <c r="B155">
        <f>'10years_f'!B696-'10years_f'!$G696</f>
        <v>0.66504894810189641</v>
      </c>
      <c r="C155">
        <f>'10years_f'!C696-'10years_f'!$G696</f>
        <v>0.35707899100590823</v>
      </c>
      <c r="D155">
        <f>'10years_f'!D696-'10years_f'!$G696</f>
        <v>0.7066396006056721</v>
      </c>
      <c r="E155">
        <f>'10years_f'!E696-'10years_f'!$G696</f>
        <v>0.44091711975243553</v>
      </c>
      <c r="F155">
        <f>'10years_f'!F696-'10years_f'!$G696</f>
        <v>0.36633018122445926</v>
      </c>
      <c r="G155">
        <f>'10years_f'!H696-'10years_f'!$I696</f>
        <v>0.65361100539111927</v>
      </c>
    </row>
    <row r="156" spans="1:7" x14ac:dyDescent="0.35">
      <c r="A156" s="1">
        <v>30650</v>
      </c>
      <c r="B156">
        <f>'10years_f'!B697-'10years_f'!$G697</f>
        <v>0.64172627572425678</v>
      </c>
      <c r="C156">
        <f>'10years_f'!C697-'10years_f'!$G697</f>
        <v>0.33626542130669601</v>
      </c>
      <c r="D156">
        <f>'10years_f'!D697-'10years_f'!$G697</f>
        <v>0.66438576004397709</v>
      </c>
      <c r="E156">
        <f>'10years_f'!E697-'10years_f'!$G697</f>
        <v>0.39986644848700048</v>
      </c>
      <c r="F156">
        <f>'10years_f'!F697-'10years_f'!$G697</f>
        <v>0.34475845128898874</v>
      </c>
      <c r="G156">
        <f>'10years_f'!H697-'10years_f'!$I697</f>
        <v>0.63024020008590753</v>
      </c>
    </row>
    <row r="157" spans="1:7" x14ac:dyDescent="0.35">
      <c r="A157" s="1">
        <v>30680</v>
      </c>
      <c r="B157">
        <f>'10years_f'!B698-'10years_f'!$G698</f>
        <v>0.66146490098323696</v>
      </c>
      <c r="C157">
        <f>'10years_f'!C698-'10years_f'!$G698</f>
        <v>0.35676914229513645</v>
      </c>
      <c r="D157">
        <f>'10years_f'!D698-'10years_f'!$G698</f>
        <v>0.69545031719039763</v>
      </c>
      <c r="E157">
        <f>'10years_f'!E698-'10years_f'!$G698</f>
        <v>0.43177629160137521</v>
      </c>
      <c r="F157">
        <f>'10years_f'!F698-'10years_f'!$G698</f>
        <v>0.36494040388742999</v>
      </c>
      <c r="G157">
        <f>'10years_f'!H698-'10years_f'!$I698</f>
        <v>0.64980729694761319</v>
      </c>
    </row>
    <row r="158" spans="1:7" x14ac:dyDescent="0.35">
      <c r="A158" s="1">
        <v>30712</v>
      </c>
      <c r="B158">
        <f>'10years_f'!B699-'10years_f'!$G699</f>
        <v>0.69676978936567857</v>
      </c>
      <c r="C158">
        <f>'10years_f'!C699-'10years_f'!$G699</f>
        <v>0.39226574528414582</v>
      </c>
      <c r="D158">
        <f>'10years_f'!D699-'10years_f'!$G699</f>
        <v>0.74221207961058</v>
      </c>
      <c r="E158">
        <f>'10years_f'!E699-'10years_f'!$G699</f>
        <v>0.47889213116094376</v>
      </c>
      <c r="F158">
        <f>'10years_f'!F699-'10years_f'!$G699</f>
        <v>0.40390016638968995</v>
      </c>
      <c r="G158">
        <f>'10years_f'!H699-'10years_f'!$I699</f>
        <v>0.68500841440370941</v>
      </c>
    </row>
    <row r="159" spans="1:7" x14ac:dyDescent="0.35">
      <c r="A159" s="1">
        <v>30741</v>
      </c>
      <c r="B159">
        <f>'10years_f'!B700-'10years_f'!$G700</f>
        <v>0.707068805369095</v>
      </c>
      <c r="C159">
        <f>'10years_f'!C700-'10years_f'!$G700</f>
        <v>0.40476033661459754</v>
      </c>
      <c r="D159">
        <f>'10years_f'!D700-'10years_f'!$G700</f>
        <v>0.77272784679020168</v>
      </c>
      <c r="E159">
        <f>'10years_f'!E700-'10years_f'!$G700</f>
        <v>0.51077755997400898</v>
      </c>
      <c r="F159">
        <f>'10years_f'!F700-'10years_f'!$G700</f>
        <v>0.41589619369214637</v>
      </c>
      <c r="G159">
        <f>'10years_f'!H700-'10years_f'!$I700</f>
        <v>0.69513845287074716</v>
      </c>
    </row>
    <row r="160" spans="1:7" x14ac:dyDescent="0.35">
      <c r="A160" s="1">
        <v>30771</v>
      </c>
      <c r="B160">
        <f>'10years_f'!B701-'10years_f'!$G701</f>
        <v>0.65900150341235908</v>
      </c>
      <c r="C160">
        <f>'10years_f'!C701-'10years_f'!$G701</f>
        <v>0.35781315857858975</v>
      </c>
      <c r="D160">
        <f>'10years_f'!D701-'10years_f'!$G701</f>
        <v>0.72007056166363204</v>
      </c>
      <c r="E160">
        <f>'10years_f'!E701-'10years_f'!$G701</f>
        <v>0.45926771178794668</v>
      </c>
      <c r="F160">
        <f>'10years_f'!F701-'10years_f'!$G701</f>
        <v>0.36910666921705571</v>
      </c>
      <c r="G160">
        <f>'10years_f'!H701-'10years_f'!$I701</f>
        <v>0.64719874867633642</v>
      </c>
    </row>
    <row r="161" spans="1:7" x14ac:dyDescent="0.35">
      <c r="A161" s="1">
        <v>30802</v>
      </c>
      <c r="B161">
        <f>'10years_f'!B702-'10years_f'!$G702</f>
        <v>0.66844110826676406</v>
      </c>
      <c r="C161">
        <f>'10years_f'!C702-'10years_f'!$G702</f>
        <v>0.36742166854433655</v>
      </c>
      <c r="D161">
        <f>'10years_f'!D702-'10years_f'!$G702</f>
        <v>0.73582950825213267</v>
      </c>
      <c r="E161">
        <f>'10years_f'!E702-'10years_f'!$G702</f>
        <v>0.47560532919808551</v>
      </c>
      <c r="F161">
        <f>'10years_f'!F702-'10years_f'!$G702</f>
        <v>0.37856248361043843</v>
      </c>
      <c r="G161">
        <f>'10years_f'!H702-'10years_f'!$I702</f>
        <v>0.65672483953114202</v>
      </c>
    </row>
    <row r="162" spans="1:7" x14ac:dyDescent="0.35">
      <c r="A162" s="1">
        <v>30833</v>
      </c>
      <c r="B162">
        <f>'10years_f'!B703-'10years_f'!$G703</f>
        <v>0.73191521748443367</v>
      </c>
      <c r="C162">
        <f>'10years_f'!C703-'10years_f'!$G703</f>
        <v>0.43332456700799571</v>
      </c>
      <c r="D162">
        <f>'10years_f'!D703-'10years_f'!$G703</f>
        <v>0.80088928800228021</v>
      </c>
      <c r="E162">
        <f>'10years_f'!E703-'10years_f'!$G703</f>
        <v>0.54184936583862942</v>
      </c>
      <c r="F162">
        <f>'10years_f'!F703-'10years_f'!$G703</f>
        <v>0.44418782810300228</v>
      </c>
      <c r="G162">
        <f>'10years_f'!H703-'10years_f'!$I703</f>
        <v>0.72012805594514617</v>
      </c>
    </row>
    <row r="163" spans="1:7" x14ac:dyDescent="0.35">
      <c r="A163" s="1">
        <v>30862</v>
      </c>
      <c r="B163">
        <f>'10years_f'!B704-'10years_f'!$G704</f>
        <v>0.6952243456301348</v>
      </c>
      <c r="C163">
        <f>'10years_f'!C704-'10years_f'!$G704</f>
        <v>0.39820527212743251</v>
      </c>
      <c r="D163">
        <f>'10years_f'!D704-'10years_f'!$G704</f>
        <v>0.75953017745422002</v>
      </c>
      <c r="E163">
        <f>'10years_f'!E704-'10years_f'!$G704</f>
        <v>0.50204447902310534</v>
      </c>
      <c r="F163">
        <f>'10years_f'!F704-'10years_f'!$G704</f>
        <v>0.41034846100240152</v>
      </c>
      <c r="G163">
        <f>'10years_f'!H704-'10years_f'!$I704</f>
        <v>0.68362774665440273</v>
      </c>
    </row>
    <row r="164" spans="1:7" x14ac:dyDescent="0.35">
      <c r="A164" s="1">
        <v>30894</v>
      </c>
      <c r="B164">
        <f>'10years_f'!B705-'10years_f'!$G705</f>
        <v>0.73839638744375136</v>
      </c>
      <c r="C164">
        <f>'10years_f'!C705-'10years_f'!$G705</f>
        <v>0.44177831722196337</v>
      </c>
      <c r="D164">
        <f>'10years_f'!D705-'10years_f'!$G705</f>
        <v>0.81709792225375089</v>
      </c>
      <c r="E164">
        <f>'10years_f'!E705-'10years_f'!$G705</f>
        <v>0.56023454022984231</v>
      </c>
      <c r="F164">
        <f>'10years_f'!F705-'10years_f'!$G705</f>
        <v>0.4546887530002095</v>
      </c>
      <c r="G164">
        <f>'10years_f'!H705-'10years_f'!$I705</f>
        <v>0.72683442979479818</v>
      </c>
    </row>
    <row r="165" spans="1:7" x14ac:dyDescent="0.35">
      <c r="A165" s="1">
        <v>30925</v>
      </c>
      <c r="B165">
        <f>'10years_f'!B706-'10years_f'!$G706</f>
        <v>0.68626386073637424</v>
      </c>
      <c r="C165">
        <f>'10years_f'!C706-'10years_f'!$G706</f>
        <v>0.39216610254277318</v>
      </c>
      <c r="D165">
        <f>'10years_f'!D706-'10years_f'!$G706</f>
        <v>0.76178743831091755</v>
      </c>
      <c r="E165">
        <f>'10years_f'!E706-'10years_f'!$G706</f>
        <v>0.50631697527360697</v>
      </c>
      <c r="F165">
        <f>'10years_f'!F706-'10years_f'!$G706</f>
        <v>0.40434859149793234</v>
      </c>
      <c r="G165">
        <f>'10years_f'!H706-'10years_f'!$I706</f>
        <v>0.67511922084813047</v>
      </c>
    </row>
    <row r="166" spans="1:7" x14ac:dyDescent="0.35">
      <c r="A166" s="1">
        <v>30953</v>
      </c>
      <c r="B166">
        <f>'10years_f'!B707-'10years_f'!$G707</f>
        <v>0.66964172547821366</v>
      </c>
      <c r="C166">
        <f>'10years_f'!C707-'10years_f'!$G707</f>
        <v>0.37633960424257462</v>
      </c>
      <c r="D166">
        <f>'10years_f'!D707-'10years_f'!$G707</f>
        <v>0.74037568305187906</v>
      </c>
      <c r="E166">
        <f>'10years_f'!E707-'10years_f'!$G707</f>
        <v>0.48587834110212369</v>
      </c>
      <c r="F166">
        <f>'10years_f'!F707-'10years_f'!$G707</f>
        <v>0.38810841913057703</v>
      </c>
      <c r="G166">
        <f>'10years_f'!H707-'10years_f'!$I707</f>
        <v>0.65887925098775391</v>
      </c>
    </row>
    <row r="167" spans="1:7" x14ac:dyDescent="0.35">
      <c r="A167" s="1">
        <v>30986</v>
      </c>
      <c r="B167">
        <f>'10years_f'!B708-'10years_f'!$G708</f>
        <v>0.69023050441506473</v>
      </c>
      <c r="C167">
        <f>'10years_f'!C708-'10years_f'!$G708</f>
        <v>0.39819659212823821</v>
      </c>
      <c r="D167">
        <f>'10years_f'!D708-'10years_f'!$G708</f>
        <v>0.75446390486962556</v>
      </c>
      <c r="E167">
        <f>'10years_f'!E708-'10years_f'!$G708</f>
        <v>0.50063334661994641</v>
      </c>
      <c r="F167">
        <f>'10years_f'!F708-'10years_f'!$G708</f>
        <v>0.4100273352485162</v>
      </c>
      <c r="G167">
        <f>'10years_f'!H708-'10years_f'!$I708</f>
        <v>0.68004252771189933</v>
      </c>
    </row>
    <row r="168" spans="1:7" x14ac:dyDescent="0.35">
      <c r="A168" s="1">
        <v>31016</v>
      </c>
      <c r="B168">
        <f>'10years_f'!B709-'10years_f'!$G709</f>
        <v>0.67029173482764537</v>
      </c>
      <c r="C168">
        <f>'10years_f'!C709-'10years_f'!$G709</f>
        <v>0.37989779571161608</v>
      </c>
      <c r="D168">
        <f>'10years_f'!D709-'10years_f'!$G709</f>
        <v>0.72242386720913365</v>
      </c>
      <c r="E168">
        <f>'10years_f'!E709-'10years_f'!$G709</f>
        <v>0.46964696423315178</v>
      </c>
      <c r="F168">
        <f>'10years_f'!F709-'10years_f'!$G709</f>
        <v>0.3917925408112104</v>
      </c>
      <c r="G168">
        <f>'10years_f'!H709-'10years_f'!$I709</f>
        <v>0.66030995098178558</v>
      </c>
    </row>
    <row r="169" spans="1:7" x14ac:dyDescent="0.35">
      <c r="A169" s="1">
        <v>31047</v>
      </c>
      <c r="B169">
        <f>'10years_f'!B710-'10years_f'!$G710</f>
        <v>0.66311876259613745</v>
      </c>
      <c r="C169">
        <f>'10years_f'!C710-'10years_f'!$G710</f>
        <v>0.3736955214958535</v>
      </c>
      <c r="D169">
        <f>'10years_f'!D710-'10years_f'!$G710</f>
        <v>0.71725542908352957</v>
      </c>
      <c r="E169">
        <f>'10years_f'!E710-'10years_f'!$G710</f>
        <v>0.46544650445406988</v>
      </c>
      <c r="F169">
        <f>'10years_f'!F710-'10years_f'!$G710</f>
        <v>0.38505314396614065</v>
      </c>
      <c r="G169">
        <f>'10years_f'!H710-'10years_f'!$I710</f>
        <v>0.65323916588333475</v>
      </c>
    </row>
    <row r="170" spans="1:7" x14ac:dyDescent="0.35">
      <c r="A170" s="1">
        <v>31078</v>
      </c>
      <c r="B170">
        <f>'10years_f'!B711-'10years_f'!$G711</f>
        <v>0.62417544871649855</v>
      </c>
      <c r="C170">
        <f>'10years_f'!C711-'10years_f'!$G711</f>
        <v>0.33517917915778184</v>
      </c>
      <c r="D170">
        <f>'10years_f'!D711-'10years_f'!$G711</f>
        <v>0.66044443605282832</v>
      </c>
      <c r="E170">
        <f>'10years_f'!E711-'10years_f'!$G711</f>
        <v>0.40906531035177163</v>
      </c>
      <c r="F170">
        <f>'10years_f'!F711-'10years_f'!$G711</f>
        <v>0.34698462605025848</v>
      </c>
      <c r="G170">
        <f>'10years_f'!H711-'10years_f'!$I711</f>
        <v>0.61449556708819131</v>
      </c>
    </row>
    <row r="171" spans="1:7" x14ac:dyDescent="0.35">
      <c r="A171" s="1">
        <v>31106</v>
      </c>
      <c r="B171">
        <f>'10years_f'!B712-'10years_f'!$G712</f>
        <v>0.64621008827187953</v>
      </c>
      <c r="C171">
        <f>'10years_f'!C712-'10years_f'!$G712</f>
        <v>0.35919267801613852</v>
      </c>
      <c r="D171">
        <f>'10years_f'!D712-'10years_f'!$G712</f>
        <v>0.69043574003057984</v>
      </c>
      <c r="E171">
        <f>'10years_f'!E712-'10years_f'!$G712</f>
        <v>0.43993522282818986</v>
      </c>
      <c r="F171">
        <f>'10years_f'!F712-'10years_f'!$G712</f>
        <v>0.37096221824961351</v>
      </c>
      <c r="G171">
        <f>'10years_f'!H712-'10years_f'!$I712</f>
        <v>0.6365115557090073</v>
      </c>
    </row>
    <row r="172" spans="1:7" x14ac:dyDescent="0.35">
      <c r="A172" s="1">
        <v>31135</v>
      </c>
      <c r="B172">
        <f>'10years_f'!B713-'10years_f'!$G713</f>
        <v>0.67237041155317123</v>
      </c>
      <c r="C172">
        <f>'10years_f'!C713-'10years_f'!$G713</f>
        <v>0.38633775861636388</v>
      </c>
      <c r="D172">
        <f>'10years_f'!D713-'10years_f'!$G713</f>
        <v>0.71920606926552311</v>
      </c>
      <c r="E172">
        <f>'10years_f'!E713-'10years_f'!$G713</f>
        <v>0.46970012802640881</v>
      </c>
      <c r="F172">
        <f>'10years_f'!F713-'10years_f'!$G713</f>
        <v>0.39734330033145615</v>
      </c>
      <c r="G172">
        <f>'10years_f'!H713-'10years_f'!$I713</f>
        <v>0.66268058004645969</v>
      </c>
    </row>
    <row r="173" spans="1:7" x14ac:dyDescent="0.35">
      <c r="A173" s="1">
        <v>31167</v>
      </c>
      <c r="B173">
        <f>'10years_f'!B714-'10years_f'!$G714</f>
        <v>0.70207047587813709</v>
      </c>
      <c r="C173">
        <f>'10years_f'!C714-'10years_f'!$G714</f>
        <v>0.41619282044536132</v>
      </c>
      <c r="D173">
        <f>'10years_f'!D714-'10years_f'!$G714</f>
        <v>0.75105272067179762</v>
      </c>
      <c r="E173">
        <f>'10years_f'!E714-'10years_f'!$G714</f>
        <v>0.50184547763041487</v>
      </c>
      <c r="F173">
        <f>'10years_f'!F714-'10years_f'!$G714</f>
        <v>0.42654703346083456</v>
      </c>
      <c r="G173">
        <f>'10years_f'!H714-'10years_f'!$I714</f>
        <v>0.69245881187058878</v>
      </c>
    </row>
    <row r="174" spans="1:7" x14ac:dyDescent="0.35">
      <c r="A174" s="1">
        <v>31198</v>
      </c>
      <c r="B174">
        <f>'10years_f'!B715-'10years_f'!$G715</f>
        <v>0.68459286344402903</v>
      </c>
      <c r="C174">
        <f>'10years_f'!C715-'10years_f'!$G715</f>
        <v>0.40072434710654692</v>
      </c>
      <c r="D174">
        <f>'10years_f'!D715-'10years_f'!$G715</f>
        <v>0.72710277415524827</v>
      </c>
      <c r="E174">
        <f>'10years_f'!E715-'10years_f'!$G715</f>
        <v>0.4786761505631465</v>
      </c>
      <c r="F174">
        <f>'10years_f'!F715-'10years_f'!$G715</f>
        <v>0.41318839743314628</v>
      </c>
      <c r="G174">
        <f>'10years_f'!H715-'10years_f'!$I715</f>
        <v>0.67512115352859059</v>
      </c>
    </row>
    <row r="175" spans="1:7" x14ac:dyDescent="0.35">
      <c r="A175" s="1">
        <v>31226</v>
      </c>
      <c r="B175">
        <f>'10years_f'!B716-'10years_f'!$G716</f>
        <v>0.69191843352353355</v>
      </c>
      <c r="C175">
        <f>'10years_f'!C716-'10years_f'!$G716</f>
        <v>0.40902502571195387</v>
      </c>
      <c r="D175">
        <f>'10years_f'!D716-'10years_f'!$G716</f>
        <v>0.73708340380641846</v>
      </c>
      <c r="E175">
        <f>'10years_f'!E716-'10years_f'!$G716</f>
        <v>0.48968285484690965</v>
      </c>
      <c r="F175">
        <f>'10years_f'!F716-'10years_f'!$G716</f>
        <v>0.42139063229177665</v>
      </c>
      <c r="G175">
        <f>'10years_f'!H716-'10years_f'!$I716</f>
        <v>0.68245495963479286</v>
      </c>
    </row>
    <row r="176" spans="1:7" x14ac:dyDescent="0.35">
      <c r="A176" s="1">
        <v>31259</v>
      </c>
      <c r="B176">
        <f>'10years_f'!B717-'10years_f'!$G717</f>
        <v>0.72376364781407609</v>
      </c>
      <c r="C176">
        <f>'10years_f'!C717-'10years_f'!$G717</f>
        <v>0.44127592983646746</v>
      </c>
      <c r="D176">
        <f>'10years_f'!D717-'10years_f'!$G717</f>
        <v>0.75826686863033821</v>
      </c>
      <c r="E176">
        <f>'10years_f'!E717-'10years_f'!$G717</f>
        <v>0.51131076970589362</v>
      </c>
      <c r="F176">
        <f>'10years_f'!F717-'10years_f'!$G717</f>
        <v>0.45311698751539708</v>
      </c>
      <c r="G176">
        <f>'10years_f'!H717-'10years_f'!$I717</f>
        <v>0.71428542852767229</v>
      </c>
    </row>
    <row r="177" spans="1:7" x14ac:dyDescent="0.35">
      <c r="A177" s="1">
        <v>31289</v>
      </c>
      <c r="B177">
        <f>'10years_f'!B718-'10years_f'!$G718</f>
        <v>0.73282722302129355</v>
      </c>
      <c r="C177">
        <f>'10years_f'!C718-'10years_f'!$G718</f>
        <v>0.45249705222779668</v>
      </c>
      <c r="D177">
        <f>'10years_f'!D718-'10years_f'!$G718</f>
        <v>0.77249279423247175</v>
      </c>
      <c r="E177">
        <f>'10years_f'!E718-'10years_f'!$G718</f>
        <v>0.52650059203914812</v>
      </c>
      <c r="F177">
        <f>'10years_f'!F718-'10years_f'!$G718</f>
        <v>0.46363602451372565</v>
      </c>
      <c r="G177">
        <f>'10years_f'!H718-'10years_f'!$I718</f>
        <v>0.72334780037286439</v>
      </c>
    </row>
    <row r="178" spans="1:7" x14ac:dyDescent="0.35">
      <c r="A178" s="1">
        <v>31320</v>
      </c>
      <c r="B178">
        <f>'10years_f'!B719-'10years_f'!$G719</f>
        <v>0.79748789595073633</v>
      </c>
      <c r="C178">
        <f>'10years_f'!C719-'10years_f'!$G719</f>
        <v>0.51800121795764587</v>
      </c>
      <c r="D178">
        <f>'10years_f'!D719-'10years_f'!$G719</f>
        <v>0.8333298431389784</v>
      </c>
      <c r="E178">
        <f>'10years_f'!E719-'10years_f'!$G719</f>
        <v>0.58811389633158062</v>
      </c>
      <c r="F178">
        <f>'10years_f'!F719-'10years_f'!$G719</f>
        <v>0.52779425082572318</v>
      </c>
      <c r="G178">
        <f>'10years_f'!H719-'10years_f'!$I719</f>
        <v>0.78788339914590555</v>
      </c>
    </row>
    <row r="179" spans="1:7" x14ac:dyDescent="0.35">
      <c r="A179" s="1">
        <v>31351</v>
      </c>
      <c r="B179">
        <f>'10years_f'!B720-'10years_f'!$G720</f>
        <v>0.75877900573942325</v>
      </c>
      <c r="C179">
        <f>'10years_f'!C720-'10years_f'!$G720</f>
        <v>0.48015672336421611</v>
      </c>
      <c r="D179">
        <f>'10years_f'!D720-'10years_f'!$G720</f>
        <v>0.77894584867459971</v>
      </c>
      <c r="E179">
        <f>'10years_f'!E720-'10years_f'!$G720</f>
        <v>0.53434891525090888</v>
      </c>
      <c r="F179">
        <f>'10years_f'!F720-'10years_f'!$G720</f>
        <v>0.48996491819231425</v>
      </c>
      <c r="G179">
        <f>'10years_f'!H720-'10years_f'!$I720</f>
        <v>0.74939761985055586</v>
      </c>
    </row>
    <row r="180" spans="1:7" x14ac:dyDescent="0.35">
      <c r="A180" s="1">
        <v>31380</v>
      </c>
      <c r="B180">
        <f>'10years_f'!B721-'10years_f'!$G721</f>
        <v>0.73820724444657371</v>
      </c>
      <c r="C180">
        <f>'10years_f'!C721-'10years_f'!$G721</f>
        <v>0.46148898362259105</v>
      </c>
      <c r="D180">
        <f>'10years_f'!D721-'10years_f'!$G721</f>
        <v>0.76187884806488748</v>
      </c>
      <c r="E180">
        <f>'10years_f'!E721-'10years_f'!$G721</f>
        <v>0.51814250328894085</v>
      </c>
      <c r="F180">
        <f>'10years_f'!F721-'10years_f'!$G721</f>
        <v>0.47229898268321469</v>
      </c>
      <c r="G180">
        <f>'10years_f'!H721-'10years_f'!$I721</f>
        <v>0.72897361563311058</v>
      </c>
    </row>
    <row r="181" spans="1:7" x14ac:dyDescent="0.35">
      <c r="A181" s="1">
        <v>31412</v>
      </c>
      <c r="B181">
        <f>'10years_f'!B722-'10years_f'!$G722</f>
        <v>0.71452785072755898</v>
      </c>
      <c r="C181">
        <f>'10years_f'!C722-'10years_f'!$G722</f>
        <v>0.43877089469727704</v>
      </c>
      <c r="D181">
        <f>'10years_f'!D722-'10years_f'!$G722</f>
        <v>0.73942817305047726</v>
      </c>
      <c r="E181">
        <f>'10years_f'!E722-'10years_f'!$G722</f>
        <v>0.49638085564096013</v>
      </c>
      <c r="F181">
        <f>'10years_f'!F722-'10years_f'!$G722</f>
        <v>0.45100696678525587</v>
      </c>
      <c r="G181">
        <f>'10years_f'!H722-'10years_f'!$I722</f>
        <v>0.70548424847030056</v>
      </c>
    </row>
    <row r="182" spans="1:7" x14ac:dyDescent="0.35">
      <c r="A182" s="1">
        <v>31443</v>
      </c>
      <c r="B182">
        <f>'10years_f'!B723-'10years_f'!$G723</f>
        <v>0.74050713523408951</v>
      </c>
      <c r="C182">
        <f>'10years_f'!C723-'10years_f'!$G723</f>
        <v>0.46496734255204486</v>
      </c>
      <c r="D182">
        <f>'10years_f'!D723-'10years_f'!$G723</f>
        <v>0.75183785127731251</v>
      </c>
      <c r="E182">
        <f>'10years_f'!E723-'10years_f'!$G723</f>
        <v>0.50889066739359978</v>
      </c>
      <c r="F182">
        <f>'10years_f'!F723-'10years_f'!$G723</f>
        <v>0.47705586063456518</v>
      </c>
      <c r="G182">
        <f>'10years_f'!H723-'10years_f'!$I723</f>
        <v>0.73141623210108975</v>
      </c>
    </row>
    <row r="183" spans="1:7" x14ac:dyDescent="0.35">
      <c r="A183" s="1">
        <v>31471</v>
      </c>
      <c r="B183">
        <f>'10years_f'!B724-'10years_f'!$G724</f>
        <v>0.68796278788080545</v>
      </c>
      <c r="C183">
        <f>'10years_f'!C724-'10years_f'!$G724</f>
        <v>0.41445909389354063</v>
      </c>
      <c r="D183">
        <f>'10years_f'!D724-'10years_f'!$G724</f>
        <v>0.69813833089617261</v>
      </c>
      <c r="E183">
        <f>'10years_f'!E724-'10years_f'!$G724</f>
        <v>0.45600065400560896</v>
      </c>
      <c r="F183">
        <f>'10years_f'!F724-'10years_f'!$G724</f>
        <v>0.42596395660469422</v>
      </c>
      <c r="G183">
        <f>'10years_f'!H724-'10years_f'!$I724</f>
        <v>0.67901267831336209</v>
      </c>
    </row>
    <row r="184" spans="1:7" x14ac:dyDescent="0.35">
      <c r="A184" s="1">
        <v>31502</v>
      </c>
      <c r="B184">
        <f>'10years_f'!B725-'10years_f'!$G725</f>
        <v>0.65191338054043069</v>
      </c>
      <c r="C184">
        <f>'10years_f'!C725-'10years_f'!$G725</f>
        <v>0.37907627156004686</v>
      </c>
      <c r="D184">
        <f>'10years_f'!D725-'10years_f'!$G725</f>
        <v>0.66677922933467393</v>
      </c>
      <c r="E184">
        <f>'10years_f'!E725-'10years_f'!$G725</f>
        <v>0.42521774982651728</v>
      </c>
      <c r="F184">
        <f>'10years_f'!F725-'10years_f'!$G725</f>
        <v>0.39104413508133629</v>
      </c>
      <c r="G184">
        <f>'10years_f'!H725-'10years_f'!$I725</f>
        <v>0.64307910734489049</v>
      </c>
    </row>
    <row r="185" spans="1:7" x14ac:dyDescent="0.35">
      <c r="A185" s="1">
        <v>31532</v>
      </c>
      <c r="B185">
        <f>'10years_f'!B726-'10years_f'!$G726</f>
        <v>0.67637338513683054</v>
      </c>
      <c r="C185">
        <f>'10years_f'!C726-'10years_f'!$G726</f>
        <v>0.40386889755207345</v>
      </c>
      <c r="D185">
        <f>'10years_f'!D726-'10years_f'!$G726</f>
        <v>0.70783013311724896</v>
      </c>
      <c r="E185">
        <f>'10years_f'!E726-'10years_f'!$G726</f>
        <v>0.46653265783990228</v>
      </c>
      <c r="F185">
        <f>'10years_f'!F726-'10years_f'!$G726</f>
        <v>0.4147136869938286</v>
      </c>
      <c r="G185">
        <f>'10years_f'!H726-'10years_f'!$I726</f>
        <v>0.66744142679591167</v>
      </c>
    </row>
    <row r="186" spans="1:7" x14ac:dyDescent="0.35">
      <c r="A186" s="1">
        <v>31562</v>
      </c>
      <c r="B186">
        <f>'10years_f'!B727-'10years_f'!$G727</f>
        <v>0.65259607559431321</v>
      </c>
      <c r="C186">
        <f>'10years_f'!C727-'10years_f'!$G727</f>
        <v>0.38152735152299155</v>
      </c>
      <c r="D186">
        <f>'10years_f'!D727-'10years_f'!$G727</f>
        <v>0.67195149918899344</v>
      </c>
      <c r="E186">
        <f>'10years_f'!E727-'10years_f'!$G727</f>
        <v>0.43124584031581858</v>
      </c>
      <c r="F186">
        <f>'10years_f'!F727-'10years_f'!$G727</f>
        <v>0.39309498302100221</v>
      </c>
      <c r="G186">
        <f>'10years_f'!H727-'10years_f'!$I727</f>
        <v>0.64374606378081456</v>
      </c>
    </row>
    <row r="187" spans="1:7" x14ac:dyDescent="0.35">
      <c r="A187" s="1">
        <v>31593</v>
      </c>
      <c r="B187">
        <f>'10years_f'!B728-'10years_f'!$G728</f>
        <v>0.64389326045543394</v>
      </c>
      <c r="C187">
        <f>'10years_f'!C728-'10years_f'!$G728</f>
        <v>0.3735548298144189</v>
      </c>
      <c r="D187">
        <f>'10years_f'!D728-'10years_f'!$G728</f>
        <v>0.66337740636618703</v>
      </c>
      <c r="E187">
        <f>'10years_f'!E728-'10years_f'!$G728</f>
        <v>0.42314674806184582</v>
      </c>
      <c r="F187">
        <f>'10years_f'!F728-'10years_f'!$G728</f>
        <v>0.38420272514933318</v>
      </c>
      <c r="G187">
        <f>'10years_f'!H728-'10years_f'!$I728</f>
        <v>0.63509217721295919</v>
      </c>
    </row>
    <row r="188" spans="1:7" x14ac:dyDescent="0.35">
      <c r="A188" s="1">
        <v>31624</v>
      </c>
      <c r="B188">
        <f>'10years_f'!B729-'10years_f'!$G729</f>
        <v>0.65608435366873574</v>
      </c>
      <c r="C188">
        <f>'10years_f'!C729-'10years_f'!$G729</f>
        <v>0.38594256134221872</v>
      </c>
      <c r="D188">
        <f>'10years_f'!D729-'10years_f'!$G729</f>
        <v>0.68145363115229141</v>
      </c>
      <c r="E188">
        <f>'10years_f'!E729-'10years_f'!$G729</f>
        <v>0.44143484222470408</v>
      </c>
      <c r="F188">
        <f>'10years_f'!F729-'10years_f'!$G729</f>
        <v>0.39623528212696235</v>
      </c>
      <c r="G188">
        <f>'10years_f'!H729-'10years_f'!$I729</f>
        <v>0.6472593538471072</v>
      </c>
    </row>
    <row r="189" spans="1:7" x14ac:dyDescent="0.35">
      <c r="A189" s="1">
        <v>31653</v>
      </c>
      <c r="B189">
        <f>'10years_f'!B730-'10years_f'!$G730</f>
        <v>0.61431471033810126</v>
      </c>
      <c r="C189">
        <f>'10years_f'!C730-'10years_f'!$G730</f>
        <v>0.34576134429653282</v>
      </c>
      <c r="D189">
        <f>'10years_f'!D730-'10years_f'!$G730</f>
        <v>0.64599377556324433</v>
      </c>
      <c r="E189">
        <f>'10years_f'!E730-'10years_f'!$G730</f>
        <v>0.40670342589936559</v>
      </c>
      <c r="F189">
        <f>'10years_f'!F730-'10years_f'!$G730</f>
        <v>0.35453491310872542</v>
      </c>
      <c r="G189">
        <f>'10years_f'!H730-'10years_f'!$I730</f>
        <v>0.60561228533149158</v>
      </c>
    </row>
    <row r="190" spans="1:7" x14ac:dyDescent="0.35">
      <c r="A190" s="1">
        <v>31685</v>
      </c>
      <c r="B190">
        <f>'10years_f'!B731-'10years_f'!$G731</f>
        <v>0.73356954651595996</v>
      </c>
      <c r="C190">
        <f>'10years_f'!C731-'10years_f'!$G731</f>
        <v>0.46539040414955068</v>
      </c>
      <c r="D190">
        <f>'10years_f'!D731-'10years_f'!$G731</f>
        <v>0.74936620231123485</v>
      </c>
      <c r="E190">
        <f>'10years_f'!E731-'10years_f'!$G731</f>
        <v>0.51019689814658009</v>
      </c>
      <c r="F190">
        <f>'10years_f'!F731-'10years_f'!$G731</f>
        <v>0.47401613100504414</v>
      </c>
      <c r="G190">
        <f>'10years_f'!H731-'10years_f'!$I731</f>
        <v>0.72451246188747209</v>
      </c>
    </row>
    <row r="191" spans="1:7" x14ac:dyDescent="0.35">
      <c r="A191" s="1">
        <v>31716</v>
      </c>
      <c r="B191">
        <f>'10years_f'!B732-'10years_f'!$G732</f>
        <v>0.70983292166261935</v>
      </c>
      <c r="C191">
        <f>'10years_f'!C732-'10years_f'!$G732</f>
        <v>0.44270061398318972</v>
      </c>
      <c r="D191">
        <f>'10years_f'!D732-'10years_f'!$G732</f>
        <v>0.70958034096008826</v>
      </c>
      <c r="E191">
        <f>'10years_f'!E732-'10years_f'!$G732</f>
        <v>0.47196548427845442</v>
      </c>
      <c r="F191">
        <f>'10years_f'!F732-'10years_f'!$G732</f>
        <v>0.45123567899729333</v>
      </c>
      <c r="G191">
        <f>'10years_f'!H732-'10years_f'!$I732</f>
        <v>0.70083968809662167</v>
      </c>
    </row>
    <row r="192" spans="1:7" x14ac:dyDescent="0.35">
      <c r="A192" s="1">
        <v>31744</v>
      </c>
      <c r="B192">
        <f>'10years_f'!B733-'10years_f'!$G733</f>
        <v>0.75104668271933028</v>
      </c>
      <c r="C192">
        <f>'10years_f'!C733-'10years_f'!$G733</f>
        <v>0.48631066062990125</v>
      </c>
      <c r="D192">
        <f>'10years_f'!D733-'10years_f'!$G733</f>
        <v>0.74779716627407189</v>
      </c>
      <c r="E192">
        <f>'10years_f'!E733-'10years_f'!$G733</f>
        <v>0.5117918814845186</v>
      </c>
      <c r="F192">
        <f>'10years_f'!F733-'10years_f'!$G733</f>
        <v>0.49273944998913755</v>
      </c>
      <c r="G192">
        <f>'10years_f'!H733-'10years_f'!$I733</f>
        <v>0.74192552203771189</v>
      </c>
    </row>
    <row r="193" spans="1:7" x14ac:dyDescent="0.35">
      <c r="A193" s="1">
        <v>31777</v>
      </c>
      <c r="B193">
        <f>'10years_f'!B734-'10years_f'!$G734</f>
        <v>0.75795375653465347</v>
      </c>
      <c r="C193">
        <f>'10years_f'!C734-'10years_f'!$G734</f>
        <v>0.49402772525080807</v>
      </c>
      <c r="D193">
        <f>'10years_f'!D734-'10years_f'!$G734</f>
        <v>0.76148338606834742</v>
      </c>
      <c r="E193">
        <f>'10years_f'!E734-'10years_f'!$G734</f>
        <v>0.52605147758263038</v>
      </c>
      <c r="F193">
        <f>'10years_f'!F734-'10years_f'!$G734</f>
        <v>0.49883400655135923</v>
      </c>
      <c r="G193">
        <f>'10years_f'!H734-'10years_f'!$I734</f>
        <v>0.74882488137633096</v>
      </c>
    </row>
    <row r="194" spans="1:7" x14ac:dyDescent="0.35">
      <c r="A194" s="1">
        <v>31807</v>
      </c>
      <c r="B194">
        <f>'10years_f'!B735-'10years_f'!$G735</f>
        <v>0.70217801693937876</v>
      </c>
      <c r="C194">
        <f>'10years_f'!C735-'10years_f'!$G735</f>
        <v>0.43857735099542605</v>
      </c>
      <c r="D194">
        <f>'10years_f'!D735-'10years_f'!$G735</f>
        <v>0.68235508747603646</v>
      </c>
      <c r="E194">
        <f>'10years_f'!E735-'10years_f'!$G735</f>
        <v>0.44722689786310443</v>
      </c>
      <c r="F194">
        <f>'10years_f'!F735-'10years_f'!$G735</f>
        <v>0.44453879839550847</v>
      </c>
      <c r="G194">
        <f>'10years_f'!H735-'10years_f'!$I735</f>
        <v>0.69323776077625521</v>
      </c>
    </row>
    <row r="195" spans="1:7" x14ac:dyDescent="0.35">
      <c r="A195" s="1">
        <v>31835</v>
      </c>
      <c r="B195">
        <f>'10years_f'!B736-'10years_f'!$G736</f>
        <v>0.67453403210516627</v>
      </c>
      <c r="C195">
        <f>'10years_f'!C736-'10years_f'!$G736</f>
        <v>0.41255564021890234</v>
      </c>
      <c r="D195">
        <f>'10years_f'!D736-'10years_f'!$G736</f>
        <v>0.6454412550486277</v>
      </c>
      <c r="E195">
        <f>'10years_f'!E736-'10years_f'!$G736</f>
        <v>0.41081127501342185</v>
      </c>
      <c r="F195">
        <f>'10years_f'!F736-'10years_f'!$G736</f>
        <v>0.41936865722132954</v>
      </c>
      <c r="G195">
        <f>'10years_f'!H736-'10years_f'!$I736</f>
        <v>0.66567930373977457</v>
      </c>
    </row>
    <row r="196" spans="1:7" x14ac:dyDescent="0.35">
      <c r="A196" s="1">
        <v>31867</v>
      </c>
      <c r="B196">
        <f>'10years_f'!B737-'10years_f'!$G737</f>
        <v>0.61709807095539659</v>
      </c>
      <c r="C196">
        <f>'10years_f'!C737-'10years_f'!$G737</f>
        <v>0.35589823979513291</v>
      </c>
      <c r="D196">
        <f>'10years_f'!D737-'10years_f'!$G737</f>
        <v>0.59904035692345836</v>
      </c>
      <c r="E196">
        <f>'10years_f'!E737-'10years_f'!$G737</f>
        <v>0.36497691740850513</v>
      </c>
      <c r="F196">
        <f>'10years_f'!F737-'10years_f'!$G737</f>
        <v>0.36122222401268633</v>
      </c>
      <c r="G196">
        <f>'10years_f'!H737-'10years_f'!$I737</f>
        <v>0.60843164816226647</v>
      </c>
    </row>
    <row r="197" spans="1:7" x14ac:dyDescent="0.35">
      <c r="A197" s="1">
        <v>31897</v>
      </c>
      <c r="B197">
        <f>'10years_f'!B738-'10years_f'!$G738</f>
        <v>0.67413595142186011</v>
      </c>
      <c r="C197">
        <f>'10years_f'!C738-'10years_f'!$G738</f>
        <v>0.41352985202344072</v>
      </c>
      <c r="D197">
        <f>'10years_f'!D738-'10years_f'!$G738</f>
        <v>0.63645385327476411</v>
      </c>
      <c r="E197">
        <f>'10years_f'!E738-'10years_f'!$G738</f>
        <v>0.4035762344519398</v>
      </c>
      <c r="F197">
        <f>'10years_f'!F738-'10years_f'!$G738</f>
        <v>0.41867609043618614</v>
      </c>
      <c r="G197">
        <f>'10years_f'!H738-'10years_f'!$I738</f>
        <v>0.66532277542288298</v>
      </c>
    </row>
    <row r="198" spans="1:7" x14ac:dyDescent="0.35">
      <c r="A198" s="1">
        <v>31926</v>
      </c>
      <c r="B198">
        <f>'10years_f'!B739-'10years_f'!$G739</f>
        <v>0.7157798699685507</v>
      </c>
      <c r="C198">
        <f>'10years_f'!C739-'10years_f'!$G739</f>
        <v>0.45665583658628761</v>
      </c>
      <c r="D198">
        <f>'10years_f'!D739-'10years_f'!$G739</f>
        <v>0.68489481729003088</v>
      </c>
      <c r="E198">
        <f>'10years_f'!E739-'10years_f'!$G739</f>
        <v>0.45250734793539737</v>
      </c>
      <c r="F198">
        <f>'10years_f'!F739-'10years_f'!$G739</f>
        <v>0.46055430185500223</v>
      </c>
      <c r="G198">
        <f>'10years_f'!H739-'10years_f'!$I739</f>
        <v>0.70686286959109612</v>
      </c>
    </row>
    <row r="199" spans="1:7" x14ac:dyDescent="0.35">
      <c r="A199" s="1">
        <v>31958</v>
      </c>
      <c r="B199">
        <f>'10years_f'!B740-'10years_f'!$G740</f>
        <v>0.71184506070217091</v>
      </c>
      <c r="C199">
        <f>'10years_f'!C740-'10years_f'!$G740</f>
        <v>0.45364562893302485</v>
      </c>
      <c r="D199">
        <f>'10years_f'!D740-'10years_f'!$G740</f>
        <v>0.68162263845002458</v>
      </c>
      <c r="E199">
        <f>'10years_f'!E740-'10years_f'!$G740</f>
        <v>0.44986393894280163</v>
      </c>
      <c r="F199">
        <f>'10years_f'!F740-'10years_f'!$G740</f>
        <v>0.4578914785722088</v>
      </c>
      <c r="G199">
        <f>'10years_f'!H740-'10years_f'!$I740</f>
        <v>0.70294623110498389</v>
      </c>
    </row>
    <row r="200" spans="1:7" x14ac:dyDescent="0.35">
      <c r="A200" s="1">
        <v>31989</v>
      </c>
      <c r="B200">
        <f>'10years_f'!B741-'10years_f'!$G741</f>
        <v>0.73627066709191258</v>
      </c>
      <c r="C200">
        <f>'10years_f'!C741-'10years_f'!$G741</f>
        <v>0.47848198896684213</v>
      </c>
      <c r="D200">
        <f>'10years_f'!D741-'10years_f'!$G741</f>
        <v>0.69327304144314628</v>
      </c>
      <c r="E200">
        <f>'10years_f'!E741-'10years_f'!$G741</f>
        <v>0.46253594532622877</v>
      </c>
      <c r="F200">
        <f>'10years_f'!F741-'10years_f'!$G741</f>
        <v>0.48178934640220916</v>
      </c>
      <c r="G200">
        <f>'10years_f'!H741-'10years_f'!$I741</f>
        <v>0.7273116712734895</v>
      </c>
    </row>
    <row r="201" spans="1:7" x14ac:dyDescent="0.35">
      <c r="A201" s="1">
        <v>32020</v>
      </c>
      <c r="B201">
        <f>'10years_f'!B742-'10years_f'!$G742</f>
        <v>0.65678477621045306</v>
      </c>
      <c r="C201">
        <f>'10years_f'!C742-'10years_f'!$G742</f>
        <v>0.40085085868104797</v>
      </c>
      <c r="D201">
        <f>'10years_f'!D742-'10years_f'!$G742</f>
        <v>0.6454093697917187</v>
      </c>
      <c r="E201">
        <f>'10years_f'!E742-'10years_f'!$G742</f>
        <v>0.41555044054626644</v>
      </c>
      <c r="F201">
        <f>'10years_f'!F742-'10years_f'!$G742</f>
        <v>0.4036665349227222</v>
      </c>
      <c r="G201">
        <f>'10years_f'!H742-'10years_f'!$I742</f>
        <v>0.64806429137862498</v>
      </c>
    </row>
    <row r="202" spans="1:7" x14ac:dyDescent="0.35">
      <c r="A202" s="1">
        <v>32050</v>
      </c>
      <c r="B202">
        <f>'10years_f'!B743-'10years_f'!$G743</f>
        <v>0.71979088339375696</v>
      </c>
      <c r="C202">
        <f>'10years_f'!C743-'10years_f'!$G743</f>
        <v>0.46435852875197448</v>
      </c>
      <c r="D202">
        <f>'10years_f'!D743-'10years_f'!$G743</f>
        <v>0.70185081829843377</v>
      </c>
      <c r="E202">
        <f>'10years_f'!E743-'10years_f'!$G743</f>
        <v>0.47259558660175482</v>
      </c>
      <c r="F202">
        <f>'10years_f'!F743-'10years_f'!$G743</f>
        <v>0.46784677318643197</v>
      </c>
      <c r="G202">
        <f>'10years_f'!H743-'10years_f'!$I743</f>
        <v>0.71089793355618713</v>
      </c>
    </row>
    <row r="203" spans="1:7" x14ac:dyDescent="0.35">
      <c r="A203" s="1">
        <v>32080</v>
      </c>
      <c r="B203">
        <f>'10years_f'!B744-'10years_f'!$G744</f>
        <v>0.89834190195419072</v>
      </c>
      <c r="C203">
        <f>'10years_f'!C744-'10years_f'!$G744</f>
        <v>0.64379357987134256</v>
      </c>
      <c r="D203">
        <f>'10years_f'!D744-'10years_f'!$G744</f>
        <v>0.91559803256508943</v>
      </c>
      <c r="E203">
        <f>'10years_f'!E744-'10years_f'!$G744</f>
        <v>0.6868792452589636</v>
      </c>
      <c r="F203">
        <f>'10years_f'!F744-'10years_f'!$G744</f>
        <v>0.64629752063400847</v>
      </c>
      <c r="G203">
        <f>'10years_f'!H744-'10years_f'!$I744</f>
        <v>0.88902031763884448</v>
      </c>
    </row>
    <row r="204" spans="1:7" x14ac:dyDescent="0.35">
      <c r="A204" s="1">
        <v>32111</v>
      </c>
      <c r="B204">
        <f>'10years_f'!B745-'10years_f'!$G745</f>
        <v>1.0084219438277171</v>
      </c>
      <c r="C204">
        <f>'10years_f'!C745-'10years_f'!$G745</f>
        <v>0.75652559422997046</v>
      </c>
      <c r="D204">
        <f>'10years_f'!D745-'10years_f'!$G745</f>
        <v>0.99565812177616353</v>
      </c>
      <c r="E204">
        <f>'10years_f'!E745-'10years_f'!$G745</f>
        <v>0.76856732295163832</v>
      </c>
      <c r="F204">
        <f>'10years_f'!F745-'10years_f'!$G745</f>
        <v>0.75790195996146847</v>
      </c>
      <c r="G204">
        <f>'10years_f'!H745-'10years_f'!$I745</f>
        <v>0.99882336060617138</v>
      </c>
    </row>
    <row r="205" spans="1:7" x14ac:dyDescent="0.35">
      <c r="A205" s="1">
        <v>32142</v>
      </c>
      <c r="B205">
        <f>'10years_f'!B746-'10years_f'!$G746</f>
        <v>0.96176567022155868</v>
      </c>
      <c r="C205">
        <f>'10years_f'!C746-'10years_f'!$G746</f>
        <v>0.71106019140340027</v>
      </c>
      <c r="D205">
        <f>'10years_f'!D746-'10years_f'!$G746</f>
        <v>0.9313091941898326</v>
      </c>
      <c r="E205">
        <f>'10years_f'!E746-'10years_f'!$G746</f>
        <v>0.70520349060619814</v>
      </c>
      <c r="F205">
        <f>'10years_f'!F746-'10years_f'!$G746</f>
        <v>0.71101881416796231</v>
      </c>
      <c r="G205">
        <f>'10years_f'!H746-'10years_f'!$I746</f>
        <v>0.95230717068117698</v>
      </c>
    </row>
    <row r="206" spans="1:7" x14ac:dyDescent="0.35">
      <c r="A206" s="1">
        <v>32171</v>
      </c>
      <c r="B206">
        <f>'10years_f'!B747-'10years_f'!$G747</f>
        <v>0.93526891145196189</v>
      </c>
      <c r="C206">
        <f>'10years_f'!C747-'10years_f'!$G747</f>
        <v>0.68517956931987478</v>
      </c>
      <c r="D206">
        <f>'10years_f'!D747-'10years_f'!$G747</f>
        <v>0.88684368041581974</v>
      </c>
      <c r="E206">
        <f>'10years_f'!E747-'10years_f'!$G747</f>
        <v>0.66126781715620031</v>
      </c>
      <c r="F206">
        <f>'10years_f'!F747-'10years_f'!$G747</f>
        <v>0.68489227043501466</v>
      </c>
      <c r="G206">
        <f>'10years_f'!H747-'10years_f'!$I747</f>
        <v>0.92596693501507676</v>
      </c>
    </row>
    <row r="207" spans="1:7" x14ac:dyDescent="0.35">
      <c r="A207" s="1">
        <v>32202</v>
      </c>
      <c r="B207">
        <f>'10years_f'!B748-'10years_f'!$G748</f>
        <v>0.95539937354920323</v>
      </c>
      <c r="C207">
        <f>'10years_f'!C748-'10years_f'!$G748</f>
        <v>0.70950829023785844</v>
      </c>
      <c r="D207">
        <f>'10years_f'!D748-'10years_f'!$G748</f>
        <v>0.89018655168437921</v>
      </c>
      <c r="E207">
        <f>'10years_f'!E748-'10years_f'!$G748</f>
        <v>0.66694178800248349</v>
      </c>
      <c r="F207">
        <f>'10years_f'!F748-'10years_f'!$G748</f>
        <v>0.70832965190903363</v>
      </c>
      <c r="G207">
        <f>'10years_f'!H748-'10years_f'!$I748</f>
        <v>0.94605033054380172</v>
      </c>
    </row>
    <row r="208" spans="1:7" x14ac:dyDescent="0.35">
      <c r="A208" s="1">
        <v>32233</v>
      </c>
      <c r="B208">
        <f>'10years_f'!B749-'10years_f'!$G749</f>
        <v>1.0246182419252814</v>
      </c>
      <c r="C208">
        <f>'10years_f'!C749-'10years_f'!$G749</f>
        <v>0.77976823293217867</v>
      </c>
      <c r="D208">
        <f>'10years_f'!D749-'10years_f'!$G749</f>
        <v>0.93842977254705806</v>
      </c>
      <c r="E208">
        <f>'10years_f'!E749-'10years_f'!$G749</f>
        <v>0.71592119639305674</v>
      </c>
      <c r="F208">
        <f>'10years_f'!F749-'10years_f'!$G749</f>
        <v>0.77844005042506881</v>
      </c>
      <c r="G208">
        <f>'10years_f'!H749-'10years_f'!$I749</f>
        <v>1.0150935206742151</v>
      </c>
    </row>
    <row r="209" spans="1:7" x14ac:dyDescent="0.35">
      <c r="A209" s="1">
        <v>32262</v>
      </c>
      <c r="B209">
        <f>'10years_f'!B750-'10years_f'!$G750</f>
        <v>1.0255014515964562</v>
      </c>
      <c r="C209">
        <f>'10years_f'!C750-'10years_f'!$G750</f>
        <v>0.78123565620180702</v>
      </c>
      <c r="D209">
        <f>'10years_f'!D750-'10years_f'!$G750</f>
        <v>0.93935142573327091</v>
      </c>
      <c r="E209">
        <f>'10years_f'!E750-'10years_f'!$G750</f>
        <v>0.71711284181790247</v>
      </c>
      <c r="F209">
        <f>'10years_f'!F750-'10years_f'!$G750</f>
        <v>0.7783967717887037</v>
      </c>
      <c r="G209">
        <f>'10years_f'!H750-'10years_f'!$I750</f>
        <v>1.0160161826122449</v>
      </c>
    </row>
    <row r="210" spans="1:7" x14ac:dyDescent="0.35">
      <c r="A210" s="1">
        <v>32294</v>
      </c>
      <c r="B210">
        <f>'10years_f'!B751-'10years_f'!$G751</f>
        <v>1.0045839610855387</v>
      </c>
      <c r="C210">
        <f>'10years_f'!C751-'10years_f'!$G751</f>
        <v>0.76335721039711069</v>
      </c>
      <c r="D210">
        <f>'10years_f'!D751-'10years_f'!$G751</f>
        <v>0.91508206307429263</v>
      </c>
      <c r="E210">
        <f>'10years_f'!E751-'10years_f'!$G751</f>
        <v>0.69475118438176087</v>
      </c>
      <c r="F210">
        <f>'10years_f'!F751-'10years_f'!$G751</f>
        <v>0.76059833653303799</v>
      </c>
      <c r="G210">
        <f>'10years_f'!H751-'10years_f'!$I751</f>
        <v>0.99516801620658235</v>
      </c>
    </row>
    <row r="211" spans="1:7" x14ac:dyDescent="0.35">
      <c r="A211" s="1">
        <v>32324</v>
      </c>
      <c r="B211">
        <f>'10years_f'!B752-'10years_f'!$G752</f>
        <v>0.99981552226863069</v>
      </c>
      <c r="C211">
        <f>'10years_f'!C752-'10years_f'!$G752</f>
        <v>0.75975514540512612</v>
      </c>
      <c r="D211">
        <f>'10years_f'!D752-'10years_f'!$G752</f>
        <v>0.87540373470323796</v>
      </c>
      <c r="E211">
        <f>'10years_f'!E752-'10years_f'!$G752</f>
        <v>0.65582710333670202</v>
      </c>
      <c r="F211">
        <f>'10years_f'!F752-'10years_f'!$G752</f>
        <v>0.75816612700586439</v>
      </c>
      <c r="G211">
        <f>'10years_f'!H752-'10years_f'!$I752</f>
        <v>0.99044435635635697</v>
      </c>
    </row>
    <row r="212" spans="1:7" x14ac:dyDescent="0.35">
      <c r="A212" s="1">
        <v>32353</v>
      </c>
      <c r="B212">
        <f>'10years_f'!B753-'10years_f'!$G753</f>
        <v>0.99590743694869865</v>
      </c>
      <c r="C212">
        <f>'10years_f'!C753-'10years_f'!$G753</f>
        <v>0.75749328599591714</v>
      </c>
      <c r="D212">
        <f>'10years_f'!D753-'10years_f'!$G753</f>
        <v>0.84698942509472741</v>
      </c>
      <c r="E212">
        <f>'10years_f'!E753-'10years_f'!$G753</f>
        <v>0.63013255744472141</v>
      </c>
      <c r="F212">
        <f>'10years_f'!F753-'10years_f'!$G753</f>
        <v>0.75379324058456931</v>
      </c>
      <c r="G212">
        <f>'10years_f'!H753-'10years_f'!$I753</f>
        <v>0.98657427848141133</v>
      </c>
    </row>
    <row r="213" spans="1:7" x14ac:dyDescent="0.35">
      <c r="A213" s="1">
        <v>32386</v>
      </c>
      <c r="B213">
        <f>'10years_f'!B754-'10years_f'!$G754</f>
        <v>0.89458381863802505</v>
      </c>
      <c r="C213">
        <f>'10years_f'!C754-'10years_f'!$G754</f>
        <v>0.65924452342500328</v>
      </c>
      <c r="D213">
        <f>'10years_f'!D754-'10years_f'!$G754</f>
        <v>0.74127980942339744</v>
      </c>
      <c r="E213">
        <f>'10years_f'!E754-'10years_f'!$G754</f>
        <v>0.52610313634222305</v>
      </c>
      <c r="F213">
        <f>'10years_f'!F754-'10years_f'!$G754</f>
        <v>0.65542101766309036</v>
      </c>
      <c r="G213">
        <f>'10years_f'!H754-'10years_f'!$I754</f>
        <v>0.8856088003361906</v>
      </c>
    </row>
    <row r="214" spans="1:7" x14ac:dyDescent="0.35">
      <c r="A214" s="1">
        <v>32416</v>
      </c>
      <c r="B214">
        <f>'10years_f'!B755-'10years_f'!$G755</f>
        <v>0.91221467807695533</v>
      </c>
      <c r="C214">
        <f>'10years_f'!C755-'10years_f'!$G755</f>
        <v>0.6777433715161314</v>
      </c>
      <c r="D214">
        <f>'10years_f'!D755-'10years_f'!$G755</f>
        <v>0.7575024940709103</v>
      </c>
      <c r="E214">
        <f>'10years_f'!E755-'10years_f'!$G755</f>
        <v>0.54271780932770253</v>
      </c>
      <c r="F214">
        <f>'10years_f'!F755-'10years_f'!$G755</f>
        <v>0.6748304435063075</v>
      </c>
      <c r="G214">
        <f>'10years_f'!H755-'10years_f'!$I755</f>
        <v>0.90331161930972126</v>
      </c>
    </row>
    <row r="215" spans="1:7" x14ac:dyDescent="0.35">
      <c r="A215" s="1">
        <v>32447</v>
      </c>
      <c r="B215">
        <f>'10years_f'!B756-'10years_f'!$G756</f>
        <v>0.9572613324138084</v>
      </c>
      <c r="C215">
        <f>'10years_f'!C756-'10years_f'!$G756</f>
        <v>0.72486608622535353</v>
      </c>
      <c r="D215">
        <f>'10years_f'!D756-'10years_f'!$G756</f>
        <v>0.82009402082723604</v>
      </c>
      <c r="E215">
        <f>'10years_f'!E756-'10years_f'!$G756</f>
        <v>0.6068468874541626</v>
      </c>
      <c r="F215">
        <f>'10years_f'!F756-'10years_f'!$G756</f>
        <v>0.72068117403723253</v>
      </c>
      <c r="G215">
        <f>'10years_f'!H756-'10years_f'!$I756</f>
        <v>0.94829807979786018</v>
      </c>
    </row>
    <row r="216" spans="1:7" x14ac:dyDescent="0.35">
      <c r="A216" s="1">
        <v>32477</v>
      </c>
      <c r="B216">
        <f>'10years_f'!B757-'10years_f'!$G757</f>
        <v>1.0226034600356684</v>
      </c>
      <c r="C216">
        <f>'10years_f'!C757-'10years_f'!$G757</f>
        <v>0.79353480616453442</v>
      </c>
      <c r="D216">
        <f>'10years_f'!D757-'10years_f'!$G757</f>
        <v>0.88361819776494954</v>
      </c>
      <c r="E216">
        <f>'10years_f'!E757-'10years_f'!$G757</f>
        <v>0.67283005655261263</v>
      </c>
      <c r="F216">
        <f>'10years_f'!F757-'10years_f'!$G757</f>
        <v>0.78735050950378493</v>
      </c>
      <c r="G216">
        <f>'10years_f'!H757-'10years_f'!$I757</f>
        <v>1.0135014367865347</v>
      </c>
    </row>
    <row r="217" spans="1:7" x14ac:dyDescent="0.35">
      <c r="A217" s="1">
        <v>32507</v>
      </c>
      <c r="B217">
        <f>'10years_f'!B758-'10years_f'!$G758</f>
        <v>1.0580450732014024</v>
      </c>
      <c r="C217">
        <f>'10years_f'!C758-'10years_f'!$G758</f>
        <v>0.83072519753540353</v>
      </c>
      <c r="D217">
        <f>'10years_f'!D758-'10years_f'!$G758</f>
        <v>0.88673895681772863</v>
      </c>
      <c r="E217">
        <f>'10years_f'!E758-'10years_f'!$G758</f>
        <v>0.67726403948401015</v>
      </c>
      <c r="F217">
        <f>'10years_f'!F758-'10years_f'!$G758</f>
        <v>0.82329220469033459</v>
      </c>
      <c r="G217">
        <f>'10years_f'!H758-'10years_f'!$I758</f>
        <v>1.048968880008827</v>
      </c>
    </row>
    <row r="218" spans="1:7" x14ac:dyDescent="0.35">
      <c r="A218" s="1">
        <v>32539</v>
      </c>
      <c r="B218">
        <f>'10years_f'!B759-'10years_f'!$G759</f>
        <v>1.0360923306288314</v>
      </c>
      <c r="C218">
        <f>'10years_f'!C759-'10years_f'!$G759</f>
        <v>0.81028102589451789</v>
      </c>
      <c r="D218">
        <f>'10years_f'!D759-'10years_f'!$G759</f>
        <v>0.83949544192714809</v>
      </c>
      <c r="E218">
        <f>'10years_f'!E759-'10years_f'!$G759</f>
        <v>0.63143513604067758</v>
      </c>
      <c r="F218">
        <f>'10years_f'!F759-'10years_f'!$G759</f>
        <v>0.80087909511915223</v>
      </c>
      <c r="G218">
        <f>'10years_f'!H759-'10years_f'!$I759</f>
        <v>1.0271201472610292</v>
      </c>
    </row>
    <row r="219" spans="1:7" x14ac:dyDescent="0.35">
      <c r="A219" s="1">
        <v>32567</v>
      </c>
      <c r="B219">
        <f>'10years_f'!B760-'10years_f'!$G760</f>
        <v>1.0321702865435631</v>
      </c>
      <c r="C219">
        <f>'10years_f'!C760-'10years_f'!$G760</f>
        <v>0.80891126562620852</v>
      </c>
      <c r="D219">
        <f>'10years_f'!D760-'10years_f'!$G760</f>
        <v>0.83456434688431202</v>
      </c>
      <c r="E219">
        <f>'10years_f'!E760-'10years_f'!$G760</f>
        <v>0.62796227502805757</v>
      </c>
      <c r="F219">
        <f>'10years_f'!F760-'10years_f'!$G760</f>
        <v>0.80005983431254735</v>
      </c>
      <c r="G219">
        <f>'10years_f'!H760-'10years_f'!$I760</f>
        <v>1.0233153627917213</v>
      </c>
    </row>
    <row r="220" spans="1:7" x14ac:dyDescent="0.35">
      <c r="A220" s="1">
        <v>32598</v>
      </c>
      <c r="B220">
        <f>'10years_f'!B761-'10years_f'!$G761</f>
        <v>1.0470783149618861</v>
      </c>
      <c r="C220">
        <f>'10years_f'!C761-'10years_f'!$G761</f>
        <v>0.82495672464028602</v>
      </c>
      <c r="D220">
        <f>'10years_f'!D761-'10years_f'!$G761</f>
        <v>0.8378888076331974</v>
      </c>
      <c r="E220">
        <f>'10years_f'!E761-'10years_f'!$G761</f>
        <v>0.6323054119783571</v>
      </c>
      <c r="F220">
        <f>'10years_f'!F761-'10years_f'!$G761</f>
        <v>0.81663029121407704</v>
      </c>
      <c r="G220">
        <f>'10years_f'!H761-'10years_f'!$I761</f>
        <v>1.038385056976332</v>
      </c>
    </row>
    <row r="221" spans="1:7" x14ac:dyDescent="0.35">
      <c r="A221" s="1">
        <v>32626</v>
      </c>
      <c r="B221">
        <f>'10years_f'!B762-'10years_f'!$G762</f>
        <v>1.0379658246826817</v>
      </c>
      <c r="C221">
        <f>'10years_f'!C762-'10years_f'!$G762</f>
        <v>0.81667985857781455</v>
      </c>
      <c r="D221">
        <f>'10years_f'!D762-'10years_f'!$G762</f>
        <v>0.87742464544962817</v>
      </c>
      <c r="E221">
        <f>'10years_f'!E762-'10years_f'!$G762</f>
        <v>0.67201959827930202</v>
      </c>
      <c r="F221">
        <f>'10years_f'!F762-'10years_f'!$G762</f>
        <v>0.80915469362790815</v>
      </c>
      <c r="G221">
        <f>'10years_f'!H762-'10years_f'!$I762</f>
        <v>1.0294596263237921</v>
      </c>
    </row>
    <row r="222" spans="1:7" x14ac:dyDescent="0.35">
      <c r="A222" s="1">
        <v>32659</v>
      </c>
      <c r="B222">
        <f>'10years_f'!B763-'10years_f'!$G763</f>
        <v>0.98759325994704605</v>
      </c>
      <c r="C222">
        <f>'10years_f'!C763-'10years_f'!$G763</f>
        <v>0.7695027643557073</v>
      </c>
      <c r="D222">
        <f>'10years_f'!D763-'10years_f'!$G763</f>
        <v>0.84094269369584085</v>
      </c>
      <c r="E222">
        <f>'10years_f'!E763-'10years_f'!$G763</f>
        <v>0.63796143306438902</v>
      </c>
      <c r="F222">
        <f>'10years_f'!F763-'10years_f'!$G763</f>
        <v>0.76211780331537193</v>
      </c>
      <c r="G222">
        <f>'10years_f'!H763-'10years_f'!$I763</f>
        <v>0.97957786427853577</v>
      </c>
    </row>
    <row r="223" spans="1:7" x14ac:dyDescent="0.35">
      <c r="A223" s="1">
        <v>32689</v>
      </c>
      <c r="B223">
        <f>'10years_f'!B764-'10years_f'!$G764</f>
        <v>1.0394990762410017</v>
      </c>
      <c r="C223">
        <f>'10years_f'!C764-'10years_f'!$G764</f>
        <v>0.82245329460343131</v>
      </c>
      <c r="D223">
        <f>'10years_f'!D764-'10years_f'!$G764</f>
        <v>0.883124593362139</v>
      </c>
      <c r="E223">
        <f>'10years_f'!E764-'10years_f'!$G764</f>
        <v>0.6807454831997517</v>
      </c>
      <c r="F223">
        <f>'10years_f'!F764-'10years_f'!$G764</f>
        <v>0.8158842950967915</v>
      </c>
      <c r="G223">
        <f>'10years_f'!H764-'10years_f'!$I764</f>
        <v>1.0316107751830339</v>
      </c>
    </row>
    <row r="224" spans="1:7" x14ac:dyDescent="0.35">
      <c r="A224" s="1">
        <v>32720</v>
      </c>
      <c r="B224">
        <f>'10years_f'!B765-'10years_f'!$G765</f>
        <v>0.94315659711379229</v>
      </c>
      <c r="C224">
        <f>'10years_f'!C765-'10years_f'!$G765</f>
        <v>0.72700951522000068</v>
      </c>
      <c r="D224">
        <f>'10years_f'!D765-'10years_f'!$G765</f>
        <v>0.78876129577301057</v>
      </c>
      <c r="E224">
        <f>'10years_f'!E765-'10years_f'!$G765</f>
        <v>0.58686871590598599</v>
      </c>
      <c r="F224">
        <f>'10years_f'!F765-'10years_f'!$G765</f>
        <v>0.71947344627256715</v>
      </c>
      <c r="G224">
        <f>'10years_f'!H765-'10years_f'!$I765</f>
        <v>0.93570774777766985</v>
      </c>
    </row>
    <row r="225" spans="1:7" x14ac:dyDescent="0.35">
      <c r="A225" s="1">
        <v>32751</v>
      </c>
      <c r="B225">
        <f>'10years_f'!B766-'10years_f'!$G766</f>
        <v>0.92495084881325851</v>
      </c>
      <c r="C225">
        <f>'10years_f'!C766-'10years_f'!$G766</f>
        <v>0.71138248345865907</v>
      </c>
      <c r="D225">
        <f>'10years_f'!D766-'10years_f'!$G766</f>
        <v>0.74818920385182675</v>
      </c>
      <c r="E225">
        <f>'10years_f'!E766-'10years_f'!$G766</f>
        <v>0.5477472204477063</v>
      </c>
      <c r="F225">
        <f>'10years_f'!F766-'10years_f'!$G766</f>
        <v>0.70384440178390739</v>
      </c>
      <c r="G225">
        <f>'10years_f'!H766-'10years_f'!$I766</f>
        <v>0.91780696470695755</v>
      </c>
    </row>
    <row r="226" spans="1:7" x14ac:dyDescent="0.35">
      <c r="A226" s="1">
        <v>32780</v>
      </c>
      <c r="B226">
        <f>'10years_f'!B767-'10years_f'!$G767</f>
        <v>0.90629773907461075</v>
      </c>
      <c r="C226">
        <f>'10years_f'!C767-'10years_f'!$G767</f>
        <v>0.69396347973889938</v>
      </c>
      <c r="D226">
        <f>'10years_f'!D767-'10years_f'!$G767</f>
        <v>0.72960423765378923</v>
      </c>
      <c r="E226">
        <f>'10years_f'!E767-'10years_f'!$G767</f>
        <v>0.53116617177025649</v>
      </c>
      <c r="F226">
        <f>'10years_f'!F767-'10years_f'!$G767</f>
        <v>0.68697737160499983</v>
      </c>
      <c r="G226">
        <f>'10years_f'!H767-'10years_f'!$I767</f>
        <v>0.8993435179619258</v>
      </c>
    </row>
    <row r="227" spans="1:7" x14ac:dyDescent="0.35">
      <c r="A227" s="1">
        <v>32812</v>
      </c>
      <c r="B227">
        <f>'10years_f'!B768-'10years_f'!$G768</f>
        <v>0.98129681947377945</v>
      </c>
      <c r="C227">
        <f>'10years_f'!C768-'10years_f'!$G768</f>
        <v>0.76998854201023947</v>
      </c>
      <c r="D227">
        <f>'10years_f'!D768-'10years_f'!$G768</f>
        <v>0.79782871897124208</v>
      </c>
      <c r="E227">
        <f>'10years_f'!E768-'10years_f'!$G768</f>
        <v>0.59981136167234572</v>
      </c>
      <c r="F227">
        <f>'10years_f'!F768-'10years_f'!$G768</f>
        <v>0.76179924446250569</v>
      </c>
      <c r="G227">
        <f>'10years_f'!H768-'10years_f'!$I768</f>
        <v>0.97438117510317834</v>
      </c>
    </row>
    <row r="228" spans="1:7" x14ac:dyDescent="0.35">
      <c r="A228" s="1">
        <v>32842</v>
      </c>
      <c r="B228">
        <f>'10years_f'!B769-'10years_f'!$G769</f>
        <v>0.98411489130372098</v>
      </c>
      <c r="C228">
        <f>'10years_f'!C769-'10years_f'!$G769</f>
        <v>0.77492920507080543</v>
      </c>
      <c r="D228">
        <f>'10years_f'!D769-'10years_f'!$G769</f>
        <v>0.78859953464420629</v>
      </c>
      <c r="E228">
        <f>'10years_f'!E769-'10years_f'!$G769</f>
        <v>0.59180148913289132</v>
      </c>
      <c r="F228">
        <f>'10years_f'!F769-'10years_f'!$G769</f>
        <v>0.76642150909982254</v>
      </c>
      <c r="G228">
        <f>'10years_f'!H769-'10years_f'!$I769</f>
        <v>0.97742229225308286</v>
      </c>
    </row>
    <row r="229" spans="1:7" x14ac:dyDescent="0.35">
      <c r="A229" s="1">
        <v>32871</v>
      </c>
      <c r="B229">
        <f>'10years_f'!B770-'10years_f'!$G770</f>
        <v>1.0177735757172743</v>
      </c>
      <c r="C229">
        <f>'10years_f'!C770-'10years_f'!$G770</f>
        <v>0.80990720413346518</v>
      </c>
      <c r="D229">
        <f>'10years_f'!D770-'10years_f'!$G770</f>
        <v>0.81360209288289331</v>
      </c>
      <c r="E229">
        <f>'10years_f'!E770-'10years_f'!$G770</f>
        <v>0.61750585705336958</v>
      </c>
      <c r="F229">
        <f>'10years_f'!F770-'10years_f'!$G770</f>
        <v>0.79726759988630969</v>
      </c>
      <c r="G229">
        <f>'10years_f'!H770-'10years_f'!$I770</f>
        <v>1.0111209610979666</v>
      </c>
    </row>
    <row r="230" spans="1:7" x14ac:dyDescent="0.35">
      <c r="A230" s="1">
        <v>32904</v>
      </c>
      <c r="B230">
        <f>'10years_f'!B771-'10years_f'!$G771</f>
        <v>1.0352141180773169</v>
      </c>
      <c r="C230">
        <f>'10years_f'!C771-'10years_f'!$G771</f>
        <v>0.82830439685743351</v>
      </c>
      <c r="D230">
        <f>'10years_f'!D771-'10years_f'!$G771</f>
        <v>0.82923294995613372</v>
      </c>
      <c r="E230">
        <f>'10years_f'!E771-'10years_f'!$G771</f>
        <v>0.63355584982236057</v>
      </c>
      <c r="F230">
        <f>'10years_f'!F771-'10years_f'!$G771</f>
        <v>0.81458795127197914</v>
      </c>
      <c r="G230">
        <f>'10years_f'!H771-'10years_f'!$I771</f>
        <v>1.0286560935535816</v>
      </c>
    </row>
    <row r="231" spans="1:7" x14ac:dyDescent="0.35">
      <c r="A231" s="1">
        <v>32932</v>
      </c>
      <c r="B231">
        <f>'10years_f'!B772-'10years_f'!$G772</f>
        <v>1.0101813150875822</v>
      </c>
      <c r="C231">
        <f>'10years_f'!C772-'10years_f'!$G772</f>
        <v>0.80595283913963933</v>
      </c>
      <c r="D231">
        <f>'10years_f'!D772-'10years_f'!$G772</f>
        <v>0.7796582422015359</v>
      </c>
      <c r="E231">
        <f>'10years_f'!E772-'10years_f'!$G772</f>
        <v>0.58538317825921848</v>
      </c>
      <c r="F231">
        <f>'10years_f'!F772-'10years_f'!$G772</f>
        <v>0.79137324955970656</v>
      </c>
      <c r="G231">
        <f>'10years_f'!H772-'10years_f'!$I772</f>
        <v>1.0037597792850406</v>
      </c>
    </row>
    <row r="232" spans="1:7" x14ac:dyDescent="0.35">
      <c r="A232" s="1">
        <v>32962</v>
      </c>
      <c r="B232">
        <f>'10years_f'!B773-'10years_f'!$G773</f>
        <v>1.0686732476950374</v>
      </c>
      <c r="C232">
        <f>'10years_f'!C773-'10years_f'!$G773</f>
        <v>0.86535051940410401</v>
      </c>
      <c r="D232">
        <f>'10years_f'!D773-'10years_f'!$G773</f>
        <v>0.84254052986720573</v>
      </c>
      <c r="E232">
        <f>'10years_f'!E773-'10years_f'!$G773</f>
        <v>0.64852414830833549</v>
      </c>
      <c r="F232">
        <f>'10years_f'!F773-'10years_f'!$G773</f>
        <v>0.85030225060664666</v>
      </c>
      <c r="G232">
        <f>'10years_f'!H773-'10years_f'!$I773</f>
        <v>1.0622456624899135</v>
      </c>
    </row>
    <row r="233" spans="1:7" x14ac:dyDescent="0.35">
      <c r="A233" s="1">
        <v>32993</v>
      </c>
      <c r="B233">
        <f>'10years_f'!B774-'10years_f'!$G774</f>
        <v>1.0642132162135256</v>
      </c>
      <c r="C233">
        <f>'10years_f'!C774-'10years_f'!$G774</f>
        <v>0.86200609142456996</v>
      </c>
      <c r="D233">
        <f>'10years_f'!D774-'10years_f'!$G774</f>
        <v>0.88599399965094494</v>
      </c>
      <c r="E233">
        <f>'10years_f'!E774-'10years_f'!$G774</f>
        <v>0.69239297149174894</v>
      </c>
      <c r="F233">
        <f>'10years_f'!F774-'10years_f'!$G774</f>
        <v>0.84860427163804064</v>
      </c>
      <c r="G233">
        <f>'10years_f'!H774-'10years_f'!$I774</f>
        <v>1.058036733226464</v>
      </c>
    </row>
    <row r="234" spans="1:7" x14ac:dyDescent="0.35">
      <c r="A234" s="1">
        <v>33024</v>
      </c>
      <c r="B234">
        <f>'10years_f'!B775-'10years_f'!$G775</f>
        <v>0.96790775646338378</v>
      </c>
      <c r="C234">
        <f>'10years_f'!C775-'10years_f'!$G775</f>
        <v>0.76862035922802452</v>
      </c>
      <c r="D234">
        <f>'10years_f'!D775-'10years_f'!$G775</f>
        <v>0.82373308058019301</v>
      </c>
      <c r="E234">
        <f>'10years_f'!E775-'10years_f'!$G775</f>
        <v>0.63152333976410802</v>
      </c>
      <c r="F234">
        <f>'10years_f'!F775-'10years_f'!$G775</f>
        <v>0.75702245058280226</v>
      </c>
      <c r="G234">
        <f>'10years_f'!H775-'10years_f'!$I775</f>
        <v>0.96213846450363683</v>
      </c>
    </row>
    <row r="235" spans="1:7" x14ac:dyDescent="0.35">
      <c r="A235" s="1">
        <v>33053</v>
      </c>
      <c r="B235">
        <f>'10years_f'!B776-'10years_f'!$G776</f>
        <v>0.99725788016748207</v>
      </c>
      <c r="C235">
        <f>'10years_f'!C776-'10years_f'!$G776</f>
        <v>0.7991644851181785</v>
      </c>
      <c r="D235">
        <f>'10years_f'!D776-'10years_f'!$G776</f>
        <v>0.82114502574159043</v>
      </c>
      <c r="E235">
        <f>'10years_f'!E776-'10years_f'!$G776</f>
        <v>0.62966735373438953</v>
      </c>
      <c r="F235">
        <f>'10years_f'!F776-'10years_f'!$G776</f>
        <v>0.7862474722314523</v>
      </c>
      <c r="G235">
        <f>'10years_f'!H776-'10years_f'!$I776</f>
        <v>0.99157496704342929</v>
      </c>
    </row>
    <row r="236" spans="1:7" x14ac:dyDescent="0.35">
      <c r="A236" s="1">
        <v>33085</v>
      </c>
      <c r="B236">
        <f>'10years_f'!B777-'10years_f'!$G777</f>
        <v>0.99161582067881393</v>
      </c>
      <c r="C236">
        <f>'10years_f'!C777-'10years_f'!$G777</f>
        <v>0.79462495847961612</v>
      </c>
      <c r="D236">
        <f>'10years_f'!D777-'10years_f'!$G777</f>
        <v>0.84688035486535251</v>
      </c>
      <c r="E236">
        <f>'10years_f'!E777-'10years_f'!$G777</f>
        <v>0.65584665442757095</v>
      </c>
      <c r="F236">
        <f>'10years_f'!F777-'10years_f'!$G777</f>
        <v>0.77823799248717296</v>
      </c>
      <c r="G236">
        <f>'10years_f'!H777-'10years_f'!$I777</f>
        <v>0.98615704807187843</v>
      </c>
    </row>
    <row r="237" spans="1:7" x14ac:dyDescent="0.35">
      <c r="A237" s="1">
        <v>33116</v>
      </c>
      <c r="B237">
        <f>'10years_f'!B778-'10years_f'!$G778</f>
        <v>1.1245846304787028</v>
      </c>
      <c r="C237">
        <f>'10years_f'!C778-'10years_f'!$G778</f>
        <v>0.93010117892799404</v>
      </c>
      <c r="D237">
        <f>'10years_f'!D778-'10years_f'!$G778</f>
        <v>1.0090820579137623</v>
      </c>
      <c r="E237">
        <f>'10years_f'!E778-'10years_f'!$G778</f>
        <v>0.81958537355288308</v>
      </c>
      <c r="F237">
        <f>'10years_f'!F778-'10years_f'!$G778</f>
        <v>0.91269060284837011</v>
      </c>
      <c r="G237">
        <f>'10years_f'!H778-'10years_f'!$I778</f>
        <v>1.1190531744495136</v>
      </c>
    </row>
    <row r="238" spans="1:7" x14ac:dyDescent="0.35">
      <c r="A238" s="1">
        <v>33144</v>
      </c>
      <c r="B238">
        <f>'10years_f'!B779-'10years_f'!$G779</f>
        <v>1.1224655432496</v>
      </c>
      <c r="C238">
        <f>'10years_f'!C779-'10years_f'!$G779</f>
        <v>0.9293608476779891</v>
      </c>
      <c r="D238">
        <f>'10years_f'!D779-'10years_f'!$G779</f>
        <v>1.0626301012420392</v>
      </c>
      <c r="E238">
        <f>'10years_f'!E779-'10years_f'!$G779</f>
        <v>0.87384238543759984</v>
      </c>
      <c r="F238">
        <f>'10years_f'!F779-'10years_f'!$G779</f>
        <v>0.91131134853029039</v>
      </c>
      <c r="G238">
        <f>'10years_f'!H779-'10years_f'!$I779</f>
        <v>1.1170339026617349</v>
      </c>
    </row>
    <row r="239" spans="1:7" x14ac:dyDescent="0.35">
      <c r="A239" s="1">
        <v>33177</v>
      </c>
      <c r="B239">
        <f>'10years_f'!B780-'10years_f'!$G780</f>
        <v>1.1228768271251233</v>
      </c>
      <c r="C239">
        <f>'10years_f'!C780-'10years_f'!$G780</f>
        <v>0.93130374058562504</v>
      </c>
      <c r="D239">
        <f>'10years_f'!D780-'10years_f'!$G780</f>
        <v>1.1124693108547068</v>
      </c>
      <c r="E239">
        <f>'10years_f'!E780-'10years_f'!$G780</f>
        <v>0.92465637745013263</v>
      </c>
      <c r="F239">
        <f>'10years_f'!F780-'10years_f'!$G780</f>
        <v>0.91365181197446299</v>
      </c>
      <c r="G239">
        <f>'10years_f'!H780-'10years_f'!$I780</f>
        <v>1.1176331996572086</v>
      </c>
    </row>
    <row r="240" spans="1:7" x14ac:dyDescent="0.35">
      <c r="A240" s="1">
        <v>33207</v>
      </c>
      <c r="B240">
        <f>'10years_f'!B781-'10years_f'!$G781</f>
        <v>1.0015368993405047</v>
      </c>
      <c r="C240">
        <f>'10years_f'!C781-'10years_f'!$G781</f>
        <v>0.81271625384704538</v>
      </c>
      <c r="D240">
        <f>'10years_f'!D781-'10years_f'!$G781</f>
        <v>0.99910749858305148</v>
      </c>
      <c r="E240">
        <f>'10years_f'!E781-'10years_f'!$G781</f>
        <v>0.812967823874988</v>
      </c>
      <c r="F240">
        <f>'10years_f'!F781-'10years_f'!$G781</f>
        <v>0.79458649032328998</v>
      </c>
      <c r="G240">
        <f>'10years_f'!H781-'10years_f'!$I781</f>
        <v>0.99661497770580088</v>
      </c>
    </row>
    <row r="241" spans="1:7" x14ac:dyDescent="0.35">
      <c r="A241" s="1">
        <v>33238</v>
      </c>
      <c r="B241">
        <f>'10years_f'!B782-'10years_f'!$G782</f>
        <v>0.98378095512999697</v>
      </c>
      <c r="C241">
        <f>'10years_f'!C782-'10years_f'!$G782</f>
        <v>0.79676566324803244</v>
      </c>
      <c r="D241">
        <f>'10years_f'!D782-'10years_f'!$G782</f>
        <v>1.0197587361337013</v>
      </c>
      <c r="E241">
        <f>'10years_f'!E782-'10years_f'!$G782</f>
        <v>0.83513299302987343</v>
      </c>
      <c r="F241">
        <f>'10years_f'!F782-'10years_f'!$G782</f>
        <v>0.77806439685835671</v>
      </c>
      <c r="G241">
        <f>'10years_f'!H782-'10years_f'!$I782</f>
        <v>0.97899739612077319</v>
      </c>
    </row>
    <row r="242" spans="1:7" x14ac:dyDescent="0.35">
      <c r="A242" s="1">
        <v>33269</v>
      </c>
      <c r="B242">
        <f>'10years_f'!B783-'10years_f'!$G783</f>
        <v>0.97335990800775485</v>
      </c>
      <c r="C242">
        <f>'10years_f'!C783-'10years_f'!$G783</f>
        <v>0.78726109008566802</v>
      </c>
      <c r="D242">
        <f>'10years_f'!D783-'10years_f'!$G783</f>
        <v>0.99693350401746206</v>
      </c>
      <c r="E242">
        <f>'10years_f'!E783-'10years_f'!$G783</f>
        <v>0.81298844985200458</v>
      </c>
      <c r="F242">
        <f>'10years_f'!F783-'10years_f'!$G783</f>
        <v>0.77232581711643822</v>
      </c>
      <c r="G242">
        <f>'10years_f'!H783-'10years_f'!$I783</f>
        <v>0.9685674222231988</v>
      </c>
    </row>
    <row r="243" spans="1:7" x14ac:dyDescent="0.35">
      <c r="A243" s="1">
        <v>33297</v>
      </c>
      <c r="B243">
        <f>'10years_f'!B784-'10years_f'!$G784</f>
        <v>0.83533686279897679</v>
      </c>
      <c r="C243">
        <f>'10years_f'!C784-'10years_f'!$G784</f>
        <v>0.65170202342968131</v>
      </c>
      <c r="D243">
        <f>'10years_f'!D784-'10years_f'!$G784</f>
        <v>0.89004656736289234</v>
      </c>
      <c r="E243">
        <f>'10years_f'!E784-'10years_f'!$G784</f>
        <v>0.70766853261328388</v>
      </c>
      <c r="F243">
        <f>'10years_f'!F784-'10years_f'!$G784</f>
        <v>0.63670949227297124</v>
      </c>
      <c r="G243">
        <f>'10years_f'!H784-'10years_f'!$I784</f>
        <v>0.83086490169193006</v>
      </c>
    </row>
    <row r="244" spans="1:7" x14ac:dyDescent="0.35">
      <c r="A244" s="1">
        <v>33325</v>
      </c>
      <c r="B244">
        <f>'10years_f'!B785-'10years_f'!$G785</f>
        <v>0.75970732118912854</v>
      </c>
      <c r="C244">
        <f>'10years_f'!C785-'10years_f'!$G785</f>
        <v>0.57709679010449144</v>
      </c>
      <c r="D244">
        <f>'10years_f'!D785-'10years_f'!$G785</f>
        <v>0.82144376293342636</v>
      </c>
      <c r="E244">
        <f>'10years_f'!E785-'10years_f'!$G785</f>
        <v>0.63995043967828225</v>
      </c>
      <c r="F244">
        <f>'10years_f'!F785-'10years_f'!$G785</f>
        <v>0.56254850788055522</v>
      </c>
      <c r="G244">
        <f>'10years_f'!H785-'10years_f'!$I785</f>
        <v>0.75540509630123154</v>
      </c>
    </row>
    <row r="245" spans="1:7" x14ac:dyDescent="0.35">
      <c r="A245" s="1">
        <v>33358</v>
      </c>
      <c r="B245">
        <f>'10years_f'!B786-'10years_f'!$G786</f>
        <v>0.82208869083835689</v>
      </c>
      <c r="C245">
        <f>'10years_f'!C786-'10years_f'!$G786</f>
        <v>0.64043584381215335</v>
      </c>
      <c r="D245">
        <f>'10years_f'!D786-'10years_f'!$G786</f>
        <v>0.886904159174567</v>
      </c>
      <c r="E245">
        <f>'10years_f'!E786-'10years_f'!$G786</f>
        <v>0.70616179602652163</v>
      </c>
      <c r="F245">
        <f>'10years_f'!F786-'10years_f'!$G786</f>
        <v>0.62563698572422566</v>
      </c>
      <c r="G245">
        <f>'10years_f'!H786-'10years_f'!$I786</f>
        <v>0.81771160788532971</v>
      </c>
    </row>
    <row r="246" spans="1:7" x14ac:dyDescent="0.35">
      <c r="A246" s="1">
        <v>33389</v>
      </c>
      <c r="B246">
        <f>'10years_f'!B787-'10years_f'!$G787</f>
        <v>0.79364653091959059</v>
      </c>
      <c r="C246">
        <f>'10years_f'!C787-'10years_f'!$G787</f>
        <v>0.61414054399272611</v>
      </c>
      <c r="D246">
        <f>'10years_f'!D787-'10years_f'!$G787</f>
        <v>0.8581809405856633</v>
      </c>
      <c r="E246">
        <f>'10years_f'!E787-'10years_f'!$G787</f>
        <v>0.67881594709645721</v>
      </c>
      <c r="F246">
        <f>'10years_f'!F787-'10years_f'!$G787</f>
        <v>0.59929225767773153</v>
      </c>
      <c r="G246">
        <f>'10years_f'!H787-'10years_f'!$I787</f>
        <v>0.78933464712096502</v>
      </c>
    </row>
    <row r="247" spans="1:7" x14ac:dyDescent="0.35">
      <c r="A247" s="1">
        <v>33417</v>
      </c>
      <c r="B247">
        <f>'10years_f'!B788-'10years_f'!$G788</f>
        <v>0.81305932095080324</v>
      </c>
      <c r="C247">
        <f>'10years_f'!C788-'10years_f'!$G788</f>
        <v>0.63482573747012294</v>
      </c>
      <c r="D247">
        <f>'10years_f'!D788-'10years_f'!$G788</f>
        <v>0.88898557914464016</v>
      </c>
      <c r="E247">
        <f>'10years_f'!E788-'10years_f'!$G788</f>
        <v>0.7105113168034074</v>
      </c>
      <c r="F247">
        <f>'10years_f'!F788-'10years_f'!$G788</f>
        <v>0.6204782277806955</v>
      </c>
      <c r="G247">
        <f>'10years_f'!H788-'10years_f'!$I788</f>
        <v>0.80868243606746493</v>
      </c>
    </row>
    <row r="248" spans="1:7" x14ac:dyDescent="0.35">
      <c r="A248" s="1">
        <v>33450</v>
      </c>
      <c r="B248">
        <f>'10years_f'!B789-'10years_f'!$G789</f>
        <v>0.76839463300010724</v>
      </c>
      <c r="C248">
        <f>'10years_f'!C789-'10years_f'!$G789</f>
        <v>0.5908410408875735</v>
      </c>
      <c r="D248">
        <f>'10years_f'!D789-'10years_f'!$G789</f>
        <v>0.84810418389430975</v>
      </c>
      <c r="E248">
        <f>'10years_f'!E789-'10years_f'!$G789</f>
        <v>0.67029378050226729</v>
      </c>
      <c r="F248">
        <f>'10years_f'!F789-'10years_f'!$G789</f>
        <v>0.576006175857529</v>
      </c>
      <c r="G248">
        <f>'10years_f'!H789-'10years_f'!$I789</f>
        <v>0.76415350304395169</v>
      </c>
    </row>
    <row r="249" spans="1:7" x14ac:dyDescent="0.35">
      <c r="A249" s="1">
        <v>33480</v>
      </c>
      <c r="B249">
        <f>'10years_f'!B790-'10years_f'!$G790</f>
        <v>0.69453141058129853</v>
      </c>
      <c r="C249">
        <f>'10years_f'!C790-'10years_f'!$G790</f>
        <v>0.51903264663203186</v>
      </c>
      <c r="D249">
        <f>'10years_f'!D790-'10years_f'!$G790</f>
        <v>0.79282819296105722</v>
      </c>
      <c r="E249">
        <f>'10years_f'!E790-'10years_f'!$G790</f>
        <v>0.61664527767982613</v>
      </c>
      <c r="F249">
        <f>'10years_f'!F790-'10years_f'!$G790</f>
        <v>0.50516671588948037</v>
      </c>
      <c r="G249">
        <f>'10years_f'!H790-'10years_f'!$I790</f>
        <v>0.69047561253514633</v>
      </c>
    </row>
    <row r="250" spans="1:7" x14ac:dyDescent="0.35">
      <c r="A250" s="1">
        <v>33511</v>
      </c>
      <c r="B250">
        <f>'10years_f'!B791-'10years_f'!$G791</f>
        <v>0.63981839829218057</v>
      </c>
      <c r="C250">
        <f>'10years_f'!C791-'10years_f'!$G791</f>
        <v>0.46539377178348484</v>
      </c>
      <c r="D250">
        <f>'10years_f'!D791-'10years_f'!$G791</f>
        <v>0.69865936682794771</v>
      </c>
      <c r="E250">
        <f>'10years_f'!E791-'10years_f'!$G791</f>
        <v>0.52322286167157994</v>
      </c>
      <c r="F250">
        <f>'10years_f'!F791-'10years_f'!$G791</f>
        <v>0.4512671216471924</v>
      </c>
      <c r="G250">
        <f>'10years_f'!H791-'10years_f'!$I791</f>
        <v>0.63586811831914947</v>
      </c>
    </row>
    <row r="251" spans="1:7" x14ac:dyDescent="0.35">
      <c r="A251" s="1">
        <v>33542</v>
      </c>
      <c r="B251">
        <f>'10years_f'!B792-'10years_f'!$G792</f>
        <v>0.64659331823528698</v>
      </c>
      <c r="C251">
        <f>'10years_f'!C792-'10years_f'!$G792</f>
        <v>0.47263401615773382</v>
      </c>
      <c r="D251">
        <f>'10years_f'!D792-'10years_f'!$G792</f>
        <v>0.72610881219174828</v>
      </c>
      <c r="E251">
        <f>'10years_f'!E792-'10years_f'!$G792</f>
        <v>0.55110004088765119</v>
      </c>
      <c r="F251">
        <f>'10years_f'!F792-'10years_f'!$G792</f>
        <v>0.45817014171587256</v>
      </c>
      <c r="G251">
        <f>'10years_f'!H792-'10years_f'!$I792</f>
        <v>0.64258074776386565</v>
      </c>
    </row>
    <row r="252" spans="1:7" x14ac:dyDescent="0.35">
      <c r="A252" s="1">
        <v>33571</v>
      </c>
      <c r="B252">
        <f>'10years_f'!B793-'10years_f'!$G793</f>
        <v>0.7470063763137198</v>
      </c>
      <c r="C252">
        <f>'10years_f'!C793-'10years_f'!$G793</f>
        <v>0.57498627559416993</v>
      </c>
      <c r="D252">
        <f>'10years_f'!D793-'10years_f'!$G793</f>
        <v>0.85412672841916959</v>
      </c>
      <c r="E252">
        <f>'10years_f'!E793-'10years_f'!$G793</f>
        <v>0.6805766541226117</v>
      </c>
      <c r="F252">
        <f>'10years_f'!F793-'10years_f'!$G793</f>
        <v>0.55884049956199733</v>
      </c>
      <c r="G252">
        <f>'10years_f'!H793-'10years_f'!$I793</f>
        <v>0.74267381344963468</v>
      </c>
    </row>
    <row r="253" spans="1:7" x14ac:dyDescent="0.35">
      <c r="A253" s="1">
        <v>33603</v>
      </c>
      <c r="B253">
        <f>'10years_f'!B794-'10years_f'!$G794</f>
        <v>0.66567742667780871</v>
      </c>
      <c r="C253">
        <f>'10years_f'!C794-'10years_f'!$G794</f>
        <v>0.49477107443858914</v>
      </c>
      <c r="D253">
        <f>'10years_f'!D794-'10years_f'!$G794</f>
        <v>0.79085390168952108</v>
      </c>
      <c r="E253">
        <f>'10years_f'!E794-'10years_f'!$G794</f>
        <v>0.61816941821136284</v>
      </c>
      <c r="F253">
        <f>'10years_f'!F794-'10years_f'!$G794</f>
        <v>0.47832444116471917</v>
      </c>
      <c r="G253">
        <f>'10years_f'!H794-'10years_f'!$I794</f>
        <v>0.66137280292326572</v>
      </c>
    </row>
    <row r="254" spans="1:7" x14ac:dyDescent="0.35">
      <c r="A254" s="1">
        <v>33634</v>
      </c>
      <c r="B254">
        <f>'10years_f'!B795-'10years_f'!$G795</f>
        <v>0.67096464857398019</v>
      </c>
      <c r="C254">
        <f>'10years_f'!C795-'10years_f'!$G795</f>
        <v>0.50032171128652281</v>
      </c>
      <c r="D254">
        <f>'10years_f'!D795-'10years_f'!$G795</f>
        <v>0.77564794978645168</v>
      </c>
      <c r="E254">
        <f>'10years_f'!E795-'10years_f'!$G795</f>
        <v>0.60334708224078004</v>
      </c>
      <c r="F254">
        <f>'10years_f'!F795-'10years_f'!$G795</f>
        <v>0.48386857213546031</v>
      </c>
      <c r="G254">
        <f>'10years_f'!H795-'10years_f'!$I795</f>
        <v>0.66647001464168465</v>
      </c>
    </row>
    <row r="255" spans="1:7" x14ac:dyDescent="0.35">
      <c r="A255" s="1">
        <v>33662</v>
      </c>
      <c r="B255">
        <f>'10years_f'!B796-'10years_f'!$G796</f>
        <v>0.64506006433171037</v>
      </c>
      <c r="C255">
        <f>'10years_f'!C796-'10years_f'!$G796</f>
        <v>0.47602836381308111</v>
      </c>
      <c r="D255">
        <f>'10years_f'!D796-'10years_f'!$G796</f>
        <v>0.74227191184292418</v>
      </c>
      <c r="E255">
        <f>'10years_f'!E796-'10years_f'!$G796</f>
        <v>0.57131954822943842</v>
      </c>
      <c r="F255">
        <f>'10years_f'!F796-'10years_f'!$G796</f>
        <v>0.45965467656476444</v>
      </c>
      <c r="G255">
        <f>'10years_f'!H796-'10years_f'!$I796</f>
        <v>0.64045510652110949</v>
      </c>
    </row>
    <row r="256" spans="1:7" x14ac:dyDescent="0.35">
      <c r="A256" s="1">
        <v>33694</v>
      </c>
      <c r="B256">
        <f>'10years_f'!B797-'10years_f'!$G797</f>
        <v>0.69460737633715097</v>
      </c>
      <c r="C256">
        <f>'10years_f'!C797-'10years_f'!$G797</f>
        <v>0.52684398213482608</v>
      </c>
      <c r="D256">
        <f>'10years_f'!D797-'10years_f'!$G797</f>
        <v>0.81641490071153533</v>
      </c>
      <c r="E256">
        <f>'10years_f'!E797-'10years_f'!$G797</f>
        <v>0.64629941989229134</v>
      </c>
      <c r="F256">
        <f>'10years_f'!F797-'10years_f'!$G797</f>
        <v>0.51046685497053512</v>
      </c>
      <c r="G256">
        <f>'10years_f'!H797-'10years_f'!$I797</f>
        <v>0.68971790261385113</v>
      </c>
    </row>
    <row r="257" spans="1:7" x14ac:dyDescent="0.35">
      <c r="A257" s="1">
        <v>33724</v>
      </c>
      <c r="B257">
        <f>'10years_f'!B798-'10years_f'!$G798</f>
        <v>0.61943761002952025</v>
      </c>
      <c r="C257">
        <f>'10years_f'!C798-'10years_f'!$G798</f>
        <v>0.45225399944693168</v>
      </c>
      <c r="D257">
        <f>'10years_f'!D798-'10years_f'!$G798</f>
        <v>0.77289865355363707</v>
      </c>
      <c r="E257">
        <f>'10years_f'!E798-'10years_f'!$G798</f>
        <v>0.60337137559105924</v>
      </c>
      <c r="F257">
        <f>'10years_f'!F798-'10years_f'!$G798</f>
        <v>0.43565278608963931</v>
      </c>
      <c r="G257">
        <f>'10years_f'!H798-'10years_f'!$I798</f>
        <v>0.61454513641261421</v>
      </c>
    </row>
    <row r="258" spans="1:7" x14ac:dyDescent="0.35">
      <c r="A258" s="1">
        <v>33753</v>
      </c>
      <c r="B258">
        <f>'10years_f'!B799-'10years_f'!$G799</f>
        <v>0.61009146456206875</v>
      </c>
      <c r="C258">
        <f>'10years_f'!C799-'10years_f'!$G799</f>
        <v>0.4446892723376179</v>
      </c>
      <c r="D258">
        <f>'10years_f'!D799-'10years_f'!$G799</f>
        <v>0.76219556718789616</v>
      </c>
      <c r="E258">
        <f>'10years_f'!E799-'10years_f'!$G799</f>
        <v>0.59405821695980365</v>
      </c>
      <c r="F258">
        <f>'10years_f'!F799-'10years_f'!$G799</f>
        <v>0.42849537463755039</v>
      </c>
      <c r="G258">
        <f>'10years_f'!H799-'10years_f'!$I799</f>
        <v>0.60507825991593656</v>
      </c>
    </row>
    <row r="259" spans="1:7" x14ac:dyDescent="0.35">
      <c r="A259" s="1">
        <v>33785</v>
      </c>
      <c r="B259">
        <f>'10years_f'!B800-'10years_f'!$G800</f>
        <v>0.56232346737706229</v>
      </c>
      <c r="C259">
        <f>'10years_f'!C800-'10years_f'!$G800</f>
        <v>0.39800725493027111</v>
      </c>
      <c r="D259">
        <f>'10years_f'!D800-'10years_f'!$G800</f>
        <v>0.71050013496254905</v>
      </c>
      <c r="E259">
        <f>'10years_f'!E800-'10years_f'!$G800</f>
        <v>0.54327058727859323</v>
      </c>
      <c r="F259">
        <f>'10years_f'!F800-'10years_f'!$G800</f>
        <v>0.38179437179708908</v>
      </c>
      <c r="G259">
        <f>'10years_f'!H800-'10years_f'!$I800</f>
        <v>0.55724507928498479</v>
      </c>
    </row>
    <row r="260" spans="1:7" x14ac:dyDescent="0.35">
      <c r="A260" s="1">
        <v>33816</v>
      </c>
      <c r="B260">
        <f>'10years_f'!B801-'10years_f'!$G801</f>
        <v>0.4654679491254794</v>
      </c>
      <c r="C260">
        <f>'10years_f'!C801-'10years_f'!$G801</f>
        <v>0.301503156091258</v>
      </c>
      <c r="D260">
        <f>'10years_f'!D801-'10years_f'!$G801</f>
        <v>0.58473451871568338</v>
      </c>
      <c r="E260">
        <f>'10years_f'!E801-'10years_f'!$G801</f>
        <v>0.41789957633163022</v>
      </c>
      <c r="F260">
        <f>'10years_f'!F801-'10years_f'!$G801</f>
        <v>0.28181653703230181</v>
      </c>
      <c r="G260">
        <f>'10years_f'!H801-'10years_f'!$I801</f>
        <v>0.46045295273533515</v>
      </c>
    </row>
    <row r="261" spans="1:7" x14ac:dyDescent="0.35">
      <c r="A261" s="1">
        <v>33847</v>
      </c>
      <c r="B261">
        <f>'10years_f'!B802-'10years_f'!$G802</f>
        <v>0.49001593414403466</v>
      </c>
      <c r="C261">
        <f>'10years_f'!C802-'10years_f'!$G802</f>
        <v>0.32771780124722483</v>
      </c>
      <c r="D261">
        <f>'10years_f'!D802-'10years_f'!$G802</f>
        <v>0.61950347424219565</v>
      </c>
      <c r="E261">
        <f>'10years_f'!E802-'10years_f'!$G802</f>
        <v>0.45406699603211642</v>
      </c>
      <c r="F261">
        <f>'10years_f'!F802-'10years_f'!$G802</f>
        <v>0.30740662416024023</v>
      </c>
      <c r="G261">
        <f>'10years_f'!H802-'10years_f'!$I802</f>
        <v>0.48481769542854103</v>
      </c>
    </row>
    <row r="262" spans="1:7" x14ac:dyDescent="0.35">
      <c r="A262" s="1">
        <v>33877</v>
      </c>
      <c r="B262">
        <f>'10years_f'!B803-'10years_f'!$G803</f>
        <v>0.38476974209907455</v>
      </c>
      <c r="C262">
        <f>'10years_f'!C803-'10years_f'!$G803</f>
        <v>0.22328341346048086</v>
      </c>
      <c r="D262">
        <f>'10years_f'!D803-'10years_f'!$G803</f>
        <v>0.50178004362565121</v>
      </c>
      <c r="E262">
        <f>'10years_f'!E803-'10years_f'!$G803</f>
        <v>0.33692367672116452</v>
      </c>
      <c r="F262">
        <f>'10years_f'!F803-'10years_f'!$G803</f>
        <v>0.20321998637876293</v>
      </c>
      <c r="G262">
        <f>'10years_f'!H803-'10years_f'!$I803</f>
        <v>0.37966151774659895</v>
      </c>
    </row>
    <row r="263" spans="1:7" x14ac:dyDescent="0.35">
      <c r="A263" s="1">
        <v>33907</v>
      </c>
      <c r="B263">
        <f>'10years_f'!B804-'10years_f'!$G804</f>
        <v>0.4529002023145241</v>
      </c>
      <c r="C263">
        <f>'10years_f'!C804-'10years_f'!$G804</f>
        <v>0.29127274086076249</v>
      </c>
      <c r="D263">
        <f>'10years_f'!D804-'10years_f'!$G804</f>
        <v>0.54494345842639746</v>
      </c>
      <c r="E263">
        <f>'10years_f'!E804-'10years_f'!$G804</f>
        <v>0.37995245393782917</v>
      </c>
      <c r="F263">
        <f>'10years_f'!F804-'10years_f'!$G804</f>
        <v>0.27180933417374775</v>
      </c>
      <c r="G263">
        <f>'10years_f'!H804-'10years_f'!$I804</f>
        <v>0.44755245089744822</v>
      </c>
    </row>
    <row r="264" spans="1:7" x14ac:dyDescent="0.35">
      <c r="A264" s="1">
        <v>33938</v>
      </c>
      <c r="B264">
        <f>'10years_f'!B805-'10years_f'!$G805</f>
        <v>0.47421116038577793</v>
      </c>
      <c r="C264">
        <f>'10years_f'!C805-'10years_f'!$G805</f>
        <v>0.31420708778302942</v>
      </c>
      <c r="D264">
        <f>'10years_f'!D805-'10years_f'!$G805</f>
        <v>0.59756275231120259</v>
      </c>
      <c r="E264">
        <f>'10years_f'!E805-'10years_f'!$G805</f>
        <v>0.433825033780737</v>
      </c>
      <c r="F264">
        <f>'10years_f'!F805-'10years_f'!$G805</f>
        <v>0.29440936003620077</v>
      </c>
      <c r="G264">
        <f>'10years_f'!H805-'10years_f'!$I805</f>
        <v>0.46868582875621012</v>
      </c>
    </row>
    <row r="265" spans="1:7" x14ac:dyDescent="0.35">
      <c r="A265" s="1">
        <v>33969</v>
      </c>
      <c r="B265">
        <f>'10years_f'!B806-'10years_f'!$G806</f>
        <v>0.41372086673921538</v>
      </c>
      <c r="C265">
        <f>'10years_f'!C806-'10years_f'!$G806</f>
        <v>0.25417005953294969</v>
      </c>
      <c r="D265">
        <f>'10years_f'!D806-'10years_f'!$G806</f>
        <v>0.53610201971723925</v>
      </c>
      <c r="E265">
        <f>'10years_f'!E806-'10years_f'!$G806</f>
        <v>0.37257549742675899</v>
      </c>
      <c r="F265">
        <f>'10years_f'!F806-'10years_f'!$G806</f>
        <v>0.2354045247849943</v>
      </c>
      <c r="G265">
        <f>'10years_f'!H806-'10years_f'!$I806</f>
        <v>0.40813091006570712</v>
      </c>
    </row>
    <row r="266" spans="1:7" x14ac:dyDescent="0.35">
      <c r="A266" s="1">
        <v>33998</v>
      </c>
      <c r="B266">
        <f>'10years_f'!B807-'10years_f'!$G807</f>
        <v>0.38626948042568987</v>
      </c>
      <c r="C266">
        <f>'10years_f'!C807-'10years_f'!$G807</f>
        <v>0.22675783194666277</v>
      </c>
      <c r="D266">
        <f>'10years_f'!D807-'10years_f'!$G807</f>
        <v>0.49675352141081586</v>
      </c>
      <c r="E266">
        <f>'10years_f'!E807-'10years_f'!$G807</f>
        <v>0.33335754914503735</v>
      </c>
      <c r="F266">
        <f>'10years_f'!F807-'10years_f'!$G807</f>
        <v>0.20748030627636016</v>
      </c>
      <c r="G266">
        <f>'10years_f'!H807-'10years_f'!$I807</f>
        <v>0.38056057536137722</v>
      </c>
    </row>
    <row r="267" spans="1:7" x14ac:dyDescent="0.35">
      <c r="A267" s="1">
        <v>34026</v>
      </c>
      <c r="B267">
        <f>'10years_f'!B808-'10years_f'!$G808</f>
        <v>0.36336417000359211</v>
      </c>
      <c r="C267">
        <f>'10years_f'!C808-'10years_f'!$G808</f>
        <v>0.20482593679690786</v>
      </c>
      <c r="D267">
        <f>'10years_f'!D808-'10years_f'!$G808</f>
        <v>0.46997041657558625</v>
      </c>
      <c r="E267">
        <f>'10years_f'!E808-'10years_f'!$G808</f>
        <v>0.3075123533840578</v>
      </c>
      <c r="F267">
        <f>'10years_f'!F808-'10years_f'!$G808</f>
        <v>0.18563924822973354</v>
      </c>
      <c r="G267">
        <f>'10years_f'!H808-'10years_f'!$I808</f>
        <v>0.35751038545872582</v>
      </c>
    </row>
    <row r="268" spans="1:7" x14ac:dyDescent="0.35">
      <c r="A268" s="1">
        <v>34059</v>
      </c>
      <c r="B268">
        <f>'10years_f'!B809-'10years_f'!$G809</f>
        <v>0.3557999866336754</v>
      </c>
      <c r="C268">
        <f>'10years_f'!C809-'10years_f'!$G809</f>
        <v>0.19831877314851987</v>
      </c>
      <c r="D268">
        <f>'10years_f'!D809-'10years_f'!$G809</f>
        <v>0.4529186586643581</v>
      </c>
      <c r="E268">
        <f>'10years_f'!E809-'10years_f'!$G809</f>
        <v>0.29119094346280416</v>
      </c>
      <c r="F268">
        <f>'10years_f'!F809-'10years_f'!$G809</f>
        <v>0.17852994312629278</v>
      </c>
      <c r="G268">
        <f>'10years_f'!H809-'10years_f'!$I809</f>
        <v>0.34977709503984933</v>
      </c>
    </row>
    <row r="269" spans="1:7" x14ac:dyDescent="0.35">
      <c r="A269" s="1">
        <v>34089</v>
      </c>
      <c r="B269">
        <f>'10years_f'!B810-'10years_f'!$G810</f>
        <v>0.44475418142635981</v>
      </c>
      <c r="C269">
        <f>'10years_f'!C810-'10years_f'!$G810</f>
        <v>0.28720397136750542</v>
      </c>
      <c r="D269">
        <f>'10years_f'!D810-'10years_f'!$G810</f>
        <v>0.55569057027640678</v>
      </c>
      <c r="E269">
        <f>'10years_f'!E810-'10years_f'!$G810</f>
        <v>0.39383860263873505</v>
      </c>
      <c r="F269">
        <f>'10years_f'!F810-'10years_f'!$G810</f>
        <v>0.26676142589417395</v>
      </c>
      <c r="G269">
        <f>'10years_f'!H810-'10years_f'!$I810</f>
        <v>0.43839731953601024</v>
      </c>
    </row>
    <row r="270" spans="1:7" x14ac:dyDescent="0.35">
      <c r="A270" s="1">
        <v>34117</v>
      </c>
      <c r="B270">
        <f>'10years_f'!B811-'10years_f'!$G811</f>
        <v>0.46782607782074104</v>
      </c>
      <c r="C270">
        <f>'10years_f'!C811-'10years_f'!$G811</f>
        <v>0.31189034237046664</v>
      </c>
      <c r="D270">
        <f>'10years_f'!D811-'10years_f'!$G811</f>
        <v>0.60791763164311563</v>
      </c>
      <c r="E270">
        <f>'10years_f'!E811-'10years_f'!$G811</f>
        <v>0.4473826292878047</v>
      </c>
      <c r="F270">
        <f>'10years_f'!F811-'10years_f'!$G811</f>
        <v>0.29081941316828397</v>
      </c>
      <c r="G270">
        <f>'10years_f'!H811-'10years_f'!$I811</f>
        <v>0.46126169046460941</v>
      </c>
    </row>
    <row r="271" spans="1:7" x14ac:dyDescent="0.35">
      <c r="A271" s="1">
        <v>34150</v>
      </c>
      <c r="B271">
        <f>'10years_f'!B812-'10years_f'!$G812</f>
        <v>0.47705045079181496</v>
      </c>
      <c r="C271">
        <f>'10years_f'!C812-'10years_f'!$G812</f>
        <v>0.32187283476595607</v>
      </c>
      <c r="D271">
        <f>'10years_f'!D812-'10years_f'!$G812</f>
        <v>0.61284050885147434</v>
      </c>
      <c r="E271">
        <f>'10years_f'!E812-'10years_f'!$G812</f>
        <v>0.45287011724915893</v>
      </c>
      <c r="F271">
        <f>'10years_f'!F812-'10years_f'!$G812</f>
        <v>0.30106096278722405</v>
      </c>
      <c r="G271">
        <f>'10years_f'!H812-'10years_f'!$I812</f>
        <v>0.47028636583479333</v>
      </c>
    </row>
    <row r="272" spans="1:7" x14ac:dyDescent="0.35">
      <c r="A272" s="1">
        <v>34180</v>
      </c>
      <c r="B272">
        <f>'10years_f'!B813-'10years_f'!$G813</f>
        <v>0.49750291042681871</v>
      </c>
      <c r="C272">
        <f>'10years_f'!C813-'10years_f'!$G813</f>
        <v>0.34222931760385</v>
      </c>
      <c r="D272">
        <f>'10years_f'!D813-'10years_f'!$G813</f>
        <v>0.63863613168288103</v>
      </c>
      <c r="E272">
        <f>'10years_f'!E813-'10years_f'!$G813</f>
        <v>0.47865290938796834</v>
      </c>
      <c r="F272">
        <f>'10years_f'!F813-'10years_f'!$G813</f>
        <v>0.32069067818280184</v>
      </c>
      <c r="G272">
        <f>'10years_f'!H813-'10years_f'!$I813</f>
        <v>0.49046006929105435</v>
      </c>
    </row>
    <row r="273" spans="1:7" x14ac:dyDescent="0.35">
      <c r="A273" s="1">
        <v>34212</v>
      </c>
      <c r="B273">
        <f>'10years_f'!B814-'10years_f'!$G814</f>
        <v>0.48467067638094363</v>
      </c>
      <c r="C273">
        <f>'10years_f'!C814-'10years_f'!$G814</f>
        <v>0.33092999500743936</v>
      </c>
      <c r="D273">
        <f>'10years_f'!D814-'10years_f'!$G814</f>
        <v>0.64407353949170165</v>
      </c>
      <c r="E273">
        <f>'10years_f'!E814-'10years_f'!$G814</f>
        <v>0.48550547690098789</v>
      </c>
      <c r="F273">
        <f>'10years_f'!F814-'10years_f'!$G814</f>
        <v>0.30889273366777026</v>
      </c>
      <c r="G273">
        <f>'10years_f'!H814-'10years_f'!$I814</f>
        <v>0.47740964641862504</v>
      </c>
    </row>
    <row r="274" spans="1:7" x14ac:dyDescent="0.35">
      <c r="A274" s="1">
        <v>34242</v>
      </c>
      <c r="B274">
        <f>'10years_f'!B815-'10years_f'!$G815</f>
        <v>0.48371627861391397</v>
      </c>
      <c r="C274">
        <f>'10years_f'!C815-'10years_f'!$G815</f>
        <v>0.33072969050763978</v>
      </c>
      <c r="D274">
        <f>'10years_f'!D815-'10years_f'!$G815</f>
        <v>0.63700571231978609</v>
      </c>
      <c r="E274">
        <f>'10years_f'!E815-'10years_f'!$G815</f>
        <v>0.47883077549117159</v>
      </c>
      <c r="F274">
        <f>'10years_f'!F815-'10years_f'!$G815</f>
        <v>0.30895490776334045</v>
      </c>
      <c r="G274">
        <f>'10years_f'!H815-'10years_f'!$I815</f>
        <v>0.47623190700905038</v>
      </c>
    </row>
    <row r="275" spans="1:7" x14ac:dyDescent="0.35">
      <c r="A275" s="1">
        <v>34271</v>
      </c>
      <c r="B275">
        <f>'10years_f'!B816-'10years_f'!$G816</f>
        <v>0.51407109321144029</v>
      </c>
      <c r="C275">
        <f>'10years_f'!C816-'10years_f'!$G816</f>
        <v>0.36084105761761931</v>
      </c>
      <c r="D275">
        <f>'10years_f'!D816-'10years_f'!$G816</f>
        <v>0.67979761194436295</v>
      </c>
      <c r="E275">
        <f>'10years_f'!E816-'10years_f'!$G816</f>
        <v>0.52159672555902281</v>
      </c>
      <c r="F275">
        <f>'10years_f'!F816-'10years_f'!$G816</f>
        <v>0.33918821128399967</v>
      </c>
      <c r="G275">
        <f>'10years_f'!H816-'10years_f'!$I816</f>
        <v>0.50633703907769778</v>
      </c>
    </row>
    <row r="276" spans="1:7" x14ac:dyDescent="0.35">
      <c r="A276" s="1">
        <v>34303</v>
      </c>
      <c r="B276">
        <f>'10years_f'!B817-'10years_f'!$G817</f>
        <v>0.53085521031728478</v>
      </c>
      <c r="C276">
        <f>'10years_f'!C817-'10years_f'!$G817</f>
        <v>0.37913463029415562</v>
      </c>
      <c r="D276">
        <f>'10years_f'!D817-'10years_f'!$G817</f>
        <v>0.70649284789998879</v>
      </c>
      <c r="E276">
        <f>'10years_f'!E817-'10years_f'!$G817</f>
        <v>0.54963369279284136</v>
      </c>
      <c r="F276">
        <f>'10years_f'!F817-'10years_f'!$G817</f>
        <v>0.35778362104570638</v>
      </c>
      <c r="G276">
        <f>'10years_f'!H817-'10years_f'!$I817</f>
        <v>0.52286886740402494</v>
      </c>
    </row>
    <row r="277" spans="1:7" x14ac:dyDescent="0.35">
      <c r="A277" s="1">
        <v>34334</v>
      </c>
      <c r="B277">
        <f>'10years_f'!B818-'10years_f'!$G818</f>
        <v>0.56417848369520129</v>
      </c>
      <c r="C277">
        <f>'10years_f'!C818-'10years_f'!$G818</f>
        <v>0.41275733780864687</v>
      </c>
      <c r="D277">
        <f>'10years_f'!D818-'10years_f'!$G818</f>
        <v>0.73211723056899825</v>
      </c>
      <c r="E277">
        <f>'10years_f'!E818-'10years_f'!$G818</f>
        <v>0.57531783521954871</v>
      </c>
      <c r="F277">
        <f>'10years_f'!F818-'10years_f'!$G818</f>
        <v>0.39236229425711144</v>
      </c>
      <c r="G277">
        <f>'10years_f'!H818-'10years_f'!$I818</f>
        <v>0.55592945065061627</v>
      </c>
    </row>
    <row r="278" spans="1:7" x14ac:dyDescent="0.35">
      <c r="A278" s="1">
        <v>34365</v>
      </c>
      <c r="B278">
        <f>'10years_f'!B819-'10years_f'!$G819</f>
        <v>0.55414864525114704</v>
      </c>
      <c r="C278">
        <f>'10years_f'!C819-'10years_f'!$G819</f>
        <v>0.40304826264455218</v>
      </c>
      <c r="D278">
        <f>'10years_f'!D819-'10years_f'!$G819</f>
        <v>0.72337851764684014</v>
      </c>
      <c r="E278">
        <f>'10years_f'!E819-'10years_f'!$G819</f>
        <v>0.56694949597112099</v>
      </c>
      <c r="F278">
        <f>'10years_f'!F819-'10years_f'!$G819</f>
        <v>0.38162108428677199</v>
      </c>
      <c r="G278">
        <f>'10years_f'!H819-'10years_f'!$I819</f>
        <v>0.54567543038430699</v>
      </c>
    </row>
    <row r="279" spans="1:7" x14ac:dyDescent="0.35">
      <c r="A279" s="1">
        <v>34393</v>
      </c>
      <c r="B279">
        <f>'10years_f'!B820-'10years_f'!$G820</f>
        <v>0.59079678598056073</v>
      </c>
      <c r="C279">
        <f>'10years_f'!C820-'10years_f'!$G820</f>
        <v>0.44080497478148128</v>
      </c>
      <c r="D279">
        <f>'10years_f'!D820-'10years_f'!$G820</f>
        <v>0.75703731201262947</v>
      </c>
      <c r="E279">
        <f>'10years_f'!E820-'10years_f'!$G820</f>
        <v>0.60168222935524707</v>
      </c>
      <c r="F279">
        <f>'10years_f'!F820-'10years_f'!$G820</f>
        <v>0.418883860618533</v>
      </c>
      <c r="G279">
        <f>'10years_f'!H820-'10years_f'!$I820</f>
        <v>0.58203686791344911</v>
      </c>
    </row>
    <row r="280" spans="1:7" x14ac:dyDescent="0.35">
      <c r="A280" s="1">
        <v>34424</v>
      </c>
      <c r="B280">
        <f>'10years_f'!B821-'10years_f'!$G821</f>
        <v>0.61716353329126861</v>
      </c>
      <c r="C280">
        <f>'10years_f'!C821-'10years_f'!$G821</f>
        <v>0.46803604822827438</v>
      </c>
      <c r="D280">
        <f>'10years_f'!D821-'10years_f'!$G821</f>
        <v>0.79148635250596922</v>
      </c>
      <c r="E280">
        <f>'10years_f'!E821-'10years_f'!$G821</f>
        <v>0.6366317797416956</v>
      </c>
      <c r="F280">
        <f>'10years_f'!F821-'10years_f'!$G821</f>
        <v>0.44604667739938453</v>
      </c>
      <c r="G280">
        <f>'10years_f'!H821-'10years_f'!$I821</f>
        <v>0.60816225391853163</v>
      </c>
    </row>
    <row r="281" spans="1:7" x14ac:dyDescent="0.35">
      <c r="A281" s="1">
        <v>34453</v>
      </c>
      <c r="B281">
        <f>'10years_f'!B822-'10years_f'!$G822</f>
        <v>0.59503409931196449</v>
      </c>
      <c r="C281">
        <f>'10years_f'!C822-'10years_f'!$G822</f>
        <v>0.44608495833571338</v>
      </c>
      <c r="D281">
        <f>'10years_f'!D822-'10years_f'!$G822</f>
        <v>0.76858932398635771</v>
      </c>
      <c r="E281">
        <f>'10years_f'!E822-'10years_f'!$G822</f>
        <v>0.61392846740526741</v>
      </c>
      <c r="F281">
        <f>'10years_f'!F822-'10years_f'!$G822</f>
        <v>0.42399446399479279</v>
      </c>
      <c r="G281">
        <f>'10years_f'!H822-'10years_f'!$I822</f>
        <v>0.58586498317778624</v>
      </c>
    </row>
    <row r="282" spans="1:7" x14ac:dyDescent="0.35">
      <c r="A282" s="1">
        <v>34485</v>
      </c>
      <c r="B282">
        <f>'10years_f'!B823-'10years_f'!$G823</f>
        <v>0.59515392478728413</v>
      </c>
      <c r="C282">
        <f>'10years_f'!C823-'10years_f'!$G823</f>
        <v>0.44798162958852328</v>
      </c>
      <c r="D282">
        <f>'10years_f'!D823-'10years_f'!$G823</f>
        <v>0.77697401246348297</v>
      </c>
      <c r="E282">
        <f>'10years_f'!E823-'10years_f'!$G823</f>
        <v>0.62396832792348556</v>
      </c>
      <c r="F282">
        <f>'10years_f'!F823-'10years_f'!$G823</f>
        <v>0.42605627163212501</v>
      </c>
      <c r="G282">
        <f>'10years_f'!H823-'10years_f'!$I823</f>
        <v>0.58572016835238827</v>
      </c>
    </row>
    <row r="283" spans="1:7" x14ac:dyDescent="0.35">
      <c r="A283" s="1">
        <v>34515</v>
      </c>
      <c r="B283">
        <f>'10years_f'!B824-'10years_f'!$G824</f>
        <v>0.63461000727452244</v>
      </c>
      <c r="C283">
        <f>'10years_f'!C824-'10years_f'!$G824</f>
        <v>0.48819954959716294</v>
      </c>
      <c r="D283">
        <f>'10years_f'!D824-'10years_f'!$G824</f>
        <v>0.82296395602717332</v>
      </c>
      <c r="E283">
        <f>'10years_f'!E824-'10years_f'!$G824</f>
        <v>0.67035756166829485</v>
      </c>
      <c r="F283">
        <f>'10years_f'!F824-'10years_f'!$G824</f>
        <v>0.46598133508264961</v>
      </c>
      <c r="G283">
        <f>'10years_f'!H824-'10years_f'!$I824</f>
        <v>0.62488040302794978</v>
      </c>
    </row>
    <row r="284" spans="1:7" x14ac:dyDescent="0.35">
      <c r="A284" s="1">
        <v>34544</v>
      </c>
      <c r="B284">
        <f>'10years_f'!B825-'10years_f'!$G825</f>
        <v>0.58102106094715911</v>
      </c>
      <c r="C284">
        <f>'10years_f'!C825-'10years_f'!$G825</f>
        <v>0.43477005567989746</v>
      </c>
      <c r="D284">
        <f>'10years_f'!D825-'10years_f'!$G825</f>
        <v>0.75950380335219858</v>
      </c>
      <c r="E284">
        <f>'10years_f'!E825-'10years_f'!$G825</f>
        <v>0.60717231628687163</v>
      </c>
      <c r="F284">
        <f>'10years_f'!F825-'10years_f'!$G825</f>
        <v>0.41233754013712787</v>
      </c>
      <c r="G284">
        <f>'10years_f'!H825-'10years_f'!$I825</f>
        <v>0.57124428037260699</v>
      </c>
    </row>
    <row r="285" spans="1:7" x14ac:dyDescent="0.35">
      <c r="A285" s="1">
        <v>34577</v>
      </c>
      <c r="B285">
        <f>'10years_f'!B826-'10years_f'!$G826</f>
        <v>0.55247375473372884</v>
      </c>
      <c r="C285">
        <f>'10years_f'!C826-'10years_f'!$G826</f>
        <v>0.4074764854334445</v>
      </c>
      <c r="D285">
        <f>'10years_f'!D826-'10years_f'!$G826</f>
        <v>0.71645579265295911</v>
      </c>
      <c r="E285">
        <f>'10years_f'!E826-'10years_f'!$G826</f>
        <v>0.56529006193697384</v>
      </c>
      <c r="F285">
        <f>'10years_f'!F826-'10years_f'!$G826</f>
        <v>0.38555557760251435</v>
      </c>
      <c r="G285">
        <f>'10years_f'!H826-'10years_f'!$I826</f>
        <v>0.54262401438938124</v>
      </c>
    </row>
    <row r="286" spans="1:7" x14ac:dyDescent="0.35">
      <c r="A286" s="1">
        <v>34607</v>
      </c>
      <c r="B286">
        <f>'10years_f'!B827-'10years_f'!$G827</f>
        <v>0.58420184890111604</v>
      </c>
      <c r="C286">
        <f>'10years_f'!C827-'10years_f'!$G827</f>
        <v>0.4399194876437742</v>
      </c>
      <c r="D286">
        <f>'10years_f'!D827-'10years_f'!$G827</f>
        <v>0.76385640730463522</v>
      </c>
      <c r="E286">
        <f>'10years_f'!E827-'10years_f'!$G827</f>
        <v>0.61311276708327278</v>
      </c>
      <c r="F286">
        <f>'10years_f'!F827-'10years_f'!$G827</f>
        <v>0.41857532494425276</v>
      </c>
      <c r="G286">
        <f>'10years_f'!H827-'10years_f'!$I827</f>
        <v>0.57414107599798037</v>
      </c>
    </row>
    <row r="287" spans="1:7" x14ac:dyDescent="0.35">
      <c r="A287" s="1">
        <v>34638</v>
      </c>
      <c r="B287">
        <f>'10years_f'!B828-'10years_f'!$G828</f>
        <v>0.58027594234478297</v>
      </c>
      <c r="C287">
        <f>'10years_f'!C828-'10years_f'!$G828</f>
        <v>0.43624547460470797</v>
      </c>
      <c r="D287">
        <f>'10years_f'!D828-'10years_f'!$G828</f>
        <v>0.77658519207375942</v>
      </c>
      <c r="E287">
        <f>'10years_f'!E828-'10years_f'!$G828</f>
        <v>0.62625734962945057</v>
      </c>
      <c r="F287">
        <f>'10years_f'!F828-'10years_f'!$G828</f>
        <v>0.41533523595745425</v>
      </c>
      <c r="G287">
        <f>'10years_f'!H828-'10years_f'!$I828</f>
        <v>0.57006643487249598</v>
      </c>
    </row>
    <row r="288" spans="1:7" x14ac:dyDescent="0.35">
      <c r="A288" s="1">
        <v>34668</v>
      </c>
      <c r="B288">
        <f>'10years_f'!B829-'10years_f'!$G829</f>
        <v>0.64668353642206688</v>
      </c>
      <c r="C288">
        <f>'10years_f'!C829-'10years_f'!$G829</f>
        <v>0.50129722681559019</v>
      </c>
      <c r="D288">
        <f>'10years_f'!D829-'10years_f'!$G829</f>
        <v>0.86399561889075716</v>
      </c>
      <c r="E288">
        <f>'10years_f'!E829-'10years_f'!$G829</f>
        <v>0.71469209723246219</v>
      </c>
      <c r="F288">
        <f>'10years_f'!F829-'10years_f'!$G829</f>
        <v>0.48289396806279306</v>
      </c>
      <c r="G288">
        <f>'10years_f'!H829-'10years_f'!$I829</f>
        <v>0.63624679361207193</v>
      </c>
    </row>
    <row r="289" spans="1:7" x14ac:dyDescent="0.35">
      <c r="A289" s="1">
        <v>34698</v>
      </c>
      <c r="B289">
        <f>'10years_f'!B830-'10years_f'!$G830</f>
        <v>0.66447159376875575</v>
      </c>
      <c r="C289">
        <f>'10years_f'!C830-'10years_f'!$G830</f>
        <v>0.51982455795948024</v>
      </c>
      <c r="D289">
        <f>'10years_f'!D830-'10years_f'!$G830</f>
        <v>0.88362432048015815</v>
      </c>
      <c r="E289">
        <f>'10years_f'!E830-'10years_f'!$G830</f>
        <v>0.73486161252850302</v>
      </c>
      <c r="F289">
        <f>'10years_f'!F830-'10years_f'!$G830</f>
        <v>0.50182067534522101</v>
      </c>
      <c r="G289">
        <f>'10years_f'!H830-'10years_f'!$I830</f>
        <v>0.65398042875104423</v>
      </c>
    </row>
    <row r="290" spans="1:7" x14ac:dyDescent="0.35">
      <c r="A290" s="1">
        <v>34730</v>
      </c>
      <c r="B290">
        <f>'10years_f'!B831-'10years_f'!$G831</f>
        <v>0.62479856641829734</v>
      </c>
      <c r="C290">
        <f>'10years_f'!C831-'10years_f'!$G831</f>
        <v>0.48076872257195902</v>
      </c>
      <c r="D290">
        <f>'10years_f'!D831-'10years_f'!$G831</f>
        <v>0.84295906739019522</v>
      </c>
      <c r="E290">
        <f>'10years_f'!E831-'10years_f'!$G831</f>
        <v>0.69485652823752275</v>
      </c>
      <c r="F290">
        <f>'10years_f'!F831-'10years_f'!$G831</f>
        <v>0.46236363015758375</v>
      </c>
      <c r="G290">
        <f>'10years_f'!H831-'10years_f'!$I831</f>
        <v>0.61436585204823757</v>
      </c>
    </row>
    <row r="291" spans="1:7" x14ac:dyDescent="0.35">
      <c r="A291" s="1">
        <v>34758</v>
      </c>
      <c r="B291">
        <f>'10years_f'!B832-'10years_f'!$G832</f>
        <v>0.61208893293928024</v>
      </c>
      <c r="C291">
        <f>'10years_f'!C832-'10years_f'!$G832</f>
        <v>0.46866758290772181</v>
      </c>
      <c r="D291">
        <f>'10years_f'!D832-'10years_f'!$G832</f>
        <v>0.82523222529019491</v>
      </c>
      <c r="E291">
        <f>'10years_f'!E832-'10years_f'!$G832</f>
        <v>0.67817891785172324</v>
      </c>
      <c r="F291">
        <f>'10years_f'!F832-'10years_f'!$G832</f>
        <v>0.45037860130842033</v>
      </c>
      <c r="G291">
        <f>'10years_f'!H832-'10years_f'!$I832</f>
        <v>0.60162706169515356</v>
      </c>
    </row>
    <row r="292" spans="1:7" x14ac:dyDescent="0.35">
      <c r="A292" s="1">
        <v>34789</v>
      </c>
      <c r="B292">
        <f>'10years_f'!B833-'10years_f'!$G833</f>
        <v>0.57519916009175787</v>
      </c>
      <c r="C292">
        <f>'10years_f'!C833-'10years_f'!$G833</f>
        <v>0.43231961889894932</v>
      </c>
      <c r="D292">
        <f>'10years_f'!D833-'10years_f'!$G833</f>
        <v>0.7919596426927773</v>
      </c>
      <c r="E292">
        <f>'10years_f'!E833-'10years_f'!$G833</f>
        <v>0.6451961477383612</v>
      </c>
      <c r="F292">
        <f>'10years_f'!F833-'10years_f'!$G833</f>
        <v>0.41358225733329212</v>
      </c>
      <c r="G292">
        <f>'10years_f'!H833-'10years_f'!$I833</f>
        <v>0.56484480950229621</v>
      </c>
    </row>
    <row r="293" spans="1:7" x14ac:dyDescent="0.35">
      <c r="A293" s="1">
        <v>34817</v>
      </c>
      <c r="B293">
        <f>'10years_f'!B834-'10years_f'!$G834</f>
        <v>0.53667889613158914</v>
      </c>
      <c r="C293">
        <f>'10years_f'!C834-'10years_f'!$G834</f>
        <v>0.39408053040799951</v>
      </c>
      <c r="D293">
        <f>'10years_f'!D834-'10years_f'!$G834</f>
        <v>0.74754795678542907</v>
      </c>
      <c r="E293">
        <f>'10years_f'!E834-'10years_f'!$G834</f>
        <v>0.60123125942051692</v>
      </c>
      <c r="F293">
        <f>'10years_f'!F834-'10years_f'!$G834</f>
        <v>0.3752848349329061</v>
      </c>
      <c r="G293">
        <f>'10years_f'!H834-'10years_f'!$I834</f>
        <v>0.52643377735126506</v>
      </c>
    </row>
    <row r="294" spans="1:7" x14ac:dyDescent="0.35">
      <c r="A294" s="1">
        <v>34850</v>
      </c>
      <c r="B294">
        <f>'10years_f'!B835-'10years_f'!$G835</f>
        <v>0.53268808654793931</v>
      </c>
      <c r="C294">
        <f>'10years_f'!C835-'10years_f'!$G835</f>
        <v>0.39131465817272604</v>
      </c>
      <c r="D294">
        <f>'10years_f'!D835-'10years_f'!$G835</f>
        <v>0.76028359083553143</v>
      </c>
      <c r="E294">
        <f>'10years_f'!E835-'10years_f'!$G835</f>
        <v>0.61529771553041668</v>
      </c>
      <c r="F294">
        <f>'10years_f'!F835-'10years_f'!$G835</f>
        <v>0.3724687148090271</v>
      </c>
      <c r="G294">
        <f>'10years_f'!H835-'10years_f'!$I835</f>
        <v>0.52261108036437687</v>
      </c>
    </row>
    <row r="295" spans="1:7" x14ac:dyDescent="0.35">
      <c r="A295" s="1">
        <v>34880</v>
      </c>
      <c r="B295">
        <f>'10years_f'!B836-'10years_f'!$G836</f>
        <v>0.51600476574285792</v>
      </c>
      <c r="C295">
        <f>'10years_f'!C836-'10years_f'!$G836</f>
        <v>0.37493942825915449</v>
      </c>
      <c r="D295">
        <f>'10years_f'!D836-'10years_f'!$G836</f>
        <v>0.75288102302775939</v>
      </c>
      <c r="E295">
        <f>'10years_f'!E836-'10years_f'!$G836</f>
        <v>0.60812243128241739</v>
      </c>
      <c r="F295">
        <f>'10years_f'!F836-'10years_f'!$G836</f>
        <v>0.35661481470504408</v>
      </c>
      <c r="G295">
        <f>'10years_f'!H836-'10years_f'!$I836</f>
        <v>0.50603752655149492</v>
      </c>
    </row>
    <row r="296" spans="1:7" x14ac:dyDescent="0.35">
      <c r="A296" s="1">
        <v>34911</v>
      </c>
      <c r="B296">
        <f>'10years_f'!B837-'10years_f'!$G837</f>
        <v>0.52090782640826405</v>
      </c>
      <c r="C296">
        <f>'10years_f'!C837-'10years_f'!$G837</f>
        <v>0.3799888472376296</v>
      </c>
      <c r="D296">
        <f>'10years_f'!D837-'10years_f'!$G837</f>
        <v>0.76920564895034027</v>
      </c>
      <c r="E296">
        <f>'10years_f'!E837-'10years_f'!$G837</f>
        <v>0.62474673751725285</v>
      </c>
      <c r="F296">
        <f>'10years_f'!F837-'10years_f'!$G837</f>
        <v>0.36170652959222793</v>
      </c>
      <c r="G296">
        <f>'10years_f'!H837-'10years_f'!$I837</f>
        <v>0.51096861876858135</v>
      </c>
    </row>
    <row r="297" spans="1:7" x14ac:dyDescent="0.35">
      <c r="A297" s="1">
        <v>34942</v>
      </c>
      <c r="B297">
        <f>'10years_f'!B838-'10years_f'!$G838</f>
        <v>0.51156758626029952</v>
      </c>
      <c r="C297">
        <f>'10years_f'!C838-'10years_f'!$G838</f>
        <v>0.37127284461640131</v>
      </c>
      <c r="D297">
        <f>'10years_f'!D838-'10years_f'!$G838</f>
        <v>0.7557713612188508</v>
      </c>
      <c r="E297">
        <f>'10years_f'!E838-'10years_f'!$G838</f>
        <v>0.61242388909774825</v>
      </c>
      <c r="F297">
        <f>'10years_f'!F838-'10years_f'!$G838</f>
        <v>0.35383555789587828</v>
      </c>
      <c r="G297">
        <f>'10years_f'!H838-'10years_f'!$I838</f>
        <v>0.50171876953015726</v>
      </c>
    </row>
    <row r="298" spans="1:7" x14ac:dyDescent="0.35">
      <c r="A298" s="1">
        <v>34971</v>
      </c>
      <c r="B298">
        <f>'10years_f'!B839-'10years_f'!$G839</f>
        <v>0.48478843516788328</v>
      </c>
      <c r="C298">
        <f>'10years_f'!C839-'10years_f'!$G839</f>
        <v>0.34512098134678149</v>
      </c>
      <c r="D298">
        <f>'10years_f'!D839-'10years_f'!$G839</f>
        <v>0.74323839478363074</v>
      </c>
      <c r="E298">
        <f>'10years_f'!E839-'10years_f'!$G839</f>
        <v>0.60022256340908187</v>
      </c>
      <c r="F298">
        <f>'10years_f'!F839-'10years_f'!$G839</f>
        <v>0.3277836141139423</v>
      </c>
      <c r="G298">
        <f>'10years_f'!H839-'10years_f'!$I839</f>
        <v>0.47500097136923269</v>
      </c>
    </row>
    <row r="299" spans="1:7" x14ac:dyDescent="0.35">
      <c r="A299" s="1">
        <v>35003</v>
      </c>
      <c r="B299">
        <f>'10years_f'!B840-'10years_f'!$G840</f>
        <v>0.47599415285217739</v>
      </c>
      <c r="C299">
        <f>'10years_f'!C840-'10years_f'!$G840</f>
        <v>0.33666481557319572</v>
      </c>
      <c r="D299">
        <f>'10years_f'!D840-'10years_f'!$G840</f>
        <v>0.74537614934981922</v>
      </c>
      <c r="E299">
        <f>'10years_f'!E840-'10years_f'!$G840</f>
        <v>0.60267741871040692</v>
      </c>
      <c r="F299">
        <f>'10years_f'!F840-'10years_f'!$G840</f>
        <v>0.31853542171649285</v>
      </c>
      <c r="G299">
        <f>'10years_f'!H840-'10years_f'!$I840</f>
        <v>0.46632001584636651</v>
      </c>
    </row>
    <row r="300" spans="1:7" x14ac:dyDescent="0.35">
      <c r="A300" s="1">
        <v>35033</v>
      </c>
      <c r="B300">
        <f>'10years_f'!B841-'10years_f'!$G841</f>
        <v>0.47211184682424023</v>
      </c>
      <c r="C300">
        <f>'10years_f'!C841-'10years_f'!$G841</f>
        <v>0.3329599098809688</v>
      </c>
      <c r="D300">
        <f>'10years_f'!D841-'10years_f'!$G841</f>
        <v>0.74042059486120082</v>
      </c>
      <c r="E300">
        <f>'10years_f'!E841-'10years_f'!$G841</f>
        <v>0.59840424714735385</v>
      </c>
      <c r="F300">
        <f>'10years_f'!F841-'10years_f'!$G841</f>
        <v>0.31466810591528227</v>
      </c>
      <c r="G300">
        <f>'10years_f'!H841-'10years_f'!$I841</f>
        <v>0.4625187601024372</v>
      </c>
    </row>
    <row r="301" spans="1:7" x14ac:dyDescent="0.35">
      <c r="A301" s="1">
        <v>35062</v>
      </c>
      <c r="B301">
        <f>'10years_f'!B842-'10years_f'!$G842</f>
        <v>0.45867969197210878</v>
      </c>
      <c r="C301">
        <f>'10years_f'!C842-'10years_f'!$G842</f>
        <v>0.319939521435187</v>
      </c>
      <c r="D301">
        <f>'10years_f'!D842-'10years_f'!$G842</f>
        <v>0.73621311939176048</v>
      </c>
      <c r="E301">
        <f>'10years_f'!E842-'10years_f'!$G842</f>
        <v>0.594556797689761</v>
      </c>
      <c r="F301">
        <f>'10years_f'!F842-'10years_f'!$G842</f>
        <v>0.30067480858673235</v>
      </c>
      <c r="G301">
        <f>'10years_f'!H842-'10years_f'!$I842</f>
        <v>0.44923210139069525</v>
      </c>
    </row>
    <row r="302" spans="1:7" x14ac:dyDescent="0.35">
      <c r="A302" s="1">
        <v>35095</v>
      </c>
      <c r="B302">
        <f>'10years_f'!B843-'10years_f'!$G843</f>
        <v>0.45244035394186866</v>
      </c>
      <c r="C302">
        <f>'10years_f'!C843-'10years_f'!$G843</f>
        <v>0.31404999970398584</v>
      </c>
      <c r="D302">
        <f>'10years_f'!D843-'10years_f'!$G843</f>
        <v>0.7455278692094669</v>
      </c>
      <c r="E302">
        <f>'10years_f'!E843-'10years_f'!$G843</f>
        <v>0.60430841050713169</v>
      </c>
      <c r="F302">
        <f>'10years_f'!F843-'10years_f'!$G843</f>
        <v>0.29546918843156855</v>
      </c>
      <c r="G302">
        <f>'10years_f'!H843-'10years_f'!$I843</f>
        <v>0.44305008191287687</v>
      </c>
    </row>
    <row r="303" spans="1:7" x14ac:dyDescent="0.35">
      <c r="A303" s="1">
        <v>35124</v>
      </c>
      <c r="B303">
        <f>'10years_f'!B844-'10years_f'!$G844</f>
        <v>0.44644082129363394</v>
      </c>
      <c r="C303">
        <f>'10years_f'!C844-'10years_f'!$G844</f>
        <v>0.30816218251485683</v>
      </c>
      <c r="D303">
        <f>'10years_f'!D844-'10years_f'!$G844</f>
        <v>0.73763332265805737</v>
      </c>
      <c r="E303">
        <f>'10years_f'!E844-'10years_f'!$G844</f>
        <v>0.59711689590637729</v>
      </c>
      <c r="F303">
        <f>'10years_f'!F844-'10years_f'!$G844</f>
        <v>0.29045038437718063</v>
      </c>
      <c r="G303">
        <f>'10years_f'!H844-'10years_f'!$I844</f>
        <v>0.43709128455005075</v>
      </c>
    </row>
    <row r="304" spans="1:7" x14ac:dyDescent="0.35">
      <c r="A304" s="1">
        <v>35153</v>
      </c>
      <c r="B304">
        <f>'10years_f'!B845-'10years_f'!$G845</f>
        <v>0.44935582589703915</v>
      </c>
      <c r="C304">
        <f>'10years_f'!C845-'10years_f'!$G845</f>
        <v>0.31134916649958977</v>
      </c>
      <c r="D304">
        <f>'10years_f'!D845-'10years_f'!$G845</f>
        <v>0.73638659929157568</v>
      </c>
      <c r="E304">
        <f>'10years_f'!E845-'10years_f'!$G845</f>
        <v>0.59606919115026513</v>
      </c>
      <c r="F304">
        <f>'10years_f'!F845-'10years_f'!$G845</f>
        <v>0.29321977510858122</v>
      </c>
      <c r="G304">
        <f>'10years_f'!H845-'10years_f'!$I845</f>
        <v>0.44001734482872479</v>
      </c>
    </row>
    <row r="305" spans="1:7" x14ac:dyDescent="0.35">
      <c r="A305" s="1">
        <v>35185</v>
      </c>
      <c r="B305">
        <f>'10years_f'!B846-'10years_f'!$G846</f>
        <v>0.44757570070969255</v>
      </c>
      <c r="C305">
        <f>'10years_f'!C846-'10years_f'!$G846</f>
        <v>0.30962074305048937</v>
      </c>
      <c r="D305">
        <f>'10years_f'!D846-'10years_f'!$G846</f>
        <v>0.72239037838636388</v>
      </c>
      <c r="E305">
        <f>'10years_f'!E846-'10years_f'!$G846</f>
        <v>0.58227838369306006</v>
      </c>
      <c r="F305">
        <f>'10years_f'!F846-'10years_f'!$G846</f>
        <v>0.29295192151978178</v>
      </c>
      <c r="G305">
        <f>'10years_f'!H846-'10years_f'!$I846</f>
        <v>0.43830734124012949</v>
      </c>
    </row>
    <row r="306" spans="1:7" x14ac:dyDescent="0.35">
      <c r="A306" s="1">
        <v>35216</v>
      </c>
      <c r="B306">
        <f>'10years_f'!B847-'10years_f'!$G847</f>
        <v>0.40245570343308623</v>
      </c>
      <c r="C306">
        <f>'10years_f'!C847-'10years_f'!$G847</f>
        <v>0.26489482687003862</v>
      </c>
      <c r="D306">
        <f>'10years_f'!D847-'10years_f'!$G847</f>
        <v>0.68719556154274786</v>
      </c>
      <c r="E306">
        <f>'10years_f'!E847-'10years_f'!$G847</f>
        <v>0.54788392245010487</v>
      </c>
      <c r="F306">
        <f>'10years_f'!F847-'10years_f'!$G847</f>
        <v>0.24762478821586731</v>
      </c>
      <c r="G306">
        <f>'10years_f'!H847-'10years_f'!$I847</f>
        <v>0.39327035098337682</v>
      </c>
    </row>
    <row r="307" spans="1:7" x14ac:dyDescent="0.35">
      <c r="A307" s="1">
        <v>35244</v>
      </c>
      <c r="B307">
        <f>'10years_f'!B848-'10years_f'!$G848</f>
        <v>0.40032968227396504</v>
      </c>
      <c r="C307">
        <f>'10years_f'!C848-'10years_f'!$G848</f>
        <v>0.26304234007270066</v>
      </c>
      <c r="D307">
        <f>'10years_f'!D848-'10years_f'!$G848</f>
        <v>0.69343339054969766</v>
      </c>
      <c r="E307">
        <f>'10years_f'!E848-'10years_f'!$G848</f>
        <v>0.55433968449551463</v>
      </c>
      <c r="F307">
        <f>'10years_f'!F848-'10years_f'!$G848</f>
        <v>0.24580891527325521</v>
      </c>
      <c r="G307">
        <f>'10years_f'!H848-'10years_f'!$I848</f>
        <v>0.39114695661868204</v>
      </c>
    </row>
    <row r="308" spans="1:7" x14ac:dyDescent="0.35">
      <c r="A308" s="1">
        <v>35277</v>
      </c>
      <c r="B308">
        <f>'10years_f'!B849-'10years_f'!$G849</f>
        <v>0.44352246169804488</v>
      </c>
      <c r="C308">
        <f>'10years_f'!C849-'10years_f'!$G849</f>
        <v>0.30670010957064786</v>
      </c>
      <c r="D308">
        <f>'10years_f'!D849-'10years_f'!$G849</f>
        <v>0.7301181993937611</v>
      </c>
      <c r="E308">
        <f>'10years_f'!E849-'10years_f'!$G849</f>
        <v>0.59137441888354125</v>
      </c>
      <c r="F308">
        <f>'10years_f'!F849-'10years_f'!$G849</f>
        <v>0.28967619289078872</v>
      </c>
      <c r="G308">
        <f>'10years_f'!H849-'10years_f'!$I849</f>
        <v>0.4342755304046042</v>
      </c>
    </row>
    <row r="309" spans="1:7" x14ac:dyDescent="0.35">
      <c r="A309" s="1">
        <v>35307</v>
      </c>
      <c r="B309">
        <f>'10years_f'!B850-'10years_f'!$G850</f>
        <v>0.44526985026489507</v>
      </c>
      <c r="C309">
        <f>'10years_f'!C850-'10years_f'!$G850</f>
        <v>0.30834089349207572</v>
      </c>
      <c r="D309">
        <f>'10years_f'!D850-'10years_f'!$G850</f>
        <v>0.7279576413376172</v>
      </c>
      <c r="E309">
        <f>'10years_f'!E850-'10years_f'!$G850</f>
        <v>0.5897962849003453</v>
      </c>
      <c r="F309">
        <f>'10years_f'!F850-'10years_f'!$G850</f>
        <v>0.29162170425049938</v>
      </c>
      <c r="G309">
        <f>'10years_f'!H850-'10years_f'!$I850</f>
        <v>0.43600034104580576</v>
      </c>
    </row>
    <row r="310" spans="1:7" x14ac:dyDescent="0.35">
      <c r="A310" s="1">
        <v>35338</v>
      </c>
      <c r="B310">
        <f>'10years_f'!B851-'10years_f'!$G851</f>
        <v>0.42167603791610309</v>
      </c>
      <c r="C310">
        <f>'10years_f'!C851-'10years_f'!$G851</f>
        <v>0.28533401673239234</v>
      </c>
      <c r="D310">
        <f>'10years_f'!D851-'10years_f'!$G851</f>
        <v>0.70912840888944317</v>
      </c>
      <c r="E310">
        <f>'10years_f'!E851-'10years_f'!$G851</f>
        <v>0.57133179576772197</v>
      </c>
      <c r="F310">
        <f>'10years_f'!F851-'10years_f'!$G851</f>
        <v>0.26797336458615573</v>
      </c>
      <c r="G310">
        <f>'10years_f'!H851-'10years_f'!$I851</f>
        <v>0.41250909226273613</v>
      </c>
    </row>
    <row r="311" spans="1:7" x14ac:dyDescent="0.35">
      <c r="A311" s="1">
        <v>35369</v>
      </c>
      <c r="B311">
        <f>'10years_f'!B852-'10years_f'!$G852</f>
        <v>0.4264214786904803</v>
      </c>
      <c r="C311">
        <f>'10years_f'!C852-'10years_f'!$G852</f>
        <v>0.29035848486565441</v>
      </c>
      <c r="D311">
        <f>'10years_f'!D852-'10years_f'!$G852</f>
        <v>0.7281811977426107</v>
      </c>
      <c r="E311">
        <f>'10years_f'!E852-'10years_f'!$G852</f>
        <v>0.59050061797699072</v>
      </c>
      <c r="F311">
        <f>'10years_f'!F852-'10years_f'!$G852</f>
        <v>0.27242878434086637</v>
      </c>
      <c r="G311">
        <f>'10years_f'!H852-'10years_f'!$I852</f>
        <v>0.41727847524060113</v>
      </c>
    </row>
    <row r="312" spans="1:7" x14ac:dyDescent="0.35">
      <c r="A312" s="1">
        <v>35398</v>
      </c>
      <c r="B312">
        <f>'10years_f'!B853-'10years_f'!$G853</f>
        <v>0.37982485092969509</v>
      </c>
      <c r="C312">
        <f>'10years_f'!C853-'10years_f'!$G853</f>
        <v>0.24349911758104281</v>
      </c>
      <c r="D312">
        <f>'10years_f'!D853-'10years_f'!$G853</f>
        <v>0.69221050030006759</v>
      </c>
      <c r="E312">
        <f>'10years_f'!E853-'10years_f'!$G853</f>
        <v>0.55481097695247539</v>
      </c>
      <c r="F312">
        <f>'10years_f'!F853-'10years_f'!$G853</f>
        <v>0.22671263813783349</v>
      </c>
      <c r="G312">
        <f>'10years_f'!H853-'10years_f'!$I853</f>
        <v>0.37077727796182014</v>
      </c>
    </row>
    <row r="313" spans="1:7" x14ac:dyDescent="0.35">
      <c r="A313" s="1">
        <v>35430</v>
      </c>
      <c r="B313">
        <f>'10years_f'!B854-'10years_f'!$G854</f>
        <v>0.40852502808371249</v>
      </c>
      <c r="C313">
        <f>'10years_f'!C854-'10years_f'!$G854</f>
        <v>0.27241347665441595</v>
      </c>
      <c r="D313">
        <f>'10years_f'!D854-'10years_f'!$G854</f>
        <v>0.71384983040597239</v>
      </c>
      <c r="E313">
        <f>'10years_f'!E854-'10years_f'!$G854</f>
        <v>0.57658480360456932</v>
      </c>
      <c r="F313">
        <f>'10years_f'!F854-'10years_f'!$G854</f>
        <v>0.25587758325532151</v>
      </c>
      <c r="G313">
        <f>'10years_f'!H854-'10years_f'!$I854</f>
        <v>0.39945923855286836</v>
      </c>
    </row>
    <row r="314" spans="1:7" x14ac:dyDescent="0.35">
      <c r="A314" s="1">
        <v>35461</v>
      </c>
      <c r="B314">
        <f>'10years_f'!B855-'10years_f'!$G855</f>
        <v>0.37022867744856569</v>
      </c>
      <c r="C314">
        <f>'10years_f'!C855-'10years_f'!$G855</f>
        <v>0.2342673750396056</v>
      </c>
      <c r="D314">
        <f>'10years_f'!D855-'10years_f'!$G855</f>
        <v>0.70142131882987169</v>
      </c>
      <c r="E314">
        <f>'10years_f'!E855-'10years_f'!$G855</f>
        <v>0.56440140727185995</v>
      </c>
      <c r="F314">
        <f>'10years_f'!F855-'10years_f'!$G855</f>
        <v>0.21779509721003443</v>
      </c>
      <c r="G314">
        <f>'10years_f'!H855-'10years_f'!$I855</f>
        <v>0.36125038816872124</v>
      </c>
    </row>
    <row r="315" spans="1:7" x14ac:dyDescent="0.35">
      <c r="A315" s="1">
        <v>35489</v>
      </c>
      <c r="B315">
        <f>'10years_f'!B856-'10years_f'!$G856</f>
        <v>0.34749430714351748</v>
      </c>
      <c r="C315">
        <f>'10years_f'!C856-'10years_f'!$G856</f>
        <v>0.21121262085071235</v>
      </c>
      <c r="D315">
        <f>'10years_f'!D856-'10years_f'!$G856</f>
        <v>0.68768542363735508</v>
      </c>
      <c r="E315">
        <f>'10years_f'!E856-'10years_f'!$G856</f>
        <v>0.55116668939421443</v>
      </c>
      <c r="F315">
        <f>'10years_f'!F856-'10years_f'!$G856</f>
        <v>0.19442530603584229</v>
      </c>
      <c r="G315">
        <f>'10years_f'!H856-'10years_f'!$I856</f>
        <v>0.33856239279590472</v>
      </c>
    </row>
    <row r="316" spans="1:7" x14ac:dyDescent="0.35">
      <c r="A316" s="1">
        <v>35520</v>
      </c>
      <c r="B316">
        <f>'10years_f'!B857-'10years_f'!$G857</f>
        <v>0.39230073953460431</v>
      </c>
      <c r="C316">
        <f>'10years_f'!C857-'10years_f'!$G857</f>
        <v>0.25637006825167985</v>
      </c>
      <c r="D316">
        <f>'10years_f'!D857-'10years_f'!$G857</f>
        <v>0.72394812726515356</v>
      </c>
      <c r="E316">
        <f>'10years_f'!E857-'10years_f'!$G857</f>
        <v>0.58759080489956572</v>
      </c>
      <c r="F316">
        <f>'10years_f'!F857-'10years_f'!$G857</f>
        <v>0.2392156837753876</v>
      </c>
      <c r="G316">
        <f>'10years_f'!H857-'10years_f'!$I857</f>
        <v>0.38326252571587727</v>
      </c>
    </row>
    <row r="317" spans="1:7" x14ac:dyDescent="0.35">
      <c r="A317" s="1">
        <v>35550</v>
      </c>
      <c r="B317">
        <f>'10years_f'!B858-'10years_f'!$G858</f>
        <v>0.37924219368908019</v>
      </c>
      <c r="C317">
        <f>'10years_f'!C858-'10years_f'!$G858</f>
        <v>0.243413148854146</v>
      </c>
      <c r="D317">
        <f>'10years_f'!D858-'10years_f'!$G858</f>
        <v>0.73292321649623093</v>
      </c>
      <c r="E317">
        <f>'10years_f'!E858-'10years_f'!$G858</f>
        <v>0.59643241122851154</v>
      </c>
      <c r="F317">
        <f>'10years_f'!F858-'10years_f'!$G858</f>
        <v>0.22709208343303611</v>
      </c>
      <c r="G317">
        <f>'10years_f'!H858-'10years_f'!$I858</f>
        <v>0.37021542315742728</v>
      </c>
    </row>
    <row r="318" spans="1:7" x14ac:dyDescent="0.35">
      <c r="A318" s="1">
        <v>35580</v>
      </c>
      <c r="B318">
        <f>'10years_f'!B859-'10years_f'!$G859</f>
        <v>0.35826749104419875</v>
      </c>
      <c r="C318">
        <f>'10years_f'!C859-'10years_f'!$G859</f>
        <v>0.2222808927792066</v>
      </c>
      <c r="D318">
        <f>'10years_f'!D859-'10years_f'!$G859</f>
        <v>0.70046778186736791</v>
      </c>
      <c r="E318">
        <f>'10years_f'!E859-'10years_f'!$G859</f>
        <v>0.56443363572138772</v>
      </c>
      <c r="F318">
        <f>'10years_f'!F859-'10years_f'!$G859</f>
        <v>0.20683340926182314</v>
      </c>
      <c r="G318">
        <f>'10years_f'!H859-'10years_f'!$I859</f>
        <v>0.34934669090354031</v>
      </c>
    </row>
    <row r="319" spans="1:7" x14ac:dyDescent="0.35">
      <c r="A319" s="1">
        <v>35611</v>
      </c>
      <c r="B319">
        <f>'10years_f'!B860-'10years_f'!$G860</f>
        <v>0.30779452577443944</v>
      </c>
      <c r="C319">
        <f>'10years_f'!C860-'10years_f'!$G860</f>
        <v>0.17192184741793159</v>
      </c>
      <c r="D319">
        <f>'10years_f'!D860-'10years_f'!$G860</f>
        <v>0.65250867280185343</v>
      </c>
      <c r="E319">
        <f>'10years_f'!E860-'10years_f'!$G860</f>
        <v>0.51671050908715799</v>
      </c>
      <c r="F319">
        <f>'10years_f'!F860-'10years_f'!$G860</f>
        <v>0.15593866667570211</v>
      </c>
      <c r="G319">
        <f>'10years_f'!H860-'10years_f'!$I860</f>
        <v>0.29896306833712138</v>
      </c>
    </row>
    <row r="320" spans="1:7" x14ac:dyDescent="0.35">
      <c r="A320" s="1">
        <v>35642</v>
      </c>
      <c r="B320">
        <f>'10years_f'!B861-'10years_f'!$G861</f>
        <v>0.21667826358310438</v>
      </c>
      <c r="C320">
        <f>'10years_f'!C861-'10years_f'!$G861</f>
        <v>8.1083918414738276E-2</v>
      </c>
      <c r="D320">
        <f>'10years_f'!D861-'10years_f'!$G861</f>
        <v>0.54943490295470521</v>
      </c>
      <c r="E320">
        <f>'10years_f'!E861-'10years_f'!$G861</f>
        <v>0.41392995411527855</v>
      </c>
      <c r="F320">
        <f>'10years_f'!F861-'10years_f'!$G861</f>
        <v>6.6037456821667062E-2</v>
      </c>
      <c r="G320">
        <f>'10years_f'!H861-'10years_f'!$I861</f>
        <v>0.20806351360087572</v>
      </c>
    </row>
    <row r="321" spans="1:7" x14ac:dyDescent="0.35">
      <c r="A321" s="1">
        <v>35671</v>
      </c>
      <c r="B321">
        <f>'10years_f'!B862-'10years_f'!$G862</f>
        <v>0.27652438499766507</v>
      </c>
      <c r="C321">
        <f>'10years_f'!C862-'10years_f'!$G862</f>
        <v>0.14031886581698849</v>
      </c>
      <c r="D321">
        <f>'10years_f'!D862-'10years_f'!$G862</f>
        <v>0.57398480185751666</v>
      </c>
      <c r="E321">
        <f>'10years_f'!E862-'10years_f'!$G862</f>
        <v>0.43837001277538867</v>
      </c>
      <c r="F321">
        <f>'10years_f'!F862-'10years_f'!$G862</f>
        <v>0.12614429616900402</v>
      </c>
      <c r="G321">
        <f>'10years_f'!H862-'10years_f'!$I862</f>
        <v>0.26777853051460632</v>
      </c>
    </row>
    <row r="322" spans="1:7" x14ac:dyDescent="0.35">
      <c r="A322" s="1">
        <v>35703</v>
      </c>
      <c r="B322">
        <f>'10years_f'!B863-'10years_f'!$G863</f>
        <v>0.26429966204211541</v>
      </c>
      <c r="C322">
        <f>'10years_f'!C863-'10years_f'!$G863</f>
        <v>0.12803924759792618</v>
      </c>
      <c r="D322">
        <f>'10years_f'!D863-'10years_f'!$G863</f>
        <v>0.55276616486619612</v>
      </c>
      <c r="E322">
        <f>'10years_f'!E863-'10years_f'!$G863</f>
        <v>0.41718657826619743</v>
      </c>
      <c r="F322">
        <f>'10years_f'!F863-'10years_f'!$G863</f>
        <v>0.11316949513551644</v>
      </c>
      <c r="G322">
        <f>'10years_f'!H863-'10years_f'!$I863</f>
        <v>0.25564276673351038</v>
      </c>
    </row>
    <row r="323" spans="1:7" x14ac:dyDescent="0.35">
      <c r="A323" s="1">
        <v>35734</v>
      </c>
      <c r="B323">
        <f>'10years_f'!B864-'10years_f'!$G864</f>
        <v>0.30728734657515067</v>
      </c>
      <c r="C323">
        <f>'10years_f'!C864-'10years_f'!$G864</f>
        <v>0.17106455547833233</v>
      </c>
      <c r="D323">
        <f>'10years_f'!D864-'10years_f'!$G864</f>
        <v>0.60188808630475088</v>
      </c>
      <c r="E323">
        <f>'10years_f'!E864-'10years_f'!$G864</f>
        <v>0.46647318991275655</v>
      </c>
      <c r="F323">
        <f>'10years_f'!F864-'10years_f'!$G864</f>
        <v>0.15562518397283331</v>
      </c>
      <c r="G323">
        <f>'10years_f'!H864-'10years_f'!$I864</f>
        <v>0.29858588523321572</v>
      </c>
    </row>
    <row r="324" spans="1:7" x14ac:dyDescent="0.35">
      <c r="A324" s="1">
        <v>35762</v>
      </c>
      <c r="B324">
        <f>'10years_f'!B865-'10years_f'!$G865</f>
        <v>0.23432207719374398</v>
      </c>
      <c r="C324">
        <f>'10years_f'!C865-'10years_f'!$G865</f>
        <v>9.7634538824947992E-2</v>
      </c>
      <c r="D324">
        <f>'10years_f'!D865-'10years_f'!$G865</f>
        <v>0.53341817266881497</v>
      </c>
      <c r="E324">
        <f>'10years_f'!E865-'10years_f'!$G865</f>
        <v>0.39792889194816849</v>
      </c>
      <c r="F324">
        <f>'10years_f'!F865-'10years_f'!$G865</f>
        <v>8.1832823734845572E-2</v>
      </c>
      <c r="G324">
        <f>'10years_f'!H865-'10years_f'!$I865</f>
        <v>0.22578957690022605</v>
      </c>
    </row>
    <row r="325" spans="1:7" x14ac:dyDescent="0.35">
      <c r="A325" s="1">
        <v>35795</v>
      </c>
      <c r="B325">
        <f>'10years_f'!B866-'10years_f'!$G866</f>
        <v>0.21658019421663943</v>
      </c>
      <c r="C325">
        <f>'10years_f'!C866-'10years_f'!$G866</f>
        <v>7.9604542343078455E-2</v>
      </c>
      <c r="D325">
        <f>'10years_f'!D866-'10years_f'!$G866</f>
        <v>0.50812056416411333</v>
      </c>
      <c r="E325">
        <f>'10years_f'!E866-'10years_f'!$G866</f>
        <v>0.37220146960772182</v>
      </c>
      <c r="F325">
        <f>'10years_f'!F866-'10years_f'!$G866</f>
        <v>6.3168267988641835E-2</v>
      </c>
      <c r="G325">
        <f>'10years_f'!H866-'10years_f'!$I866</f>
        <v>0.20819464740067239</v>
      </c>
    </row>
    <row r="326" spans="1:7" x14ac:dyDescent="0.35">
      <c r="A326" s="1">
        <v>35825</v>
      </c>
      <c r="B326">
        <f>'10years_f'!B867-'10years_f'!$G867</f>
        <v>0.15553924573542299</v>
      </c>
      <c r="C326">
        <f>'10years_f'!C867-'10years_f'!$G867</f>
        <v>1.8365740387657814E-2</v>
      </c>
      <c r="D326">
        <f>'10years_f'!D867-'10years_f'!$G867</f>
        <v>0.47316067798280659</v>
      </c>
      <c r="E326">
        <f>'10years_f'!E867-'10years_f'!$G867</f>
        <v>0.33722490618378376</v>
      </c>
      <c r="F326">
        <f>'10years_f'!F867-'10years_f'!$G867</f>
        <v>3.7500447596847675E-3</v>
      </c>
      <c r="G326">
        <f>'10years_f'!H867-'10years_f'!$I867</f>
        <v>0.14733539695201969</v>
      </c>
    </row>
    <row r="327" spans="1:7" x14ac:dyDescent="0.35">
      <c r="A327" s="1">
        <v>35853</v>
      </c>
      <c r="B327">
        <f>'10years_f'!B868-'10years_f'!$G868</f>
        <v>7.2907916833308661E-2</v>
      </c>
      <c r="C327">
        <f>'10years_f'!C868-'10years_f'!$G868</f>
        <v>-6.4823901457711663E-2</v>
      </c>
      <c r="D327">
        <f>'10years_f'!D868-'10years_f'!$G868</f>
        <v>0.38653109870786473</v>
      </c>
      <c r="E327">
        <f>'10years_f'!E868-'10years_f'!$G868</f>
        <v>0.25060474835102386</v>
      </c>
      <c r="F327">
        <f>'10years_f'!F868-'10years_f'!$G868</f>
        <v>-8.0464417888482132E-2</v>
      </c>
      <c r="G327">
        <f>'10years_f'!H868-'10years_f'!$I868</f>
        <v>6.4847345821594793E-2</v>
      </c>
    </row>
    <row r="328" spans="1:7" x14ac:dyDescent="0.35">
      <c r="A328" s="1">
        <v>35885</v>
      </c>
      <c r="B328">
        <f>'10years_f'!B869-'10years_f'!$G869</f>
        <v>3.003949178147991E-2</v>
      </c>
      <c r="C328">
        <f>'10years_f'!C869-'10years_f'!$G869</f>
        <v>-0.10803873628949034</v>
      </c>
      <c r="D328">
        <f>'10years_f'!D869-'10years_f'!$G869</f>
        <v>0.33656044922857831</v>
      </c>
      <c r="E328">
        <f>'10years_f'!E869-'10years_f'!$G869</f>
        <v>0.2002491771642072</v>
      </c>
      <c r="F328">
        <f>'10years_f'!F869-'10years_f'!$G869</f>
        <v>-0.12430697690029646</v>
      </c>
      <c r="G328">
        <f>'10years_f'!H869-'10years_f'!$I869</f>
        <v>2.2074345768863246E-2</v>
      </c>
    </row>
    <row r="329" spans="1:7" x14ac:dyDescent="0.35">
      <c r="A329" s="1">
        <v>35915</v>
      </c>
      <c r="B329">
        <f>'10years_f'!B870-'10years_f'!$G870</f>
        <v>6.2406047787666674E-2</v>
      </c>
      <c r="C329">
        <f>'10years_f'!C870-'10years_f'!$G870</f>
        <v>-7.5759736100144748E-2</v>
      </c>
      <c r="D329">
        <f>'10years_f'!D870-'10years_f'!$G870</f>
        <v>0.37791861869886945</v>
      </c>
      <c r="E329">
        <f>'10years_f'!E870-'10years_f'!$G870</f>
        <v>0.24166253322077691</v>
      </c>
      <c r="F329">
        <f>'10years_f'!F870-'10years_f'!$G870</f>
        <v>-9.103158909449216E-2</v>
      </c>
      <c r="G329">
        <f>'10years_f'!H870-'10years_f'!$I870</f>
        <v>5.4406066565504396E-2</v>
      </c>
    </row>
    <row r="330" spans="1:7" x14ac:dyDescent="0.35">
      <c r="A330" s="1">
        <v>35944</v>
      </c>
      <c r="B330">
        <f>'10years_f'!B871-'10years_f'!$G871</f>
        <v>8.9922417113291075E-2</v>
      </c>
      <c r="C330">
        <f>'10years_f'!C871-'10years_f'!$G871</f>
        <v>-4.8855506154039219E-2</v>
      </c>
      <c r="D330">
        <f>'10years_f'!D871-'10years_f'!$G871</f>
        <v>0.42218490995883862</v>
      </c>
      <c r="E330">
        <f>'10years_f'!E871-'10years_f'!$G871</f>
        <v>0.28562234977142431</v>
      </c>
      <c r="F330">
        <f>'10years_f'!F871-'10years_f'!$G871</f>
        <v>-6.4482753681988747E-2</v>
      </c>
      <c r="G330">
        <f>'10years_f'!H871-'10years_f'!$I871</f>
        <v>8.1875119962737664E-2</v>
      </c>
    </row>
    <row r="331" spans="1:7" x14ac:dyDescent="0.35">
      <c r="A331" s="1">
        <v>35976</v>
      </c>
      <c r="B331">
        <f>'10years_f'!B872-'10years_f'!$G872</f>
        <v>-1.3950669632413204E-2</v>
      </c>
      <c r="C331">
        <f>'10years_f'!C872-'10years_f'!$G872</f>
        <v>-0.15321645896535618</v>
      </c>
      <c r="D331">
        <f>'10years_f'!D872-'10years_f'!$G872</f>
        <v>0.32827856741051042</v>
      </c>
      <c r="E331">
        <f>'10years_f'!E872-'10years_f'!$G872</f>
        <v>0.19139583244958014</v>
      </c>
      <c r="F331">
        <f>'10years_f'!F872-'10years_f'!$G872</f>
        <v>-0.16980698857707144</v>
      </c>
      <c r="G331">
        <f>'10years_f'!H872-'10years_f'!$I872</f>
        <v>-2.1731836920113601E-2</v>
      </c>
    </row>
    <row r="332" spans="1:7" x14ac:dyDescent="0.35">
      <c r="A332" s="1">
        <v>36007</v>
      </c>
      <c r="B332">
        <f>'10years_f'!B873-'10years_f'!$G873</f>
        <v>-9.5066158439744974E-3</v>
      </c>
      <c r="C332">
        <f>'10years_f'!C873-'10years_f'!$G873</f>
        <v>-0.14913430289435547</v>
      </c>
      <c r="D332">
        <f>'10years_f'!D873-'10years_f'!$G873</f>
        <v>0.36542556494275003</v>
      </c>
      <c r="E332">
        <f>'10years_f'!E873-'10years_f'!$G873</f>
        <v>0.22819621178443095</v>
      </c>
      <c r="F332">
        <f>'10years_f'!F873-'10years_f'!$G873</f>
        <v>-0.16624464768657043</v>
      </c>
      <c r="G332">
        <f>'10years_f'!H873-'10years_f'!$I873</f>
        <v>-1.7296052185811206E-2</v>
      </c>
    </row>
    <row r="333" spans="1:7" x14ac:dyDescent="0.35">
      <c r="A333" s="1">
        <v>36038</v>
      </c>
      <c r="B333">
        <f>'10years_f'!B874-'10years_f'!$G874</f>
        <v>0.13453485055432535</v>
      </c>
      <c r="C333">
        <f>'10years_f'!C874-'10years_f'!$G874</f>
        <v>-5.816527154255402E-3</v>
      </c>
      <c r="D333">
        <f>'10years_f'!D874-'10years_f'!$G874</f>
        <v>0.52625804451291835</v>
      </c>
      <c r="E333">
        <f>'10years_f'!E874-'10years_f'!$G874</f>
        <v>0.38894005573890778</v>
      </c>
      <c r="F333">
        <f>'10years_f'!F874-'10years_f'!$G874</f>
        <v>-2.2092536523853346E-2</v>
      </c>
      <c r="G333">
        <f>'10years_f'!H874-'10years_f'!$I874</f>
        <v>0.12640830069179376</v>
      </c>
    </row>
    <row r="334" spans="1:7" x14ac:dyDescent="0.35">
      <c r="A334" s="1">
        <v>36068</v>
      </c>
      <c r="B334">
        <f>'10years_f'!B875-'10years_f'!$G875</f>
        <v>1.112497884343866E-2</v>
      </c>
      <c r="C334">
        <f>'10years_f'!C875-'10years_f'!$G875</f>
        <v>-0.12948421725728854</v>
      </c>
      <c r="D334">
        <f>'10years_f'!D875-'10years_f'!$G875</f>
        <v>0.38799597959189636</v>
      </c>
      <c r="E334">
        <f>'10years_f'!E875-'10years_f'!$G875</f>
        <v>0.25048670196452849</v>
      </c>
      <c r="F334">
        <f>'10years_f'!F875-'10years_f'!$G875</f>
        <v>-0.14956477967424608</v>
      </c>
      <c r="G334">
        <f>'10years_f'!H875-'10years_f'!$I875</f>
        <v>3.3639704098309409E-3</v>
      </c>
    </row>
    <row r="335" spans="1:7" x14ac:dyDescent="0.35">
      <c r="A335" s="1">
        <v>36098</v>
      </c>
      <c r="B335">
        <f>'10years_f'!B876-'10years_f'!$G876</f>
        <v>-0.20359162298206424</v>
      </c>
      <c r="C335">
        <f>'10years_f'!C876-'10years_f'!$G876</f>
        <v>-0.3446266347366842</v>
      </c>
      <c r="D335">
        <f>'10years_f'!D876-'10years_f'!$G876</f>
        <v>0.12393929651184821</v>
      </c>
      <c r="E335">
        <f>'10years_f'!E876-'10years_f'!$G876</f>
        <v>-1.3630391471281866E-2</v>
      </c>
      <c r="F335">
        <f>'10years_f'!F876-'10years_f'!$G876</f>
        <v>-0.36652192745317369</v>
      </c>
      <c r="G335">
        <f>'10years_f'!H876-'10years_f'!$I876</f>
        <v>-0.21096078468895163</v>
      </c>
    </row>
    <row r="336" spans="1:7" x14ac:dyDescent="0.35">
      <c r="A336" s="1">
        <v>36129</v>
      </c>
      <c r="B336">
        <f>'10years_f'!B877-'10years_f'!$G877</f>
        <v>-0.31495257720458025</v>
      </c>
      <c r="C336">
        <f>'10years_f'!C877-'10years_f'!$G877</f>
        <v>-0.45736738444443481</v>
      </c>
      <c r="D336">
        <f>'10years_f'!D877-'10years_f'!$G877</f>
        <v>-6.3522916378400129E-3</v>
      </c>
      <c r="E336">
        <f>'10years_f'!E877-'10years_f'!$G877</f>
        <v>-0.14500401560884613</v>
      </c>
      <c r="F336">
        <f>'10years_f'!F877-'10years_f'!$G877</f>
        <v>-0.47651653709028241</v>
      </c>
      <c r="G336">
        <f>'10years_f'!H877-'10years_f'!$I877</f>
        <v>-0.32230260658879795</v>
      </c>
    </row>
    <row r="337" spans="1:7" x14ac:dyDescent="0.35">
      <c r="A337" s="1">
        <v>36160</v>
      </c>
      <c r="B337">
        <f>'10years_f'!B878-'10years_f'!$G878</f>
        <v>-0.34991263892451929</v>
      </c>
      <c r="C337">
        <f>'10years_f'!C878-'10years_f'!$G878</f>
        <v>-0.49359130349512048</v>
      </c>
      <c r="D337">
        <f>'10years_f'!D878-'10years_f'!$G878</f>
        <v>9.0531134019151693E-3</v>
      </c>
      <c r="E337">
        <f>'10years_f'!E878-'10years_f'!$G878</f>
        <v>-0.13104880524707863</v>
      </c>
      <c r="F337">
        <f>'10years_f'!F878-'10years_f'!$G878</f>
        <v>-0.51225823732830955</v>
      </c>
      <c r="G337">
        <f>'10years_f'!H878-'10years_f'!$I878</f>
        <v>-0.35742224820108914</v>
      </c>
    </row>
    <row r="338" spans="1:7" x14ac:dyDescent="0.35">
      <c r="A338" s="1">
        <v>36189</v>
      </c>
      <c r="B338">
        <f>'10years_f'!B879-'10years_f'!$G879</f>
        <v>-0.45339974239791236</v>
      </c>
      <c r="C338">
        <f>'10years_f'!C879-'10years_f'!$G879</f>
        <v>-0.59757779702538749</v>
      </c>
      <c r="D338">
        <f>'10years_f'!D879-'10years_f'!$G879</f>
        <v>-6.5013448228505188E-2</v>
      </c>
      <c r="E338">
        <f>'10years_f'!E879-'10years_f'!$G879</f>
        <v>-0.20513053718497587</v>
      </c>
      <c r="F338">
        <f>'10years_f'!F879-'10years_f'!$G879</f>
        <v>-0.61690263101721698</v>
      </c>
      <c r="G338">
        <f>'10years_f'!H879-'10years_f'!$I879</f>
        <v>-0.4609070332253884</v>
      </c>
    </row>
    <row r="339" spans="1:7" x14ac:dyDescent="0.35">
      <c r="A339" s="1">
        <v>36217</v>
      </c>
      <c r="B339">
        <f>'10years_f'!B880-'10years_f'!$G880</f>
        <v>-0.51430798096323493</v>
      </c>
      <c r="C339">
        <f>'10years_f'!C880-'10years_f'!$G880</f>
        <v>-0.66088486801573132</v>
      </c>
      <c r="D339">
        <f>'10years_f'!D880-'10years_f'!$G880</f>
        <v>-0.14944717692901777</v>
      </c>
      <c r="E339">
        <f>'10years_f'!E880-'10years_f'!$G880</f>
        <v>-0.29071532817126422</v>
      </c>
      <c r="F339">
        <f>'10years_f'!F880-'10years_f'!$G880</f>
        <v>-0.6832999173003389</v>
      </c>
      <c r="G339">
        <f>'10years_f'!H880-'10years_f'!$I880</f>
        <v>-0.52186084963947721</v>
      </c>
    </row>
    <row r="340" spans="1:7" x14ac:dyDescent="0.35">
      <c r="A340" s="1">
        <v>36250</v>
      </c>
      <c r="B340">
        <f>'10years_f'!B881-'10years_f'!$G881</f>
        <v>-0.47274963545048898</v>
      </c>
      <c r="C340">
        <f>'10years_f'!C881-'10years_f'!$G881</f>
        <v>-0.62107962054847254</v>
      </c>
      <c r="D340">
        <f>'10years_f'!D881-'10years_f'!$G881</f>
        <v>-7.7313156123794968E-2</v>
      </c>
      <c r="E340">
        <f>'10years_f'!E881-'10years_f'!$G881</f>
        <v>-0.22016870639759656</v>
      </c>
      <c r="F340">
        <f>'10years_f'!F881-'10years_f'!$G881</f>
        <v>-0.64336103749947027</v>
      </c>
      <c r="G340">
        <f>'10years_f'!H881-'10years_f'!$I881</f>
        <v>-0.48049296054114565</v>
      </c>
    </row>
    <row r="341" spans="1:7" x14ac:dyDescent="0.35">
      <c r="A341" s="1">
        <v>36280</v>
      </c>
      <c r="B341">
        <f>'10years_f'!B882-'10years_f'!$G882</f>
        <v>-0.42536176379744917</v>
      </c>
      <c r="C341">
        <f>'10years_f'!C882-'10years_f'!$G882</f>
        <v>-0.57440264070841551</v>
      </c>
      <c r="D341">
        <f>'10years_f'!D882-'10years_f'!$G882</f>
        <v>-9.769673237314036E-3</v>
      </c>
      <c r="E341">
        <f>'10years_f'!E882-'10years_f'!$G882</f>
        <v>-0.15288399449953061</v>
      </c>
      <c r="F341">
        <f>'10years_f'!F882-'10years_f'!$G882</f>
        <v>-0.59658835208740135</v>
      </c>
      <c r="G341">
        <f>'10years_f'!H882-'10years_f'!$I882</f>
        <v>-0.43338528187943925</v>
      </c>
    </row>
    <row r="342" spans="1:7" x14ac:dyDescent="0.35">
      <c r="A342" s="1">
        <v>36308</v>
      </c>
      <c r="B342">
        <f>'10years_f'!B883-'10years_f'!$G883</f>
        <v>-0.35857104428416631</v>
      </c>
      <c r="C342">
        <f>'10years_f'!C883-'10years_f'!$G883</f>
        <v>-0.50848478833594357</v>
      </c>
      <c r="D342">
        <f>'10years_f'!D883-'10years_f'!$G883</f>
        <v>4.4828832707217492E-2</v>
      </c>
      <c r="E342">
        <f>'10years_f'!E883-'10years_f'!$G883</f>
        <v>-9.8623383791856201E-2</v>
      </c>
      <c r="F342">
        <f>'10years_f'!F883-'10years_f'!$G883</f>
        <v>-0.5295943094240354</v>
      </c>
      <c r="G342">
        <f>'10years_f'!H883-'10years_f'!$I883</f>
        <v>-0.36692188023015326</v>
      </c>
    </row>
    <row r="343" spans="1:7" x14ac:dyDescent="0.35">
      <c r="A343" s="1">
        <v>36341</v>
      </c>
      <c r="B343">
        <f>'10years_f'!B884-'10years_f'!$G884</f>
        <v>-0.39724989005621891</v>
      </c>
      <c r="C343">
        <f>'10years_f'!C884-'10years_f'!$G884</f>
        <v>-0.54777592990306223</v>
      </c>
      <c r="D343">
        <f>'10years_f'!D884-'10years_f'!$G884</f>
        <v>1.0529224466025333E-2</v>
      </c>
      <c r="E343">
        <f>'10years_f'!E884-'10years_f'!$G884</f>
        <v>-0.13342226295192283</v>
      </c>
      <c r="F343">
        <f>'10years_f'!F884-'10years_f'!$G884</f>
        <v>-0.57009782663919495</v>
      </c>
      <c r="G343">
        <f>'10years_f'!H884-'10years_f'!$I884</f>
        <v>-0.40561015808425749</v>
      </c>
    </row>
    <row r="344" spans="1:7" x14ac:dyDescent="0.35">
      <c r="A344" s="1">
        <v>36371</v>
      </c>
      <c r="B344">
        <f>'10years_f'!B885-'10years_f'!$G885</f>
        <v>-0.30870118596126872</v>
      </c>
      <c r="C344">
        <f>'10years_f'!C885-'10years_f'!$G885</f>
        <v>-0.45968412233660105</v>
      </c>
      <c r="D344">
        <f>'10years_f'!D885-'10years_f'!$G885</f>
        <v>0.11817064631636232</v>
      </c>
      <c r="E344">
        <f>'10years_f'!E885-'10years_f'!$G885</f>
        <v>-2.5826401203410398E-2</v>
      </c>
      <c r="F344">
        <f>'10years_f'!F885-'10years_f'!$G885</f>
        <v>-0.48039327029774093</v>
      </c>
      <c r="G344">
        <f>'10years_f'!H885-'10years_f'!$I885</f>
        <v>-0.317390448927235</v>
      </c>
    </row>
    <row r="345" spans="1:7" x14ac:dyDescent="0.35">
      <c r="A345" s="1">
        <v>36403</v>
      </c>
      <c r="B345">
        <f>'10years_f'!B886-'10years_f'!$G886</f>
        <v>-0.27279470363019787</v>
      </c>
      <c r="C345">
        <f>'10years_f'!C886-'10years_f'!$G886</f>
        <v>-0.42479258738030801</v>
      </c>
      <c r="D345">
        <f>'10years_f'!D886-'10years_f'!$G886</f>
        <v>0.18728620016019626</v>
      </c>
      <c r="E345">
        <f>'10years_f'!E886-'10years_f'!$G886</f>
        <v>4.2959109412498364E-2</v>
      </c>
      <c r="F345">
        <f>'10years_f'!F886-'10years_f'!$G886</f>
        <v>-0.44445519603066952</v>
      </c>
      <c r="G345">
        <f>'10years_f'!H886-'10years_f'!$I886</f>
        <v>-0.28166715492060623</v>
      </c>
    </row>
    <row r="346" spans="1:7" x14ac:dyDescent="0.35">
      <c r="A346" s="1">
        <v>36433</v>
      </c>
      <c r="B346">
        <f>'10years_f'!B887-'10years_f'!$G887</f>
        <v>-0.21589800120475799</v>
      </c>
      <c r="C346">
        <f>'10years_f'!C887-'10years_f'!$G887</f>
        <v>-0.36821835556490501</v>
      </c>
      <c r="D346">
        <f>'10years_f'!D887-'10years_f'!$G887</f>
        <v>0.26706430718559759</v>
      </c>
      <c r="E346">
        <f>'10years_f'!E887-'10years_f'!$G887</f>
        <v>0.1225400365701772</v>
      </c>
      <c r="F346">
        <f>'10years_f'!F887-'10years_f'!$G887</f>
        <v>-0.38789680813701888</v>
      </c>
      <c r="G346">
        <f>'10years_f'!H887-'10years_f'!$I887</f>
        <v>-0.22499617310711706</v>
      </c>
    </row>
    <row r="347" spans="1:7" x14ac:dyDescent="0.35">
      <c r="A347" s="1">
        <v>36462</v>
      </c>
      <c r="B347">
        <f>'10years_f'!B888-'10years_f'!$G888</f>
        <v>-0.27975974734317544</v>
      </c>
      <c r="C347">
        <f>'10years_f'!C888-'10years_f'!$G888</f>
        <v>-0.4324264745762727</v>
      </c>
      <c r="D347">
        <f>'10years_f'!D888-'10years_f'!$G888</f>
        <v>0.21554196673631254</v>
      </c>
      <c r="E347">
        <f>'10years_f'!E888-'10years_f'!$G888</f>
        <v>7.1237958638939114E-2</v>
      </c>
      <c r="F347">
        <f>'10years_f'!F888-'10years_f'!$G888</f>
        <v>-0.45158840400722799</v>
      </c>
      <c r="G347">
        <f>'10years_f'!H888-'10years_f'!$I888</f>
        <v>-0.28883157217175492</v>
      </c>
    </row>
    <row r="348" spans="1:7" x14ac:dyDescent="0.35">
      <c r="A348" s="1">
        <v>36494</v>
      </c>
      <c r="B348">
        <f>'10years_f'!B889-'10years_f'!$G889</f>
        <v>-0.24505568103831621</v>
      </c>
      <c r="C348">
        <f>'10years_f'!C889-'10years_f'!$G889</f>
        <v>-0.39881273631327741</v>
      </c>
      <c r="D348">
        <f>'10years_f'!D889-'10years_f'!$G889</f>
        <v>0.26455226584584457</v>
      </c>
      <c r="E348">
        <f>'10years_f'!E889-'10years_f'!$G889</f>
        <v>0.1197313869414276</v>
      </c>
      <c r="F348">
        <f>'10years_f'!F889-'10years_f'!$G889</f>
        <v>-0.41777590390180341</v>
      </c>
      <c r="G348">
        <f>'10years_f'!H889-'10years_f'!$I889</f>
        <v>-0.25432640169917864</v>
      </c>
    </row>
    <row r="349" spans="1:7" x14ac:dyDescent="0.35">
      <c r="A349" s="1">
        <v>36525</v>
      </c>
      <c r="B349">
        <f>'10years_f'!B890-'10years_f'!$G890</f>
        <v>-0.27635088613748482</v>
      </c>
      <c r="C349">
        <f>'10years_f'!C890-'10years_f'!$G890</f>
        <v>-0.43058479089984236</v>
      </c>
      <c r="D349">
        <f>'10years_f'!D890-'10years_f'!$G890</f>
        <v>0.27137071656910083</v>
      </c>
      <c r="E349">
        <f>'10years_f'!E890-'10years_f'!$G890</f>
        <v>0.12648001345704585</v>
      </c>
      <c r="F349">
        <f>'10years_f'!F890-'10years_f'!$G890</f>
        <v>-0.4462871510458728</v>
      </c>
      <c r="G349">
        <f>'10years_f'!H890-'10years_f'!$I890</f>
        <v>-0.28557783228909672</v>
      </c>
    </row>
    <row r="350" spans="1:7" x14ac:dyDescent="0.35">
      <c r="A350" s="1">
        <v>36556</v>
      </c>
      <c r="B350">
        <f>'10years_f'!B891-'10years_f'!$G891</f>
        <v>-0.26079677754875186</v>
      </c>
      <c r="C350">
        <f>'10years_f'!C891-'10years_f'!$G891</f>
        <v>-0.41535514408984286</v>
      </c>
      <c r="D350">
        <f>'10years_f'!D891-'10years_f'!$G891</f>
        <v>0.29788806025406234</v>
      </c>
      <c r="E350">
        <f>'10years_f'!E891-'10years_f'!$G891</f>
        <v>0.15320904747304964</v>
      </c>
      <c r="F350">
        <f>'10years_f'!F891-'10years_f'!$G891</f>
        <v>-0.43069347255976997</v>
      </c>
      <c r="G350">
        <f>'10years_f'!H891-'10years_f'!$I891</f>
        <v>-0.27012294480548427</v>
      </c>
    </row>
    <row r="351" spans="1:7" x14ac:dyDescent="0.35">
      <c r="A351" s="1">
        <v>36585</v>
      </c>
      <c r="B351">
        <f>'10years_f'!B892-'10years_f'!$G892</f>
        <v>-0.21754483924377332</v>
      </c>
      <c r="C351">
        <f>'10years_f'!C892-'10years_f'!$G892</f>
        <v>-0.37308912900610602</v>
      </c>
      <c r="D351">
        <f>'10years_f'!D892-'10years_f'!$G892</f>
        <v>0.37573587427124755</v>
      </c>
      <c r="E351">
        <f>'10years_f'!E892-'10years_f'!$G892</f>
        <v>0.23104577313966379</v>
      </c>
      <c r="F351">
        <f>'10years_f'!F892-'10years_f'!$G892</f>
        <v>-0.38680566311141851</v>
      </c>
      <c r="G351">
        <f>'10years_f'!H892-'10years_f'!$I892</f>
        <v>-0.22699798343458477</v>
      </c>
    </row>
    <row r="352" spans="1:7" x14ac:dyDescent="0.35">
      <c r="A352" s="1">
        <v>36616</v>
      </c>
      <c r="B352">
        <f>'10years_f'!B893-'10years_f'!$G893</f>
        <v>-0.24268574987258051</v>
      </c>
      <c r="C352">
        <f>'10years_f'!C893-'10years_f'!$G893</f>
        <v>-0.39862697951894188</v>
      </c>
      <c r="D352">
        <f>'10years_f'!D893-'10years_f'!$G893</f>
        <v>0.34959265559408137</v>
      </c>
      <c r="E352">
        <f>'10years_f'!E893-'10years_f'!$G893</f>
        <v>0.20498612408376515</v>
      </c>
      <c r="F352">
        <f>'10years_f'!F893-'10years_f'!$G893</f>
        <v>-0.41229834401838761</v>
      </c>
      <c r="G352">
        <f>'10years_f'!H893-'10years_f'!$I893</f>
        <v>-0.25204409692902718</v>
      </c>
    </row>
    <row r="353" spans="1:7" x14ac:dyDescent="0.35">
      <c r="A353" s="1">
        <v>36644</v>
      </c>
      <c r="B353">
        <f>'10years_f'!B894-'10years_f'!$G894</f>
        <v>-0.1990426779047092</v>
      </c>
      <c r="C353">
        <f>'10years_f'!C894-'10years_f'!$G894</f>
        <v>-0.35525884623060477</v>
      </c>
      <c r="D353">
        <f>'10years_f'!D894-'10years_f'!$G894</f>
        <v>0.36973299857146502</v>
      </c>
      <c r="E353">
        <f>'10years_f'!E894-'10years_f'!$G894</f>
        <v>0.22539671094040115</v>
      </c>
      <c r="F353">
        <f>'10years_f'!F894-'10years_f'!$G894</f>
        <v>-0.3703968282808443</v>
      </c>
      <c r="G353">
        <f>'10years_f'!H894-'10years_f'!$I894</f>
        <v>-0.20843478225439638</v>
      </c>
    </row>
    <row r="354" spans="1:7" x14ac:dyDescent="0.35">
      <c r="A354" s="1">
        <v>36677</v>
      </c>
      <c r="B354">
        <f>'10years_f'!B895-'10years_f'!$G895</f>
        <v>-0.24586379396049907</v>
      </c>
      <c r="C354">
        <f>'10years_f'!C895-'10years_f'!$G895</f>
        <v>-0.40289791829293264</v>
      </c>
      <c r="D354">
        <f>'10years_f'!D895-'10years_f'!$G895</f>
        <v>0.29590473244628379</v>
      </c>
      <c r="E354">
        <f>'10years_f'!E895-'10years_f'!$G895</f>
        <v>0.15192134823677206</v>
      </c>
      <c r="F354">
        <f>'10years_f'!F895-'10years_f'!$G895</f>
        <v>-0.41914921624465196</v>
      </c>
      <c r="G354">
        <f>'10years_f'!H895-'10years_f'!$I895</f>
        <v>-0.25504137677028194</v>
      </c>
    </row>
    <row r="355" spans="1:7" x14ac:dyDescent="0.35">
      <c r="A355" s="1">
        <v>36707</v>
      </c>
      <c r="B355">
        <f>'10years_f'!B896-'10years_f'!$G896</f>
        <v>-0.30996299548583983</v>
      </c>
      <c r="C355">
        <f>'10years_f'!C896-'10years_f'!$G896</f>
        <v>-0.4677036878388543</v>
      </c>
      <c r="D355">
        <f>'10years_f'!D896-'10years_f'!$G896</f>
        <v>0.26229108149698566</v>
      </c>
      <c r="E355">
        <f>'10years_f'!E896-'10years_f'!$G896</f>
        <v>0.11806825149723399</v>
      </c>
      <c r="F355">
        <f>'10years_f'!F896-'10years_f'!$G896</f>
        <v>-0.48159287890649405</v>
      </c>
      <c r="G355">
        <f>'10years_f'!H896-'10years_f'!$I896</f>
        <v>-0.31903577493760382</v>
      </c>
    </row>
    <row r="356" spans="1:7" x14ac:dyDescent="0.35">
      <c r="A356" s="1">
        <v>36738</v>
      </c>
      <c r="B356">
        <f>'10years_f'!B897-'10years_f'!$G897</f>
        <v>-0.23875443145059383</v>
      </c>
      <c r="C356">
        <f>'10years_f'!C897-'10years_f'!$G897</f>
        <v>-0.39738143435132911</v>
      </c>
      <c r="D356">
        <f>'10years_f'!D897-'10years_f'!$G897</f>
        <v>0.32233816440298013</v>
      </c>
      <c r="E356">
        <f>'10years_f'!E897-'10years_f'!$G897</f>
        <v>0.17710899745121433</v>
      </c>
      <c r="F356">
        <f>'10years_f'!F897-'10years_f'!$G897</f>
        <v>-0.40880858917634577</v>
      </c>
      <c r="G356">
        <f>'10years_f'!H897-'10years_f'!$I897</f>
        <v>-0.24785092587544799</v>
      </c>
    </row>
    <row r="357" spans="1:7" x14ac:dyDescent="0.35">
      <c r="A357" s="1">
        <v>36769</v>
      </c>
      <c r="B357">
        <f>'10years_f'!B898-'10years_f'!$G898</f>
        <v>-0.32409551393141522</v>
      </c>
      <c r="C357">
        <f>'10years_f'!C898-'10years_f'!$G898</f>
        <v>-0.48364571950993329</v>
      </c>
      <c r="D357">
        <f>'10years_f'!D898-'10years_f'!$G898</f>
        <v>0.22494439355456675</v>
      </c>
      <c r="E357">
        <f>'10years_f'!E898-'10years_f'!$G898</f>
        <v>8.0011099035288469E-2</v>
      </c>
      <c r="F357">
        <f>'10years_f'!F898-'10years_f'!$G898</f>
        <v>-0.49427044729888814</v>
      </c>
      <c r="G357">
        <f>'10years_f'!H898-'10years_f'!$I898</f>
        <v>-0.33286248920787465</v>
      </c>
    </row>
    <row r="358" spans="1:7" x14ac:dyDescent="0.35">
      <c r="A358" s="1">
        <v>36798</v>
      </c>
      <c r="B358">
        <f>'10years_f'!B899-'10years_f'!$G899</f>
        <v>-0.20352959855147956</v>
      </c>
      <c r="C358">
        <f>'10years_f'!C899-'10years_f'!$G899</f>
        <v>-0.36389138420011236</v>
      </c>
      <c r="D358">
        <f>'10years_f'!D899-'10years_f'!$G899</f>
        <v>0.32362241908481026</v>
      </c>
      <c r="E358">
        <f>'10years_f'!E899-'10years_f'!$G899</f>
        <v>0.17839202956764</v>
      </c>
      <c r="F358">
        <f>'10years_f'!F899-'10years_f'!$G899</f>
        <v>-0.37484133065806224</v>
      </c>
      <c r="G358">
        <f>'10years_f'!H899-'10years_f'!$I899</f>
        <v>-0.21234489113211019</v>
      </c>
    </row>
    <row r="359" spans="1:7" x14ac:dyDescent="0.35">
      <c r="A359" s="1">
        <v>36830</v>
      </c>
      <c r="B359">
        <f>'10years_f'!B900-'10years_f'!$G900</f>
        <v>-0.16414875414576091</v>
      </c>
      <c r="C359">
        <f>'10years_f'!C900-'10years_f'!$G900</f>
        <v>-0.32529306257681023</v>
      </c>
      <c r="D359">
        <f>'10years_f'!D900-'10years_f'!$G900</f>
        <v>0.33999427144369321</v>
      </c>
      <c r="E359">
        <f>'10years_f'!E900-'10years_f'!$G900</f>
        <v>0.19435972526007816</v>
      </c>
      <c r="F359">
        <f>'10years_f'!F900-'10years_f'!$G900</f>
        <v>-0.33632697164833303</v>
      </c>
      <c r="G359">
        <f>'10years_f'!H900-'10years_f'!$I900</f>
        <v>-0.17273707988531006</v>
      </c>
    </row>
    <row r="360" spans="1:7" x14ac:dyDescent="0.35">
      <c r="A360" s="1">
        <v>36860</v>
      </c>
      <c r="B360">
        <f>'10years_f'!B901-'10years_f'!$G901</f>
        <v>-9.2296346620760028E-2</v>
      </c>
      <c r="C360">
        <f>'10years_f'!C901-'10years_f'!$G901</f>
        <v>-0.25448589243572139</v>
      </c>
      <c r="D360">
        <f>'10years_f'!D901-'10years_f'!$G901</f>
        <v>0.38976065902202861</v>
      </c>
      <c r="E360">
        <f>'10years_f'!E901-'10years_f'!$G901</f>
        <v>0.2440921538949119</v>
      </c>
      <c r="F360">
        <f>'10years_f'!F901-'10years_f'!$G901</f>
        <v>-0.26482940845194158</v>
      </c>
      <c r="G360">
        <f>'10years_f'!H901-'10years_f'!$I901</f>
        <v>-0.10080335498569015</v>
      </c>
    </row>
    <row r="361" spans="1:7" x14ac:dyDescent="0.35">
      <c r="A361" s="1">
        <v>36889</v>
      </c>
      <c r="B361">
        <f>'10years_f'!B902-'10years_f'!$G902</f>
        <v>-3.904533739400029E-2</v>
      </c>
      <c r="C361">
        <f>'10years_f'!C902-'10years_f'!$G902</f>
        <v>-0.20201347220494825</v>
      </c>
      <c r="D361">
        <f>'10years_f'!D902-'10years_f'!$G902</f>
        <v>0.39784545339665578</v>
      </c>
      <c r="E361">
        <f>'10years_f'!E902-'10years_f'!$G902</f>
        <v>0.25143149828515399</v>
      </c>
      <c r="F361">
        <f>'10years_f'!F902-'10years_f'!$G902</f>
        <v>-0.21165206845359941</v>
      </c>
      <c r="G361">
        <f>'10years_f'!H902-'10years_f'!$I902</f>
        <v>-4.7440835204015652E-2</v>
      </c>
    </row>
    <row r="362" spans="1:7" x14ac:dyDescent="0.35">
      <c r="A362" s="1">
        <v>36922</v>
      </c>
      <c r="B362">
        <f>'10years_f'!B903-'10years_f'!$G903</f>
        <v>-4.226043269173263E-2</v>
      </c>
      <c r="C362">
        <f>'10years_f'!C903-'10years_f'!$G903</f>
        <v>-0.20539600368315658</v>
      </c>
      <c r="D362">
        <f>'10years_f'!D903-'10years_f'!$G903</f>
        <v>0.37653328809805697</v>
      </c>
      <c r="E362">
        <f>'10years_f'!E903-'10years_f'!$G903</f>
        <v>0.23017632874204819</v>
      </c>
      <c r="F362">
        <f>'10years_f'!F903-'10years_f'!$G903</f>
        <v>-0.21725233635080454</v>
      </c>
      <c r="G362">
        <f>'10years_f'!H903-'10years_f'!$I903</f>
        <v>-5.0348637765162962E-2</v>
      </c>
    </row>
    <row r="363" spans="1:7" x14ac:dyDescent="0.35">
      <c r="A363" s="1">
        <v>36950</v>
      </c>
      <c r="B363">
        <f>'10years_f'!B904-'10years_f'!$G904</f>
        <v>6.7083552465793339E-2</v>
      </c>
      <c r="C363">
        <f>'10years_f'!C904-'10years_f'!$G904</f>
        <v>-9.6967843505094464E-2</v>
      </c>
      <c r="D363">
        <f>'10years_f'!D904-'10years_f'!$G904</f>
        <v>0.45170373475185954</v>
      </c>
      <c r="E363">
        <f>'10years_f'!E904-'10years_f'!$G904</f>
        <v>0.30525498958947317</v>
      </c>
      <c r="F363">
        <f>'10years_f'!F904-'10years_f'!$G904</f>
        <v>-0.10731016523956338</v>
      </c>
      <c r="G363">
        <f>'10years_f'!H904-'10years_f'!$I904</f>
        <v>5.8835694127201688E-2</v>
      </c>
    </row>
    <row r="364" spans="1:7" x14ac:dyDescent="0.35">
      <c r="A364" s="1">
        <v>36980</v>
      </c>
      <c r="B364">
        <f>'10years_f'!B905-'10years_f'!$G905</f>
        <v>0.12590257038960995</v>
      </c>
      <c r="C364">
        <f>'10years_f'!C905-'10years_f'!$G905</f>
        <v>-3.8699251148269775E-2</v>
      </c>
      <c r="D364">
        <f>'10years_f'!D905-'10years_f'!$G905</f>
        <v>0.50539766903075711</v>
      </c>
      <c r="E364">
        <f>'10years_f'!E905-'10years_f'!$G905</f>
        <v>0.3586133421768023</v>
      </c>
      <c r="F364">
        <f>'10years_f'!F905-'10years_f'!$G905</f>
        <v>-4.9538187844225812E-2</v>
      </c>
      <c r="G364">
        <f>'10years_f'!H905-'10years_f'!$I905</f>
        <v>0.11765145050313119</v>
      </c>
    </row>
    <row r="365" spans="1:7" x14ac:dyDescent="0.35">
      <c r="A365" s="1">
        <v>37011</v>
      </c>
      <c r="B365">
        <f>'10years_f'!B906-'10years_f'!$G906</f>
        <v>9.0707536453253024E-2</v>
      </c>
      <c r="C365">
        <f>'10years_f'!C906-'10years_f'!$G906</f>
        <v>-7.4056606033442218E-2</v>
      </c>
      <c r="D365">
        <f>'10years_f'!D906-'10years_f'!$G906</f>
        <v>0.46649199085481508</v>
      </c>
      <c r="E365">
        <f>'10years_f'!E906-'10years_f'!$G906</f>
        <v>0.31966348717990334</v>
      </c>
      <c r="F365">
        <f>'10years_f'!F906-'10years_f'!$G906</f>
        <v>-8.4650955605088729E-2</v>
      </c>
      <c r="G365">
        <f>'10years_f'!H906-'10years_f'!$I906</f>
        <v>8.2591705668855209E-2</v>
      </c>
    </row>
    <row r="366" spans="1:7" x14ac:dyDescent="0.35">
      <c r="A366" s="1">
        <v>37042</v>
      </c>
      <c r="B366">
        <f>'10years_f'!B907-'10years_f'!$G907</f>
        <v>7.8168437278088865E-2</v>
      </c>
      <c r="C366">
        <f>'10years_f'!C907-'10years_f'!$G907</f>
        <v>-8.7210905200755251E-2</v>
      </c>
      <c r="D366">
        <f>'10years_f'!D907-'10years_f'!$G907</f>
        <v>0.44978510965779317</v>
      </c>
      <c r="E366">
        <f>'10years_f'!E907-'10years_f'!$G907</f>
        <v>0.30285713180050133</v>
      </c>
      <c r="F366">
        <f>'10years_f'!F907-'10years_f'!$G907</f>
        <v>-9.754448911469038E-2</v>
      </c>
      <c r="G366">
        <f>'10years_f'!H907-'10years_f'!$I907</f>
        <v>7.0070524096277342E-2</v>
      </c>
    </row>
    <row r="367" spans="1:7" x14ac:dyDescent="0.35">
      <c r="A367" s="1">
        <v>37071</v>
      </c>
      <c r="B367">
        <f>'10years_f'!B908-'10years_f'!$G908</f>
        <v>8.7330120688329238E-2</v>
      </c>
      <c r="C367">
        <f>'10years_f'!C908-'10years_f'!$G908</f>
        <v>-7.8805347575343632E-2</v>
      </c>
      <c r="D367">
        <f>'10years_f'!D908-'10years_f'!$G908</f>
        <v>0.44934694753879345</v>
      </c>
      <c r="E367">
        <f>'10years_f'!E908-'10years_f'!$G908</f>
        <v>0.30190228009862707</v>
      </c>
      <c r="F367">
        <f>'10years_f'!F908-'10years_f'!$G908</f>
        <v>-8.9421751166467445E-2</v>
      </c>
      <c r="G367">
        <f>'10years_f'!H908-'10years_f'!$I908</f>
        <v>7.9176206029141216E-2</v>
      </c>
    </row>
    <row r="368" spans="1:7" x14ac:dyDescent="0.35">
      <c r="A368" s="1">
        <v>37103</v>
      </c>
      <c r="B368">
        <f>'10years_f'!B909-'10years_f'!$G909</f>
        <v>8.0937427801335504E-2</v>
      </c>
      <c r="C368">
        <f>'10years_f'!C909-'10years_f'!$G909</f>
        <v>-8.538160228421332E-2</v>
      </c>
      <c r="D368">
        <f>'10years_f'!D909-'10years_f'!$G909</f>
        <v>0.42944069866899715</v>
      </c>
      <c r="E368">
        <f>'10years_f'!E909-'10years_f'!$G909</f>
        <v>0.28197124229554693</v>
      </c>
      <c r="F368">
        <f>'10years_f'!F909-'10years_f'!$G909</f>
        <v>-9.5974616572442661E-2</v>
      </c>
      <c r="G368">
        <f>'10years_f'!H909-'10years_f'!$I909</f>
        <v>7.2776671549878991E-2</v>
      </c>
    </row>
    <row r="369" spans="1:7" x14ac:dyDescent="0.35">
      <c r="A369" s="1">
        <v>37134</v>
      </c>
      <c r="B369">
        <f>'10years_f'!B910-'10years_f'!$G910</f>
        <v>9.1514479064190857E-2</v>
      </c>
      <c r="C369">
        <f>'10years_f'!C910-'10years_f'!$G910</f>
        <v>-7.5612769524703305E-2</v>
      </c>
      <c r="D369">
        <f>'10years_f'!D910-'10years_f'!$G910</f>
        <v>0.41438484797762132</v>
      </c>
      <c r="E369">
        <f>'10years_f'!E910-'10years_f'!$G910</f>
        <v>0.2666567894604277</v>
      </c>
      <c r="F369">
        <f>'10years_f'!F910-'10years_f'!$G910</f>
        <v>-8.6991424242667259E-2</v>
      </c>
      <c r="G369">
        <f>'10years_f'!H910-'10years_f'!$I910</f>
        <v>8.3340711882706753E-2</v>
      </c>
    </row>
    <row r="370" spans="1:7" x14ac:dyDescent="0.35">
      <c r="A370" s="1">
        <v>37162</v>
      </c>
      <c r="B370">
        <f>'10years_f'!B911-'10years_f'!$G911</f>
        <v>0.10301769711491326</v>
      </c>
      <c r="C370">
        <f>'10years_f'!C911-'10years_f'!$G911</f>
        <v>-6.4573092769706353E-2</v>
      </c>
      <c r="D370">
        <f>'10years_f'!D911-'10years_f'!$G911</f>
        <v>0.44847067650697126</v>
      </c>
      <c r="E370">
        <f>'10years_f'!E911-'10years_f'!$G911</f>
        <v>0.30017204201995051</v>
      </c>
      <c r="F370">
        <f>'10years_f'!F911-'10years_f'!$G911</f>
        <v>-7.5636550478110909E-2</v>
      </c>
      <c r="G370">
        <f>'10years_f'!H911-'10years_f'!$I911</f>
        <v>9.4797680375824367E-2</v>
      </c>
    </row>
    <row r="371" spans="1:7" x14ac:dyDescent="0.35">
      <c r="A371" s="1">
        <v>37195</v>
      </c>
      <c r="B371">
        <f>'10years_f'!B912-'10years_f'!$G912</f>
        <v>0.17521210208484539</v>
      </c>
      <c r="C371">
        <f>'10years_f'!C912-'10years_f'!$G912</f>
        <v>7.2184219169793007E-3</v>
      </c>
      <c r="D371">
        <f>'10years_f'!D912-'10years_f'!$G912</f>
        <v>0.52155656691042185</v>
      </c>
      <c r="E371">
        <f>'10years_f'!E912-'10years_f'!$G912</f>
        <v>0.37306804337755817</v>
      </c>
      <c r="F371">
        <f>'10years_f'!F912-'10years_f'!$G912</f>
        <v>-3.3591291181498395E-3</v>
      </c>
      <c r="G371">
        <f>'10years_f'!H912-'10years_f'!$I912</f>
        <v>0.16678072981719527</v>
      </c>
    </row>
    <row r="372" spans="1:7" x14ac:dyDescent="0.35">
      <c r="A372" s="1">
        <v>37225</v>
      </c>
      <c r="B372">
        <f>'10years_f'!B913-'10years_f'!$G913</f>
        <v>0.11104656362720111</v>
      </c>
      <c r="C372">
        <f>'10years_f'!C913-'10years_f'!$G913</f>
        <v>-5.8020937692240926E-2</v>
      </c>
      <c r="D372">
        <f>'10years_f'!D913-'10years_f'!$G913</f>
        <v>0.43586462627283873</v>
      </c>
      <c r="E372">
        <f>'10years_f'!E913-'10years_f'!$G913</f>
        <v>0.28668242073180683</v>
      </c>
      <c r="F372">
        <f>'10years_f'!F913-'10years_f'!$G913</f>
        <v>-6.6564011066230888E-2</v>
      </c>
      <c r="G372">
        <f>'10years_f'!H913-'10years_f'!$I913</f>
        <v>0.10266660893327728</v>
      </c>
    </row>
    <row r="373" spans="1:7" x14ac:dyDescent="0.35">
      <c r="A373" s="1">
        <v>37256</v>
      </c>
      <c r="B373">
        <f>'10years_f'!B914-'10years_f'!$G914</f>
        <v>0.11268679496720146</v>
      </c>
      <c r="C373">
        <f>'10years_f'!C914-'10years_f'!$G914</f>
        <v>-5.6887277653391521E-2</v>
      </c>
      <c r="D373">
        <f>'10years_f'!D914-'10years_f'!$G914</f>
        <v>0.41292242514855726</v>
      </c>
      <c r="E373">
        <f>'10years_f'!E914-'10years_f'!$G914</f>
        <v>0.26314889135445085</v>
      </c>
      <c r="F373">
        <f>'10years_f'!F914-'10years_f'!$G914</f>
        <v>-6.444164883171144E-2</v>
      </c>
      <c r="G373">
        <f>'10years_f'!H914-'10years_f'!$I914</f>
        <v>0.10422488264834051</v>
      </c>
    </row>
    <row r="374" spans="1:7" x14ac:dyDescent="0.35">
      <c r="A374" s="1">
        <v>37287</v>
      </c>
      <c r="B374">
        <f>'10years_f'!B915-'10years_f'!$G915</f>
        <v>0.16293415431485458</v>
      </c>
      <c r="C374">
        <f>'10years_f'!C915-'10years_f'!$G915</f>
        <v>-6.8393674766729085E-3</v>
      </c>
      <c r="D374">
        <f>'10years_f'!D915-'10years_f'!$G915</f>
        <v>0.46227244743586438</v>
      </c>
      <c r="E374">
        <f>'10years_f'!E915-'10years_f'!$G915</f>
        <v>0.31242410034151424</v>
      </c>
      <c r="F374">
        <f>'10years_f'!F915-'10years_f'!$G915</f>
        <v>-1.4517900367215564E-2</v>
      </c>
      <c r="G374">
        <f>'10years_f'!H915-'10years_f'!$I915</f>
        <v>0.15429058487759217</v>
      </c>
    </row>
    <row r="375" spans="1:7" x14ac:dyDescent="0.35">
      <c r="A375" s="1">
        <v>37315</v>
      </c>
      <c r="B375">
        <f>'10years_f'!B916-'10years_f'!$G916</f>
        <v>0.21601464320975849</v>
      </c>
      <c r="C375">
        <f>'10years_f'!C916-'10years_f'!$G916</f>
        <v>4.5343904538150737E-2</v>
      </c>
      <c r="D375">
        <f>'10years_f'!D916-'10years_f'!$G916</f>
        <v>0.50742597329377115</v>
      </c>
      <c r="E375">
        <f>'10years_f'!E916-'10years_f'!$G916</f>
        <v>0.35703781551950953</v>
      </c>
      <c r="F375">
        <f>'10years_f'!F916-'10years_f'!$G916</f>
        <v>3.736063601385875E-2</v>
      </c>
      <c r="G375">
        <f>'10years_f'!H916-'10years_f'!$I916</f>
        <v>0.20718522519784788</v>
      </c>
    </row>
    <row r="376" spans="1:7" x14ac:dyDescent="0.35">
      <c r="A376" s="1">
        <v>37343</v>
      </c>
      <c r="B376">
        <f>'10years_f'!B917-'10years_f'!$G917</f>
        <v>0.21337148837177411</v>
      </c>
      <c r="C376">
        <f>'10years_f'!C917-'10years_f'!$G917</f>
        <v>4.2135900226927259E-2</v>
      </c>
      <c r="D376">
        <f>'10years_f'!D917-'10years_f'!$G917</f>
        <v>0.47309180546713181</v>
      </c>
      <c r="E376">
        <f>'10years_f'!E917-'10years_f'!$G917</f>
        <v>0.32212481429701123</v>
      </c>
      <c r="F376">
        <f>'10years_f'!F917-'10years_f'!$G917</f>
        <v>3.4153995941579307E-2</v>
      </c>
      <c r="G376">
        <f>'10years_f'!H917-'10years_f'!$I917</f>
        <v>0.20447468931110713</v>
      </c>
    </row>
    <row r="377" spans="1:7" x14ac:dyDescent="0.35">
      <c r="A377" s="1">
        <v>37376</v>
      </c>
      <c r="B377">
        <f>'10years_f'!B918-'10years_f'!$G918</f>
        <v>0.26227923481340443</v>
      </c>
      <c r="C377">
        <f>'10years_f'!C918-'10years_f'!$G918</f>
        <v>9.0685111023206977E-2</v>
      </c>
      <c r="D377">
        <f>'10years_f'!D918-'10years_f'!$G918</f>
        <v>0.49888657866445185</v>
      </c>
      <c r="E377">
        <f>'10years_f'!E918-'10years_f'!$G918</f>
        <v>0.34769969866158923</v>
      </c>
      <c r="F377">
        <f>'10years_f'!F918-'10years_f'!$G918</f>
        <v>8.2117576627675382E-2</v>
      </c>
      <c r="G377">
        <f>'10years_f'!H918-'10years_f'!$I918</f>
        <v>0.25321501349649944</v>
      </c>
    </row>
    <row r="378" spans="1:7" x14ac:dyDescent="0.35">
      <c r="A378" s="1">
        <v>37407</v>
      </c>
      <c r="B378">
        <f>'10years_f'!B919-'10years_f'!$G919</f>
        <v>0.21840484976294472</v>
      </c>
      <c r="C378">
        <f>'10years_f'!C919-'10years_f'!$G919</f>
        <v>4.591692608400133E-2</v>
      </c>
      <c r="D378">
        <f>'10years_f'!D919-'10years_f'!$G919</f>
        <v>0.44884874811053233</v>
      </c>
      <c r="E378">
        <f>'10years_f'!E919-'10years_f'!$G919</f>
        <v>0.29707447297999834</v>
      </c>
      <c r="F378">
        <f>'10years_f'!F919-'10years_f'!$G919</f>
        <v>3.6858402326768624E-2</v>
      </c>
      <c r="G378">
        <f>'10years_f'!H919-'10years_f'!$I919</f>
        <v>0.20937490668000436</v>
      </c>
    </row>
    <row r="379" spans="1:7" x14ac:dyDescent="0.35">
      <c r="A379" s="1">
        <v>37435</v>
      </c>
      <c r="B379">
        <f>'10years_f'!B920-'10years_f'!$G920</f>
        <v>0.31548468037466493</v>
      </c>
      <c r="C379">
        <f>'10years_f'!C920-'10years_f'!$G920</f>
        <v>0.14270195822235565</v>
      </c>
      <c r="D379">
        <f>'10years_f'!D920-'10years_f'!$G920</f>
        <v>0.55206124457930295</v>
      </c>
      <c r="E379">
        <f>'10years_f'!E920-'10years_f'!$G920</f>
        <v>0.39974385378268384</v>
      </c>
      <c r="F379">
        <f>'10years_f'!F920-'10years_f'!$G920</f>
        <v>0.13323564510058028</v>
      </c>
      <c r="G379">
        <f>'10years_f'!H920-'10years_f'!$I920</f>
        <v>0.30619201832794429</v>
      </c>
    </row>
    <row r="380" spans="1:7" x14ac:dyDescent="0.35">
      <c r="A380" s="1">
        <v>37468</v>
      </c>
      <c r="B380">
        <f>'10years_f'!B921-'10years_f'!$G921</f>
        <v>0.39311332698990675</v>
      </c>
      <c r="C380">
        <f>'10years_f'!C921-'10years_f'!$G921</f>
        <v>0.22013637197786817</v>
      </c>
      <c r="D380">
        <f>'10years_f'!D921-'10years_f'!$G921</f>
        <v>0.64911823206277752</v>
      </c>
      <c r="E380">
        <f>'10years_f'!E921-'10years_f'!$G921</f>
        <v>0.4967179002406219</v>
      </c>
      <c r="F380">
        <f>'10years_f'!F921-'10years_f'!$G921</f>
        <v>0.21380413455061476</v>
      </c>
      <c r="G380">
        <f>'10years_f'!H921-'10years_f'!$I921</f>
        <v>0.38360305932172434</v>
      </c>
    </row>
    <row r="381" spans="1:7" x14ac:dyDescent="0.35">
      <c r="A381" s="1">
        <v>37498</v>
      </c>
      <c r="B381">
        <f>'10years_f'!B922-'10years_f'!$G922</f>
        <v>0.4072007778057174</v>
      </c>
      <c r="C381">
        <f>'10years_f'!C922-'10years_f'!$G922</f>
        <v>0.23328350447513579</v>
      </c>
      <c r="D381">
        <f>'10years_f'!D922-'10years_f'!$G922</f>
        <v>0.66551140618433924</v>
      </c>
      <c r="E381">
        <f>'10years_f'!E922-'10years_f'!$G922</f>
        <v>0.51245141041189712</v>
      </c>
      <c r="F381">
        <f>'10years_f'!F922-'10years_f'!$G922</f>
        <v>0.22723966269351359</v>
      </c>
      <c r="G381">
        <f>'10years_f'!H922-'10years_f'!$I922</f>
        <v>0.39759514458757028</v>
      </c>
    </row>
    <row r="382" spans="1:7" x14ac:dyDescent="0.35">
      <c r="A382" s="1">
        <v>37529</v>
      </c>
      <c r="B382">
        <f>'10years_f'!B923-'10years_f'!$G923</f>
        <v>0.52585587867458261</v>
      </c>
      <c r="C382">
        <f>'10years_f'!C923-'10years_f'!$G923</f>
        <v>0.3518188525820054</v>
      </c>
      <c r="D382">
        <f>'10years_f'!D923-'10years_f'!$G923</f>
        <v>0.78956549423368716</v>
      </c>
      <c r="E382">
        <f>'10years_f'!E923-'10years_f'!$G923</f>
        <v>0.63612122325581111</v>
      </c>
      <c r="F382">
        <f>'10years_f'!F923-'10years_f'!$G923</f>
        <v>0.34594744424508383</v>
      </c>
      <c r="G382">
        <f>'10years_f'!H923-'10years_f'!$I923</f>
        <v>0.51594168302502297</v>
      </c>
    </row>
    <row r="383" spans="1:7" x14ac:dyDescent="0.35">
      <c r="A383" s="1">
        <v>37560</v>
      </c>
      <c r="B383">
        <f>'10years_f'!B924-'10years_f'!$G924</f>
        <v>0.44072875758563179</v>
      </c>
      <c r="C383">
        <f>'10years_f'!C924-'10years_f'!$G924</f>
        <v>0.26680653924342779</v>
      </c>
      <c r="D383">
        <f>'10years_f'!D924-'10years_f'!$G924</f>
        <v>0.72502513139065816</v>
      </c>
      <c r="E383">
        <f>'10years_f'!E924-'10years_f'!$G924</f>
        <v>0.57157652566926243</v>
      </c>
      <c r="F383">
        <f>'10years_f'!F924-'10years_f'!$G924</f>
        <v>0.26097409993328946</v>
      </c>
      <c r="G383">
        <f>'10years_f'!H924-'10years_f'!$I924</f>
        <v>0.43093145423512835</v>
      </c>
    </row>
    <row r="384" spans="1:7" x14ac:dyDescent="0.35">
      <c r="A384" s="1">
        <v>37589</v>
      </c>
      <c r="B384">
        <f>'10years_f'!B925-'10years_f'!$G925</f>
        <v>0.3981038709648439</v>
      </c>
      <c r="C384">
        <f>'10years_f'!C925-'10years_f'!$G925</f>
        <v>0.22298232527678219</v>
      </c>
      <c r="D384">
        <f>'10years_f'!D925-'10years_f'!$G925</f>
        <v>0.64951313181945092</v>
      </c>
      <c r="E384">
        <f>'10years_f'!E925-'10years_f'!$G925</f>
        <v>0.49516670089913517</v>
      </c>
      <c r="F384">
        <f>'10years_f'!F925-'10years_f'!$G925</f>
        <v>0.21790296943716103</v>
      </c>
      <c r="G384">
        <f>'10years_f'!H925-'10years_f'!$I925</f>
        <v>0.38835018943021993</v>
      </c>
    </row>
    <row r="385" spans="1:7" x14ac:dyDescent="0.35">
      <c r="A385" s="1">
        <v>37621</v>
      </c>
      <c r="B385">
        <f>'10years_f'!B926-'10years_f'!$G926</f>
        <v>0.45689975227157564</v>
      </c>
      <c r="C385">
        <f>'10years_f'!C926-'10years_f'!$G926</f>
        <v>0.28096278585612922</v>
      </c>
      <c r="D385">
        <f>'10years_f'!D926-'10years_f'!$G926</f>
        <v>0.71500186167295698</v>
      </c>
      <c r="E385">
        <f>'10years_f'!E926-'10years_f'!$G926</f>
        <v>0.5594990863064897</v>
      </c>
      <c r="F385">
        <f>'10years_f'!F926-'10years_f'!$G926</f>
        <v>0.27673318399004998</v>
      </c>
      <c r="G385">
        <f>'10years_f'!H926-'10years_f'!$I926</f>
        <v>0.44698146459797305</v>
      </c>
    </row>
    <row r="386" spans="1:7" x14ac:dyDescent="0.35">
      <c r="A386" s="1">
        <v>37652</v>
      </c>
      <c r="B386">
        <f>'10years_f'!B927-'10years_f'!$G927</f>
        <v>0.52317363478464651</v>
      </c>
      <c r="C386">
        <f>'10years_f'!C927-'10years_f'!$G927</f>
        <v>0.34716045505989213</v>
      </c>
      <c r="D386">
        <f>'10years_f'!D927-'10years_f'!$G927</f>
        <v>0.79094483062371923</v>
      </c>
      <c r="E386">
        <f>'10years_f'!E927-'10years_f'!$G927</f>
        <v>0.63542141484302972</v>
      </c>
      <c r="F386">
        <f>'10years_f'!F927-'10years_f'!$G927</f>
        <v>0.34207004081718884</v>
      </c>
      <c r="G386">
        <f>'10years_f'!H927-'10years_f'!$I927</f>
        <v>0.51307268818887586</v>
      </c>
    </row>
    <row r="387" spans="1:7" x14ac:dyDescent="0.35">
      <c r="A387" s="1">
        <v>37680</v>
      </c>
      <c r="B387">
        <f>'10years_f'!B928-'10years_f'!$G928</f>
        <v>0.54771463016678368</v>
      </c>
      <c r="C387">
        <f>'10years_f'!C928-'10years_f'!$G928</f>
        <v>0.37127366061049294</v>
      </c>
      <c r="D387">
        <f>'10years_f'!D928-'10years_f'!$G928</f>
        <v>0.820745629420915</v>
      </c>
      <c r="E387">
        <f>'10years_f'!E928-'10years_f'!$G928</f>
        <v>0.66502609939971169</v>
      </c>
      <c r="F387">
        <f>'10years_f'!F928-'10years_f'!$G928</f>
        <v>0.36644944168497862</v>
      </c>
      <c r="G387">
        <f>'10years_f'!H928-'10years_f'!$I928</f>
        <v>0.53750789379362063</v>
      </c>
    </row>
    <row r="388" spans="1:7" x14ac:dyDescent="0.35">
      <c r="A388" s="1">
        <v>37711</v>
      </c>
      <c r="B388">
        <f>'10years_f'!B929-'10years_f'!$G929</f>
        <v>0.57095929358258424</v>
      </c>
      <c r="C388">
        <f>'10years_f'!C929-'10years_f'!$G929</f>
        <v>0.39433217619432259</v>
      </c>
      <c r="D388">
        <f>'10years_f'!D929-'10years_f'!$G929</f>
        <v>0.85273239504993725</v>
      </c>
      <c r="E388">
        <f>'10years_f'!E929-'10years_f'!$G929</f>
        <v>0.69665622103728353</v>
      </c>
      <c r="F388">
        <f>'10years_f'!F929-'10years_f'!$G929</f>
        <v>0.38998270514555244</v>
      </c>
      <c r="G388">
        <f>'10years_f'!H929-'10years_f'!$I929</f>
        <v>0.56066831940693174</v>
      </c>
    </row>
    <row r="389" spans="1:7" x14ac:dyDescent="0.35">
      <c r="A389" s="1">
        <v>37741</v>
      </c>
      <c r="B389">
        <f>'10years_f'!B930-'10years_f'!$G930</f>
        <v>0.52143688026715629</v>
      </c>
      <c r="C389">
        <f>'10years_f'!C930-'10years_f'!$G930</f>
        <v>0.34497750661812687</v>
      </c>
      <c r="D389">
        <f>'10years_f'!D930-'10years_f'!$G930</f>
        <v>0.78390705438100539</v>
      </c>
      <c r="E389">
        <f>'10years_f'!E930-'10years_f'!$G930</f>
        <v>0.62815175747286101</v>
      </c>
      <c r="F389">
        <f>'10years_f'!F930-'10years_f'!$G930</f>
        <v>0.34062828337098039</v>
      </c>
      <c r="G389">
        <f>'10years_f'!H930-'10years_f'!$I930</f>
        <v>0.51117659202526422</v>
      </c>
    </row>
    <row r="390" spans="1:7" x14ac:dyDescent="0.35">
      <c r="A390" s="1">
        <v>37771</v>
      </c>
      <c r="B390">
        <f>'10years_f'!B931-'10years_f'!$G931</f>
        <v>0.49790287971805247</v>
      </c>
      <c r="C390">
        <f>'10years_f'!C931-'10years_f'!$G931</f>
        <v>0.3206779066447214</v>
      </c>
      <c r="D390">
        <f>'10years_f'!D931-'10years_f'!$G931</f>
        <v>0.73113295643441445</v>
      </c>
      <c r="E390">
        <f>'10years_f'!E931-'10years_f'!$G931</f>
        <v>0.5749823562961649</v>
      </c>
      <c r="F390">
        <f>'10years_f'!F931-'10years_f'!$G931</f>
        <v>0.31707874075359976</v>
      </c>
      <c r="G390">
        <f>'10years_f'!H931-'10years_f'!$I931</f>
        <v>0.48762482468951429</v>
      </c>
    </row>
    <row r="391" spans="1:7" x14ac:dyDescent="0.35">
      <c r="A391" s="1">
        <v>37802</v>
      </c>
      <c r="B391">
        <f>'10years_f'!B932-'10years_f'!$G932</f>
        <v>0.47663568159388325</v>
      </c>
      <c r="C391">
        <f>'10years_f'!C932-'10years_f'!$G932</f>
        <v>0.29925072514960127</v>
      </c>
      <c r="D391">
        <f>'10years_f'!D932-'10years_f'!$G932</f>
        <v>0.71675397293924248</v>
      </c>
      <c r="E391">
        <f>'10years_f'!E932-'10years_f'!$G932</f>
        <v>0.560133650596083</v>
      </c>
      <c r="F391">
        <f>'10years_f'!F932-'10years_f'!$G932</f>
        <v>0.29589981659834286</v>
      </c>
      <c r="G391">
        <f>'10years_f'!H932-'10years_f'!$I932</f>
        <v>0.46633772394121253</v>
      </c>
    </row>
    <row r="392" spans="1:7" x14ac:dyDescent="0.35">
      <c r="A392" s="1">
        <v>37833</v>
      </c>
      <c r="B392">
        <f>'10years_f'!B933-'10years_f'!$G933</f>
        <v>0.50380976845047321</v>
      </c>
      <c r="C392">
        <f>'10years_f'!C933-'10years_f'!$G933</f>
        <v>0.32644813245218773</v>
      </c>
      <c r="D392">
        <f>'10years_f'!D933-'10years_f'!$G933</f>
        <v>0.73898644538922631</v>
      </c>
      <c r="E392">
        <f>'10years_f'!E933-'10years_f'!$G933</f>
        <v>0.5824804922100506</v>
      </c>
      <c r="F392">
        <f>'10years_f'!F933-'10years_f'!$G933</f>
        <v>0.3234673457740127</v>
      </c>
      <c r="G392">
        <f>'10years_f'!H933-'10years_f'!$I933</f>
        <v>0.49341511537761562</v>
      </c>
    </row>
    <row r="393" spans="1:7" x14ac:dyDescent="0.35">
      <c r="A393" s="1">
        <v>37862</v>
      </c>
      <c r="B393">
        <f>'10years_f'!B934-'10years_f'!$G934</f>
        <v>0.46332006469381914</v>
      </c>
      <c r="C393">
        <f>'10years_f'!C934-'10years_f'!$G934</f>
        <v>0.28523310334755037</v>
      </c>
      <c r="D393">
        <f>'10years_f'!D934-'10years_f'!$G934</f>
        <v>0.67923687608474514</v>
      </c>
      <c r="E393">
        <f>'10years_f'!E934-'10years_f'!$G934</f>
        <v>0.52232839448532919</v>
      </c>
      <c r="F393">
        <f>'10years_f'!F934-'10years_f'!$G934</f>
        <v>0.28266316882382858</v>
      </c>
      <c r="G393">
        <f>'10years_f'!H934-'10years_f'!$I934</f>
        <v>0.45296503228243745</v>
      </c>
    </row>
    <row r="394" spans="1:7" x14ac:dyDescent="0.35">
      <c r="A394" s="1">
        <v>37894</v>
      </c>
      <c r="B394">
        <f>'10years_f'!B935-'10years_f'!$G935</f>
        <v>0.49921862134909922</v>
      </c>
      <c r="C394">
        <f>'10years_f'!C935-'10years_f'!$G935</f>
        <v>0.32093345072841473</v>
      </c>
      <c r="D394">
        <f>'10years_f'!D935-'10years_f'!$G935</f>
        <v>0.72726362511124432</v>
      </c>
      <c r="E394">
        <f>'10years_f'!E935-'10years_f'!$G935</f>
        <v>0.5699288191521914</v>
      </c>
      <c r="F394">
        <f>'10years_f'!F935-'10years_f'!$G935</f>
        <v>0.31796853957837623</v>
      </c>
      <c r="G394">
        <f>'10years_f'!H935-'10years_f'!$I935</f>
        <v>0.48875412286537578</v>
      </c>
    </row>
    <row r="395" spans="1:7" x14ac:dyDescent="0.35">
      <c r="A395" s="1">
        <v>37925</v>
      </c>
      <c r="B395">
        <f>'10years_f'!B936-'10years_f'!$G936</f>
        <v>0.49243606525980299</v>
      </c>
      <c r="C395">
        <f>'10years_f'!C936-'10years_f'!$G936</f>
        <v>0.31437310422003195</v>
      </c>
      <c r="D395">
        <f>'10years_f'!D936-'10years_f'!$G936</f>
        <v>0.70550465139894536</v>
      </c>
      <c r="E395">
        <f>'10years_f'!E936-'10years_f'!$G936</f>
        <v>0.54819403065889771</v>
      </c>
      <c r="F395">
        <f>'10years_f'!F936-'10years_f'!$G936</f>
        <v>0.31033509554701899</v>
      </c>
      <c r="G395">
        <f>'10years_f'!H936-'10years_f'!$I936</f>
        <v>0.48193118070900542</v>
      </c>
    </row>
    <row r="396" spans="1:7" x14ac:dyDescent="0.35">
      <c r="A396" s="1">
        <v>37953</v>
      </c>
      <c r="B396">
        <f>'10years_f'!B937-'10years_f'!$G937</f>
        <v>0.51078866686611968</v>
      </c>
      <c r="C396">
        <f>'10years_f'!C937-'10years_f'!$G937</f>
        <v>0.33209978928375272</v>
      </c>
      <c r="D396">
        <f>'10years_f'!D937-'10years_f'!$G937</f>
        <v>0.70816658172377456</v>
      </c>
      <c r="E396">
        <f>'10years_f'!E937-'10years_f'!$G937</f>
        <v>0.55057779208470081</v>
      </c>
      <c r="F396">
        <f>'10years_f'!F937-'10years_f'!$G937</f>
        <v>0.32817333449675723</v>
      </c>
      <c r="G396">
        <f>'10years_f'!H937-'10years_f'!$I937</f>
        <v>0.50019591806177433</v>
      </c>
    </row>
    <row r="397" spans="1:7" x14ac:dyDescent="0.35">
      <c r="A397" s="1">
        <v>37986</v>
      </c>
      <c r="B397">
        <f>'10years_f'!B938-'10years_f'!$G938</f>
        <v>0.49065661423645435</v>
      </c>
      <c r="C397">
        <f>'10years_f'!C938-'10years_f'!$G938</f>
        <v>0.31190500299983825</v>
      </c>
      <c r="D397">
        <f>'10years_f'!D938-'10years_f'!$G938</f>
        <v>0.68998410976931823</v>
      </c>
      <c r="E397">
        <f>'10years_f'!E938-'10years_f'!$G938</f>
        <v>0.53210001687910347</v>
      </c>
      <c r="F397">
        <f>'10years_f'!F938-'10years_f'!$G938</f>
        <v>0.30693775538203405</v>
      </c>
      <c r="G397">
        <f>'10years_f'!H938-'10years_f'!$I938</f>
        <v>0.4800539865253417</v>
      </c>
    </row>
    <row r="398" spans="1:7" x14ac:dyDescent="0.35">
      <c r="A398" s="1">
        <v>38016</v>
      </c>
      <c r="B398">
        <f>'10years_f'!B939-'10years_f'!$G939</f>
        <v>0.44587266068821552</v>
      </c>
      <c r="C398">
        <f>'10years_f'!C939-'10years_f'!$G939</f>
        <v>0.26717109082064794</v>
      </c>
      <c r="D398">
        <f>'10years_f'!D939-'10years_f'!$G939</f>
        <v>0.64516964034440938</v>
      </c>
      <c r="E398">
        <f>'10years_f'!E939-'10years_f'!$G939</f>
        <v>0.48726707964906502</v>
      </c>
      <c r="F398">
        <f>'10years_f'!F939-'10years_f'!$G939</f>
        <v>0.26292219602149536</v>
      </c>
      <c r="G398">
        <f>'10years_f'!H939-'10years_f'!$I939</f>
        <v>0.43531868240939131</v>
      </c>
    </row>
    <row r="399" spans="1:7" x14ac:dyDescent="0.35">
      <c r="A399" s="1">
        <v>38044</v>
      </c>
      <c r="B399">
        <f>'10years_f'!B940-'10years_f'!$G940</f>
        <v>0.4719281228937271</v>
      </c>
      <c r="C399">
        <f>'10years_f'!C940-'10years_f'!$G940</f>
        <v>0.29252066310675384</v>
      </c>
      <c r="D399">
        <f>'10years_f'!D940-'10years_f'!$G940</f>
        <v>0.67244088974244209</v>
      </c>
      <c r="E399">
        <f>'10years_f'!E940-'10years_f'!$G940</f>
        <v>0.51400346242150774</v>
      </c>
      <c r="F399">
        <f>'10years_f'!F940-'10years_f'!$G940</f>
        <v>0.28862794568004158</v>
      </c>
      <c r="G399">
        <f>'10years_f'!H940-'10years_f'!$I940</f>
        <v>0.46128590436742556</v>
      </c>
    </row>
    <row r="400" spans="1:7" x14ac:dyDescent="0.35">
      <c r="A400" s="1">
        <v>38077</v>
      </c>
      <c r="B400">
        <f>'10years_f'!B941-'10years_f'!$G941</f>
        <v>0.49211060395551476</v>
      </c>
      <c r="C400">
        <f>'10years_f'!C941-'10years_f'!$G941</f>
        <v>0.31249901958432824</v>
      </c>
      <c r="D400">
        <f>'10years_f'!D941-'10years_f'!$G941</f>
        <v>0.68420096848845224</v>
      </c>
      <c r="E400">
        <f>'10years_f'!E941-'10years_f'!$G941</f>
        <v>0.52533258151630813</v>
      </c>
      <c r="F400">
        <f>'10years_f'!F941-'10years_f'!$G941</f>
        <v>0.30901217952259996</v>
      </c>
      <c r="G400">
        <f>'10years_f'!H941-'10years_f'!$I941</f>
        <v>0.48137905996551433</v>
      </c>
    </row>
    <row r="401" spans="1:7" x14ac:dyDescent="0.35">
      <c r="A401" s="1">
        <v>38107</v>
      </c>
      <c r="B401">
        <f>'10years_f'!B942-'10years_f'!$G942</f>
        <v>0.51147372777457245</v>
      </c>
      <c r="C401">
        <f>'10years_f'!C942-'10years_f'!$G942</f>
        <v>0.3318234614252098</v>
      </c>
      <c r="D401">
        <f>'10years_f'!D942-'10years_f'!$G942</f>
        <v>0.70861077514031989</v>
      </c>
      <c r="E401">
        <f>'10years_f'!E942-'10years_f'!$G942</f>
        <v>0.54970592869178225</v>
      </c>
      <c r="F401">
        <f>'10years_f'!F942-'10years_f'!$G942</f>
        <v>0.32907385251689525</v>
      </c>
      <c r="G401">
        <f>'10years_f'!H942-'10years_f'!$I942</f>
        <v>0.50065578780256192</v>
      </c>
    </row>
    <row r="402" spans="1:7" x14ac:dyDescent="0.35">
      <c r="A402" s="1">
        <v>38135</v>
      </c>
      <c r="B402">
        <f>'10years_f'!B943-'10years_f'!$G943</f>
        <v>0.51998526928005306</v>
      </c>
      <c r="C402">
        <f>'10years_f'!C943-'10years_f'!$G943</f>
        <v>0.33967022651850565</v>
      </c>
      <c r="D402">
        <f>'10years_f'!D943-'10years_f'!$G943</f>
        <v>0.71219693756629932</v>
      </c>
      <c r="E402">
        <f>'10years_f'!E943-'10years_f'!$G943</f>
        <v>0.55286130293710078</v>
      </c>
      <c r="F402">
        <f>'10years_f'!F943-'10years_f'!$G943</f>
        <v>0.33698230464935675</v>
      </c>
      <c r="G402">
        <f>'10years_f'!H943-'10years_f'!$I943</f>
        <v>0.50912022808624613</v>
      </c>
    </row>
    <row r="403" spans="1:7" x14ac:dyDescent="0.35">
      <c r="A403" s="1">
        <v>38168</v>
      </c>
      <c r="B403">
        <f>'10years_f'!B944-'10years_f'!$G944</f>
        <v>0.52164263311720327</v>
      </c>
      <c r="C403">
        <f>'10years_f'!C944-'10years_f'!$G944</f>
        <v>0.34123032971218348</v>
      </c>
      <c r="D403">
        <f>'10years_f'!D944-'10years_f'!$G944</f>
        <v>0.71127303855909063</v>
      </c>
      <c r="E403">
        <f>'10years_f'!E944-'10years_f'!$G944</f>
        <v>0.55156030343592755</v>
      </c>
      <c r="F403">
        <f>'10years_f'!F944-'10years_f'!$G944</f>
        <v>0.33857526859300013</v>
      </c>
      <c r="G403">
        <f>'10years_f'!H944-'10years_f'!$I944</f>
        <v>0.51073753141436251</v>
      </c>
    </row>
    <row r="404" spans="1:7" x14ac:dyDescent="0.35">
      <c r="A404" s="1">
        <v>38198</v>
      </c>
      <c r="B404">
        <f>'10years_f'!B945-'10years_f'!$G945</f>
        <v>0.5388281195143132</v>
      </c>
      <c r="C404">
        <f>'10years_f'!C945-'10years_f'!$G945</f>
        <v>0.35828091974428178</v>
      </c>
      <c r="D404">
        <f>'10years_f'!D945-'10years_f'!$G945</f>
        <v>0.73007260330253532</v>
      </c>
      <c r="E404">
        <f>'10years_f'!E945-'10years_f'!$G945</f>
        <v>0.57028125645322136</v>
      </c>
      <c r="F404">
        <f>'10years_f'!F945-'10years_f'!$G945</f>
        <v>0.35594979864972531</v>
      </c>
      <c r="G404">
        <f>'10years_f'!H945-'10years_f'!$I945</f>
        <v>0.52784009612465432</v>
      </c>
    </row>
    <row r="405" spans="1:7" x14ac:dyDescent="0.35">
      <c r="A405" s="1">
        <v>38230</v>
      </c>
      <c r="B405">
        <f>'10years_f'!B946-'10years_f'!$G946</f>
        <v>0.56932954056832497</v>
      </c>
      <c r="C405">
        <f>'10years_f'!C946-'10years_f'!$G946</f>
        <v>0.38834282522839914</v>
      </c>
      <c r="D405">
        <f>'10years_f'!D946-'10years_f'!$G946</f>
        <v>0.76873058198159683</v>
      </c>
      <c r="E405">
        <f>'10years_f'!E946-'10years_f'!$G946</f>
        <v>0.60879452222906671</v>
      </c>
      <c r="F405">
        <f>'10years_f'!F946-'10years_f'!$G946</f>
        <v>0.38595576520064601</v>
      </c>
      <c r="G405">
        <f>'10years_f'!H946-'10years_f'!$I946</f>
        <v>0.55823702088177996</v>
      </c>
    </row>
    <row r="406" spans="1:7" x14ac:dyDescent="0.35">
      <c r="A406" s="1">
        <v>38260</v>
      </c>
      <c r="B406">
        <f>'10years_f'!B947-'10years_f'!$G947</f>
        <v>0.54950338460429204</v>
      </c>
      <c r="C406">
        <f>'10years_f'!C947-'10years_f'!$G947</f>
        <v>0.36846476266132822</v>
      </c>
      <c r="D406">
        <f>'10years_f'!D947-'10years_f'!$G947</f>
        <v>0.7253031493183828</v>
      </c>
      <c r="E406">
        <f>'10years_f'!E947-'10years_f'!$G947</f>
        <v>0.56485368587433715</v>
      </c>
      <c r="F406">
        <f>'10years_f'!F947-'10years_f'!$G947</f>
        <v>0.36602412285924668</v>
      </c>
      <c r="G406">
        <f>'10years_f'!H947-'10years_f'!$I947</f>
        <v>0.53841324930485879</v>
      </c>
    </row>
    <row r="407" spans="1:7" x14ac:dyDescent="0.35">
      <c r="A407" s="1">
        <v>38289</v>
      </c>
      <c r="B407">
        <f>'10years_f'!B948-'10years_f'!$G948</f>
        <v>0.55787372629058973</v>
      </c>
      <c r="C407">
        <f>'10years_f'!C948-'10years_f'!$G948</f>
        <v>0.37691454938908242</v>
      </c>
      <c r="D407">
        <f>'10years_f'!D948-'10years_f'!$G948</f>
        <v>0.73065929347912784</v>
      </c>
      <c r="E407">
        <f>'10years_f'!E948-'10years_f'!$G948</f>
        <v>0.57017904129197161</v>
      </c>
      <c r="F407">
        <f>'10years_f'!F948-'10years_f'!$G948</f>
        <v>0.37454179692730571</v>
      </c>
      <c r="G407">
        <f>'10years_f'!H948-'10years_f'!$I948</f>
        <v>0.54674464484179008</v>
      </c>
    </row>
    <row r="408" spans="1:7" x14ac:dyDescent="0.35">
      <c r="A408" s="1">
        <v>38321</v>
      </c>
      <c r="B408">
        <f>'10years_f'!B949-'10years_f'!$G949</f>
        <v>0.54867820380639776</v>
      </c>
      <c r="C408">
        <f>'10years_f'!C949-'10years_f'!$G949</f>
        <v>0.3697438280513734</v>
      </c>
      <c r="D408">
        <f>'10years_f'!D949-'10years_f'!$G949</f>
        <v>0.70413883777644815</v>
      </c>
      <c r="E408">
        <f>'10years_f'!E949-'10years_f'!$G949</f>
        <v>0.54315019023860733</v>
      </c>
      <c r="F408">
        <f>'10years_f'!F949-'10years_f'!$G949</f>
        <v>0.36442004686421248</v>
      </c>
      <c r="G408">
        <f>'10years_f'!H949-'10years_f'!$I949</f>
        <v>0.53755426273001117</v>
      </c>
    </row>
    <row r="409" spans="1:7" x14ac:dyDescent="0.35">
      <c r="A409" s="1">
        <v>38352</v>
      </c>
      <c r="B409">
        <f>'10years_f'!B950-'10years_f'!$G950</f>
        <v>0.52014623453456754</v>
      </c>
      <c r="C409">
        <f>'10years_f'!C950-'10years_f'!$G950</f>
        <v>0.34110890371518043</v>
      </c>
      <c r="D409">
        <f>'10years_f'!D950-'10years_f'!$G950</f>
        <v>0.67743139585619727</v>
      </c>
      <c r="E409">
        <f>'10years_f'!E950-'10years_f'!$G950</f>
        <v>0.51613173909507037</v>
      </c>
      <c r="F409">
        <f>'10years_f'!F950-'10years_f'!$G950</f>
        <v>0.33553550843546831</v>
      </c>
      <c r="G409">
        <f>'10years_f'!H950-'10years_f'!$I950</f>
        <v>0.5090495531757</v>
      </c>
    </row>
    <row r="410" spans="1:7" x14ac:dyDescent="0.35">
      <c r="A410" s="1">
        <v>38383</v>
      </c>
      <c r="B410">
        <f>'10years_f'!B951-'10years_f'!$G951</f>
        <v>0.51668520229203851</v>
      </c>
      <c r="C410">
        <f>'10years_f'!C951-'10years_f'!$G951</f>
        <v>0.33755432776449412</v>
      </c>
      <c r="D410">
        <f>'10years_f'!D951-'10years_f'!$G951</f>
        <v>0.6800053027285089</v>
      </c>
      <c r="E410">
        <f>'10years_f'!E951-'10years_f'!$G951</f>
        <v>0.51867695115498913</v>
      </c>
      <c r="F410">
        <f>'10years_f'!F951-'10years_f'!$G951</f>
        <v>0.33195082441119217</v>
      </c>
      <c r="G410">
        <f>'10years_f'!H951-'10years_f'!$I951</f>
        <v>0.50558472003316979</v>
      </c>
    </row>
    <row r="411" spans="1:7" x14ac:dyDescent="0.35">
      <c r="A411" s="1">
        <v>38411</v>
      </c>
      <c r="B411">
        <f>'10years_f'!B952-'10years_f'!$G952</f>
        <v>0.54696876775279302</v>
      </c>
      <c r="C411">
        <f>'10years_f'!C952-'10years_f'!$G952</f>
        <v>0.36742195979364078</v>
      </c>
      <c r="D411">
        <f>'10years_f'!D952-'10years_f'!$G952</f>
        <v>0.7122864097458721</v>
      </c>
      <c r="E411">
        <f>'10years_f'!E952-'10years_f'!$G952</f>
        <v>0.55040996084249683</v>
      </c>
      <c r="F411">
        <f>'10years_f'!F952-'10years_f'!$G952</f>
        <v>0.36237568927723407</v>
      </c>
      <c r="G411">
        <f>'10years_f'!H952-'10years_f'!$I952</f>
        <v>0.5357914956440446</v>
      </c>
    </row>
    <row r="412" spans="1:7" x14ac:dyDescent="0.35">
      <c r="A412" s="1">
        <v>38442</v>
      </c>
      <c r="B412">
        <f>'10years_f'!B953-'10years_f'!$G953</f>
        <v>0.55063722223681677</v>
      </c>
      <c r="C412">
        <f>'10years_f'!C953-'10years_f'!$G953</f>
        <v>0.37096559472867896</v>
      </c>
      <c r="D412">
        <f>'10years_f'!D953-'10years_f'!$G953</f>
        <v>0.71772302159890455</v>
      </c>
      <c r="E412">
        <f>'10years_f'!E953-'10years_f'!$G953</f>
        <v>0.55549035622620768</v>
      </c>
      <c r="F412">
        <f>'10years_f'!F953-'10years_f'!$G953</f>
        <v>0.36559707568540945</v>
      </c>
      <c r="G412">
        <f>'10years_f'!H953-'10years_f'!$I953</f>
        <v>0.53945531901909982</v>
      </c>
    </row>
    <row r="413" spans="1:7" x14ac:dyDescent="0.35">
      <c r="A413" s="1">
        <v>38471</v>
      </c>
      <c r="B413">
        <f>'10years_f'!B954-'10years_f'!$G954</f>
        <v>0.5760160985575431</v>
      </c>
      <c r="C413">
        <f>'10years_f'!C954-'10years_f'!$G954</f>
        <v>0.39637362418577693</v>
      </c>
      <c r="D413">
        <f>'10years_f'!D954-'10years_f'!$G954</f>
        <v>0.74921162767268745</v>
      </c>
      <c r="E413">
        <f>'10years_f'!E954-'10years_f'!$G954</f>
        <v>0.58686577231478365</v>
      </c>
      <c r="F413">
        <f>'10years_f'!F954-'10years_f'!$G954</f>
        <v>0.39146144843153108</v>
      </c>
      <c r="G413">
        <f>'10years_f'!H954-'10years_f'!$I954</f>
        <v>0.56480155791946984</v>
      </c>
    </row>
    <row r="414" spans="1:7" x14ac:dyDescent="0.35">
      <c r="A414" s="1">
        <v>38503</v>
      </c>
      <c r="B414">
        <f>'10years_f'!B955-'10years_f'!$G955</f>
        <v>0.56200768683969993</v>
      </c>
      <c r="C414">
        <f>'10years_f'!C955-'10years_f'!$G955</f>
        <v>0.3819150036925627</v>
      </c>
      <c r="D414">
        <f>'10years_f'!D955-'10years_f'!$G955</f>
        <v>0.71866200502455668</v>
      </c>
      <c r="E414">
        <f>'10years_f'!E955-'10years_f'!$G955</f>
        <v>0.55590101375294121</v>
      </c>
      <c r="F414">
        <f>'10years_f'!F955-'10years_f'!$G955</f>
        <v>0.37745951969983582</v>
      </c>
      <c r="G414">
        <f>'10years_f'!H955-'10years_f'!$I955</f>
        <v>0.5508269675677413</v>
      </c>
    </row>
    <row r="415" spans="1:7" x14ac:dyDescent="0.35">
      <c r="A415" s="1">
        <v>38533</v>
      </c>
      <c r="B415">
        <f>'10years_f'!B956-'10years_f'!$G956</f>
        <v>0.54607958692435843</v>
      </c>
      <c r="C415">
        <f>'10years_f'!C956-'10years_f'!$G956</f>
        <v>0.36590576478900405</v>
      </c>
      <c r="D415">
        <f>'10years_f'!D956-'10years_f'!$G956</f>
        <v>0.68984264401616424</v>
      </c>
      <c r="E415">
        <f>'10years_f'!E956-'10years_f'!$G956</f>
        <v>0.52669775570929889</v>
      </c>
      <c r="F415">
        <f>'10years_f'!F956-'10years_f'!$G956</f>
        <v>0.36169399373550681</v>
      </c>
      <c r="G415">
        <f>'10years_f'!H956-'10years_f'!$I956</f>
        <v>0.53493812011191633</v>
      </c>
    </row>
    <row r="416" spans="1:7" x14ac:dyDescent="0.35">
      <c r="A416" s="1">
        <v>38562</v>
      </c>
      <c r="B416">
        <f>'10years_f'!B957-'10years_f'!$G957</f>
        <v>0.53495355766099251</v>
      </c>
      <c r="C416">
        <f>'10years_f'!C957-'10years_f'!$G957</f>
        <v>0.35479200975542624</v>
      </c>
      <c r="D416">
        <f>'10years_f'!D957-'10years_f'!$G957</f>
        <v>0.6576505308466023</v>
      </c>
      <c r="E416">
        <f>'10years_f'!E957-'10years_f'!$G957</f>
        <v>0.49451216473441018</v>
      </c>
      <c r="F416">
        <f>'10years_f'!F957-'10years_f'!$G957</f>
        <v>0.3504436990782771</v>
      </c>
      <c r="G416">
        <f>'10years_f'!H957-'10years_f'!$I957</f>
        <v>0.52388606740616517</v>
      </c>
    </row>
    <row r="417" spans="1:7" x14ac:dyDescent="0.35">
      <c r="A417" s="1">
        <v>38595</v>
      </c>
      <c r="B417">
        <f>'10years_f'!B958-'10years_f'!$G958</f>
        <v>0.4931179493131066</v>
      </c>
      <c r="C417">
        <f>'10years_f'!C958-'10years_f'!$G958</f>
        <v>0.31272488685749833</v>
      </c>
      <c r="D417">
        <f>'10years_f'!D958-'10years_f'!$G958</f>
        <v>0.62197757674120835</v>
      </c>
      <c r="E417">
        <f>'10years_f'!E958-'10years_f'!$G958</f>
        <v>0.45851590301453582</v>
      </c>
      <c r="F417">
        <f>'10years_f'!F958-'10years_f'!$G958</f>
        <v>0.3081975373096868</v>
      </c>
      <c r="G417">
        <f>'10years_f'!H958-'10years_f'!$I958</f>
        <v>0.48225196891300559</v>
      </c>
    </row>
    <row r="418" spans="1:7" x14ac:dyDescent="0.35">
      <c r="A418" s="1">
        <v>38625</v>
      </c>
      <c r="B418">
        <f>'10years_f'!B959-'10years_f'!$G959</f>
        <v>0.46787068936903053</v>
      </c>
      <c r="C418">
        <f>'10years_f'!C959-'10years_f'!$G959</f>
        <v>0.28701416759767517</v>
      </c>
      <c r="D418">
        <f>'10years_f'!D959-'10years_f'!$G959</f>
        <v>0.5886997909441678</v>
      </c>
      <c r="E418">
        <f>'10years_f'!E959-'10years_f'!$G959</f>
        <v>0.42452004639262753</v>
      </c>
      <c r="F418">
        <f>'10years_f'!F959-'10years_f'!$G959</f>
        <v>0.28230174023285826</v>
      </c>
      <c r="G418">
        <f>'10years_f'!H959-'10years_f'!$I959</f>
        <v>0.45720546691420116</v>
      </c>
    </row>
    <row r="419" spans="1:7" x14ac:dyDescent="0.35">
      <c r="A419" s="1">
        <v>38656</v>
      </c>
      <c r="B419">
        <f>'10years_f'!B960-'10years_f'!$G960</f>
        <v>0.55047329538899414</v>
      </c>
      <c r="C419">
        <f>'10years_f'!C960-'10years_f'!$G960</f>
        <v>0.3692618691178946</v>
      </c>
      <c r="D419">
        <f>'10years_f'!D960-'10years_f'!$G960</f>
        <v>0.67043370148495884</v>
      </c>
      <c r="E419">
        <f>'10years_f'!E960-'10years_f'!$G960</f>
        <v>0.50591717639649381</v>
      </c>
      <c r="F419">
        <f>'10years_f'!F960-'10years_f'!$G960</f>
        <v>0.3661572045207746</v>
      </c>
      <c r="G419">
        <f>'10years_f'!H960-'10years_f'!$I960</f>
        <v>0.53976762503099573</v>
      </c>
    </row>
    <row r="420" spans="1:7" x14ac:dyDescent="0.35">
      <c r="A420" s="1">
        <v>38686</v>
      </c>
      <c r="B420">
        <f>'10years_f'!B961-'10years_f'!$G961</f>
        <v>0.52423544429411506</v>
      </c>
      <c r="C420">
        <f>'10years_f'!C961-'10years_f'!$G961</f>
        <v>0.34305065966997073</v>
      </c>
      <c r="D420">
        <f>'10years_f'!D961-'10years_f'!$G961</f>
        <v>0.63936652848692499</v>
      </c>
      <c r="E420">
        <f>'10years_f'!E961-'10years_f'!$G961</f>
        <v>0.47444383588756867</v>
      </c>
      <c r="F420">
        <f>'10years_f'!F961-'10years_f'!$G961</f>
        <v>0.34008117787500303</v>
      </c>
      <c r="G420">
        <f>'10years_f'!H961-'10years_f'!$I961</f>
        <v>0.51367768482469822</v>
      </c>
    </row>
    <row r="421" spans="1:7" x14ac:dyDescent="0.35">
      <c r="A421" s="1">
        <v>38716</v>
      </c>
      <c r="B421">
        <f>'10years_f'!B962-'10years_f'!$G962</f>
        <v>0.51382391326261501</v>
      </c>
      <c r="C421">
        <f>'10years_f'!C962-'10years_f'!$G962</f>
        <v>0.33222536631786492</v>
      </c>
      <c r="D421">
        <f>'10years_f'!D962-'10years_f'!$G962</f>
        <v>0.61358818320588493</v>
      </c>
      <c r="E421">
        <f>'10years_f'!E962-'10years_f'!$G962</f>
        <v>0.44811239677768078</v>
      </c>
      <c r="F421">
        <f>'10years_f'!F962-'10years_f'!$G962</f>
        <v>0.3284977328307821</v>
      </c>
      <c r="G421">
        <f>'10years_f'!H962-'10years_f'!$I962</f>
        <v>0.5034487142379418</v>
      </c>
    </row>
    <row r="422" spans="1:7" x14ac:dyDescent="0.35">
      <c r="A422" s="1">
        <v>38748</v>
      </c>
      <c r="B422">
        <f>'10years_f'!B963-'10years_f'!$G963</f>
        <v>0.45237606061940272</v>
      </c>
      <c r="C422">
        <f>'10years_f'!C963-'10years_f'!$G963</f>
        <v>0.27071098699428808</v>
      </c>
      <c r="D422">
        <f>'10years_f'!D963-'10years_f'!$G963</f>
        <v>0.53388913526097315</v>
      </c>
      <c r="E422">
        <f>'10years_f'!E963-'10years_f'!$G963</f>
        <v>0.36847783228778908</v>
      </c>
      <c r="F422">
        <f>'10years_f'!F963-'10years_f'!$G963</f>
        <v>0.26652353054107958</v>
      </c>
      <c r="G422">
        <f>'10years_f'!H963-'10years_f'!$I963</f>
        <v>0.44233255930158366</v>
      </c>
    </row>
    <row r="423" spans="1:7" x14ac:dyDescent="0.35">
      <c r="A423" s="1">
        <v>38776</v>
      </c>
      <c r="B423">
        <f>'10years_f'!B964-'10years_f'!$G964</f>
        <v>0.45134080205906812</v>
      </c>
      <c r="C423">
        <f>'10years_f'!C964-'10years_f'!$G964</f>
        <v>0.26929037361456576</v>
      </c>
      <c r="D423">
        <f>'10years_f'!D964-'10years_f'!$G964</f>
        <v>0.54373563757883936</v>
      </c>
      <c r="E423">
        <f>'10years_f'!E964-'10years_f'!$G964</f>
        <v>0.37772029458050138</v>
      </c>
      <c r="F423">
        <f>'10years_f'!F964-'10years_f'!$G964</f>
        <v>0.26514029532627603</v>
      </c>
      <c r="G423">
        <f>'10years_f'!H964-'10years_f'!$I964</f>
        <v>0.44151498714571913</v>
      </c>
    </row>
    <row r="424" spans="1:7" x14ac:dyDescent="0.35">
      <c r="A424" s="1">
        <v>38807</v>
      </c>
      <c r="B424">
        <f>'10years_f'!B965-'10years_f'!$G965</f>
        <v>0.49784806602624676</v>
      </c>
      <c r="C424">
        <f>'10years_f'!C965-'10years_f'!$G965</f>
        <v>0.31515220965583945</v>
      </c>
      <c r="D424">
        <f>'10years_f'!D965-'10years_f'!$G965</f>
        <v>0.59683514800759663</v>
      </c>
      <c r="E424">
        <f>'10years_f'!E965-'10years_f'!$G965</f>
        <v>0.4296050352914198</v>
      </c>
      <c r="F424">
        <f>'10years_f'!F965-'10years_f'!$G965</f>
        <v>0.3120326793724153</v>
      </c>
      <c r="G424">
        <f>'10years_f'!H965-'10years_f'!$I965</f>
        <v>0.48821389527924364</v>
      </c>
    </row>
    <row r="425" spans="1:7" x14ac:dyDescent="0.35">
      <c r="A425" s="1">
        <v>38835</v>
      </c>
      <c r="B425">
        <f>'10years_f'!B966-'10years_f'!$G966</f>
        <v>0.49359584678905222</v>
      </c>
      <c r="C425">
        <f>'10years_f'!C966-'10years_f'!$G966</f>
        <v>0.31094010778391912</v>
      </c>
      <c r="D425">
        <f>'10years_f'!D966-'10years_f'!$G966</f>
        <v>0.60139183089309434</v>
      </c>
      <c r="E425">
        <f>'10years_f'!E966-'10years_f'!$G966</f>
        <v>0.4341634676473749</v>
      </c>
      <c r="F425">
        <f>'10years_f'!F966-'10years_f'!$G966</f>
        <v>0.30681774283387586</v>
      </c>
      <c r="G425">
        <f>'10years_f'!H966-'10years_f'!$I966</f>
        <v>0.48422247944350794</v>
      </c>
    </row>
    <row r="426" spans="1:7" x14ac:dyDescent="0.35">
      <c r="A426" s="1">
        <v>38868</v>
      </c>
      <c r="B426">
        <f>'10years_f'!B967-'10years_f'!$G967</f>
        <v>0.53613500976486894</v>
      </c>
      <c r="C426">
        <f>'10years_f'!C967-'10years_f'!$G967</f>
        <v>0.35316464789055613</v>
      </c>
      <c r="D426">
        <f>'10years_f'!D967-'10years_f'!$G967</f>
        <v>0.64065189273766276</v>
      </c>
      <c r="E426">
        <f>'10years_f'!E967-'10years_f'!$G967</f>
        <v>0.47297379187719391</v>
      </c>
      <c r="F426">
        <f>'10years_f'!F967-'10years_f'!$G967</f>
        <v>0.34892533960920535</v>
      </c>
      <c r="G426">
        <f>'10years_f'!H967-'10years_f'!$I967</f>
        <v>0.52709265013061168</v>
      </c>
    </row>
    <row r="427" spans="1:7" x14ac:dyDescent="0.35">
      <c r="A427" s="1">
        <v>38898</v>
      </c>
      <c r="B427">
        <f>'10years_f'!B968-'10years_f'!$G968</f>
        <v>0.5398645871142187</v>
      </c>
      <c r="C427">
        <f>'10years_f'!C968-'10years_f'!$G968</f>
        <v>0.35653093776882239</v>
      </c>
      <c r="D427">
        <f>'10years_f'!D968-'10years_f'!$G968</f>
        <v>0.64502716424351059</v>
      </c>
      <c r="E427">
        <f>'10years_f'!E968-'10years_f'!$G968</f>
        <v>0.47681973985982884</v>
      </c>
      <c r="F427">
        <f>'10years_f'!F968-'10years_f'!$G968</f>
        <v>0.35242971204845697</v>
      </c>
      <c r="G427">
        <f>'10years_f'!H968-'10years_f'!$I968</f>
        <v>0.53115813580577598</v>
      </c>
    </row>
    <row r="428" spans="1:7" x14ac:dyDescent="0.35">
      <c r="A428" s="1">
        <v>38929</v>
      </c>
      <c r="B428">
        <f>'10years_f'!B969-'10years_f'!$G969</f>
        <v>0.5681354474854543</v>
      </c>
      <c r="C428">
        <f>'10years_f'!C969-'10years_f'!$G969</f>
        <v>0.3846314759761742</v>
      </c>
      <c r="D428">
        <f>'10years_f'!D969-'10years_f'!$G969</f>
        <v>0.69553222253037328</v>
      </c>
      <c r="E428">
        <f>'10years_f'!E969-'10years_f'!$G969</f>
        <v>0.52729016694234287</v>
      </c>
      <c r="F428">
        <f>'10years_f'!F969-'10years_f'!$G969</f>
        <v>0.3802805789593493</v>
      </c>
      <c r="G428">
        <f>'10years_f'!H969-'10years_f'!$I969</f>
        <v>0.55976559382157065</v>
      </c>
    </row>
    <row r="429" spans="1:7" x14ac:dyDescent="0.35">
      <c r="A429" s="1">
        <v>38960</v>
      </c>
      <c r="B429">
        <f>'10years_f'!B970-'10years_f'!$G970</f>
        <v>0.55210071209254319</v>
      </c>
      <c r="C429">
        <f>'10years_f'!C970-'10years_f'!$G970</f>
        <v>0.36844088244220319</v>
      </c>
      <c r="D429">
        <f>'10years_f'!D970-'10years_f'!$G970</f>
        <v>0.67518937478815721</v>
      </c>
      <c r="E429">
        <f>'10years_f'!E970-'10years_f'!$G970</f>
        <v>0.50656295540788832</v>
      </c>
      <c r="F429">
        <f>'10years_f'!F970-'10years_f'!$G970</f>
        <v>0.36457094538676915</v>
      </c>
      <c r="G429">
        <f>'10years_f'!H970-'10years_f'!$I970</f>
        <v>0.54416286076208742</v>
      </c>
    </row>
    <row r="430" spans="1:7" x14ac:dyDescent="0.35">
      <c r="A430" s="1">
        <v>38989</v>
      </c>
      <c r="B430">
        <f>'10years_f'!B971-'10years_f'!$G971</f>
        <v>0.53341758858508825</v>
      </c>
      <c r="C430">
        <f>'10years_f'!C971-'10years_f'!$G971</f>
        <v>0.34953058933721515</v>
      </c>
      <c r="D430">
        <f>'10years_f'!D971-'10years_f'!$G971</f>
        <v>0.65673880154883335</v>
      </c>
      <c r="E430">
        <f>'10years_f'!E971-'10years_f'!$G971</f>
        <v>0.48760858345022129</v>
      </c>
      <c r="F430">
        <f>'10years_f'!F971-'10years_f'!$G971</f>
        <v>0.3460890584387748</v>
      </c>
      <c r="G430">
        <f>'10years_f'!H971-'10years_f'!$I971</f>
        <v>0.52585759133936261</v>
      </c>
    </row>
    <row r="431" spans="1:7" x14ac:dyDescent="0.35">
      <c r="A431" s="1">
        <v>39021</v>
      </c>
      <c r="B431">
        <f>'10years_f'!B972-'10years_f'!$G972</f>
        <v>0.49426762000883451</v>
      </c>
      <c r="C431">
        <f>'10years_f'!C972-'10years_f'!$G972</f>
        <v>0.31029018522832108</v>
      </c>
      <c r="D431">
        <f>'10years_f'!D972-'10years_f'!$G972</f>
        <v>0.60877532240914722</v>
      </c>
      <c r="E431">
        <f>'10years_f'!E972-'10years_f'!$G972</f>
        <v>0.43977739669935656</v>
      </c>
      <c r="F431">
        <f>'10years_f'!F972-'10years_f'!$G972</f>
        <v>0.30658003624723684</v>
      </c>
      <c r="G431">
        <f>'10years_f'!H972-'10years_f'!$I972</f>
        <v>0.48712923277310916</v>
      </c>
    </row>
    <row r="432" spans="1:7" x14ac:dyDescent="0.35">
      <c r="A432" s="1">
        <v>39051</v>
      </c>
      <c r="B432">
        <f>'10years_f'!B973-'10years_f'!$G973</f>
        <v>0.51147863386782566</v>
      </c>
      <c r="C432">
        <f>'10years_f'!C973-'10years_f'!$G973</f>
        <v>0.32727904092637816</v>
      </c>
      <c r="D432">
        <f>'10years_f'!D973-'10years_f'!$G973</f>
        <v>0.6329951173033499</v>
      </c>
      <c r="E432">
        <f>'10years_f'!E973-'10years_f'!$G973</f>
        <v>0.46364793767799339</v>
      </c>
      <c r="F432">
        <f>'10years_f'!F973-'10years_f'!$G973</f>
        <v>0.32401756727871378</v>
      </c>
      <c r="G432">
        <f>'10years_f'!H973-'10years_f'!$I973</f>
        <v>0.50472974195223674</v>
      </c>
    </row>
    <row r="433" spans="1:7" x14ac:dyDescent="0.35">
      <c r="A433" s="1">
        <v>39080</v>
      </c>
      <c r="B433">
        <f>'10years_f'!B974-'10years_f'!$G974</f>
        <v>0.51864891045470696</v>
      </c>
      <c r="C433">
        <f>'10years_f'!C974-'10years_f'!$G974</f>
        <v>0.33432183548392658</v>
      </c>
      <c r="D433">
        <f>'10years_f'!D974-'10years_f'!$G974</f>
        <v>0.63777227305049244</v>
      </c>
      <c r="E433">
        <f>'10years_f'!E974-'10years_f'!$G974</f>
        <v>0.46811349687150994</v>
      </c>
      <c r="F433">
        <f>'10years_f'!F974-'10years_f'!$G974</f>
        <v>0.33130698587014606</v>
      </c>
      <c r="G433">
        <f>'10years_f'!H974-'10years_f'!$I974</f>
        <v>0.51229103136199994</v>
      </c>
    </row>
    <row r="434" spans="1:7" x14ac:dyDescent="0.35">
      <c r="A434" s="1">
        <v>39113</v>
      </c>
      <c r="B434">
        <f>'10years_f'!B975-'10years_f'!$G975</f>
        <v>0.52484571235684974</v>
      </c>
      <c r="C434">
        <f>'10years_f'!C975-'10years_f'!$G975</f>
        <v>0.34042942376697716</v>
      </c>
      <c r="D434">
        <f>'10years_f'!D975-'10years_f'!$G975</f>
        <v>0.63837264199529087</v>
      </c>
      <c r="E434">
        <f>'10years_f'!E975-'10years_f'!$G975</f>
        <v>0.46869384253987145</v>
      </c>
      <c r="F434">
        <f>'10years_f'!F975-'10years_f'!$G975</f>
        <v>0.33729952379506734</v>
      </c>
      <c r="G434">
        <f>'10years_f'!H975-'10years_f'!$I975</f>
        <v>0.51895166737855325</v>
      </c>
    </row>
    <row r="435" spans="1:7" x14ac:dyDescent="0.35">
      <c r="A435" s="1">
        <v>39141</v>
      </c>
      <c r="B435">
        <f>'10years_f'!B976-'10years_f'!$G976</f>
        <v>0.57608049846816622</v>
      </c>
      <c r="C435">
        <f>'10years_f'!C976-'10years_f'!$G976</f>
        <v>0.39160817449456053</v>
      </c>
      <c r="D435">
        <f>'10years_f'!D976-'10years_f'!$G976</f>
        <v>0.66951866060776921</v>
      </c>
      <c r="E435">
        <f>'10years_f'!E976-'10years_f'!$G976</f>
        <v>0.49945455548708728</v>
      </c>
      <c r="F435">
        <f>'10years_f'!F976-'10years_f'!$G976</f>
        <v>0.38880674599787013</v>
      </c>
      <c r="G435">
        <f>'10years_f'!H976-'10years_f'!$I976</f>
        <v>0.57048362960926413</v>
      </c>
    </row>
    <row r="436" spans="1:7" x14ac:dyDescent="0.35">
      <c r="A436" s="1">
        <v>39171</v>
      </c>
      <c r="B436">
        <f>'10years_f'!B977-'10years_f'!$G977</f>
        <v>0.57124176892294987</v>
      </c>
      <c r="C436">
        <f>'10years_f'!C977-'10years_f'!$G977</f>
        <v>0.38644460845794981</v>
      </c>
      <c r="D436">
        <f>'10years_f'!D977-'10years_f'!$G977</f>
        <v>0.66638754200300188</v>
      </c>
      <c r="E436">
        <f>'10years_f'!E977-'10years_f'!$G977</f>
        <v>0.4958203512199022</v>
      </c>
      <c r="F436">
        <f>'10years_f'!F977-'10years_f'!$G977</f>
        <v>0.38302232150490223</v>
      </c>
      <c r="G436">
        <f>'10years_f'!H977-'10years_f'!$I977</f>
        <v>0.56615317367236795</v>
      </c>
    </row>
    <row r="437" spans="1:7" x14ac:dyDescent="0.35">
      <c r="A437" s="1">
        <v>39202</v>
      </c>
      <c r="B437">
        <f>'10years_f'!B978-'10years_f'!$G978</f>
        <v>0.54672127385666203</v>
      </c>
      <c r="C437">
        <f>'10years_f'!C978-'10years_f'!$G978</f>
        <v>0.36192919131723089</v>
      </c>
      <c r="D437">
        <f>'10years_f'!D978-'10years_f'!$G978</f>
        <v>0.63929670900943725</v>
      </c>
      <c r="E437">
        <f>'10years_f'!E978-'10years_f'!$G978</f>
        <v>0.46921557785384005</v>
      </c>
      <c r="F437">
        <f>'10years_f'!F978-'10years_f'!$G978</f>
        <v>0.35787124566932471</v>
      </c>
      <c r="G437">
        <f>'10years_f'!H978-'10years_f'!$I978</f>
        <v>0.54218041135754014</v>
      </c>
    </row>
    <row r="438" spans="1:7" x14ac:dyDescent="0.35">
      <c r="A438" s="1">
        <v>39233</v>
      </c>
      <c r="B438">
        <f>'10years_f'!B979-'10years_f'!$G979</f>
        <v>0.53290219583671439</v>
      </c>
      <c r="C438">
        <f>'10years_f'!C979-'10years_f'!$G979</f>
        <v>0.34783309569382714</v>
      </c>
      <c r="D438">
        <f>'10years_f'!D979-'10years_f'!$G979</f>
        <v>0.61863548858417294</v>
      </c>
      <c r="E438">
        <f>'10years_f'!E979-'10years_f'!$G979</f>
        <v>0.44809557937829281</v>
      </c>
      <c r="F438">
        <f>'10years_f'!F979-'10years_f'!$G979</f>
        <v>0.34317134216904543</v>
      </c>
      <c r="G438">
        <f>'10years_f'!H979-'10years_f'!$I979</f>
        <v>0.52884563786083083</v>
      </c>
    </row>
    <row r="439" spans="1:7" x14ac:dyDescent="0.35">
      <c r="A439" s="1">
        <v>39262</v>
      </c>
      <c r="B439">
        <f>'10years_f'!B980-'10years_f'!$G980</f>
        <v>0.55419514096698008</v>
      </c>
      <c r="C439">
        <f>'10years_f'!C980-'10years_f'!$G980</f>
        <v>0.36892681261285332</v>
      </c>
      <c r="D439">
        <f>'10years_f'!D980-'10years_f'!$G980</f>
        <v>0.64755101182330654</v>
      </c>
      <c r="E439">
        <f>'10years_f'!E980-'10years_f'!$G980</f>
        <v>0.476544365074967</v>
      </c>
      <c r="F439">
        <f>'10years_f'!F980-'10years_f'!$G980</f>
        <v>0.36462789169440923</v>
      </c>
      <c r="G439">
        <f>'10years_f'!H980-'10years_f'!$I980</f>
        <v>0.55054404574139681</v>
      </c>
    </row>
    <row r="440" spans="1:7" x14ac:dyDescent="0.35">
      <c r="A440" s="1">
        <v>39294</v>
      </c>
      <c r="B440">
        <f>'10years_f'!B981-'10years_f'!$G981</f>
        <v>0.60025655692738589</v>
      </c>
      <c r="C440">
        <f>'10years_f'!C981-'10years_f'!$G981</f>
        <v>0.41458754016496169</v>
      </c>
      <c r="D440">
        <f>'10years_f'!D981-'10years_f'!$G981</f>
        <v>0.70171699719289649</v>
      </c>
      <c r="E440">
        <f>'10years_f'!E981-'10years_f'!$G981</f>
        <v>0.53011226292442526</v>
      </c>
      <c r="F440">
        <f>'10years_f'!F981-'10years_f'!$G981</f>
        <v>0.41018002212397864</v>
      </c>
      <c r="G440">
        <f>'10years_f'!H981-'10years_f'!$I981</f>
        <v>0.59697988859480633</v>
      </c>
    </row>
    <row r="441" spans="1:7" x14ac:dyDescent="0.35">
      <c r="A441" s="1">
        <v>39325</v>
      </c>
      <c r="B441">
        <f>'10years_f'!B982-'10years_f'!$G982</f>
        <v>0.59184003556835907</v>
      </c>
      <c r="C441">
        <f>'10years_f'!C982-'10years_f'!$G982</f>
        <v>0.40589331714602284</v>
      </c>
      <c r="D441">
        <f>'10years_f'!D982-'10years_f'!$G982</f>
        <v>0.6942999846173421</v>
      </c>
      <c r="E441">
        <f>'10years_f'!E982-'10years_f'!$G982</f>
        <v>0.52236670710239586</v>
      </c>
      <c r="F441">
        <f>'10years_f'!F982-'10years_f'!$G982</f>
        <v>0.40221019514479273</v>
      </c>
      <c r="G441">
        <f>'10years_f'!H982-'10years_f'!$I982</f>
        <v>0.58902921399235364</v>
      </c>
    </row>
    <row r="442" spans="1:7" x14ac:dyDescent="0.35">
      <c r="A442" s="1">
        <v>39353</v>
      </c>
      <c r="B442">
        <f>'10years_f'!B983-'10years_f'!$G983</f>
        <v>0.57928497880953</v>
      </c>
      <c r="C442">
        <f>'10years_f'!C983-'10years_f'!$G983</f>
        <v>0.39353788858143557</v>
      </c>
      <c r="D442">
        <f>'10years_f'!D983-'10years_f'!$G983</f>
        <v>0.70007498804774415</v>
      </c>
      <c r="E442">
        <f>'10years_f'!E983-'10years_f'!$G983</f>
        <v>0.52790723552147978</v>
      </c>
      <c r="F442">
        <f>'10years_f'!F983-'10years_f'!$G983</f>
        <v>0.39042018285607161</v>
      </c>
      <c r="G442">
        <f>'10years_f'!H983-'10years_f'!$I983</f>
        <v>0.57675914038337606</v>
      </c>
    </row>
    <row r="443" spans="1:7" x14ac:dyDescent="0.35">
      <c r="A443" s="1">
        <v>39386</v>
      </c>
      <c r="B443">
        <f>'10years_f'!B984-'10years_f'!$G984</f>
        <v>0.58648591579199549</v>
      </c>
      <c r="C443">
        <f>'10years_f'!C984-'10years_f'!$G984</f>
        <v>0.40068692464425015</v>
      </c>
      <c r="D443">
        <f>'10years_f'!D984-'10years_f'!$G984</f>
        <v>0.69914618942818474</v>
      </c>
      <c r="E443">
        <f>'10years_f'!E984-'10years_f'!$G984</f>
        <v>0.52694170326110235</v>
      </c>
      <c r="F443">
        <f>'10years_f'!F984-'10years_f'!$G984</f>
        <v>0.39811096745636099</v>
      </c>
      <c r="G443">
        <f>'10years_f'!H984-'10years_f'!$I984</f>
        <v>0.58423563377005827</v>
      </c>
    </row>
    <row r="444" spans="1:7" x14ac:dyDescent="0.35">
      <c r="A444" s="1">
        <v>39416</v>
      </c>
      <c r="B444">
        <f>'10years_f'!B985-'10years_f'!$G985</f>
        <v>0.64969542882096021</v>
      </c>
      <c r="C444">
        <f>'10years_f'!C985-'10years_f'!$G985</f>
        <v>0.46365040081073139</v>
      </c>
      <c r="D444">
        <f>'10years_f'!D985-'10years_f'!$G985</f>
        <v>0.77582919011371732</v>
      </c>
      <c r="E444">
        <f>'10years_f'!E985-'10years_f'!$G985</f>
        <v>0.60339449426742653</v>
      </c>
      <c r="F444">
        <f>'10years_f'!F985-'10years_f'!$G985</f>
        <v>0.46084483993369196</v>
      </c>
      <c r="G444">
        <f>'10years_f'!H985-'10years_f'!$I985</f>
        <v>0.64770560824569667</v>
      </c>
    </row>
    <row r="445" spans="1:7" x14ac:dyDescent="0.35">
      <c r="A445" s="1">
        <v>39447</v>
      </c>
      <c r="B445">
        <f>'10years_f'!B986-'10years_f'!$G986</f>
        <v>0.66544879800992196</v>
      </c>
      <c r="C445">
        <f>'10years_f'!C986-'10years_f'!$G986</f>
        <v>0.47980847675060478</v>
      </c>
      <c r="D445">
        <f>'10years_f'!D986-'10years_f'!$G986</f>
        <v>0.80223310691239313</v>
      </c>
      <c r="E445">
        <f>'10years_f'!E986-'10years_f'!$G986</f>
        <v>0.630056167798416</v>
      </c>
      <c r="F445">
        <f>'10years_f'!F986-'10years_f'!$G986</f>
        <v>0.47759899390449978</v>
      </c>
      <c r="G445">
        <f>'10years_f'!H986-'10years_f'!$I986</f>
        <v>0.66363598502302557</v>
      </c>
    </row>
    <row r="446" spans="1:7" x14ac:dyDescent="0.35">
      <c r="A446" s="1">
        <v>39478</v>
      </c>
      <c r="B446">
        <f>'10years_f'!B987-'10years_f'!$G987</f>
        <v>0.76647149739374365</v>
      </c>
      <c r="C446">
        <f>'10years_f'!C987-'10years_f'!$G987</f>
        <v>0.580861954289007</v>
      </c>
      <c r="D446">
        <f>'10years_f'!D987-'10years_f'!$G987</f>
        <v>0.87838798307406263</v>
      </c>
      <c r="E446">
        <f>'10years_f'!E987-'10years_f'!$G987</f>
        <v>0.70618857956116665</v>
      </c>
      <c r="F446">
        <f>'10years_f'!F987-'10years_f'!$G987</f>
        <v>0.57694006862700098</v>
      </c>
      <c r="G446">
        <f>'10years_f'!H987-'10years_f'!$I987</f>
        <v>0.76461016313175145</v>
      </c>
    </row>
    <row r="447" spans="1:7" x14ac:dyDescent="0.35">
      <c r="A447" s="1">
        <v>39507</v>
      </c>
      <c r="B447">
        <f>'10years_f'!B988-'10years_f'!$G988</f>
        <v>0.76119349758714105</v>
      </c>
      <c r="C447">
        <f>'10years_f'!C988-'10years_f'!$G988</f>
        <v>0.57578458605795757</v>
      </c>
      <c r="D447">
        <f>'10years_f'!D988-'10years_f'!$G988</f>
        <v>0.86645124631094927</v>
      </c>
      <c r="E447">
        <f>'10years_f'!E988-'10years_f'!$G988</f>
        <v>0.69430911660626049</v>
      </c>
      <c r="F447">
        <f>'10years_f'!F988-'10years_f'!$G988</f>
        <v>0.57344874548132929</v>
      </c>
      <c r="G447">
        <f>'10years_f'!H988-'10years_f'!$I988</f>
        <v>0.75935179212662796</v>
      </c>
    </row>
    <row r="448" spans="1:7" x14ac:dyDescent="0.35">
      <c r="A448" s="1">
        <v>39538</v>
      </c>
      <c r="B448">
        <f>'10years_f'!B989-'10years_f'!$G989</f>
        <v>0.74284506607709822</v>
      </c>
      <c r="C448">
        <f>'10years_f'!C989-'10years_f'!$G989</f>
        <v>0.55745728659462723</v>
      </c>
      <c r="D448">
        <f>'10years_f'!D989-'10years_f'!$G989</f>
        <v>0.87042970335156755</v>
      </c>
      <c r="E448">
        <f>'10years_f'!E989-'10years_f'!$G989</f>
        <v>0.69785955491462182</v>
      </c>
      <c r="F448">
        <f>'10years_f'!F989-'10years_f'!$G989</f>
        <v>0.55606375453339374</v>
      </c>
      <c r="G448">
        <f>'10years_f'!H989-'10years_f'!$I989</f>
        <v>0.74109963010559055</v>
      </c>
    </row>
    <row r="449" spans="1:7" x14ac:dyDescent="0.35">
      <c r="A449" s="1">
        <v>39568</v>
      </c>
      <c r="B449">
        <f>'10years_f'!B990-'10years_f'!$G990</f>
        <v>0.70643286659013471</v>
      </c>
      <c r="C449">
        <f>'10years_f'!C990-'10years_f'!$G990</f>
        <v>0.52109279362870842</v>
      </c>
      <c r="D449">
        <f>'10years_f'!D990-'10years_f'!$G990</f>
        <v>0.83104234555828649</v>
      </c>
      <c r="E449">
        <f>'10years_f'!E990-'10years_f'!$G990</f>
        <v>0.65850813652379481</v>
      </c>
      <c r="F449">
        <f>'10years_f'!F990-'10years_f'!$G990</f>
        <v>0.51970682145132718</v>
      </c>
      <c r="G449">
        <f>'10years_f'!H990-'10years_f'!$I990</f>
        <v>0.70477236788146769</v>
      </c>
    </row>
    <row r="450" spans="1:7" x14ac:dyDescent="0.35">
      <c r="A450" s="1">
        <v>39598</v>
      </c>
      <c r="B450">
        <f>'10years_f'!B991-'10years_f'!$G991</f>
        <v>0.71564018972616394</v>
      </c>
      <c r="C450">
        <f>'10years_f'!C991-'10years_f'!$G991</f>
        <v>0.53013549023326401</v>
      </c>
      <c r="D450">
        <f>'10years_f'!D991-'10years_f'!$G991</f>
        <v>0.82300851491383731</v>
      </c>
      <c r="E450">
        <f>'10years_f'!E991-'10years_f'!$G991</f>
        <v>0.6503803334452003</v>
      </c>
      <c r="F450">
        <f>'10years_f'!F991-'10years_f'!$G991</f>
        <v>0.52901629593176192</v>
      </c>
      <c r="G450">
        <f>'10years_f'!H991-'10years_f'!$I991</f>
        <v>0.71402866559879818</v>
      </c>
    </row>
    <row r="451" spans="1:7" x14ac:dyDescent="0.35">
      <c r="A451" s="1">
        <v>39629</v>
      </c>
      <c r="B451">
        <f>'10years_f'!B992-'10years_f'!$G992</f>
        <v>0.79420805041228237</v>
      </c>
      <c r="C451">
        <f>'10years_f'!C992-'10years_f'!$G992</f>
        <v>0.60902863593652667</v>
      </c>
      <c r="D451">
        <f>'10years_f'!D992-'10years_f'!$G992</f>
        <v>0.91966573210751146</v>
      </c>
      <c r="E451">
        <f>'10years_f'!E992-'10years_f'!$G992</f>
        <v>0.74696517729693279</v>
      </c>
      <c r="F451">
        <f>'10years_f'!F992-'10years_f'!$G992</f>
        <v>0.60863080717603668</v>
      </c>
      <c r="G451">
        <f>'10years_f'!H992-'10years_f'!$I992</f>
        <v>0.7925879012106396</v>
      </c>
    </row>
    <row r="452" spans="1:7" x14ac:dyDescent="0.35">
      <c r="A452" s="1">
        <v>39660</v>
      </c>
      <c r="B452">
        <f>'10years_f'!B993-'10years_f'!$G993</f>
        <v>0.83094167233778782</v>
      </c>
      <c r="C452">
        <f>'10years_f'!C993-'10years_f'!$G993</f>
        <v>0.6459555317695993</v>
      </c>
      <c r="D452">
        <f>'10years_f'!D993-'10years_f'!$G993</f>
        <v>0.9494009793666387</v>
      </c>
      <c r="E452">
        <f>'10years_f'!E993-'10years_f'!$G993</f>
        <v>0.77697459449243622</v>
      </c>
      <c r="F452">
        <f>'10years_f'!F993-'10years_f'!$G993</f>
        <v>0.64654888857126958</v>
      </c>
      <c r="G452">
        <f>'10years_f'!H993-'10years_f'!$I993</f>
        <v>0.82931186318440098</v>
      </c>
    </row>
    <row r="453" spans="1:7" x14ac:dyDescent="0.35">
      <c r="A453" s="1">
        <v>39689</v>
      </c>
      <c r="B453">
        <f>'10years_f'!B994-'10years_f'!$G994</f>
        <v>0.84548021696964404</v>
      </c>
      <c r="C453">
        <f>'10years_f'!C994-'10years_f'!$G994</f>
        <v>0.66048513227159655</v>
      </c>
      <c r="D453">
        <f>'10years_f'!D994-'10years_f'!$G994</f>
        <v>0.94231328894421096</v>
      </c>
      <c r="E453">
        <f>'10years_f'!E994-'10years_f'!$G994</f>
        <v>0.76984942239395671</v>
      </c>
      <c r="F453">
        <f>'10years_f'!F994-'10years_f'!$G994</f>
        <v>0.66117281289817309</v>
      </c>
      <c r="G453">
        <f>'10years_f'!H994-'10years_f'!$I994</f>
        <v>0.84378408307538288</v>
      </c>
    </row>
    <row r="454" spans="1:7" x14ac:dyDescent="0.35">
      <c r="A454" s="1">
        <v>39721</v>
      </c>
      <c r="B454">
        <f>'10years_f'!B995-'10years_f'!$G995</f>
        <v>0.92491595852122521</v>
      </c>
      <c r="C454">
        <f>'10years_f'!C995-'10years_f'!$G995</f>
        <v>0.74029425669344451</v>
      </c>
      <c r="D454">
        <f>'10years_f'!D995-'10years_f'!$G995</f>
        <v>1.0355185839191516</v>
      </c>
      <c r="E454">
        <f>'10years_f'!E995-'10years_f'!$G995</f>
        <v>0.86312897036513792</v>
      </c>
      <c r="F454">
        <f>'10years_f'!F995-'10years_f'!$G995</f>
        <v>0.74466066019867383</v>
      </c>
      <c r="G454">
        <f>'10years_f'!H995-'10years_f'!$I995</f>
        <v>0.92311764255263995</v>
      </c>
    </row>
    <row r="455" spans="1:7" x14ac:dyDescent="0.35">
      <c r="A455" s="1">
        <v>39752</v>
      </c>
      <c r="B455">
        <f>'10years_f'!B996-'10years_f'!$G996</f>
        <v>1.0182126889233836</v>
      </c>
      <c r="C455">
        <f>'10years_f'!C996-'10years_f'!$G996</f>
        <v>0.8339307149908628</v>
      </c>
      <c r="D455">
        <f>'10years_f'!D996-'10years_f'!$G996</f>
        <v>1.1683321289135764</v>
      </c>
      <c r="E455">
        <f>'10years_f'!E996-'10years_f'!$G996</f>
        <v>0.99611353288734628</v>
      </c>
      <c r="F455">
        <f>'10years_f'!F996-'10years_f'!$G996</f>
        <v>0.83936262735605749</v>
      </c>
      <c r="G455">
        <f>'10years_f'!H996-'10years_f'!$I996</f>
        <v>1.0161216757088698</v>
      </c>
    </row>
    <row r="456" spans="1:7" x14ac:dyDescent="0.35">
      <c r="A456" s="1">
        <v>39780</v>
      </c>
      <c r="B456">
        <f>'10years_f'!B997-'10years_f'!$G997</f>
        <v>1.0978458502485253</v>
      </c>
      <c r="C456">
        <f>'10years_f'!C997-'10years_f'!$G997</f>
        <v>0.91408754422002225</v>
      </c>
      <c r="D456">
        <f>'10years_f'!D997-'10years_f'!$G997</f>
        <v>1.2822931579228323</v>
      </c>
      <c r="E456">
        <f>'10years_f'!E997-'10years_f'!$G997</f>
        <v>1.1107155255122301</v>
      </c>
      <c r="F456">
        <f>'10years_f'!F997-'10years_f'!$G997</f>
        <v>0.91850458718498817</v>
      </c>
      <c r="G456">
        <f>'10years_f'!H997-'10years_f'!$I997</f>
        <v>1.0954067758986663</v>
      </c>
    </row>
    <row r="457" spans="1:7" x14ac:dyDescent="0.35">
      <c r="A457" s="1">
        <v>39813</v>
      </c>
      <c r="B457">
        <f>'10years_f'!B998-'10years_f'!$G998</f>
        <v>1.006210596568627</v>
      </c>
      <c r="C457">
        <f>'10years_f'!C998-'10years_f'!$G998</f>
        <v>0.82348983771141371</v>
      </c>
      <c r="D457">
        <f>'10years_f'!D998-'10years_f'!$G998</f>
        <v>1.1552176915915953</v>
      </c>
      <c r="E457">
        <f>'10years_f'!E998-'10years_f'!$G998</f>
        <v>0.98473620767090275</v>
      </c>
      <c r="F457">
        <f>'10years_f'!F998-'10years_f'!$G998</f>
        <v>0.82945591022376708</v>
      </c>
      <c r="G457">
        <f>'10years_f'!H998-'10years_f'!$I998</f>
        <v>1.0037168094579774</v>
      </c>
    </row>
    <row r="458" spans="1:7" x14ac:dyDescent="0.35">
      <c r="A458" s="1">
        <v>39843</v>
      </c>
      <c r="B458">
        <f>'10years_f'!B999-'10years_f'!$G999</f>
        <v>1.1431670351834087</v>
      </c>
      <c r="C458">
        <f>'10years_f'!C999-'10years_f'!$G999</f>
        <v>0.9604244437663465</v>
      </c>
      <c r="D458">
        <f>'10years_f'!D999-'10years_f'!$G999</f>
        <v>1.3036841473876257</v>
      </c>
      <c r="E458">
        <f>'10years_f'!E999-'10years_f'!$G999</f>
        <v>1.1329650792413291</v>
      </c>
      <c r="F458">
        <f>'10years_f'!F999-'10years_f'!$G999</f>
        <v>0.96684184531189077</v>
      </c>
      <c r="G458">
        <f>'10years_f'!H999-'10years_f'!$I999</f>
        <v>1.1403819639597246</v>
      </c>
    </row>
    <row r="459" spans="1:7" x14ac:dyDescent="0.35">
      <c r="A459" s="1">
        <v>39871</v>
      </c>
      <c r="B459">
        <f>'10years_f'!B1000-'10years_f'!$G1000</f>
        <v>1.2604174332263942</v>
      </c>
      <c r="C459">
        <f>'10years_f'!C1000-'10years_f'!$G1000</f>
        <v>1.0791645389536844</v>
      </c>
      <c r="D459">
        <f>'10years_f'!D1000-'10years_f'!$G1000</f>
        <v>1.4378834977920065</v>
      </c>
      <c r="E459">
        <f>'10years_f'!E1000-'10years_f'!$G1000</f>
        <v>1.2680361025551181</v>
      </c>
      <c r="F459">
        <f>'10years_f'!F1000-'10years_f'!$G1000</f>
        <v>1.0882512629656929</v>
      </c>
      <c r="G459">
        <f>'10years_f'!H1000-'10years_f'!$I1000</f>
        <v>1.257383746240115</v>
      </c>
    </row>
    <row r="460" spans="1:7" x14ac:dyDescent="0.35">
      <c r="A460" s="1">
        <v>39903</v>
      </c>
      <c r="B460">
        <f>'10years_f'!B1001-'10years_f'!$G1001</f>
        <v>1.2045318766962616</v>
      </c>
      <c r="C460">
        <f>'10years_f'!C1001-'10years_f'!$G1001</f>
        <v>1.0248156320240049</v>
      </c>
      <c r="D460">
        <f>'10years_f'!D1001-'10years_f'!$G1001</f>
        <v>1.3564665452105036</v>
      </c>
      <c r="E460">
        <f>'10years_f'!E1001-'10years_f'!$G1001</f>
        <v>1.187835697838417</v>
      </c>
      <c r="F460">
        <f>'10years_f'!F1001-'10years_f'!$G1001</f>
        <v>1.0328576867627488</v>
      </c>
      <c r="G460">
        <f>'10years_f'!H1001-'10years_f'!$I1001</f>
        <v>1.2014374946905715</v>
      </c>
    </row>
    <row r="461" spans="1:7" x14ac:dyDescent="0.35">
      <c r="A461" s="1">
        <v>39933</v>
      </c>
      <c r="B461">
        <f>'10years_f'!B1002-'10years_f'!$G1002</f>
        <v>1.1606191835256516</v>
      </c>
      <c r="C461">
        <f>'10years_f'!C1002-'10years_f'!$G1002</f>
        <v>0.9813326721715252</v>
      </c>
      <c r="D461">
        <f>'10years_f'!D1002-'10years_f'!$G1002</f>
        <v>1.2421022359416276</v>
      </c>
      <c r="E461">
        <f>'10years_f'!E1002-'10years_f'!$G1002</f>
        <v>1.0738101805026044</v>
      </c>
      <c r="F461">
        <f>'10years_f'!F1002-'10years_f'!$G1002</f>
        <v>0.98818624646065922</v>
      </c>
      <c r="G461">
        <f>'10years_f'!H1002-'10years_f'!$I1002</f>
        <v>1.1574493418765597</v>
      </c>
    </row>
    <row r="462" spans="1:7" x14ac:dyDescent="0.35">
      <c r="A462" s="1">
        <v>39962</v>
      </c>
      <c r="B462">
        <f>'10years_f'!B1003-'10years_f'!$G1003</f>
        <v>1.0591279924886194</v>
      </c>
      <c r="C462">
        <f>'10years_f'!C1003-'10years_f'!$G1003</f>
        <v>0.88016605325516206</v>
      </c>
      <c r="D462">
        <f>'10years_f'!D1003-'10years_f'!$G1003</f>
        <v>1.1295305416854324</v>
      </c>
      <c r="E462">
        <f>'10years_f'!E1003-'10years_f'!$G1003</f>
        <v>0.96123532320418104</v>
      </c>
      <c r="F462">
        <f>'10years_f'!F1003-'10years_f'!$G1003</f>
        <v>0.88578010627622561</v>
      </c>
      <c r="G462">
        <f>'10years_f'!H1003-'10years_f'!$I1003</f>
        <v>1.0560128721402107</v>
      </c>
    </row>
    <row r="463" spans="1:7" x14ac:dyDescent="0.35">
      <c r="A463" s="1">
        <v>39994</v>
      </c>
      <c r="B463">
        <f>'10years_f'!B1004-'10years_f'!$G1004</f>
        <v>1.1123722187249021</v>
      </c>
      <c r="C463">
        <f>'10years_f'!C1004-'10years_f'!$G1004</f>
        <v>0.93363763784247955</v>
      </c>
      <c r="D463">
        <f>'10years_f'!D1004-'10years_f'!$G1004</f>
        <v>1.1937505500233228</v>
      </c>
      <c r="E463">
        <f>'10years_f'!E1004-'10years_f'!$G1004</f>
        <v>1.0254647529910257</v>
      </c>
      <c r="F463">
        <f>'10years_f'!F1004-'10years_f'!$G1004</f>
        <v>0.94035010219940784</v>
      </c>
      <c r="G463">
        <f>'10years_f'!H1004-'10years_f'!$I1004</f>
        <v>1.1091796439595347</v>
      </c>
    </row>
    <row r="464" spans="1:7" x14ac:dyDescent="0.35">
      <c r="A464" s="1">
        <v>40025</v>
      </c>
      <c r="B464">
        <f>'10years_f'!B1005-'10years_f'!$G1005</f>
        <v>1.0626381248655576</v>
      </c>
      <c r="C464">
        <f>'10years_f'!C1005-'10years_f'!$G1005</f>
        <v>0.88404539846089936</v>
      </c>
      <c r="D464">
        <f>'10years_f'!D1005-'10years_f'!$G1005</f>
        <v>1.1240528031087011</v>
      </c>
      <c r="E464">
        <f>'10years_f'!E1005-'10years_f'!$G1005</f>
        <v>0.95572972675866019</v>
      </c>
      <c r="F464">
        <f>'10years_f'!F1005-'10years_f'!$G1005</f>
        <v>0.88974078888282193</v>
      </c>
      <c r="G464">
        <f>'10years_f'!H1005-'10years_f'!$I1005</f>
        <v>1.0594086900921895</v>
      </c>
    </row>
    <row r="465" spans="1:7" x14ac:dyDescent="0.35">
      <c r="A465" s="1">
        <v>40056</v>
      </c>
      <c r="B465">
        <f>'10years_f'!B1006-'10years_f'!$G1006</f>
        <v>1.0190106838639961</v>
      </c>
      <c r="C465">
        <f>'10years_f'!C1006-'10years_f'!$G1006</f>
        <v>0.84056260616241985</v>
      </c>
      <c r="D465">
        <f>'10years_f'!D1006-'10years_f'!$G1006</f>
        <v>1.0487308166757463</v>
      </c>
      <c r="E465">
        <f>'10years_f'!E1006-'10years_f'!$G1006</f>
        <v>0.88020724388423388</v>
      </c>
      <c r="F465">
        <f>'10years_f'!F1006-'10years_f'!$G1006</f>
        <v>0.84543751458493399</v>
      </c>
      <c r="G465">
        <f>'10years_f'!H1006-'10years_f'!$I1006</f>
        <v>1.0158111182930973</v>
      </c>
    </row>
    <row r="466" spans="1:7" x14ac:dyDescent="0.35">
      <c r="A466" s="1">
        <v>40086</v>
      </c>
      <c r="B466">
        <f>'10years_f'!B1007-'10years_f'!$G1007</f>
        <v>1.0031274871763225</v>
      </c>
      <c r="C466">
        <f>'10years_f'!C1007-'10years_f'!$G1007</f>
        <v>0.82471364715776829</v>
      </c>
      <c r="D466">
        <f>'10years_f'!D1007-'10years_f'!$G1007</f>
        <v>1.0320432717389334</v>
      </c>
      <c r="E466">
        <f>'10years_f'!E1007-'10years_f'!$G1007</f>
        <v>0.86318304704810789</v>
      </c>
      <c r="F466">
        <f>'10years_f'!F1007-'10years_f'!$G1007</f>
        <v>0.82890782551596498</v>
      </c>
      <c r="G466">
        <f>'10years_f'!H1007-'10years_f'!$I1007</f>
        <v>0.99988246940895253</v>
      </c>
    </row>
    <row r="467" spans="1:7" x14ac:dyDescent="0.35">
      <c r="A467" s="1">
        <v>40116</v>
      </c>
      <c r="B467">
        <f>'10years_f'!B1008-'10years_f'!$G1008</f>
        <v>1.0353762082584677</v>
      </c>
      <c r="C467">
        <f>'10years_f'!C1008-'10years_f'!$G1008</f>
        <v>0.85695894537347872</v>
      </c>
      <c r="D467">
        <f>'10years_f'!D1008-'10years_f'!$G1008</f>
        <v>1.0713050232812353</v>
      </c>
      <c r="E467">
        <f>'10years_f'!E1008-'10years_f'!$G1008</f>
        <v>0.9022307910300924</v>
      </c>
      <c r="F467">
        <f>'10years_f'!F1008-'10years_f'!$G1008</f>
        <v>0.86140782860771026</v>
      </c>
      <c r="G467">
        <f>'10years_f'!H1008-'10years_f'!$I1008</f>
        <v>1.0320378239075945</v>
      </c>
    </row>
    <row r="468" spans="1:7" x14ac:dyDescent="0.35">
      <c r="A468" s="1">
        <v>40147</v>
      </c>
      <c r="B468">
        <f>'10years_f'!B1009-'10years_f'!$G1009</f>
        <v>1.0150699295398646</v>
      </c>
      <c r="C468">
        <f>'10years_f'!C1009-'10years_f'!$G1009</f>
        <v>0.83698186274219877</v>
      </c>
      <c r="D468">
        <f>'10years_f'!D1009-'10years_f'!$G1009</f>
        <v>1.0542035537369165</v>
      </c>
      <c r="E468">
        <f>'10years_f'!E1009-'10years_f'!$G1009</f>
        <v>0.88521823744197148</v>
      </c>
      <c r="F468">
        <f>'10years_f'!F1009-'10years_f'!$G1009</f>
        <v>0.84167837390310529</v>
      </c>
      <c r="G468">
        <f>'10years_f'!H1009-'10years_f'!$I1009</f>
        <v>1.0117469127131296</v>
      </c>
    </row>
    <row r="469" spans="1:7" x14ac:dyDescent="0.35">
      <c r="A469" s="1">
        <v>40178</v>
      </c>
      <c r="B469">
        <f>'10years_f'!B1010-'10years_f'!$G1010</f>
        <v>1.022902409310994</v>
      </c>
      <c r="C469">
        <f>'10years_f'!C1010-'10years_f'!$G1010</f>
        <v>0.84480143427127508</v>
      </c>
      <c r="D469">
        <f>'10years_f'!D1010-'10years_f'!$G1010</f>
        <v>1.0373673777593628</v>
      </c>
      <c r="E469">
        <f>'10years_f'!E1010-'10years_f'!$G1010</f>
        <v>0.86798128517996953</v>
      </c>
      <c r="F469">
        <f>'10years_f'!F1010-'10years_f'!$G1010</f>
        <v>0.84951837833435184</v>
      </c>
      <c r="G469">
        <f>'10years_f'!H1010-'10years_f'!$I1010</f>
        <v>1.0195147092646351</v>
      </c>
    </row>
    <row r="470" spans="1:7" x14ac:dyDescent="0.35">
      <c r="A470" s="1">
        <v>40207</v>
      </c>
      <c r="B470">
        <f>'10years_f'!B1011-'10years_f'!$G1011</f>
        <v>1.0525981991880955</v>
      </c>
      <c r="C470">
        <f>'10years_f'!C1011-'10years_f'!$G1011</f>
        <v>0.87430100678108902</v>
      </c>
      <c r="D470">
        <f>'10years_f'!D1011-'10years_f'!$G1011</f>
        <v>1.0478460347342593</v>
      </c>
      <c r="E470">
        <f>'10years_f'!E1011-'10years_f'!$G1011</f>
        <v>0.8781587758784819</v>
      </c>
      <c r="F470">
        <f>'10years_f'!F1011-'10years_f'!$G1011</f>
        <v>0.87876766714133625</v>
      </c>
      <c r="G470">
        <f>'10years_f'!H1011-'10years_f'!$I1011</f>
        <v>1.0491414527070586</v>
      </c>
    </row>
    <row r="471" spans="1:7" x14ac:dyDescent="0.35">
      <c r="A471" s="1">
        <v>40235</v>
      </c>
      <c r="B471">
        <f>'10years_f'!B1012-'10years_f'!$G1012</f>
        <v>0.95445055799450462</v>
      </c>
      <c r="C471">
        <f>'10years_f'!C1012-'10years_f'!$G1012</f>
        <v>0.7762691041986598</v>
      </c>
      <c r="D471">
        <f>'10years_f'!D1012-'10years_f'!$G1012</f>
        <v>0.93101765897470057</v>
      </c>
      <c r="E471">
        <f>'10years_f'!E1012-'10years_f'!$G1012</f>
        <v>0.76055467501448271</v>
      </c>
      <c r="F471">
        <f>'10years_f'!F1012-'10years_f'!$G1012</f>
        <v>0.78029539847040152</v>
      </c>
      <c r="G471">
        <f>'10years_f'!H1012-'10years_f'!$I1012</f>
        <v>0.95110301530434427</v>
      </c>
    </row>
    <row r="472" spans="1:7" x14ac:dyDescent="0.35">
      <c r="A472" s="1">
        <v>40268</v>
      </c>
      <c r="B472">
        <f>'10years_f'!B1013-'10years_f'!$G1013</f>
        <v>0.79425108273900991</v>
      </c>
      <c r="C472">
        <f>'10years_f'!C1013-'10years_f'!$G1013</f>
        <v>0.615988568843155</v>
      </c>
      <c r="D472">
        <f>'10years_f'!D1013-'10years_f'!$G1013</f>
        <v>0.69733728500429981</v>
      </c>
      <c r="E472">
        <f>'10years_f'!E1013-'10years_f'!$G1013</f>
        <v>0.52614630146699382</v>
      </c>
      <c r="F472">
        <f>'10years_f'!F1013-'10years_f'!$G1013</f>
        <v>0.61913777622278188</v>
      </c>
      <c r="G472">
        <f>'10years_f'!H1013-'10years_f'!$I1013</f>
        <v>0.79114570176878063</v>
      </c>
    </row>
    <row r="473" spans="1:7" x14ac:dyDescent="0.35">
      <c r="A473" s="1">
        <v>40298</v>
      </c>
      <c r="B473">
        <f>'10years_f'!B1014-'10years_f'!$G1014</f>
        <v>0.88293273879523637</v>
      </c>
      <c r="C473">
        <f>'10years_f'!C1014-'10years_f'!$G1014</f>
        <v>0.70443719105937896</v>
      </c>
      <c r="D473">
        <f>'10years_f'!D1014-'10years_f'!$G1014</f>
        <v>0.78915561388498157</v>
      </c>
      <c r="E473">
        <f>'10years_f'!E1014-'10years_f'!$G1014</f>
        <v>0.61755276152807026</v>
      </c>
      <c r="F473">
        <f>'10years_f'!F1014-'10years_f'!$G1014</f>
        <v>0.70714966736541163</v>
      </c>
      <c r="G473">
        <f>'10years_f'!H1014-'10years_f'!$I1014</f>
        <v>0.87975653031194812</v>
      </c>
    </row>
    <row r="474" spans="1:7" x14ac:dyDescent="0.35">
      <c r="A474" s="1">
        <v>40326</v>
      </c>
      <c r="B474">
        <f>'10years_f'!B1015-'10years_f'!$G1015</f>
        <v>0.99250796409958442</v>
      </c>
      <c r="C474">
        <f>'10years_f'!C1015-'10years_f'!$G1015</f>
        <v>0.81406348568056908</v>
      </c>
      <c r="D474">
        <f>'10years_f'!D1015-'10years_f'!$G1015</f>
        <v>0.89320660701706922</v>
      </c>
      <c r="E474">
        <f>'10years_f'!E1015-'10years_f'!$G1015</f>
        <v>0.72112391142327992</v>
      </c>
      <c r="F474">
        <f>'10years_f'!F1015-'10years_f'!$G1015</f>
        <v>0.81620312038724618</v>
      </c>
      <c r="G474">
        <f>'10years_f'!H1015-'10years_f'!$I1015</f>
        <v>0.98918684737803186</v>
      </c>
    </row>
    <row r="475" spans="1:7" x14ac:dyDescent="0.35">
      <c r="A475" s="1">
        <v>40359</v>
      </c>
      <c r="B475">
        <f>'10years_f'!B1016-'10years_f'!$G1016</f>
        <v>1.0558055561659425</v>
      </c>
      <c r="C475">
        <f>'10years_f'!C1016-'10years_f'!$G1016</f>
        <v>0.87745657466714322</v>
      </c>
      <c r="D475">
        <f>'10years_f'!D1016-'10years_f'!$G1016</f>
        <v>0.95821679429416173</v>
      </c>
      <c r="E475">
        <f>'10years_f'!E1016-'10years_f'!$G1016</f>
        <v>0.78587311570757779</v>
      </c>
      <c r="F475">
        <f>'10years_f'!F1016-'10years_f'!$G1016</f>
        <v>0.87809046137446733</v>
      </c>
      <c r="G475">
        <f>'10years_f'!H1016-'10years_f'!$I1016</f>
        <v>1.0523551249179697</v>
      </c>
    </row>
    <row r="476" spans="1:7" x14ac:dyDescent="0.35">
      <c r="A476" s="1">
        <v>40389</v>
      </c>
      <c r="B476">
        <f>'10years_f'!B1017-'10years_f'!$G1017</f>
        <v>1.0450807180190398</v>
      </c>
      <c r="C476">
        <f>'10years_f'!C1017-'10years_f'!$G1017</f>
        <v>0.86721266410648434</v>
      </c>
      <c r="D476">
        <f>'10years_f'!D1017-'10years_f'!$G1017</f>
        <v>0.93703352718897692</v>
      </c>
      <c r="E476">
        <f>'10years_f'!E1017-'10years_f'!$G1017</f>
        <v>0.76563632369791312</v>
      </c>
      <c r="F476">
        <f>'10years_f'!F1017-'10years_f'!$G1017</f>
        <v>0.86725922427571556</v>
      </c>
      <c r="G476">
        <f>'10years_f'!H1017-'10years_f'!$I1017</f>
        <v>1.041614235553423</v>
      </c>
    </row>
    <row r="477" spans="1:7" x14ac:dyDescent="0.35">
      <c r="A477" s="1">
        <v>40421</v>
      </c>
      <c r="B477">
        <f>'10years_f'!B1018-'10years_f'!$G1018</f>
        <v>1.1429214434969999</v>
      </c>
      <c r="C477">
        <f>'10years_f'!C1018-'10years_f'!$G1018</f>
        <v>0.96562252825701256</v>
      </c>
      <c r="D477">
        <f>'10years_f'!D1018-'10years_f'!$G1018</f>
        <v>1.016040054670539</v>
      </c>
      <c r="E477">
        <f>'10years_f'!E1018-'10years_f'!$G1018</f>
        <v>0.84447826002297122</v>
      </c>
      <c r="F477">
        <f>'10years_f'!F1018-'10years_f'!$G1018</f>
        <v>0.96513241770313796</v>
      </c>
      <c r="G477">
        <f>'10years_f'!H1018-'10years_f'!$I1018</f>
        <v>1.1392936699649248</v>
      </c>
    </row>
    <row r="478" spans="1:7" x14ac:dyDescent="0.35">
      <c r="A478" s="1">
        <v>40451</v>
      </c>
      <c r="B478">
        <f>'10years_f'!B1019-'10years_f'!$G1019</f>
        <v>1.0372139218968042</v>
      </c>
      <c r="C478">
        <f>'10years_f'!C1019-'10years_f'!$G1019</f>
        <v>0.86029686563942898</v>
      </c>
      <c r="D478">
        <f>'10years_f'!D1019-'10years_f'!$G1019</f>
        <v>0.91104382349972157</v>
      </c>
      <c r="E478">
        <f>'10years_f'!E1019-'10years_f'!$G1019</f>
        <v>0.73933387114958071</v>
      </c>
      <c r="F478">
        <f>'10years_f'!F1019-'10years_f'!$G1019</f>
        <v>0.86085535189584794</v>
      </c>
      <c r="G478">
        <f>'10years_f'!H1019-'10years_f'!$I1019</f>
        <v>1.0337338949894859</v>
      </c>
    </row>
    <row r="479" spans="1:7" x14ac:dyDescent="0.35">
      <c r="A479" s="1">
        <v>40480</v>
      </c>
      <c r="B479">
        <f>'10years_f'!B1020-'10years_f'!$G1020</f>
        <v>0.98267945379971477</v>
      </c>
      <c r="C479">
        <f>'10years_f'!C1020-'10years_f'!$G1020</f>
        <v>0.80624150131645989</v>
      </c>
      <c r="D479">
        <f>'10years_f'!D1020-'10years_f'!$G1020</f>
        <v>0.87613789899228811</v>
      </c>
      <c r="E479">
        <f>'10years_f'!E1020-'10years_f'!$G1020</f>
        <v>0.70469697675706611</v>
      </c>
      <c r="F479">
        <f>'10years_f'!F1020-'10years_f'!$G1020</f>
        <v>0.80684462402692292</v>
      </c>
      <c r="G479">
        <f>'10years_f'!H1020-'10years_f'!$I1020</f>
        <v>0.97929779441556786</v>
      </c>
    </row>
    <row r="480" spans="1:7" x14ac:dyDescent="0.35">
      <c r="A480" s="1">
        <v>40512</v>
      </c>
      <c r="B480">
        <f>'10years_f'!B1021-'10years_f'!$G1021</f>
        <v>1.0701674966377168</v>
      </c>
      <c r="C480">
        <f>'10years_f'!C1021-'10years_f'!$G1021</f>
        <v>0.89434855100017652</v>
      </c>
      <c r="D480">
        <f>'10years_f'!D1021-'10years_f'!$G1021</f>
        <v>0.98444231547122074</v>
      </c>
      <c r="E480">
        <f>'10years_f'!E1021-'10years_f'!$G1021</f>
        <v>0.8130498575911278</v>
      </c>
      <c r="F480">
        <f>'10years_f'!F1021-'10years_f'!$G1021</f>
        <v>0.89465602299199931</v>
      </c>
      <c r="G480">
        <f>'10years_f'!H1021-'10years_f'!$I1021</f>
        <v>1.0666606885539553</v>
      </c>
    </row>
    <row r="481" spans="1:7" x14ac:dyDescent="0.35">
      <c r="A481" s="1">
        <v>40543</v>
      </c>
      <c r="B481">
        <f>'10years_f'!B1022-'10years_f'!$G1022</f>
        <v>1.0498031058268382</v>
      </c>
      <c r="C481">
        <f>'10years_f'!C1022-'10years_f'!$G1022</f>
        <v>0.87428391680214057</v>
      </c>
      <c r="D481">
        <f>'10years_f'!D1022-'10years_f'!$G1022</f>
        <v>0.96042954656368762</v>
      </c>
      <c r="E481">
        <f>'10years_f'!E1022-'10years_f'!$G1022</f>
        <v>0.78921917492909843</v>
      </c>
      <c r="F481">
        <f>'10years_f'!F1022-'10years_f'!$G1022</f>
        <v>0.8721090128954363</v>
      </c>
      <c r="G481">
        <f>'10years_f'!H1022-'10years_f'!$I1022</f>
        <v>1.0463234593577675</v>
      </c>
    </row>
    <row r="482" spans="1:7" x14ac:dyDescent="0.35">
      <c r="A482" s="1">
        <v>40574</v>
      </c>
      <c r="B482">
        <f>'10years_f'!B1023-'10years_f'!$G1023</f>
        <v>1.0218516769734038</v>
      </c>
      <c r="C482">
        <f>'10years_f'!C1023-'10years_f'!$G1023</f>
        <v>0.84634563520958617</v>
      </c>
      <c r="D482">
        <f>'10years_f'!D1023-'10years_f'!$G1023</f>
        <v>0.93677765529792412</v>
      </c>
      <c r="E482">
        <f>'10years_f'!E1023-'10years_f'!$G1023</f>
        <v>0.76542327784260022</v>
      </c>
      <c r="F482">
        <f>'10years_f'!F1023-'10years_f'!$G1023</f>
        <v>0.84386250048034972</v>
      </c>
      <c r="G482">
        <f>'10years_f'!H1023-'10years_f'!$I1023</f>
        <v>1.0184230812369854</v>
      </c>
    </row>
    <row r="483" spans="1:7" x14ac:dyDescent="0.35">
      <c r="A483" s="1">
        <v>40602</v>
      </c>
      <c r="B483">
        <f>'10years_f'!B1024-'10years_f'!$G1024</f>
        <v>1.0166983705288966</v>
      </c>
      <c r="C483">
        <f>'10years_f'!C1024-'10years_f'!$G1024</f>
        <v>0.84183345222011519</v>
      </c>
      <c r="D483">
        <f>'10years_f'!D1024-'10years_f'!$G1024</f>
        <v>0.95472299919086656</v>
      </c>
      <c r="E483">
        <f>'10years_f'!E1024-'10years_f'!$G1024</f>
        <v>0.78349407769625157</v>
      </c>
      <c r="F483">
        <f>'10years_f'!F1024-'10years_f'!$G1024</f>
        <v>0.83915652626714388</v>
      </c>
      <c r="G483">
        <f>'10years_f'!H1024-'10years_f'!$I1024</f>
        <v>1.0132668600702277</v>
      </c>
    </row>
    <row r="484" spans="1:7" x14ac:dyDescent="0.35">
      <c r="A484" s="1">
        <v>40633</v>
      </c>
      <c r="B484">
        <f>'10years_f'!B1025-'10years_f'!$G1025</f>
        <v>1.0519747132860129</v>
      </c>
      <c r="C484">
        <f>'10years_f'!C1025-'10years_f'!$G1025</f>
        <v>0.87721975454399459</v>
      </c>
      <c r="D484">
        <f>'10years_f'!D1025-'10years_f'!$G1025</f>
        <v>0.99404340757100407</v>
      </c>
      <c r="E484">
        <f>'10years_f'!E1025-'10years_f'!$G1025</f>
        <v>0.82250284521491679</v>
      </c>
      <c r="F484">
        <f>'10years_f'!F1025-'10years_f'!$G1025</f>
        <v>0.87507186536245829</v>
      </c>
      <c r="G484">
        <f>'10years_f'!H1025-'10years_f'!$I1025</f>
        <v>1.0484906692779017</v>
      </c>
    </row>
    <row r="485" spans="1:7" x14ac:dyDescent="0.35">
      <c r="A485" s="1">
        <v>40662</v>
      </c>
      <c r="B485">
        <f>'10years_f'!B1026-'10years_f'!$G1026</f>
        <v>1.0717622691411348</v>
      </c>
      <c r="C485">
        <f>'10years_f'!C1026-'10years_f'!$G1026</f>
        <v>0.8971294817447788</v>
      </c>
      <c r="D485">
        <f>'10years_f'!D1026-'10years_f'!$G1026</f>
        <v>1.006579798997314</v>
      </c>
      <c r="E485">
        <f>'10years_f'!E1026-'10years_f'!$G1026</f>
        <v>0.83502047114700151</v>
      </c>
      <c r="F485">
        <f>'10years_f'!F1026-'10years_f'!$G1026</f>
        <v>0.89441686096533513</v>
      </c>
      <c r="G485">
        <f>'10years_f'!H1026-'10years_f'!$I1026</f>
        <v>1.0682298862785045</v>
      </c>
    </row>
    <row r="486" spans="1:7" x14ac:dyDescent="0.35">
      <c r="A486" s="1">
        <v>40694</v>
      </c>
      <c r="B486">
        <f>'10years_f'!B1027-'10years_f'!$G1027</f>
        <v>1.0865652089247995</v>
      </c>
      <c r="C486">
        <f>'10years_f'!C1027-'10years_f'!$G1027</f>
        <v>0.91260048087477497</v>
      </c>
      <c r="D486">
        <f>'10years_f'!D1027-'10years_f'!$G1027</f>
        <v>1.0274574210905989</v>
      </c>
      <c r="E486">
        <f>'10years_f'!E1027-'10years_f'!$G1027</f>
        <v>0.85615128989206468</v>
      </c>
      <c r="F486">
        <f>'10years_f'!F1027-'10years_f'!$G1027</f>
        <v>0.91045464610578986</v>
      </c>
      <c r="G486">
        <f>'10years_f'!H1027-'10years_f'!$I1027</f>
        <v>1.0829826815417998</v>
      </c>
    </row>
    <row r="487" spans="1:7" x14ac:dyDescent="0.35">
      <c r="A487" s="1">
        <v>40724</v>
      </c>
      <c r="B487">
        <f>'10years_f'!B1028-'10years_f'!$G1028</f>
        <v>1.1203562115566772</v>
      </c>
      <c r="C487">
        <f>'10years_f'!C1028-'10years_f'!$G1028</f>
        <v>0.94675060502228892</v>
      </c>
      <c r="D487">
        <f>'10years_f'!D1028-'10years_f'!$G1028</f>
        <v>1.0447041622310076</v>
      </c>
      <c r="E487">
        <f>'10years_f'!E1028-'10years_f'!$G1028</f>
        <v>0.87347369228926652</v>
      </c>
      <c r="F487">
        <f>'10years_f'!F1028-'10years_f'!$G1028</f>
        <v>0.94444623299698094</v>
      </c>
      <c r="G487">
        <f>'10years_f'!H1028-'10years_f'!$I1028</f>
        <v>1.1166473937110122</v>
      </c>
    </row>
    <row r="488" spans="1:7" x14ac:dyDescent="0.35">
      <c r="A488" s="1">
        <v>40753</v>
      </c>
      <c r="B488">
        <f>'10years_f'!B1029-'10years_f'!$G1029</f>
        <v>1.1574915249948186</v>
      </c>
      <c r="C488">
        <f>'10years_f'!C1029-'10years_f'!$G1029</f>
        <v>0.98399494700342416</v>
      </c>
      <c r="D488">
        <f>'10years_f'!D1029-'10years_f'!$G1029</f>
        <v>1.0853438271765485</v>
      </c>
      <c r="E488">
        <f>'10years_f'!E1029-'10years_f'!$G1029</f>
        <v>0.91395854841040336</v>
      </c>
      <c r="F488">
        <f>'10years_f'!F1029-'10years_f'!$G1029</f>
        <v>0.98165125038095979</v>
      </c>
      <c r="G488">
        <f>'10years_f'!H1029-'10years_f'!$I1029</f>
        <v>1.1537033325696666</v>
      </c>
    </row>
    <row r="489" spans="1:7" x14ac:dyDescent="0.35">
      <c r="A489" s="1">
        <v>40786</v>
      </c>
      <c r="B489">
        <f>'10years_f'!B1030-'10years_f'!$G1030</f>
        <v>1.2301276384136239</v>
      </c>
      <c r="C489">
        <f>'10years_f'!C1030-'10years_f'!$G1030</f>
        <v>1.0575171117804916</v>
      </c>
      <c r="D489">
        <f>'10years_f'!D1030-'10years_f'!$G1030</f>
        <v>1.160179046418307</v>
      </c>
      <c r="E489">
        <f>'10years_f'!E1030-'10years_f'!$G1030</f>
        <v>0.98904744204110107</v>
      </c>
      <c r="F489">
        <f>'10years_f'!F1030-'10years_f'!$G1030</f>
        <v>1.055045716557067</v>
      </c>
      <c r="G489">
        <f>'10years_f'!H1030-'10years_f'!$I1030</f>
        <v>1.2262249785957691</v>
      </c>
    </row>
    <row r="490" spans="1:7" x14ac:dyDescent="0.35">
      <c r="A490" s="1">
        <v>40816</v>
      </c>
      <c r="B490">
        <f>'10years_f'!B1031-'10years_f'!$G1031</f>
        <v>1.25178173488386</v>
      </c>
      <c r="C490">
        <f>'10years_f'!C1031-'10years_f'!$G1031</f>
        <v>1.0795447649748369</v>
      </c>
      <c r="D490">
        <f>'10years_f'!D1031-'10years_f'!$G1031</f>
        <v>1.2080579281874215</v>
      </c>
      <c r="E490">
        <f>'10years_f'!E1031-'10years_f'!$G1031</f>
        <v>1.0369988996500645</v>
      </c>
      <c r="F490">
        <f>'10years_f'!F1031-'10years_f'!$G1031</f>
        <v>1.0767248476232549</v>
      </c>
      <c r="G490">
        <f>'10years_f'!H1031-'10years_f'!$I1031</f>
        <v>1.2478260171224109</v>
      </c>
    </row>
    <row r="491" spans="1:7" x14ac:dyDescent="0.35">
      <c r="A491" s="1">
        <v>40847</v>
      </c>
      <c r="B491">
        <f>'10years_f'!B1032-'10years_f'!$G1032</f>
        <v>1.2219578825993438</v>
      </c>
      <c r="C491">
        <f>'10years_f'!C1032-'10years_f'!$G1032</f>
        <v>1.0501862513096694</v>
      </c>
      <c r="D491">
        <f>'10years_f'!D1032-'10years_f'!$G1032</f>
        <v>1.145066508627145</v>
      </c>
      <c r="E491">
        <f>'10years_f'!E1032-'10years_f'!$G1032</f>
        <v>0.97416904229666756</v>
      </c>
      <c r="F491">
        <f>'10years_f'!F1032-'10years_f'!$G1032</f>
        <v>1.046858128906224</v>
      </c>
      <c r="G491">
        <f>'10years_f'!H1032-'10years_f'!$I1032</f>
        <v>1.2179621323968215</v>
      </c>
    </row>
    <row r="492" spans="1:7" x14ac:dyDescent="0.35">
      <c r="A492" s="1">
        <v>40877</v>
      </c>
      <c r="B492">
        <f>'10years_f'!B1033-'10years_f'!$G1033</f>
        <v>1.2181168458445513</v>
      </c>
      <c r="C492">
        <f>'10years_f'!C1033-'10years_f'!$G1033</f>
        <v>1.047544117324738</v>
      </c>
      <c r="D492">
        <f>'10years_f'!D1033-'10years_f'!$G1033</f>
        <v>1.1286619004112419</v>
      </c>
      <c r="E492">
        <f>'10years_f'!E1033-'10years_f'!$G1033</f>
        <v>0.95834164662059629</v>
      </c>
      <c r="F492">
        <f>'10years_f'!F1033-'10years_f'!$G1033</f>
        <v>1.0440806383530055</v>
      </c>
      <c r="G492">
        <f>'10years_f'!H1033-'10years_f'!$I1033</f>
        <v>1.214059919853705</v>
      </c>
    </row>
    <row r="493" spans="1:7" x14ac:dyDescent="0.35">
      <c r="A493" s="1">
        <v>40907</v>
      </c>
      <c r="B493">
        <f>'10years_f'!B1034-'10years_f'!$G1034</f>
        <v>1.2460357652658676</v>
      </c>
      <c r="C493">
        <f>'10years_f'!C1034-'10years_f'!$G1034</f>
        <v>1.0759619248578094</v>
      </c>
      <c r="D493">
        <f>'10years_f'!D1034-'10years_f'!$G1034</f>
        <v>1.1796264229242119</v>
      </c>
      <c r="E493">
        <f>'10years_f'!E1034-'10years_f'!$G1034</f>
        <v>1.0095217853660348</v>
      </c>
      <c r="F493">
        <f>'10years_f'!F1034-'10years_f'!$G1034</f>
        <v>1.0728013914796657</v>
      </c>
      <c r="G493">
        <f>'10years_f'!H1034-'10years_f'!$I1034</f>
        <v>1.2418625484090895</v>
      </c>
    </row>
    <row r="494" spans="1:7" x14ac:dyDescent="0.35">
      <c r="A494" s="1">
        <v>40939</v>
      </c>
      <c r="B494">
        <f>'10years_f'!B1035-'10years_f'!$G1035</f>
        <v>1.1634591029530288</v>
      </c>
      <c r="C494">
        <f>'10years_f'!C1035-'10years_f'!$G1035</f>
        <v>0.99374262352204745</v>
      </c>
      <c r="D494">
        <f>'10years_f'!D1035-'10years_f'!$G1035</f>
        <v>1.096587750405547</v>
      </c>
      <c r="E494">
        <f>'10years_f'!E1035-'10years_f'!$G1035</f>
        <v>0.92657510334974091</v>
      </c>
      <c r="F494">
        <f>'10years_f'!F1035-'10years_f'!$G1035</f>
        <v>0.99136968386982982</v>
      </c>
      <c r="G494">
        <f>'10years_f'!H1035-'10years_f'!$I1035</f>
        <v>1.1594034691020494</v>
      </c>
    </row>
    <row r="495" spans="1:7" x14ac:dyDescent="0.35">
      <c r="A495" s="1">
        <v>40968</v>
      </c>
      <c r="B495">
        <f>'10years_f'!B1036-'10years_f'!$G1036</f>
        <v>1.1026193006366585</v>
      </c>
      <c r="C495">
        <f>'10years_f'!C1036-'10years_f'!$G1036</f>
        <v>0.93388142003968877</v>
      </c>
      <c r="D495">
        <f>'10years_f'!D1036-'10years_f'!$G1036</f>
        <v>1.0533458197578165</v>
      </c>
      <c r="E495">
        <f>'10years_f'!E1036-'10years_f'!$G1036</f>
        <v>0.88371252545057999</v>
      </c>
      <c r="F495">
        <f>'10years_f'!F1036-'10years_f'!$G1036</f>
        <v>0.93106119984775404</v>
      </c>
      <c r="G495">
        <f>'10years_f'!H1036-'10years_f'!$I1036</f>
        <v>1.0986226577716529</v>
      </c>
    </row>
    <row r="496" spans="1:7" x14ac:dyDescent="0.35">
      <c r="A496" s="1">
        <v>40998</v>
      </c>
      <c r="B496">
        <f>'10years_f'!B1037-'10years_f'!$G1037</f>
        <v>1.1066512354235789</v>
      </c>
      <c r="C496">
        <f>'10years_f'!C1037-'10years_f'!$G1037</f>
        <v>0.93812712628094741</v>
      </c>
      <c r="D496">
        <f>'10years_f'!D1037-'10years_f'!$G1037</f>
        <v>1.0565564641626566</v>
      </c>
      <c r="E496">
        <f>'10years_f'!E1037-'10years_f'!$G1037</f>
        <v>0.88689245013125562</v>
      </c>
      <c r="F496">
        <f>'10years_f'!F1037-'10years_f'!$G1037</f>
        <v>0.93459032057430869</v>
      </c>
      <c r="G496">
        <f>'10years_f'!H1037-'10years_f'!$I1037</f>
        <v>1.1025726449460205</v>
      </c>
    </row>
    <row r="497" spans="1:7" x14ac:dyDescent="0.35">
      <c r="A497" s="1">
        <v>41029</v>
      </c>
      <c r="B497">
        <f>'10years_f'!B1038-'10years_f'!$G1038</f>
        <v>1.0344379703060764</v>
      </c>
      <c r="C497">
        <f>'10years_f'!C1038-'10years_f'!$G1038</f>
        <v>0.86629910156473544</v>
      </c>
      <c r="D497">
        <f>'10years_f'!D1038-'10years_f'!$G1038</f>
        <v>1.0080826000344518</v>
      </c>
      <c r="E497">
        <f>'10years_f'!E1038-'10years_f'!$G1038</f>
        <v>0.83855885172140221</v>
      </c>
      <c r="F497">
        <f>'10years_f'!F1038-'10years_f'!$G1038</f>
        <v>0.86338714484851264</v>
      </c>
      <c r="G497">
        <f>'10years_f'!H1038-'10years_f'!$I1038</f>
        <v>1.0304781105678895</v>
      </c>
    </row>
    <row r="498" spans="1:7" x14ac:dyDescent="0.35">
      <c r="A498" s="1">
        <v>41060</v>
      </c>
      <c r="B498">
        <f>'10years_f'!B1039-'10years_f'!$G1039</f>
        <v>1.0865265317050914</v>
      </c>
      <c r="C498">
        <f>'10years_f'!C1039-'10years_f'!$G1039</f>
        <v>0.91921375860395549</v>
      </c>
      <c r="D498">
        <f>'10years_f'!D1039-'10years_f'!$G1039</f>
        <v>1.0780934686702286</v>
      </c>
      <c r="E498">
        <f>'10years_f'!E1039-'10years_f'!$G1039</f>
        <v>0.90884885976059304</v>
      </c>
      <c r="F498">
        <f>'10years_f'!F1039-'10years_f'!$G1039</f>
        <v>0.91768129969269796</v>
      </c>
      <c r="G498">
        <f>'10years_f'!H1039-'10years_f'!$I1039</f>
        <v>1.0823709577599594</v>
      </c>
    </row>
    <row r="499" spans="1:7" x14ac:dyDescent="0.35">
      <c r="A499" s="1">
        <v>41089</v>
      </c>
      <c r="B499">
        <f>'10years_f'!B1040-'10years_f'!$G1040</f>
        <v>0.98002198294448761</v>
      </c>
      <c r="C499">
        <f>'10years_f'!C1040-'10years_f'!$G1040</f>
        <v>0.81283647576934936</v>
      </c>
      <c r="D499">
        <f>'10years_f'!D1040-'10years_f'!$G1040</f>
        <v>0.96384011642493861</v>
      </c>
      <c r="E499">
        <f>'10years_f'!E1040-'10years_f'!$G1040</f>
        <v>0.79450738774881935</v>
      </c>
      <c r="F499">
        <f>'10years_f'!F1040-'10years_f'!$G1040</f>
        <v>0.81084666105253089</v>
      </c>
      <c r="G499">
        <f>'10years_f'!H1040-'10years_f'!$I1040</f>
        <v>0.97598039972394135</v>
      </c>
    </row>
    <row r="500" spans="1:7" x14ac:dyDescent="0.35">
      <c r="A500" s="1">
        <v>41121</v>
      </c>
      <c r="B500">
        <f>'10years_f'!B1041-'10years_f'!$G1041</f>
        <v>1.0428202302757374</v>
      </c>
      <c r="C500">
        <f>'10years_f'!C1041-'10years_f'!$G1041</f>
        <v>0.87574151502041753</v>
      </c>
      <c r="D500">
        <f>'10years_f'!D1041-'10years_f'!$G1041</f>
        <v>1.0317285646033683</v>
      </c>
      <c r="E500">
        <f>'10years_f'!E1041-'10years_f'!$G1041</f>
        <v>0.86230419528228763</v>
      </c>
      <c r="F500">
        <f>'10years_f'!F1041-'10years_f'!$G1041</f>
        <v>0.87296318956325303</v>
      </c>
      <c r="G500">
        <f>'10years_f'!H1041-'10years_f'!$I1041</f>
        <v>1.0386516191388973</v>
      </c>
    </row>
    <row r="501" spans="1:7" x14ac:dyDescent="0.35">
      <c r="A501" s="1">
        <v>41152</v>
      </c>
      <c r="B501">
        <f>'10years_f'!B1042-'10years_f'!$G1042</f>
        <v>0.98781274605695946</v>
      </c>
      <c r="C501">
        <f>'10years_f'!C1042-'10years_f'!$G1042</f>
        <v>0.82159163586895656</v>
      </c>
      <c r="D501">
        <f>'10years_f'!D1042-'10years_f'!$G1042</f>
        <v>0.97582908326331297</v>
      </c>
      <c r="E501">
        <f>'10years_f'!E1042-'10years_f'!$G1042</f>
        <v>0.80667449398456026</v>
      </c>
      <c r="F501">
        <f>'10years_f'!F1042-'10years_f'!$G1042</f>
        <v>0.8186184772736802</v>
      </c>
      <c r="G501">
        <f>'10years_f'!H1042-'10years_f'!$I1042</f>
        <v>0.98373227951905617</v>
      </c>
    </row>
    <row r="502" spans="1:7" x14ac:dyDescent="0.35">
      <c r="A502" s="1">
        <v>41180</v>
      </c>
      <c r="B502">
        <f>'10years_f'!B1043-'10years_f'!$G1043</f>
        <v>0.88475435709381212</v>
      </c>
      <c r="C502">
        <f>'10years_f'!C1043-'10years_f'!$G1043</f>
        <v>0.71871253225295528</v>
      </c>
      <c r="D502">
        <f>'10years_f'!D1043-'10years_f'!$G1043</f>
        <v>0.87234394529167925</v>
      </c>
      <c r="E502">
        <f>'10years_f'!E1043-'10years_f'!$G1043</f>
        <v>0.70297059865958356</v>
      </c>
      <c r="F502">
        <f>'10years_f'!F1043-'10years_f'!$G1043</f>
        <v>0.71469583031183226</v>
      </c>
      <c r="G502">
        <f>'10years_f'!H1043-'10years_f'!$I1043</f>
        <v>0.88082746132832623</v>
      </c>
    </row>
    <row r="503" spans="1:7" x14ac:dyDescent="0.35">
      <c r="A503" s="1">
        <v>41213</v>
      </c>
      <c r="B503">
        <f>'10years_f'!B1044-'10years_f'!$G1044</f>
        <v>0.96312740721090995</v>
      </c>
      <c r="C503">
        <f>'10years_f'!C1044-'10years_f'!$G1044</f>
        <v>0.79732598455947512</v>
      </c>
      <c r="D503">
        <f>'10years_f'!D1044-'10years_f'!$G1044</f>
        <v>0.95462630714446073</v>
      </c>
      <c r="E503">
        <f>'10years_f'!E1044-'10years_f'!$G1044</f>
        <v>0.78544152134036116</v>
      </c>
      <c r="F503">
        <f>'10years_f'!F1044-'10years_f'!$G1044</f>
        <v>0.79430621059747653</v>
      </c>
      <c r="G503">
        <f>'10years_f'!H1044-'10years_f'!$I1044</f>
        <v>0.95890929184563323</v>
      </c>
    </row>
    <row r="504" spans="1:7" x14ac:dyDescent="0.35">
      <c r="A504" s="1">
        <v>41243</v>
      </c>
      <c r="B504">
        <f>'10years_f'!B1045-'10years_f'!$G1045</f>
        <v>1.0009238727265095</v>
      </c>
      <c r="C504">
        <f>'10years_f'!C1045-'10years_f'!$G1045</f>
        <v>0.83611078347925849</v>
      </c>
      <c r="D504">
        <f>'10years_f'!D1045-'10years_f'!$G1045</f>
        <v>0.99725959851611856</v>
      </c>
      <c r="E504">
        <f>'10years_f'!E1045-'10years_f'!$G1045</f>
        <v>0.82872862579511475</v>
      </c>
      <c r="F504">
        <f>'10years_f'!F1045-'10years_f'!$G1045</f>
        <v>0.83378291934931115</v>
      </c>
      <c r="G504">
        <f>'10years_f'!H1045-'10years_f'!$I1045</f>
        <v>0.99640291026241723</v>
      </c>
    </row>
    <row r="505" spans="1:7" x14ac:dyDescent="0.35">
      <c r="A505" s="1">
        <v>41274</v>
      </c>
      <c r="B505">
        <f>'10years_f'!B1046-'10years_f'!$G1046</f>
        <v>0.94037380985455399</v>
      </c>
      <c r="C505">
        <f>'10years_f'!C1046-'10years_f'!$G1046</f>
        <v>0.77659133580959394</v>
      </c>
      <c r="D505">
        <f>'10years_f'!D1046-'10years_f'!$G1046</f>
        <v>0.93238507733209697</v>
      </c>
      <c r="E505">
        <f>'10years_f'!E1046-'10years_f'!$G1046</f>
        <v>0.76474227022730168</v>
      </c>
      <c r="F505">
        <f>'10years_f'!F1046-'10years_f'!$G1046</f>
        <v>0.7743626453314707</v>
      </c>
      <c r="G505">
        <f>'10years_f'!H1046-'10years_f'!$I1046</f>
        <v>0.93572885021071528</v>
      </c>
    </row>
    <row r="506" spans="1:7" x14ac:dyDescent="0.35">
      <c r="A506" s="1">
        <v>41305</v>
      </c>
      <c r="B506">
        <f>'10years_f'!B1047-'10years_f'!$G1047</f>
        <v>0.94684103809192321</v>
      </c>
      <c r="C506">
        <f>'10years_f'!C1047-'10years_f'!$G1047</f>
        <v>0.78329570569239482</v>
      </c>
      <c r="D506">
        <f>'10years_f'!D1047-'10years_f'!$G1047</f>
        <v>0.9377305879987039</v>
      </c>
      <c r="E506">
        <f>'10years_f'!E1047-'10years_f'!$G1047</f>
        <v>0.77003835398507614</v>
      </c>
      <c r="F506">
        <f>'10years_f'!F1047-'10years_f'!$G1047</f>
        <v>0.7807334125299723</v>
      </c>
      <c r="G506">
        <f>'10years_f'!H1047-'10years_f'!$I1047</f>
        <v>0.94188469578369016</v>
      </c>
    </row>
    <row r="507" spans="1:7" x14ac:dyDescent="0.35">
      <c r="A507" s="1">
        <v>41333</v>
      </c>
      <c r="B507">
        <f>'10years_f'!B1048-'10years_f'!$G1048</f>
        <v>0.91270691619870936</v>
      </c>
      <c r="C507">
        <f>'10years_f'!C1048-'10years_f'!$G1048</f>
        <v>0.74980104008188375</v>
      </c>
      <c r="D507">
        <f>'10years_f'!D1048-'10years_f'!$G1048</f>
        <v>0.89649626059879628</v>
      </c>
      <c r="E507">
        <f>'10years_f'!E1048-'10years_f'!$G1048</f>
        <v>0.72888313793483972</v>
      </c>
      <c r="F507">
        <f>'10years_f'!F1048-'10years_f'!$G1048</f>
        <v>0.74667979236040116</v>
      </c>
      <c r="G507">
        <f>'10years_f'!H1048-'10years_f'!$I1048</f>
        <v>0.90758759519740106</v>
      </c>
    </row>
    <row r="508" spans="1:7" x14ac:dyDescent="0.35">
      <c r="A508" s="1">
        <v>41361</v>
      </c>
      <c r="B508">
        <f>'10years_f'!B1049-'10years_f'!$G1049</f>
        <v>0.90990332339373348</v>
      </c>
      <c r="C508">
        <f>'10years_f'!C1049-'10years_f'!$G1049</f>
        <v>0.7469577193420549</v>
      </c>
      <c r="D508">
        <f>'10years_f'!D1049-'10years_f'!$G1049</f>
        <v>0.85611812853705205</v>
      </c>
      <c r="E508">
        <f>'10years_f'!E1049-'10years_f'!$G1049</f>
        <v>0.68819219168387713</v>
      </c>
      <c r="F508">
        <f>'10years_f'!F1049-'10years_f'!$G1049</f>
        <v>0.74320203945028451</v>
      </c>
      <c r="G508">
        <f>'10years_f'!H1049-'10years_f'!$I1049</f>
        <v>0.9044854268021596</v>
      </c>
    </row>
    <row r="509" spans="1:7" x14ac:dyDescent="0.35">
      <c r="A509" s="1">
        <v>41394</v>
      </c>
      <c r="B509">
        <f>'10years_f'!B1050-'10years_f'!$G1050</f>
        <v>0.90343379946651958</v>
      </c>
      <c r="C509">
        <f>'10years_f'!C1050-'10years_f'!$G1050</f>
        <v>0.7406466612724325</v>
      </c>
      <c r="D509">
        <f>'10years_f'!D1050-'10years_f'!$G1050</f>
        <v>0.84210494942330105</v>
      </c>
      <c r="E509">
        <f>'10years_f'!E1050-'10years_f'!$G1050</f>
        <v>0.67405837292396442</v>
      </c>
      <c r="F509">
        <f>'10years_f'!F1050-'10years_f'!$G1050</f>
        <v>0.7376956239425978</v>
      </c>
      <c r="G509">
        <f>'10years_f'!H1050-'10years_f'!$I1050</f>
        <v>0.89772942851020776</v>
      </c>
    </row>
    <row r="510" spans="1:7" x14ac:dyDescent="0.35">
      <c r="A510" s="1">
        <v>41425</v>
      </c>
      <c r="B510">
        <f>'10years_f'!B1051-'10years_f'!$G1051</f>
        <v>0.88592356060126498</v>
      </c>
      <c r="C510">
        <f>'10years_f'!C1051-'10years_f'!$G1051</f>
        <v>0.72383042737214076</v>
      </c>
      <c r="D510">
        <f>'10years_f'!D1051-'10years_f'!$G1051</f>
        <v>0.78340851037057568</v>
      </c>
      <c r="E510">
        <f>'10years_f'!E1051-'10years_f'!$G1051</f>
        <v>0.61536313405958776</v>
      </c>
      <c r="F510">
        <f>'10years_f'!F1051-'10years_f'!$G1051</f>
        <v>0.71978410691584394</v>
      </c>
      <c r="G510">
        <f>'10years_f'!H1051-'10years_f'!$I1051</f>
        <v>0.87998934546678065</v>
      </c>
    </row>
    <row r="511" spans="1:7" x14ac:dyDescent="0.35">
      <c r="A511" s="1">
        <v>41453</v>
      </c>
      <c r="B511">
        <f>'10years_f'!B1052-'10years_f'!$G1052</f>
        <v>0.94898806241938582</v>
      </c>
      <c r="C511">
        <f>'10years_f'!C1052-'10years_f'!$G1052</f>
        <v>0.78718065238822965</v>
      </c>
      <c r="D511">
        <f>'10years_f'!D1052-'10years_f'!$G1052</f>
        <v>0.85294647491496067</v>
      </c>
      <c r="E511">
        <f>'10years_f'!E1052-'10years_f'!$G1052</f>
        <v>0.6848390463507259</v>
      </c>
      <c r="F511">
        <f>'10years_f'!F1052-'10years_f'!$G1052</f>
        <v>0.78217819158041713</v>
      </c>
      <c r="G511">
        <f>'10years_f'!H1052-'10years_f'!$I1052</f>
        <v>0.94258445264652213</v>
      </c>
    </row>
    <row r="512" spans="1:7" x14ac:dyDescent="0.35">
      <c r="A512" s="1">
        <v>41486</v>
      </c>
      <c r="B512">
        <f>'10years_f'!B1053-'10years_f'!$G1053</f>
        <v>0.93032908797498526</v>
      </c>
      <c r="C512">
        <f>'10years_f'!C1053-'10years_f'!$G1053</f>
        <v>0.76887649646110767</v>
      </c>
      <c r="D512">
        <f>'10years_f'!D1053-'10years_f'!$G1053</f>
        <v>0.83365802970003</v>
      </c>
      <c r="E512">
        <f>'10years_f'!E1053-'10years_f'!$G1053</f>
        <v>0.66549350873807467</v>
      </c>
      <c r="F512">
        <f>'10years_f'!F1053-'10years_f'!$G1053</f>
        <v>0.76405579029223447</v>
      </c>
      <c r="G512">
        <f>'10years_f'!H1053-'10years_f'!$I1053</f>
        <v>0.92354317119645035</v>
      </c>
    </row>
    <row r="513" spans="1:7" x14ac:dyDescent="0.35">
      <c r="A513" s="1">
        <v>41516</v>
      </c>
      <c r="B513">
        <f>'10years_f'!B1054-'10years_f'!$G1054</f>
        <v>0.93886538755628535</v>
      </c>
      <c r="C513">
        <f>'10years_f'!C1054-'10years_f'!$G1054</f>
        <v>0.77799052564236759</v>
      </c>
      <c r="D513">
        <f>'10years_f'!D1054-'10years_f'!$G1054</f>
        <v>0.82771555667396757</v>
      </c>
      <c r="E513">
        <f>'10years_f'!E1054-'10years_f'!$G1054</f>
        <v>0.65945705297164436</v>
      </c>
      <c r="F513">
        <f>'10years_f'!F1054-'10years_f'!$G1054</f>
        <v>0.77242599701500114</v>
      </c>
      <c r="G513">
        <f>'10years_f'!H1054-'10years_f'!$I1054</f>
        <v>0.93162617325586172</v>
      </c>
    </row>
    <row r="514" spans="1:7" x14ac:dyDescent="0.35">
      <c r="A514" s="1">
        <v>41547</v>
      </c>
      <c r="B514">
        <f>'10years_f'!B1055-'10years_f'!$G1055</f>
        <v>0.86840895889207981</v>
      </c>
      <c r="C514">
        <f>'10years_f'!C1055-'10years_f'!$G1055</f>
        <v>0.70801066953717817</v>
      </c>
      <c r="D514">
        <f>'10years_f'!D1055-'10years_f'!$G1055</f>
        <v>0.74781229336754929</v>
      </c>
      <c r="E514">
        <f>'10years_f'!E1055-'10years_f'!$G1055</f>
        <v>0.57949820436672872</v>
      </c>
      <c r="F514">
        <f>'10years_f'!F1055-'10years_f'!$G1055</f>
        <v>0.70262018091028966</v>
      </c>
      <c r="G514">
        <f>'10years_f'!H1055-'10years_f'!$I1055</f>
        <v>0.86094373970136973</v>
      </c>
    </row>
    <row r="515" spans="1:7" x14ac:dyDescent="0.35">
      <c r="A515" s="1">
        <v>41578</v>
      </c>
      <c r="B515">
        <f>'10years_f'!B1056-'10years_f'!$G1056</f>
        <v>0.8090123167218124</v>
      </c>
      <c r="C515">
        <f>'10years_f'!C1056-'10years_f'!$G1056</f>
        <v>0.64893071672384917</v>
      </c>
      <c r="D515">
        <f>'10years_f'!D1056-'10years_f'!$G1056</f>
        <v>0.67409103667161929</v>
      </c>
      <c r="E515">
        <f>'10years_f'!E1056-'10years_f'!$G1056</f>
        <v>0.50579942619164342</v>
      </c>
      <c r="F515">
        <f>'10years_f'!F1056-'10years_f'!$G1056</f>
        <v>0.6438514814306675</v>
      </c>
      <c r="G515">
        <f>'10years_f'!H1056-'10years_f'!$I1056</f>
        <v>0.80124574858925213</v>
      </c>
    </row>
    <row r="516" spans="1:7" x14ac:dyDescent="0.35">
      <c r="A516" s="1">
        <v>41607</v>
      </c>
      <c r="B516">
        <f>'10years_f'!B1057-'10years_f'!$G1057</f>
        <v>0.85328163408823632</v>
      </c>
      <c r="C516">
        <f>'10years_f'!C1057-'10years_f'!$G1057</f>
        <v>0.69345076421708929</v>
      </c>
      <c r="D516">
        <f>'10years_f'!D1057-'10years_f'!$G1057</f>
        <v>0.72559922010164013</v>
      </c>
      <c r="E516">
        <f>'10years_f'!E1057-'10years_f'!$G1057</f>
        <v>0.55679654658475219</v>
      </c>
      <c r="F516">
        <f>'10years_f'!F1057-'10years_f'!$G1057</f>
        <v>0.68904902805010804</v>
      </c>
      <c r="G516">
        <f>'10years_f'!H1057-'10years_f'!$I1057</f>
        <v>0.84505334503776064</v>
      </c>
    </row>
    <row r="517" spans="1:7" x14ac:dyDescent="0.35">
      <c r="A517" s="1">
        <v>41639</v>
      </c>
      <c r="G517">
        <f>'10years_f'!H1058-'10years_f'!$I1058</f>
        <v>0.8571656186581067</v>
      </c>
    </row>
    <row r="518" spans="1:7" x14ac:dyDescent="0.35">
      <c r="A518" s="1">
        <v>41670</v>
      </c>
      <c r="G518">
        <f>'10years_f'!H1059-'10years_f'!$I1059</f>
        <v>0.8867796988714205</v>
      </c>
    </row>
    <row r="519" spans="1:7" x14ac:dyDescent="0.35">
      <c r="A519" s="1">
        <v>41698</v>
      </c>
      <c r="G519">
        <f>'10years_f'!H1060-'10years_f'!$I1060</f>
        <v>0.84922879087843128</v>
      </c>
    </row>
    <row r="520" spans="1:7" x14ac:dyDescent="0.35">
      <c r="A520" s="1">
        <v>41729</v>
      </c>
      <c r="G520">
        <f>'10years_f'!H1061-'10years_f'!$I1061</f>
        <v>0.84250886669011704</v>
      </c>
    </row>
    <row r="521" spans="1:7" x14ac:dyDescent="0.35">
      <c r="A521" s="1">
        <v>41759</v>
      </c>
      <c r="G521">
        <f>'10years_f'!H1062-'10years_f'!$I1062</f>
        <v>0.83703849149934229</v>
      </c>
    </row>
    <row r="522" spans="1:7" x14ac:dyDescent="0.35">
      <c r="A522" s="1">
        <v>41789</v>
      </c>
      <c r="G522">
        <f>'10years_f'!H1063-'10years_f'!$I1063</f>
        <v>0.81771583352967525</v>
      </c>
    </row>
    <row r="523" spans="1:7" x14ac:dyDescent="0.35">
      <c r="A523" s="1">
        <v>41820</v>
      </c>
      <c r="G523">
        <f>'10years_f'!H1064-'10years_f'!$I1064</f>
        <v>0.80058754556957545</v>
      </c>
    </row>
    <row r="524" spans="1:7" x14ac:dyDescent="0.35">
      <c r="A524" s="1">
        <v>41851</v>
      </c>
      <c r="G524">
        <f>'10years_f'!H1065-'10years_f'!$I1065</f>
        <v>0.81240222138913021</v>
      </c>
    </row>
    <row r="525" spans="1:7" x14ac:dyDescent="0.35">
      <c r="A525" s="1">
        <v>41880</v>
      </c>
      <c r="G525">
        <f>'10years_f'!H1066-'10years_f'!$I1066</f>
        <v>0.77967749974131584</v>
      </c>
    </row>
    <row r="526" spans="1:7" x14ac:dyDescent="0.35">
      <c r="A526" s="1">
        <v>41912</v>
      </c>
      <c r="G526">
        <f>'10years_f'!H1067-'10years_f'!$I1067</f>
        <v>0.79144353923188415</v>
      </c>
    </row>
    <row r="527" spans="1:7" x14ac:dyDescent="0.35">
      <c r="A527" s="1">
        <v>41943</v>
      </c>
      <c r="G527">
        <f>'10years_f'!H1068-'10years_f'!$I1068</f>
        <v>0.77157149018642901</v>
      </c>
    </row>
    <row r="528" spans="1:7" x14ac:dyDescent="0.35">
      <c r="A528" s="1">
        <v>41971</v>
      </c>
      <c r="G528">
        <f>'10years_f'!H1069-'10years_f'!$I1069</f>
        <v>0.74870182800430563</v>
      </c>
    </row>
    <row r="529" spans="1:7" x14ac:dyDescent="0.35">
      <c r="A529" s="1">
        <v>42004</v>
      </c>
      <c r="G529">
        <f>'10years_f'!H1070-'10years_f'!$I1070</f>
        <v>0.75075876025801902</v>
      </c>
    </row>
    <row r="530" spans="1:7" x14ac:dyDescent="0.35">
      <c r="A530" s="1">
        <v>42034</v>
      </c>
      <c r="G530">
        <f>'10years_f'!H1071-'10years_f'!$I1071</f>
        <v>0.7757686277144682</v>
      </c>
    </row>
    <row r="531" spans="1:7" x14ac:dyDescent="0.35">
      <c r="A531" s="1">
        <v>42062</v>
      </c>
      <c r="G531">
        <f>'10years_f'!H1072-'10years_f'!$I1072</f>
        <v>0.7293215698618627</v>
      </c>
    </row>
    <row r="532" spans="1:7" x14ac:dyDescent="0.35">
      <c r="A532" s="1">
        <v>42094</v>
      </c>
      <c r="G532">
        <f>'10years_f'!H1073-'10years_f'!$I1073</f>
        <v>0.74200302969343879</v>
      </c>
    </row>
    <row r="533" spans="1:7" x14ac:dyDescent="0.35">
      <c r="A533" s="1">
        <v>42124</v>
      </c>
      <c r="G533">
        <f>'10years_f'!H1074-'10years_f'!$I1074</f>
        <v>0.73441357321039069</v>
      </c>
    </row>
    <row r="534" spans="1:7" x14ac:dyDescent="0.35">
      <c r="A534" s="1">
        <v>42153</v>
      </c>
      <c r="G534">
        <f>'10years_f'!H1075-'10years_f'!$I1075</f>
        <v>0.7240009309226747</v>
      </c>
    </row>
    <row r="535" spans="1:7" x14ac:dyDescent="0.35">
      <c r="A535" s="1">
        <v>42185</v>
      </c>
      <c r="G535">
        <f>'10years_f'!H1076-'10years_f'!$I1076</f>
        <v>0.74039380565433799</v>
      </c>
    </row>
    <row r="536" spans="1:7" x14ac:dyDescent="0.35">
      <c r="A536" s="1">
        <v>42216</v>
      </c>
      <c r="G536">
        <f>'10years_f'!H1077-'10years_f'!$I1077</f>
        <v>0.72273539678476828</v>
      </c>
    </row>
    <row r="537" spans="1:7" x14ac:dyDescent="0.35">
      <c r="A537" s="1">
        <v>42247</v>
      </c>
      <c r="G537">
        <f>'10years_f'!H1078-'10years_f'!$I1078</f>
        <v>0.77468643366385148</v>
      </c>
    </row>
    <row r="538" spans="1:7" x14ac:dyDescent="0.35">
      <c r="A538" s="1">
        <v>42277</v>
      </c>
      <c r="G538">
        <f>'10years_f'!H1079-'10years_f'!$I1079</f>
        <v>0.79551991879253103</v>
      </c>
    </row>
    <row r="539" spans="1:7" x14ac:dyDescent="0.35">
      <c r="A539" s="1">
        <v>42307</v>
      </c>
      <c r="G539">
        <f>'10years_f'!H1080-'10years_f'!$I1080</f>
        <v>0.72830860535157971</v>
      </c>
    </row>
    <row r="540" spans="1:7" x14ac:dyDescent="0.35">
      <c r="A540" s="1">
        <v>42338</v>
      </c>
      <c r="G540">
        <f>'10years_f'!H1081-'10years_f'!$I1081</f>
        <v>0.72549277789037969</v>
      </c>
    </row>
    <row r="541" spans="1:7" x14ac:dyDescent="0.35">
      <c r="A541" s="1">
        <v>42369</v>
      </c>
      <c r="G541">
        <f>'10years_f'!H1082-'10years_f'!$I1082</f>
        <v>0.73845115026296426</v>
      </c>
    </row>
    <row r="542" spans="1:7" x14ac:dyDescent="0.35">
      <c r="A542" s="1">
        <v>42398</v>
      </c>
      <c r="G542">
        <f>'10years_f'!H1083-'10years_f'!$I1083</f>
        <v>0.78075372328548776</v>
      </c>
    </row>
    <row r="543" spans="1:7" x14ac:dyDescent="0.35">
      <c r="A543" s="1">
        <v>42429</v>
      </c>
      <c r="G543">
        <f>'10years_f'!H1084-'10years_f'!$I1084</f>
        <v>0.78237398345711862</v>
      </c>
    </row>
    <row r="544" spans="1:7" x14ac:dyDescent="0.35">
      <c r="A544" s="1">
        <v>42460</v>
      </c>
      <c r="G544">
        <f>'10years_f'!H1085-'10years_f'!$I1085</f>
        <v>0.72790919547511823</v>
      </c>
    </row>
    <row r="545" spans="1:7" x14ac:dyDescent="0.35">
      <c r="A545" s="1">
        <v>42489</v>
      </c>
      <c r="G545">
        <f>'10years_f'!H1086-'10years_f'!$I1086</f>
        <v>0.72488003110766641</v>
      </c>
    </row>
    <row r="546" spans="1:7" x14ac:dyDescent="0.35">
      <c r="A546" s="1">
        <v>42521</v>
      </c>
      <c r="G546">
        <f>'10years_f'!H1087-'10years_f'!$I1087</f>
        <v>0.70962079726611949</v>
      </c>
    </row>
    <row r="547" spans="1:7" x14ac:dyDescent="0.35">
      <c r="A547" s="1">
        <v>42551</v>
      </c>
      <c r="G547">
        <f>'10years_f'!H1088-'10years_f'!$I1088</f>
        <v>0.7075642481265132</v>
      </c>
    </row>
    <row r="548" spans="1:7" x14ac:dyDescent="0.35">
      <c r="A548" s="1">
        <v>42580</v>
      </c>
      <c r="G548">
        <f>'10years_f'!H1089-'10years_f'!$I1089</f>
        <v>0.67762330062016707</v>
      </c>
    </row>
    <row r="549" spans="1:7" x14ac:dyDescent="0.35">
      <c r="A549" s="1">
        <v>42613</v>
      </c>
      <c r="G549">
        <f>'10years_f'!H1090-'10years_f'!$I1090</f>
        <v>0.67675582900693643</v>
      </c>
    </row>
    <row r="550" spans="1:7" x14ac:dyDescent="0.35">
      <c r="A550" s="1">
        <v>42643</v>
      </c>
      <c r="G550">
        <f>'10years_f'!H1091-'10years_f'!$I1091</f>
        <v>0.67656338593374832</v>
      </c>
    </row>
    <row r="551" spans="1:7" x14ac:dyDescent="0.35">
      <c r="A551" s="1">
        <v>42674</v>
      </c>
      <c r="G551">
        <f>'10years_f'!H1092-'10years_f'!$I1092</f>
        <v>0.6919187181126274</v>
      </c>
    </row>
    <row r="552" spans="1:7" x14ac:dyDescent="0.35">
      <c r="A552" s="1">
        <v>42704</v>
      </c>
      <c r="G552">
        <f>'10years_f'!H1093-'10years_f'!$I1093</f>
        <v>0.66252098545691585</v>
      </c>
    </row>
    <row r="553" spans="1:7" x14ac:dyDescent="0.35">
      <c r="A553" s="1">
        <v>42734</v>
      </c>
      <c r="G553">
        <f>'10years_f'!H1094-'10years_f'!$I1094</f>
        <v>0.64684630747454674</v>
      </c>
    </row>
    <row r="554" spans="1:7" x14ac:dyDescent="0.35">
      <c r="A554" s="1">
        <v>42766</v>
      </c>
      <c r="G554">
        <f>'10years_f'!H1095-'10years_f'!$I1095</f>
        <v>0.63111673906365295</v>
      </c>
    </row>
    <row r="555" spans="1:7" x14ac:dyDescent="0.35">
      <c r="A555" s="1">
        <v>42794</v>
      </c>
      <c r="G555">
        <f>'10years_f'!H1096-'10years_f'!$I1096</f>
        <v>0.59904281547155103</v>
      </c>
    </row>
    <row r="556" spans="1:7" x14ac:dyDescent="0.35">
      <c r="A556" s="1">
        <v>42825</v>
      </c>
      <c r="G556">
        <f>'10years_f'!H1097-'10years_f'!$I1097</f>
        <v>0.5978978253891154</v>
      </c>
    </row>
    <row r="557" spans="1:7" x14ac:dyDescent="0.35">
      <c r="A557" s="1">
        <v>42853</v>
      </c>
      <c r="G557">
        <f>'10years_f'!H1098-'10years_f'!$I1098</f>
        <v>0.58949766518633373</v>
      </c>
    </row>
    <row r="558" spans="1:7" x14ac:dyDescent="0.35">
      <c r="A558" s="1">
        <v>42886</v>
      </c>
      <c r="G558">
        <f>'10years_f'!H1099-'10years_f'!$I1099</f>
        <v>0.57789626190567489</v>
      </c>
    </row>
    <row r="559" spans="1:7" x14ac:dyDescent="0.35">
      <c r="A559" s="1">
        <v>42916</v>
      </c>
      <c r="G559">
        <f>'10years_f'!H1100-'10years_f'!$I1100</f>
        <v>0.57355832531331696</v>
      </c>
    </row>
    <row r="560" spans="1:7" x14ac:dyDescent="0.35">
      <c r="A560" s="1">
        <v>42947</v>
      </c>
      <c r="G560">
        <f>'10years_f'!H1101-'10years_f'!$I1101</f>
        <v>0.55699323070506068</v>
      </c>
    </row>
    <row r="561" spans="1:7" x14ac:dyDescent="0.35">
      <c r="A561" s="1">
        <v>42978</v>
      </c>
      <c r="G561">
        <f>'10years_f'!H1102-'10years_f'!$I1102</f>
        <v>0.55588858277767494</v>
      </c>
    </row>
    <row r="562" spans="1:7" x14ac:dyDescent="0.35">
      <c r="A562" s="1">
        <v>43007</v>
      </c>
      <c r="G562">
        <f>'10years_f'!H1103-'10years_f'!$I1103</f>
        <v>0.54004379902075073</v>
      </c>
    </row>
    <row r="563" spans="1:7" x14ac:dyDescent="0.35">
      <c r="A563" s="1">
        <v>43039</v>
      </c>
      <c r="G563">
        <f>'10years_f'!H1104-'10years_f'!$I1104</f>
        <v>0.52083932209079364</v>
      </c>
    </row>
    <row r="564" spans="1:7" x14ac:dyDescent="0.35">
      <c r="A564" s="1">
        <v>43069</v>
      </c>
      <c r="G564">
        <f>'10years_f'!H1105-'10years_f'!$I1105</f>
        <v>0.49565552611885444</v>
      </c>
    </row>
    <row r="565" spans="1:7" x14ac:dyDescent="0.35">
      <c r="A565" s="1">
        <v>43098</v>
      </c>
      <c r="G565">
        <f>'10years_f'!H1106-'10years_f'!$I1106</f>
        <v>0.48713726003641877</v>
      </c>
    </row>
    <row r="566" spans="1:7" x14ac:dyDescent="0.35">
      <c r="A566" s="1">
        <v>43131</v>
      </c>
      <c r="G566">
        <f>'10years_f'!H1107-'10years_f'!$I1107</f>
        <v>0.44094803185349418</v>
      </c>
    </row>
    <row r="567" spans="1:7" x14ac:dyDescent="0.35">
      <c r="A567" s="1">
        <v>43159</v>
      </c>
      <c r="G567">
        <f>'10years_f'!H1108-'10years_f'!$I1108</f>
        <v>0.4739803356352712</v>
      </c>
    </row>
    <row r="568" spans="1:7" x14ac:dyDescent="0.35">
      <c r="A568" s="1">
        <v>43188</v>
      </c>
      <c r="G568">
        <f>'10years_f'!H1109-'10years_f'!$I1109</f>
        <v>0.49647117134885566</v>
      </c>
    </row>
    <row r="569" spans="1:7" x14ac:dyDescent="0.35">
      <c r="A569" s="1">
        <v>43220</v>
      </c>
      <c r="G569">
        <f>'10years_f'!H1110-'10years_f'!$I1110</f>
        <v>0.49449830509988857</v>
      </c>
    </row>
    <row r="570" spans="1:7" x14ac:dyDescent="0.35">
      <c r="A570" s="1">
        <v>43251</v>
      </c>
      <c r="G570">
        <f>'10years_f'!H1111-'10years_f'!$I1111</f>
        <v>0.47599422811747116</v>
      </c>
    </row>
    <row r="571" spans="1:7" x14ac:dyDescent="0.35">
      <c r="A571" s="1">
        <v>43280</v>
      </c>
      <c r="G571">
        <f>'10years_f'!H1112-'10years_f'!$I1112</f>
        <v>0.47146030126596905</v>
      </c>
    </row>
    <row r="572" spans="1:7" x14ac:dyDescent="0.35">
      <c r="A572" s="1">
        <v>43312</v>
      </c>
      <c r="G572">
        <f>'10years_f'!H1113-'10years_f'!$I1113</f>
        <v>0.44229137749590697</v>
      </c>
    </row>
    <row r="573" spans="1:7" x14ac:dyDescent="0.35">
      <c r="A573" s="1">
        <v>43343</v>
      </c>
      <c r="G573">
        <f>'10years_f'!H1114-'10years_f'!$I1114</f>
        <v>0.41653202440264936</v>
      </c>
    </row>
    <row r="574" spans="1:7" x14ac:dyDescent="0.35">
      <c r="A574" s="1">
        <v>43371</v>
      </c>
      <c r="G574">
        <f>'10years_f'!H1115-'10years_f'!$I1115</f>
        <v>0.41350259107386655</v>
      </c>
    </row>
    <row r="575" spans="1:7" x14ac:dyDescent="0.35">
      <c r="A575" s="1">
        <v>43404</v>
      </c>
      <c r="G575">
        <f>'10years_f'!H1116-'10years_f'!$I1116</f>
        <v>0.47435030381459686</v>
      </c>
    </row>
    <row r="576" spans="1:7" x14ac:dyDescent="0.35">
      <c r="A576" s="1">
        <v>43434</v>
      </c>
      <c r="G576">
        <f>'10years_f'!H1117-'10years_f'!$I1117</f>
        <v>0.45948437370534334</v>
      </c>
    </row>
    <row r="577" spans="1:7" x14ac:dyDescent="0.35">
      <c r="A577" s="1">
        <v>43465</v>
      </c>
      <c r="G577">
        <f>'10years_f'!H1118-'10years_f'!$I1118</f>
        <v>0.54065547028379068</v>
      </c>
    </row>
    <row r="578" spans="1:7" x14ac:dyDescent="0.35">
      <c r="A578" s="1">
        <v>43496</v>
      </c>
      <c r="G578">
        <f>'10years_f'!H1119-'10years_f'!$I1119</f>
        <v>0.47690903559842734</v>
      </c>
    </row>
    <row r="579" spans="1:7" x14ac:dyDescent="0.35">
      <c r="A579" s="1">
        <v>43524</v>
      </c>
      <c r="G579">
        <f>'10years_f'!H1120-'10years_f'!$I1120</f>
        <v>0.45230924040571274</v>
      </c>
    </row>
    <row r="580" spans="1:7" x14ac:dyDescent="0.35">
      <c r="A580" s="1">
        <v>43553</v>
      </c>
      <c r="G580">
        <f>'10years_f'!H1121-'10years_f'!$I1121</f>
        <v>0.43772837932203323</v>
      </c>
    </row>
    <row r="581" spans="1:7" x14ac:dyDescent="0.35">
      <c r="A581" s="1">
        <v>43585</v>
      </c>
      <c r="G581">
        <f>'10years_f'!H1122-'10years_f'!$I1122</f>
        <v>0.4061916771135432</v>
      </c>
    </row>
    <row r="582" spans="1:7" x14ac:dyDescent="0.35">
      <c r="A582" s="1">
        <v>43616</v>
      </c>
      <c r="G582">
        <f>'10years_f'!H1123-'10years_f'!$I1123</f>
        <v>0.46251679997598716</v>
      </c>
    </row>
    <row r="583" spans="1:7" x14ac:dyDescent="0.35">
      <c r="A583" s="1">
        <v>43644</v>
      </c>
      <c r="G583">
        <f>'10years_f'!H1124-'10years_f'!$I1124</f>
        <v>0.40778274937576242</v>
      </c>
    </row>
    <row r="584" spans="1:7" x14ac:dyDescent="0.35">
      <c r="A584" s="1">
        <v>43677</v>
      </c>
      <c r="G584">
        <f>'10years_f'!H1125-'10years_f'!$I1125</f>
        <v>0.39725270989615646</v>
      </c>
    </row>
    <row r="585" spans="1:7" x14ac:dyDescent="0.35">
      <c r="A585" s="1">
        <v>43707</v>
      </c>
      <c r="G585">
        <f>'10years_f'!H1126-'10years_f'!$I1126</f>
        <v>0.41214145614781872</v>
      </c>
    </row>
    <row r="586" spans="1:7" x14ac:dyDescent="0.35">
      <c r="A586" s="1">
        <v>43738</v>
      </c>
      <c r="G586">
        <f>'10years_f'!H1127-'10years_f'!$I1127</f>
        <v>0.39808227217933423</v>
      </c>
    </row>
    <row r="587" spans="1:7" x14ac:dyDescent="0.35">
      <c r="A587" s="1">
        <v>43769</v>
      </c>
      <c r="G587">
        <f>'10years_f'!H1128-'10years_f'!$I1128</f>
        <v>0.38154477349560123</v>
      </c>
    </row>
    <row r="588" spans="1:7" x14ac:dyDescent="0.35">
      <c r="A588" s="1">
        <v>43798</v>
      </c>
      <c r="G588">
        <f>'10years_f'!H1129-'10years_f'!$I1129</f>
        <v>0.35283314503379293</v>
      </c>
    </row>
    <row r="589" spans="1:7" x14ac:dyDescent="0.35">
      <c r="A589" s="1">
        <v>43830</v>
      </c>
      <c r="G589">
        <f>'10years_f'!H1130-'10years_f'!$I1130</f>
        <v>0.32948589473407175</v>
      </c>
    </row>
    <row r="590" spans="1:7" x14ac:dyDescent="0.35">
      <c r="A590" s="1">
        <v>43861</v>
      </c>
      <c r="G590">
        <f>'10years_f'!H1131-'10years_f'!$I1131</f>
        <v>0.33048023034114582</v>
      </c>
    </row>
    <row r="591" spans="1:7" x14ac:dyDescent="0.35">
      <c r="A591" s="1">
        <v>43889</v>
      </c>
      <c r="G591">
        <f>'10years_f'!H1132-'10years_f'!$I1132</f>
        <v>0.40285866510508805</v>
      </c>
    </row>
    <row r="592" spans="1:7" x14ac:dyDescent="0.35">
      <c r="A592" s="1">
        <v>43921</v>
      </c>
      <c r="G592">
        <f>'10years_f'!H1133-'10years_f'!$I1133</f>
        <v>0.51273685266443048</v>
      </c>
    </row>
    <row r="593" spans="1:7" x14ac:dyDescent="0.35">
      <c r="A593" s="1">
        <v>43951</v>
      </c>
      <c r="G593">
        <f>'10years_f'!H1134-'10years_f'!$I1134</f>
        <v>0.4113138721619225</v>
      </c>
    </row>
    <row r="594" spans="1:7" x14ac:dyDescent="0.35">
      <c r="A594" s="1">
        <v>43980</v>
      </c>
      <c r="G594">
        <f>'10years_f'!H1135-'10years_f'!$I1135</f>
        <v>0.372357327756212</v>
      </c>
    </row>
    <row r="595" spans="1:7" x14ac:dyDescent="0.35">
      <c r="A595" s="1">
        <v>44012</v>
      </c>
      <c r="G595">
        <f>'10years_f'!H1136-'10years_f'!$I1136</f>
        <v>0.35562423261187304</v>
      </c>
    </row>
    <row r="596" spans="1:7" x14ac:dyDescent="0.35">
      <c r="A596" s="1">
        <v>44043</v>
      </c>
      <c r="G596">
        <f>'10years_f'!H1137-'10years_f'!$I1137</f>
        <v>0.30949088927894053</v>
      </c>
    </row>
    <row r="597" spans="1:7" x14ac:dyDescent="0.35">
      <c r="A597" s="1">
        <v>44074</v>
      </c>
      <c r="G597">
        <f>'10years_f'!H1138-'10years_f'!$I1138</f>
        <v>0.25148497971189121</v>
      </c>
    </row>
    <row r="598" spans="1:7" x14ac:dyDescent="0.35">
      <c r="A598" s="1">
        <v>44104</v>
      </c>
      <c r="G598">
        <f>'10years_f'!H1139-'10years_f'!$I1139</f>
        <v>0.28404431229851479</v>
      </c>
    </row>
    <row r="599" spans="1:7" x14ac:dyDescent="0.35">
      <c r="A599" s="1">
        <v>44134</v>
      </c>
      <c r="G599">
        <f>'10years_f'!H1140-'10years_f'!$I1140</f>
        <v>0.3064788113354644</v>
      </c>
    </row>
    <row r="600" spans="1:7" x14ac:dyDescent="0.35">
      <c r="A600" s="1">
        <v>44165</v>
      </c>
      <c r="G600">
        <f>'10years_f'!H1141-'10years_f'!$I1141</f>
        <v>0.21989991665742892</v>
      </c>
    </row>
    <row r="601" spans="1:7" x14ac:dyDescent="0.35">
      <c r="A601" s="1">
        <v>44196</v>
      </c>
      <c r="G601">
        <f>'10years_f'!H1142-'10years_f'!$I1142</f>
        <v>0.18600903387455681</v>
      </c>
    </row>
    <row r="602" spans="1:7" x14ac:dyDescent="0.35">
      <c r="A602" s="1">
        <v>44225</v>
      </c>
      <c r="G602">
        <f>'10years_f'!H1143-'10years_f'!$I1143</f>
        <v>0.19452319235648829</v>
      </c>
    </row>
    <row r="603" spans="1:7" x14ac:dyDescent="0.35">
      <c r="A603" s="1">
        <v>44253</v>
      </c>
      <c r="G603">
        <f>'10years_f'!H1144-'10years_f'!$I1144</f>
        <v>0.17303369032839466</v>
      </c>
    </row>
    <row r="604" spans="1:7" x14ac:dyDescent="0.35">
      <c r="A604" s="1">
        <v>44286</v>
      </c>
      <c r="G604">
        <f>'10years_f'!H1145-'10years_f'!$I1145</f>
        <v>0.13767845526753142</v>
      </c>
    </row>
    <row r="605" spans="1:7" x14ac:dyDescent="0.35">
      <c r="A605" s="1">
        <v>44316</v>
      </c>
      <c r="G605">
        <f>'10years_f'!H1146-'10years_f'!$I1146</f>
        <v>9.3916222203171973E-2</v>
      </c>
    </row>
    <row r="606" spans="1:7" x14ac:dyDescent="0.35">
      <c r="A606" s="1">
        <v>44344</v>
      </c>
      <c r="G606">
        <f>'10years_f'!H1147-'10years_f'!$I1147</f>
        <v>8.8762596123981297E-2</v>
      </c>
    </row>
    <row r="607" spans="1:7" x14ac:dyDescent="0.35">
      <c r="A607" s="1">
        <v>44377</v>
      </c>
      <c r="G607">
        <f>'10years_f'!H1148-'10years_f'!$I1148</f>
        <v>6.9260042353747053E-2</v>
      </c>
    </row>
    <row r="608" spans="1:7" x14ac:dyDescent="0.35">
      <c r="A608" s="1">
        <v>44407</v>
      </c>
      <c r="G608">
        <f>'10years_f'!H1149-'10years_f'!$I1149</f>
        <v>4.9250286983892888E-2</v>
      </c>
    </row>
    <row r="609" spans="1:7" x14ac:dyDescent="0.35">
      <c r="A609" s="1">
        <v>44439</v>
      </c>
      <c r="G609">
        <f>'10years_f'!H1150-'10years_f'!$I1150</f>
        <v>2.4138107606364034E-2</v>
      </c>
    </row>
    <row r="610" spans="1:7" x14ac:dyDescent="0.35">
      <c r="A610" s="1">
        <v>44469</v>
      </c>
      <c r="G610">
        <f>'10years_f'!H1151-'10years_f'!$I1151</f>
        <v>6.3445759800984103E-2</v>
      </c>
    </row>
    <row r="611" spans="1:7" x14ac:dyDescent="0.35">
      <c r="A611" s="1">
        <v>44498</v>
      </c>
      <c r="G611">
        <f>'10years_f'!H1152-'10years_f'!$I1152</f>
        <v>6.6756107677257148E-3</v>
      </c>
    </row>
    <row r="612" spans="1:7" x14ac:dyDescent="0.35">
      <c r="A612" s="1">
        <v>44530</v>
      </c>
      <c r="G612">
        <f>'10years_f'!H1153-'10years_f'!$I1153</f>
        <v>1.2743231661194176E-2</v>
      </c>
    </row>
    <row r="613" spans="1:7" x14ac:dyDescent="0.35">
      <c r="A613" s="1">
        <v>44561</v>
      </c>
      <c r="G613">
        <f>'10years_f'!H1154-'10years_f'!$I1154</f>
        <v>-2.2632197301886148E-2</v>
      </c>
    </row>
    <row r="614" spans="1:7" x14ac:dyDescent="0.35">
      <c r="A614" s="1">
        <v>44592</v>
      </c>
      <c r="G614">
        <f>'10years_f'!H1155-'10years_f'!$I1155</f>
        <v>2.2069765738375047E-2</v>
      </c>
    </row>
    <row r="615" spans="1:7" x14ac:dyDescent="0.35">
      <c r="A615" s="1">
        <v>44620</v>
      </c>
      <c r="G615">
        <f>'10years_f'!H1156-'10years_f'!$I1156</f>
        <v>4.6850594482439334E-2</v>
      </c>
    </row>
    <row r="616" spans="1:7" x14ac:dyDescent="0.35">
      <c r="A616" s="1">
        <v>44651</v>
      </c>
      <c r="G616">
        <f>'10years_f'!H1157-'10years_f'!$I1157</f>
        <v>1.5911747222430161E-2</v>
      </c>
    </row>
    <row r="617" spans="1:7" x14ac:dyDescent="0.35">
      <c r="A617" s="1">
        <v>44680</v>
      </c>
      <c r="G617">
        <f>'10years_f'!H1158-'10years_f'!$I1158</f>
        <v>9.2407486017320739E-2</v>
      </c>
    </row>
    <row r="618" spans="1:7" x14ac:dyDescent="0.35">
      <c r="A618" s="1">
        <v>44712</v>
      </c>
      <c r="G618">
        <f>'10years_f'!H1159-'10years_f'!$I1159</f>
        <v>9.2352441291043696E-2</v>
      </c>
    </row>
    <row r="619" spans="1:7" x14ac:dyDescent="0.35">
      <c r="A619" s="1">
        <v>44742</v>
      </c>
      <c r="G619">
        <f>'10years_f'!H1160-'10years_f'!$I1160</f>
        <v>0.16397111714274715</v>
      </c>
    </row>
    <row r="620" spans="1:7" x14ac:dyDescent="0.35">
      <c r="A620" s="1">
        <v>44771</v>
      </c>
      <c r="G620">
        <f>'10years_f'!H1161-'10years_f'!$I1161</f>
        <v>8.9846113739322497E-2</v>
      </c>
    </row>
    <row r="621" spans="1:7" x14ac:dyDescent="0.35">
      <c r="A621" s="1">
        <v>44804</v>
      </c>
      <c r="G621">
        <f>'10years_f'!H1162-'10years_f'!$I1162</f>
        <v>0.12574340940658679</v>
      </c>
    </row>
    <row r="622" spans="1:7" x14ac:dyDescent="0.35">
      <c r="A622" s="1">
        <v>44834</v>
      </c>
      <c r="G622">
        <f>'10years_f'!H1163-'10years_f'!$I1163</f>
        <v>0.20743410098771342</v>
      </c>
    </row>
    <row r="623" spans="1:7" x14ac:dyDescent="0.35">
      <c r="A623" s="1">
        <v>44865</v>
      </c>
      <c r="G623">
        <f>'10years_f'!H1164-'10years_f'!$I1164</f>
        <v>0.1449099173020052</v>
      </c>
    </row>
    <row r="624" spans="1:7" x14ac:dyDescent="0.35">
      <c r="A624" s="1">
        <v>44895</v>
      </c>
      <c r="G624">
        <f>'10years_f'!H1165-'10years_f'!$I1165</f>
        <v>0.10330845653854226</v>
      </c>
    </row>
    <row r="625" spans="1:7" x14ac:dyDescent="0.35">
      <c r="A625" s="1">
        <v>44925</v>
      </c>
      <c r="G625">
        <f>'10years_f'!H1166-'10years_f'!$I1166</f>
        <v>0.15661178921841934</v>
      </c>
    </row>
    <row r="626" spans="1:7" x14ac:dyDescent="0.35">
      <c r="A626" s="1">
        <v>44957</v>
      </c>
      <c r="G626">
        <f>'10years_f'!H1167-'10years_f'!$I1167</f>
        <v>0.10790814506054236</v>
      </c>
    </row>
    <row r="627" spans="1:7" x14ac:dyDescent="0.35">
      <c r="A627" s="1">
        <v>44985</v>
      </c>
      <c r="G627">
        <f>'10years_f'!H1168-'10years_f'!$I1168</f>
        <v>0.13123795624083723</v>
      </c>
    </row>
    <row r="628" spans="1:7" x14ac:dyDescent="0.35">
      <c r="A628" s="1">
        <v>45016</v>
      </c>
      <c r="G628">
        <f>'10years_f'!H1169-'10years_f'!$I1169</f>
        <v>0.10353286401771911</v>
      </c>
    </row>
    <row r="629" spans="1:7" x14ac:dyDescent="0.35">
      <c r="A629" s="1">
        <v>45044</v>
      </c>
      <c r="G629">
        <f>'10years_f'!H1170-'10years_f'!$I1170</f>
        <v>9.401522407872509E-2</v>
      </c>
    </row>
    <row r="630" spans="1:7" x14ac:dyDescent="0.35">
      <c r="A630" s="1">
        <v>45077</v>
      </c>
      <c r="G630">
        <f>'10years_f'!H1171-'10years_f'!$I1171</f>
        <v>9.25964660647427E-2</v>
      </c>
    </row>
    <row r="631" spans="1:7" x14ac:dyDescent="0.35">
      <c r="A631" s="1">
        <v>45107</v>
      </c>
      <c r="G631">
        <f>'10years_f'!H1172-'10years_f'!$I1172</f>
        <v>4.1879199383076937E-2</v>
      </c>
    </row>
    <row r="632" spans="1:7" x14ac:dyDescent="0.35">
      <c r="A632" s="1">
        <v>45138</v>
      </c>
      <c r="G632">
        <f>'10years_f'!H1173-'10years_f'!$I1173</f>
        <v>1.9605431287761377E-2</v>
      </c>
    </row>
    <row r="633" spans="1:7" x14ac:dyDescent="0.35">
      <c r="A633" s="1">
        <v>45169</v>
      </c>
      <c r="G633">
        <f>'10years_f'!H1174-'10years_f'!$I1174</f>
        <v>3.6306152803478042E-2</v>
      </c>
    </row>
    <row r="634" spans="1:7" x14ac:dyDescent="0.35">
      <c r="A634" s="1">
        <v>45198</v>
      </c>
      <c r="G634">
        <f>'10years_f'!H1175-'10years_f'!$I1175</f>
        <v>8.0521519612930526E-2</v>
      </c>
    </row>
    <row r="635" spans="1:7" x14ac:dyDescent="0.35">
      <c r="A635" s="1">
        <v>45230</v>
      </c>
      <c r="G635">
        <f>'10years_f'!H1176-'10years_f'!$I1176</f>
        <v>0.10216686980872858</v>
      </c>
    </row>
    <row r="636" spans="1:7" x14ac:dyDescent="0.35">
      <c r="A636" s="1">
        <v>45260</v>
      </c>
      <c r="G636">
        <f>'10years_f'!H1177-'10years_f'!$I1177</f>
        <v>3.3347949511186581E-2</v>
      </c>
    </row>
    <row r="637" spans="1:7" x14ac:dyDescent="0.35">
      <c r="A637" s="1">
        <v>45289</v>
      </c>
      <c r="G637">
        <f>'10years_f'!H1178-'10years_f'!$I1178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2BC9-F57E-4ABC-ADEC-C32023ACA06E}">
  <dimension ref="A1:D318"/>
  <sheetViews>
    <sheetView workbookViewId="0">
      <selection activeCell="D12" sqref="D12"/>
    </sheetView>
  </sheetViews>
  <sheetFormatPr defaultRowHeight="14.5" x14ac:dyDescent="0.35"/>
  <cols>
    <col min="1" max="1" width="10.08984375" bestFit="1" customWidth="1"/>
  </cols>
  <sheetData>
    <row r="1" spans="1:4" x14ac:dyDescent="0.35">
      <c r="B1" t="s">
        <v>20</v>
      </c>
      <c r="C1" t="s">
        <v>17</v>
      </c>
      <c r="D1" t="s">
        <v>21</v>
      </c>
    </row>
    <row r="2" spans="1:4" x14ac:dyDescent="0.35">
      <c r="A2" s="1">
        <v>16437</v>
      </c>
      <c r="B2">
        <v>0.29408246992599402</v>
      </c>
      <c r="C2">
        <v>1.6553055977408498E-2</v>
      </c>
      <c r="D2">
        <f>B2-C2</f>
        <v>0.27752941394858555</v>
      </c>
    </row>
    <row r="3" spans="1:4" x14ac:dyDescent="0.35">
      <c r="A3" s="1">
        <v>16527</v>
      </c>
      <c r="B3">
        <v>0.52121558998110595</v>
      </c>
      <c r="C3">
        <v>1.92935798028149E-2</v>
      </c>
      <c r="D3">
        <f t="shared" ref="D3:D66" si="0">B3-C3</f>
        <v>0.50192201017829108</v>
      </c>
    </row>
    <row r="4" spans="1:4" x14ac:dyDescent="0.35">
      <c r="A4" s="1">
        <v>16618</v>
      </c>
      <c r="B4">
        <v>0.70672606063535404</v>
      </c>
      <c r="C4">
        <v>3.08002026200738E-2</v>
      </c>
      <c r="D4">
        <f t="shared" si="0"/>
        <v>0.67592585801528027</v>
      </c>
    </row>
    <row r="5" spans="1:4" x14ac:dyDescent="0.35">
      <c r="A5" s="1">
        <v>16710</v>
      </c>
      <c r="B5">
        <v>0.99125955756789197</v>
      </c>
      <c r="C5">
        <v>3.8265154572525398E-2</v>
      </c>
      <c r="D5">
        <f t="shared" si="0"/>
        <v>0.95299440299536653</v>
      </c>
    </row>
    <row r="6" spans="1:4" x14ac:dyDescent="0.35">
      <c r="A6" s="1">
        <v>16802</v>
      </c>
      <c r="B6">
        <v>1.0654051674571701</v>
      </c>
      <c r="C6">
        <v>4.36276776629052E-2</v>
      </c>
      <c r="D6">
        <f t="shared" si="0"/>
        <v>1.0217774897942649</v>
      </c>
    </row>
    <row r="7" spans="1:4" x14ac:dyDescent="0.35">
      <c r="A7" s="1">
        <v>16892</v>
      </c>
      <c r="B7">
        <v>1.17092385856763</v>
      </c>
      <c r="C7">
        <v>5.7643798015094602E-2</v>
      </c>
      <c r="D7">
        <f t="shared" si="0"/>
        <v>1.1132800605525355</v>
      </c>
    </row>
    <row r="8" spans="1:4" x14ac:dyDescent="0.35">
      <c r="A8" s="1">
        <v>16983</v>
      </c>
      <c r="B8">
        <v>1.23225427580906</v>
      </c>
      <c r="C8">
        <v>5.55853620175073E-2</v>
      </c>
      <c r="D8">
        <f t="shared" si="0"/>
        <v>1.1766689137915527</v>
      </c>
    </row>
    <row r="9" spans="1:4" x14ac:dyDescent="0.35">
      <c r="A9" s="1">
        <v>17075</v>
      </c>
      <c r="B9">
        <v>1.25248540282294</v>
      </c>
      <c r="C9">
        <v>4.48775899186682E-2</v>
      </c>
      <c r="D9">
        <f t="shared" si="0"/>
        <v>1.2076078129042718</v>
      </c>
    </row>
    <row r="10" spans="1:4" x14ac:dyDescent="0.35">
      <c r="A10" s="1">
        <v>17167</v>
      </c>
      <c r="B10">
        <v>1.1704175067354301</v>
      </c>
      <c r="C10">
        <v>3.9598362109605198E-2</v>
      </c>
      <c r="D10">
        <f t="shared" si="0"/>
        <v>1.1308191446258249</v>
      </c>
    </row>
    <row r="11" spans="1:4" x14ac:dyDescent="0.35">
      <c r="A11" s="1">
        <v>17257</v>
      </c>
      <c r="B11">
        <v>1.08163931407117</v>
      </c>
      <c r="C11">
        <v>3.7428735760203197E-2</v>
      </c>
      <c r="D11">
        <f t="shared" si="0"/>
        <v>1.0442105783109668</v>
      </c>
    </row>
    <row r="12" spans="1:4" x14ac:dyDescent="0.35">
      <c r="A12" s="1">
        <v>17348</v>
      </c>
      <c r="B12">
        <v>1.25714178095069</v>
      </c>
      <c r="C12">
        <v>3.4609693548670599E-2</v>
      </c>
      <c r="D12">
        <f t="shared" si="0"/>
        <v>1.2225320874020194</v>
      </c>
    </row>
    <row r="13" spans="1:4" x14ac:dyDescent="0.35">
      <c r="A13" s="1">
        <v>17440</v>
      </c>
      <c r="B13">
        <v>1.15503551556282</v>
      </c>
      <c r="C13">
        <v>3.2366149401785699E-2</v>
      </c>
      <c r="D13">
        <f t="shared" si="0"/>
        <v>1.1226693661610343</v>
      </c>
    </row>
    <row r="14" spans="1:4" x14ac:dyDescent="0.35">
      <c r="A14" s="1">
        <v>17532</v>
      </c>
      <c r="B14">
        <v>0.90745527205631205</v>
      </c>
      <c r="C14">
        <v>4.0616566847639902E-2</v>
      </c>
      <c r="D14">
        <f t="shared" si="0"/>
        <v>0.86683870520867212</v>
      </c>
    </row>
    <row r="15" spans="1:4" x14ac:dyDescent="0.35">
      <c r="A15" s="1">
        <v>17623</v>
      </c>
      <c r="B15">
        <v>0.94903597536235595</v>
      </c>
      <c r="C15">
        <v>2.7222577099128599E-2</v>
      </c>
      <c r="D15">
        <f t="shared" si="0"/>
        <v>0.92181339826322739</v>
      </c>
    </row>
    <row r="16" spans="1:4" x14ac:dyDescent="0.35">
      <c r="A16" s="1">
        <v>17714</v>
      </c>
      <c r="B16">
        <v>1.11689344991512</v>
      </c>
      <c r="C16">
        <v>1.7023419219475099E-2</v>
      </c>
      <c r="D16">
        <f t="shared" si="0"/>
        <v>1.0998700306956448</v>
      </c>
    </row>
    <row r="17" spans="1:4" x14ac:dyDescent="0.35">
      <c r="A17" s="1">
        <v>17806</v>
      </c>
      <c r="B17">
        <v>1.3635593087706599</v>
      </c>
      <c r="C17">
        <v>2.38796668510677E-2</v>
      </c>
      <c r="D17">
        <f t="shared" si="0"/>
        <v>1.3396796419195922</v>
      </c>
    </row>
    <row r="18" spans="1:4" x14ac:dyDescent="0.35">
      <c r="A18" s="1">
        <v>17898</v>
      </c>
      <c r="B18">
        <v>1.62070438982138</v>
      </c>
      <c r="C18">
        <v>3.2946454534066298E-2</v>
      </c>
      <c r="D18">
        <f t="shared" si="0"/>
        <v>1.5877579352873137</v>
      </c>
    </row>
    <row r="19" spans="1:4" x14ac:dyDescent="0.35">
      <c r="A19" s="1">
        <v>17988</v>
      </c>
      <c r="B19">
        <v>1.7597578052156899</v>
      </c>
      <c r="C19">
        <v>4.34531888904965E-2</v>
      </c>
      <c r="D19">
        <f t="shared" si="0"/>
        <v>1.7163046163251934</v>
      </c>
    </row>
    <row r="20" spans="1:4" x14ac:dyDescent="0.35">
      <c r="A20" s="1">
        <v>18079</v>
      </c>
      <c r="B20">
        <v>1.9057363706292301</v>
      </c>
      <c r="C20">
        <v>5.51379252100581E-2</v>
      </c>
      <c r="D20">
        <f t="shared" si="0"/>
        <v>1.850598445419172</v>
      </c>
    </row>
    <row r="21" spans="1:4" x14ac:dyDescent="0.35">
      <c r="A21" s="1">
        <v>18171</v>
      </c>
      <c r="B21">
        <v>1.94123803588815</v>
      </c>
      <c r="C21">
        <v>6.0238731955530901E-2</v>
      </c>
      <c r="D21">
        <f t="shared" si="0"/>
        <v>1.8809993039326192</v>
      </c>
    </row>
    <row r="22" spans="1:4" x14ac:dyDescent="0.35">
      <c r="A22" s="1">
        <v>18263</v>
      </c>
      <c r="B22">
        <v>1.9291706542686999</v>
      </c>
      <c r="C22">
        <v>6.6543395393536806E-2</v>
      </c>
      <c r="D22">
        <f t="shared" si="0"/>
        <v>1.8626272588751631</v>
      </c>
    </row>
    <row r="23" spans="1:4" x14ac:dyDescent="0.35">
      <c r="A23" s="1">
        <v>18353</v>
      </c>
      <c r="B23">
        <v>1.8200777040413301</v>
      </c>
      <c r="C23">
        <v>8.8085773745039106E-2</v>
      </c>
      <c r="D23">
        <f t="shared" si="0"/>
        <v>1.7319919302962909</v>
      </c>
    </row>
    <row r="24" spans="1:4" x14ac:dyDescent="0.35">
      <c r="A24" s="1">
        <v>18444</v>
      </c>
      <c r="B24">
        <v>1.8279882871166999</v>
      </c>
      <c r="C24">
        <v>9.2584432633135996E-2</v>
      </c>
      <c r="D24">
        <f t="shared" si="0"/>
        <v>1.7354038544835639</v>
      </c>
    </row>
    <row r="25" spans="1:4" x14ac:dyDescent="0.35">
      <c r="A25" s="1">
        <v>18536</v>
      </c>
      <c r="B25">
        <v>1.8332661616499399</v>
      </c>
      <c r="C25">
        <v>0.10484121768754601</v>
      </c>
      <c r="D25">
        <f t="shared" si="0"/>
        <v>1.728424943962394</v>
      </c>
    </row>
    <row r="26" spans="1:4" x14ac:dyDescent="0.35">
      <c r="A26" s="1">
        <v>18628</v>
      </c>
      <c r="B26">
        <v>1.85474873846954</v>
      </c>
      <c r="C26">
        <v>0.101907975226534</v>
      </c>
      <c r="D26">
        <f t="shared" si="0"/>
        <v>1.7528407632430061</v>
      </c>
    </row>
    <row r="27" spans="1:4" x14ac:dyDescent="0.35">
      <c r="A27" s="1">
        <v>18718</v>
      </c>
      <c r="B27">
        <v>2.2075473493990301</v>
      </c>
      <c r="C27">
        <v>0.109372498882987</v>
      </c>
      <c r="D27">
        <f t="shared" si="0"/>
        <v>2.0981748505160431</v>
      </c>
    </row>
    <row r="28" spans="1:4" x14ac:dyDescent="0.35">
      <c r="A28" s="1">
        <v>18809</v>
      </c>
      <c r="B28">
        <v>2.3134435615611402</v>
      </c>
      <c r="C28">
        <v>0.123631867283724</v>
      </c>
      <c r="D28">
        <f t="shared" si="0"/>
        <v>2.1898116942774162</v>
      </c>
    </row>
    <row r="29" spans="1:4" x14ac:dyDescent="0.35">
      <c r="A29" s="1">
        <v>18901</v>
      </c>
      <c r="B29">
        <v>2.38783306028891</v>
      </c>
      <c r="C29">
        <v>0.126949823462463</v>
      </c>
      <c r="D29">
        <f t="shared" si="0"/>
        <v>2.2608832368264471</v>
      </c>
    </row>
    <row r="30" spans="1:4" x14ac:dyDescent="0.35">
      <c r="A30" s="1">
        <v>18993</v>
      </c>
      <c r="B30">
        <v>2.5234987269570701</v>
      </c>
      <c r="C30">
        <v>0.13616864868353201</v>
      </c>
      <c r="D30">
        <f t="shared" si="0"/>
        <v>2.3873300782735383</v>
      </c>
    </row>
    <row r="31" spans="1:4" x14ac:dyDescent="0.35">
      <c r="A31" s="1">
        <v>19084</v>
      </c>
      <c r="B31">
        <v>2.4933108822302601</v>
      </c>
      <c r="C31">
        <v>0.14187413177701999</v>
      </c>
      <c r="D31">
        <f t="shared" si="0"/>
        <v>2.3514367504532401</v>
      </c>
    </row>
    <row r="32" spans="1:4" x14ac:dyDescent="0.35">
      <c r="A32" s="1">
        <v>19175</v>
      </c>
      <c r="B32">
        <v>2.1179127177870698</v>
      </c>
      <c r="C32">
        <v>0.148636182198714</v>
      </c>
      <c r="D32">
        <f t="shared" si="0"/>
        <v>1.9692765355883557</v>
      </c>
    </row>
    <row r="33" spans="1:4" x14ac:dyDescent="0.35">
      <c r="A33" s="1">
        <v>19267</v>
      </c>
      <c r="B33">
        <v>2.0518212802190998</v>
      </c>
      <c r="C33">
        <v>0.159147834435025</v>
      </c>
      <c r="D33">
        <f t="shared" si="0"/>
        <v>1.8926734457840748</v>
      </c>
    </row>
    <row r="34" spans="1:4" x14ac:dyDescent="0.35">
      <c r="A34" s="1">
        <v>19359</v>
      </c>
      <c r="B34">
        <v>2.1879194776950599</v>
      </c>
      <c r="C34">
        <v>0.17001163543211001</v>
      </c>
      <c r="D34">
        <f t="shared" si="0"/>
        <v>2.0179078422629497</v>
      </c>
    </row>
    <row r="35" spans="1:4" x14ac:dyDescent="0.35">
      <c r="A35" s="1">
        <v>19449</v>
      </c>
      <c r="B35">
        <v>2.4082629089633398</v>
      </c>
      <c r="C35">
        <v>0.179566780532947</v>
      </c>
      <c r="D35">
        <f t="shared" si="0"/>
        <v>2.2286961284303928</v>
      </c>
    </row>
    <row r="36" spans="1:4" x14ac:dyDescent="0.35">
      <c r="A36" s="1">
        <v>19540</v>
      </c>
      <c r="B36">
        <v>2.5839564655399698</v>
      </c>
      <c r="C36">
        <v>0.19284571578623799</v>
      </c>
      <c r="D36">
        <f t="shared" si="0"/>
        <v>2.3911107497537318</v>
      </c>
    </row>
    <row r="37" spans="1:4" x14ac:dyDescent="0.35">
      <c r="A37" s="1">
        <v>19632</v>
      </c>
      <c r="B37">
        <v>2.6283170149266701</v>
      </c>
      <c r="C37">
        <v>0.19658820607546501</v>
      </c>
      <c r="D37">
        <f t="shared" si="0"/>
        <v>2.4317288088512052</v>
      </c>
    </row>
    <row r="38" spans="1:4" x14ac:dyDescent="0.35">
      <c r="A38" s="1">
        <v>19724</v>
      </c>
      <c r="B38">
        <v>2.7502464377211902</v>
      </c>
      <c r="C38">
        <v>0.21056866123922999</v>
      </c>
      <c r="D38">
        <f t="shared" si="0"/>
        <v>2.5396777764819602</v>
      </c>
    </row>
    <row r="39" spans="1:4" x14ac:dyDescent="0.35">
      <c r="A39" s="1">
        <v>19814</v>
      </c>
      <c r="B39">
        <v>2.89295095411175</v>
      </c>
      <c r="C39">
        <v>0.221799014312585</v>
      </c>
      <c r="D39">
        <f t="shared" si="0"/>
        <v>2.6711519397991648</v>
      </c>
    </row>
    <row r="40" spans="1:4" x14ac:dyDescent="0.35">
      <c r="A40" s="1">
        <v>19905</v>
      </c>
      <c r="B40">
        <v>2.9924525410266498</v>
      </c>
      <c r="C40">
        <v>0.239187405224417</v>
      </c>
      <c r="D40">
        <f t="shared" si="0"/>
        <v>2.7532651358022329</v>
      </c>
    </row>
    <row r="41" spans="1:4" x14ac:dyDescent="0.35">
      <c r="A41" s="1">
        <v>19997</v>
      </c>
      <c r="B41">
        <v>3.0606895513341201</v>
      </c>
      <c r="C41">
        <v>0.25176533372877102</v>
      </c>
      <c r="D41">
        <f t="shared" si="0"/>
        <v>2.808924217605349</v>
      </c>
    </row>
    <row r="42" spans="1:4" x14ac:dyDescent="0.35">
      <c r="A42" s="1">
        <v>20089</v>
      </c>
      <c r="B42">
        <v>2.8424119413489102</v>
      </c>
      <c r="C42">
        <v>0.24877643306087099</v>
      </c>
      <c r="D42">
        <f t="shared" si="0"/>
        <v>2.5936355082880391</v>
      </c>
    </row>
    <row r="43" spans="1:4" x14ac:dyDescent="0.35">
      <c r="A43" s="1">
        <v>20179</v>
      </c>
      <c r="B43">
        <v>2.6960289458639801</v>
      </c>
      <c r="C43">
        <v>0.26087740296161199</v>
      </c>
      <c r="D43">
        <f t="shared" si="0"/>
        <v>2.4351515429023682</v>
      </c>
    </row>
    <row r="44" spans="1:4" x14ac:dyDescent="0.35">
      <c r="A44" s="1">
        <v>20270</v>
      </c>
      <c r="B44">
        <v>2.51605502967907</v>
      </c>
      <c r="C44">
        <v>0.25774152035424902</v>
      </c>
      <c r="D44">
        <f t="shared" si="0"/>
        <v>2.2583135093248208</v>
      </c>
    </row>
    <row r="45" spans="1:4" x14ac:dyDescent="0.35">
      <c r="A45" s="1">
        <v>20362</v>
      </c>
      <c r="B45">
        <v>2.2462205067146099</v>
      </c>
      <c r="C45">
        <v>0.26710549131774303</v>
      </c>
      <c r="D45">
        <f t="shared" si="0"/>
        <v>1.9791150153968669</v>
      </c>
    </row>
    <row r="46" spans="1:4" x14ac:dyDescent="0.35">
      <c r="A46" s="1">
        <v>20454</v>
      </c>
      <c r="B46">
        <v>2.3117075133282299</v>
      </c>
      <c r="C46">
        <v>0.27282064250508897</v>
      </c>
      <c r="D46">
        <f t="shared" si="0"/>
        <v>2.0388868708231409</v>
      </c>
    </row>
    <row r="47" spans="1:4" x14ac:dyDescent="0.35">
      <c r="A47" s="1">
        <v>20545</v>
      </c>
      <c r="B47">
        <v>2.1683536834139501</v>
      </c>
      <c r="C47">
        <v>0.26241172751935199</v>
      </c>
      <c r="D47">
        <f t="shared" si="0"/>
        <v>1.905941955894598</v>
      </c>
    </row>
    <row r="48" spans="1:4" x14ac:dyDescent="0.35">
      <c r="A48" s="1">
        <v>20636</v>
      </c>
      <c r="B48">
        <v>1.99079063897845</v>
      </c>
      <c r="C48">
        <v>0.26964835337401899</v>
      </c>
      <c r="D48">
        <f t="shared" si="0"/>
        <v>1.7211422856044309</v>
      </c>
    </row>
    <row r="49" spans="1:4" x14ac:dyDescent="0.35">
      <c r="A49" s="1">
        <v>20728</v>
      </c>
      <c r="B49">
        <v>1.7185433886905499</v>
      </c>
      <c r="C49">
        <v>0.28747417641836798</v>
      </c>
      <c r="D49">
        <f t="shared" si="0"/>
        <v>1.431069212272182</v>
      </c>
    </row>
    <row r="50" spans="1:4" x14ac:dyDescent="0.35">
      <c r="A50" s="1">
        <v>20820</v>
      </c>
      <c r="B50">
        <v>1.84596749471833</v>
      </c>
      <c r="C50">
        <v>0.303693149724027</v>
      </c>
      <c r="D50">
        <f t="shared" si="0"/>
        <v>1.542274344994303</v>
      </c>
    </row>
    <row r="51" spans="1:4" x14ac:dyDescent="0.35">
      <c r="A51" s="1">
        <v>20910</v>
      </c>
      <c r="B51">
        <v>2.18053313950091</v>
      </c>
      <c r="C51">
        <v>0.32955757886763398</v>
      </c>
      <c r="D51">
        <f t="shared" si="0"/>
        <v>1.8509755606332761</v>
      </c>
    </row>
    <row r="52" spans="1:4" x14ac:dyDescent="0.35">
      <c r="A52" s="1">
        <v>21001</v>
      </c>
      <c r="B52">
        <v>2.1059949062984602</v>
      </c>
      <c r="C52">
        <v>0.34251262040976299</v>
      </c>
      <c r="D52">
        <f t="shared" si="0"/>
        <v>1.7634822858886972</v>
      </c>
    </row>
    <row r="53" spans="1:4" x14ac:dyDescent="0.35">
      <c r="A53" s="1">
        <v>21093</v>
      </c>
      <c r="B53">
        <v>2.30800303564682</v>
      </c>
      <c r="C53">
        <v>0.342551179658446</v>
      </c>
      <c r="D53">
        <f t="shared" si="0"/>
        <v>1.965451855988374</v>
      </c>
    </row>
    <row r="54" spans="1:4" x14ac:dyDescent="0.35">
      <c r="A54" s="1">
        <v>21185</v>
      </c>
      <c r="B54">
        <v>2.5445518615045102</v>
      </c>
      <c r="C54">
        <v>0.33343798867036001</v>
      </c>
      <c r="D54">
        <f t="shared" si="0"/>
        <v>2.21111387283415</v>
      </c>
    </row>
    <row r="55" spans="1:4" x14ac:dyDescent="0.35">
      <c r="A55" s="1">
        <v>21275</v>
      </c>
      <c r="B55">
        <v>2.3804415525329601</v>
      </c>
      <c r="C55">
        <v>0.35050339214133303</v>
      </c>
      <c r="D55">
        <f t="shared" si="0"/>
        <v>2.0299381603916271</v>
      </c>
    </row>
    <row r="56" spans="1:4" x14ac:dyDescent="0.35">
      <c r="A56" s="1">
        <v>21366</v>
      </c>
      <c r="B56">
        <v>2.4215313352290702</v>
      </c>
      <c r="C56">
        <v>0.367873925946749</v>
      </c>
      <c r="D56">
        <f t="shared" si="0"/>
        <v>2.0536574092823212</v>
      </c>
    </row>
    <row r="57" spans="1:4" x14ac:dyDescent="0.35">
      <c r="A57" s="1">
        <v>21458</v>
      </c>
      <c r="B57">
        <v>2.1842639947154101</v>
      </c>
      <c r="C57">
        <v>0.36085172279156602</v>
      </c>
      <c r="D57">
        <f t="shared" si="0"/>
        <v>1.8234122719238441</v>
      </c>
    </row>
    <row r="58" spans="1:4" x14ac:dyDescent="0.35">
      <c r="A58" s="1">
        <v>21550</v>
      </c>
      <c r="B58">
        <v>2.0488648445310398</v>
      </c>
      <c r="C58">
        <v>0.35318741332182002</v>
      </c>
      <c r="D58">
        <f t="shared" si="0"/>
        <v>1.6956774312092198</v>
      </c>
    </row>
    <row r="59" spans="1:4" x14ac:dyDescent="0.35">
      <c r="A59" s="1">
        <v>21640</v>
      </c>
      <c r="B59">
        <v>1.78840185197393</v>
      </c>
      <c r="C59">
        <v>0.34762201778839602</v>
      </c>
      <c r="D59">
        <f t="shared" si="0"/>
        <v>1.440779834185534</v>
      </c>
    </row>
    <row r="60" spans="1:4" x14ac:dyDescent="0.35">
      <c r="A60" s="1">
        <v>21731</v>
      </c>
      <c r="B60">
        <v>1.64053405418418</v>
      </c>
      <c r="C60">
        <v>0.33360138991627197</v>
      </c>
      <c r="D60">
        <f t="shared" si="0"/>
        <v>1.306932664267908</v>
      </c>
    </row>
    <row r="61" spans="1:4" x14ac:dyDescent="0.35">
      <c r="A61" s="1">
        <v>21823</v>
      </c>
      <c r="B61">
        <v>1.38109586645432</v>
      </c>
      <c r="C61">
        <v>0.33357421761777101</v>
      </c>
      <c r="D61">
        <f t="shared" si="0"/>
        <v>1.0475216488365491</v>
      </c>
    </row>
    <row r="62" spans="1:4" x14ac:dyDescent="0.35">
      <c r="A62" s="1">
        <v>21915</v>
      </c>
      <c r="B62">
        <v>1.4031059562375201</v>
      </c>
      <c r="C62">
        <v>0.33258706011316502</v>
      </c>
      <c r="D62">
        <f t="shared" si="0"/>
        <v>1.070518896124355</v>
      </c>
    </row>
    <row r="63" spans="1:4" x14ac:dyDescent="0.35">
      <c r="A63" s="1">
        <v>22006</v>
      </c>
      <c r="B63">
        <v>1.3189956173319299</v>
      </c>
      <c r="C63">
        <v>0.316272360628922</v>
      </c>
      <c r="D63">
        <f t="shared" si="0"/>
        <v>1.002723256703008</v>
      </c>
    </row>
    <row r="64" spans="1:4" x14ac:dyDescent="0.35">
      <c r="A64" s="1">
        <v>22097</v>
      </c>
      <c r="B64">
        <v>0.95704392711593</v>
      </c>
      <c r="C64">
        <v>0.31774148459204898</v>
      </c>
      <c r="D64">
        <f t="shared" si="0"/>
        <v>0.63930244252388102</v>
      </c>
    </row>
    <row r="65" spans="1:4" x14ac:dyDescent="0.35">
      <c r="A65" s="1">
        <v>22189</v>
      </c>
      <c r="B65">
        <v>1.0881877189337099</v>
      </c>
      <c r="C65">
        <v>0.32006055529072402</v>
      </c>
      <c r="D65">
        <f t="shared" si="0"/>
        <v>0.76812716364298583</v>
      </c>
    </row>
    <row r="66" spans="1:4" x14ac:dyDescent="0.35">
      <c r="A66" s="1">
        <v>22281</v>
      </c>
      <c r="B66">
        <v>1.2433006853636199</v>
      </c>
      <c r="C66">
        <v>0.32297194254358202</v>
      </c>
      <c r="D66">
        <f t="shared" si="0"/>
        <v>0.92032874282003796</v>
      </c>
    </row>
    <row r="67" spans="1:4" x14ac:dyDescent="0.35">
      <c r="A67" s="1">
        <v>22371</v>
      </c>
      <c r="B67">
        <v>1.1737221941034801</v>
      </c>
      <c r="C67">
        <v>0.32281867289050098</v>
      </c>
      <c r="D67">
        <f t="shared" ref="D67:D130" si="1">B67-C67</f>
        <v>0.85090352121297919</v>
      </c>
    </row>
    <row r="68" spans="1:4" x14ac:dyDescent="0.35">
      <c r="A68" s="1">
        <v>22462</v>
      </c>
      <c r="B68">
        <v>1.15165911428126</v>
      </c>
      <c r="C68">
        <v>0.30833111352961401</v>
      </c>
      <c r="D68">
        <f t="shared" si="1"/>
        <v>0.84332800075164593</v>
      </c>
    </row>
    <row r="69" spans="1:4" x14ac:dyDescent="0.35">
      <c r="A69" s="1">
        <v>22554</v>
      </c>
      <c r="B69">
        <v>0.98523268331887104</v>
      </c>
      <c r="C69">
        <v>0.30975578044982699</v>
      </c>
      <c r="D69">
        <f t="shared" si="1"/>
        <v>0.67547690286904405</v>
      </c>
    </row>
    <row r="70" spans="1:4" x14ac:dyDescent="0.35">
      <c r="A70" s="1">
        <v>22646</v>
      </c>
      <c r="B70">
        <v>0.83159586497261195</v>
      </c>
      <c r="C70">
        <v>0.31072067956292598</v>
      </c>
      <c r="D70">
        <f t="shared" si="1"/>
        <v>0.52087518540968603</v>
      </c>
    </row>
    <row r="71" spans="1:4" x14ac:dyDescent="0.35">
      <c r="A71" s="1">
        <v>22736</v>
      </c>
      <c r="B71">
        <v>1.08901429699062</v>
      </c>
      <c r="C71">
        <v>0.30765306188817998</v>
      </c>
      <c r="D71">
        <f t="shared" si="1"/>
        <v>0.78136123510244004</v>
      </c>
    </row>
    <row r="72" spans="1:4" x14ac:dyDescent="0.35">
      <c r="A72" s="1">
        <v>22827</v>
      </c>
      <c r="B72">
        <v>1.5152956052344499</v>
      </c>
      <c r="C72">
        <v>0.30603681558802898</v>
      </c>
      <c r="D72">
        <f t="shared" si="1"/>
        <v>1.2092587896464209</v>
      </c>
    </row>
    <row r="73" spans="1:4" x14ac:dyDescent="0.35">
      <c r="A73" s="1">
        <v>22919</v>
      </c>
      <c r="B73">
        <v>1.61566200689873</v>
      </c>
      <c r="C73">
        <v>0.298287457813529</v>
      </c>
      <c r="D73">
        <f t="shared" si="1"/>
        <v>1.3173745490852009</v>
      </c>
    </row>
    <row r="74" spans="1:4" x14ac:dyDescent="0.35">
      <c r="A74" s="1">
        <v>23011</v>
      </c>
      <c r="B74">
        <v>1.6033899504193501</v>
      </c>
      <c r="C74">
        <v>0.28899521482628199</v>
      </c>
      <c r="D74">
        <f t="shared" si="1"/>
        <v>1.3143947355930681</v>
      </c>
    </row>
    <row r="75" spans="1:4" x14ac:dyDescent="0.35">
      <c r="A75" s="1">
        <v>23101</v>
      </c>
      <c r="B75">
        <v>1.3077946091102599</v>
      </c>
      <c r="C75">
        <v>0.27127175695163003</v>
      </c>
      <c r="D75">
        <f t="shared" si="1"/>
        <v>1.0365228521586298</v>
      </c>
    </row>
    <row r="76" spans="1:4" x14ac:dyDescent="0.35">
      <c r="A76" s="1">
        <v>23192</v>
      </c>
      <c r="B76">
        <v>0.91987965524256099</v>
      </c>
      <c r="C76">
        <v>0.242913520092292</v>
      </c>
      <c r="D76">
        <f t="shared" si="1"/>
        <v>0.67696613515026893</v>
      </c>
    </row>
    <row r="77" spans="1:4" x14ac:dyDescent="0.35">
      <c r="A77" s="1">
        <v>23284</v>
      </c>
      <c r="B77">
        <v>0.88421455004272798</v>
      </c>
      <c r="C77">
        <v>0.236355120437759</v>
      </c>
      <c r="D77">
        <f t="shared" si="1"/>
        <v>0.64785942960496901</v>
      </c>
    </row>
    <row r="78" spans="1:4" x14ac:dyDescent="0.35">
      <c r="A78" s="1">
        <v>23376</v>
      </c>
      <c r="B78">
        <v>0.56948964073484398</v>
      </c>
      <c r="C78">
        <v>0.20774335666418101</v>
      </c>
      <c r="D78">
        <f t="shared" si="1"/>
        <v>0.361746284070663</v>
      </c>
    </row>
    <row r="79" spans="1:4" x14ac:dyDescent="0.35">
      <c r="A79" s="1">
        <v>23467</v>
      </c>
      <c r="B79">
        <v>0.25588292779097399</v>
      </c>
      <c r="C79">
        <v>0.16848921735335101</v>
      </c>
      <c r="D79">
        <f t="shared" si="1"/>
        <v>8.7393710437622979E-2</v>
      </c>
    </row>
    <row r="80" spans="1:4" x14ac:dyDescent="0.35">
      <c r="A80" s="1">
        <v>23558</v>
      </c>
      <c r="B80">
        <v>-9.43828118218248E-2</v>
      </c>
      <c r="C80">
        <v>0.13524647094529399</v>
      </c>
      <c r="D80">
        <f t="shared" si="1"/>
        <v>-0.2296292827671188</v>
      </c>
    </row>
    <row r="81" spans="1:4" x14ac:dyDescent="0.35">
      <c r="A81" s="1">
        <v>23650</v>
      </c>
      <c r="B81">
        <v>-0.74220694871067805</v>
      </c>
      <c r="C81">
        <v>0.10023225394122399</v>
      </c>
      <c r="D81">
        <f t="shared" si="1"/>
        <v>-0.84243920265190209</v>
      </c>
    </row>
    <row r="82" spans="1:4" x14ac:dyDescent="0.35">
      <c r="A82" s="1">
        <v>23742</v>
      </c>
      <c r="B82">
        <v>-0.85881817374764402</v>
      </c>
      <c r="C82">
        <v>6.0321554908715498E-2</v>
      </c>
      <c r="D82">
        <f t="shared" si="1"/>
        <v>-0.91913972865635951</v>
      </c>
    </row>
    <row r="83" spans="1:4" x14ac:dyDescent="0.35">
      <c r="A83" s="1">
        <v>23832</v>
      </c>
      <c r="B83">
        <v>-0.64644992260086698</v>
      </c>
      <c r="C83">
        <v>3.3717277108302697E-2</v>
      </c>
      <c r="D83">
        <f t="shared" si="1"/>
        <v>-0.68016719970916972</v>
      </c>
    </row>
    <row r="84" spans="1:4" x14ac:dyDescent="0.35">
      <c r="A84" s="1">
        <v>23923</v>
      </c>
      <c r="B84">
        <v>-0.35142595122866799</v>
      </c>
      <c r="C84">
        <v>2.7498206722742499E-2</v>
      </c>
      <c r="D84">
        <f t="shared" si="1"/>
        <v>-0.37892415795141049</v>
      </c>
    </row>
    <row r="85" spans="1:4" x14ac:dyDescent="0.35">
      <c r="A85" s="1">
        <v>24015</v>
      </c>
      <c r="B85">
        <v>-0.52495364104072595</v>
      </c>
      <c r="C85">
        <v>-4.0958013710956599E-3</v>
      </c>
      <c r="D85">
        <f t="shared" si="1"/>
        <v>-0.52085783966963028</v>
      </c>
    </row>
    <row r="86" spans="1:4" x14ac:dyDescent="0.35">
      <c r="A86" s="1">
        <v>24107</v>
      </c>
      <c r="B86">
        <v>-0.57779159196262897</v>
      </c>
      <c r="C86">
        <v>-2.3224286431455798E-2</v>
      </c>
      <c r="D86">
        <f t="shared" si="1"/>
        <v>-0.55456730553117317</v>
      </c>
    </row>
    <row r="87" spans="1:4" x14ac:dyDescent="0.35">
      <c r="A87" s="1">
        <v>24197</v>
      </c>
      <c r="B87">
        <v>-0.26385202198331298</v>
      </c>
      <c r="C87">
        <v>-2.32724809171359E-2</v>
      </c>
      <c r="D87">
        <f t="shared" si="1"/>
        <v>-0.24057954106617707</v>
      </c>
    </row>
    <row r="88" spans="1:4" x14ac:dyDescent="0.35">
      <c r="A88" s="1">
        <v>24288</v>
      </c>
      <c r="B88">
        <v>-0.126170900901723</v>
      </c>
      <c r="C88">
        <v>-2.09833307331042E-2</v>
      </c>
      <c r="D88">
        <f t="shared" si="1"/>
        <v>-0.10518757016861881</v>
      </c>
    </row>
    <row r="89" spans="1:4" x14ac:dyDescent="0.35">
      <c r="A89" s="1">
        <v>24380</v>
      </c>
      <c r="B89">
        <v>0.15119990406515799</v>
      </c>
      <c r="C89">
        <v>-3.5037316111896602E-2</v>
      </c>
      <c r="D89">
        <f t="shared" si="1"/>
        <v>0.18623722017705457</v>
      </c>
    </row>
    <row r="90" spans="1:4" x14ac:dyDescent="0.35">
      <c r="A90" s="1">
        <v>24472</v>
      </c>
      <c r="B90">
        <v>0.103340255403439</v>
      </c>
      <c r="C90">
        <v>-5.1009333402574103E-2</v>
      </c>
      <c r="D90">
        <f t="shared" si="1"/>
        <v>0.1543495888060131</v>
      </c>
    </row>
    <row r="91" spans="1:4" x14ac:dyDescent="0.35">
      <c r="A91" s="1">
        <v>24562</v>
      </c>
      <c r="B91">
        <v>-0.25961631683117897</v>
      </c>
      <c r="C91">
        <v>-9.2067627292946597E-2</v>
      </c>
      <c r="D91">
        <f t="shared" si="1"/>
        <v>-0.16754868953823238</v>
      </c>
    </row>
    <row r="92" spans="1:4" x14ac:dyDescent="0.35">
      <c r="A92" s="1">
        <v>24653</v>
      </c>
      <c r="B92">
        <v>-0.421764912088396</v>
      </c>
      <c r="C92">
        <v>-0.117234411689593</v>
      </c>
      <c r="D92">
        <f t="shared" si="1"/>
        <v>-0.30453050039880303</v>
      </c>
    </row>
    <row r="93" spans="1:4" x14ac:dyDescent="0.35">
      <c r="A93" s="1">
        <v>24745</v>
      </c>
      <c r="B93">
        <v>-0.54739255998678105</v>
      </c>
      <c r="C93">
        <v>-0.118277909552778</v>
      </c>
      <c r="D93">
        <f t="shared" si="1"/>
        <v>-0.42911465043400304</v>
      </c>
    </row>
    <row r="94" spans="1:4" x14ac:dyDescent="0.35">
      <c r="A94" s="1">
        <v>24837</v>
      </c>
      <c r="B94">
        <v>-0.623541070415357</v>
      </c>
      <c r="C94">
        <v>-0.118589998724439</v>
      </c>
      <c r="D94">
        <f t="shared" si="1"/>
        <v>-0.50495107169091802</v>
      </c>
    </row>
    <row r="95" spans="1:4" x14ac:dyDescent="0.35">
      <c r="A95" s="1">
        <v>24928</v>
      </c>
      <c r="B95">
        <v>-0.66919106539208295</v>
      </c>
      <c r="C95">
        <v>-0.12828725363267501</v>
      </c>
      <c r="D95">
        <f t="shared" si="1"/>
        <v>-0.54090381175940794</v>
      </c>
    </row>
    <row r="96" spans="1:4" x14ac:dyDescent="0.35">
      <c r="A96" s="1">
        <v>25019</v>
      </c>
      <c r="B96">
        <v>-0.67910212302890705</v>
      </c>
      <c r="C96">
        <v>-0.152476702965998</v>
      </c>
      <c r="D96">
        <f t="shared" si="1"/>
        <v>-0.52662542006290902</v>
      </c>
    </row>
    <row r="97" spans="1:4" x14ac:dyDescent="0.35">
      <c r="A97" s="1">
        <v>25111</v>
      </c>
      <c r="B97">
        <v>-0.576135145320955</v>
      </c>
      <c r="C97">
        <v>-0.16819122154548799</v>
      </c>
      <c r="D97">
        <f t="shared" si="1"/>
        <v>-0.40794392377546701</v>
      </c>
    </row>
    <row r="98" spans="1:4" x14ac:dyDescent="0.35">
      <c r="A98" s="1">
        <v>25203</v>
      </c>
      <c r="B98">
        <v>-0.90975048494198496</v>
      </c>
      <c r="C98">
        <v>-0.17706898004896701</v>
      </c>
      <c r="D98">
        <f t="shared" si="1"/>
        <v>-0.73268150489301798</v>
      </c>
    </row>
    <row r="99" spans="1:4" x14ac:dyDescent="0.35">
      <c r="A99" s="1">
        <v>25293</v>
      </c>
      <c r="B99">
        <v>-0.70268235777617405</v>
      </c>
      <c r="C99">
        <v>-0.187350001738673</v>
      </c>
      <c r="D99">
        <f t="shared" si="1"/>
        <v>-0.51533235603750105</v>
      </c>
    </row>
    <row r="100" spans="1:4" x14ac:dyDescent="0.35">
      <c r="A100" s="1">
        <v>25384</v>
      </c>
      <c r="B100">
        <v>-0.69508661461342702</v>
      </c>
      <c r="C100">
        <v>-0.203486493929494</v>
      </c>
      <c r="D100">
        <f t="shared" si="1"/>
        <v>-0.491600120683933</v>
      </c>
    </row>
    <row r="101" spans="1:4" x14ac:dyDescent="0.35">
      <c r="A101" s="1">
        <v>25476</v>
      </c>
      <c r="B101">
        <v>-0.37244067344707199</v>
      </c>
      <c r="C101">
        <v>-0.228694805008955</v>
      </c>
      <c r="D101">
        <f t="shared" si="1"/>
        <v>-0.14374586843811699</v>
      </c>
    </row>
    <row r="102" spans="1:4" x14ac:dyDescent="0.35">
      <c r="A102" s="1">
        <v>25568</v>
      </c>
      <c r="B102">
        <v>-0.47603751011984202</v>
      </c>
      <c r="C102">
        <v>-0.24574219184775301</v>
      </c>
      <c r="D102">
        <f t="shared" si="1"/>
        <v>-0.23029531827208902</v>
      </c>
    </row>
    <row r="103" spans="1:4" x14ac:dyDescent="0.35">
      <c r="A103" s="1">
        <v>25658</v>
      </c>
      <c r="B103">
        <v>-0.242769207160343</v>
      </c>
      <c r="C103">
        <v>-0.27894141683878498</v>
      </c>
      <c r="D103">
        <f t="shared" si="1"/>
        <v>3.617220967844198E-2</v>
      </c>
    </row>
    <row r="104" spans="1:4" x14ac:dyDescent="0.35">
      <c r="A104" s="1">
        <v>25749</v>
      </c>
      <c r="B104">
        <v>7.3533651970980607E-2</v>
      </c>
      <c r="C104">
        <v>-0.29064884542970898</v>
      </c>
      <c r="D104">
        <f t="shared" si="1"/>
        <v>0.36418249740068959</v>
      </c>
    </row>
    <row r="105" spans="1:4" x14ac:dyDescent="0.35">
      <c r="A105" s="1">
        <v>25841</v>
      </c>
      <c r="B105">
        <v>0.196231408704306</v>
      </c>
      <c r="C105">
        <v>-0.30474396343575</v>
      </c>
      <c r="D105">
        <f t="shared" si="1"/>
        <v>0.50097537214005605</v>
      </c>
    </row>
    <row r="106" spans="1:4" x14ac:dyDescent="0.35">
      <c r="A106" s="1">
        <v>25933</v>
      </c>
      <c r="B106">
        <v>0.20179316410144901</v>
      </c>
      <c r="C106">
        <v>-0.30562431444696198</v>
      </c>
      <c r="D106">
        <f t="shared" si="1"/>
        <v>0.50741747854841102</v>
      </c>
    </row>
    <row r="107" spans="1:4" x14ac:dyDescent="0.35">
      <c r="A107" s="1">
        <v>26023</v>
      </c>
      <c r="B107">
        <v>-0.15297860068392799</v>
      </c>
      <c r="C107">
        <v>-0.29790802256458598</v>
      </c>
      <c r="D107">
        <f t="shared" si="1"/>
        <v>0.14492942188065799</v>
      </c>
    </row>
    <row r="108" spans="1:4" x14ac:dyDescent="0.35">
      <c r="A108" s="1">
        <v>26114</v>
      </c>
      <c r="B108">
        <v>-0.25304609672788297</v>
      </c>
      <c r="C108">
        <v>-0.26339286943638501</v>
      </c>
      <c r="D108">
        <f t="shared" si="1"/>
        <v>1.0346772708502039E-2</v>
      </c>
    </row>
    <row r="109" spans="1:4" x14ac:dyDescent="0.35">
      <c r="A109" s="1">
        <v>26206</v>
      </c>
      <c r="B109">
        <v>-0.37432899080373</v>
      </c>
      <c r="C109">
        <v>-0.24268534738118899</v>
      </c>
      <c r="D109">
        <f t="shared" si="1"/>
        <v>-0.13164364342254101</v>
      </c>
    </row>
    <row r="110" spans="1:4" x14ac:dyDescent="0.35">
      <c r="A110" s="1">
        <v>26298</v>
      </c>
      <c r="B110">
        <v>-0.35322285081190702</v>
      </c>
      <c r="C110">
        <v>-0.20713731986809999</v>
      </c>
      <c r="D110">
        <f t="shared" si="1"/>
        <v>-0.14608553094380702</v>
      </c>
    </row>
    <row r="111" spans="1:4" x14ac:dyDescent="0.35">
      <c r="A111" s="1">
        <v>26389</v>
      </c>
      <c r="B111">
        <v>-0.73939461011942598</v>
      </c>
      <c r="C111">
        <v>-0.1653665341385</v>
      </c>
      <c r="D111">
        <f t="shared" si="1"/>
        <v>-0.57402807598092598</v>
      </c>
    </row>
    <row r="112" spans="1:4" x14ac:dyDescent="0.35">
      <c r="A112" s="1">
        <v>26480</v>
      </c>
      <c r="B112">
        <v>-0.84409952672258604</v>
      </c>
      <c r="C112">
        <v>-0.12881941353867199</v>
      </c>
      <c r="D112">
        <f t="shared" si="1"/>
        <v>-0.71528011318391405</v>
      </c>
    </row>
    <row r="113" spans="1:4" x14ac:dyDescent="0.35">
      <c r="A113" s="1">
        <v>26572</v>
      </c>
      <c r="B113">
        <v>-0.815470678542496</v>
      </c>
      <c r="C113">
        <v>-0.107067637377101</v>
      </c>
      <c r="D113">
        <f t="shared" si="1"/>
        <v>-0.70840304116539499</v>
      </c>
    </row>
    <row r="114" spans="1:4" x14ac:dyDescent="0.35">
      <c r="A114" s="1">
        <v>26664</v>
      </c>
      <c r="B114">
        <v>-0.47116966650174702</v>
      </c>
      <c r="C114">
        <v>-7.0822022542482696E-2</v>
      </c>
      <c r="D114">
        <f t="shared" si="1"/>
        <v>-0.40034764395926431</v>
      </c>
    </row>
    <row r="115" spans="1:4" x14ac:dyDescent="0.35">
      <c r="A115" s="1">
        <v>26754</v>
      </c>
      <c r="B115">
        <v>-0.174663821029786</v>
      </c>
      <c r="C115">
        <v>-1.5325943500710299E-2</v>
      </c>
      <c r="D115">
        <f t="shared" si="1"/>
        <v>-0.15933787752907572</v>
      </c>
    </row>
    <row r="116" spans="1:4" x14ac:dyDescent="0.35">
      <c r="A116" s="1">
        <v>26845</v>
      </c>
      <c r="B116">
        <v>0.29158209081325798</v>
      </c>
      <c r="C116">
        <v>2.1298078977038899E-2</v>
      </c>
      <c r="D116">
        <f t="shared" si="1"/>
        <v>0.27028401183621908</v>
      </c>
    </row>
    <row r="117" spans="1:4" x14ac:dyDescent="0.35">
      <c r="A117" s="1">
        <v>26937</v>
      </c>
      <c r="B117">
        <v>0.27369989030185998</v>
      </c>
      <c r="C117">
        <v>5.4077372275052098E-2</v>
      </c>
      <c r="D117">
        <f t="shared" si="1"/>
        <v>0.21962251802680788</v>
      </c>
    </row>
    <row r="118" spans="1:4" x14ac:dyDescent="0.35">
      <c r="A118" s="1">
        <v>27029</v>
      </c>
      <c r="B118">
        <v>0.48129294679297702</v>
      </c>
      <c r="C118">
        <v>9.9400786718817399E-2</v>
      </c>
      <c r="D118">
        <f t="shared" si="1"/>
        <v>0.3818921600741596</v>
      </c>
    </row>
    <row r="119" spans="1:4" x14ac:dyDescent="0.35">
      <c r="A119" s="1">
        <v>27119</v>
      </c>
      <c r="B119">
        <v>0.57698053759631696</v>
      </c>
      <c r="C119">
        <v>0.14696107469014399</v>
      </c>
      <c r="D119">
        <f t="shared" si="1"/>
        <v>0.43001946290617299</v>
      </c>
    </row>
    <row r="120" spans="1:4" x14ac:dyDescent="0.35">
      <c r="A120" s="1">
        <v>27210</v>
      </c>
      <c r="B120">
        <v>0.75252262109275503</v>
      </c>
      <c r="C120">
        <v>0.19678439434136499</v>
      </c>
      <c r="D120">
        <f t="shared" si="1"/>
        <v>0.55573822675139006</v>
      </c>
    </row>
    <row r="121" spans="1:4" x14ac:dyDescent="0.35">
      <c r="A121" s="1">
        <v>27302</v>
      </c>
      <c r="B121">
        <v>1.4335446451101399</v>
      </c>
      <c r="C121">
        <v>0.254509896849897</v>
      </c>
      <c r="D121">
        <f t="shared" si="1"/>
        <v>1.1790347482602428</v>
      </c>
    </row>
    <row r="122" spans="1:4" x14ac:dyDescent="0.35">
      <c r="A122" s="1">
        <v>27394</v>
      </c>
      <c r="B122">
        <v>1.5758591530499599</v>
      </c>
      <c r="C122">
        <v>0.32648418248439898</v>
      </c>
      <c r="D122">
        <f t="shared" si="1"/>
        <v>1.249374970565561</v>
      </c>
    </row>
    <row r="123" spans="1:4" x14ac:dyDescent="0.35">
      <c r="A123" s="1">
        <v>27484</v>
      </c>
      <c r="B123">
        <v>1.49594577879077</v>
      </c>
      <c r="C123">
        <v>0.36324663246816202</v>
      </c>
      <c r="D123">
        <f t="shared" si="1"/>
        <v>1.1326991463226079</v>
      </c>
    </row>
    <row r="124" spans="1:4" x14ac:dyDescent="0.35">
      <c r="A124" s="1">
        <v>27575</v>
      </c>
      <c r="B124">
        <v>1.2809491452966599</v>
      </c>
      <c r="C124">
        <v>0.387111455780076</v>
      </c>
      <c r="D124">
        <f t="shared" si="1"/>
        <v>0.89383768951658393</v>
      </c>
    </row>
    <row r="125" spans="1:4" x14ac:dyDescent="0.35">
      <c r="A125" s="1">
        <v>27667</v>
      </c>
      <c r="B125">
        <v>1.4534451881306001</v>
      </c>
      <c r="C125">
        <v>0.43078399609319801</v>
      </c>
      <c r="D125">
        <f t="shared" si="1"/>
        <v>1.022661192037402</v>
      </c>
    </row>
    <row r="126" spans="1:4" x14ac:dyDescent="0.35">
      <c r="A126" s="1">
        <v>27759</v>
      </c>
      <c r="B126">
        <v>1.548580156324</v>
      </c>
      <c r="C126">
        <v>0.459914538966544</v>
      </c>
      <c r="D126">
        <f t="shared" si="1"/>
        <v>1.088665617357456</v>
      </c>
    </row>
    <row r="127" spans="1:4" x14ac:dyDescent="0.35">
      <c r="A127" s="1">
        <v>27850</v>
      </c>
      <c r="B127">
        <v>1.5727236830262099</v>
      </c>
      <c r="C127">
        <v>0.487116466789139</v>
      </c>
      <c r="D127">
        <f t="shared" si="1"/>
        <v>1.0856072162370709</v>
      </c>
    </row>
    <row r="128" spans="1:4" x14ac:dyDescent="0.35">
      <c r="A128" s="1">
        <v>27941</v>
      </c>
      <c r="B128">
        <v>1.7849868295417299</v>
      </c>
      <c r="C128">
        <v>0.53189940266000801</v>
      </c>
      <c r="D128">
        <f t="shared" si="1"/>
        <v>1.2530874268817218</v>
      </c>
    </row>
    <row r="129" spans="1:4" x14ac:dyDescent="0.35">
      <c r="A129" s="1">
        <v>28033</v>
      </c>
      <c r="B129">
        <v>1.70835528515347</v>
      </c>
      <c r="C129">
        <v>0.56087232202355297</v>
      </c>
      <c r="D129">
        <f t="shared" si="1"/>
        <v>1.147482963129917</v>
      </c>
    </row>
    <row r="130" spans="1:4" x14ac:dyDescent="0.35">
      <c r="A130" s="1">
        <v>28125</v>
      </c>
      <c r="B130">
        <v>1.7657757769265601</v>
      </c>
      <c r="C130">
        <v>0.582009613070267</v>
      </c>
      <c r="D130">
        <f t="shared" si="1"/>
        <v>1.1837661638562931</v>
      </c>
    </row>
    <row r="131" spans="1:4" x14ac:dyDescent="0.35">
      <c r="A131" s="1">
        <v>28215</v>
      </c>
      <c r="B131">
        <v>2.2492067577430301</v>
      </c>
      <c r="C131">
        <v>0.60254132979684605</v>
      </c>
      <c r="D131">
        <f t="shared" ref="D131:D194" si="2">B131-C131</f>
        <v>1.6466654279461841</v>
      </c>
    </row>
    <row r="132" spans="1:4" x14ac:dyDescent="0.35">
      <c r="A132" s="1">
        <v>28306</v>
      </c>
      <c r="B132">
        <v>2.3972369805474099</v>
      </c>
      <c r="C132">
        <v>0.62227406429224996</v>
      </c>
      <c r="D132">
        <f t="shared" si="2"/>
        <v>1.7749629162551599</v>
      </c>
    </row>
    <row r="133" spans="1:4" x14ac:dyDescent="0.35">
      <c r="A133" s="1">
        <v>28398</v>
      </c>
      <c r="B133">
        <v>2.6630519616202402</v>
      </c>
      <c r="C133">
        <v>0.63337326733363697</v>
      </c>
      <c r="D133">
        <f t="shared" si="2"/>
        <v>2.029678694286603</v>
      </c>
    </row>
    <row r="134" spans="1:4" x14ac:dyDescent="0.35">
      <c r="A134" s="1">
        <v>28490</v>
      </c>
      <c r="B134">
        <v>2.02015951639327</v>
      </c>
      <c r="C134">
        <v>0.64678266794275796</v>
      </c>
      <c r="D134">
        <f t="shared" si="2"/>
        <v>1.373376848450512</v>
      </c>
    </row>
    <row r="135" spans="1:4" x14ac:dyDescent="0.35">
      <c r="A135" s="1">
        <v>28580</v>
      </c>
      <c r="B135">
        <v>2.3766955281720601</v>
      </c>
      <c r="C135">
        <v>0.66148089239079799</v>
      </c>
      <c r="D135">
        <f t="shared" si="2"/>
        <v>1.7152146357812621</v>
      </c>
    </row>
    <row r="136" spans="1:4" x14ac:dyDescent="0.35">
      <c r="A136" s="1">
        <v>28671</v>
      </c>
      <c r="B136">
        <v>2.2128946053033398</v>
      </c>
      <c r="C136">
        <v>0.68541137534732199</v>
      </c>
      <c r="D136">
        <f t="shared" si="2"/>
        <v>1.5274832299560179</v>
      </c>
    </row>
    <row r="137" spans="1:4" x14ac:dyDescent="0.35">
      <c r="A137" s="1">
        <v>28763</v>
      </c>
      <c r="B137">
        <v>2.1181963352114601</v>
      </c>
      <c r="C137">
        <v>0.71124079999846901</v>
      </c>
      <c r="D137">
        <f t="shared" si="2"/>
        <v>1.4069555352129912</v>
      </c>
    </row>
    <row r="138" spans="1:4" x14ac:dyDescent="0.35">
      <c r="A138" s="1">
        <v>28855</v>
      </c>
      <c r="B138">
        <v>2.41268114009898</v>
      </c>
      <c r="C138">
        <v>0.73683629368479497</v>
      </c>
      <c r="D138">
        <f t="shared" si="2"/>
        <v>1.6758448464141851</v>
      </c>
    </row>
    <row r="139" spans="1:4" x14ac:dyDescent="0.35">
      <c r="A139" s="1">
        <v>28945</v>
      </c>
      <c r="B139">
        <v>2.4656139495585299</v>
      </c>
      <c r="C139">
        <v>0.75872209988705497</v>
      </c>
      <c r="D139">
        <f t="shared" si="2"/>
        <v>1.7068918496714749</v>
      </c>
    </row>
    <row r="140" spans="1:4" x14ac:dyDescent="0.35">
      <c r="A140" s="1">
        <v>29036</v>
      </c>
      <c r="B140">
        <v>2.6291516323601698</v>
      </c>
      <c r="C140">
        <v>0.78923245483668603</v>
      </c>
      <c r="D140">
        <f t="shared" si="2"/>
        <v>1.8399191775234838</v>
      </c>
    </row>
    <row r="141" spans="1:4" x14ac:dyDescent="0.35">
      <c r="A141" s="1">
        <v>29128</v>
      </c>
      <c r="B141">
        <v>2.7790950175674101</v>
      </c>
      <c r="C141">
        <v>0.84385885734765698</v>
      </c>
      <c r="D141">
        <f t="shared" si="2"/>
        <v>1.9352361602197532</v>
      </c>
    </row>
    <row r="142" spans="1:4" x14ac:dyDescent="0.35">
      <c r="A142" s="1">
        <v>29220</v>
      </c>
      <c r="B142">
        <v>2.8523373193716699</v>
      </c>
      <c r="C142">
        <v>0.88108414156204995</v>
      </c>
      <c r="D142">
        <f t="shared" si="2"/>
        <v>1.9712531778096198</v>
      </c>
    </row>
    <row r="143" spans="1:4" x14ac:dyDescent="0.35">
      <c r="A143" s="1">
        <v>29311</v>
      </c>
      <c r="B143">
        <v>2.6842087619947299</v>
      </c>
      <c r="C143">
        <v>0.91157871055536099</v>
      </c>
      <c r="D143">
        <f t="shared" si="2"/>
        <v>1.7726300514393689</v>
      </c>
    </row>
    <row r="144" spans="1:4" x14ac:dyDescent="0.35">
      <c r="A144" s="1">
        <v>29402</v>
      </c>
      <c r="B144">
        <v>2.8393814781446198</v>
      </c>
      <c r="C144">
        <v>0.94211631531331297</v>
      </c>
      <c r="D144">
        <f t="shared" si="2"/>
        <v>1.8972651628313069</v>
      </c>
    </row>
    <row r="145" spans="1:4" x14ac:dyDescent="0.35">
      <c r="A145" s="1">
        <v>29494</v>
      </c>
      <c r="B145">
        <v>2.3819633691084499</v>
      </c>
      <c r="C145">
        <v>0.94797981325527303</v>
      </c>
      <c r="D145">
        <f t="shared" si="2"/>
        <v>1.4339835558531768</v>
      </c>
    </row>
    <row r="146" spans="1:4" x14ac:dyDescent="0.35">
      <c r="A146" s="1">
        <v>29586</v>
      </c>
      <c r="B146">
        <v>2.1091440358216098</v>
      </c>
      <c r="C146">
        <v>0.95366469751263505</v>
      </c>
      <c r="D146">
        <f t="shared" si="2"/>
        <v>1.1554793383089748</v>
      </c>
    </row>
    <row r="147" spans="1:4" x14ac:dyDescent="0.35">
      <c r="A147" s="1">
        <v>29676</v>
      </c>
      <c r="B147">
        <v>2.5209273881866299</v>
      </c>
      <c r="C147">
        <v>0.95936037980730604</v>
      </c>
      <c r="D147">
        <f t="shared" si="2"/>
        <v>1.5615670083793238</v>
      </c>
    </row>
    <row r="148" spans="1:4" x14ac:dyDescent="0.35">
      <c r="A148" s="1">
        <v>29767</v>
      </c>
      <c r="B148">
        <v>2.6629970145695601</v>
      </c>
      <c r="C148">
        <v>0.94586274926360403</v>
      </c>
      <c r="D148">
        <f t="shared" si="2"/>
        <v>1.717134265305956</v>
      </c>
    </row>
    <row r="149" spans="1:4" x14ac:dyDescent="0.35">
      <c r="A149" s="1">
        <v>29859</v>
      </c>
      <c r="B149">
        <v>2.9623773758299801</v>
      </c>
      <c r="C149">
        <v>0.93587644641262002</v>
      </c>
      <c r="D149">
        <f t="shared" si="2"/>
        <v>2.0265009294173599</v>
      </c>
    </row>
    <row r="150" spans="1:4" x14ac:dyDescent="0.35">
      <c r="A150" s="1">
        <v>29951</v>
      </c>
      <c r="B150">
        <v>2.9874789548919098</v>
      </c>
      <c r="C150">
        <v>0.90070704023197401</v>
      </c>
      <c r="D150">
        <f t="shared" si="2"/>
        <v>2.0867719146599359</v>
      </c>
    </row>
    <row r="151" spans="1:4" x14ac:dyDescent="0.35">
      <c r="A151" s="1">
        <v>30041</v>
      </c>
      <c r="B151">
        <v>3.2456478185322699</v>
      </c>
      <c r="C151">
        <v>0.86455400335636601</v>
      </c>
      <c r="D151">
        <f t="shared" si="2"/>
        <v>2.381093815175904</v>
      </c>
    </row>
    <row r="152" spans="1:4" x14ac:dyDescent="0.35">
      <c r="A152" s="1">
        <v>30132</v>
      </c>
      <c r="B152">
        <v>3.32453107021409</v>
      </c>
      <c r="C152">
        <v>0.82663204339459295</v>
      </c>
      <c r="D152">
        <f t="shared" si="2"/>
        <v>2.4978990268194972</v>
      </c>
    </row>
    <row r="153" spans="1:4" x14ac:dyDescent="0.35">
      <c r="A153" s="1">
        <v>30224</v>
      </c>
      <c r="B153">
        <v>3.2953810933911099</v>
      </c>
      <c r="C153">
        <v>0.80477977625439401</v>
      </c>
      <c r="D153">
        <f t="shared" si="2"/>
        <v>2.4906013171367158</v>
      </c>
    </row>
    <row r="154" spans="1:4" x14ac:dyDescent="0.35">
      <c r="A154" s="1">
        <v>30316</v>
      </c>
      <c r="B154">
        <v>2.8730823242979899</v>
      </c>
      <c r="C154">
        <v>0.76318816591343097</v>
      </c>
      <c r="D154">
        <f t="shared" si="2"/>
        <v>2.109894158384559</v>
      </c>
    </row>
    <row r="155" spans="1:4" x14ac:dyDescent="0.35">
      <c r="A155" s="1">
        <v>30406</v>
      </c>
      <c r="B155">
        <v>2.73761991112436</v>
      </c>
      <c r="C155">
        <v>0.71539060502159302</v>
      </c>
      <c r="D155">
        <f t="shared" si="2"/>
        <v>2.022229306102767</v>
      </c>
    </row>
    <row r="156" spans="1:4" x14ac:dyDescent="0.35">
      <c r="A156" s="1">
        <v>30497</v>
      </c>
      <c r="B156">
        <v>2.4897533931747899</v>
      </c>
      <c r="C156">
        <v>0.69338224864714504</v>
      </c>
      <c r="D156">
        <f t="shared" si="2"/>
        <v>1.7963711445276449</v>
      </c>
    </row>
    <row r="157" spans="1:4" x14ac:dyDescent="0.35">
      <c r="A157" s="1">
        <v>30589</v>
      </c>
      <c r="B157">
        <v>2.5606657801959098</v>
      </c>
      <c r="C157">
        <v>0.67003599050099505</v>
      </c>
      <c r="D157">
        <f t="shared" si="2"/>
        <v>1.8906297896949149</v>
      </c>
    </row>
    <row r="158" spans="1:4" x14ac:dyDescent="0.35">
      <c r="A158" s="1">
        <v>30681</v>
      </c>
      <c r="B158">
        <v>2.5908383152462902</v>
      </c>
      <c r="C158">
        <v>0.63646885072044002</v>
      </c>
      <c r="D158">
        <f t="shared" si="2"/>
        <v>1.95436946452585</v>
      </c>
    </row>
    <row r="159" spans="1:4" x14ac:dyDescent="0.35">
      <c r="A159" s="1">
        <v>30772</v>
      </c>
      <c r="B159">
        <v>2.6717188666145502</v>
      </c>
      <c r="C159">
        <v>0.62222030559708796</v>
      </c>
      <c r="D159">
        <f t="shared" si="2"/>
        <v>2.0494985610174621</v>
      </c>
    </row>
    <row r="160" spans="1:4" x14ac:dyDescent="0.35">
      <c r="A160" s="1">
        <v>30863</v>
      </c>
      <c r="B160">
        <v>2.6775636154871201</v>
      </c>
      <c r="C160">
        <v>0.59471848486674095</v>
      </c>
      <c r="D160">
        <f t="shared" si="2"/>
        <v>2.0828451306203792</v>
      </c>
    </row>
    <row r="161" spans="1:4" x14ac:dyDescent="0.35">
      <c r="A161" s="1">
        <v>30955</v>
      </c>
      <c r="B161">
        <v>2.6394737695702801</v>
      </c>
      <c r="C161">
        <v>0.55679831757349296</v>
      </c>
      <c r="D161">
        <f t="shared" si="2"/>
        <v>2.0826754519967872</v>
      </c>
    </row>
    <row r="162" spans="1:4" x14ac:dyDescent="0.35">
      <c r="A162" s="1">
        <v>31047</v>
      </c>
      <c r="B162">
        <v>2.54256088671838</v>
      </c>
      <c r="C162">
        <v>0.52865135580366696</v>
      </c>
      <c r="D162">
        <f t="shared" si="2"/>
        <v>2.013909530914713</v>
      </c>
    </row>
    <row r="163" spans="1:4" x14ac:dyDescent="0.35">
      <c r="A163" s="1">
        <v>31137</v>
      </c>
      <c r="B163">
        <v>2.4493142240177499</v>
      </c>
      <c r="C163">
        <v>0.51679106186011103</v>
      </c>
      <c r="D163">
        <f t="shared" si="2"/>
        <v>1.9325231621576389</v>
      </c>
    </row>
    <row r="164" spans="1:4" x14ac:dyDescent="0.35">
      <c r="A164" s="1">
        <v>31228</v>
      </c>
      <c r="B164">
        <v>2.5762754661431599</v>
      </c>
      <c r="C164">
        <v>0.50527735699725795</v>
      </c>
      <c r="D164">
        <f t="shared" si="2"/>
        <v>2.070998109145902</v>
      </c>
    </row>
    <row r="165" spans="1:4" x14ac:dyDescent="0.35">
      <c r="A165" s="1">
        <v>31320</v>
      </c>
      <c r="B165">
        <v>2.7483615664361198</v>
      </c>
      <c r="C165">
        <v>0.49888681963707898</v>
      </c>
      <c r="D165">
        <f t="shared" si="2"/>
        <v>2.249474746799041</v>
      </c>
    </row>
    <row r="166" spans="1:4" x14ac:dyDescent="0.35">
      <c r="A166" s="1">
        <v>31412</v>
      </c>
      <c r="B166">
        <v>2.7052615828197801</v>
      </c>
      <c r="C166">
        <v>0.49820073693829198</v>
      </c>
      <c r="D166">
        <f t="shared" si="2"/>
        <v>2.2070608458814882</v>
      </c>
    </row>
    <row r="167" spans="1:4" x14ac:dyDescent="0.35">
      <c r="A167" s="1">
        <v>31502</v>
      </c>
      <c r="B167">
        <v>2.5515405721940199</v>
      </c>
      <c r="C167">
        <v>0.47741685406637002</v>
      </c>
      <c r="D167">
        <f t="shared" si="2"/>
        <v>2.07412371812765</v>
      </c>
    </row>
    <row r="168" spans="1:4" x14ac:dyDescent="0.35">
      <c r="A168" s="1">
        <v>31593</v>
      </c>
      <c r="B168">
        <v>2.3999233916578899</v>
      </c>
      <c r="C168">
        <v>0.43532978219931201</v>
      </c>
      <c r="D168">
        <f t="shared" si="2"/>
        <v>1.9645936094585779</v>
      </c>
    </row>
    <row r="169" spans="1:4" x14ac:dyDescent="0.35">
      <c r="A169" s="1">
        <v>31685</v>
      </c>
      <c r="B169">
        <v>2.4270902563313701</v>
      </c>
      <c r="C169">
        <v>0.43098472455278503</v>
      </c>
      <c r="D169">
        <f t="shared" si="2"/>
        <v>1.9961055317785852</v>
      </c>
    </row>
    <row r="170" spans="1:4" x14ac:dyDescent="0.35">
      <c r="A170" s="1">
        <v>31777</v>
      </c>
      <c r="B170">
        <v>2.6391162588674799</v>
      </c>
      <c r="C170">
        <v>0.42525212815169899</v>
      </c>
      <c r="D170">
        <f t="shared" si="2"/>
        <v>2.2138641307157809</v>
      </c>
    </row>
    <row r="171" spans="1:4" x14ac:dyDescent="0.35">
      <c r="A171" s="1">
        <v>31867</v>
      </c>
      <c r="B171">
        <v>2.4255732436845299</v>
      </c>
      <c r="C171">
        <v>0.43953281081798901</v>
      </c>
      <c r="D171">
        <f t="shared" si="2"/>
        <v>1.9860404328665409</v>
      </c>
    </row>
    <row r="172" spans="1:4" x14ac:dyDescent="0.35">
      <c r="A172" s="1">
        <v>31958</v>
      </c>
      <c r="B172">
        <v>2.5576468219037398</v>
      </c>
      <c r="C172">
        <v>0.46172940280042601</v>
      </c>
      <c r="D172">
        <f t="shared" si="2"/>
        <v>2.0959174191033139</v>
      </c>
    </row>
    <row r="173" spans="1:4" x14ac:dyDescent="0.35">
      <c r="A173" s="1">
        <v>32050</v>
      </c>
      <c r="B173">
        <v>2.5803642759407301</v>
      </c>
      <c r="C173">
        <v>0.47296974442239098</v>
      </c>
      <c r="D173">
        <f t="shared" si="2"/>
        <v>2.1073945315183393</v>
      </c>
    </row>
    <row r="174" spans="1:4" x14ac:dyDescent="0.35">
      <c r="A174" s="1">
        <v>32142</v>
      </c>
      <c r="B174">
        <v>3.3552604064155802</v>
      </c>
      <c r="C174">
        <v>0.47906223882350202</v>
      </c>
      <c r="D174">
        <f t="shared" si="2"/>
        <v>2.876198167592078</v>
      </c>
    </row>
    <row r="175" spans="1:4" x14ac:dyDescent="0.35">
      <c r="A175" s="1">
        <v>32233</v>
      </c>
      <c r="B175">
        <v>3.4217399872178</v>
      </c>
      <c r="C175">
        <v>0.49717139793488102</v>
      </c>
      <c r="D175">
        <f t="shared" si="2"/>
        <v>2.9245685892829192</v>
      </c>
    </row>
    <row r="176" spans="1:4" x14ac:dyDescent="0.35">
      <c r="A176" s="1">
        <v>32324</v>
      </c>
      <c r="B176">
        <v>3.5549646093179899</v>
      </c>
      <c r="C176">
        <v>0.51289907133389401</v>
      </c>
      <c r="D176">
        <f t="shared" si="2"/>
        <v>3.042065537984096</v>
      </c>
    </row>
    <row r="177" spans="1:4" x14ac:dyDescent="0.35">
      <c r="A177" s="1">
        <v>32416</v>
      </c>
      <c r="B177">
        <v>3.3323981389894</v>
      </c>
      <c r="C177">
        <v>0.52148918132643995</v>
      </c>
      <c r="D177">
        <f t="shared" si="2"/>
        <v>2.81090895766296</v>
      </c>
    </row>
    <row r="178" spans="1:4" x14ac:dyDescent="0.35">
      <c r="A178" s="1">
        <v>32508</v>
      </c>
      <c r="B178">
        <v>3.57088743646929</v>
      </c>
      <c r="C178">
        <v>0.51936027647583305</v>
      </c>
      <c r="D178">
        <f t="shared" si="2"/>
        <v>3.0515271599934568</v>
      </c>
    </row>
    <row r="179" spans="1:4" x14ac:dyDescent="0.35">
      <c r="A179" s="1">
        <v>32598</v>
      </c>
      <c r="B179">
        <v>3.6524018648492498</v>
      </c>
      <c r="C179">
        <v>0.52089798484860095</v>
      </c>
      <c r="D179">
        <f t="shared" si="2"/>
        <v>3.1315038800006487</v>
      </c>
    </row>
    <row r="180" spans="1:4" x14ac:dyDescent="0.35">
      <c r="A180" s="1">
        <v>32689</v>
      </c>
      <c r="B180">
        <v>3.60082572793252</v>
      </c>
      <c r="C180">
        <v>0.51870490524110802</v>
      </c>
      <c r="D180">
        <f t="shared" si="2"/>
        <v>3.0821208226914121</v>
      </c>
    </row>
    <row r="181" spans="1:4" x14ac:dyDescent="0.35">
      <c r="A181" s="1">
        <v>32781</v>
      </c>
      <c r="B181">
        <v>3.28209318644759</v>
      </c>
      <c r="C181">
        <v>0.49478718956843498</v>
      </c>
      <c r="D181">
        <f t="shared" si="2"/>
        <v>2.7873059968791551</v>
      </c>
    </row>
    <row r="182" spans="1:4" x14ac:dyDescent="0.35">
      <c r="A182" s="1">
        <v>32873</v>
      </c>
      <c r="B182">
        <v>3.4821187736829899</v>
      </c>
      <c r="C182">
        <v>0.48031212213177599</v>
      </c>
      <c r="D182">
        <f t="shared" si="2"/>
        <v>3.0018066515512141</v>
      </c>
    </row>
    <row r="183" spans="1:4" x14ac:dyDescent="0.35">
      <c r="A183" s="1">
        <v>32963</v>
      </c>
      <c r="B183">
        <v>3.6218740829378402</v>
      </c>
      <c r="C183">
        <v>0.48513528254809901</v>
      </c>
      <c r="D183">
        <f t="shared" si="2"/>
        <v>3.1367388003897414</v>
      </c>
    </row>
    <row r="184" spans="1:4" x14ac:dyDescent="0.35">
      <c r="A184" s="1">
        <v>33054</v>
      </c>
      <c r="B184">
        <v>3.52724062705538</v>
      </c>
      <c r="C184">
        <v>0.47558998385559598</v>
      </c>
      <c r="D184">
        <f t="shared" si="2"/>
        <v>3.0516506431997841</v>
      </c>
    </row>
    <row r="185" spans="1:4" x14ac:dyDescent="0.35">
      <c r="A185" s="1">
        <v>33146</v>
      </c>
      <c r="B185">
        <v>3.7492912787122199</v>
      </c>
      <c r="C185">
        <v>0.48197689577253999</v>
      </c>
      <c r="D185">
        <f t="shared" si="2"/>
        <v>3.2673143829396798</v>
      </c>
    </row>
    <row r="186" spans="1:4" x14ac:dyDescent="0.35">
      <c r="A186" s="1">
        <v>33238</v>
      </c>
      <c r="B186">
        <v>3.6343277598646799</v>
      </c>
      <c r="C186">
        <v>0.49880556291901401</v>
      </c>
      <c r="D186">
        <f t="shared" si="2"/>
        <v>3.1355221969456659</v>
      </c>
    </row>
    <row r="187" spans="1:4" x14ac:dyDescent="0.35">
      <c r="A187" s="1">
        <v>33328</v>
      </c>
      <c r="B187">
        <v>3.0750164985437101</v>
      </c>
      <c r="C187">
        <v>0.49010483174247699</v>
      </c>
      <c r="D187">
        <f t="shared" si="2"/>
        <v>2.5849116668012329</v>
      </c>
    </row>
    <row r="188" spans="1:4" x14ac:dyDescent="0.35">
      <c r="A188" s="1">
        <v>33419</v>
      </c>
      <c r="B188">
        <v>2.9220543715188199</v>
      </c>
      <c r="C188">
        <v>0.47908295823007002</v>
      </c>
      <c r="D188">
        <f t="shared" si="2"/>
        <v>2.4429714132887499</v>
      </c>
    </row>
    <row r="189" spans="1:4" x14ac:dyDescent="0.35">
      <c r="A189" s="1">
        <v>33511</v>
      </c>
      <c r="B189">
        <v>2.5904716938001102</v>
      </c>
      <c r="C189">
        <v>0.47872605201364499</v>
      </c>
      <c r="D189">
        <f t="shared" si="2"/>
        <v>2.1117456417864653</v>
      </c>
    </row>
    <row r="190" spans="1:4" x14ac:dyDescent="0.35">
      <c r="A190" s="1">
        <v>33603</v>
      </c>
      <c r="B190">
        <v>2.55374993501079</v>
      </c>
      <c r="C190">
        <v>0.48650261944043199</v>
      </c>
      <c r="D190">
        <f t="shared" si="2"/>
        <v>2.0672473155703579</v>
      </c>
    </row>
    <row r="191" spans="1:4" x14ac:dyDescent="0.35">
      <c r="A191" s="1">
        <v>33694</v>
      </c>
      <c r="B191">
        <v>2.4968844962547099</v>
      </c>
      <c r="C191">
        <v>0.480516969647593</v>
      </c>
      <c r="D191">
        <f t="shared" si="2"/>
        <v>2.0163675266071168</v>
      </c>
    </row>
    <row r="192" spans="1:4" x14ac:dyDescent="0.35">
      <c r="A192" s="1">
        <v>33785</v>
      </c>
      <c r="B192">
        <v>2.2600927583094301</v>
      </c>
      <c r="C192">
        <v>0.46714301314800799</v>
      </c>
      <c r="D192">
        <f t="shared" si="2"/>
        <v>1.792949745161422</v>
      </c>
    </row>
    <row r="193" spans="1:4" x14ac:dyDescent="0.35">
      <c r="A193" s="1">
        <v>33877</v>
      </c>
      <c r="B193">
        <v>1.79623711488977</v>
      </c>
      <c r="C193">
        <v>0.461394701643347</v>
      </c>
      <c r="D193">
        <f t="shared" si="2"/>
        <v>1.3348424132464229</v>
      </c>
    </row>
    <row r="194" spans="1:4" x14ac:dyDescent="0.35">
      <c r="A194" s="1">
        <v>33969</v>
      </c>
      <c r="B194">
        <v>1.7942511280578699</v>
      </c>
      <c r="C194">
        <v>0.45996988879299899</v>
      </c>
      <c r="D194">
        <f t="shared" si="2"/>
        <v>1.3342812392648709</v>
      </c>
    </row>
    <row r="195" spans="1:4" x14ac:dyDescent="0.35">
      <c r="A195" s="1">
        <v>34059</v>
      </c>
      <c r="B195">
        <v>1.53704662473455</v>
      </c>
      <c r="C195">
        <v>0.44204326885943801</v>
      </c>
      <c r="D195">
        <f t="shared" ref="D195:D258" si="3">B195-C195</f>
        <v>1.095003355875112</v>
      </c>
    </row>
    <row r="196" spans="1:4" x14ac:dyDescent="0.35">
      <c r="A196" s="1">
        <v>34150</v>
      </c>
      <c r="B196">
        <v>1.8340446056956301</v>
      </c>
      <c r="C196">
        <v>0.45368702294779101</v>
      </c>
      <c r="D196">
        <f t="shared" si="3"/>
        <v>1.3803575827478392</v>
      </c>
    </row>
    <row r="197" spans="1:4" x14ac:dyDescent="0.35">
      <c r="A197" s="1">
        <v>34242</v>
      </c>
      <c r="B197">
        <v>1.88949545551733</v>
      </c>
      <c r="C197">
        <v>0.43424469198063398</v>
      </c>
      <c r="D197">
        <f t="shared" si="3"/>
        <v>1.455250763536696</v>
      </c>
    </row>
    <row r="198" spans="1:4" x14ac:dyDescent="0.35">
      <c r="A198" s="1">
        <v>34334</v>
      </c>
      <c r="B198">
        <v>2.03101696959496</v>
      </c>
      <c r="C198">
        <v>0.43291372489908703</v>
      </c>
      <c r="D198">
        <f t="shared" si="3"/>
        <v>1.5981032446958729</v>
      </c>
    </row>
    <row r="199" spans="1:4" x14ac:dyDescent="0.35">
      <c r="A199" s="1">
        <v>34424</v>
      </c>
      <c r="B199">
        <v>2.1625108869015999</v>
      </c>
      <c r="C199">
        <v>0.4118059984902</v>
      </c>
      <c r="D199">
        <f t="shared" si="3"/>
        <v>1.7507048884113998</v>
      </c>
    </row>
    <row r="200" spans="1:4" x14ac:dyDescent="0.35">
      <c r="A200" s="1">
        <v>34515</v>
      </c>
      <c r="B200">
        <v>2.2032146152455701</v>
      </c>
      <c r="C200">
        <v>0.39127678814936401</v>
      </c>
      <c r="D200">
        <f t="shared" si="3"/>
        <v>1.8119378270962061</v>
      </c>
    </row>
    <row r="201" spans="1:4" x14ac:dyDescent="0.35">
      <c r="A201" s="1">
        <v>34607</v>
      </c>
      <c r="B201">
        <v>2.0833291338377999</v>
      </c>
      <c r="C201">
        <v>0.38150410448238897</v>
      </c>
      <c r="D201">
        <f t="shared" si="3"/>
        <v>1.7018250293554109</v>
      </c>
    </row>
    <row r="202" spans="1:4" x14ac:dyDescent="0.35">
      <c r="A202" s="1">
        <v>34699</v>
      </c>
      <c r="B202">
        <v>2.2261892419806801</v>
      </c>
      <c r="C202">
        <v>0.35000217583220899</v>
      </c>
      <c r="D202">
        <f t="shared" si="3"/>
        <v>1.8761870661484712</v>
      </c>
    </row>
    <row r="203" spans="1:4" x14ac:dyDescent="0.35">
      <c r="A203" s="1">
        <v>34789</v>
      </c>
      <c r="B203">
        <v>2.13206345644807</v>
      </c>
      <c r="C203">
        <v>0.33663564619124098</v>
      </c>
      <c r="D203">
        <f t="shared" si="3"/>
        <v>1.7954278102568291</v>
      </c>
    </row>
    <row r="204" spans="1:4" x14ac:dyDescent="0.35">
      <c r="A204" s="1">
        <v>34880</v>
      </c>
      <c r="B204">
        <v>1.88773119194459</v>
      </c>
      <c r="C204">
        <v>0.32123806934425397</v>
      </c>
      <c r="D204">
        <f t="shared" si="3"/>
        <v>1.566493122600336</v>
      </c>
    </row>
    <row r="205" spans="1:4" x14ac:dyDescent="0.35">
      <c r="A205" s="1">
        <v>34972</v>
      </c>
      <c r="B205">
        <v>1.7783560350187499</v>
      </c>
      <c r="C205">
        <v>0.280497210537001</v>
      </c>
      <c r="D205">
        <f t="shared" si="3"/>
        <v>1.497858824481749</v>
      </c>
    </row>
    <row r="206" spans="1:4" x14ac:dyDescent="0.35">
      <c r="A206" s="1">
        <v>35064</v>
      </c>
      <c r="B206">
        <v>1.6455842756179799</v>
      </c>
      <c r="C206">
        <v>0.25879198763099098</v>
      </c>
      <c r="D206">
        <f t="shared" si="3"/>
        <v>1.3867922879869889</v>
      </c>
    </row>
    <row r="207" spans="1:4" x14ac:dyDescent="0.35">
      <c r="A207" s="1">
        <v>35155</v>
      </c>
      <c r="B207">
        <v>1.5894899492245</v>
      </c>
      <c r="C207">
        <v>0.26121040280553398</v>
      </c>
      <c r="D207">
        <f t="shared" si="3"/>
        <v>1.3282795464189661</v>
      </c>
    </row>
    <row r="208" spans="1:4" x14ac:dyDescent="0.35">
      <c r="A208" s="1">
        <v>35246</v>
      </c>
      <c r="B208">
        <v>1.4868883223673901</v>
      </c>
      <c r="C208">
        <v>0.25708186768886898</v>
      </c>
      <c r="D208">
        <f t="shared" si="3"/>
        <v>1.229806454678521</v>
      </c>
    </row>
    <row r="209" spans="1:4" x14ac:dyDescent="0.35">
      <c r="A209" s="1">
        <v>35338</v>
      </c>
      <c r="B209">
        <v>1.53705478478499</v>
      </c>
      <c r="C209">
        <v>0.24666469485143999</v>
      </c>
      <c r="D209">
        <f t="shared" si="3"/>
        <v>1.2903900899335501</v>
      </c>
    </row>
    <row r="210" spans="1:4" x14ac:dyDescent="0.35">
      <c r="A210" s="1">
        <v>35430</v>
      </c>
      <c r="B210">
        <v>1.4720711473763299</v>
      </c>
      <c r="C210">
        <v>0.27765279943974303</v>
      </c>
      <c r="D210">
        <f t="shared" si="3"/>
        <v>1.1944183479365869</v>
      </c>
    </row>
    <row r="211" spans="1:4" x14ac:dyDescent="0.35">
      <c r="A211" s="1">
        <v>35520</v>
      </c>
      <c r="B211">
        <v>1.3560216406576</v>
      </c>
      <c r="C211">
        <v>0.267104378385841</v>
      </c>
      <c r="D211">
        <f t="shared" si="3"/>
        <v>1.0889172622717589</v>
      </c>
    </row>
    <row r="212" spans="1:4" x14ac:dyDescent="0.35">
      <c r="A212" s="1">
        <v>35611</v>
      </c>
      <c r="B212">
        <v>1.2673346926861799</v>
      </c>
      <c r="C212">
        <v>0.243705470954558</v>
      </c>
      <c r="D212">
        <f t="shared" si="3"/>
        <v>1.0236292217316219</v>
      </c>
    </row>
    <row r="213" spans="1:4" x14ac:dyDescent="0.35">
      <c r="A213" s="1">
        <v>35703</v>
      </c>
      <c r="B213">
        <v>0.973060396770564</v>
      </c>
      <c r="C213">
        <v>0.23863627590625699</v>
      </c>
      <c r="D213">
        <f t="shared" si="3"/>
        <v>0.73442412086430697</v>
      </c>
    </row>
    <row r="214" spans="1:4" x14ac:dyDescent="0.35">
      <c r="A214" s="1">
        <v>35795</v>
      </c>
      <c r="B214">
        <v>0.94997300235961701</v>
      </c>
      <c r="C214">
        <v>0.214591222674687</v>
      </c>
      <c r="D214">
        <f t="shared" si="3"/>
        <v>0.73538177968493001</v>
      </c>
    </row>
    <row r="215" spans="1:4" x14ac:dyDescent="0.35">
      <c r="A215" s="1">
        <v>35885</v>
      </c>
      <c r="B215">
        <v>0.41185175786984102</v>
      </c>
      <c r="C215">
        <v>0.17718114987841399</v>
      </c>
      <c r="D215">
        <f t="shared" si="3"/>
        <v>0.23467060799142703</v>
      </c>
    </row>
    <row r="216" spans="1:4" x14ac:dyDescent="0.35">
      <c r="A216" s="1">
        <v>35976</v>
      </c>
      <c r="B216">
        <v>0.25002792404103003</v>
      </c>
      <c r="C216">
        <v>0.13536685500272799</v>
      </c>
      <c r="D216">
        <f t="shared" si="3"/>
        <v>0.11466106903830203</v>
      </c>
    </row>
    <row r="217" spans="1:4" x14ac:dyDescent="0.35">
      <c r="A217" s="1">
        <v>36068</v>
      </c>
      <c r="B217">
        <v>0.20270789741543299</v>
      </c>
      <c r="C217">
        <v>9.0183086455986106E-2</v>
      </c>
      <c r="D217">
        <f t="shared" si="3"/>
        <v>0.11252481095944689</v>
      </c>
    </row>
    <row r="218" spans="1:4" x14ac:dyDescent="0.35">
      <c r="A218" s="1">
        <v>36160</v>
      </c>
      <c r="B218">
        <v>-0.75034916797537299</v>
      </c>
      <c r="C218">
        <v>0.13855953216816999</v>
      </c>
      <c r="D218">
        <f t="shared" si="3"/>
        <v>-0.88890870014354295</v>
      </c>
    </row>
    <row r="219" spans="1:4" x14ac:dyDescent="0.35">
      <c r="A219" s="1">
        <v>36250</v>
      </c>
      <c r="B219">
        <v>-1.31914970031513</v>
      </c>
      <c r="C219">
        <v>0.13834263945671199</v>
      </c>
      <c r="D219">
        <f t="shared" si="3"/>
        <v>-1.457492339771842</v>
      </c>
    </row>
    <row r="220" spans="1:4" x14ac:dyDescent="0.35">
      <c r="A220" s="1">
        <v>36341</v>
      </c>
      <c r="B220">
        <v>-1.08582518243668</v>
      </c>
      <c r="C220">
        <v>0.11619361100712</v>
      </c>
      <c r="D220">
        <f t="shared" si="3"/>
        <v>-1.2020187934438</v>
      </c>
    </row>
    <row r="221" spans="1:4" x14ac:dyDescent="0.35">
      <c r="A221" s="1">
        <v>36433</v>
      </c>
      <c r="B221">
        <v>-0.73707951563223295</v>
      </c>
      <c r="C221">
        <v>8.5199468861984998E-2</v>
      </c>
      <c r="D221">
        <f t="shared" si="3"/>
        <v>-0.82227898449421799</v>
      </c>
    </row>
    <row r="222" spans="1:4" x14ac:dyDescent="0.35">
      <c r="A222" s="1">
        <v>36525</v>
      </c>
      <c r="B222">
        <v>-0.77147540698082595</v>
      </c>
      <c r="C222">
        <v>5.528140877189E-2</v>
      </c>
      <c r="D222">
        <f t="shared" si="3"/>
        <v>-0.82675681575271598</v>
      </c>
    </row>
    <row r="223" spans="1:4" x14ac:dyDescent="0.35">
      <c r="A223" s="1">
        <v>36616</v>
      </c>
      <c r="B223">
        <v>-0.70296058497216796</v>
      </c>
      <c r="C223">
        <v>4.4562232903566597E-2</v>
      </c>
      <c r="D223">
        <f t="shared" si="3"/>
        <v>-0.7475228178757346</v>
      </c>
    </row>
    <row r="224" spans="1:4" x14ac:dyDescent="0.35">
      <c r="A224" s="1">
        <v>36707</v>
      </c>
      <c r="B224">
        <v>-0.74953561003145996</v>
      </c>
      <c r="C224">
        <v>3.11299510942664E-2</v>
      </c>
      <c r="D224">
        <f t="shared" si="3"/>
        <v>-0.78066556112572638</v>
      </c>
    </row>
    <row r="225" spans="1:4" x14ac:dyDescent="0.35">
      <c r="A225" s="1">
        <v>36799</v>
      </c>
      <c r="B225">
        <v>-0.77909008573484595</v>
      </c>
      <c r="C225">
        <v>1.1975350856841E-2</v>
      </c>
      <c r="D225">
        <f t="shared" si="3"/>
        <v>-0.79106543659168693</v>
      </c>
    </row>
    <row r="226" spans="1:4" x14ac:dyDescent="0.35">
      <c r="A226" s="1">
        <v>36891</v>
      </c>
      <c r="B226">
        <v>-0.34950161769138299</v>
      </c>
      <c r="C226">
        <v>-2.8892402350377801E-2</v>
      </c>
      <c r="D226">
        <f t="shared" si="3"/>
        <v>-0.32060921534100517</v>
      </c>
    </row>
    <row r="227" spans="1:4" x14ac:dyDescent="0.35">
      <c r="A227" s="1">
        <v>36981</v>
      </c>
      <c r="B227">
        <v>5.9386826192597802E-2</v>
      </c>
      <c r="C227">
        <v>-6.6684963283780693E-2</v>
      </c>
      <c r="D227">
        <f t="shared" si="3"/>
        <v>0.12607178947637848</v>
      </c>
    </row>
    <row r="228" spans="1:4" x14ac:dyDescent="0.35">
      <c r="A228" s="1">
        <v>37072</v>
      </c>
      <c r="B228">
        <v>0.12710175082466499</v>
      </c>
      <c r="C228">
        <v>-0.104753430672211</v>
      </c>
      <c r="D228">
        <f t="shared" si="3"/>
        <v>0.23185518149687601</v>
      </c>
    </row>
    <row r="229" spans="1:4" x14ac:dyDescent="0.35">
      <c r="A229" s="1">
        <v>37164</v>
      </c>
      <c r="B229">
        <v>0.114856374093386</v>
      </c>
      <c r="C229">
        <v>-0.13604033713560101</v>
      </c>
      <c r="D229">
        <f t="shared" si="3"/>
        <v>0.25089671122898705</v>
      </c>
    </row>
    <row r="230" spans="1:4" x14ac:dyDescent="0.35">
      <c r="A230" s="1">
        <v>37256</v>
      </c>
      <c r="B230">
        <v>0.2079082558051</v>
      </c>
      <c r="C230">
        <v>-0.16580096947619299</v>
      </c>
      <c r="D230">
        <f t="shared" si="3"/>
        <v>0.37370922528129302</v>
      </c>
    </row>
    <row r="231" spans="1:4" x14ac:dyDescent="0.35">
      <c r="A231" s="1">
        <v>37346</v>
      </c>
      <c r="B231">
        <v>0.38381754059455497</v>
      </c>
      <c r="C231">
        <v>-0.182503543729062</v>
      </c>
      <c r="D231">
        <f t="shared" si="3"/>
        <v>0.56632108432361694</v>
      </c>
    </row>
    <row r="232" spans="1:4" x14ac:dyDescent="0.35">
      <c r="A232" s="1">
        <v>37437</v>
      </c>
      <c r="B232">
        <v>0.591368964229955</v>
      </c>
      <c r="C232">
        <v>-0.17844509696737201</v>
      </c>
      <c r="D232">
        <f t="shared" si="3"/>
        <v>0.76981406119732698</v>
      </c>
    </row>
    <row r="233" spans="1:4" x14ac:dyDescent="0.35">
      <c r="A233" s="1">
        <v>37529</v>
      </c>
      <c r="B233">
        <v>1.1146049182486599</v>
      </c>
      <c r="C233">
        <v>-0.186486763463734</v>
      </c>
      <c r="D233">
        <f t="shared" si="3"/>
        <v>1.3010916817123939</v>
      </c>
    </row>
    <row r="234" spans="1:4" x14ac:dyDescent="0.35">
      <c r="A234" s="1">
        <v>37621</v>
      </c>
      <c r="B234">
        <v>1.07245571131964</v>
      </c>
      <c r="C234">
        <v>-0.197479306613457</v>
      </c>
      <c r="D234">
        <f t="shared" si="3"/>
        <v>1.269935017933097</v>
      </c>
    </row>
    <row r="235" spans="1:4" x14ac:dyDescent="0.35">
      <c r="A235" s="1">
        <v>37711</v>
      </c>
      <c r="B235">
        <v>1.4285116786598699</v>
      </c>
      <c r="C235">
        <v>-0.189360108145575</v>
      </c>
      <c r="D235">
        <f t="shared" si="3"/>
        <v>1.6178717868054449</v>
      </c>
    </row>
    <row r="236" spans="1:4" x14ac:dyDescent="0.35">
      <c r="A236" s="1">
        <v>37802</v>
      </c>
      <c r="B236">
        <v>1.27242330859843</v>
      </c>
      <c r="C236">
        <v>-0.19793814535673501</v>
      </c>
      <c r="D236">
        <f t="shared" si="3"/>
        <v>1.470361453955165</v>
      </c>
    </row>
    <row r="237" spans="1:4" x14ac:dyDescent="0.35">
      <c r="A237" s="1">
        <v>37894</v>
      </c>
      <c r="B237">
        <v>1.2412621879138499</v>
      </c>
      <c r="C237">
        <v>-0.19883589943237001</v>
      </c>
      <c r="D237">
        <f t="shared" si="3"/>
        <v>1.4400980873462199</v>
      </c>
    </row>
    <row r="238" spans="1:4" x14ac:dyDescent="0.35">
      <c r="A238" s="1">
        <v>37986</v>
      </c>
      <c r="B238">
        <v>1.26325535166971</v>
      </c>
      <c r="C238">
        <v>-0.204067936364938</v>
      </c>
      <c r="D238">
        <f t="shared" si="3"/>
        <v>1.4673232880346481</v>
      </c>
    </row>
    <row r="239" spans="1:4" x14ac:dyDescent="0.35">
      <c r="A239" s="1">
        <v>38077</v>
      </c>
      <c r="B239">
        <v>1.1784982735296901</v>
      </c>
      <c r="C239">
        <v>-0.20394077498442401</v>
      </c>
      <c r="D239">
        <f t="shared" si="3"/>
        <v>1.382439048514114</v>
      </c>
    </row>
    <row r="240" spans="1:4" x14ac:dyDescent="0.35">
      <c r="A240" s="1">
        <v>38168</v>
      </c>
      <c r="B240">
        <v>1.3228708252510899</v>
      </c>
      <c r="C240">
        <v>-0.20329516440342801</v>
      </c>
      <c r="D240">
        <f t="shared" si="3"/>
        <v>1.5261659896545179</v>
      </c>
    </row>
    <row r="241" spans="1:4" x14ac:dyDescent="0.35">
      <c r="A241" s="1">
        <v>38260</v>
      </c>
      <c r="B241">
        <v>1.4302513005775901</v>
      </c>
      <c r="C241">
        <v>-0.20086721089194201</v>
      </c>
      <c r="D241">
        <f t="shared" si="3"/>
        <v>1.6311185114695321</v>
      </c>
    </row>
    <row r="242" spans="1:4" x14ac:dyDescent="0.35">
      <c r="A242" s="1">
        <v>38352</v>
      </c>
      <c r="B242">
        <v>1.42261677312017</v>
      </c>
      <c r="C242">
        <v>-0.17731717834584801</v>
      </c>
      <c r="D242">
        <f t="shared" si="3"/>
        <v>1.599933951466018</v>
      </c>
    </row>
    <row r="243" spans="1:4" x14ac:dyDescent="0.35">
      <c r="A243" s="1">
        <v>38442</v>
      </c>
      <c r="B243">
        <v>1.4266276722723701</v>
      </c>
      <c r="C243">
        <v>-0.16084518048687901</v>
      </c>
      <c r="D243">
        <f t="shared" si="3"/>
        <v>1.587472852759249</v>
      </c>
    </row>
    <row r="244" spans="1:4" x14ac:dyDescent="0.35">
      <c r="A244" s="1">
        <v>38533</v>
      </c>
      <c r="B244">
        <v>1.48076903686325</v>
      </c>
      <c r="C244">
        <v>-0.176938984885744</v>
      </c>
      <c r="D244">
        <f t="shared" si="3"/>
        <v>1.6577080217489941</v>
      </c>
    </row>
    <row r="245" spans="1:4" x14ac:dyDescent="0.35">
      <c r="A245" s="1">
        <v>38625</v>
      </c>
      <c r="B245">
        <v>1.3007272389095901</v>
      </c>
      <c r="C245">
        <v>-0.168114155332999</v>
      </c>
      <c r="D245">
        <f t="shared" si="3"/>
        <v>1.4688413942425891</v>
      </c>
    </row>
    <row r="246" spans="1:4" x14ac:dyDescent="0.35">
      <c r="A246" s="1">
        <v>38717</v>
      </c>
      <c r="B246">
        <v>1.39680344666482</v>
      </c>
      <c r="C246">
        <v>-0.16644631732165599</v>
      </c>
      <c r="D246">
        <f t="shared" si="3"/>
        <v>1.563249763986476</v>
      </c>
    </row>
    <row r="247" spans="1:4" x14ac:dyDescent="0.35">
      <c r="A247" s="1">
        <v>38807</v>
      </c>
      <c r="B247">
        <v>1.20038239074469</v>
      </c>
      <c r="C247">
        <v>-0.176340943985343</v>
      </c>
      <c r="D247">
        <f t="shared" si="3"/>
        <v>1.3767233347300329</v>
      </c>
    </row>
    <row r="248" spans="1:4" x14ac:dyDescent="0.35">
      <c r="A248" s="1">
        <v>38898</v>
      </c>
      <c r="B248">
        <v>1.3472237197575301</v>
      </c>
      <c r="C248">
        <v>-0.201114460001173</v>
      </c>
      <c r="D248">
        <f t="shared" si="3"/>
        <v>1.548338179758703</v>
      </c>
    </row>
    <row r="249" spans="1:4" x14ac:dyDescent="0.35">
      <c r="A249" s="1">
        <v>38990</v>
      </c>
      <c r="B249">
        <v>1.4189135969200599</v>
      </c>
      <c r="C249">
        <v>-0.21736869968025399</v>
      </c>
      <c r="D249">
        <f t="shared" si="3"/>
        <v>1.6362822966003139</v>
      </c>
    </row>
    <row r="250" spans="1:4" x14ac:dyDescent="0.35">
      <c r="A250" s="1">
        <v>39082</v>
      </c>
      <c r="B250">
        <v>1.23619169823757</v>
      </c>
      <c r="C250">
        <v>-0.272768100506804</v>
      </c>
      <c r="D250">
        <f t="shared" si="3"/>
        <v>1.5089597987443741</v>
      </c>
    </row>
    <row r="251" spans="1:4" x14ac:dyDescent="0.35">
      <c r="A251" s="1">
        <v>39172</v>
      </c>
      <c r="B251">
        <v>1.3670960682334401</v>
      </c>
      <c r="C251">
        <v>-0.29437799039357998</v>
      </c>
      <c r="D251">
        <f t="shared" si="3"/>
        <v>1.66147405862702</v>
      </c>
    </row>
    <row r="252" spans="1:4" x14ac:dyDescent="0.35">
      <c r="A252" s="1">
        <v>39263</v>
      </c>
      <c r="B252">
        <v>1.3301875076657399</v>
      </c>
      <c r="C252">
        <v>-0.29694195002467599</v>
      </c>
      <c r="D252">
        <f t="shared" si="3"/>
        <v>1.6271294576904158</v>
      </c>
    </row>
    <row r="253" spans="1:4" x14ac:dyDescent="0.35">
      <c r="A253" s="1">
        <v>39355</v>
      </c>
      <c r="B253">
        <v>1.4522043479054301</v>
      </c>
      <c r="C253">
        <v>-0.31719955901781099</v>
      </c>
      <c r="D253">
        <f t="shared" si="3"/>
        <v>1.769403906923241</v>
      </c>
    </row>
    <row r="254" spans="1:4" x14ac:dyDescent="0.35">
      <c r="A254" s="1">
        <v>39447</v>
      </c>
      <c r="B254">
        <v>1.57877711678196</v>
      </c>
      <c r="C254">
        <v>-0.32466615387124498</v>
      </c>
      <c r="D254">
        <f t="shared" si="3"/>
        <v>1.903443270653205</v>
      </c>
    </row>
    <row r="255" spans="1:4" x14ac:dyDescent="0.35">
      <c r="A255" s="1">
        <v>39538</v>
      </c>
      <c r="B255">
        <v>1.9503247849066201</v>
      </c>
      <c r="C255">
        <v>-0.32692226378254802</v>
      </c>
      <c r="D255">
        <f t="shared" si="3"/>
        <v>2.2772470486891683</v>
      </c>
    </row>
    <row r="256" spans="1:4" x14ac:dyDescent="0.35">
      <c r="A256" s="1">
        <v>39629</v>
      </c>
      <c r="B256">
        <v>1.9117318302874999</v>
      </c>
      <c r="C256">
        <v>-0.31135980274234998</v>
      </c>
      <c r="D256">
        <f t="shared" si="3"/>
        <v>2.22309163302985</v>
      </c>
    </row>
    <row r="257" spans="1:4" x14ac:dyDescent="0.35">
      <c r="A257" s="1">
        <v>39721</v>
      </c>
      <c r="B257">
        <v>2.3305535559745798</v>
      </c>
      <c r="C257">
        <v>-0.28324244721698</v>
      </c>
      <c r="D257">
        <f t="shared" si="3"/>
        <v>2.6137960031915597</v>
      </c>
    </row>
    <row r="258" spans="1:4" x14ac:dyDescent="0.35">
      <c r="A258" s="1">
        <v>39813</v>
      </c>
      <c r="B258">
        <v>2.7963724276258901</v>
      </c>
      <c r="C258">
        <v>-0.34412184702452597</v>
      </c>
      <c r="D258">
        <f t="shared" si="3"/>
        <v>3.1404942746504161</v>
      </c>
    </row>
    <row r="259" spans="1:4" x14ac:dyDescent="0.35">
      <c r="A259" s="1">
        <v>39903</v>
      </c>
      <c r="B259">
        <v>3.2801909176071602</v>
      </c>
      <c r="C259">
        <v>-0.35378515205414202</v>
      </c>
      <c r="D259">
        <f t="shared" ref="D259:D318" si="4">B259-C259</f>
        <v>3.6339760696613022</v>
      </c>
    </row>
    <row r="260" spans="1:4" x14ac:dyDescent="0.35">
      <c r="A260" s="1">
        <v>39994</v>
      </c>
      <c r="B260">
        <v>3.0071331435374402</v>
      </c>
      <c r="C260">
        <v>-0.34473668377815703</v>
      </c>
      <c r="D260">
        <f t="shared" si="4"/>
        <v>3.3518698273155971</v>
      </c>
    </row>
    <row r="261" spans="1:4" x14ac:dyDescent="0.35">
      <c r="A261" s="1">
        <v>40086</v>
      </c>
      <c r="B261">
        <v>2.7815203910410302</v>
      </c>
      <c r="C261">
        <v>-0.318633239791832</v>
      </c>
      <c r="D261">
        <f t="shared" si="4"/>
        <v>3.1001536308328621</v>
      </c>
    </row>
    <row r="262" spans="1:4" x14ac:dyDescent="0.35">
      <c r="A262" s="1">
        <v>40178</v>
      </c>
      <c r="B262">
        <v>2.7829008608527301</v>
      </c>
      <c r="C262">
        <v>-0.30550930399397802</v>
      </c>
      <c r="D262">
        <f t="shared" si="4"/>
        <v>3.0884101648467084</v>
      </c>
    </row>
    <row r="263" spans="1:4" x14ac:dyDescent="0.35">
      <c r="A263" s="1">
        <v>40268</v>
      </c>
      <c r="B263">
        <v>2.5109907893784</v>
      </c>
      <c r="C263">
        <v>-0.300663455511196</v>
      </c>
      <c r="D263">
        <f t="shared" si="4"/>
        <v>2.811654244889596</v>
      </c>
    </row>
    <row r="264" spans="1:4" x14ac:dyDescent="0.35">
      <c r="A264" s="1">
        <v>40359</v>
      </c>
      <c r="B264">
        <v>2.6692035874356499</v>
      </c>
      <c r="C264">
        <v>-0.27517208565849299</v>
      </c>
      <c r="D264">
        <f t="shared" si="4"/>
        <v>2.9443756730941431</v>
      </c>
    </row>
    <row r="265" spans="1:4" x14ac:dyDescent="0.35">
      <c r="A265" s="1">
        <v>40451</v>
      </c>
      <c r="B265">
        <v>2.9467247505001501</v>
      </c>
      <c r="C265">
        <v>-0.29606972960859501</v>
      </c>
      <c r="D265">
        <f t="shared" si="4"/>
        <v>3.2427944801087452</v>
      </c>
    </row>
    <row r="266" spans="1:4" x14ac:dyDescent="0.35">
      <c r="A266" s="1">
        <v>40543</v>
      </c>
      <c r="B266">
        <v>2.8248676069969401</v>
      </c>
      <c r="C266">
        <v>-0.29329627251132301</v>
      </c>
      <c r="D266">
        <f t="shared" si="4"/>
        <v>3.1181638795082631</v>
      </c>
    </row>
    <row r="267" spans="1:4" x14ac:dyDescent="0.35">
      <c r="A267" s="1">
        <v>40633</v>
      </c>
      <c r="B267">
        <v>2.8138993279728899</v>
      </c>
      <c r="C267">
        <v>-0.29198152816675199</v>
      </c>
      <c r="D267">
        <f t="shared" si="4"/>
        <v>3.1058808561396418</v>
      </c>
    </row>
    <row r="268" spans="1:4" x14ac:dyDescent="0.35">
      <c r="A268" s="1">
        <v>40724</v>
      </c>
      <c r="B268">
        <v>2.9863874297058901</v>
      </c>
      <c r="C268">
        <v>-0.31039189073928097</v>
      </c>
      <c r="D268">
        <f t="shared" si="4"/>
        <v>3.2967793204451712</v>
      </c>
    </row>
    <row r="269" spans="1:4" x14ac:dyDescent="0.35">
      <c r="A269" s="1">
        <v>40816</v>
      </c>
      <c r="B269">
        <v>3.3299776608321001</v>
      </c>
      <c r="C269">
        <v>-0.33367484861295299</v>
      </c>
      <c r="D269">
        <f t="shared" si="4"/>
        <v>3.6636525094450532</v>
      </c>
    </row>
    <row r="270" spans="1:4" x14ac:dyDescent="0.35">
      <c r="A270" s="1">
        <v>40908</v>
      </c>
      <c r="B270">
        <v>3.3350409944202801</v>
      </c>
      <c r="C270">
        <v>-0.374776515066511</v>
      </c>
      <c r="D270">
        <f t="shared" si="4"/>
        <v>3.7098175094867911</v>
      </c>
    </row>
    <row r="271" spans="1:4" x14ac:dyDescent="0.35">
      <c r="A271" s="1">
        <v>40999</v>
      </c>
      <c r="B271">
        <v>2.9741715728788001</v>
      </c>
      <c r="C271">
        <v>-0.414845712150613</v>
      </c>
      <c r="D271">
        <f t="shared" si="4"/>
        <v>3.3890172850294129</v>
      </c>
    </row>
    <row r="272" spans="1:4" x14ac:dyDescent="0.35">
      <c r="A272" s="1">
        <v>41090</v>
      </c>
      <c r="B272">
        <v>2.6432846934374901</v>
      </c>
      <c r="C272">
        <v>-0.46773365714382098</v>
      </c>
      <c r="D272">
        <f t="shared" si="4"/>
        <v>3.1110183505813112</v>
      </c>
    </row>
    <row r="273" spans="1:4" x14ac:dyDescent="0.35">
      <c r="A273" s="1">
        <v>41182</v>
      </c>
      <c r="B273">
        <v>2.4407335508563399</v>
      </c>
      <c r="C273">
        <v>-0.48123834306043101</v>
      </c>
      <c r="D273">
        <f t="shared" si="4"/>
        <v>2.9219718939167709</v>
      </c>
    </row>
    <row r="274" spans="1:4" x14ac:dyDescent="0.35">
      <c r="A274" s="1">
        <v>41274</v>
      </c>
      <c r="B274">
        <v>2.4377672496833198</v>
      </c>
      <c r="C274">
        <v>-0.47206541004858299</v>
      </c>
      <c r="D274">
        <f t="shared" si="4"/>
        <v>2.9098326597319026</v>
      </c>
    </row>
    <row r="275" spans="1:4" x14ac:dyDescent="0.35">
      <c r="A275" s="1">
        <v>41364</v>
      </c>
      <c r="B275">
        <v>2.3107349583930499</v>
      </c>
      <c r="C275">
        <v>-0.46008536002609701</v>
      </c>
      <c r="D275">
        <f t="shared" si="4"/>
        <v>2.7708203184191467</v>
      </c>
    </row>
    <row r="276" spans="1:4" x14ac:dyDescent="0.35">
      <c r="A276" s="1">
        <v>41455</v>
      </c>
      <c r="B276">
        <v>2.2820455202998202</v>
      </c>
      <c r="C276">
        <v>-0.45469730657335999</v>
      </c>
      <c r="D276">
        <f t="shared" si="4"/>
        <v>2.7367428268731802</v>
      </c>
    </row>
    <row r="277" spans="1:4" x14ac:dyDescent="0.35">
      <c r="A277" s="1">
        <v>41547</v>
      </c>
      <c r="B277">
        <v>2.3024897114010101</v>
      </c>
      <c r="C277">
        <v>-0.43043899955387299</v>
      </c>
      <c r="D277">
        <f t="shared" si="4"/>
        <v>2.7329287109548832</v>
      </c>
    </row>
    <row r="278" spans="1:4" x14ac:dyDescent="0.35">
      <c r="A278" s="1">
        <v>41639</v>
      </c>
      <c r="B278">
        <v>2.1129805284587202</v>
      </c>
      <c r="C278">
        <v>-0.40463646778773299</v>
      </c>
      <c r="D278">
        <f t="shared" si="4"/>
        <v>2.5176169962464532</v>
      </c>
    </row>
    <row r="279" spans="1:4" x14ac:dyDescent="0.35">
      <c r="A279" s="1">
        <v>41729</v>
      </c>
      <c r="B279">
        <v>2.2027839037926702</v>
      </c>
      <c r="C279">
        <v>-0.39119622603069898</v>
      </c>
      <c r="D279">
        <f t="shared" si="4"/>
        <v>2.5939801298233691</v>
      </c>
    </row>
    <row r="280" spans="1:4" x14ac:dyDescent="0.35">
      <c r="A280" s="1">
        <v>41820</v>
      </c>
      <c r="B280">
        <v>2.0912673287812402</v>
      </c>
      <c r="C280">
        <v>-0.37800538298024</v>
      </c>
      <c r="D280">
        <f t="shared" si="4"/>
        <v>2.4692727117614801</v>
      </c>
    </row>
    <row r="281" spans="1:4" x14ac:dyDescent="0.35">
      <c r="A281" s="1">
        <v>41912</v>
      </c>
      <c r="B281">
        <v>2.02493586993773</v>
      </c>
      <c r="C281">
        <v>-0.371639470794694</v>
      </c>
      <c r="D281">
        <f t="shared" si="4"/>
        <v>2.396575340732424</v>
      </c>
    </row>
    <row r="282" spans="1:4" x14ac:dyDescent="0.35">
      <c r="A282" s="1">
        <v>42004</v>
      </c>
      <c r="B282">
        <v>1.9046793272515801</v>
      </c>
      <c r="C282">
        <v>-0.37784021636049198</v>
      </c>
      <c r="D282">
        <f t="shared" si="4"/>
        <v>2.282519543612072</v>
      </c>
    </row>
    <row r="283" spans="1:4" x14ac:dyDescent="0.35">
      <c r="A283" s="1">
        <v>42094</v>
      </c>
      <c r="B283">
        <v>1.8640204173628201</v>
      </c>
      <c r="C283">
        <v>-0.394012615132877</v>
      </c>
      <c r="D283">
        <f t="shared" si="4"/>
        <v>2.258033032495697</v>
      </c>
    </row>
    <row r="284" spans="1:4" x14ac:dyDescent="0.35">
      <c r="A284" s="1">
        <v>42185</v>
      </c>
      <c r="B284">
        <v>1.8323220610617399</v>
      </c>
      <c r="C284">
        <v>-0.37708924895957202</v>
      </c>
      <c r="D284">
        <f t="shared" si="4"/>
        <v>2.209411310021312</v>
      </c>
    </row>
    <row r="285" spans="1:4" x14ac:dyDescent="0.35">
      <c r="A285" s="1">
        <v>42277</v>
      </c>
      <c r="B285">
        <v>1.93715911626213</v>
      </c>
      <c r="C285">
        <v>-0.367693382935597</v>
      </c>
      <c r="D285">
        <f t="shared" si="4"/>
        <v>2.3048524991977271</v>
      </c>
    </row>
    <row r="286" spans="1:4" x14ac:dyDescent="0.35">
      <c r="A286" s="1">
        <v>42369</v>
      </c>
      <c r="B286">
        <v>1.8349464048286399</v>
      </c>
      <c r="C286">
        <v>-0.367963863687648</v>
      </c>
      <c r="D286">
        <f t="shared" si="4"/>
        <v>2.202910268516288</v>
      </c>
    </row>
    <row r="287" spans="1:4" x14ac:dyDescent="0.35">
      <c r="A287" s="1">
        <v>42460</v>
      </c>
      <c r="B287">
        <v>1.9324600481810801</v>
      </c>
      <c r="C287">
        <v>-0.37042569795213698</v>
      </c>
      <c r="D287">
        <f t="shared" si="4"/>
        <v>2.3028857461332173</v>
      </c>
    </row>
    <row r="288" spans="1:4" x14ac:dyDescent="0.35">
      <c r="A288" s="1">
        <v>42551</v>
      </c>
      <c r="B288">
        <v>1.80068758743071</v>
      </c>
      <c r="C288">
        <v>-0.35166531474222201</v>
      </c>
      <c r="D288">
        <f t="shared" si="4"/>
        <v>2.152352902172932</v>
      </c>
    </row>
    <row r="289" spans="1:4" x14ac:dyDescent="0.35">
      <c r="A289" s="1">
        <v>42643</v>
      </c>
      <c r="B289">
        <v>1.6975436710749101</v>
      </c>
      <c r="C289">
        <v>-0.34252297940752202</v>
      </c>
      <c r="D289">
        <f t="shared" si="4"/>
        <v>2.0400666504824323</v>
      </c>
    </row>
    <row r="290" spans="1:4" x14ac:dyDescent="0.35">
      <c r="A290" s="1">
        <v>42735</v>
      </c>
      <c r="B290">
        <v>1.6820989508851401</v>
      </c>
      <c r="C290">
        <v>-0.32816717457691003</v>
      </c>
      <c r="D290">
        <f t="shared" si="4"/>
        <v>2.0102661254620502</v>
      </c>
    </row>
    <row r="291" spans="1:4" x14ac:dyDescent="0.35">
      <c r="A291" s="1">
        <v>42825</v>
      </c>
      <c r="B291">
        <v>1.52220488532644</v>
      </c>
      <c r="C291">
        <v>-0.313180619431008</v>
      </c>
      <c r="D291">
        <f t="shared" si="4"/>
        <v>1.8353855047574481</v>
      </c>
    </row>
    <row r="292" spans="1:4" x14ac:dyDescent="0.35">
      <c r="A292" s="1">
        <v>42916</v>
      </c>
      <c r="B292">
        <v>1.43354091109049</v>
      </c>
      <c r="C292">
        <v>-0.31387768516825099</v>
      </c>
      <c r="D292">
        <f t="shared" si="4"/>
        <v>1.747418596258741</v>
      </c>
    </row>
    <row r="293" spans="1:4" x14ac:dyDescent="0.35">
      <c r="A293" s="1">
        <v>43008</v>
      </c>
      <c r="B293">
        <v>1.3511602083347201</v>
      </c>
      <c r="C293">
        <v>-0.30748950429827498</v>
      </c>
      <c r="D293">
        <f t="shared" si="4"/>
        <v>1.6586497126329951</v>
      </c>
    </row>
    <row r="294" spans="1:4" x14ac:dyDescent="0.35">
      <c r="A294" s="1">
        <v>43100</v>
      </c>
      <c r="B294">
        <v>1.21393134584447</v>
      </c>
      <c r="C294">
        <v>-0.294288225874906</v>
      </c>
      <c r="D294">
        <f t="shared" si="4"/>
        <v>1.508219571719376</v>
      </c>
    </row>
    <row r="295" spans="1:4" x14ac:dyDescent="0.35">
      <c r="A295" s="1">
        <v>43190</v>
      </c>
      <c r="B295">
        <v>1.13413030219311</v>
      </c>
      <c r="C295">
        <v>-0.28125786638988398</v>
      </c>
      <c r="D295">
        <f t="shared" si="4"/>
        <v>1.4153881685829939</v>
      </c>
    </row>
    <row r="296" spans="1:4" x14ac:dyDescent="0.35">
      <c r="A296" s="1">
        <v>43281</v>
      </c>
      <c r="B296">
        <v>1.1687797389678101</v>
      </c>
      <c r="C296">
        <v>-0.27743885016207098</v>
      </c>
      <c r="D296">
        <f t="shared" si="4"/>
        <v>1.4462185891298811</v>
      </c>
    </row>
    <row r="297" spans="1:4" x14ac:dyDescent="0.35">
      <c r="A297" s="1">
        <v>43373</v>
      </c>
      <c r="B297">
        <v>0.99653820594323195</v>
      </c>
      <c r="C297">
        <v>-0.27881792559255603</v>
      </c>
      <c r="D297">
        <f t="shared" si="4"/>
        <v>1.275356131535788</v>
      </c>
    </row>
    <row r="298" spans="1:4" x14ac:dyDescent="0.35">
      <c r="A298" s="1">
        <v>43465</v>
      </c>
      <c r="B298">
        <v>1.1970650023299201</v>
      </c>
      <c r="C298">
        <v>-0.28188718701376297</v>
      </c>
      <c r="D298">
        <f t="shared" si="4"/>
        <v>1.478952189343683</v>
      </c>
    </row>
    <row r="299" spans="1:4" x14ac:dyDescent="0.35">
      <c r="A299" s="1">
        <v>43555</v>
      </c>
      <c r="B299">
        <v>1.0806716780178001</v>
      </c>
      <c r="C299">
        <v>-0.28986067754934702</v>
      </c>
      <c r="D299">
        <f t="shared" si="4"/>
        <v>1.3705323555671471</v>
      </c>
    </row>
    <row r="300" spans="1:4" x14ac:dyDescent="0.35">
      <c r="A300" s="1">
        <v>43646</v>
      </c>
      <c r="B300">
        <v>0.99301394881341498</v>
      </c>
      <c r="C300">
        <v>-0.286461949880712</v>
      </c>
      <c r="D300">
        <f t="shared" si="4"/>
        <v>1.279475898694127</v>
      </c>
    </row>
    <row r="301" spans="1:4" x14ac:dyDescent="0.35">
      <c r="A301" s="1">
        <v>43738</v>
      </c>
      <c r="B301">
        <v>0.91811855802912401</v>
      </c>
      <c r="C301">
        <v>-0.29186834499492798</v>
      </c>
      <c r="D301">
        <f t="shared" si="4"/>
        <v>1.209986903024052</v>
      </c>
    </row>
    <row r="302" spans="1:4" x14ac:dyDescent="0.35">
      <c r="A302" s="1">
        <v>43830</v>
      </c>
      <c r="B302">
        <v>0.77971799856546598</v>
      </c>
      <c r="C302">
        <v>-0.28588464234491401</v>
      </c>
      <c r="D302">
        <f t="shared" si="4"/>
        <v>1.06560264091038</v>
      </c>
    </row>
    <row r="303" spans="1:4" x14ac:dyDescent="0.35">
      <c r="A303" s="1">
        <v>43921</v>
      </c>
      <c r="B303">
        <v>0.96175903721984501</v>
      </c>
      <c r="C303">
        <v>-0.28702900757775501</v>
      </c>
      <c r="D303">
        <f t="shared" si="4"/>
        <v>1.2487880447976001</v>
      </c>
    </row>
    <row r="304" spans="1:4" x14ac:dyDescent="0.35">
      <c r="A304" s="1">
        <v>44012</v>
      </c>
      <c r="B304">
        <v>0.82716776228024502</v>
      </c>
      <c r="C304">
        <v>-0.31406101056847802</v>
      </c>
      <c r="D304">
        <f t="shared" si="4"/>
        <v>1.1412287728487231</v>
      </c>
    </row>
    <row r="305" spans="1:4" x14ac:dyDescent="0.35">
      <c r="A305" s="1">
        <v>44104</v>
      </c>
      <c r="B305">
        <v>0.55915724884845197</v>
      </c>
      <c r="C305">
        <v>-0.28661997433604403</v>
      </c>
      <c r="D305">
        <f t="shared" si="4"/>
        <v>0.845777223184496</v>
      </c>
    </row>
    <row r="306" spans="1:4" x14ac:dyDescent="0.35">
      <c r="A306" s="1">
        <v>44196</v>
      </c>
      <c r="B306">
        <v>0.44271728479154998</v>
      </c>
      <c r="C306">
        <v>-0.27004336558707998</v>
      </c>
      <c r="D306">
        <f t="shared" si="4"/>
        <v>0.7127606503786299</v>
      </c>
    </row>
    <row r="307" spans="1:4" x14ac:dyDescent="0.35">
      <c r="A307" s="1">
        <v>44286</v>
      </c>
      <c r="B307">
        <v>0.25961046419449302</v>
      </c>
      <c r="C307">
        <v>-0.245641733184532</v>
      </c>
      <c r="D307">
        <f t="shared" si="4"/>
        <v>0.50525219737902505</v>
      </c>
    </row>
    <row r="308" spans="1:4" x14ac:dyDescent="0.35">
      <c r="A308" s="1">
        <v>44377</v>
      </c>
      <c r="B308">
        <v>5.2563274145689398E-2</v>
      </c>
      <c r="C308">
        <v>-0.199252149298002</v>
      </c>
      <c r="D308">
        <f t="shared" si="4"/>
        <v>0.2518154234436914</v>
      </c>
    </row>
    <row r="309" spans="1:4" x14ac:dyDescent="0.35">
      <c r="A309" s="1">
        <v>44469</v>
      </c>
      <c r="B309">
        <v>-2.3139694947393898E-2</v>
      </c>
      <c r="C309">
        <v>-0.15988587634093701</v>
      </c>
      <c r="D309">
        <f t="shared" si="4"/>
        <v>0.13674618139354311</v>
      </c>
    </row>
    <row r="310" spans="1:4" x14ac:dyDescent="0.35">
      <c r="A310" s="1">
        <v>44561</v>
      </c>
      <c r="B310">
        <v>-0.1108019075859</v>
      </c>
      <c r="C310">
        <v>-0.107589135770936</v>
      </c>
      <c r="D310">
        <f t="shared" si="4"/>
        <v>-3.2127718149640022E-3</v>
      </c>
    </row>
    <row r="311" spans="1:4" x14ac:dyDescent="0.35">
      <c r="A311" s="1">
        <v>44651</v>
      </c>
      <c r="B311">
        <v>3.1456287735442998E-2</v>
      </c>
      <c r="C311">
        <v>-5.3367624814115701E-2</v>
      </c>
      <c r="D311">
        <f t="shared" si="4"/>
        <v>8.4823912549558705E-2</v>
      </c>
    </row>
    <row r="312" spans="1:4" x14ac:dyDescent="0.35">
      <c r="A312" s="1">
        <v>44742</v>
      </c>
      <c r="B312">
        <v>0.35397213934906802</v>
      </c>
      <c r="C312">
        <v>4.84780292682174E-3</v>
      </c>
      <c r="D312">
        <f t="shared" si="4"/>
        <v>0.34912433642224627</v>
      </c>
    </row>
    <row r="313" spans="1:4" x14ac:dyDescent="0.35">
      <c r="A313" s="1">
        <v>44834</v>
      </c>
      <c r="B313">
        <v>0.452993883612751</v>
      </c>
      <c r="C313">
        <v>2.9327678314294801E-2</v>
      </c>
      <c r="D313">
        <f t="shared" si="4"/>
        <v>0.42366620529845622</v>
      </c>
    </row>
    <row r="314" spans="1:4" x14ac:dyDescent="0.35">
      <c r="A314" s="1">
        <v>44926</v>
      </c>
      <c r="B314">
        <v>0.44142063138599102</v>
      </c>
      <c r="C314">
        <v>3.5954221397949099E-2</v>
      </c>
      <c r="D314">
        <f t="shared" si="4"/>
        <v>0.40546640998804195</v>
      </c>
    </row>
    <row r="315" spans="1:4" x14ac:dyDescent="0.35">
      <c r="A315" s="1">
        <v>45016</v>
      </c>
      <c r="B315">
        <v>0.376835813404441</v>
      </c>
      <c r="C315">
        <v>3.3690757567450602E-2</v>
      </c>
      <c r="D315">
        <f t="shared" si="4"/>
        <v>0.3431450558369904</v>
      </c>
    </row>
    <row r="316" spans="1:4" x14ac:dyDescent="0.35">
      <c r="A316" s="1">
        <v>45107</v>
      </c>
      <c r="B316">
        <v>0.25423526387602402</v>
      </c>
      <c r="C316">
        <v>2.5541125614325599E-2</v>
      </c>
      <c r="D316">
        <f t="shared" si="4"/>
        <v>0.22869413826169843</v>
      </c>
    </row>
    <row r="317" spans="1:4" x14ac:dyDescent="0.35">
      <c r="A317" s="1">
        <v>45199</v>
      </c>
      <c r="B317">
        <v>0.15115612470875101</v>
      </c>
      <c r="C317">
        <v>1.4657470164625199E-2</v>
      </c>
      <c r="D317">
        <f t="shared" si="4"/>
        <v>0.1364986545441258</v>
      </c>
    </row>
    <row r="318" spans="1:4" x14ac:dyDescent="0.35">
      <c r="A318" s="1">
        <v>45291</v>
      </c>
      <c r="B318">
        <v>0.13351545414499499</v>
      </c>
      <c r="C318">
        <v>-2.0295381658041998E-3</v>
      </c>
      <c r="D318">
        <f t="shared" si="4"/>
        <v>0.13554499231079919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sp500_monthly</vt:lpstr>
      <vt:lpstr>10years</vt:lpstr>
      <vt:lpstr>Exc_R</vt:lpstr>
      <vt:lpstr>10years_f</vt:lpstr>
      <vt:lpstr>Exc_R_f</vt:lpstr>
      <vt:lpstr>quarterly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Cattelan</dc:creator>
  <cp:lastModifiedBy>Giacomo Cattelan</cp:lastModifiedBy>
  <dcterms:created xsi:type="dcterms:W3CDTF">2024-02-20T20:40:06Z</dcterms:created>
  <dcterms:modified xsi:type="dcterms:W3CDTF">2024-05-08T23:29:51Z</dcterms:modified>
</cp:coreProperties>
</file>