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co\Desktop\phd\Current Projects\Uncertainty\Data\"/>
    </mc:Choice>
  </mc:AlternateContent>
  <xr:revisionPtr revIDLastSave="0" documentId="13_ncr:1_{59F11E28-36FD-4680-9E3A-D9012D3A7334}" xr6:coauthVersionLast="47" xr6:coauthVersionMax="47" xr10:uidLastSave="{00000000-0000-0000-0000-000000000000}"/>
  <bookViews>
    <workbookView xWindow="-80" yWindow="-80" windowWidth="19360" windowHeight="11440" activeTab="3" xr2:uid="{5F223EDF-F217-48C6-9AED-7EAAEAEB0547}"/>
  </bookViews>
  <sheets>
    <sheet name="Levels_real" sheetId="4" r:id="rId1"/>
    <sheet name="Normalized_cleaned" sheetId="3" r:id="rId2"/>
    <sheet name="Normalized" sheetId="2" r:id="rId3"/>
    <sheet name="Level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201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6" i="1"/>
  <c r="AF201" i="1"/>
  <c r="G215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6" i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" i="4"/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" i="4"/>
  <c r="Y42" i="1" l="1"/>
  <c r="Y43" i="1"/>
  <c r="Y44" i="1"/>
  <c r="Y45" i="1"/>
  <c r="I45" i="4" s="1"/>
  <c r="Y46" i="1"/>
  <c r="Y47" i="1"/>
  <c r="Y48" i="1"/>
  <c r="I48" i="4" s="1"/>
  <c r="Y49" i="1"/>
  <c r="I49" i="4" s="1"/>
  <c r="Y50" i="1"/>
  <c r="I50" i="4" s="1"/>
  <c r="Y51" i="1"/>
  <c r="Y52" i="1"/>
  <c r="I52" i="4" s="1"/>
  <c r="Y53" i="1"/>
  <c r="I53" i="4" s="1"/>
  <c r="Y54" i="1"/>
  <c r="Y55" i="1"/>
  <c r="Y56" i="1"/>
  <c r="Y57" i="1"/>
  <c r="I57" i="4" s="1"/>
  <c r="Y58" i="1"/>
  <c r="Y59" i="1"/>
  <c r="Y60" i="1"/>
  <c r="I60" i="4" s="1"/>
  <c r="Y61" i="1"/>
  <c r="I61" i="4" s="1"/>
  <c r="Y62" i="1"/>
  <c r="Y63" i="1"/>
  <c r="I63" i="4" s="1"/>
  <c r="Y64" i="1"/>
  <c r="I64" i="4" s="1"/>
  <c r="Y65" i="1"/>
  <c r="I65" i="4" s="1"/>
  <c r="Y66" i="1"/>
  <c r="I66" i="4" s="1"/>
  <c r="Y67" i="1"/>
  <c r="Y68" i="1"/>
  <c r="Y69" i="1"/>
  <c r="I69" i="4" s="1"/>
  <c r="Y70" i="1"/>
  <c r="Y71" i="1"/>
  <c r="Y72" i="1"/>
  <c r="I72" i="4" s="1"/>
  <c r="Y73" i="1"/>
  <c r="I73" i="4" s="1"/>
  <c r="Y74" i="1"/>
  <c r="I74" i="4" s="1"/>
  <c r="Y75" i="1"/>
  <c r="Y76" i="1"/>
  <c r="I76" i="4" s="1"/>
  <c r="Y77" i="1"/>
  <c r="I77" i="4" s="1"/>
  <c r="Y78" i="1"/>
  <c r="Y79" i="1"/>
  <c r="Y80" i="1"/>
  <c r="Y81" i="1"/>
  <c r="I81" i="4" s="1"/>
  <c r="Y82" i="1"/>
  <c r="Y83" i="1"/>
  <c r="Y84" i="1"/>
  <c r="I84" i="4" s="1"/>
  <c r="Y85" i="1"/>
  <c r="I85" i="4" s="1"/>
  <c r="Y86" i="1"/>
  <c r="I86" i="4" s="1"/>
  <c r="Y87" i="1"/>
  <c r="Y88" i="1"/>
  <c r="I88" i="4" s="1"/>
  <c r="Y89" i="1"/>
  <c r="I89" i="4" s="1"/>
  <c r="Y90" i="1"/>
  <c r="I90" i="4" s="1"/>
  <c r="Y91" i="1"/>
  <c r="Y92" i="1"/>
  <c r="Y93" i="1"/>
  <c r="I93" i="4" s="1"/>
  <c r="Y94" i="1"/>
  <c r="Y95" i="1"/>
  <c r="Y96" i="1"/>
  <c r="Y97" i="1"/>
  <c r="I97" i="4" s="1"/>
  <c r="Y98" i="1"/>
  <c r="Y99" i="1"/>
  <c r="Y100" i="1"/>
  <c r="I100" i="4" s="1"/>
  <c r="Y101" i="1"/>
  <c r="I101" i="4" s="1"/>
  <c r="Y102" i="1"/>
  <c r="Y103" i="1"/>
  <c r="Y104" i="1"/>
  <c r="Y105" i="1"/>
  <c r="I105" i="4" s="1"/>
  <c r="Y106" i="1"/>
  <c r="Y107" i="1"/>
  <c r="Y108" i="1"/>
  <c r="I108" i="4" s="1"/>
  <c r="Y109" i="1"/>
  <c r="I109" i="4" s="1"/>
  <c r="Y110" i="1"/>
  <c r="Y111" i="1"/>
  <c r="Y112" i="1"/>
  <c r="I112" i="4" s="1"/>
  <c r="Y113" i="1"/>
  <c r="I113" i="4" s="1"/>
  <c r="Y114" i="1"/>
  <c r="Y115" i="1"/>
  <c r="Y116" i="1"/>
  <c r="Y117" i="1"/>
  <c r="I117" i="4" s="1"/>
  <c r="Y118" i="1"/>
  <c r="Y119" i="1"/>
  <c r="Y120" i="1"/>
  <c r="I120" i="4" s="1"/>
  <c r="Y121" i="1"/>
  <c r="I121" i="4" s="1"/>
  <c r="Y122" i="1"/>
  <c r="I122" i="4" s="1"/>
  <c r="Y123" i="1"/>
  <c r="Y124" i="1"/>
  <c r="I124" i="4" s="1"/>
  <c r="Y125" i="1"/>
  <c r="I125" i="4" s="1"/>
  <c r="Y126" i="1"/>
  <c r="I126" i="4" s="1"/>
  <c r="Y127" i="1"/>
  <c r="Y128" i="1"/>
  <c r="Y129" i="1"/>
  <c r="I129" i="4" s="1"/>
  <c r="Y130" i="1"/>
  <c r="Y131" i="1"/>
  <c r="Y132" i="1"/>
  <c r="I132" i="4" s="1"/>
  <c r="Y133" i="1"/>
  <c r="I133" i="4" s="1"/>
  <c r="Y134" i="1"/>
  <c r="Y135" i="1"/>
  <c r="Y136" i="1"/>
  <c r="I136" i="4" s="1"/>
  <c r="Y137" i="1"/>
  <c r="I137" i="4" s="1"/>
  <c r="Y138" i="1"/>
  <c r="Y139" i="1"/>
  <c r="Y140" i="1"/>
  <c r="Y141" i="1"/>
  <c r="I141" i="4" s="1"/>
  <c r="Y142" i="1"/>
  <c r="Y143" i="1"/>
  <c r="Y144" i="1"/>
  <c r="I144" i="4" s="1"/>
  <c r="Y145" i="1"/>
  <c r="I145" i="4" s="1"/>
  <c r="Y146" i="1"/>
  <c r="I146" i="4" s="1"/>
  <c r="Y147" i="1"/>
  <c r="Y148" i="1"/>
  <c r="I148" i="4" s="1"/>
  <c r="Y149" i="1"/>
  <c r="I149" i="4" s="1"/>
  <c r="Y150" i="1"/>
  <c r="I150" i="4" s="1"/>
  <c r="Y151" i="1"/>
  <c r="Y152" i="1"/>
  <c r="Y153" i="1"/>
  <c r="I153" i="4" s="1"/>
  <c r="Y154" i="1"/>
  <c r="Y155" i="1"/>
  <c r="Y156" i="1"/>
  <c r="I156" i="4" s="1"/>
  <c r="Y157" i="1"/>
  <c r="I157" i="4" s="1"/>
  <c r="Y158" i="1"/>
  <c r="Y159" i="1"/>
  <c r="Y160" i="1"/>
  <c r="I160" i="4" s="1"/>
  <c r="Y161" i="1"/>
  <c r="I161" i="4" s="1"/>
  <c r="Y162" i="1"/>
  <c r="Y163" i="1"/>
  <c r="Y164" i="1"/>
  <c r="Y165" i="1"/>
  <c r="Y166" i="1"/>
  <c r="Y167" i="1"/>
  <c r="Y168" i="1"/>
  <c r="Y169" i="1"/>
  <c r="I169" i="4" s="1"/>
  <c r="Y170" i="1"/>
  <c r="Y171" i="1"/>
  <c r="Y172" i="1"/>
  <c r="I172" i="4" s="1"/>
  <c r="Y173" i="1"/>
  <c r="I173" i="4" s="1"/>
  <c r="Y174" i="1"/>
  <c r="Y175" i="1"/>
  <c r="Y176" i="1"/>
  <c r="Y177" i="1"/>
  <c r="I177" i="4" s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41" i="1"/>
  <c r="I42" i="4"/>
  <c r="I43" i="4"/>
  <c r="I44" i="4"/>
  <c r="I46" i="4"/>
  <c r="I47" i="4"/>
  <c r="I51" i="4"/>
  <c r="I54" i="4"/>
  <c r="I55" i="4"/>
  <c r="I56" i="4"/>
  <c r="I58" i="4"/>
  <c r="I59" i="4"/>
  <c r="I62" i="4"/>
  <c r="I67" i="4"/>
  <c r="I68" i="4"/>
  <c r="I70" i="4"/>
  <c r="I71" i="4"/>
  <c r="I75" i="4"/>
  <c r="I78" i="4"/>
  <c r="I79" i="4"/>
  <c r="I80" i="4"/>
  <c r="I82" i="4"/>
  <c r="I83" i="4"/>
  <c r="I87" i="4"/>
  <c r="I91" i="4"/>
  <c r="I92" i="4"/>
  <c r="I94" i="4"/>
  <c r="I95" i="4"/>
  <c r="I96" i="4"/>
  <c r="I98" i="4"/>
  <c r="I99" i="4"/>
  <c r="I102" i="4"/>
  <c r="I103" i="4"/>
  <c r="I104" i="4"/>
  <c r="I106" i="4"/>
  <c r="I107" i="4"/>
  <c r="I110" i="4"/>
  <c r="I111" i="4"/>
  <c r="I114" i="4"/>
  <c r="I115" i="4"/>
  <c r="I116" i="4"/>
  <c r="I118" i="4"/>
  <c r="I119" i="4"/>
  <c r="I123" i="4"/>
  <c r="I127" i="4"/>
  <c r="I128" i="4"/>
  <c r="I130" i="4"/>
  <c r="I131" i="4"/>
  <c r="I134" i="4"/>
  <c r="I135" i="4"/>
  <c r="I138" i="4"/>
  <c r="I139" i="4"/>
  <c r="I140" i="4"/>
  <c r="I142" i="4"/>
  <c r="I143" i="4"/>
  <c r="I147" i="4"/>
  <c r="I151" i="4"/>
  <c r="I152" i="4"/>
  <c r="I154" i="4"/>
  <c r="I155" i="4"/>
  <c r="I158" i="4"/>
  <c r="I159" i="4"/>
  <c r="I162" i="4"/>
  <c r="I163" i="4"/>
  <c r="I164" i="4"/>
  <c r="I165" i="4"/>
  <c r="I166" i="4"/>
  <c r="I167" i="4"/>
  <c r="I168" i="4"/>
  <c r="I170" i="4"/>
  <c r="I171" i="4"/>
  <c r="I174" i="4"/>
  <c r="I175" i="4"/>
  <c r="I176" i="4"/>
  <c r="I178" i="4"/>
  <c r="I179" i="4"/>
  <c r="I1" i="4"/>
  <c r="P178" i="4"/>
  <c r="P166" i="4"/>
  <c r="P154" i="4"/>
  <c r="P142" i="4"/>
  <c r="P130" i="4"/>
  <c r="P118" i="4"/>
  <c r="P106" i="4"/>
  <c r="P82" i="4"/>
  <c r="P70" i="4"/>
  <c r="P34" i="4"/>
  <c r="P22" i="4"/>
  <c r="P10" i="4"/>
  <c r="P94" i="4"/>
  <c r="P58" i="4"/>
  <c r="P46" i="4"/>
  <c r="P9" i="4"/>
  <c r="P6" i="4"/>
  <c r="D166" i="4"/>
  <c r="C166" i="2"/>
  <c r="C166" i="3" s="1"/>
  <c r="C167" i="2"/>
  <c r="C167" i="3" s="1"/>
  <c r="D3" i="2"/>
  <c r="D4" i="2"/>
  <c r="D4" i="3" s="1"/>
  <c r="D5" i="2"/>
  <c r="D6" i="2"/>
  <c r="D7" i="2"/>
  <c r="D8" i="2"/>
  <c r="D9" i="2"/>
  <c r="D10" i="2"/>
  <c r="D10" i="3" s="1"/>
  <c r="D11" i="2"/>
  <c r="D12" i="2"/>
  <c r="D12" i="3" s="1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5" i="3" s="1"/>
  <c r="D26" i="2"/>
  <c r="D27" i="2"/>
  <c r="D28" i="2"/>
  <c r="D28" i="3" s="1"/>
  <c r="D29" i="2"/>
  <c r="D30" i="2"/>
  <c r="D31" i="2"/>
  <c r="D32" i="2"/>
  <c r="D33" i="2"/>
  <c r="D34" i="2"/>
  <c r="D35" i="2"/>
  <c r="D36" i="2"/>
  <c r="D37" i="2"/>
  <c r="D37" i="3" s="1"/>
  <c r="D38" i="2"/>
  <c r="D39" i="2"/>
  <c r="D40" i="2"/>
  <c r="D40" i="3" s="1"/>
  <c r="D41" i="2"/>
  <c r="D42" i="2"/>
  <c r="D43" i="2"/>
  <c r="D44" i="2"/>
  <c r="D45" i="2"/>
  <c r="D46" i="2"/>
  <c r="D46" i="3" s="1"/>
  <c r="D47" i="2"/>
  <c r="D48" i="2"/>
  <c r="D48" i="3" s="1"/>
  <c r="D49" i="2"/>
  <c r="D49" i="3" s="1"/>
  <c r="D50" i="2"/>
  <c r="D51" i="2"/>
  <c r="D52" i="2"/>
  <c r="D52" i="3" s="1"/>
  <c r="D53" i="2"/>
  <c r="D54" i="2"/>
  <c r="D55" i="2"/>
  <c r="D56" i="2"/>
  <c r="D57" i="2"/>
  <c r="D58" i="2"/>
  <c r="D58" i="3" s="1"/>
  <c r="D59" i="2"/>
  <c r="D60" i="2"/>
  <c r="D60" i="3" s="1"/>
  <c r="D61" i="2"/>
  <c r="D61" i="3" s="1"/>
  <c r="D62" i="2"/>
  <c r="D63" i="2"/>
  <c r="D64" i="2"/>
  <c r="D64" i="3" s="1"/>
  <c r="D65" i="2"/>
  <c r="D66" i="2"/>
  <c r="D67" i="2"/>
  <c r="D68" i="2"/>
  <c r="D69" i="2"/>
  <c r="D70" i="2"/>
  <c r="D70" i="3" s="1"/>
  <c r="D71" i="2"/>
  <c r="D72" i="2"/>
  <c r="D73" i="2"/>
  <c r="D74" i="2"/>
  <c r="D75" i="2"/>
  <c r="D76" i="2"/>
  <c r="D77" i="2"/>
  <c r="D78" i="2"/>
  <c r="D79" i="2"/>
  <c r="D80" i="2"/>
  <c r="D81" i="2"/>
  <c r="D82" i="2"/>
  <c r="D82" i="3" s="1"/>
  <c r="D83" i="2"/>
  <c r="D84" i="2"/>
  <c r="D84" i="3" s="1"/>
  <c r="D85" i="2"/>
  <c r="D85" i="3" s="1"/>
  <c r="D86" i="2"/>
  <c r="D87" i="2"/>
  <c r="D88" i="2"/>
  <c r="D89" i="2"/>
  <c r="D90" i="2"/>
  <c r="D91" i="2"/>
  <c r="D92" i="2"/>
  <c r="D93" i="2"/>
  <c r="D94" i="2"/>
  <c r="D94" i="3" s="1"/>
  <c r="D95" i="2"/>
  <c r="D96" i="2"/>
  <c r="D96" i="3" s="1"/>
  <c r="D97" i="2"/>
  <c r="D97" i="3" s="1"/>
  <c r="D98" i="2"/>
  <c r="D99" i="2"/>
  <c r="D100" i="2"/>
  <c r="D100" i="3" s="1"/>
  <c r="D101" i="2"/>
  <c r="D102" i="2"/>
  <c r="D103" i="2"/>
  <c r="D104" i="2"/>
  <c r="D105" i="2"/>
  <c r="D106" i="2"/>
  <c r="D106" i="3" s="1"/>
  <c r="D107" i="2"/>
  <c r="D108" i="2"/>
  <c r="D108" i="3" s="1"/>
  <c r="D109" i="2"/>
  <c r="D110" i="2"/>
  <c r="D111" i="2"/>
  <c r="D112" i="2"/>
  <c r="D112" i="3" s="1"/>
  <c r="D113" i="2"/>
  <c r="D114" i="2"/>
  <c r="D115" i="2"/>
  <c r="D116" i="2"/>
  <c r="D117" i="2"/>
  <c r="D118" i="2"/>
  <c r="D118" i="3" s="1"/>
  <c r="D119" i="2"/>
  <c r="D120" i="2"/>
  <c r="D120" i="3" s="1"/>
  <c r="D121" i="2"/>
  <c r="D121" i="3" s="1"/>
  <c r="D122" i="2"/>
  <c r="D122" i="3" s="1"/>
  <c r="D123" i="2"/>
  <c r="D124" i="2"/>
  <c r="D125" i="2"/>
  <c r="D126" i="2"/>
  <c r="D127" i="2"/>
  <c r="D128" i="2"/>
  <c r="D129" i="2"/>
  <c r="D130" i="2"/>
  <c r="D130" i="3" s="1"/>
  <c r="D131" i="2"/>
  <c r="D132" i="2"/>
  <c r="D132" i="3" s="1"/>
  <c r="D133" i="2"/>
  <c r="D133" i="3" s="1"/>
  <c r="D134" i="2"/>
  <c r="D134" i="3" s="1"/>
  <c r="D135" i="2"/>
  <c r="D136" i="2"/>
  <c r="D136" i="3" s="1"/>
  <c r="D137" i="2"/>
  <c r="D138" i="2"/>
  <c r="D139" i="2"/>
  <c r="D140" i="2"/>
  <c r="D141" i="2"/>
  <c r="D142" i="2"/>
  <c r="D142" i="3" s="1"/>
  <c r="D143" i="2"/>
  <c r="D144" i="2"/>
  <c r="D144" i="3" s="1"/>
  <c r="D145" i="2"/>
  <c r="D145" i="3" s="1"/>
  <c r="D146" i="2"/>
  <c r="D146" i="3" s="1"/>
  <c r="D147" i="2"/>
  <c r="D148" i="2"/>
  <c r="D148" i="3" s="1"/>
  <c r="D149" i="2"/>
  <c r="D150" i="2"/>
  <c r="D151" i="2"/>
  <c r="D152" i="2"/>
  <c r="D153" i="2"/>
  <c r="D154" i="2"/>
  <c r="D154" i="3" s="1"/>
  <c r="D155" i="2"/>
  <c r="D156" i="2"/>
  <c r="D156" i="3" s="1"/>
  <c r="D157" i="2"/>
  <c r="D157" i="3" s="1"/>
  <c r="D158" i="2"/>
  <c r="D158" i="3" s="1"/>
  <c r="D159" i="2"/>
  <c r="D160" i="2"/>
  <c r="D160" i="3" s="1"/>
  <c r="D161" i="2"/>
  <c r="D162" i="2"/>
  <c r="D163" i="2"/>
  <c r="D164" i="2"/>
  <c r="D165" i="2"/>
  <c r="D165" i="3" s="1"/>
  <c r="D166" i="2"/>
  <c r="D166" i="3" s="1"/>
  <c r="D167" i="2"/>
  <c r="D168" i="2"/>
  <c r="D168" i="3" s="1"/>
  <c r="D169" i="2"/>
  <c r="D170" i="2"/>
  <c r="D170" i="3" s="1"/>
  <c r="D171" i="2"/>
  <c r="D172" i="2"/>
  <c r="D172" i="3" s="1"/>
  <c r="D173" i="2"/>
  <c r="D174" i="2"/>
  <c r="D175" i="2"/>
  <c r="D176" i="2"/>
  <c r="D177" i="2"/>
  <c r="D178" i="2"/>
  <c r="D179" i="2"/>
  <c r="D180" i="2"/>
  <c r="D181" i="2"/>
  <c r="D181" i="3" s="1"/>
  <c r="D182" i="2"/>
  <c r="D183" i="2"/>
  <c r="D183" i="3" s="1"/>
  <c r="D184" i="2"/>
  <c r="D184" i="3" s="1"/>
  <c r="D185" i="2"/>
  <c r="D186" i="2"/>
  <c r="D187" i="2"/>
  <c r="D188" i="2"/>
  <c r="D189" i="2"/>
  <c r="D190" i="2"/>
  <c r="D190" i="3" s="1"/>
  <c r="D191" i="2"/>
  <c r="D192" i="2"/>
  <c r="D192" i="3" s="1"/>
  <c r="D193" i="2"/>
  <c r="D193" i="3" s="1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" i="2"/>
  <c r="D11" i="3"/>
  <c r="D22" i="3"/>
  <c r="D24" i="3"/>
  <c r="D34" i="3"/>
  <c r="D35" i="3"/>
  <c r="D47" i="3"/>
  <c r="D59" i="3"/>
  <c r="D71" i="3"/>
  <c r="D83" i="3"/>
  <c r="D95" i="3"/>
  <c r="D107" i="3"/>
  <c r="D131" i="3"/>
  <c r="D143" i="3"/>
  <c r="D155" i="3"/>
  <c r="D167" i="3"/>
  <c r="D179" i="3"/>
  <c r="D182" i="3"/>
  <c r="D191" i="3"/>
  <c r="E166" i="4"/>
  <c r="E1" i="4"/>
  <c r="R167" i="1"/>
  <c r="E167" i="4" s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2" i="4"/>
  <c r="U3" i="4"/>
  <c r="V3" i="4"/>
  <c r="W3" i="4"/>
  <c r="U4" i="4"/>
  <c r="V4" i="4"/>
  <c r="W4" i="4"/>
  <c r="U5" i="4"/>
  <c r="V5" i="4"/>
  <c r="W5" i="4"/>
  <c r="U6" i="4"/>
  <c r="V6" i="4"/>
  <c r="W6" i="4"/>
  <c r="U7" i="4"/>
  <c r="V7" i="4"/>
  <c r="W7" i="4"/>
  <c r="U8" i="4"/>
  <c r="V8" i="4"/>
  <c r="W8" i="4"/>
  <c r="U9" i="4"/>
  <c r="V9" i="4"/>
  <c r="W9" i="4"/>
  <c r="U10" i="4"/>
  <c r="V10" i="4"/>
  <c r="W10" i="4"/>
  <c r="U11" i="4"/>
  <c r="V11" i="4"/>
  <c r="W11" i="4"/>
  <c r="U12" i="4"/>
  <c r="V12" i="4"/>
  <c r="W12" i="4"/>
  <c r="U13" i="4"/>
  <c r="V13" i="4"/>
  <c r="W13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U32" i="4"/>
  <c r="V32" i="4"/>
  <c r="W32" i="4"/>
  <c r="U33" i="4"/>
  <c r="V33" i="4"/>
  <c r="W33" i="4"/>
  <c r="U34" i="4"/>
  <c r="V34" i="4"/>
  <c r="W34" i="4"/>
  <c r="U35" i="4"/>
  <c r="V35" i="4"/>
  <c r="W35" i="4"/>
  <c r="U36" i="4"/>
  <c r="V36" i="4"/>
  <c r="W36" i="4"/>
  <c r="U37" i="4"/>
  <c r="V37" i="4"/>
  <c r="W37" i="4"/>
  <c r="U38" i="4"/>
  <c r="V38" i="4"/>
  <c r="W38" i="4"/>
  <c r="U39" i="4"/>
  <c r="V39" i="4"/>
  <c r="W39" i="4"/>
  <c r="U40" i="4"/>
  <c r="V40" i="4"/>
  <c r="W40" i="4"/>
  <c r="U41" i="4"/>
  <c r="V41" i="4"/>
  <c r="W41" i="4"/>
  <c r="U42" i="4"/>
  <c r="V42" i="4"/>
  <c r="W42" i="4"/>
  <c r="U43" i="4"/>
  <c r="V43" i="4"/>
  <c r="W43" i="4"/>
  <c r="U44" i="4"/>
  <c r="V44" i="4"/>
  <c r="W44" i="4"/>
  <c r="U45" i="4"/>
  <c r="V45" i="4"/>
  <c r="W45" i="4"/>
  <c r="U46" i="4"/>
  <c r="V46" i="4"/>
  <c r="W46" i="4"/>
  <c r="U47" i="4"/>
  <c r="V47" i="4"/>
  <c r="W47" i="4"/>
  <c r="U48" i="4"/>
  <c r="V48" i="4"/>
  <c r="W48" i="4"/>
  <c r="U49" i="4"/>
  <c r="V49" i="4"/>
  <c r="W49" i="4"/>
  <c r="U50" i="4"/>
  <c r="V50" i="4"/>
  <c r="W50" i="4"/>
  <c r="U51" i="4"/>
  <c r="V51" i="4"/>
  <c r="W51" i="4"/>
  <c r="U52" i="4"/>
  <c r="V52" i="4"/>
  <c r="W52" i="4"/>
  <c r="U53" i="4"/>
  <c r="V53" i="4"/>
  <c r="W53" i="4"/>
  <c r="U54" i="4"/>
  <c r="V54" i="4"/>
  <c r="W54" i="4"/>
  <c r="U55" i="4"/>
  <c r="V55" i="4"/>
  <c r="W55" i="4"/>
  <c r="U56" i="4"/>
  <c r="V56" i="4"/>
  <c r="W56" i="4"/>
  <c r="U57" i="4"/>
  <c r="V57" i="4"/>
  <c r="W57" i="4"/>
  <c r="U58" i="4"/>
  <c r="V58" i="4"/>
  <c r="W58" i="4"/>
  <c r="U59" i="4"/>
  <c r="V59" i="4"/>
  <c r="W59" i="4"/>
  <c r="U60" i="4"/>
  <c r="V60" i="4"/>
  <c r="W60" i="4"/>
  <c r="U61" i="4"/>
  <c r="V61" i="4"/>
  <c r="W61" i="4"/>
  <c r="U62" i="4"/>
  <c r="V62" i="4"/>
  <c r="W62" i="4"/>
  <c r="U63" i="4"/>
  <c r="V63" i="4"/>
  <c r="W63" i="4"/>
  <c r="U64" i="4"/>
  <c r="V64" i="4"/>
  <c r="W64" i="4"/>
  <c r="U65" i="4"/>
  <c r="V65" i="4"/>
  <c r="W65" i="4"/>
  <c r="U66" i="4"/>
  <c r="V66" i="4"/>
  <c r="W66" i="4"/>
  <c r="U67" i="4"/>
  <c r="V67" i="4"/>
  <c r="W67" i="4"/>
  <c r="U68" i="4"/>
  <c r="V68" i="4"/>
  <c r="W68" i="4"/>
  <c r="U69" i="4"/>
  <c r="V69" i="4"/>
  <c r="W69" i="4"/>
  <c r="U70" i="4"/>
  <c r="V70" i="4"/>
  <c r="W70" i="4"/>
  <c r="U71" i="4"/>
  <c r="V71" i="4"/>
  <c r="W71" i="4"/>
  <c r="U72" i="4"/>
  <c r="V72" i="4"/>
  <c r="W72" i="4"/>
  <c r="U73" i="4"/>
  <c r="V73" i="4"/>
  <c r="W73" i="4"/>
  <c r="U74" i="4"/>
  <c r="V74" i="4"/>
  <c r="W74" i="4"/>
  <c r="U75" i="4"/>
  <c r="V75" i="4"/>
  <c r="W75" i="4"/>
  <c r="U76" i="4"/>
  <c r="V76" i="4"/>
  <c r="W76" i="4"/>
  <c r="U77" i="4"/>
  <c r="V77" i="4"/>
  <c r="W77" i="4"/>
  <c r="U78" i="4"/>
  <c r="V78" i="4"/>
  <c r="W78" i="4"/>
  <c r="U79" i="4"/>
  <c r="V79" i="4"/>
  <c r="W79" i="4"/>
  <c r="U80" i="4"/>
  <c r="V80" i="4"/>
  <c r="W80" i="4"/>
  <c r="U81" i="4"/>
  <c r="V81" i="4"/>
  <c r="W81" i="4"/>
  <c r="U82" i="4"/>
  <c r="V82" i="4"/>
  <c r="W82" i="4"/>
  <c r="U83" i="4"/>
  <c r="V83" i="4"/>
  <c r="W83" i="4"/>
  <c r="U84" i="4"/>
  <c r="V84" i="4"/>
  <c r="W84" i="4"/>
  <c r="U85" i="4"/>
  <c r="V85" i="4"/>
  <c r="W85" i="4"/>
  <c r="U86" i="4"/>
  <c r="V86" i="4"/>
  <c r="W86" i="4"/>
  <c r="U87" i="4"/>
  <c r="V87" i="4"/>
  <c r="W87" i="4"/>
  <c r="U88" i="4"/>
  <c r="V88" i="4"/>
  <c r="W88" i="4"/>
  <c r="U89" i="4"/>
  <c r="V89" i="4"/>
  <c r="W89" i="4"/>
  <c r="U90" i="4"/>
  <c r="V90" i="4"/>
  <c r="W90" i="4"/>
  <c r="U91" i="4"/>
  <c r="V91" i="4"/>
  <c r="W91" i="4"/>
  <c r="U92" i="4"/>
  <c r="V92" i="4"/>
  <c r="W92" i="4"/>
  <c r="U93" i="4"/>
  <c r="V93" i="4"/>
  <c r="W93" i="4"/>
  <c r="U94" i="4"/>
  <c r="V94" i="4"/>
  <c r="W94" i="4"/>
  <c r="U95" i="4"/>
  <c r="V95" i="4"/>
  <c r="W95" i="4"/>
  <c r="U96" i="4"/>
  <c r="V96" i="4"/>
  <c r="W96" i="4"/>
  <c r="U97" i="4"/>
  <c r="V97" i="4"/>
  <c r="W97" i="4"/>
  <c r="U98" i="4"/>
  <c r="V98" i="4"/>
  <c r="W98" i="4"/>
  <c r="U99" i="4"/>
  <c r="V99" i="4"/>
  <c r="W99" i="4"/>
  <c r="U100" i="4"/>
  <c r="V100" i="4"/>
  <c r="W100" i="4"/>
  <c r="U101" i="4"/>
  <c r="V101" i="4"/>
  <c r="W101" i="4"/>
  <c r="U102" i="4"/>
  <c r="V102" i="4"/>
  <c r="W102" i="4"/>
  <c r="U103" i="4"/>
  <c r="V103" i="4"/>
  <c r="W103" i="4"/>
  <c r="U104" i="4"/>
  <c r="V104" i="4"/>
  <c r="W104" i="4"/>
  <c r="U105" i="4"/>
  <c r="V105" i="4"/>
  <c r="W105" i="4"/>
  <c r="U106" i="4"/>
  <c r="V106" i="4"/>
  <c r="W106" i="4"/>
  <c r="U107" i="4"/>
  <c r="V107" i="4"/>
  <c r="W107" i="4"/>
  <c r="U108" i="4"/>
  <c r="V108" i="4"/>
  <c r="W108" i="4"/>
  <c r="U109" i="4"/>
  <c r="V109" i="4"/>
  <c r="W109" i="4"/>
  <c r="U110" i="4"/>
  <c r="V110" i="4"/>
  <c r="W110" i="4"/>
  <c r="U111" i="4"/>
  <c r="V111" i="4"/>
  <c r="W111" i="4"/>
  <c r="U112" i="4"/>
  <c r="V112" i="4"/>
  <c r="W112" i="4"/>
  <c r="U113" i="4"/>
  <c r="V113" i="4"/>
  <c r="W113" i="4"/>
  <c r="U114" i="4"/>
  <c r="V114" i="4"/>
  <c r="W114" i="4"/>
  <c r="U115" i="4"/>
  <c r="V115" i="4"/>
  <c r="W115" i="4"/>
  <c r="U116" i="4"/>
  <c r="V116" i="4"/>
  <c r="W116" i="4"/>
  <c r="U117" i="4"/>
  <c r="V117" i="4"/>
  <c r="W117" i="4"/>
  <c r="U118" i="4"/>
  <c r="V118" i="4"/>
  <c r="W118" i="4"/>
  <c r="U119" i="4"/>
  <c r="V119" i="4"/>
  <c r="W119" i="4"/>
  <c r="U120" i="4"/>
  <c r="V120" i="4"/>
  <c r="W120" i="4"/>
  <c r="U121" i="4"/>
  <c r="V121" i="4"/>
  <c r="W121" i="4"/>
  <c r="U122" i="4"/>
  <c r="V122" i="4"/>
  <c r="W122" i="4"/>
  <c r="U123" i="4"/>
  <c r="V123" i="4"/>
  <c r="W123" i="4"/>
  <c r="U124" i="4"/>
  <c r="V124" i="4"/>
  <c r="W124" i="4"/>
  <c r="U125" i="4"/>
  <c r="V125" i="4"/>
  <c r="W125" i="4"/>
  <c r="U126" i="4"/>
  <c r="V126" i="4"/>
  <c r="W126" i="4"/>
  <c r="U127" i="4"/>
  <c r="V127" i="4"/>
  <c r="W127" i="4"/>
  <c r="U128" i="4"/>
  <c r="V128" i="4"/>
  <c r="W128" i="4"/>
  <c r="U129" i="4"/>
  <c r="V129" i="4"/>
  <c r="W129" i="4"/>
  <c r="U130" i="4"/>
  <c r="V130" i="4"/>
  <c r="W130" i="4"/>
  <c r="U131" i="4"/>
  <c r="V131" i="4"/>
  <c r="W131" i="4"/>
  <c r="U132" i="4"/>
  <c r="V132" i="4"/>
  <c r="W132" i="4"/>
  <c r="U133" i="4"/>
  <c r="V133" i="4"/>
  <c r="W133" i="4"/>
  <c r="U134" i="4"/>
  <c r="V134" i="4"/>
  <c r="W134" i="4"/>
  <c r="U135" i="4"/>
  <c r="V135" i="4"/>
  <c r="W135" i="4"/>
  <c r="U136" i="4"/>
  <c r="V136" i="4"/>
  <c r="W136" i="4"/>
  <c r="U137" i="4"/>
  <c r="V137" i="4"/>
  <c r="W137" i="4"/>
  <c r="U138" i="4"/>
  <c r="V138" i="4"/>
  <c r="W138" i="4"/>
  <c r="U139" i="4"/>
  <c r="V139" i="4"/>
  <c r="W139" i="4"/>
  <c r="U140" i="4"/>
  <c r="V140" i="4"/>
  <c r="W140" i="4"/>
  <c r="U141" i="4"/>
  <c r="V141" i="4"/>
  <c r="W141" i="4"/>
  <c r="U142" i="4"/>
  <c r="V142" i="4"/>
  <c r="W142" i="4"/>
  <c r="U143" i="4"/>
  <c r="V143" i="4"/>
  <c r="W143" i="4"/>
  <c r="U144" i="4"/>
  <c r="V144" i="4"/>
  <c r="W144" i="4"/>
  <c r="U145" i="4"/>
  <c r="V145" i="4"/>
  <c r="W145" i="4"/>
  <c r="U146" i="4"/>
  <c r="V146" i="4"/>
  <c r="W146" i="4"/>
  <c r="U147" i="4"/>
  <c r="V147" i="4"/>
  <c r="W147" i="4"/>
  <c r="U148" i="4"/>
  <c r="V148" i="4"/>
  <c r="W148" i="4"/>
  <c r="U149" i="4"/>
  <c r="V149" i="4"/>
  <c r="W149" i="4"/>
  <c r="U150" i="4"/>
  <c r="V150" i="4"/>
  <c r="W150" i="4"/>
  <c r="U151" i="4"/>
  <c r="V151" i="4"/>
  <c r="W151" i="4"/>
  <c r="U152" i="4"/>
  <c r="V152" i="4"/>
  <c r="W152" i="4"/>
  <c r="U153" i="4"/>
  <c r="V153" i="4"/>
  <c r="W153" i="4"/>
  <c r="U154" i="4"/>
  <c r="V154" i="4"/>
  <c r="W154" i="4"/>
  <c r="U155" i="4"/>
  <c r="V155" i="4"/>
  <c r="W155" i="4"/>
  <c r="U156" i="4"/>
  <c r="V156" i="4"/>
  <c r="W156" i="4"/>
  <c r="U157" i="4"/>
  <c r="V157" i="4"/>
  <c r="W157" i="4"/>
  <c r="U158" i="4"/>
  <c r="V158" i="4"/>
  <c r="W158" i="4"/>
  <c r="U159" i="4"/>
  <c r="V159" i="4"/>
  <c r="W159" i="4"/>
  <c r="U160" i="4"/>
  <c r="V160" i="4"/>
  <c r="W160" i="4"/>
  <c r="U161" i="4"/>
  <c r="V161" i="4"/>
  <c r="W161" i="4"/>
  <c r="U162" i="4"/>
  <c r="V162" i="4"/>
  <c r="W162" i="4"/>
  <c r="U163" i="4"/>
  <c r="V163" i="4"/>
  <c r="W163" i="4"/>
  <c r="U164" i="4"/>
  <c r="V164" i="4"/>
  <c r="W164" i="4"/>
  <c r="U165" i="4"/>
  <c r="V165" i="4"/>
  <c r="W165" i="4"/>
  <c r="U166" i="4"/>
  <c r="V166" i="4"/>
  <c r="W166" i="4"/>
  <c r="U167" i="4"/>
  <c r="V167" i="4"/>
  <c r="W167" i="4"/>
  <c r="U168" i="4"/>
  <c r="V168" i="4"/>
  <c r="W168" i="4"/>
  <c r="U169" i="4"/>
  <c r="V169" i="4"/>
  <c r="W169" i="4"/>
  <c r="U170" i="4"/>
  <c r="V170" i="4"/>
  <c r="W170" i="4"/>
  <c r="U171" i="4"/>
  <c r="V171" i="4"/>
  <c r="W171" i="4"/>
  <c r="U172" i="4"/>
  <c r="V172" i="4"/>
  <c r="W172" i="4"/>
  <c r="U173" i="4"/>
  <c r="V173" i="4"/>
  <c r="W173" i="4"/>
  <c r="U174" i="4"/>
  <c r="V174" i="4"/>
  <c r="W174" i="4"/>
  <c r="U175" i="4"/>
  <c r="V175" i="4"/>
  <c r="W175" i="4"/>
  <c r="U176" i="4"/>
  <c r="V176" i="4"/>
  <c r="W176" i="4"/>
  <c r="U177" i="4"/>
  <c r="V177" i="4"/>
  <c r="W177" i="4"/>
  <c r="U178" i="4"/>
  <c r="V178" i="4"/>
  <c r="W178" i="4"/>
  <c r="U179" i="4"/>
  <c r="V179" i="4"/>
  <c r="W179" i="4"/>
  <c r="W2" i="4"/>
  <c r="V2" i="4"/>
  <c r="U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2" i="3"/>
  <c r="D180" i="3"/>
  <c r="E180" i="3"/>
  <c r="F180" i="3"/>
  <c r="E181" i="3"/>
  <c r="F181" i="3"/>
  <c r="E182" i="3"/>
  <c r="F182" i="3"/>
  <c r="E183" i="3"/>
  <c r="F183" i="3"/>
  <c r="E184" i="3"/>
  <c r="F184" i="3"/>
  <c r="D185" i="3"/>
  <c r="E185" i="3"/>
  <c r="F185" i="3"/>
  <c r="D186" i="3"/>
  <c r="E186" i="3"/>
  <c r="F186" i="3"/>
  <c r="D187" i="3"/>
  <c r="E187" i="3"/>
  <c r="F187" i="3"/>
  <c r="D188" i="3"/>
  <c r="E188" i="3"/>
  <c r="F188" i="3"/>
  <c r="D189" i="3"/>
  <c r="E189" i="3"/>
  <c r="F189" i="3"/>
  <c r="E190" i="3"/>
  <c r="F190" i="3"/>
  <c r="E191" i="3"/>
  <c r="F191" i="3"/>
  <c r="E192" i="3"/>
  <c r="F192" i="3"/>
  <c r="E193" i="3"/>
  <c r="F193" i="3"/>
  <c r="R165" i="1"/>
  <c r="E165" i="4" s="1"/>
  <c r="R164" i="1"/>
  <c r="B164" i="4" s="1"/>
  <c r="D1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6" i="4"/>
  <c r="C165" i="4"/>
  <c r="C166" i="4"/>
  <c r="C167" i="4"/>
  <c r="B166" i="4"/>
  <c r="B167" i="4"/>
  <c r="G3" i="4"/>
  <c r="H3" i="4"/>
  <c r="L3" i="4"/>
  <c r="M3" i="4"/>
  <c r="N3" i="4"/>
  <c r="P3" i="4"/>
  <c r="Q3" i="4"/>
  <c r="R3" i="4"/>
  <c r="S3" i="4"/>
  <c r="T3" i="4"/>
  <c r="G4" i="4"/>
  <c r="H4" i="4"/>
  <c r="L4" i="4"/>
  <c r="M4" i="4"/>
  <c r="N4" i="4"/>
  <c r="P4" i="4"/>
  <c r="Q4" i="4"/>
  <c r="R4" i="4"/>
  <c r="S4" i="4"/>
  <c r="T4" i="4"/>
  <c r="G5" i="4"/>
  <c r="H5" i="4"/>
  <c r="L5" i="4"/>
  <c r="M5" i="4"/>
  <c r="N5" i="4"/>
  <c r="P5" i="4"/>
  <c r="Q5" i="4"/>
  <c r="R5" i="4"/>
  <c r="S5" i="4"/>
  <c r="T5" i="4"/>
  <c r="G6" i="4"/>
  <c r="H6" i="4"/>
  <c r="L6" i="4"/>
  <c r="M6" i="4"/>
  <c r="N6" i="4"/>
  <c r="Q6" i="4"/>
  <c r="R6" i="4"/>
  <c r="S6" i="4"/>
  <c r="T6" i="4"/>
  <c r="G7" i="4"/>
  <c r="H7" i="4"/>
  <c r="L7" i="4"/>
  <c r="M7" i="4"/>
  <c r="N7" i="4"/>
  <c r="P7" i="4"/>
  <c r="Q7" i="4"/>
  <c r="R7" i="4"/>
  <c r="S7" i="4"/>
  <c r="T7" i="4"/>
  <c r="G8" i="4"/>
  <c r="H8" i="4"/>
  <c r="L8" i="4"/>
  <c r="M8" i="4"/>
  <c r="N8" i="4"/>
  <c r="P8" i="4"/>
  <c r="Q8" i="4"/>
  <c r="R8" i="4"/>
  <c r="S8" i="4"/>
  <c r="T8" i="4"/>
  <c r="G9" i="4"/>
  <c r="H9" i="4"/>
  <c r="L9" i="4"/>
  <c r="M9" i="4"/>
  <c r="N9" i="4"/>
  <c r="Q9" i="4"/>
  <c r="R9" i="4"/>
  <c r="S9" i="4"/>
  <c r="T9" i="4"/>
  <c r="G10" i="4"/>
  <c r="H10" i="4"/>
  <c r="L10" i="4"/>
  <c r="M10" i="4"/>
  <c r="N10" i="4"/>
  <c r="Q10" i="4"/>
  <c r="R10" i="4"/>
  <c r="S10" i="4"/>
  <c r="T10" i="4"/>
  <c r="G11" i="4"/>
  <c r="H11" i="4"/>
  <c r="L11" i="4"/>
  <c r="M11" i="4"/>
  <c r="N11" i="4"/>
  <c r="P11" i="4"/>
  <c r="Q11" i="4"/>
  <c r="R11" i="4"/>
  <c r="S11" i="4"/>
  <c r="T11" i="4"/>
  <c r="G12" i="4"/>
  <c r="H12" i="4"/>
  <c r="L12" i="4"/>
  <c r="M12" i="4"/>
  <c r="N12" i="4"/>
  <c r="P12" i="4"/>
  <c r="Q12" i="4"/>
  <c r="R12" i="4"/>
  <c r="S12" i="4"/>
  <c r="T12" i="4"/>
  <c r="G13" i="4"/>
  <c r="H13" i="4"/>
  <c r="L13" i="4"/>
  <c r="M13" i="4"/>
  <c r="N13" i="4"/>
  <c r="P13" i="4"/>
  <c r="Q13" i="4"/>
  <c r="R13" i="4"/>
  <c r="S13" i="4"/>
  <c r="T13" i="4"/>
  <c r="G14" i="4"/>
  <c r="H14" i="4"/>
  <c r="L14" i="4"/>
  <c r="M14" i="4"/>
  <c r="N14" i="4"/>
  <c r="P14" i="4"/>
  <c r="Q14" i="4"/>
  <c r="R14" i="4"/>
  <c r="S14" i="4"/>
  <c r="T14" i="4"/>
  <c r="G15" i="4"/>
  <c r="H15" i="4"/>
  <c r="L15" i="4"/>
  <c r="M15" i="4"/>
  <c r="N15" i="4"/>
  <c r="P15" i="4"/>
  <c r="Q15" i="4"/>
  <c r="R15" i="4"/>
  <c r="S15" i="4"/>
  <c r="T15" i="4"/>
  <c r="G16" i="4"/>
  <c r="H16" i="4"/>
  <c r="L16" i="4"/>
  <c r="M16" i="4"/>
  <c r="N16" i="4"/>
  <c r="P16" i="4"/>
  <c r="Q16" i="4"/>
  <c r="R16" i="4"/>
  <c r="S16" i="4"/>
  <c r="T16" i="4"/>
  <c r="G17" i="4"/>
  <c r="H17" i="4"/>
  <c r="L17" i="4"/>
  <c r="M17" i="4"/>
  <c r="N17" i="4"/>
  <c r="P17" i="4"/>
  <c r="Q17" i="4"/>
  <c r="R17" i="4"/>
  <c r="S17" i="4"/>
  <c r="T17" i="4"/>
  <c r="G18" i="4"/>
  <c r="H18" i="4"/>
  <c r="L18" i="4"/>
  <c r="M18" i="4"/>
  <c r="N18" i="4"/>
  <c r="P18" i="4"/>
  <c r="Q18" i="4"/>
  <c r="R18" i="4"/>
  <c r="S18" i="4"/>
  <c r="T18" i="4"/>
  <c r="G19" i="4"/>
  <c r="H19" i="4"/>
  <c r="L19" i="4"/>
  <c r="M19" i="4"/>
  <c r="N19" i="4"/>
  <c r="P19" i="4"/>
  <c r="Q19" i="4"/>
  <c r="R19" i="4"/>
  <c r="S19" i="4"/>
  <c r="T19" i="4"/>
  <c r="G20" i="4"/>
  <c r="H20" i="4"/>
  <c r="L20" i="4"/>
  <c r="M20" i="4"/>
  <c r="N20" i="4"/>
  <c r="P20" i="4"/>
  <c r="Q20" i="4"/>
  <c r="R20" i="4"/>
  <c r="S20" i="4"/>
  <c r="T20" i="4"/>
  <c r="G21" i="4"/>
  <c r="H21" i="4"/>
  <c r="L21" i="4"/>
  <c r="M21" i="4"/>
  <c r="N21" i="4"/>
  <c r="P21" i="4"/>
  <c r="Q21" i="4"/>
  <c r="R21" i="4"/>
  <c r="S21" i="4"/>
  <c r="T21" i="4"/>
  <c r="G22" i="4"/>
  <c r="H22" i="4"/>
  <c r="L22" i="4"/>
  <c r="M22" i="4"/>
  <c r="N22" i="4"/>
  <c r="Q22" i="4"/>
  <c r="R22" i="4"/>
  <c r="S22" i="4"/>
  <c r="T22" i="4"/>
  <c r="G23" i="4"/>
  <c r="H23" i="4"/>
  <c r="L23" i="4"/>
  <c r="M23" i="4"/>
  <c r="N23" i="4"/>
  <c r="P23" i="4"/>
  <c r="Q23" i="4"/>
  <c r="R23" i="4"/>
  <c r="S23" i="4"/>
  <c r="T23" i="4"/>
  <c r="G24" i="4"/>
  <c r="H24" i="4"/>
  <c r="L24" i="4"/>
  <c r="M24" i="4"/>
  <c r="N24" i="4"/>
  <c r="P24" i="4"/>
  <c r="Q24" i="4"/>
  <c r="R24" i="4"/>
  <c r="S24" i="4"/>
  <c r="T24" i="4"/>
  <c r="G25" i="4"/>
  <c r="H25" i="4"/>
  <c r="L25" i="4"/>
  <c r="M25" i="4"/>
  <c r="N25" i="4"/>
  <c r="P25" i="4"/>
  <c r="Q25" i="4"/>
  <c r="R25" i="4"/>
  <c r="S25" i="4"/>
  <c r="T25" i="4"/>
  <c r="G26" i="4"/>
  <c r="H26" i="4"/>
  <c r="L26" i="4"/>
  <c r="M26" i="4"/>
  <c r="N26" i="4"/>
  <c r="P26" i="4"/>
  <c r="Q26" i="4"/>
  <c r="R26" i="4"/>
  <c r="S26" i="4"/>
  <c r="T26" i="4"/>
  <c r="G27" i="4"/>
  <c r="H27" i="4"/>
  <c r="L27" i="4"/>
  <c r="M27" i="4"/>
  <c r="N27" i="4"/>
  <c r="P27" i="4"/>
  <c r="Q27" i="4"/>
  <c r="R27" i="4"/>
  <c r="S27" i="4"/>
  <c r="T27" i="4"/>
  <c r="G28" i="4"/>
  <c r="H28" i="4"/>
  <c r="L28" i="4"/>
  <c r="M28" i="4"/>
  <c r="N28" i="4"/>
  <c r="P28" i="4"/>
  <c r="Q28" i="4"/>
  <c r="R28" i="4"/>
  <c r="S28" i="4"/>
  <c r="T28" i="4"/>
  <c r="G29" i="4"/>
  <c r="H29" i="4"/>
  <c r="L29" i="4"/>
  <c r="M29" i="4"/>
  <c r="N29" i="4"/>
  <c r="P29" i="4"/>
  <c r="Q29" i="4"/>
  <c r="R29" i="4"/>
  <c r="S29" i="4"/>
  <c r="T29" i="4"/>
  <c r="G30" i="4"/>
  <c r="H30" i="4"/>
  <c r="L30" i="4"/>
  <c r="M30" i="4"/>
  <c r="N30" i="4"/>
  <c r="P30" i="4"/>
  <c r="Q30" i="4"/>
  <c r="R30" i="4"/>
  <c r="S30" i="4"/>
  <c r="T30" i="4"/>
  <c r="G31" i="4"/>
  <c r="H31" i="4"/>
  <c r="L31" i="4"/>
  <c r="M31" i="4"/>
  <c r="N31" i="4"/>
  <c r="P31" i="4"/>
  <c r="Q31" i="4"/>
  <c r="R31" i="4"/>
  <c r="S31" i="4"/>
  <c r="T31" i="4"/>
  <c r="G32" i="4"/>
  <c r="H32" i="4"/>
  <c r="L32" i="4"/>
  <c r="M32" i="4"/>
  <c r="N32" i="4"/>
  <c r="P32" i="4"/>
  <c r="Q32" i="4"/>
  <c r="R32" i="4"/>
  <c r="S32" i="4"/>
  <c r="T32" i="4"/>
  <c r="G33" i="4"/>
  <c r="H33" i="4"/>
  <c r="L33" i="4"/>
  <c r="M33" i="4"/>
  <c r="N33" i="4"/>
  <c r="P33" i="4"/>
  <c r="Q33" i="4"/>
  <c r="R33" i="4"/>
  <c r="S33" i="4"/>
  <c r="T33" i="4"/>
  <c r="G34" i="4"/>
  <c r="H34" i="4"/>
  <c r="L34" i="4"/>
  <c r="M34" i="4"/>
  <c r="N34" i="4"/>
  <c r="Q34" i="4"/>
  <c r="R34" i="4"/>
  <c r="S34" i="4"/>
  <c r="T34" i="4"/>
  <c r="G35" i="4"/>
  <c r="H35" i="4"/>
  <c r="L35" i="4"/>
  <c r="M35" i="4"/>
  <c r="N35" i="4"/>
  <c r="P35" i="4"/>
  <c r="Q35" i="4"/>
  <c r="R35" i="4"/>
  <c r="S35" i="4"/>
  <c r="T35" i="4"/>
  <c r="G36" i="4"/>
  <c r="H36" i="4"/>
  <c r="L36" i="4"/>
  <c r="M36" i="4"/>
  <c r="N36" i="4"/>
  <c r="P36" i="4"/>
  <c r="Q36" i="4"/>
  <c r="R36" i="4"/>
  <c r="S36" i="4"/>
  <c r="T36" i="4"/>
  <c r="G37" i="4"/>
  <c r="H37" i="4"/>
  <c r="L37" i="4"/>
  <c r="M37" i="4"/>
  <c r="N37" i="4"/>
  <c r="P37" i="4"/>
  <c r="Q37" i="4"/>
  <c r="R37" i="4"/>
  <c r="S37" i="4"/>
  <c r="T37" i="4"/>
  <c r="G38" i="4"/>
  <c r="H38" i="4"/>
  <c r="L38" i="4"/>
  <c r="M38" i="4"/>
  <c r="N38" i="4"/>
  <c r="P38" i="4"/>
  <c r="Q38" i="4"/>
  <c r="R38" i="4"/>
  <c r="S38" i="4"/>
  <c r="T38" i="4"/>
  <c r="G39" i="4"/>
  <c r="H39" i="4"/>
  <c r="L39" i="4"/>
  <c r="M39" i="4"/>
  <c r="N39" i="4"/>
  <c r="P39" i="4"/>
  <c r="Q39" i="4"/>
  <c r="R39" i="4"/>
  <c r="S39" i="4"/>
  <c r="T39" i="4"/>
  <c r="G40" i="4"/>
  <c r="H40" i="4"/>
  <c r="L40" i="4"/>
  <c r="M40" i="4"/>
  <c r="N40" i="4"/>
  <c r="P40" i="4"/>
  <c r="Q40" i="4"/>
  <c r="R40" i="4"/>
  <c r="S40" i="4"/>
  <c r="T40" i="4"/>
  <c r="G41" i="4"/>
  <c r="H41" i="4"/>
  <c r="L41" i="4"/>
  <c r="M41" i="4"/>
  <c r="N41" i="4"/>
  <c r="P41" i="4"/>
  <c r="Q41" i="4"/>
  <c r="R41" i="4"/>
  <c r="S41" i="4"/>
  <c r="T41" i="4"/>
  <c r="G42" i="4"/>
  <c r="H42" i="4"/>
  <c r="L42" i="4"/>
  <c r="M42" i="4"/>
  <c r="N42" i="4"/>
  <c r="P42" i="4"/>
  <c r="Q42" i="4"/>
  <c r="R42" i="4"/>
  <c r="S42" i="4"/>
  <c r="T42" i="4"/>
  <c r="G43" i="4"/>
  <c r="H43" i="4"/>
  <c r="L43" i="4"/>
  <c r="M43" i="4"/>
  <c r="N43" i="4"/>
  <c r="P43" i="4"/>
  <c r="Q43" i="4"/>
  <c r="R43" i="4"/>
  <c r="S43" i="4"/>
  <c r="T43" i="4"/>
  <c r="G44" i="4"/>
  <c r="H44" i="4"/>
  <c r="L44" i="4"/>
  <c r="M44" i="4"/>
  <c r="N44" i="4"/>
  <c r="P44" i="4"/>
  <c r="Q44" i="4"/>
  <c r="R44" i="4"/>
  <c r="S44" i="4"/>
  <c r="T44" i="4"/>
  <c r="G45" i="4"/>
  <c r="H45" i="4"/>
  <c r="L45" i="4"/>
  <c r="M45" i="4"/>
  <c r="N45" i="4"/>
  <c r="P45" i="4"/>
  <c r="Q45" i="4"/>
  <c r="R45" i="4"/>
  <c r="S45" i="4"/>
  <c r="T45" i="4"/>
  <c r="G46" i="4"/>
  <c r="H46" i="4"/>
  <c r="L46" i="4"/>
  <c r="M46" i="4"/>
  <c r="N46" i="4"/>
  <c r="Q46" i="4"/>
  <c r="R46" i="4"/>
  <c r="S46" i="4"/>
  <c r="T46" i="4"/>
  <c r="G47" i="4"/>
  <c r="H47" i="4"/>
  <c r="L47" i="4"/>
  <c r="M47" i="4"/>
  <c r="N47" i="4"/>
  <c r="P47" i="4"/>
  <c r="Q47" i="4"/>
  <c r="R47" i="4"/>
  <c r="S47" i="4"/>
  <c r="T47" i="4"/>
  <c r="G48" i="4"/>
  <c r="H48" i="4"/>
  <c r="L48" i="4"/>
  <c r="M48" i="4"/>
  <c r="N48" i="4"/>
  <c r="P48" i="4"/>
  <c r="Q48" i="4"/>
  <c r="R48" i="4"/>
  <c r="S48" i="4"/>
  <c r="T48" i="4"/>
  <c r="G49" i="4"/>
  <c r="H49" i="4"/>
  <c r="L49" i="4"/>
  <c r="M49" i="4"/>
  <c r="N49" i="4"/>
  <c r="P49" i="4"/>
  <c r="Q49" i="4"/>
  <c r="R49" i="4"/>
  <c r="S49" i="4"/>
  <c r="T49" i="4"/>
  <c r="G50" i="4"/>
  <c r="H50" i="4"/>
  <c r="L50" i="4"/>
  <c r="M50" i="4"/>
  <c r="N50" i="4"/>
  <c r="P50" i="4"/>
  <c r="Q50" i="4"/>
  <c r="R50" i="4"/>
  <c r="S50" i="4"/>
  <c r="T50" i="4"/>
  <c r="G51" i="4"/>
  <c r="H51" i="4"/>
  <c r="L51" i="4"/>
  <c r="M51" i="4"/>
  <c r="N51" i="4"/>
  <c r="P51" i="4"/>
  <c r="Q51" i="4"/>
  <c r="R51" i="4"/>
  <c r="S51" i="4"/>
  <c r="T51" i="4"/>
  <c r="G52" i="4"/>
  <c r="H52" i="4"/>
  <c r="L52" i="4"/>
  <c r="M52" i="4"/>
  <c r="N52" i="4"/>
  <c r="P52" i="4"/>
  <c r="Q52" i="4"/>
  <c r="R52" i="4"/>
  <c r="S52" i="4"/>
  <c r="T52" i="4"/>
  <c r="G53" i="4"/>
  <c r="H53" i="4"/>
  <c r="L53" i="4"/>
  <c r="M53" i="4"/>
  <c r="N53" i="4"/>
  <c r="P53" i="4"/>
  <c r="Q53" i="4"/>
  <c r="R53" i="4"/>
  <c r="S53" i="4"/>
  <c r="T53" i="4"/>
  <c r="G54" i="4"/>
  <c r="H54" i="4"/>
  <c r="L54" i="4"/>
  <c r="M54" i="4"/>
  <c r="N54" i="4"/>
  <c r="P54" i="4"/>
  <c r="Q54" i="4"/>
  <c r="R54" i="4"/>
  <c r="S54" i="4"/>
  <c r="T54" i="4"/>
  <c r="G55" i="4"/>
  <c r="H55" i="4"/>
  <c r="L55" i="4"/>
  <c r="M55" i="4"/>
  <c r="N55" i="4"/>
  <c r="P55" i="4"/>
  <c r="Q55" i="4"/>
  <c r="R55" i="4"/>
  <c r="S55" i="4"/>
  <c r="T55" i="4"/>
  <c r="G56" i="4"/>
  <c r="H56" i="4"/>
  <c r="L56" i="4"/>
  <c r="M56" i="4"/>
  <c r="N56" i="4"/>
  <c r="P56" i="4"/>
  <c r="Q56" i="4"/>
  <c r="R56" i="4"/>
  <c r="S56" i="4"/>
  <c r="T56" i="4"/>
  <c r="G57" i="4"/>
  <c r="H57" i="4"/>
  <c r="L57" i="4"/>
  <c r="M57" i="4"/>
  <c r="N57" i="4"/>
  <c r="P57" i="4"/>
  <c r="Q57" i="4"/>
  <c r="R57" i="4"/>
  <c r="S57" i="4"/>
  <c r="T57" i="4"/>
  <c r="G58" i="4"/>
  <c r="H58" i="4"/>
  <c r="L58" i="4"/>
  <c r="M58" i="4"/>
  <c r="N58" i="4"/>
  <c r="Q58" i="4"/>
  <c r="R58" i="4"/>
  <c r="S58" i="4"/>
  <c r="T58" i="4"/>
  <c r="G59" i="4"/>
  <c r="H59" i="4"/>
  <c r="L59" i="4"/>
  <c r="M59" i="4"/>
  <c r="N59" i="4"/>
  <c r="P59" i="4"/>
  <c r="Q59" i="4"/>
  <c r="R59" i="4"/>
  <c r="S59" i="4"/>
  <c r="T59" i="4"/>
  <c r="G60" i="4"/>
  <c r="H60" i="4"/>
  <c r="L60" i="4"/>
  <c r="M60" i="4"/>
  <c r="N60" i="4"/>
  <c r="P60" i="4"/>
  <c r="Q60" i="4"/>
  <c r="R60" i="4"/>
  <c r="S60" i="4"/>
  <c r="T60" i="4"/>
  <c r="G61" i="4"/>
  <c r="H61" i="4"/>
  <c r="L61" i="4"/>
  <c r="M61" i="4"/>
  <c r="N61" i="4"/>
  <c r="P61" i="4"/>
  <c r="Q61" i="4"/>
  <c r="R61" i="4"/>
  <c r="S61" i="4"/>
  <c r="T61" i="4"/>
  <c r="G62" i="4"/>
  <c r="H62" i="4"/>
  <c r="L62" i="4"/>
  <c r="M62" i="4"/>
  <c r="N62" i="4"/>
  <c r="P62" i="4"/>
  <c r="Q62" i="4"/>
  <c r="R62" i="4"/>
  <c r="S62" i="4"/>
  <c r="T62" i="4"/>
  <c r="G63" i="4"/>
  <c r="H63" i="4"/>
  <c r="L63" i="4"/>
  <c r="M63" i="4"/>
  <c r="N63" i="4"/>
  <c r="P63" i="4"/>
  <c r="Q63" i="4"/>
  <c r="R63" i="4"/>
  <c r="S63" i="4"/>
  <c r="T63" i="4"/>
  <c r="G64" i="4"/>
  <c r="H64" i="4"/>
  <c r="L64" i="4"/>
  <c r="M64" i="4"/>
  <c r="N64" i="4"/>
  <c r="P64" i="4"/>
  <c r="Q64" i="4"/>
  <c r="R64" i="4"/>
  <c r="S64" i="4"/>
  <c r="T64" i="4"/>
  <c r="G65" i="4"/>
  <c r="H65" i="4"/>
  <c r="L65" i="4"/>
  <c r="M65" i="4"/>
  <c r="N65" i="4"/>
  <c r="P65" i="4"/>
  <c r="Q65" i="4"/>
  <c r="R65" i="4"/>
  <c r="S65" i="4"/>
  <c r="T65" i="4"/>
  <c r="G66" i="4"/>
  <c r="H66" i="4"/>
  <c r="L66" i="4"/>
  <c r="M66" i="4"/>
  <c r="N66" i="4"/>
  <c r="P66" i="4"/>
  <c r="Q66" i="4"/>
  <c r="R66" i="4"/>
  <c r="S66" i="4"/>
  <c r="T66" i="4"/>
  <c r="G67" i="4"/>
  <c r="H67" i="4"/>
  <c r="L67" i="4"/>
  <c r="M67" i="4"/>
  <c r="N67" i="4"/>
  <c r="P67" i="4"/>
  <c r="Q67" i="4"/>
  <c r="R67" i="4"/>
  <c r="S67" i="4"/>
  <c r="T67" i="4"/>
  <c r="G68" i="4"/>
  <c r="H68" i="4"/>
  <c r="L68" i="4"/>
  <c r="M68" i="4"/>
  <c r="N68" i="4"/>
  <c r="P68" i="4"/>
  <c r="Q68" i="4"/>
  <c r="R68" i="4"/>
  <c r="S68" i="4"/>
  <c r="T68" i="4"/>
  <c r="G69" i="4"/>
  <c r="H69" i="4"/>
  <c r="L69" i="4"/>
  <c r="M69" i="4"/>
  <c r="N69" i="4"/>
  <c r="P69" i="4"/>
  <c r="Q69" i="4"/>
  <c r="R69" i="4"/>
  <c r="S69" i="4"/>
  <c r="T69" i="4"/>
  <c r="G70" i="4"/>
  <c r="H70" i="4"/>
  <c r="L70" i="4"/>
  <c r="M70" i="4"/>
  <c r="N70" i="4"/>
  <c r="Q70" i="4"/>
  <c r="R70" i="4"/>
  <c r="S70" i="4"/>
  <c r="T70" i="4"/>
  <c r="G71" i="4"/>
  <c r="H71" i="4"/>
  <c r="L71" i="4"/>
  <c r="M71" i="4"/>
  <c r="N71" i="4"/>
  <c r="P71" i="4"/>
  <c r="Q71" i="4"/>
  <c r="R71" i="4"/>
  <c r="S71" i="4"/>
  <c r="T71" i="4"/>
  <c r="G72" i="4"/>
  <c r="H72" i="4"/>
  <c r="L72" i="4"/>
  <c r="M72" i="4"/>
  <c r="N72" i="4"/>
  <c r="P72" i="4"/>
  <c r="Q72" i="4"/>
  <c r="R72" i="4"/>
  <c r="S72" i="4"/>
  <c r="T72" i="4"/>
  <c r="G73" i="4"/>
  <c r="H73" i="4"/>
  <c r="L73" i="4"/>
  <c r="M73" i="4"/>
  <c r="N73" i="4"/>
  <c r="P73" i="4"/>
  <c r="Q73" i="4"/>
  <c r="R73" i="4"/>
  <c r="S73" i="4"/>
  <c r="T73" i="4"/>
  <c r="G74" i="4"/>
  <c r="H74" i="4"/>
  <c r="L74" i="4"/>
  <c r="M74" i="4"/>
  <c r="N74" i="4"/>
  <c r="P74" i="4"/>
  <c r="Q74" i="4"/>
  <c r="R74" i="4"/>
  <c r="S74" i="4"/>
  <c r="T74" i="4"/>
  <c r="G75" i="4"/>
  <c r="H75" i="4"/>
  <c r="L75" i="4"/>
  <c r="M75" i="4"/>
  <c r="N75" i="4"/>
  <c r="P75" i="4"/>
  <c r="Q75" i="4"/>
  <c r="R75" i="4"/>
  <c r="S75" i="4"/>
  <c r="T75" i="4"/>
  <c r="G76" i="4"/>
  <c r="H76" i="4"/>
  <c r="L76" i="4"/>
  <c r="M76" i="4"/>
  <c r="N76" i="4"/>
  <c r="P76" i="4"/>
  <c r="Q76" i="4"/>
  <c r="R76" i="4"/>
  <c r="S76" i="4"/>
  <c r="T76" i="4"/>
  <c r="G77" i="4"/>
  <c r="H77" i="4"/>
  <c r="L77" i="4"/>
  <c r="M77" i="4"/>
  <c r="N77" i="4"/>
  <c r="P77" i="4"/>
  <c r="Q77" i="4"/>
  <c r="R77" i="4"/>
  <c r="S77" i="4"/>
  <c r="T77" i="4"/>
  <c r="G78" i="4"/>
  <c r="H78" i="4"/>
  <c r="L78" i="4"/>
  <c r="M78" i="4"/>
  <c r="N78" i="4"/>
  <c r="P78" i="4"/>
  <c r="Q78" i="4"/>
  <c r="R78" i="4"/>
  <c r="S78" i="4"/>
  <c r="T78" i="4"/>
  <c r="G79" i="4"/>
  <c r="H79" i="4"/>
  <c r="L79" i="4"/>
  <c r="M79" i="4"/>
  <c r="N79" i="4"/>
  <c r="P79" i="4"/>
  <c r="Q79" i="4"/>
  <c r="R79" i="4"/>
  <c r="S79" i="4"/>
  <c r="T79" i="4"/>
  <c r="G80" i="4"/>
  <c r="H80" i="4"/>
  <c r="L80" i="4"/>
  <c r="M80" i="4"/>
  <c r="N80" i="4"/>
  <c r="P80" i="4"/>
  <c r="Q80" i="4"/>
  <c r="R80" i="4"/>
  <c r="S80" i="4"/>
  <c r="T80" i="4"/>
  <c r="G81" i="4"/>
  <c r="H81" i="4"/>
  <c r="L81" i="4"/>
  <c r="M81" i="4"/>
  <c r="N81" i="4"/>
  <c r="P81" i="4"/>
  <c r="Q81" i="4"/>
  <c r="R81" i="4"/>
  <c r="S81" i="4"/>
  <c r="T81" i="4"/>
  <c r="G82" i="4"/>
  <c r="H82" i="4"/>
  <c r="L82" i="4"/>
  <c r="M82" i="4"/>
  <c r="N82" i="4"/>
  <c r="Q82" i="4"/>
  <c r="R82" i="4"/>
  <c r="S82" i="4"/>
  <c r="T82" i="4"/>
  <c r="G83" i="4"/>
  <c r="H83" i="4"/>
  <c r="L83" i="4"/>
  <c r="M83" i="4"/>
  <c r="N83" i="4"/>
  <c r="P83" i="4"/>
  <c r="Q83" i="4"/>
  <c r="R83" i="4"/>
  <c r="S83" i="4"/>
  <c r="T83" i="4"/>
  <c r="G84" i="4"/>
  <c r="H84" i="4"/>
  <c r="L84" i="4"/>
  <c r="M84" i="4"/>
  <c r="N84" i="4"/>
  <c r="P84" i="4"/>
  <c r="Q84" i="4"/>
  <c r="R84" i="4"/>
  <c r="S84" i="4"/>
  <c r="T84" i="4"/>
  <c r="G85" i="4"/>
  <c r="H85" i="4"/>
  <c r="L85" i="4"/>
  <c r="M85" i="4"/>
  <c r="N85" i="4"/>
  <c r="P85" i="4"/>
  <c r="Q85" i="4"/>
  <c r="R85" i="4"/>
  <c r="S85" i="4"/>
  <c r="T85" i="4"/>
  <c r="G86" i="4"/>
  <c r="H86" i="4"/>
  <c r="L86" i="4"/>
  <c r="M86" i="4"/>
  <c r="N86" i="4"/>
  <c r="P86" i="4"/>
  <c r="Q86" i="4"/>
  <c r="R86" i="4"/>
  <c r="S86" i="4"/>
  <c r="T86" i="4"/>
  <c r="G87" i="4"/>
  <c r="H87" i="4"/>
  <c r="L87" i="4"/>
  <c r="M87" i="4"/>
  <c r="N87" i="4"/>
  <c r="P87" i="4"/>
  <c r="Q87" i="4"/>
  <c r="R87" i="4"/>
  <c r="S87" i="4"/>
  <c r="T87" i="4"/>
  <c r="G88" i="4"/>
  <c r="H88" i="4"/>
  <c r="L88" i="4"/>
  <c r="M88" i="4"/>
  <c r="N88" i="4"/>
  <c r="P88" i="4"/>
  <c r="Q88" i="4"/>
  <c r="R88" i="4"/>
  <c r="S88" i="4"/>
  <c r="T88" i="4"/>
  <c r="G89" i="4"/>
  <c r="H89" i="4"/>
  <c r="L89" i="4"/>
  <c r="M89" i="4"/>
  <c r="N89" i="4"/>
  <c r="P89" i="4"/>
  <c r="Q89" i="4"/>
  <c r="R89" i="4"/>
  <c r="S89" i="4"/>
  <c r="T89" i="4"/>
  <c r="G90" i="4"/>
  <c r="H90" i="4"/>
  <c r="L90" i="4"/>
  <c r="M90" i="4"/>
  <c r="N90" i="4"/>
  <c r="P90" i="4"/>
  <c r="Q90" i="4"/>
  <c r="R90" i="4"/>
  <c r="S90" i="4"/>
  <c r="T90" i="4"/>
  <c r="G91" i="4"/>
  <c r="H91" i="4"/>
  <c r="L91" i="4"/>
  <c r="M91" i="4"/>
  <c r="N91" i="4"/>
  <c r="P91" i="4"/>
  <c r="Q91" i="4"/>
  <c r="R91" i="4"/>
  <c r="S91" i="4"/>
  <c r="T91" i="4"/>
  <c r="G92" i="4"/>
  <c r="H92" i="4"/>
  <c r="L92" i="4"/>
  <c r="M92" i="4"/>
  <c r="N92" i="4"/>
  <c r="P92" i="4"/>
  <c r="Q92" i="4"/>
  <c r="R92" i="4"/>
  <c r="S92" i="4"/>
  <c r="T92" i="4"/>
  <c r="G93" i="4"/>
  <c r="H93" i="4"/>
  <c r="L93" i="4"/>
  <c r="M93" i="4"/>
  <c r="N93" i="4"/>
  <c r="P93" i="4"/>
  <c r="Q93" i="4"/>
  <c r="R93" i="4"/>
  <c r="S93" i="4"/>
  <c r="T93" i="4"/>
  <c r="G94" i="4"/>
  <c r="H94" i="4"/>
  <c r="L94" i="4"/>
  <c r="M94" i="4"/>
  <c r="N94" i="4"/>
  <c r="Q94" i="4"/>
  <c r="R94" i="4"/>
  <c r="S94" i="4"/>
  <c r="T94" i="4"/>
  <c r="G95" i="4"/>
  <c r="H95" i="4"/>
  <c r="L95" i="4"/>
  <c r="M95" i="4"/>
  <c r="N95" i="4"/>
  <c r="P95" i="4"/>
  <c r="Q95" i="4"/>
  <c r="R95" i="4"/>
  <c r="S95" i="4"/>
  <c r="T95" i="4"/>
  <c r="G96" i="4"/>
  <c r="H96" i="4"/>
  <c r="L96" i="4"/>
  <c r="M96" i="4"/>
  <c r="N96" i="4"/>
  <c r="P96" i="4"/>
  <c r="Q96" i="4"/>
  <c r="R96" i="4"/>
  <c r="S96" i="4"/>
  <c r="T96" i="4"/>
  <c r="G97" i="4"/>
  <c r="H97" i="4"/>
  <c r="L97" i="4"/>
  <c r="M97" i="4"/>
  <c r="N97" i="4"/>
  <c r="P97" i="4"/>
  <c r="Q97" i="4"/>
  <c r="R97" i="4"/>
  <c r="S97" i="4"/>
  <c r="T97" i="4"/>
  <c r="G98" i="4"/>
  <c r="H98" i="4"/>
  <c r="L98" i="4"/>
  <c r="M98" i="4"/>
  <c r="N98" i="4"/>
  <c r="P98" i="4"/>
  <c r="Q98" i="4"/>
  <c r="R98" i="4"/>
  <c r="S98" i="4"/>
  <c r="T98" i="4"/>
  <c r="G99" i="4"/>
  <c r="H99" i="4"/>
  <c r="L99" i="4"/>
  <c r="M99" i="4"/>
  <c r="N99" i="4"/>
  <c r="P99" i="4"/>
  <c r="Q99" i="4"/>
  <c r="R99" i="4"/>
  <c r="S99" i="4"/>
  <c r="T99" i="4"/>
  <c r="G100" i="4"/>
  <c r="H100" i="4"/>
  <c r="L100" i="4"/>
  <c r="M100" i="4"/>
  <c r="N100" i="4"/>
  <c r="P100" i="4"/>
  <c r="Q100" i="4"/>
  <c r="R100" i="4"/>
  <c r="S100" i="4"/>
  <c r="T100" i="4"/>
  <c r="G101" i="4"/>
  <c r="H101" i="4"/>
  <c r="L101" i="4"/>
  <c r="M101" i="4"/>
  <c r="N101" i="4"/>
  <c r="P101" i="4"/>
  <c r="Q101" i="4"/>
  <c r="R101" i="4"/>
  <c r="S101" i="4"/>
  <c r="T101" i="4"/>
  <c r="G102" i="4"/>
  <c r="H102" i="4"/>
  <c r="L102" i="4"/>
  <c r="M102" i="4"/>
  <c r="N102" i="4"/>
  <c r="P102" i="4"/>
  <c r="Q102" i="4"/>
  <c r="R102" i="4"/>
  <c r="S102" i="4"/>
  <c r="T102" i="4"/>
  <c r="G103" i="4"/>
  <c r="H103" i="4"/>
  <c r="L103" i="4"/>
  <c r="M103" i="4"/>
  <c r="N103" i="4"/>
  <c r="P103" i="4"/>
  <c r="Q103" i="4"/>
  <c r="R103" i="4"/>
  <c r="S103" i="4"/>
  <c r="T103" i="4"/>
  <c r="G104" i="4"/>
  <c r="H104" i="4"/>
  <c r="L104" i="4"/>
  <c r="M104" i="4"/>
  <c r="N104" i="4"/>
  <c r="P104" i="4"/>
  <c r="Q104" i="4"/>
  <c r="R104" i="4"/>
  <c r="S104" i="4"/>
  <c r="T104" i="4"/>
  <c r="G105" i="4"/>
  <c r="H105" i="4"/>
  <c r="L105" i="4"/>
  <c r="M105" i="4"/>
  <c r="N105" i="4"/>
  <c r="P105" i="4"/>
  <c r="Q105" i="4"/>
  <c r="R105" i="4"/>
  <c r="S105" i="4"/>
  <c r="T105" i="4"/>
  <c r="G106" i="4"/>
  <c r="H106" i="4"/>
  <c r="L106" i="4"/>
  <c r="M106" i="4"/>
  <c r="N106" i="4"/>
  <c r="Q106" i="4"/>
  <c r="R106" i="4"/>
  <c r="S106" i="4"/>
  <c r="T106" i="4"/>
  <c r="G107" i="4"/>
  <c r="H107" i="4"/>
  <c r="L107" i="4"/>
  <c r="M107" i="4"/>
  <c r="N107" i="4"/>
  <c r="P107" i="4"/>
  <c r="Q107" i="4"/>
  <c r="R107" i="4"/>
  <c r="S107" i="4"/>
  <c r="T107" i="4"/>
  <c r="G108" i="4"/>
  <c r="H108" i="4"/>
  <c r="L108" i="4"/>
  <c r="M108" i="4"/>
  <c r="N108" i="4"/>
  <c r="P108" i="4"/>
  <c r="Q108" i="4"/>
  <c r="R108" i="4"/>
  <c r="S108" i="4"/>
  <c r="T108" i="4"/>
  <c r="G109" i="4"/>
  <c r="H109" i="4"/>
  <c r="L109" i="4"/>
  <c r="M109" i="4"/>
  <c r="N109" i="4"/>
  <c r="P109" i="4"/>
  <c r="Q109" i="4"/>
  <c r="R109" i="4"/>
  <c r="S109" i="4"/>
  <c r="T109" i="4"/>
  <c r="G110" i="4"/>
  <c r="H110" i="4"/>
  <c r="L110" i="4"/>
  <c r="M110" i="4"/>
  <c r="N110" i="4"/>
  <c r="P110" i="4"/>
  <c r="Q110" i="4"/>
  <c r="R110" i="4"/>
  <c r="S110" i="4"/>
  <c r="T110" i="4"/>
  <c r="G111" i="4"/>
  <c r="H111" i="4"/>
  <c r="L111" i="4"/>
  <c r="M111" i="4"/>
  <c r="N111" i="4"/>
  <c r="P111" i="4"/>
  <c r="Q111" i="4"/>
  <c r="R111" i="4"/>
  <c r="S111" i="4"/>
  <c r="T111" i="4"/>
  <c r="G112" i="4"/>
  <c r="H112" i="4"/>
  <c r="L112" i="4"/>
  <c r="M112" i="4"/>
  <c r="N112" i="4"/>
  <c r="P112" i="4"/>
  <c r="Q112" i="4"/>
  <c r="R112" i="4"/>
  <c r="S112" i="4"/>
  <c r="T112" i="4"/>
  <c r="G113" i="4"/>
  <c r="H113" i="4"/>
  <c r="L113" i="4"/>
  <c r="M113" i="4"/>
  <c r="N113" i="4"/>
  <c r="P113" i="4"/>
  <c r="Q113" i="4"/>
  <c r="R113" i="4"/>
  <c r="S113" i="4"/>
  <c r="T113" i="4"/>
  <c r="G114" i="4"/>
  <c r="H114" i="4"/>
  <c r="L114" i="4"/>
  <c r="M114" i="4"/>
  <c r="N114" i="4"/>
  <c r="P114" i="4"/>
  <c r="Q114" i="4"/>
  <c r="R114" i="4"/>
  <c r="S114" i="4"/>
  <c r="T114" i="4"/>
  <c r="G115" i="4"/>
  <c r="H115" i="4"/>
  <c r="L115" i="4"/>
  <c r="M115" i="4"/>
  <c r="N115" i="4"/>
  <c r="P115" i="4"/>
  <c r="Q115" i="4"/>
  <c r="R115" i="4"/>
  <c r="S115" i="4"/>
  <c r="T115" i="4"/>
  <c r="G116" i="4"/>
  <c r="H116" i="4"/>
  <c r="L116" i="4"/>
  <c r="M116" i="4"/>
  <c r="N116" i="4"/>
  <c r="P116" i="4"/>
  <c r="Q116" i="4"/>
  <c r="R116" i="4"/>
  <c r="S116" i="4"/>
  <c r="T116" i="4"/>
  <c r="G117" i="4"/>
  <c r="H117" i="4"/>
  <c r="L117" i="4"/>
  <c r="M117" i="4"/>
  <c r="N117" i="4"/>
  <c r="P117" i="4"/>
  <c r="Q117" i="4"/>
  <c r="R117" i="4"/>
  <c r="S117" i="4"/>
  <c r="T117" i="4"/>
  <c r="G118" i="4"/>
  <c r="H118" i="4"/>
  <c r="L118" i="4"/>
  <c r="M118" i="4"/>
  <c r="N118" i="4"/>
  <c r="Q118" i="4"/>
  <c r="R118" i="4"/>
  <c r="S118" i="4"/>
  <c r="T118" i="4"/>
  <c r="G119" i="4"/>
  <c r="H119" i="4"/>
  <c r="L119" i="4"/>
  <c r="M119" i="4"/>
  <c r="N119" i="4"/>
  <c r="P119" i="4"/>
  <c r="Q119" i="4"/>
  <c r="R119" i="4"/>
  <c r="S119" i="4"/>
  <c r="T119" i="4"/>
  <c r="G120" i="4"/>
  <c r="H120" i="4"/>
  <c r="L120" i="4"/>
  <c r="M120" i="4"/>
  <c r="N120" i="4"/>
  <c r="P120" i="4"/>
  <c r="Q120" i="4"/>
  <c r="R120" i="4"/>
  <c r="S120" i="4"/>
  <c r="T120" i="4"/>
  <c r="G121" i="4"/>
  <c r="H121" i="4"/>
  <c r="L121" i="4"/>
  <c r="M121" i="4"/>
  <c r="N121" i="4"/>
  <c r="P121" i="4"/>
  <c r="Q121" i="4"/>
  <c r="R121" i="4"/>
  <c r="S121" i="4"/>
  <c r="T121" i="4"/>
  <c r="G122" i="4"/>
  <c r="H122" i="4"/>
  <c r="L122" i="4"/>
  <c r="M122" i="4"/>
  <c r="N122" i="4"/>
  <c r="P122" i="4"/>
  <c r="Q122" i="4"/>
  <c r="R122" i="4"/>
  <c r="S122" i="4"/>
  <c r="T122" i="4"/>
  <c r="G123" i="4"/>
  <c r="H123" i="4"/>
  <c r="L123" i="4"/>
  <c r="M123" i="4"/>
  <c r="N123" i="4"/>
  <c r="P123" i="4"/>
  <c r="Q123" i="4"/>
  <c r="R123" i="4"/>
  <c r="S123" i="4"/>
  <c r="T123" i="4"/>
  <c r="G124" i="4"/>
  <c r="H124" i="4"/>
  <c r="L124" i="4"/>
  <c r="M124" i="4"/>
  <c r="N124" i="4"/>
  <c r="P124" i="4"/>
  <c r="Q124" i="4"/>
  <c r="R124" i="4"/>
  <c r="S124" i="4"/>
  <c r="T124" i="4"/>
  <c r="G125" i="4"/>
  <c r="H125" i="4"/>
  <c r="L125" i="4"/>
  <c r="M125" i="4"/>
  <c r="N125" i="4"/>
  <c r="P125" i="4"/>
  <c r="Q125" i="4"/>
  <c r="R125" i="4"/>
  <c r="S125" i="4"/>
  <c r="T125" i="4"/>
  <c r="G126" i="4"/>
  <c r="H126" i="4"/>
  <c r="L126" i="4"/>
  <c r="M126" i="4"/>
  <c r="N126" i="4"/>
  <c r="P126" i="4"/>
  <c r="Q126" i="4"/>
  <c r="R126" i="4"/>
  <c r="S126" i="4"/>
  <c r="T126" i="4"/>
  <c r="G127" i="4"/>
  <c r="H127" i="4"/>
  <c r="L127" i="4"/>
  <c r="M127" i="4"/>
  <c r="N127" i="4"/>
  <c r="P127" i="4"/>
  <c r="Q127" i="4"/>
  <c r="R127" i="4"/>
  <c r="S127" i="4"/>
  <c r="T127" i="4"/>
  <c r="G128" i="4"/>
  <c r="H128" i="4"/>
  <c r="L128" i="4"/>
  <c r="M128" i="4"/>
  <c r="N128" i="4"/>
  <c r="P128" i="4"/>
  <c r="Q128" i="4"/>
  <c r="R128" i="4"/>
  <c r="S128" i="4"/>
  <c r="T128" i="4"/>
  <c r="G129" i="4"/>
  <c r="H129" i="4"/>
  <c r="L129" i="4"/>
  <c r="M129" i="4"/>
  <c r="N129" i="4"/>
  <c r="P129" i="4"/>
  <c r="Q129" i="4"/>
  <c r="R129" i="4"/>
  <c r="S129" i="4"/>
  <c r="T129" i="4"/>
  <c r="G130" i="4"/>
  <c r="H130" i="4"/>
  <c r="L130" i="4"/>
  <c r="M130" i="4"/>
  <c r="N130" i="4"/>
  <c r="Q130" i="4"/>
  <c r="R130" i="4"/>
  <c r="S130" i="4"/>
  <c r="T130" i="4"/>
  <c r="G131" i="4"/>
  <c r="H131" i="4"/>
  <c r="L131" i="4"/>
  <c r="M131" i="4"/>
  <c r="N131" i="4"/>
  <c r="P131" i="4"/>
  <c r="Q131" i="4"/>
  <c r="R131" i="4"/>
  <c r="S131" i="4"/>
  <c r="T131" i="4"/>
  <c r="G132" i="4"/>
  <c r="H132" i="4"/>
  <c r="L132" i="4"/>
  <c r="M132" i="4"/>
  <c r="N132" i="4"/>
  <c r="P132" i="4"/>
  <c r="Q132" i="4"/>
  <c r="R132" i="4"/>
  <c r="S132" i="4"/>
  <c r="T132" i="4"/>
  <c r="G133" i="4"/>
  <c r="H133" i="4"/>
  <c r="L133" i="4"/>
  <c r="M133" i="4"/>
  <c r="N133" i="4"/>
  <c r="P133" i="4"/>
  <c r="Q133" i="4"/>
  <c r="R133" i="4"/>
  <c r="S133" i="4"/>
  <c r="T133" i="4"/>
  <c r="G134" i="4"/>
  <c r="H134" i="4"/>
  <c r="L134" i="4"/>
  <c r="M134" i="4"/>
  <c r="N134" i="4"/>
  <c r="P134" i="4"/>
  <c r="Q134" i="4"/>
  <c r="R134" i="4"/>
  <c r="S134" i="4"/>
  <c r="T134" i="4"/>
  <c r="G135" i="4"/>
  <c r="H135" i="4"/>
  <c r="L135" i="4"/>
  <c r="M135" i="4"/>
  <c r="N135" i="4"/>
  <c r="P135" i="4"/>
  <c r="Q135" i="4"/>
  <c r="R135" i="4"/>
  <c r="S135" i="4"/>
  <c r="T135" i="4"/>
  <c r="G136" i="4"/>
  <c r="H136" i="4"/>
  <c r="L136" i="4"/>
  <c r="M136" i="4"/>
  <c r="N136" i="4"/>
  <c r="P136" i="4"/>
  <c r="Q136" i="4"/>
  <c r="R136" i="4"/>
  <c r="S136" i="4"/>
  <c r="T136" i="4"/>
  <c r="G137" i="4"/>
  <c r="H137" i="4"/>
  <c r="L137" i="4"/>
  <c r="M137" i="4"/>
  <c r="N137" i="4"/>
  <c r="P137" i="4"/>
  <c r="Q137" i="4"/>
  <c r="R137" i="4"/>
  <c r="S137" i="4"/>
  <c r="T137" i="4"/>
  <c r="G138" i="4"/>
  <c r="H138" i="4"/>
  <c r="L138" i="4"/>
  <c r="M138" i="4"/>
  <c r="N138" i="4"/>
  <c r="P138" i="4"/>
  <c r="Q138" i="4"/>
  <c r="R138" i="4"/>
  <c r="S138" i="4"/>
  <c r="T138" i="4"/>
  <c r="G139" i="4"/>
  <c r="H139" i="4"/>
  <c r="L139" i="4"/>
  <c r="M139" i="4"/>
  <c r="N139" i="4"/>
  <c r="P139" i="4"/>
  <c r="Q139" i="4"/>
  <c r="R139" i="4"/>
  <c r="S139" i="4"/>
  <c r="T139" i="4"/>
  <c r="G140" i="4"/>
  <c r="H140" i="4"/>
  <c r="L140" i="4"/>
  <c r="M140" i="4"/>
  <c r="N140" i="4"/>
  <c r="P140" i="4"/>
  <c r="Q140" i="4"/>
  <c r="R140" i="4"/>
  <c r="S140" i="4"/>
  <c r="T140" i="4"/>
  <c r="G141" i="4"/>
  <c r="H141" i="4"/>
  <c r="L141" i="4"/>
  <c r="M141" i="4"/>
  <c r="N141" i="4"/>
  <c r="P141" i="4"/>
  <c r="Q141" i="4"/>
  <c r="R141" i="4"/>
  <c r="S141" i="4"/>
  <c r="T141" i="4"/>
  <c r="G142" i="4"/>
  <c r="H142" i="4"/>
  <c r="L142" i="4"/>
  <c r="M142" i="4"/>
  <c r="N142" i="4"/>
  <c r="Q142" i="4"/>
  <c r="R142" i="4"/>
  <c r="S142" i="4"/>
  <c r="T142" i="4"/>
  <c r="G143" i="4"/>
  <c r="H143" i="4"/>
  <c r="L143" i="4"/>
  <c r="M143" i="4"/>
  <c r="N143" i="4"/>
  <c r="P143" i="4"/>
  <c r="Q143" i="4"/>
  <c r="R143" i="4"/>
  <c r="S143" i="4"/>
  <c r="T143" i="4"/>
  <c r="G144" i="4"/>
  <c r="H144" i="4"/>
  <c r="L144" i="4"/>
  <c r="M144" i="4"/>
  <c r="N144" i="4"/>
  <c r="P144" i="4"/>
  <c r="Q144" i="4"/>
  <c r="R144" i="4"/>
  <c r="S144" i="4"/>
  <c r="T144" i="4"/>
  <c r="G145" i="4"/>
  <c r="H145" i="4"/>
  <c r="L145" i="4"/>
  <c r="M145" i="4"/>
  <c r="N145" i="4"/>
  <c r="P145" i="4"/>
  <c r="Q145" i="4"/>
  <c r="R145" i="4"/>
  <c r="S145" i="4"/>
  <c r="T145" i="4"/>
  <c r="G146" i="4"/>
  <c r="H146" i="4"/>
  <c r="L146" i="4"/>
  <c r="M146" i="4"/>
  <c r="N146" i="4"/>
  <c r="P146" i="4"/>
  <c r="Q146" i="4"/>
  <c r="R146" i="4"/>
  <c r="S146" i="4"/>
  <c r="T146" i="4"/>
  <c r="G147" i="4"/>
  <c r="H147" i="4"/>
  <c r="L147" i="4"/>
  <c r="M147" i="4"/>
  <c r="N147" i="4"/>
  <c r="P147" i="4"/>
  <c r="Q147" i="4"/>
  <c r="R147" i="4"/>
  <c r="S147" i="4"/>
  <c r="T147" i="4"/>
  <c r="G148" i="4"/>
  <c r="H148" i="4"/>
  <c r="L148" i="4"/>
  <c r="M148" i="4"/>
  <c r="N148" i="4"/>
  <c r="P148" i="4"/>
  <c r="Q148" i="4"/>
  <c r="R148" i="4"/>
  <c r="S148" i="4"/>
  <c r="T148" i="4"/>
  <c r="G149" i="4"/>
  <c r="H149" i="4"/>
  <c r="L149" i="4"/>
  <c r="M149" i="4"/>
  <c r="N149" i="4"/>
  <c r="P149" i="4"/>
  <c r="Q149" i="4"/>
  <c r="R149" i="4"/>
  <c r="S149" i="4"/>
  <c r="T149" i="4"/>
  <c r="G150" i="4"/>
  <c r="H150" i="4"/>
  <c r="L150" i="4"/>
  <c r="M150" i="4"/>
  <c r="N150" i="4"/>
  <c r="P150" i="4"/>
  <c r="Q150" i="4"/>
  <c r="R150" i="4"/>
  <c r="S150" i="4"/>
  <c r="T150" i="4"/>
  <c r="G151" i="4"/>
  <c r="H151" i="4"/>
  <c r="L151" i="4"/>
  <c r="M151" i="4"/>
  <c r="N151" i="4"/>
  <c r="P151" i="4"/>
  <c r="Q151" i="4"/>
  <c r="R151" i="4"/>
  <c r="S151" i="4"/>
  <c r="T151" i="4"/>
  <c r="G152" i="4"/>
  <c r="H152" i="4"/>
  <c r="L152" i="4"/>
  <c r="M152" i="4"/>
  <c r="N152" i="4"/>
  <c r="P152" i="4"/>
  <c r="Q152" i="4"/>
  <c r="R152" i="4"/>
  <c r="S152" i="4"/>
  <c r="T152" i="4"/>
  <c r="G153" i="4"/>
  <c r="H153" i="4"/>
  <c r="L153" i="4"/>
  <c r="M153" i="4"/>
  <c r="N153" i="4"/>
  <c r="P153" i="4"/>
  <c r="Q153" i="4"/>
  <c r="R153" i="4"/>
  <c r="S153" i="4"/>
  <c r="T153" i="4"/>
  <c r="G154" i="4"/>
  <c r="H154" i="4"/>
  <c r="L154" i="4"/>
  <c r="M154" i="4"/>
  <c r="N154" i="4"/>
  <c r="Q154" i="4"/>
  <c r="R154" i="4"/>
  <c r="S154" i="4"/>
  <c r="T154" i="4"/>
  <c r="G155" i="4"/>
  <c r="H155" i="4"/>
  <c r="L155" i="4"/>
  <c r="M155" i="4"/>
  <c r="N155" i="4"/>
  <c r="P155" i="4"/>
  <c r="Q155" i="4"/>
  <c r="R155" i="4"/>
  <c r="S155" i="4"/>
  <c r="T155" i="4"/>
  <c r="G156" i="4"/>
  <c r="H156" i="4"/>
  <c r="L156" i="4"/>
  <c r="M156" i="4"/>
  <c r="N156" i="4"/>
  <c r="P156" i="4"/>
  <c r="Q156" i="4"/>
  <c r="R156" i="4"/>
  <c r="S156" i="4"/>
  <c r="T156" i="4"/>
  <c r="G157" i="4"/>
  <c r="H157" i="4"/>
  <c r="L157" i="4"/>
  <c r="M157" i="4"/>
  <c r="N157" i="4"/>
  <c r="P157" i="4"/>
  <c r="Q157" i="4"/>
  <c r="R157" i="4"/>
  <c r="S157" i="4"/>
  <c r="T157" i="4"/>
  <c r="G158" i="4"/>
  <c r="H158" i="4"/>
  <c r="L158" i="4"/>
  <c r="M158" i="4"/>
  <c r="N158" i="4"/>
  <c r="P158" i="4"/>
  <c r="Q158" i="4"/>
  <c r="R158" i="4"/>
  <c r="S158" i="4"/>
  <c r="T158" i="4"/>
  <c r="G159" i="4"/>
  <c r="H159" i="4"/>
  <c r="L159" i="4"/>
  <c r="M159" i="4"/>
  <c r="N159" i="4"/>
  <c r="P159" i="4"/>
  <c r="Q159" i="4"/>
  <c r="R159" i="4"/>
  <c r="S159" i="4"/>
  <c r="T159" i="4"/>
  <c r="G160" i="4"/>
  <c r="H160" i="4"/>
  <c r="L160" i="4"/>
  <c r="M160" i="4"/>
  <c r="N160" i="4"/>
  <c r="P160" i="4"/>
  <c r="Q160" i="4"/>
  <c r="R160" i="4"/>
  <c r="S160" i="4"/>
  <c r="T160" i="4"/>
  <c r="G161" i="4"/>
  <c r="H161" i="4"/>
  <c r="L161" i="4"/>
  <c r="M161" i="4"/>
  <c r="N161" i="4"/>
  <c r="P161" i="4"/>
  <c r="Q161" i="4"/>
  <c r="R161" i="4"/>
  <c r="S161" i="4"/>
  <c r="T161" i="4"/>
  <c r="G162" i="4"/>
  <c r="H162" i="4"/>
  <c r="L162" i="4"/>
  <c r="M162" i="4"/>
  <c r="N162" i="4"/>
  <c r="P162" i="4"/>
  <c r="Q162" i="4"/>
  <c r="R162" i="4"/>
  <c r="S162" i="4"/>
  <c r="T162" i="4"/>
  <c r="G163" i="4"/>
  <c r="H163" i="4"/>
  <c r="L163" i="4"/>
  <c r="M163" i="4"/>
  <c r="N163" i="4"/>
  <c r="P163" i="4"/>
  <c r="Q163" i="4"/>
  <c r="R163" i="4"/>
  <c r="S163" i="4"/>
  <c r="T163" i="4"/>
  <c r="G164" i="4"/>
  <c r="H164" i="4"/>
  <c r="L164" i="4"/>
  <c r="M164" i="4"/>
  <c r="N164" i="4"/>
  <c r="P164" i="4"/>
  <c r="Q164" i="4"/>
  <c r="R164" i="4"/>
  <c r="S164" i="4"/>
  <c r="T164" i="4"/>
  <c r="G165" i="4"/>
  <c r="H165" i="4"/>
  <c r="L165" i="4"/>
  <c r="M165" i="4"/>
  <c r="N165" i="4"/>
  <c r="P165" i="4"/>
  <c r="Q165" i="4"/>
  <c r="R165" i="4"/>
  <c r="S165" i="4"/>
  <c r="T165" i="4"/>
  <c r="G166" i="4"/>
  <c r="H166" i="4"/>
  <c r="L166" i="4"/>
  <c r="M166" i="4"/>
  <c r="N166" i="4"/>
  <c r="Q166" i="4"/>
  <c r="R166" i="4"/>
  <c r="S166" i="4"/>
  <c r="T166" i="4"/>
  <c r="G167" i="4"/>
  <c r="H167" i="4"/>
  <c r="L167" i="4"/>
  <c r="M167" i="4"/>
  <c r="N167" i="4"/>
  <c r="P167" i="4"/>
  <c r="Q167" i="4"/>
  <c r="R167" i="4"/>
  <c r="S167" i="4"/>
  <c r="T167" i="4"/>
  <c r="G168" i="4"/>
  <c r="H168" i="4"/>
  <c r="L168" i="4"/>
  <c r="M168" i="4"/>
  <c r="N168" i="4"/>
  <c r="P168" i="4"/>
  <c r="Q168" i="4"/>
  <c r="R168" i="4"/>
  <c r="S168" i="4"/>
  <c r="T168" i="4"/>
  <c r="G169" i="4"/>
  <c r="H169" i="4"/>
  <c r="L169" i="4"/>
  <c r="M169" i="4"/>
  <c r="N169" i="4"/>
  <c r="P169" i="4"/>
  <c r="Q169" i="4"/>
  <c r="R169" i="4"/>
  <c r="S169" i="4"/>
  <c r="T169" i="4"/>
  <c r="G170" i="4"/>
  <c r="H170" i="4"/>
  <c r="L170" i="4"/>
  <c r="M170" i="4"/>
  <c r="N170" i="4"/>
  <c r="P170" i="4"/>
  <c r="Q170" i="4"/>
  <c r="R170" i="4"/>
  <c r="S170" i="4"/>
  <c r="T170" i="4"/>
  <c r="G171" i="4"/>
  <c r="H171" i="4"/>
  <c r="L171" i="4"/>
  <c r="M171" i="4"/>
  <c r="N171" i="4"/>
  <c r="P171" i="4"/>
  <c r="Q171" i="4"/>
  <c r="R171" i="4"/>
  <c r="S171" i="4"/>
  <c r="T171" i="4"/>
  <c r="G172" i="4"/>
  <c r="H172" i="4"/>
  <c r="L172" i="4"/>
  <c r="M172" i="4"/>
  <c r="N172" i="4"/>
  <c r="P172" i="4"/>
  <c r="Q172" i="4"/>
  <c r="R172" i="4"/>
  <c r="S172" i="4"/>
  <c r="T172" i="4"/>
  <c r="G173" i="4"/>
  <c r="H173" i="4"/>
  <c r="L173" i="4"/>
  <c r="M173" i="4"/>
  <c r="N173" i="4"/>
  <c r="P173" i="4"/>
  <c r="Q173" i="4"/>
  <c r="R173" i="4"/>
  <c r="S173" i="4"/>
  <c r="T173" i="4"/>
  <c r="G174" i="4"/>
  <c r="H174" i="4"/>
  <c r="L174" i="4"/>
  <c r="M174" i="4"/>
  <c r="N174" i="4"/>
  <c r="P174" i="4"/>
  <c r="Q174" i="4"/>
  <c r="R174" i="4"/>
  <c r="S174" i="4"/>
  <c r="T174" i="4"/>
  <c r="G175" i="4"/>
  <c r="H175" i="4"/>
  <c r="L175" i="4"/>
  <c r="M175" i="4"/>
  <c r="N175" i="4"/>
  <c r="P175" i="4"/>
  <c r="Q175" i="4"/>
  <c r="R175" i="4"/>
  <c r="S175" i="4"/>
  <c r="T175" i="4"/>
  <c r="G176" i="4"/>
  <c r="H176" i="4"/>
  <c r="L176" i="4"/>
  <c r="M176" i="4"/>
  <c r="N176" i="4"/>
  <c r="P176" i="4"/>
  <c r="Q176" i="4"/>
  <c r="R176" i="4"/>
  <c r="S176" i="4"/>
  <c r="T176" i="4"/>
  <c r="G177" i="4"/>
  <c r="H177" i="4"/>
  <c r="L177" i="4"/>
  <c r="M177" i="4"/>
  <c r="N177" i="4"/>
  <c r="P177" i="4"/>
  <c r="Q177" i="4"/>
  <c r="R177" i="4"/>
  <c r="S177" i="4"/>
  <c r="T177" i="4"/>
  <c r="G178" i="4"/>
  <c r="H178" i="4"/>
  <c r="L178" i="4"/>
  <c r="M178" i="4"/>
  <c r="N178" i="4"/>
  <c r="Q178" i="4"/>
  <c r="R178" i="4"/>
  <c r="S178" i="4"/>
  <c r="T178" i="4"/>
  <c r="G179" i="4"/>
  <c r="H179" i="4"/>
  <c r="L179" i="4"/>
  <c r="M179" i="4"/>
  <c r="N179" i="4"/>
  <c r="P179" i="4"/>
  <c r="Q179" i="4"/>
  <c r="R179" i="4"/>
  <c r="S179" i="4"/>
  <c r="T179" i="4"/>
  <c r="G2" i="4"/>
  <c r="H2" i="4"/>
  <c r="L2" i="4"/>
  <c r="M2" i="4"/>
  <c r="N2" i="4"/>
  <c r="P2" i="4"/>
  <c r="Q2" i="4"/>
  <c r="R2" i="4"/>
  <c r="S2" i="4"/>
  <c r="T2" i="4"/>
  <c r="B165" i="2"/>
  <c r="B165" i="3" s="1"/>
  <c r="B166" i="2"/>
  <c r="B166" i="3" s="1"/>
  <c r="B167" i="2"/>
  <c r="B167" i="3" s="1"/>
  <c r="B1" i="2"/>
  <c r="B1" i="3"/>
  <c r="C1" i="2"/>
  <c r="C1" i="3" s="1"/>
  <c r="E1" i="2"/>
  <c r="E1" i="3" s="1"/>
  <c r="F1" i="2"/>
  <c r="F1" i="3"/>
  <c r="G1" i="2"/>
  <c r="G1" i="3" s="1"/>
  <c r="H1" i="2"/>
  <c r="H1" i="3" s="1"/>
  <c r="I1" i="2"/>
  <c r="I1" i="3" s="1"/>
  <c r="J1" i="2"/>
  <c r="J1" i="3" s="1"/>
  <c r="K1" i="2"/>
  <c r="K1" i="3" s="1"/>
  <c r="L1" i="2"/>
  <c r="L1" i="3"/>
  <c r="M1" i="2"/>
  <c r="M1" i="3" s="1"/>
  <c r="N1" i="2"/>
  <c r="N1" i="3" s="1"/>
  <c r="O1" i="2"/>
  <c r="O1" i="3"/>
  <c r="P1" i="2"/>
  <c r="P1" i="3" s="1"/>
  <c r="Q1" i="2"/>
  <c r="Q1" i="3" s="1"/>
  <c r="R1" i="3"/>
  <c r="S1" i="3"/>
  <c r="T1" i="3"/>
  <c r="A1" i="2"/>
  <c r="A1" i="3" s="1"/>
  <c r="D1" i="2"/>
  <c r="D1" i="3" s="1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F4" i="3"/>
  <c r="F3" i="3"/>
  <c r="F2" i="3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2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6" i="2"/>
  <c r="D164" i="3"/>
  <c r="D169" i="3"/>
  <c r="D163" i="3"/>
  <c r="D162" i="3"/>
  <c r="D171" i="3"/>
  <c r="D161" i="3"/>
  <c r="D173" i="3"/>
  <c r="D159" i="3"/>
  <c r="D174" i="3"/>
  <c r="D175" i="3"/>
  <c r="D176" i="3"/>
  <c r="D177" i="3"/>
  <c r="D178" i="3"/>
  <c r="D153" i="3"/>
  <c r="D152" i="3"/>
  <c r="D151" i="3"/>
  <c r="D150" i="3"/>
  <c r="D149" i="3"/>
  <c r="D147" i="3"/>
  <c r="D141" i="3"/>
  <c r="D140" i="3"/>
  <c r="D139" i="3"/>
  <c r="D138" i="3"/>
  <c r="D137" i="3"/>
  <c r="D135" i="3"/>
  <c r="D129" i="3"/>
  <c r="D128" i="3"/>
  <c r="D127" i="3"/>
  <c r="D126" i="3"/>
  <c r="D125" i="3"/>
  <c r="D124" i="3"/>
  <c r="D123" i="3"/>
  <c r="D119" i="3"/>
  <c r="D117" i="3"/>
  <c r="D116" i="3"/>
  <c r="D115" i="3"/>
  <c r="D114" i="3"/>
  <c r="D113" i="3"/>
  <c r="D111" i="3"/>
  <c r="D110" i="3"/>
  <c r="D109" i="3"/>
  <c r="D105" i="3"/>
  <c r="D104" i="3"/>
  <c r="D103" i="3"/>
  <c r="D102" i="3"/>
  <c r="D101" i="3"/>
  <c r="D99" i="3"/>
  <c r="D98" i="3"/>
  <c r="D93" i="3"/>
  <c r="D92" i="3"/>
  <c r="D91" i="3"/>
  <c r="D90" i="3"/>
  <c r="D89" i="3"/>
  <c r="D88" i="3"/>
  <c r="D87" i="3"/>
  <c r="D86" i="3"/>
  <c r="D81" i="3"/>
  <c r="D80" i="3"/>
  <c r="D79" i="3"/>
  <c r="D78" i="3"/>
  <c r="D77" i="3"/>
  <c r="D76" i="3"/>
  <c r="D75" i="3"/>
  <c r="D74" i="3"/>
  <c r="D73" i="3"/>
  <c r="D72" i="3"/>
  <c r="D69" i="3"/>
  <c r="D68" i="3"/>
  <c r="D67" i="3"/>
  <c r="D66" i="3"/>
  <c r="D65" i="3"/>
  <c r="D63" i="3"/>
  <c r="D62" i="3"/>
  <c r="D57" i="3"/>
  <c r="D56" i="3"/>
  <c r="D55" i="3"/>
  <c r="D54" i="3"/>
  <c r="D53" i="3"/>
  <c r="D51" i="3"/>
  <c r="D50" i="3"/>
  <c r="D45" i="3"/>
  <c r="D44" i="3"/>
  <c r="D43" i="3"/>
  <c r="D42" i="3"/>
  <c r="D41" i="3"/>
  <c r="D39" i="3"/>
  <c r="D38" i="3"/>
  <c r="D36" i="3"/>
  <c r="D33" i="3"/>
  <c r="D32" i="3"/>
  <c r="D31" i="3"/>
  <c r="D30" i="3"/>
  <c r="D29" i="3"/>
  <c r="D27" i="3"/>
  <c r="D26" i="3"/>
  <c r="D23" i="3"/>
  <c r="D21" i="3"/>
  <c r="D20" i="3"/>
  <c r="D19" i="3"/>
  <c r="D18" i="3"/>
  <c r="D17" i="3"/>
  <c r="D16" i="3"/>
  <c r="D15" i="3"/>
  <c r="D14" i="3"/>
  <c r="D13" i="3"/>
  <c r="D9" i="3"/>
  <c r="D8" i="3"/>
  <c r="D7" i="3"/>
  <c r="D6" i="3"/>
  <c r="D5" i="3"/>
  <c r="D3" i="3"/>
  <c r="D2" i="3"/>
  <c r="B164" i="2" l="1"/>
  <c r="B164" i="3" s="1"/>
  <c r="C164" i="4"/>
  <c r="B165" i="4"/>
  <c r="R163" i="1"/>
  <c r="D164" i="4"/>
  <c r="E164" i="4"/>
  <c r="C164" i="2"/>
  <c r="C164" i="3" s="1"/>
  <c r="D167" i="4"/>
  <c r="R168" i="1"/>
  <c r="D165" i="4"/>
  <c r="C165" i="2"/>
  <c r="C165" i="3" s="1"/>
  <c r="E168" i="4" l="1"/>
  <c r="C168" i="2"/>
  <c r="C168" i="3" s="1"/>
  <c r="D168" i="4"/>
  <c r="C168" i="4"/>
  <c r="B168" i="4"/>
  <c r="R169" i="1"/>
  <c r="B168" i="2"/>
  <c r="B168" i="3" s="1"/>
  <c r="C163" i="2"/>
  <c r="C163" i="3" s="1"/>
  <c r="R162" i="1"/>
  <c r="E163" i="4"/>
  <c r="B163" i="2"/>
  <c r="B163" i="3" s="1"/>
  <c r="B163" i="4"/>
  <c r="C163" i="4"/>
  <c r="D163" i="4"/>
  <c r="C162" i="2" l="1"/>
  <c r="C162" i="3" s="1"/>
  <c r="D162" i="4"/>
  <c r="E162" i="4"/>
  <c r="B162" i="4"/>
  <c r="C162" i="4"/>
  <c r="R161" i="1"/>
  <c r="B162" i="2"/>
  <c r="B162" i="3" s="1"/>
  <c r="R170" i="1"/>
  <c r="C169" i="2"/>
  <c r="C169" i="3" s="1"/>
  <c r="D169" i="4"/>
  <c r="C169" i="4"/>
  <c r="E169" i="4"/>
  <c r="B169" i="2"/>
  <c r="B169" i="3" s="1"/>
  <c r="B169" i="4"/>
  <c r="E170" i="4" l="1"/>
  <c r="R171" i="1"/>
  <c r="C170" i="2"/>
  <c r="C170" i="3" s="1"/>
  <c r="D170" i="4"/>
  <c r="C170" i="4"/>
  <c r="B170" i="2"/>
  <c r="B170" i="3" s="1"/>
  <c r="B170" i="4"/>
  <c r="C161" i="2"/>
  <c r="C161" i="3" s="1"/>
  <c r="D161" i="4"/>
  <c r="R160" i="1"/>
  <c r="E161" i="4"/>
  <c r="B161" i="4"/>
  <c r="C161" i="4"/>
  <c r="B161" i="2"/>
  <c r="B161" i="3" s="1"/>
  <c r="D171" i="4" l="1"/>
  <c r="E171" i="4"/>
  <c r="R172" i="1"/>
  <c r="C171" i="2"/>
  <c r="C171" i="3" s="1"/>
  <c r="B171" i="4"/>
  <c r="C171" i="4"/>
  <c r="B171" i="2"/>
  <c r="B171" i="3" s="1"/>
  <c r="C160" i="2"/>
  <c r="C160" i="3" s="1"/>
  <c r="D160" i="4"/>
  <c r="B160" i="4"/>
  <c r="E160" i="4"/>
  <c r="C160" i="4"/>
  <c r="R159" i="1"/>
  <c r="B160" i="2"/>
  <c r="B160" i="3" s="1"/>
  <c r="D159" i="4" l="1"/>
  <c r="E159" i="4"/>
  <c r="C159" i="2"/>
  <c r="C159" i="3" s="1"/>
  <c r="B159" i="4"/>
  <c r="C159" i="4"/>
  <c r="B159" i="2"/>
  <c r="B159" i="3" s="1"/>
  <c r="R158" i="1"/>
  <c r="C172" i="2"/>
  <c r="C172" i="3" s="1"/>
  <c r="D172" i="4"/>
  <c r="R173" i="1"/>
  <c r="B172" i="4"/>
  <c r="C172" i="4"/>
  <c r="E172" i="4"/>
  <c r="B172" i="2"/>
  <c r="B172" i="3" s="1"/>
  <c r="R174" i="1" l="1"/>
  <c r="C173" i="2"/>
  <c r="C173" i="3" s="1"/>
  <c r="D173" i="4"/>
  <c r="E173" i="4"/>
  <c r="B173" i="4"/>
  <c r="C173" i="4"/>
  <c r="B173" i="2"/>
  <c r="B173" i="3" s="1"/>
  <c r="E158" i="4"/>
  <c r="C158" i="2"/>
  <c r="C158" i="3" s="1"/>
  <c r="D158" i="4"/>
  <c r="R157" i="1"/>
  <c r="C158" i="4"/>
  <c r="B158" i="4"/>
  <c r="B158" i="2"/>
  <c r="B158" i="3" s="1"/>
  <c r="R175" i="1" l="1"/>
  <c r="C174" i="2"/>
  <c r="C174" i="3" s="1"/>
  <c r="D174" i="4"/>
  <c r="E174" i="4"/>
  <c r="B174" i="4"/>
  <c r="C174" i="4"/>
  <c r="B174" i="2"/>
  <c r="B174" i="3" s="1"/>
  <c r="C157" i="2"/>
  <c r="C157" i="3" s="1"/>
  <c r="R156" i="1"/>
  <c r="D157" i="4"/>
  <c r="C157" i="4"/>
  <c r="E157" i="4"/>
  <c r="B157" i="4"/>
  <c r="B157" i="2"/>
  <c r="B157" i="3" s="1"/>
  <c r="E156" i="4" l="1"/>
  <c r="C156" i="2"/>
  <c r="C156" i="3" s="1"/>
  <c r="D156" i="4"/>
  <c r="R155" i="1"/>
  <c r="C156" i="4"/>
  <c r="B156" i="2"/>
  <c r="B156" i="3" s="1"/>
  <c r="B156" i="4"/>
  <c r="R176" i="1"/>
  <c r="C175" i="2"/>
  <c r="C175" i="3" s="1"/>
  <c r="E175" i="4"/>
  <c r="B175" i="2"/>
  <c r="B175" i="3" s="1"/>
  <c r="B175" i="4"/>
  <c r="C175" i="4"/>
  <c r="D175" i="4"/>
  <c r="R177" i="1" l="1"/>
  <c r="D176" i="4"/>
  <c r="E176" i="4"/>
  <c r="C176" i="2"/>
  <c r="C176" i="3" s="1"/>
  <c r="B176" i="4"/>
  <c r="C176" i="4"/>
  <c r="B176" i="2"/>
  <c r="B176" i="3" s="1"/>
  <c r="E155" i="4"/>
  <c r="D155" i="4"/>
  <c r="C155" i="2"/>
  <c r="C155" i="3" s="1"/>
  <c r="R154" i="1"/>
  <c r="B155" i="4"/>
  <c r="B155" i="2"/>
  <c r="B155" i="3" s="1"/>
  <c r="C155" i="4"/>
  <c r="R153" i="1" l="1"/>
  <c r="E154" i="4"/>
  <c r="C154" i="2"/>
  <c r="C154" i="3" s="1"/>
  <c r="B154" i="2"/>
  <c r="B154" i="3" s="1"/>
  <c r="D154" i="4"/>
  <c r="B154" i="4"/>
  <c r="C154" i="4"/>
  <c r="E177" i="4"/>
  <c r="C177" i="2"/>
  <c r="C177" i="3" s="1"/>
  <c r="D177" i="4"/>
  <c r="B177" i="4"/>
  <c r="C177" i="4"/>
  <c r="B177" i="2"/>
  <c r="B177" i="3" s="1"/>
  <c r="R178" i="1"/>
  <c r="E178" i="4" l="1"/>
  <c r="R179" i="1"/>
  <c r="C178" i="2"/>
  <c r="C178" i="3" s="1"/>
  <c r="B178" i="4"/>
  <c r="B178" i="2"/>
  <c r="B178" i="3" s="1"/>
  <c r="C178" i="4"/>
  <c r="D178" i="4"/>
  <c r="E153" i="4"/>
  <c r="C153" i="2"/>
  <c r="C153" i="3" s="1"/>
  <c r="D153" i="4"/>
  <c r="R152" i="1"/>
  <c r="B153" i="4"/>
  <c r="C153" i="4"/>
  <c r="B153" i="2"/>
  <c r="B153" i="3" s="1"/>
  <c r="R151" i="1" l="1"/>
  <c r="D152" i="4"/>
  <c r="E152" i="4"/>
  <c r="C152" i="2"/>
  <c r="C152" i="3" s="1"/>
  <c r="B152" i="4"/>
  <c r="C152" i="4"/>
  <c r="B152" i="2"/>
  <c r="B152" i="3" s="1"/>
  <c r="E179" i="4"/>
  <c r="R180" i="1"/>
  <c r="D179" i="4"/>
  <c r="C179" i="2"/>
  <c r="C179" i="3" s="1"/>
  <c r="B179" i="4"/>
  <c r="C179" i="4"/>
  <c r="B179" i="2"/>
  <c r="B179" i="3" s="1"/>
  <c r="C151" i="2" l="1"/>
  <c r="C151" i="3" s="1"/>
  <c r="E151" i="4"/>
  <c r="R150" i="1"/>
  <c r="B151" i="4"/>
  <c r="D151" i="4"/>
  <c r="C151" i="4"/>
  <c r="B151" i="2"/>
  <c r="B151" i="3" s="1"/>
  <c r="B180" i="2"/>
  <c r="B180" i="3" s="1"/>
  <c r="C180" i="2"/>
  <c r="C180" i="3" s="1"/>
  <c r="R181" i="1"/>
  <c r="R182" i="1" l="1"/>
  <c r="C181" i="2"/>
  <c r="C181" i="3" s="1"/>
  <c r="B181" i="2"/>
  <c r="B181" i="3" s="1"/>
  <c r="C150" i="2"/>
  <c r="C150" i="3" s="1"/>
  <c r="D150" i="4"/>
  <c r="E150" i="4"/>
  <c r="B150" i="4"/>
  <c r="R149" i="1"/>
  <c r="C150" i="4"/>
  <c r="B150" i="2"/>
  <c r="B150" i="3" s="1"/>
  <c r="C149" i="2" l="1"/>
  <c r="C149" i="3" s="1"/>
  <c r="D149" i="4"/>
  <c r="R148" i="1"/>
  <c r="E149" i="4"/>
  <c r="B149" i="4"/>
  <c r="C149" i="4"/>
  <c r="B149" i="2"/>
  <c r="B149" i="3" s="1"/>
  <c r="R183" i="1"/>
  <c r="C182" i="2"/>
  <c r="C182" i="3" s="1"/>
  <c r="B182" i="2"/>
  <c r="B182" i="3" s="1"/>
  <c r="B183" i="2" l="1"/>
  <c r="B183" i="3" s="1"/>
  <c r="R184" i="1"/>
  <c r="C183" i="2"/>
  <c r="C183" i="3" s="1"/>
  <c r="C148" i="2"/>
  <c r="C148" i="3" s="1"/>
  <c r="D148" i="4"/>
  <c r="B148" i="4"/>
  <c r="E148" i="4"/>
  <c r="C148" i="4"/>
  <c r="R147" i="1"/>
  <c r="B148" i="2"/>
  <c r="B148" i="3" s="1"/>
  <c r="D147" i="4" l="1"/>
  <c r="E147" i="4"/>
  <c r="C147" i="2"/>
  <c r="C147" i="3" s="1"/>
  <c r="B147" i="4"/>
  <c r="C147" i="4"/>
  <c r="R146" i="1"/>
  <c r="B147" i="2"/>
  <c r="B147" i="3" s="1"/>
  <c r="C184" i="2"/>
  <c r="C184" i="3" s="1"/>
  <c r="B184" i="2"/>
  <c r="B184" i="3" s="1"/>
  <c r="R185" i="1"/>
  <c r="R186" i="1" l="1"/>
  <c r="C185" i="2"/>
  <c r="C185" i="3" s="1"/>
  <c r="B185" i="2"/>
  <c r="B185" i="3" s="1"/>
  <c r="E146" i="4"/>
  <c r="C146" i="2"/>
  <c r="C146" i="3" s="1"/>
  <c r="D146" i="4"/>
  <c r="C146" i="4"/>
  <c r="R145" i="1"/>
  <c r="B146" i="4"/>
  <c r="B146" i="2"/>
  <c r="B146" i="3" s="1"/>
  <c r="C145" i="2" l="1"/>
  <c r="C145" i="3" s="1"/>
  <c r="D145" i="4"/>
  <c r="E145" i="4"/>
  <c r="C145" i="4"/>
  <c r="R144" i="1"/>
  <c r="B145" i="4"/>
  <c r="B145" i="2"/>
  <c r="B145" i="3" s="1"/>
  <c r="R187" i="1"/>
  <c r="C186" i="2"/>
  <c r="C186" i="3" s="1"/>
  <c r="B186" i="2"/>
  <c r="B186" i="3" s="1"/>
  <c r="R188" i="1" l="1"/>
  <c r="C187" i="2"/>
  <c r="C187" i="3" s="1"/>
  <c r="B187" i="2"/>
  <c r="B187" i="3" s="1"/>
  <c r="E144" i="4"/>
  <c r="C144" i="2"/>
  <c r="C144" i="3" s="1"/>
  <c r="D144" i="4"/>
  <c r="R143" i="1"/>
  <c r="C144" i="4"/>
  <c r="B144" i="2"/>
  <c r="B144" i="3" s="1"/>
  <c r="B144" i="4"/>
  <c r="E143" i="4" l="1"/>
  <c r="D143" i="4"/>
  <c r="B143" i="4"/>
  <c r="R142" i="1"/>
  <c r="C143" i="2"/>
  <c r="C143" i="3" s="1"/>
  <c r="C143" i="4"/>
  <c r="B143" i="2"/>
  <c r="B143" i="3" s="1"/>
  <c r="R189" i="1"/>
  <c r="B188" i="2"/>
  <c r="B188" i="3" s="1"/>
  <c r="C188" i="2"/>
  <c r="C188" i="3" s="1"/>
  <c r="B189" i="2" l="1"/>
  <c r="B189" i="3" s="1"/>
  <c r="C189" i="2"/>
  <c r="C189" i="3" s="1"/>
  <c r="R190" i="1"/>
  <c r="R141" i="1"/>
  <c r="E142" i="4"/>
  <c r="C142" i="2"/>
  <c r="C142" i="3" s="1"/>
  <c r="B142" i="2"/>
  <c r="B142" i="3" s="1"/>
  <c r="D142" i="4"/>
  <c r="B142" i="4"/>
  <c r="C142" i="4"/>
  <c r="E141" i="4" l="1"/>
  <c r="C141" i="2"/>
  <c r="C141" i="3" s="1"/>
  <c r="D141" i="4"/>
  <c r="B141" i="4"/>
  <c r="C141" i="4"/>
  <c r="B141" i="2"/>
  <c r="B141" i="3" s="1"/>
  <c r="R140" i="1"/>
  <c r="R191" i="1"/>
  <c r="C190" i="2"/>
  <c r="C190" i="3" s="1"/>
  <c r="B190" i="2"/>
  <c r="B190" i="3" s="1"/>
  <c r="R192" i="1" l="1"/>
  <c r="C191" i="2"/>
  <c r="C191" i="3" s="1"/>
  <c r="B191" i="2"/>
  <c r="B191" i="3" s="1"/>
  <c r="D140" i="4"/>
  <c r="E140" i="4"/>
  <c r="B140" i="4"/>
  <c r="B140" i="2"/>
  <c r="B140" i="3" s="1"/>
  <c r="C140" i="4"/>
  <c r="C140" i="2"/>
  <c r="C140" i="3" s="1"/>
  <c r="R139" i="1"/>
  <c r="C139" i="2" l="1"/>
  <c r="C139" i="3" s="1"/>
  <c r="E139" i="4"/>
  <c r="R138" i="1"/>
  <c r="D139" i="4"/>
  <c r="B139" i="4"/>
  <c r="C139" i="4"/>
  <c r="B139" i="2"/>
  <c r="B139" i="3" s="1"/>
  <c r="B192" i="2"/>
  <c r="B192" i="3" s="1"/>
  <c r="C192" i="2"/>
  <c r="C192" i="3" s="1"/>
  <c r="R193" i="1"/>
  <c r="R194" i="1" l="1"/>
  <c r="C193" i="2"/>
  <c r="C193" i="3" s="1"/>
  <c r="B193" i="2"/>
  <c r="B193" i="3" s="1"/>
  <c r="C138" i="2"/>
  <c r="C138" i="3" s="1"/>
  <c r="D138" i="4"/>
  <c r="E138" i="4"/>
  <c r="R137" i="1"/>
  <c r="B138" i="4"/>
  <c r="C138" i="4"/>
  <c r="B138" i="2"/>
  <c r="B138" i="3" s="1"/>
  <c r="C137" i="2" l="1"/>
  <c r="C137" i="3" s="1"/>
  <c r="D137" i="4"/>
  <c r="R136" i="1"/>
  <c r="E137" i="4"/>
  <c r="B137" i="4"/>
  <c r="C137" i="4"/>
  <c r="B137" i="2"/>
  <c r="B137" i="3" s="1"/>
  <c r="R195" i="1"/>
  <c r="C194" i="2"/>
  <c r="B194" i="2"/>
  <c r="R196" i="1" l="1"/>
  <c r="C195" i="2"/>
  <c r="B195" i="2"/>
  <c r="C136" i="2"/>
  <c r="C136" i="3" s="1"/>
  <c r="D136" i="4"/>
  <c r="E136" i="4"/>
  <c r="B136" i="4"/>
  <c r="R135" i="1"/>
  <c r="C136" i="4"/>
  <c r="B136" i="2"/>
  <c r="B136" i="3" s="1"/>
  <c r="D135" i="4" l="1"/>
  <c r="E135" i="4"/>
  <c r="C135" i="2"/>
  <c r="C135" i="3" s="1"/>
  <c r="B135" i="4"/>
  <c r="R134" i="1"/>
  <c r="C135" i="4"/>
  <c r="B135" i="2"/>
  <c r="B135" i="3" s="1"/>
  <c r="C196" i="2"/>
  <c r="R197" i="1"/>
  <c r="B196" i="2"/>
  <c r="R198" i="1" l="1"/>
  <c r="C197" i="2"/>
  <c r="B197" i="2"/>
  <c r="E134" i="4"/>
  <c r="C134" i="2"/>
  <c r="C134" i="3" s="1"/>
  <c r="D134" i="4"/>
  <c r="C134" i="4"/>
  <c r="R133" i="1"/>
  <c r="B134" i="2"/>
  <c r="B134" i="3" s="1"/>
  <c r="B134" i="4"/>
  <c r="C133" i="2" l="1"/>
  <c r="C133" i="3" s="1"/>
  <c r="D133" i="4"/>
  <c r="C133" i="4"/>
  <c r="R132" i="1"/>
  <c r="E133" i="4"/>
  <c r="B133" i="2"/>
  <c r="B133" i="3" s="1"/>
  <c r="B133" i="4"/>
  <c r="R199" i="1"/>
  <c r="C198" i="2"/>
  <c r="B198" i="2"/>
  <c r="R200" i="1" l="1"/>
  <c r="C199" i="2"/>
  <c r="B199" i="2"/>
  <c r="E132" i="4"/>
  <c r="C132" i="2"/>
  <c r="C132" i="3" s="1"/>
  <c r="D132" i="4"/>
  <c r="R131" i="1"/>
  <c r="C132" i="4"/>
  <c r="B132" i="4"/>
  <c r="B132" i="2"/>
  <c r="B132" i="3" s="1"/>
  <c r="E131" i="4" l="1"/>
  <c r="D131" i="4"/>
  <c r="R130" i="1"/>
  <c r="B131" i="4"/>
  <c r="C131" i="2"/>
  <c r="C131" i="3" s="1"/>
  <c r="C131" i="4"/>
  <c r="B131" i="2"/>
  <c r="B131" i="3" s="1"/>
  <c r="R201" i="1"/>
  <c r="C200" i="2"/>
  <c r="B200" i="2"/>
  <c r="C201" i="2" l="1"/>
  <c r="R202" i="1"/>
  <c r="B201" i="2"/>
  <c r="R129" i="1"/>
  <c r="E130" i="4"/>
  <c r="C130" i="2"/>
  <c r="C130" i="3" s="1"/>
  <c r="D130" i="4"/>
  <c r="B130" i="4"/>
  <c r="B130" i="2"/>
  <c r="B130" i="3" s="1"/>
  <c r="C130" i="4"/>
  <c r="E129" i="4" l="1"/>
  <c r="C129" i="2"/>
  <c r="C129" i="3" s="1"/>
  <c r="D129" i="4"/>
  <c r="B129" i="4"/>
  <c r="R128" i="1"/>
  <c r="C129" i="4"/>
  <c r="B129" i="2"/>
  <c r="B129" i="3" s="1"/>
  <c r="R203" i="1"/>
  <c r="C202" i="2"/>
  <c r="B202" i="2"/>
  <c r="R204" i="1" l="1"/>
  <c r="B203" i="2"/>
  <c r="C203" i="2"/>
  <c r="D128" i="4"/>
  <c r="E128" i="4"/>
  <c r="B128" i="4"/>
  <c r="C128" i="2"/>
  <c r="C128" i="3" s="1"/>
  <c r="R127" i="1"/>
  <c r="C128" i="4"/>
  <c r="B128" i="2"/>
  <c r="B128" i="3" s="1"/>
  <c r="C127" i="2" l="1"/>
  <c r="C127" i="3" s="1"/>
  <c r="E127" i="4"/>
  <c r="D127" i="4"/>
  <c r="B127" i="4"/>
  <c r="C127" i="4"/>
  <c r="R126" i="1"/>
  <c r="B127" i="2"/>
  <c r="B127" i="3" s="1"/>
  <c r="C204" i="2"/>
  <c r="R205" i="1"/>
  <c r="B204" i="2"/>
  <c r="R206" i="1" l="1"/>
  <c r="C205" i="2"/>
  <c r="B205" i="2"/>
  <c r="C126" i="2"/>
  <c r="C126" i="3" s="1"/>
  <c r="D126" i="4"/>
  <c r="E126" i="4"/>
  <c r="B126" i="4"/>
  <c r="C126" i="4"/>
  <c r="B126" i="2"/>
  <c r="B126" i="3" s="1"/>
  <c r="R125" i="1"/>
  <c r="C125" i="2" l="1"/>
  <c r="C125" i="3" s="1"/>
  <c r="D125" i="4"/>
  <c r="R124" i="1"/>
  <c r="E125" i="4"/>
  <c r="B125" i="4"/>
  <c r="C125" i="4"/>
  <c r="B125" i="2"/>
  <c r="B125" i="3" s="1"/>
  <c r="R207" i="1"/>
  <c r="C206" i="2"/>
  <c r="B206" i="2"/>
  <c r="R208" i="1" l="1"/>
  <c r="C207" i="2"/>
  <c r="B207" i="2"/>
  <c r="C124" i="2"/>
  <c r="C124" i="3" s="1"/>
  <c r="D124" i="4"/>
  <c r="B124" i="4"/>
  <c r="C124" i="4"/>
  <c r="B124" i="2"/>
  <c r="B124" i="3" s="1"/>
  <c r="E124" i="4"/>
  <c r="R123" i="1"/>
  <c r="D123" i="4" l="1"/>
  <c r="E123" i="4"/>
  <c r="C123" i="2"/>
  <c r="C123" i="3" s="1"/>
  <c r="R122" i="1"/>
  <c r="B123" i="4"/>
  <c r="C123" i="4"/>
  <c r="B123" i="2"/>
  <c r="B123" i="3" s="1"/>
  <c r="C208" i="2"/>
  <c r="R209" i="1"/>
  <c r="B208" i="2"/>
  <c r="R210" i="1" l="1"/>
  <c r="C209" i="2"/>
  <c r="E122" i="4"/>
  <c r="C122" i="2"/>
  <c r="C122" i="3" s="1"/>
  <c r="D122" i="4"/>
  <c r="R121" i="1"/>
  <c r="C122" i="4"/>
  <c r="B122" i="2"/>
  <c r="B122" i="3" s="1"/>
  <c r="B122" i="4"/>
  <c r="C121" i="2" l="1"/>
  <c r="C121" i="3" s="1"/>
  <c r="D121" i="4"/>
  <c r="C121" i="4"/>
  <c r="R120" i="1"/>
  <c r="E121" i="4"/>
  <c r="B121" i="4"/>
  <c r="B121" i="2"/>
  <c r="B121" i="3" s="1"/>
  <c r="R211" i="1"/>
  <c r="C211" i="2" s="1"/>
  <c r="C210" i="2"/>
  <c r="E120" i="4" l="1"/>
  <c r="C120" i="2"/>
  <c r="C120" i="3" s="1"/>
  <c r="D120" i="4"/>
  <c r="R119" i="1"/>
  <c r="C120" i="4"/>
  <c r="B120" i="4"/>
  <c r="B120" i="2"/>
  <c r="B120" i="3" s="1"/>
  <c r="E119" i="4" l="1"/>
  <c r="D119" i="4"/>
  <c r="R118" i="1"/>
  <c r="C119" i="2"/>
  <c r="C119" i="3" s="1"/>
  <c r="B119" i="4"/>
  <c r="C119" i="4"/>
  <c r="B119" i="2"/>
  <c r="B119" i="3" s="1"/>
  <c r="R117" i="1" l="1"/>
  <c r="E118" i="4"/>
  <c r="C118" i="2"/>
  <c r="C118" i="3" s="1"/>
  <c r="D118" i="4"/>
  <c r="B118" i="4"/>
  <c r="C118" i="4"/>
  <c r="B118" i="2"/>
  <c r="B118" i="3" s="1"/>
  <c r="E117" i="4" l="1"/>
  <c r="C117" i="2"/>
  <c r="C117" i="3" s="1"/>
  <c r="D117" i="4"/>
  <c r="R116" i="1"/>
  <c r="B117" i="4"/>
  <c r="C117" i="4"/>
  <c r="B117" i="2"/>
  <c r="B117" i="3" s="1"/>
  <c r="D116" i="4" l="1"/>
  <c r="E116" i="4"/>
  <c r="R115" i="1"/>
  <c r="B116" i="4"/>
  <c r="C116" i="2"/>
  <c r="C116" i="3" s="1"/>
  <c r="C116" i="4"/>
  <c r="B116" i="2"/>
  <c r="B116" i="3" s="1"/>
  <c r="C115" i="2" l="1"/>
  <c r="C115" i="3" s="1"/>
  <c r="E115" i="4"/>
  <c r="D115" i="4"/>
  <c r="B115" i="4"/>
  <c r="R114" i="1"/>
  <c r="B115" i="2"/>
  <c r="B115" i="3" s="1"/>
  <c r="C115" i="4"/>
  <c r="C114" i="2" l="1"/>
  <c r="C114" i="3" s="1"/>
  <c r="D114" i="4"/>
  <c r="E114" i="4"/>
  <c r="B114" i="4"/>
  <c r="C114" i="4"/>
  <c r="R113" i="1"/>
  <c r="B114" i="2"/>
  <c r="B114" i="3" s="1"/>
  <c r="C113" i="2" l="1"/>
  <c r="C113" i="3" s="1"/>
  <c r="D113" i="4"/>
  <c r="R112" i="1"/>
  <c r="E113" i="4"/>
  <c r="B113" i="4"/>
  <c r="C113" i="4"/>
  <c r="B113" i="2"/>
  <c r="B113" i="3" s="1"/>
  <c r="C112" i="2" l="1"/>
  <c r="C112" i="3" s="1"/>
  <c r="D112" i="4"/>
  <c r="B112" i="4"/>
  <c r="C112" i="4"/>
  <c r="E112" i="4"/>
  <c r="R111" i="1"/>
  <c r="B112" i="2"/>
  <c r="B112" i="3" s="1"/>
  <c r="D111" i="4" l="1"/>
  <c r="E111" i="4"/>
  <c r="C111" i="2"/>
  <c r="C111" i="3" s="1"/>
  <c r="B111" i="4"/>
  <c r="C111" i="4"/>
  <c r="R110" i="1"/>
  <c r="B111" i="2"/>
  <c r="B111" i="3" s="1"/>
  <c r="E110" i="4" l="1"/>
  <c r="C110" i="2"/>
  <c r="C110" i="3" s="1"/>
  <c r="D110" i="4"/>
  <c r="C110" i="4"/>
  <c r="B110" i="2"/>
  <c r="B110" i="3" s="1"/>
  <c r="B110" i="4"/>
  <c r="R109" i="1"/>
  <c r="C109" i="2" l="1"/>
  <c r="C109" i="3" s="1"/>
  <c r="D109" i="4"/>
  <c r="C109" i="4"/>
  <c r="E109" i="4"/>
  <c r="B109" i="4"/>
  <c r="B109" i="2"/>
  <c r="B109" i="3" s="1"/>
  <c r="R108" i="1"/>
  <c r="E108" i="4" l="1"/>
  <c r="C108" i="2"/>
  <c r="C108" i="3" s="1"/>
  <c r="D108" i="4"/>
  <c r="R107" i="1"/>
  <c r="C108" i="4"/>
  <c r="B108" i="4"/>
  <c r="B108" i="2"/>
  <c r="B108" i="3" s="1"/>
  <c r="E107" i="4" l="1"/>
  <c r="D107" i="4"/>
  <c r="R106" i="1"/>
  <c r="C107" i="2"/>
  <c r="C107" i="3" s="1"/>
  <c r="B107" i="4"/>
  <c r="B107" i="2"/>
  <c r="B107" i="3" s="1"/>
  <c r="C107" i="4"/>
  <c r="R105" i="1" l="1"/>
  <c r="E106" i="4"/>
  <c r="C106" i="2"/>
  <c r="C106" i="3" s="1"/>
  <c r="B106" i="4"/>
  <c r="B106" i="2"/>
  <c r="B106" i="3" s="1"/>
  <c r="D106" i="4"/>
  <c r="C106" i="4"/>
  <c r="E105" i="4" l="1"/>
  <c r="C105" i="2"/>
  <c r="C105" i="3" s="1"/>
  <c r="D105" i="4"/>
  <c r="R104" i="1"/>
  <c r="B105" i="4"/>
  <c r="C105" i="4"/>
  <c r="B105" i="2"/>
  <c r="B105" i="3" s="1"/>
  <c r="D104" i="4" l="1"/>
  <c r="E104" i="4"/>
  <c r="R103" i="1"/>
  <c r="C104" i="2"/>
  <c r="C104" i="3" s="1"/>
  <c r="B104" i="4"/>
  <c r="C104" i="4"/>
  <c r="B104" i="2"/>
  <c r="B104" i="3" s="1"/>
  <c r="C103" i="2" l="1"/>
  <c r="C103" i="3" s="1"/>
  <c r="E103" i="4"/>
  <c r="R102" i="1"/>
  <c r="B103" i="4"/>
  <c r="C103" i="4"/>
  <c r="B103" i="2"/>
  <c r="B103" i="3" s="1"/>
  <c r="D103" i="4"/>
  <c r="C102" i="2" l="1"/>
  <c r="C102" i="3" s="1"/>
  <c r="D102" i="4"/>
  <c r="E102" i="4"/>
  <c r="B102" i="4"/>
  <c r="R101" i="1"/>
  <c r="C102" i="4"/>
  <c r="B102" i="2"/>
  <c r="B102" i="3" s="1"/>
  <c r="C101" i="2" l="1"/>
  <c r="C101" i="3" s="1"/>
  <c r="D101" i="4"/>
  <c r="R100" i="1"/>
  <c r="E101" i="4"/>
  <c r="B101" i="4"/>
  <c r="C101" i="4"/>
  <c r="B101" i="2"/>
  <c r="B101" i="3" s="1"/>
  <c r="C100" i="2" l="1"/>
  <c r="C100" i="3" s="1"/>
  <c r="D100" i="4"/>
  <c r="C100" i="4"/>
  <c r="B100" i="4"/>
  <c r="R99" i="1"/>
  <c r="E100" i="4"/>
  <c r="B100" i="2"/>
  <c r="B100" i="3" s="1"/>
  <c r="D99" i="4" l="1"/>
  <c r="E99" i="4"/>
  <c r="C99" i="2"/>
  <c r="C99" i="3" s="1"/>
  <c r="B99" i="4"/>
  <c r="C99" i="4"/>
  <c r="R98" i="1"/>
  <c r="B99" i="2"/>
  <c r="B99" i="3" s="1"/>
  <c r="E98" i="4" l="1"/>
  <c r="C98" i="2"/>
  <c r="C98" i="3" s="1"/>
  <c r="D98" i="4"/>
  <c r="C98" i="4"/>
  <c r="R97" i="1"/>
  <c r="B98" i="4"/>
  <c r="B98" i="2"/>
  <c r="B98" i="3" s="1"/>
  <c r="C97" i="2" l="1"/>
  <c r="C97" i="3" s="1"/>
  <c r="D97" i="4"/>
  <c r="C97" i="4"/>
  <c r="E97" i="4"/>
  <c r="R96" i="1"/>
  <c r="B97" i="4"/>
  <c r="B97" i="2"/>
  <c r="B97" i="3" s="1"/>
  <c r="E96" i="4" l="1"/>
  <c r="C96" i="2"/>
  <c r="C96" i="3" s="1"/>
  <c r="D96" i="4"/>
  <c r="R95" i="1"/>
  <c r="C96" i="4"/>
  <c r="B96" i="4"/>
  <c r="B96" i="2"/>
  <c r="B96" i="3" s="1"/>
  <c r="E95" i="4" l="1"/>
  <c r="D95" i="4"/>
  <c r="C95" i="4"/>
  <c r="C95" i="2"/>
  <c r="C95" i="3" s="1"/>
  <c r="B95" i="4"/>
  <c r="R94" i="1"/>
  <c r="B95" i="2"/>
  <c r="B95" i="3" s="1"/>
  <c r="R93" i="1" l="1"/>
  <c r="E94" i="4"/>
  <c r="C94" i="2"/>
  <c r="C94" i="3" s="1"/>
  <c r="B94" i="4"/>
  <c r="D94" i="4"/>
  <c r="B94" i="2"/>
  <c r="B94" i="3" s="1"/>
  <c r="C94" i="4"/>
  <c r="E93" i="4" l="1"/>
  <c r="C93" i="2"/>
  <c r="C93" i="3" s="1"/>
  <c r="D93" i="4"/>
  <c r="B93" i="4"/>
  <c r="R92" i="1"/>
  <c r="B93" i="2"/>
  <c r="B93" i="3" s="1"/>
  <c r="C93" i="4"/>
  <c r="D92" i="4" l="1"/>
  <c r="E92" i="4"/>
  <c r="C92" i="2"/>
  <c r="C92" i="3" s="1"/>
  <c r="B92" i="4"/>
  <c r="C92" i="4"/>
  <c r="R91" i="1"/>
  <c r="B92" i="2"/>
  <c r="B92" i="3" s="1"/>
  <c r="C91" i="2" l="1"/>
  <c r="C91" i="3" s="1"/>
  <c r="E91" i="4"/>
  <c r="R90" i="1"/>
  <c r="B91" i="4"/>
  <c r="D91" i="4"/>
  <c r="C91" i="4"/>
  <c r="B91" i="2"/>
  <c r="B91" i="3" s="1"/>
  <c r="C90" i="2" l="1"/>
  <c r="C90" i="3" s="1"/>
  <c r="D90" i="4"/>
  <c r="E90" i="4"/>
  <c r="R89" i="1"/>
  <c r="B90" i="4"/>
  <c r="C90" i="4"/>
  <c r="B90" i="2"/>
  <c r="B90" i="3" s="1"/>
  <c r="C89" i="2" l="1"/>
  <c r="C89" i="3" s="1"/>
  <c r="D89" i="4"/>
  <c r="R88" i="1"/>
  <c r="E89" i="4"/>
  <c r="B89" i="4"/>
  <c r="C89" i="4"/>
  <c r="B89" i="2"/>
  <c r="B89" i="3" s="1"/>
  <c r="C88" i="2" l="1"/>
  <c r="C88" i="3" s="1"/>
  <c r="D88" i="4"/>
  <c r="C88" i="4"/>
  <c r="B88" i="4"/>
  <c r="R87" i="1"/>
  <c r="E88" i="4"/>
  <c r="B88" i="2"/>
  <c r="B88" i="3" s="1"/>
  <c r="D87" i="4" l="1"/>
  <c r="E87" i="4"/>
  <c r="C87" i="2"/>
  <c r="C87" i="3" s="1"/>
  <c r="B87" i="4"/>
  <c r="R86" i="1"/>
  <c r="C87" i="4"/>
  <c r="B87" i="2"/>
  <c r="B87" i="3" s="1"/>
  <c r="E86" i="4" l="1"/>
  <c r="C86" i="2"/>
  <c r="C86" i="3" s="1"/>
  <c r="D86" i="4"/>
  <c r="R85" i="1"/>
  <c r="C86" i="4"/>
  <c r="B86" i="4"/>
  <c r="B86" i="2"/>
  <c r="B86" i="3" s="1"/>
  <c r="C85" i="2" l="1"/>
  <c r="C85" i="3" s="1"/>
  <c r="D85" i="4"/>
  <c r="E85" i="4"/>
  <c r="C85" i="4"/>
  <c r="R84" i="1"/>
  <c r="B85" i="4"/>
  <c r="B85" i="2"/>
  <c r="B85" i="3" s="1"/>
  <c r="E84" i="4" l="1"/>
  <c r="C84" i="2"/>
  <c r="C84" i="3" s="1"/>
  <c r="D84" i="4"/>
  <c r="R83" i="1"/>
  <c r="C84" i="4"/>
  <c r="B84" i="4"/>
  <c r="B84" i="2"/>
  <c r="B84" i="3" s="1"/>
  <c r="E83" i="4" l="1"/>
  <c r="D83" i="4"/>
  <c r="C83" i="2"/>
  <c r="C83" i="3" s="1"/>
  <c r="C83" i="4"/>
  <c r="R82" i="1"/>
  <c r="B83" i="4"/>
  <c r="B83" i="2"/>
  <c r="B83" i="3" s="1"/>
  <c r="R81" i="1" l="1"/>
  <c r="E82" i="4"/>
  <c r="C82" i="2"/>
  <c r="C82" i="3" s="1"/>
  <c r="C82" i="4"/>
  <c r="D82" i="4"/>
  <c r="B82" i="4"/>
  <c r="B82" i="2"/>
  <c r="B82" i="3" s="1"/>
  <c r="E81" i="4" l="1"/>
  <c r="C81" i="2"/>
  <c r="C81" i="3" s="1"/>
  <c r="D81" i="4"/>
  <c r="B81" i="4"/>
  <c r="B81" i="2"/>
  <c r="B81" i="3" s="1"/>
  <c r="R80" i="1"/>
  <c r="C81" i="4"/>
  <c r="D80" i="4" l="1"/>
  <c r="E80" i="4"/>
  <c r="C80" i="2"/>
  <c r="C80" i="3" s="1"/>
  <c r="B80" i="4"/>
  <c r="R79" i="1"/>
  <c r="C80" i="4"/>
  <c r="B80" i="2"/>
  <c r="B80" i="3" s="1"/>
  <c r="C79" i="2" l="1"/>
  <c r="C79" i="3" s="1"/>
  <c r="E79" i="4"/>
  <c r="B79" i="4"/>
  <c r="D79" i="4"/>
  <c r="R78" i="1"/>
  <c r="C79" i="4"/>
  <c r="B79" i="2"/>
  <c r="B79" i="3" s="1"/>
  <c r="C78" i="2" l="1"/>
  <c r="C78" i="3" s="1"/>
  <c r="D78" i="4"/>
  <c r="E78" i="4"/>
  <c r="B78" i="4"/>
  <c r="C78" i="4"/>
  <c r="R77" i="1"/>
  <c r="B78" i="2"/>
  <c r="B78" i="3" s="1"/>
  <c r="C77" i="2" l="1"/>
  <c r="C77" i="3" s="1"/>
  <c r="D77" i="4"/>
  <c r="R76" i="1"/>
  <c r="E77" i="4"/>
  <c r="B77" i="4"/>
  <c r="C77" i="4"/>
  <c r="B77" i="2"/>
  <c r="B77" i="3" s="1"/>
  <c r="C76" i="2" l="1"/>
  <c r="C76" i="3" s="1"/>
  <c r="D76" i="4"/>
  <c r="C76" i="4"/>
  <c r="B76" i="4"/>
  <c r="E76" i="4"/>
  <c r="B76" i="2"/>
  <c r="B76" i="3" s="1"/>
  <c r="R75" i="1"/>
  <c r="D75" i="4" l="1"/>
  <c r="E75" i="4"/>
  <c r="C75" i="2"/>
  <c r="C75" i="3" s="1"/>
  <c r="R74" i="1"/>
  <c r="B75" i="4"/>
  <c r="C75" i="4"/>
  <c r="B75" i="2"/>
  <c r="B75" i="3" s="1"/>
  <c r="E74" i="4" l="1"/>
  <c r="C74" i="2"/>
  <c r="C74" i="3" s="1"/>
  <c r="D74" i="4"/>
  <c r="R73" i="1"/>
  <c r="C74" i="4"/>
  <c r="B74" i="4"/>
  <c r="B74" i="2"/>
  <c r="B74" i="3" s="1"/>
  <c r="C73" i="2" l="1"/>
  <c r="C73" i="3" s="1"/>
  <c r="D73" i="4"/>
  <c r="E73" i="4"/>
  <c r="R72" i="1"/>
  <c r="C73" i="4"/>
  <c r="B73" i="4"/>
  <c r="B73" i="2"/>
  <c r="B73" i="3" s="1"/>
  <c r="E72" i="4" l="1"/>
  <c r="C72" i="2"/>
  <c r="C72" i="3" s="1"/>
  <c r="D72" i="4"/>
  <c r="R71" i="1"/>
  <c r="C72" i="4"/>
  <c r="B72" i="4"/>
  <c r="B72" i="2"/>
  <c r="B72" i="3" s="1"/>
  <c r="E71" i="4" l="1"/>
  <c r="D71" i="4"/>
  <c r="C71" i="4"/>
  <c r="R70" i="1"/>
  <c r="B71" i="4"/>
  <c r="C71" i="2"/>
  <c r="C71" i="3" s="1"/>
  <c r="B71" i="2"/>
  <c r="B71" i="3" s="1"/>
  <c r="R69" i="1" l="1"/>
  <c r="E70" i="4"/>
  <c r="C70" i="2"/>
  <c r="C70" i="3" s="1"/>
  <c r="C70" i="4"/>
  <c r="D70" i="4"/>
  <c r="B70" i="2"/>
  <c r="B70" i="3" s="1"/>
  <c r="B70" i="4"/>
  <c r="E69" i="4" l="1"/>
  <c r="C69" i="2"/>
  <c r="C69" i="3" s="1"/>
  <c r="D69" i="4"/>
  <c r="C69" i="4"/>
  <c r="R68" i="1"/>
  <c r="B69" i="4"/>
  <c r="B69" i="2"/>
  <c r="B69" i="3" s="1"/>
  <c r="D68" i="4" l="1"/>
  <c r="E68" i="4"/>
  <c r="R67" i="1"/>
  <c r="B68" i="4"/>
  <c r="C68" i="2"/>
  <c r="C68" i="3" s="1"/>
  <c r="C68" i="4"/>
  <c r="B68" i="2"/>
  <c r="B68" i="3" s="1"/>
  <c r="C67" i="2" l="1"/>
  <c r="C67" i="3" s="1"/>
  <c r="E67" i="4"/>
  <c r="D67" i="4"/>
  <c r="B67" i="4"/>
  <c r="R66" i="1"/>
  <c r="B67" i="2"/>
  <c r="B67" i="3" s="1"/>
  <c r="C67" i="4"/>
  <c r="C66" i="2" l="1"/>
  <c r="C66" i="3" s="1"/>
  <c r="D66" i="4"/>
  <c r="E66" i="4"/>
  <c r="B66" i="4"/>
  <c r="R65" i="1"/>
  <c r="C66" i="4"/>
  <c r="B66" i="2"/>
  <c r="B66" i="3" s="1"/>
  <c r="C65" i="2" l="1"/>
  <c r="C65" i="3" s="1"/>
  <c r="D65" i="4"/>
  <c r="R64" i="1"/>
  <c r="E65" i="4"/>
  <c r="B65" i="4"/>
  <c r="C65" i="4"/>
  <c r="B65" i="2"/>
  <c r="B65" i="3" s="1"/>
  <c r="C64" i="2" l="1"/>
  <c r="C64" i="3" s="1"/>
  <c r="D64" i="4"/>
  <c r="C64" i="4"/>
  <c r="E64" i="4"/>
  <c r="B64" i="4"/>
  <c r="R63" i="1"/>
  <c r="B64" i="2"/>
  <c r="B64" i="3" s="1"/>
  <c r="D63" i="4" l="1"/>
  <c r="E63" i="4"/>
  <c r="C63" i="2"/>
  <c r="C63" i="3" s="1"/>
  <c r="B63" i="4"/>
  <c r="C63" i="4"/>
  <c r="R62" i="1"/>
  <c r="B63" i="2"/>
  <c r="B63" i="3" s="1"/>
  <c r="E62" i="4" l="1"/>
  <c r="C62" i="2"/>
  <c r="C62" i="3" s="1"/>
  <c r="D62" i="4"/>
  <c r="C62" i="4"/>
  <c r="R61" i="1"/>
  <c r="B62" i="2"/>
  <c r="B62" i="3" s="1"/>
  <c r="B62" i="4"/>
  <c r="C61" i="2" l="1"/>
  <c r="C61" i="3" s="1"/>
  <c r="D61" i="4"/>
  <c r="C61" i="4"/>
  <c r="E61" i="4"/>
  <c r="R60" i="1"/>
  <c r="B61" i="2"/>
  <c r="B61" i="3" s="1"/>
  <c r="B61" i="4"/>
  <c r="E60" i="4" l="1"/>
  <c r="C60" i="2"/>
  <c r="C60" i="3" s="1"/>
  <c r="D60" i="4"/>
  <c r="R59" i="1"/>
  <c r="C60" i="4"/>
  <c r="B60" i="4"/>
  <c r="B60" i="2"/>
  <c r="B60" i="3" s="1"/>
  <c r="E59" i="4" l="1"/>
  <c r="D59" i="4"/>
  <c r="R58" i="1"/>
  <c r="C59" i="4"/>
  <c r="B59" i="4"/>
  <c r="C59" i="2"/>
  <c r="C59" i="3" s="1"/>
  <c r="B59" i="2"/>
  <c r="B59" i="3" s="1"/>
  <c r="R57" i="1" l="1"/>
  <c r="E58" i="4"/>
  <c r="C58" i="2"/>
  <c r="C58" i="3" s="1"/>
  <c r="C58" i="4"/>
  <c r="D58" i="4"/>
  <c r="B58" i="4"/>
  <c r="B58" i="2"/>
  <c r="B58" i="3" s="1"/>
  <c r="E57" i="4" l="1"/>
  <c r="C57" i="2"/>
  <c r="C57" i="3" s="1"/>
  <c r="D57" i="4"/>
  <c r="R56" i="1"/>
  <c r="C57" i="4"/>
  <c r="B57" i="4"/>
  <c r="B57" i="2"/>
  <c r="B57" i="3" s="1"/>
  <c r="D56" i="4" l="1"/>
  <c r="E56" i="4"/>
  <c r="C56" i="4"/>
  <c r="R55" i="1"/>
  <c r="B56" i="4"/>
  <c r="C56" i="2"/>
  <c r="C56" i="3" s="1"/>
  <c r="B56" i="2"/>
  <c r="B56" i="3" s="1"/>
  <c r="C55" i="2" l="1"/>
  <c r="C55" i="3" s="1"/>
  <c r="E55" i="4"/>
  <c r="D55" i="4"/>
  <c r="R54" i="1"/>
  <c r="B55" i="4"/>
  <c r="C55" i="4"/>
  <c r="B55" i="2"/>
  <c r="B55" i="3" s="1"/>
  <c r="C54" i="2" l="1"/>
  <c r="C54" i="3" s="1"/>
  <c r="D54" i="4"/>
  <c r="E54" i="4"/>
  <c r="B54" i="4"/>
  <c r="R53" i="1"/>
  <c r="C54" i="4"/>
  <c r="B54" i="2"/>
  <c r="B54" i="3" s="1"/>
  <c r="C53" i="2" l="1"/>
  <c r="C53" i="3" s="1"/>
  <c r="D53" i="4"/>
  <c r="R52" i="1"/>
  <c r="E53" i="4"/>
  <c r="B53" i="4"/>
  <c r="C53" i="4"/>
  <c r="B53" i="2"/>
  <c r="B53" i="3" s="1"/>
  <c r="C52" i="2" l="1"/>
  <c r="C52" i="3" s="1"/>
  <c r="D52" i="4"/>
  <c r="C52" i="4"/>
  <c r="B52" i="4"/>
  <c r="R51" i="1"/>
  <c r="B52" i="2"/>
  <c r="B52" i="3" s="1"/>
  <c r="E52" i="4"/>
  <c r="D51" i="4" l="1"/>
  <c r="E51" i="4"/>
  <c r="C51" i="2"/>
  <c r="C51" i="3" s="1"/>
  <c r="B51" i="4"/>
  <c r="R50" i="1"/>
  <c r="C51" i="4"/>
  <c r="B51" i="2"/>
  <c r="B51" i="3" s="1"/>
  <c r="E50" i="4" l="1"/>
  <c r="C50" i="2"/>
  <c r="C50" i="3" s="1"/>
  <c r="D50" i="4"/>
  <c r="R49" i="1"/>
  <c r="C50" i="4"/>
  <c r="B50" i="2"/>
  <c r="B50" i="3" s="1"/>
  <c r="B50" i="4"/>
  <c r="C49" i="2" l="1"/>
  <c r="C49" i="3" s="1"/>
  <c r="D49" i="4"/>
  <c r="C49" i="4"/>
  <c r="R48" i="1"/>
  <c r="E49" i="4"/>
  <c r="B49" i="2"/>
  <c r="B49" i="3" s="1"/>
  <c r="B49" i="4"/>
  <c r="E48" i="4" l="1"/>
  <c r="C48" i="2"/>
  <c r="C48" i="3" s="1"/>
  <c r="D48" i="4"/>
  <c r="R47" i="1"/>
  <c r="C48" i="4"/>
  <c r="B48" i="4"/>
  <c r="B48" i="2"/>
  <c r="B48" i="3" s="1"/>
  <c r="E47" i="4" l="1"/>
  <c r="D47" i="4"/>
  <c r="C47" i="4"/>
  <c r="C47" i="2"/>
  <c r="C47" i="3" s="1"/>
  <c r="B47" i="4"/>
  <c r="R46" i="1"/>
  <c r="B47" i="2"/>
  <c r="B47" i="3" s="1"/>
  <c r="R45" i="1" l="1"/>
  <c r="E46" i="4"/>
  <c r="C46" i="2"/>
  <c r="C46" i="3" s="1"/>
  <c r="D46" i="4"/>
  <c r="C46" i="4"/>
  <c r="B46" i="4"/>
  <c r="B46" i="2"/>
  <c r="B46" i="3" s="1"/>
  <c r="E45" i="4" l="1"/>
  <c r="C45" i="2"/>
  <c r="C45" i="3" s="1"/>
  <c r="D45" i="4"/>
  <c r="C45" i="4"/>
  <c r="B45" i="4"/>
  <c r="R44" i="1"/>
  <c r="B45" i="2"/>
  <c r="B45" i="3" s="1"/>
  <c r="D44" i="4" l="1"/>
  <c r="E44" i="4"/>
  <c r="C44" i="4"/>
  <c r="B44" i="4"/>
  <c r="C44" i="2"/>
  <c r="C44" i="3" s="1"/>
  <c r="R43" i="1"/>
  <c r="B44" i="2"/>
  <c r="B44" i="3" s="1"/>
  <c r="C43" i="2" l="1"/>
  <c r="C43" i="3" s="1"/>
  <c r="E43" i="4"/>
  <c r="D43" i="4"/>
  <c r="R42" i="1"/>
  <c r="C43" i="4"/>
  <c r="B43" i="4"/>
  <c r="B43" i="2"/>
  <c r="B43" i="3" s="1"/>
  <c r="C42" i="2" l="1"/>
  <c r="C42" i="3" s="1"/>
  <c r="D42" i="4"/>
  <c r="E42" i="4"/>
  <c r="R41" i="1"/>
  <c r="B42" i="4"/>
  <c r="C42" i="4"/>
  <c r="B42" i="2"/>
  <c r="B42" i="3" s="1"/>
  <c r="C41" i="2" l="1"/>
  <c r="C41" i="3" s="1"/>
  <c r="D41" i="4"/>
  <c r="R40" i="1"/>
  <c r="E41" i="4"/>
  <c r="B41" i="4"/>
  <c r="B41" i="2"/>
  <c r="B41" i="3" s="1"/>
  <c r="C41" i="4"/>
  <c r="C40" i="2" l="1"/>
  <c r="C40" i="3" s="1"/>
  <c r="D40" i="4"/>
  <c r="C40" i="4"/>
  <c r="B40" i="4"/>
  <c r="R39" i="1"/>
  <c r="E40" i="4"/>
  <c r="B40" i="2"/>
  <c r="B40" i="3" s="1"/>
  <c r="D39" i="4" l="1"/>
  <c r="E39" i="4"/>
  <c r="C39" i="2"/>
  <c r="C39" i="3" s="1"/>
  <c r="B39" i="4"/>
  <c r="R38" i="1"/>
  <c r="C39" i="4"/>
  <c r="B39" i="2"/>
  <c r="B39" i="3" s="1"/>
  <c r="E38" i="4" l="1"/>
  <c r="C38" i="2"/>
  <c r="C38" i="3" s="1"/>
  <c r="D38" i="4"/>
  <c r="R37" i="1"/>
  <c r="C38" i="4"/>
  <c r="B38" i="4"/>
  <c r="B38" i="2"/>
  <c r="B38" i="3" s="1"/>
  <c r="C37" i="2" l="1"/>
  <c r="C37" i="3" s="1"/>
  <c r="D37" i="4"/>
  <c r="R36" i="1"/>
  <c r="E37" i="4"/>
  <c r="C37" i="4"/>
  <c r="B37" i="4"/>
  <c r="B37" i="2"/>
  <c r="B37" i="3" s="1"/>
  <c r="E36" i="4" l="1"/>
  <c r="C36" i="2"/>
  <c r="C36" i="3" s="1"/>
  <c r="D36" i="4"/>
  <c r="R35" i="1"/>
  <c r="C36" i="4"/>
  <c r="B36" i="4"/>
  <c r="B36" i="2"/>
  <c r="B36" i="3" s="1"/>
  <c r="C35" i="4" l="1"/>
  <c r="E35" i="4"/>
  <c r="D35" i="4"/>
  <c r="C35" i="2"/>
  <c r="C35" i="3" s="1"/>
  <c r="R34" i="1"/>
  <c r="B35" i="4"/>
  <c r="B35" i="2"/>
  <c r="B35" i="3" s="1"/>
  <c r="R33" i="1" l="1"/>
  <c r="E34" i="4"/>
  <c r="C34" i="2"/>
  <c r="C34" i="3" s="1"/>
  <c r="C34" i="4"/>
  <c r="B34" i="4"/>
  <c r="D34" i="4"/>
  <c r="B34" i="2"/>
  <c r="B34" i="3" s="1"/>
  <c r="E33" i="4" l="1"/>
  <c r="C33" i="2"/>
  <c r="C33" i="3" s="1"/>
  <c r="D33" i="4"/>
  <c r="C33" i="4"/>
  <c r="B33" i="4"/>
  <c r="B33" i="2"/>
  <c r="B33" i="3" s="1"/>
  <c r="R32" i="1"/>
  <c r="D32" i="4" l="1"/>
  <c r="E32" i="4"/>
  <c r="C32" i="4"/>
  <c r="C32" i="2"/>
  <c r="C32" i="3" s="1"/>
  <c r="B32" i="4"/>
  <c r="R31" i="1"/>
  <c r="B32" i="2"/>
  <c r="B32" i="3" s="1"/>
  <c r="C31" i="2" l="1"/>
  <c r="C31" i="3" s="1"/>
  <c r="E31" i="4"/>
  <c r="C31" i="4"/>
  <c r="B31" i="4"/>
  <c r="R30" i="1"/>
  <c r="B31" i="2"/>
  <c r="B31" i="3" s="1"/>
  <c r="D31" i="4"/>
  <c r="C30" i="2" l="1"/>
  <c r="C30" i="3" s="1"/>
  <c r="D30" i="4"/>
  <c r="E30" i="4"/>
  <c r="C30" i="4"/>
  <c r="B30" i="4"/>
  <c r="B30" i="2"/>
  <c r="B30" i="3" s="1"/>
  <c r="R29" i="1"/>
  <c r="C29" i="2" l="1"/>
  <c r="C29" i="3" s="1"/>
  <c r="D29" i="4"/>
  <c r="R28" i="1"/>
  <c r="E29" i="4"/>
  <c r="C29" i="4"/>
  <c r="B29" i="4"/>
  <c r="B29" i="2"/>
  <c r="B29" i="3" s="1"/>
  <c r="C28" i="2" l="1"/>
  <c r="C28" i="3" s="1"/>
  <c r="D28" i="4"/>
  <c r="C28" i="4"/>
  <c r="B28" i="4"/>
  <c r="E28" i="4"/>
  <c r="B28" i="2"/>
  <c r="B28" i="3" s="1"/>
  <c r="R27" i="1"/>
  <c r="D27" i="4" l="1"/>
  <c r="E27" i="4"/>
  <c r="C27" i="2"/>
  <c r="C27" i="3" s="1"/>
  <c r="R26" i="1"/>
  <c r="B27" i="4"/>
  <c r="B27" i="2"/>
  <c r="B27" i="3" s="1"/>
  <c r="C27" i="4"/>
  <c r="E26" i="4" l="1"/>
  <c r="C26" i="2"/>
  <c r="C26" i="3" s="1"/>
  <c r="D26" i="4"/>
  <c r="R25" i="1"/>
  <c r="B26" i="4"/>
  <c r="B26" i="2"/>
  <c r="B26" i="3" s="1"/>
  <c r="C26" i="4"/>
  <c r="C25" i="2" l="1"/>
  <c r="C25" i="3" s="1"/>
  <c r="D25" i="4"/>
  <c r="R24" i="1"/>
  <c r="E25" i="4"/>
  <c r="C25" i="4"/>
  <c r="B25" i="4"/>
  <c r="B25" i="2"/>
  <c r="B25" i="3" s="1"/>
  <c r="E24" i="4" l="1"/>
  <c r="C24" i="2"/>
  <c r="C24" i="3" s="1"/>
  <c r="D24" i="4"/>
  <c r="R23" i="1"/>
  <c r="C24" i="4"/>
  <c r="B24" i="4"/>
  <c r="B24" i="2"/>
  <c r="B24" i="3" s="1"/>
  <c r="C23" i="4" l="1"/>
  <c r="E23" i="4"/>
  <c r="D23" i="4"/>
  <c r="C23" i="2"/>
  <c r="C23" i="3" s="1"/>
  <c r="R22" i="1"/>
  <c r="B23" i="4"/>
  <c r="B23" i="2"/>
  <c r="B23" i="3" s="1"/>
  <c r="R21" i="1" l="1"/>
  <c r="E22" i="4"/>
  <c r="C22" i="2"/>
  <c r="C22" i="3" s="1"/>
  <c r="C22" i="4"/>
  <c r="B22" i="4"/>
  <c r="D22" i="4"/>
  <c r="B22" i="2"/>
  <c r="B22" i="3" s="1"/>
  <c r="E21" i="4" l="1"/>
  <c r="C21" i="2"/>
  <c r="C21" i="3" s="1"/>
  <c r="D21" i="4"/>
  <c r="R20" i="1"/>
  <c r="C21" i="4"/>
  <c r="B21" i="4"/>
  <c r="B21" i="2"/>
  <c r="B21" i="3" s="1"/>
  <c r="D20" i="4" l="1"/>
  <c r="E20" i="4"/>
  <c r="C20" i="2"/>
  <c r="C20" i="3" s="1"/>
  <c r="R19" i="1"/>
  <c r="C20" i="4"/>
  <c r="B20" i="4"/>
  <c r="B20" i="2"/>
  <c r="B20" i="3" s="1"/>
  <c r="C19" i="2" l="1"/>
  <c r="C19" i="3" s="1"/>
  <c r="E19" i="4"/>
  <c r="C19" i="4"/>
  <c r="B19" i="4"/>
  <c r="R18" i="1"/>
  <c r="D19" i="4"/>
  <c r="B19" i="2"/>
  <c r="B19" i="3" s="1"/>
  <c r="C18" i="2" l="1"/>
  <c r="C18" i="3" s="1"/>
  <c r="D18" i="4"/>
  <c r="E18" i="4"/>
  <c r="C18" i="4"/>
  <c r="B18" i="4"/>
  <c r="R17" i="1"/>
  <c r="B18" i="2"/>
  <c r="B18" i="3" s="1"/>
  <c r="C17" i="2" l="1"/>
  <c r="C17" i="3" s="1"/>
  <c r="D17" i="4"/>
  <c r="R16" i="1"/>
  <c r="E17" i="4"/>
  <c r="C17" i="4"/>
  <c r="B17" i="4"/>
  <c r="B17" i="2"/>
  <c r="B17" i="3" s="1"/>
  <c r="C16" i="2" l="1"/>
  <c r="C16" i="3" s="1"/>
  <c r="D16" i="4"/>
  <c r="C16" i="4"/>
  <c r="B16" i="4"/>
  <c r="E16" i="4"/>
  <c r="R15" i="1"/>
  <c r="B16" i="2"/>
  <c r="B16" i="3" s="1"/>
  <c r="D15" i="4" l="1"/>
  <c r="E15" i="4"/>
  <c r="C15" i="2"/>
  <c r="C15" i="3" s="1"/>
  <c r="B15" i="4"/>
  <c r="C15" i="4"/>
  <c r="R14" i="1"/>
  <c r="B15" i="2"/>
  <c r="B15" i="3" s="1"/>
  <c r="E14" i="4" l="1"/>
  <c r="C14" i="2"/>
  <c r="C14" i="3" s="1"/>
  <c r="D14" i="4"/>
  <c r="C14" i="4"/>
  <c r="B14" i="4"/>
  <c r="B14" i="2"/>
  <c r="B14" i="3" s="1"/>
  <c r="R13" i="1"/>
  <c r="C13" i="2" l="1"/>
  <c r="C13" i="3" s="1"/>
  <c r="D13" i="4"/>
  <c r="E13" i="4"/>
  <c r="B13" i="4"/>
  <c r="B13" i="2"/>
  <c r="B13" i="3" s="1"/>
  <c r="C13" i="4"/>
  <c r="R12" i="1"/>
  <c r="E12" i="4" l="1"/>
  <c r="C12" i="2"/>
  <c r="C12" i="3" s="1"/>
  <c r="D12" i="4"/>
  <c r="R11" i="1"/>
  <c r="B12" i="4"/>
  <c r="B12" i="2"/>
  <c r="B12" i="3" s="1"/>
  <c r="C12" i="4"/>
  <c r="C11" i="4" l="1"/>
  <c r="E11" i="4"/>
  <c r="D11" i="4"/>
  <c r="R10" i="1"/>
  <c r="C11" i="2"/>
  <c r="C11" i="3" s="1"/>
  <c r="B11" i="4"/>
  <c r="B11" i="2"/>
  <c r="B11" i="3" s="1"/>
  <c r="R9" i="1" l="1"/>
  <c r="E10" i="4"/>
  <c r="C10" i="2"/>
  <c r="C10" i="3" s="1"/>
  <c r="D10" i="4"/>
  <c r="B10" i="4"/>
  <c r="C10" i="4"/>
  <c r="B10" i="2"/>
  <c r="B10" i="3" s="1"/>
  <c r="E9" i="4" l="1"/>
  <c r="C9" i="2"/>
  <c r="C9" i="3" s="1"/>
  <c r="D9" i="4"/>
  <c r="R8" i="1"/>
  <c r="B9" i="4"/>
  <c r="C9" i="4"/>
  <c r="B9" i="2"/>
  <c r="B9" i="3" s="1"/>
  <c r="D8" i="4" l="1"/>
  <c r="E8" i="4"/>
  <c r="C8" i="2"/>
  <c r="C8" i="3" s="1"/>
  <c r="R7" i="1"/>
  <c r="B8" i="4"/>
  <c r="C8" i="4"/>
  <c r="B8" i="2"/>
  <c r="B8" i="3" s="1"/>
  <c r="C7" i="2" l="1"/>
  <c r="C7" i="3" s="1"/>
  <c r="E7" i="4"/>
  <c r="R6" i="1"/>
  <c r="B7" i="4"/>
  <c r="D7" i="4"/>
  <c r="C7" i="4"/>
  <c r="B7" i="2"/>
  <c r="B7" i="3" s="1"/>
  <c r="C6" i="2" l="1"/>
  <c r="C6" i="3" s="1"/>
  <c r="D6" i="4"/>
  <c r="E6" i="4"/>
  <c r="B6" i="4"/>
  <c r="R5" i="1"/>
  <c r="C6" i="4"/>
  <c r="B6" i="2"/>
  <c r="B6" i="3" s="1"/>
  <c r="C5" i="2" l="1"/>
  <c r="C5" i="3" s="1"/>
  <c r="D5" i="4"/>
  <c r="R4" i="1"/>
  <c r="E5" i="4"/>
  <c r="B5" i="4"/>
  <c r="C5" i="4"/>
  <c r="B5" i="2"/>
  <c r="B5" i="3" s="1"/>
  <c r="C4" i="2" l="1"/>
  <c r="C4" i="3" s="1"/>
  <c r="D4" i="4"/>
  <c r="C4" i="4"/>
  <c r="B4" i="4"/>
  <c r="E4" i="4"/>
  <c r="R3" i="1"/>
  <c r="B4" i="2"/>
  <c r="B4" i="3" s="1"/>
  <c r="D3" i="4" l="1"/>
  <c r="E3" i="4"/>
  <c r="C3" i="2"/>
  <c r="C3" i="3" s="1"/>
  <c r="B3" i="4"/>
  <c r="C3" i="4"/>
  <c r="R2" i="1"/>
  <c r="B3" i="2"/>
  <c r="B3" i="3" s="1"/>
  <c r="C2" i="4" l="1"/>
  <c r="E2" i="4"/>
  <c r="D2" i="4"/>
  <c r="C2" i="2"/>
  <c r="C2" i="3" s="1"/>
  <c r="B2" i="4"/>
  <c r="B2" i="2"/>
  <c r="B2" i="3" s="1"/>
</calcChain>
</file>

<file path=xl/sharedStrings.xml><?xml version="1.0" encoding="utf-8"?>
<sst xmlns="http://schemas.openxmlformats.org/spreadsheetml/2006/main" count="470" uniqueCount="240">
  <si>
    <t>date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</si>
  <si>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</si>
  <si>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</si>
  <si>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</si>
  <si>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</si>
  <si>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</si>
  <si>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</si>
  <si>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</si>
  <si>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</si>
  <si>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</si>
  <si>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</si>
  <si>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</si>
  <si>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</si>
  <si>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</si>
  <si>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</si>
  <si>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</si>
  <si>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</si>
  <si>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</si>
  <si>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</si>
  <si>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</si>
  <si>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</si>
  <si>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</si>
  <si>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</si>
  <si>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</si>
  <si>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</si>
  <si>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</si>
  <si>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</si>
  <si>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</si>
  <si>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</si>
  <si>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</si>
  <si>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</si>
  <si>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</si>
  <si>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</si>
  <si>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</si>
  <si>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</si>
  <si>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</si>
  <si>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</si>
  <si>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</si>
  <si>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</si>
  <si>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</si>
  <si>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</si>
  <si>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</si>
  <si>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</si>
  <si>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</si>
  <si>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</si>
  <si>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</si>
  <si>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</si>
  <si>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</si>
  <si>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</si>
  <si>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</si>
  <si>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</si>
  <si>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</si>
  <si>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</si>
  <si>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</si>
  <si>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</si>
  <si>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</si>
  <si>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</si>
  <si>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</si>
  <si>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</si>
  <si>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</si>
  <si>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</si>
  <si>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</si>
  <si>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</si>
  <si>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</si>
  <si>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</si>
  <si>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</si>
  <si>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</si>
  <si>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</si>
  <si>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</si>
  <si>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</si>
  <si>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</si>
  <si>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</si>
  <si>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</si>
  <si>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</si>
  <si>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</si>
  <si>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</si>
  <si>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</si>
  <si>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</si>
  <si>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</si>
  <si>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</si>
  <si>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</si>
  <si>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</si>
  <si>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</si>
  <si>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</si>
  <si>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</si>
  <si>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</si>
  <si>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</si>
  <si>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</si>
  <si>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</si>
  <si>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</si>
  <si>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</si>
  <si>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</si>
  <si>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</si>
  <si>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</si>
  <si>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</si>
  <si>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</si>
  <si>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</si>
  <si>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</si>
  <si>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</si>
  <si>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</si>
  <si>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</si>
  <si>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</si>
  <si>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</si>
  <si>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</si>
  <si>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</si>
  <si>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</si>
  <si>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</si>
  <si>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</si>
  <si>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</si>
  <si>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</si>
  <si>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</si>
  <si>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</si>
  <si>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</si>
  <si>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</si>
  <si>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</si>
  <si>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</si>
  <si>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</si>
  <si>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</si>
  <si>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</si>
  <si>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</si>
  <si>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</si>
  <si>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</si>
  <si>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</si>
  <si>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</si>
  <si>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</si>
  <si>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</si>
  <si>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</si>
  <si>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</si>
  <si>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</si>
  <si>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</si>
  <si>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</si>
  <si>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</si>
  <si>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</si>
  <si>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</si>
  <si>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</si>
  <si>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</si>
  <si>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</si>
  <si>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</si>
  <si>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</si>
  <si>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</si>
  <si>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</si>
  <si>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</si>
  <si>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</si>
  <si>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</si>
  <si>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</si>
  <si>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</si>
  <si>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</si>
  <si>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</si>
  <si>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</si>
  <si>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</si>
  <si>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</si>
  <si>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</si>
  <si>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</si>
  <si>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</si>
  <si>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</si>
  <si>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</si>
  <si>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</si>
  <si>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</si>
  <si>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</si>
  <si>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</si>
  <si>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ret</t>
  </si>
  <si>
    <t>gz_spr</t>
  </si>
  <si>
    <t>ExcR</t>
  </si>
  <si>
    <t>JLN</t>
  </si>
  <si>
    <t>JLN_F</t>
  </si>
  <si>
    <t>GDP</t>
  </si>
  <si>
    <t>credit</t>
  </si>
  <si>
    <t>GFCF</t>
  </si>
  <si>
    <t>Real 3m r</t>
  </si>
  <si>
    <t>Real 10y r</t>
  </si>
  <si>
    <t>logQ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</si>
  <si>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</si>
  <si>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</si>
  <si>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</si>
  <si>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</si>
  <si>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</si>
  <si>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</si>
  <si>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</si>
  <si>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</si>
  <si>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</si>
  <si>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</si>
  <si>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</si>
  <si>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</si>
  <si>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</si>
  <si>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</si>
  <si>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</si>
  <si>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</si>
  <si>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</si>
  <si>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</si>
  <si>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</si>
  <si>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</si>
  <si>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</si>
  <si>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</si>
  <si>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</si>
  <si>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</si>
  <si>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</si>
  <si>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</si>
  <si>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</si>
  <si>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</si>
  <si>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</si>
  <si>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</si>
  <si>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</si>
  <si>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</si>
  <si>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</si>
  <si>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</si>
  <si>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</si>
  <si>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</si>
  <si>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</si>
  <si>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</si>
  <si>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</si>
  <si>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</si>
  <si>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</si>
  <si>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</si>
  <si>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</si>
  <si>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</si>
  <si>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</si>
  <si>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</si>
  <si>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</si>
  <si>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</si>
  <si>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</si>
  <si>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</si>
  <si>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</si>
  <si>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cons</t>
  </si>
  <si>
    <t>infl</t>
  </si>
  <si>
    <t>price index</t>
  </si>
  <si>
    <t>hours</t>
  </si>
  <si>
    <t>trsry security</t>
  </si>
  <si>
    <t>unc_m shock</t>
  </si>
  <si>
    <t>ip shock</t>
  </si>
  <si>
    <t>unc_f shock</t>
  </si>
  <si>
    <t>ebp</t>
  </si>
  <si>
    <t>pvt safe</t>
  </si>
  <si>
    <t>net worth</t>
  </si>
  <si>
    <t>LI_leverage</t>
  </si>
  <si>
    <t>Fin_sector_leverage</t>
  </si>
  <si>
    <t>equity_invcap</t>
  </si>
  <si>
    <t>d_equity_invcap</t>
  </si>
  <si>
    <t>vola_shock</t>
  </si>
  <si>
    <t>ffr</t>
  </si>
  <si>
    <t>ma_equity_invcap_mean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</si>
</sst>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"/>
    <numFmt numFmtId="167" formatCode="0.000000000000000000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5" fontId="1" fillId="0" borderId="0" xfId="1" applyNumberFormat="1"/>
    <xf numFmtId="0" fontId="1" fillId="0" borderId="0" xfId="1"/>
    <xf numFmtId="164" fontId="1" fillId="0" borderId="0" xfId="1" applyNumberFormat="1"/>
    <xf numFmtId="2" fontId="1" fillId="0" borderId="0" xfId="1" applyNumberFormat="1"/>
    <xf numFmtId="11" fontId="0" fillId="0" borderId="0" xfId="0" applyNumberFormat="1"/>
    <xf numFmtId="166" fontId="1" fillId="0" borderId="0" xfId="1" applyNumberFormat="1"/>
    <xf numFmtId="1" fontId="1" fillId="0" borderId="0" xfId="1" applyNumberFormat="1"/>
    <xf numFmtId="167" fontId="1" fillId="0" borderId="0" xfId="1" applyNumberFormat="1"/>
    <xf numFmtId="0" fontId="1" fillId="0" borderId="0" xfId="1" applyAlignment="1">
      <alignment horizontal="right"/>
    </xf>
    <xf numFmtId="166" fontId="0" fillId="0" borderId="0" xfId="0" applyNumberFormat="1"/>
  </cellXfs>
  <cellStyles count="2">
    <cellStyle name="Normal" xfId="0" builtinId="0"/>
    <cellStyle name="Normal 2" xfId="1" xr:uid="{3C7E6299-CC98-4FDE-9798-F08E887C0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Normalized!$B$1</c:f>
              <c:strCache>
                <c:ptCount val="1"/>
                <c:pt idx="0">
                  <c:v>credit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Normalized!$B$2:$B$208</c:f>
              <c:numCache>
                <c:formatCode>General</c:formatCode>
                <c:ptCount val="207"/>
                <c:pt idx="0">
                  <c:v>1.1469861056754895</c:v>
                </c:pt>
                <c:pt idx="1">
                  <c:v>1.1817508852124836</c:v>
                </c:pt>
                <c:pt idx="2">
                  <c:v>1.2083142998695851</c:v>
                </c:pt>
                <c:pt idx="3">
                  <c:v>1.2398682973364867</c:v>
                </c:pt>
                <c:pt idx="4">
                  <c:v>1.2631117338904718</c:v>
                </c:pt>
                <c:pt idx="5">
                  <c:v>1.3085801232577472</c:v>
                </c:pt>
                <c:pt idx="6">
                  <c:v>1.3403831707313376</c:v>
                </c:pt>
                <c:pt idx="7">
                  <c:v>1.3872765632804163</c:v>
                </c:pt>
                <c:pt idx="8">
                  <c:v>1.4264018748255689</c:v>
                </c:pt>
                <c:pt idx="9">
                  <c:v>1.4787258029966106</c:v>
                </c:pt>
                <c:pt idx="10">
                  <c:v>1.5224616319024202</c:v>
                </c:pt>
                <c:pt idx="11">
                  <c:v>1.5604965358405294</c:v>
                </c:pt>
                <c:pt idx="12">
                  <c:v>1.5866711715830588</c:v>
                </c:pt>
                <c:pt idx="13">
                  <c:v>1.6406855109159393</c:v>
                </c:pt>
                <c:pt idx="14">
                  <c:v>1.6798144271406121</c:v>
                </c:pt>
                <c:pt idx="15">
                  <c:v>1.7130008020670364</c:v>
                </c:pt>
                <c:pt idx="16">
                  <c:v>1.7188820625498575</c:v>
                </c:pt>
                <c:pt idx="17">
                  <c:v>1.7469322445242994</c:v>
                </c:pt>
                <c:pt idx="18">
                  <c:v>1.7739547102293205</c:v>
                </c:pt>
                <c:pt idx="19">
                  <c:v>1.8101814353612982</c:v>
                </c:pt>
                <c:pt idx="20">
                  <c:v>1.8308926381966215</c:v>
                </c:pt>
                <c:pt idx="21">
                  <c:v>1.8835080979357046</c:v>
                </c:pt>
                <c:pt idx="22">
                  <c:v>1.9266083111827952</c:v>
                </c:pt>
                <c:pt idx="23">
                  <c:v>1.9813980103288098</c:v>
                </c:pt>
                <c:pt idx="24">
                  <c:v>2.0281151484972306</c:v>
                </c:pt>
                <c:pt idx="25">
                  <c:v>2.1032543885176058</c:v>
                </c:pt>
                <c:pt idx="26">
                  <c:v>2.1687561427151305</c:v>
                </c:pt>
                <c:pt idx="27">
                  <c:v>2.2484173407720758</c:v>
                </c:pt>
                <c:pt idx="28">
                  <c:v>2.3046839108557973</c:v>
                </c:pt>
                <c:pt idx="29">
                  <c:v>2.4013916752825071</c:v>
                </c:pt>
                <c:pt idx="30">
                  <c:v>2.4789859468081574</c:v>
                </c:pt>
                <c:pt idx="31">
                  <c:v>2.5609069734309551</c:v>
                </c:pt>
                <c:pt idx="32">
                  <c:v>2.6265150923544271</c:v>
                </c:pt>
                <c:pt idx="33">
                  <c:v>2.7281062561307223</c:v>
                </c:pt>
                <c:pt idx="34">
                  <c:v>2.8190469853338711</c:v>
                </c:pt>
                <c:pt idx="35">
                  <c:v>2.8966439795928487</c:v>
                </c:pt>
                <c:pt idx="36">
                  <c:v>2.9659742925279464</c:v>
                </c:pt>
                <c:pt idx="37">
                  <c:v>2.9982894278358452</c:v>
                </c:pt>
                <c:pt idx="38">
                  <c:v>3.0580759728032083</c:v>
                </c:pt>
                <c:pt idx="39">
                  <c:v>3.1440726900582949</c:v>
                </c:pt>
                <c:pt idx="40">
                  <c:v>3.1847011990140852</c:v>
                </c:pt>
                <c:pt idx="41">
                  <c:v>3.281214396274605</c:v>
                </c:pt>
                <c:pt idx="42">
                  <c:v>3.3621176299064341</c:v>
                </c:pt>
                <c:pt idx="43">
                  <c:v>3.4292686935170869</c:v>
                </c:pt>
                <c:pt idx="44">
                  <c:v>3.4765973714779146</c:v>
                </c:pt>
                <c:pt idx="45">
                  <c:v>3.5529576004185479</c:v>
                </c:pt>
                <c:pt idx="46">
                  <c:v>3.5959813595323507</c:v>
                </c:pt>
                <c:pt idx="47">
                  <c:v>3.6516042621972078</c:v>
                </c:pt>
                <c:pt idx="48">
                  <c:v>3.6968308266928651</c:v>
                </c:pt>
                <c:pt idx="49">
                  <c:v>3.7938824278091894</c:v>
                </c:pt>
                <c:pt idx="50">
                  <c:v>3.8934199663170719</c:v>
                </c:pt>
                <c:pt idx="51">
                  <c:v>4.0177800085241602</c:v>
                </c:pt>
                <c:pt idx="52">
                  <c:v>4.1256835734324975</c:v>
                </c:pt>
                <c:pt idx="53">
                  <c:v>4.2881804216132897</c:v>
                </c:pt>
                <c:pt idx="54">
                  <c:v>4.4157141178552504</c:v>
                </c:pt>
                <c:pt idx="55">
                  <c:v>4.5820576669173043</c:v>
                </c:pt>
                <c:pt idx="56">
                  <c:v>4.7154631786521275</c:v>
                </c:pt>
                <c:pt idx="57">
                  <c:v>4.8654255833304356</c:v>
                </c:pt>
                <c:pt idx="58">
                  <c:v>5.0047256959294426</c:v>
                </c:pt>
                <c:pt idx="59">
                  <c:v>5.2119025343650804</c:v>
                </c:pt>
                <c:pt idx="60">
                  <c:v>5.2989309492314778</c:v>
                </c:pt>
                <c:pt idx="61">
                  <c:v>5.4560640613451667</c:v>
                </c:pt>
                <c:pt idx="62">
                  <c:v>5.6106872952497424</c:v>
                </c:pt>
                <c:pt idx="63">
                  <c:v>5.793798503611181</c:v>
                </c:pt>
                <c:pt idx="64">
                  <c:v>5.8604237115522544</c:v>
                </c:pt>
                <c:pt idx="65">
                  <c:v>6.0164104549574144</c:v>
                </c:pt>
                <c:pt idx="66">
                  <c:v>6.1472224243458689</c:v>
                </c:pt>
                <c:pt idx="67">
                  <c:v>6.277776461464919</c:v>
                </c:pt>
                <c:pt idx="68">
                  <c:v>6.3999938839159833</c:v>
                </c:pt>
                <c:pt idx="69">
                  <c:v>6.5737575212473072</c:v>
                </c:pt>
                <c:pt idx="70">
                  <c:v>6.7109166188708045</c:v>
                </c:pt>
                <c:pt idx="71">
                  <c:v>6.8690873791424769</c:v>
                </c:pt>
                <c:pt idx="72">
                  <c:v>6.9826369595191595</c:v>
                </c:pt>
                <c:pt idx="73">
                  <c:v>7.1440818259613215</c:v>
                </c:pt>
                <c:pt idx="74">
                  <c:v>7.2532002393543609</c:v>
                </c:pt>
                <c:pt idx="75">
                  <c:v>7.3932248680658867</c:v>
                </c:pt>
                <c:pt idx="76">
                  <c:v>7.5200587721141465</c:v>
                </c:pt>
                <c:pt idx="77">
                  <c:v>7.6233537448635253</c:v>
                </c:pt>
                <c:pt idx="78">
                  <c:v>7.7025015921203783</c:v>
                </c:pt>
                <c:pt idx="79">
                  <c:v>7.7648096673006828</c:v>
                </c:pt>
                <c:pt idx="80">
                  <c:v>7.7696145179693055</c:v>
                </c:pt>
                <c:pt idx="81">
                  <c:v>7.8365886019589235</c:v>
                </c:pt>
                <c:pt idx="82">
                  <c:v>7.8343851677169267</c:v>
                </c:pt>
                <c:pt idx="83">
                  <c:v>7.8702441973801074</c:v>
                </c:pt>
                <c:pt idx="84">
                  <c:v>7.9004608323731205</c:v>
                </c:pt>
                <c:pt idx="85">
                  <c:v>7.9374083965609481</c:v>
                </c:pt>
                <c:pt idx="86">
                  <c:v>7.9901230358390576</c:v>
                </c:pt>
                <c:pt idx="87">
                  <c:v>8.0513279231194161</c:v>
                </c:pt>
                <c:pt idx="88">
                  <c:v>8.0884806618216931</c:v>
                </c:pt>
                <c:pt idx="89">
                  <c:v>8.1926223909117404</c:v>
                </c:pt>
                <c:pt idx="90">
                  <c:v>8.2999437108840333</c:v>
                </c:pt>
                <c:pt idx="91">
                  <c:v>8.4227701911752284</c:v>
                </c:pt>
                <c:pt idx="92">
                  <c:v>8.5297796247783406</c:v>
                </c:pt>
                <c:pt idx="93">
                  <c:v>8.6638730196857683</c:v>
                </c:pt>
                <c:pt idx="94">
                  <c:v>8.7896238019068207</c:v>
                </c:pt>
                <c:pt idx="95">
                  <c:v>8.9577876620267993</c:v>
                </c:pt>
                <c:pt idx="96">
                  <c:v>9.0680410438284813</c:v>
                </c:pt>
                <c:pt idx="97">
                  <c:v>9.2351129304870607</c:v>
                </c:pt>
                <c:pt idx="98">
                  <c:v>9.3794051895162998</c:v>
                </c:pt>
                <c:pt idx="99">
                  <c:v>9.5332786414190096</c:v>
                </c:pt>
                <c:pt idx="100">
                  <c:v>9.6649940990161713</c:v>
                </c:pt>
                <c:pt idx="101">
                  <c:v>9.8361888953059342</c:v>
                </c:pt>
                <c:pt idx="102">
                  <c:v>9.9810404742767602</c:v>
                </c:pt>
                <c:pt idx="103">
                  <c:v>10.113895641316388</c:v>
                </c:pt>
                <c:pt idx="104">
                  <c:v>10.240450775276013</c:v>
                </c:pt>
                <c:pt idx="105">
                  <c:v>10.427545006979734</c:v>
                </c:pt>
                <c:pt idx="106">
                  <c:v>10.656452802495801</c:v>
                </c:pt>
                <c:pt idx="107">
                  <c:v>10.846748669426589</c:v>
                </c:pt>
                <c:pt idx="108">
                  <c:v>11.06283948433698</c:v>
                </c:pt>
                <c:pt idx="109">
                  <c:v>11.377004893724319</c:v>
                </c:pt>
                <c:pt idx="110">
                  <c:v>11.604657598862234</c:v>
                </c:pt>
                <c:pt idx="111">
                  <c:v>11.886999126832309</c:v>
                </c:pt>
                <c:pt idx="112">
                  <c:v>12.156519272541349</c:v>
                </c:pt>
                <c:pt idx="113">
                  <c:v>12.430434804045726</c:v>
                </c:pt>
                <c:pt idx="114">
                  <c:v>12.781160500019208</c:v>
                </c:pt>
                <c:pt idx="115">
                  <c:v>13.061683743243355</c:v>
                </c:pt>
                <c:pt idx="116">
                  <c:v>13.369367446057444</c:v>
                </c:pt>
                <c:pt idx="117">
                  <c:v>13.689738048121381</c:v>
                </c:pt>
                <c:pt idx="118">
                  <c:v>13.956304276002614</c:v>
                </c:pt>
                <c:pt idx="119">
                  <c:v>14.191864850921126</c:v>
                </c:pt>
                <c:pt idx="120">
                  <c:v>14.296533903282803</c:v>
                </c:pt>
                <c:pt idx="121">
                  <c:v>14.623472685271157</c:v>
                </c:pt>
                <c:pt idx="122">
                  <c:v>14.929839970102073</c:v>
                </c:pt>
                <c:pt idx="123">
                  <c:v>15.107777955064376</c:v>
                </c:pt>
                <c:pt idx="124">
                  <c:v>15.293558363458112</c:v>
                </c:pt>
                <c:pt idx="125">
                  <c:v>15.504692550510297</c:v>
                </c:pt>
                <c:pt idx="126">
                  <c:v>15.74049339228176</c:v>
                </c:pt>
                <c:pt idx="127">
                  <c:v>16.036520970522606</c:v>
                </c:pt>
                <c:pt idx="128">
                  <c:v>16.234643976430888</c:v>
                </c:pt>
                <c:pt idx="129">
                  <c:v>16.639540540515327</c:v>
                </c:pt>
                <c:pt idx="130">
                  <c:v>16.945488582976608</c:v>
                </c:pt>
                <c:pt idx="131">
                  <c:v>17.209525932898753</c:v>
                </c:pt>
                <c:pt idx="132">
                  <c:v>17.547825098021722</c:v>
                </c:pt>
                <c:pt idx="133">
                  <c:v>17.925922925271635</c:v>
                </c:pt>
                <c:pt idx="134">
                  <c:v>18.291235558527827</c:v>
                </c:pt>
                <c:pt idx="135">
                  <c:v>18.789815357032744</c:v>
                </c:pt>
                <c:pt idx="136">
                  <c:v>19.119690523888377</c:v>
                </c:pt>
                <c:pt idx="137">
                  <c:v>19.599245017129377</c:v>
                </c:pt>
                <c:pt idx="138">
                  <c:v>20.071773198752304</c:v>
                </c:pt>
                <c:pt idx="139">
                  <c:v>20.519796378349639</c:v>
                </c:pt>
                <c:pt idx="140">
                  <c:v>21.078523857310891</c:v>
                </c:pt>
                <c:pt idx="141">
                  <c:v>21.633057432400545</c:v>
                </c:pt>
                <c:pt idx="142">
                  <c:v>22.090972435868707</c:v>
                </c:pt>
                <c:pt idx="143">
                  <c:v>22.629242388859623</c:v>
                </c:pt>
                <c:pt idx="144">
                  <c:v>23.038021600205592</c:v>
                </c:pt>
                <c:pt idx="145">
                  <c:v>23.632640951860559</c:v>
                </c:pt>
                <c:pt idx="146">
                  <c:v>24.16362666871197</c:v>
                </c:pt>
                <c:pt idx="147">
                  <c:v>24.65582644479781</c:v>
                </c:pt>
                <c:pt idx="148">
                  <c:v>24.949739042765383</c:v>
                </c:pt>
                <c:pt idx="149">
                  <c:v>25.06284048519419</c:v>
                </c:pt>
                <c:pt idx="150">
                  <c:v>25.277008107894925</c:v>
                </c:pt>
                <c:pt idx="151">
                  <c:v>24.999276006871266</c:v>
                </c:pt>
                <c:pt idx="152">
                  <c:v>24.875685509448246</c:v>
                </c:pt>
                <c:pt idx="153">
                  <c:v>24.745205966755769</c:v>
                </c:pt>
                <c:pt idx="154">
                  <c:v>24.557855586898452</c:v>
                </c:pt>
                <c:pt idx="155">
                  <c:v>24.343229808919901</c:v>
                </c:pt>
                <c:pt idx="156">
                  <c:v>24.202179430603987</c:v>
                </c:pt>
                <c:pt idx="157">
                  <c:v>24.057291546259194</c:v>
                </c:pt>
                <c:pt idx="158">
                  <c:v>24.040903388650889</c:v>
                </c:pt>
                <c:pt idx="159">
                  <c:v>23.996035734578495</c:v>
                </c:pt>
                <c:pt idx="160">
                  <c:v>23.964220129606502</c:v>
                </c:pt>
                <c:pt idx="161">
                  <c:v>23.939169865891074</c:v>
                </c:pt>
                <c:pt idx="162">
                  <c:v>23.943621043302809</c:v>
                </c:pt>
                <c:pt idx="163">
                  <c:v>24.026772673771507</c:v>
                </c:pt>
                <c:pt idx="164">
                  <c:v>24.068553000000001</c:v>
                </c:pt>
                <c:pt idx="165">
                  <c:v>24.133180463312812</c:v>
                </c:pt>
                <c:pt idx="166">
                  <c:v>24.322303199086317</c:v>
                </c:pt>
                <c:pt idx="167">
                  <c:v>24.51411374751272</c:v>
                </c:pt>
                <c:pt idx="168">
                  <c:v>24.509098384291089</c:v>
                </c:pt>
                <c:pt idx="169">
                  <c:v>24.671405757396041</c:v>
                </c:pt>
                <c:pt idx="170">
                  <c:v>24.925900622490197</c:v>
                </c:pt>
                <c:pt idx="171">
                  <c:v>25.228798702230502</c:v>
                </c:pt>
                <c:pt idx="172">
                  <c:v>25.360333058840972</c:v>
                </c:pt>
                <c:pt idx="173">
                  <c:v>25.601298601489088</c:v>
                </c:pt>
                <c:pt idx="174">
                  <c:v>25.779285366272507</c:v>
                </c:pt>
                <c:pt idx="175">
                  <c:v>26.099001302143524</c:v>
                </c:pt>
                <c:pt idx="176">
                  <c:v>26.268386008693106</c:v>
                </c:pt>
                <c:pt idx="177">
                  <c:v>26.649832936902712</c:v>
                </c:pt>
                <c:pt idx="178">
                  <c:v>26.869948710519171</c:v>
                </c:pt>
                <c:pt idx="179">
                  <c:v>27.065332657176178</c:v>
                </c:pt>
                <c:pt idx="180">
                  <c:v>27.304281313498809</c:v>
                </c:pt>
                <c:pt idx="181">
                  <c:v>27.55849114743468</c:v>
                </c:pt>
                <c:pt idx="182">
                  <c:v>27.927327216098515</c:v>
                </c:pt>
                <c:pt idx="183">
                  <c:v>28.078492815243436</c:v>
                </c:pt>
                <c:pt idx="184">
                  <c:v>28.365626247088333</c:v>
                </c:pt>
                <c:pt idx="185">
                  <c:v>28.746102019656302</c:v>
                </c:pt>
                <c:pt idx="186">
                  <c:v>29.030627978979684</c:v>
                </c:pt>
                <c:pt idx="187">
                  <c:v>29.529797946316691</c:v>
                </c:pt>
                <c:pt idx="188">
                  <c:v>29.711711425408865</c:v>
                </c:pt>
                <c:pt idx="189">
                  <c:v>30.260609902506442</c:v>
                </c:pt>
                <c:pt idx="190">
                  <c:v>30.569307053405844</c:v>
                </c:pt>
                <c:pt idx="191">
                  <c:v>30.912642199597574</c:v>
                </c:pt>
                <c:pt idx="192">
                  <c:v>31.156130563805366</c:v>
                </c:pt>
                <c:pt idx="193">
                  <c:v>31.485740267801834</c:v>
                </c:pt>
                <c:pt idx="194">
                  <c:v>31.827006019786669</c:v>
                </c:pt>
                <c:pt idx="195">
                  <c:v>32.093642362473652</c:v>
                </c:pt>
                <c:pt idx="196">
                  <c:v>32.963339440513721</c:v>
                </c:pt>
                <c:pt idx="197">
                  <c:v>33.623064881165305</c:v>
                </c:pt>
                <c:pt idx="198">
                  <c:v>33.820465331986227</c:v>
                </c:pt>
                <c:pt idx="199">
                  <c:v>34.149431964452788</c:v>
                </c:pt>
                <c:pt idx="200">
                  <c:v>34.570284557433666</c:v>
                </c:pt>
                <c:pt idx="201">
                  <c:v>34.888396672039207</c:v>
                </c:pt>
                <c:pt idx="202">
                  <c:v>35.355617317670209</c:v>
                </c:pt>
                <c:pt idx="203">
                  <c:v>36.020309294446086</c:v>
                </c:pt>
                <c:pt idx="204">
                  <c:v>36.613913655791187</c:v>
                </c:pt>
                <c:pt idx="205">
                  <c:v>37.17333006672758</c:v>
                </c:pt>
                <c:pt idx="206">
                  <c:v>37.68596984847381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5-4BD2-8B1F-1537104E9321}"/>
            </c:ext>
          </c:extLst>
        </c:ser>
        <c:ser>
          <c:idx val="1"/>
          <c:order val="1"/>
          <c:tx>
            <c:strRef>
              <c:f>Normalized!$C$1</c:f>
              <c:strCache>
                <c:ptCount val="1"/>
                <c:pt idx="0">
                  <c:v>trsry security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Normalized!$C$2:$C$200</c:f>
              <c:numCache>
                <c:formatCode>General</c:formatCode>
                <c:ptCount val="199"/>
                <c:pt idx="0">
                  <c:v>216.2952296511844</c:v>
                </c:pt>
                <c:pt idx="1">
                  <c:v>215.13126349103032</c:v>
                </c:pt>
                <c:pt idx="2">
                  <c:v>212.95609288493259</c:v>
                </c:pt>
                <c:pt idx="3">
                  <c:v>222.96120156502673</c:v>
                </c:pt>
                <c:pt idx="4">
                  <c:v>222.28529747102596</c:v>
                </c:pt>
                <c:pt idx="5">
                  <c:v>221.31268432494383</c:v>
                </c:pt>
                <c:pt idx="6">
                  <c:v>218.85209917052958</c:v>
                </c:pt>
                <c:pt idx="7">
                  <c:v>228.73921788568208</c:v>
                </c:pt>
                <c:pt idx="8">
                  <c:v>224.99799348254871</c:v>
                </c:pt>
                <c:pt idx="9">
                  <c:v>223.23326536704499</c:v>
                </c:pt>
                <c:pt idx="10">
                  <c:v>219.70759614926533</c:v>
                </c:pt>
                <c:pt idx="11">
                  <c:v>228.41444835605901</c:v>
                </c:pt>
                <c:pt idx="12">
                  <c:v>224.96348500444697</c:v>
                </c:pt>
                <c:pt idx="13">
                  <c:v>224.40984116918065</c:v>
                </c:pt>
                <c:pt idx="14">
                  <c:v>222.84509323105081</c:v>
                </c:pt>
                <c:pt idx="15">
                  <c:v>229.07815198430251</c:v>
                </c:pt>
                <c:pt idx="16">
                  <c:v>241.84912747355224</c:v>
                </c:pt>
                <c:pt idx="17">
                  <c:v>261.14868702602064</c:v>
                </c:pt>
                <c:pt idx="18">
                  <c:v>275.08840931307316</c:v>
                </c:pt>
                <c:pt idx="19">
                  <c:v>288.63160436660269</c:v>
                </c:pt>
                <c:pt idx="20">
                  <c:v>302.6545271847599</c:v>
                </c:pt>
                <c:pt idx="21">
                  <c:v>318.36358023000923</c:v>
                </c:pt>
                <c:pt idx="22">
                  <c:v>330.54718838865233</c:v>
                </c:pt>
                <c:pt idx="23">
                  <c:v>343.75009032673586</c:v>
                </c:pt>
                <c:pt idx="24">
                  <c:v>345.25262176672175</c:v>
                </c:pt>
                <c:pt idx="25">
                  <c:v>347.90331172636803</c:v>
                </c:pt>
                <c:pt idx="26">
                  <c:v>356.11632695624877</c:v>
                </c:pt>
                <c:pt idx="27">
                  <c:v>357.50830460005784</c:v>
                </c:pt>
                <c:pt idx="28">
                  <c:v>352.66793796607965</c:v>
                </c:pt>
                <c:pt idx="29">
                  <c:v>362.77941408205157</c:v>
                </c:pt>
                <c:pt idx="30">
                  <c:v>370.71041987682753</c:v>
                </c:pt>
                <c:pt idx="31">
                  <c:v>365.46112548349123</c:v>
                </c:pt>
                <c:pt idx="32">
                  <c:v>368.23525486078279</c:v>
                </c:pt>
                <c:pt idx="33">
                  <c:v>371.57081447680321</c:v>
                </c:pt>
                <c:pt idx="34">
                  <c:v>380.79850147955943</c:v>
                </c:pt>
                <c:pt idx="35">
                  <c:v>380.34619514993562</c:v>
                </c:pt>
                <c:pt idx="36">
                  <c:v>394.80631920372912</c:v>
                </c:pt>
                <c:pt idx="37">
                  <c:v>408.51664831001318</c:v>
                </c:pt>
                <c:pt idx="38">
                  <c:v>430.1397916443936</c:v>
                </c:pt>
                <c:pt idx="39">
                  <c:v>430.40249484710449</c:v>
                </c:pt>
                <c:pt idx="40">
                  <c:v>459.36568384704617</c:v>
                </c:pt>
                <c:pt idx="41">
                  <c:v>453.08289502473809</c:v>
                </c:pt>
                <c:pt idx="42">
                  <c:v>471.30138009084584</c:v>
                </c:pt>
                <c:pt idx="43">
                  <c:v>504.51429994779636</c:v>
                </c:pt>
                <c:pt idx="44">
                  <c:v>525.97322459043176</c:v>
                </c:pt>
                <c:pt idx="45">
                  <c:v>526.89320617009309</c:v>
                </c:pt>
                <c:pt idx="46">
                  <c:v>575.00817587660129</c:v>
                </c:pt>
                <c:pt idx="47">
                  <c:v>633.73181206020911</c:v>
                </c:pt>
                <c:pt idx="48">
                  <c:v>665.17057307408425</c:v>
                </c:pt>
                <c:pt idx="49">
                  <c:v>682.287430676334</c:v>
                </c:pt>
                <c:pt idx="50">
                  <c:v>724.59517311142213</c:v>
                </c:pt>
                <c:pt idx="51">
                  <c:v>746.24956842478264</c:v>
                </c:pt>
                <c:pt idx="52">
                  <c:v>763.58288021713997</c:v>
                </c:pt>
                <c:pt idx="53">
                  <c:v>759.43153714124423</c:v>
                </c:pt>
                <c:pt idx="54">
                  <c:v>808.12658444848091</c:v>
                </c:pt>
                <c:pt idx="55">
                  <c:v>860.64516041830041</c:v>
                </c:pt>
                <c:pt idx="56">
                  <c:v>893.56956728818807</c:v>
                </c:pt>
                <c:pt idx="57">
                  <c:v>919.87271720471881</c:v>
                </c:pt>
                <c:pt idx="58">
                  <c:v>959.0456494477761</c:v>
                </c:pt>
                <c:pt idx="59">
                  <c:v>1005.459779556174</c:v>
                </c:pt>
                <c:pt idx="60">
                  <c:v>1060.871592429568</c:v>
                </c:pt>
                <c:pt idx="61">
                  <c:v>1083.1353033069399</c:v>
                </c:pt>
                <c:pt idx="62">
                  <c:v>1120.85888855452</c:v>
                </c:pt>
                <c:pt idx="63">
                  <c:v>1164.1513459016044</c:v>
                </c:pt>
                <c:pt idx="64">
                  <c:v>1171.4431819324125</c:v>
                </c:pt>
                <c:pt idx="65">
                  <c:v>1180.703652041924</c:v>
                </c:pt>
                <c:pt idx="66">
                  <c:v>1198.9613363428336</c:v>
                </c:pt>
                <c:pt idx="67">
                  <c:v>1235.9298649438474</c:v>
                </c:pt>
                <c:pt idx="68">
                  <c:v>1229.239838436303</c:v>
                </c:pt>
                <c:pt idx="69">
                  <c:v>1219.1923481890376</c:v>
                </c:pt>
                <c:pt idx="70">
                  <c:v>1248.8732020683508</c:v>
                </c:pt>
                <c:pt idx="71">
                  <c:v>1257.4498512185323</c:v>
                </c:pt>
                <c:pt idx="72">
                  <c:v>1258.8232559813007</c:v>
                </c:pt>
                <c:pt idx="73">
                  <c:v>1260.6107971185893</c:v>
                </c:pt>
                <c:pt idx="74">
                  <c:v>1271.8020760540553</c:v>
                </c:pt>
                <c:pt idx="75">
                  <c:v>1334.5327013505341</c:v>
                </c:pt>
                <c:pt idx="76">
                  <c:v>1341.9592212189893</c:v>
                </c:pt>
                <c:pt idx="77">
                  <c:v>1364.477401177206</c:v>
                </c:pt>
                <c:pt idx="78">
                  <c:v>1389.2595003331076</c:v>
                </c:pt>
                <c:pt idx="79">
                  <c:v>1453.0873887393682</c:v>
                </c:pt>
                <c:pt idx="80">
                  <c:v>1498.8898290514392</c:v>
                </c:pt>
                <c:pt idx="81">
                  <c:v>1531.1854515991702</c:v>
                </c:pt>
                <c:pt idx="82">
                  <c:v>1620.4279259782068</c:v>
                </c:pt>
                <c:pt idx="83">
                  <c:v>1707.8445430753106</c:v>
                </c:pt>
                <c:pt idx="84">
                  <c:v>1708.8089153022383</c:v>
                </c:pt>
                <c:pt idx="85">
                  <c:v>1763.2766946629483</c:v>
                </c:pt>
                <c:pt idx="86">
                  <c:v>1838.5646342699429</c:v>
                </c:pt>
                <c:pt idx="87">
                  <c:v>1899.9121702489742</c:v>
                </c:pt>
                <c:pt idx="88">
                  <c:v>1924.0460520292554</c:v>
                </c:pt>
                <c:pt idx="89">
                  <c:v>1971.998909726844</c:v>
                </c:pt>
                <c:pt idx="90">
                  <c:v>2026.5527922783058</c:v>
                </c:pt>
                <c:pt idx="91">
                  <c:v>2059.3054106912841</c:v>
                </c:pt>
                <c:pt idx="92">
                  <c:v>2041.1062961026626</c:v>
                </c:pt>
                <c:pt idx="93">
                  <c:v>2031.8984450173439</c:v>
                </c:pt>
                <c:pt idx="94">
                  <c:v>2036.0558720933111</c:v>
                </c:pt>
                <c:pt idx="95">
                  <c:v>2058.7568475126627</c:v>
                </c:pt>
                <c:pt idx="96">
                  <c:v>2100.9373133818331</c:v>
                </c:pt>
                <c:pt idx="97">
                  <c:v>2115.526333024909</c:v>
                </c:pt>
                <c:pt idx="98">
                  <c:v>2114.8392484448186</c:v>
                </c:pt>
                <c:pt idx="99">
                  <c:v>2151.0814543302913</c:v>
                </c:pt>
                <c:pt idx="100">
                  <c:v>2171.0316988225322</c:v>
                </c:pt>
                <c:pt idx="101">
                  <c:v>2130.33978835581</c:v>
                </c:pt>
                <c:pt idx="102">
                  <c:v>2129.0042221016984</c:v>
                </c:pt>
                <c:pt idx="103">
                  <c:v>2106.5520278721683</c:v>
                </c:pt>
                <c:pt idx="104">
                  <c:v>2069.8977308222802</c:v>
                </c:pt>
                <c:pt idx="105">
                  <c:v>2067.2763373272664</c:v>
                </c:pt>
                <c:pt idx="106">
                  <c:v>2088.5793895119928</c:v>
                </c:pt>
                <c:pt idx="107">
                  <c:v>2187.8711692771053</c:v>
                </c:pt>
                <c:pt idx="108">
                  <c:v>2195.2324536446199</c:v>
                </c:pt>
                <c:pt idx="109">
                  <c:v>2121.6310854534304</c:v>
                </c:pt>
                <c:pt idx="110">
                  <c:v>2145.5659066258404</c:v>
                </c:pt>
                <c:pt idx="111">
                  <c:v>2168.1673834600574</c:v>
                </c:pt>
                <c:pt idx="112">
                  <c:v>2201.9907208437548</c:v>
                </c:pt>
                <c:pt idx="113">
                  <c:v>2145.5710872628829</c:v>
                </c:pt>
                <c:pt idx="114">
                  <c:v>2143.3245981516393</c:v>
                </c:pt>
                <c:pt idx="115">
                  <c:v>2146.0122941250424</c:v>
                </c:pt>
                <c:pt idx="116">
                  <c:v>2172.4007649394016</c:v>
                </c:pt>
                <c:pt idx="117">
                  <c:v>2119.1888610041374</c:v>
                </c:pt>
                <c:pt idx="118">
                  <c:v>2172.5747924571224</c:v>
                </c:pt>
                <c:pt idx="119">
                  <c:v>2141.8390110871605</c:v>
                </c:pt>
                <c:pt idx="120">
                  <c:v>2221.6263595075657</c:v>
                </c:pt>
                <c:pt idx="121">
                  <c:v>2179.0364977092322</c:v>
                </c:pt>
                <c:pt idx="122">
                  <c:v>2233.5324117271175</c:v>
                </c:pt>
                <c:pt idx="123">
                  <c:v>2256.9286254571903</c:v>
                </c:pt>
                <c:pt idx="124">
                  <c:v>2289.559560279954</c:v>
                </c:pt>
                <c:pt idx="125">
                  <c:v>2318.9780993739309</c:v>
                </c:pt>
                <c:pt idx="126">
                  <c:v>2380.4362436008541</c:v>
                </c:pt>
                <c:pt idx="127">
                  <c:v>2469.716296491747</c:v>
                </c:pt>
                <c:pt idx="128">
                  <c:v>2379.5284971134138</c:v>
                </c:pt>
                <c:pt idx="129">
                  <c:v>2423.2609002834747</c:v>
                </c:pt>
                <c:pt idx="130">
                  <c:v>2432.6969108407407</c:v>
                </c:pt>
                <c:pt idx="131">
                  <c:v>2463.224064254061</c:v>
                </c:pt>
                <c:pt idx="132">
                  <c:v>2445.6104083529808</c:v>
                </c:pt>
                <c:pt idx="133">
                  <c:v>2379.0169662308222</c:v>
                </c:pt>
                <c:pt idx="134">
                  <c:v>2468.2911254995875</c:v>
                </c:pt>
                <c:pt idx="135">
                  <c:v>2491.3265020229765</c:v>
                </c:pt>
                <c:pt idx="136">
                  <c:v>2546.4352863278864</c:v>
                </c:pt>
                <c:pt idx="137">
                  <c:v>2500.028519716202</c:v>
                </c:pt>
                <c:pt idx="138">
                  <c:v>2518.5068460582324</c:v>
                </c:pt>
                <c:pt idx="139">
                  <c:v>2589.628132189825</c:v>
                </c:pt>
                <c:pt idx="140">
                  <c:v>2592.5665029606125</c:v>
                </c:pt>
                <c:pt idx="141">
                  <c:v>2550.7497140933747</c:v>
                </c:pt>
                <c:pt idx="142">
                  <c:v>2598.9457085615377</c:v>
                </c:pt>
                <c:pt idx="143">
                  <c:v>2682.9819490873638</c:v>
                </c:pt>
                <c:pt idx="144">
                  <c:v>2690.3131976801951</c:v>
                </c:pt>
                <c:pt idx="145">
                  <c:v>2629.5284383653575</c:v>
                </c:pt>
                <c:pt idx="146">
                  <c:v>2763.4468103538529</c:v>
                </c:pt>
                <c:pt idx="147">
                  <c:v>2857.6047598557889</c:v>
                </c:pt>
                <c:pt idx="148">
                  <c:v>2854.6093591057406</c:v>
                </c:pt>
                <c:pt idx="149">
                  <c:v>2680.2325899160196</c:v>
                </c:pt>
                <c:pt idx="150">
                  <c:v>2950.7469837566359</c:v>
                </c:pt>
                <c:pt idx="151">
                  <c:v>3235.0742358649259</c:v>
                </c:pt>
                <c:pt idx="152">
                  <c:v>3272.5041886428849</c:v>
                </c:pt>
                <c:pt idx="153">
                  <c:v>3459.9489821204761</c:v>
                </c:pt>
                <c:pt idx="154">
                  <c:v>3577.3090394649807</c:v>
                </c:pt>
                <c:pt idx="155">
                  <c:v>3644.9319075721965</c:v>
                </c:pt>
                <c:pt idx="156">
                  <c:v>3805.1315479634331</c:v>
                </c:pt>
                <c:pt idx="157">
                  <c:v>3870.0413133882453</c:v>
                </c:pt>
                <c:pt idx="158">
                  <c:v>3976.0388281856931</c:v>
                </c:pt>
                <c:pt idx="159">
                  <c:v>4306.8391313778693</c:v>
                </c:pt>
                <c:pt idx="160">
                  <c:v>4590.1814414274249</c:v>
                </c:pt>
                <c:pt idx="161">
                  <c:v>4654.3399812610714</c:v>
                </c:pt>
                <c:pt idx="162">
                  <c:v>5013.7920141072291</c:v>
                </c:pt>
                <c:pt idx="163">
                  <c:v>5341.3054659426371</c:v>
                </c:pt>
                <c:pt idx="164">
                  <c:v>5735.451</c:v>
                </c:pt>
                <c:pt idx="165">
                  <c:v>5789.2431175959609</c:v>
                </c:pt>
                <c:pt idx="166">
                  <c:v>5910.0063356137071</c:v>
                </c:pt>
                <c:pt idx="167">
                  <c:v>5977.2402042976228</c:v>
                </c:pt>
                <c:pt idx="168">
                  <c:v>6103.3671648368481</c:v>
                </c:pt>
                <c:pt idx="169">
                  <c:v>5903.3895571496878</c:v>
                </c:pt>
                <c:pt idx="170">
                  <c:v>5901.0627884348341</c:v>
                </c:pt>
                <c:pt idx="171">
                  <c:v>6257.5849684168388</c:v>
                </c:pt>
                <c:pt idx="172">
                  <c:v>6525.1855063195562</c:v>
                </c:pt>
                <c:pt idx="173">
                  <c:v>6622.7656813698059</c:v>
                </c:pt>
                <c:pt idx="174">
                  <c:v>6849.405312899421</c:v>
                </c:pt>
                <c:pt idx="175">
                  <c:v>7129.3317795618659</c:v>
                </c:pt>
                <c:pt idx="176">
                  <c:v>7111.9919451306114</c:v>
                </c:pt>
                <c:pt idx="177">
                  <c:v>6826.466480013808</c:v>
                </c:pt>
                <c:pt idx="178">
                  <c:v>6856.412089255673</c:v>
                </c:pt>
                <c:pt idx="179">
                  <c:v>7385.4827241994144</c:v>
                </c:pt>
                <c:pt idx="180">
                  <c:v>7621.2885520588625</c:v>
                </c:pt>
                <c:pt idx="181">
                  <c:v>7747.1916483700425</c:v>
                </c:pt>
                <c:pt idx="182">
                  <c:v>8015.4128237895666</c:v>
                </c:pt>
                <c:pt idx="183">
                  <c:v>8075.8608560342318</c:v>
                </c:pt>
                <c:pt idx="184">
                  <c:v>7908.3366263417574</c:v>
                </c:pt>
                <c:pt idx="185">
                  <c:v>7780.1253833304763</c:v>
                </c:pt>
                <c:pt idx="186">
                  <c:v>8122.0035374389627</c:v>
                </c:pt>
                <c:pt idx="187">
                  <c:v>8207.5198171794054</c:v>
                </c:pt>
                <c:pt idx="188">
                  <c:v>8477.7136368602078</c:v>
                </c:pt>
                <c:pt idx="189">
                  <c:v>8387.3422920758585</c:v>
                </c:pt>
                <c:pt idx="190">
                  <c:v>8396.7908747788388</c:v>
                </c:pt>
                <c:pt idx="191">
                  <c:v>8880.7327744361737</c:v>
                </c:pt>
                <c:pt idx="192">
                  <c:v>8724.8276155347921</c:v>
                </c:pt>
                <c:pt idx="193">
                  <c:v>8633.7889304752571</c:v>
                </c:pt>
                <c:pt idx="194">
                  <c:v>9363.6842605095098</c:v>
                </c:pt>
                <c:pt idx="195">
                  <c:v>9782.7087688292304</c:v>
                </c:pt>
                <c:pt idx="196">
                  <c:v>11224.97673247459</c:v>
                </c:pt>
                <c:pt idx="197">
                  <c:v>13829.671474390971</c:v>
                </c:pt>
                <c:pt idx="198">
                  <c:v>14220.051641728895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15-4BD2-8B1F-1537104E9321}"/>
            </c:ext>
          </c:extLst>
        </c:ser>
        <c:ser>
          <c:idx val="2"/>
          <c:order val="2"/>
          <c:tx>
            <c:strRef>
              <c:f>Normalized!$D$1</c:f>
              <c:strCache>
                <c:ptCount val="1"/>
                <c:pt idx="0">
                  <c:v>net worth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Normalized!$D$2:$D$211</c:f>
              <c:numCache>
                <c:formatCode>General</c:formatCode>
                <c:ptCount val="210"/>
                <c:pt idx="0">
                  <c:v>21804.202101156126</c:v>
                </c:pt>
                <c:pt idx="1">
                  <c:v>21916.490825591365</c:v>
                </c:pt>
                <c:pt idx="2">
                  <c:v>22827.07436656595</c:v>
                </c:pt>
                <c:pt idx="3">
                  <c:v>23906.508465466271</c:v>
                </c:pt>
                <c:pt idx="4">
                  <c:v>23872.215883725577</c:v>
                </c:pt>
                <c:pt idx="5">
                  <c:v>23928.732133326561</c:v>
                </c:pt>
                <c:pt idx="6">
                  <c:v>24589.231263334379</c:v>
                </c:pt>
                <c:pt idx="7">
                  <c:v>25220.008579687139</c:v>
                </c:pt>
                <c:pt idx="8">
                  <c:v>26285.509524262376</c:v>
                </c:pt>
                <c:pt idx="9">
                  <c:v>27740.003289084441</c:v>
                </c:pt>
                <c:pt idx="10">
                  <c:v>29927.056582721194</c:v>
                </c:pt>
                <c:pt idx="11">
                  <c:v>30873.860606168077</c:v>
                </c:pt>
                <c:pt idx="12">
                  <c:v>32325.489740500758</c:v>
                </c:pt>
                <c:pt idx="13">
                  <c:v>34346.310157003303</c:v>
                </c:pt>
                <c:pt idx="14">
                  <c:v>36061.849699427388</c:v>
                </c:pt>
                <c:pt idx="15">
                  <c:v>38346.851471878719</c:v>
                </c:pt>
                <c:pt idx="16">
                  <c:v>38222.126802624414</c:v>
                </c:pt>
                <c:pt idx="17">
                  <c:v>37696.126230076865</c:v>
                </c:pt>
                <c:pt idx="18">
                  <c:v>37539.738936236245</c:v>
                </c:pt>
                <c:pt idx="19">
                  <c:v>38279.544855149972</c:v>
                </c:pt>
                <c:pt idx="20">
                  <c:v>38197.635071669778</c:v>
                </c:pt>
                <c:pt idx="21">
                  <c:v>38288.0085982284</c:v>
                </c:pt>
                <c:pt idx="22">
                  <c:v>38998.966086432047</c:v>
                </c:pt>
                <c:pt idx="23">
                  <c:v>40794.390475560809</c:v>
                </c:pt>
                <c:pt idx="24">
                  <c:v>41428.173435108329</c:v>
                </c:pt>
                <c:pt idx="25">
                  <c:v>43377.181518734164</c:v>
                </c:pt>
                <c:pt idx="26">
                  <c:v>44810.710598325633</c:v>
                </c:pt>
                <c:pt idx="27">
                  <c:v>47250.841457178547</c:v>
                </c:pt>
                <c:pt idx="28">
                  <c:v>49085.692174197422</c:v>
                </c:pt>
                <c:pt idx="29">
                  <c:v>49499.036321079366</c:v>
                </c:pt>
                <c:pt idx="30">
                  <c:v>50433.595817149195</c:v>
                </c:pt>
                <c:pt idx="31">
                  <c:v>53857.210858753984</c:v>
                </c:pt>
                <c:pt idx="32">
                  <c:v>54471.76136437081</c:v>
                </c:pt>
                <c:pt idx="33">
                  <c:v>55948.258817796326</c:v>
                </c:pt>
                <c:pt idx="34">
                  <c:v>57536.247748092537</c:v>
                </c:pt>
                <c:pt idx="35">
                  <c:v>59316.439169399528</c:v>
                </c:pt>
                <c:pt idx="36">
                  <c:v>59391.734020228709</c:v>
                </c:pt>
                <c:pt idx="37">
                  <c:v>62132.948426528317</c:v>
                </c:pt>
                <c:pt idx="38">
                  <c:v>61154.249897297093</c:v>
                </c:pt>
                <c:pt idx="39">
                  <c:v>61544.743858650741</c:v>
                </c:pt>
                <c:pt idx="40">
                  <c:v>63908.943407402359</c:v>
                </c:pt>
                <c:pt idx="41">
                  <c:v>65135.052980968198</c:v>
                </c:pt>
                <c:pt idx="42">
                  <c:v>67211.130602961741</c:v>
                </c:pt>
                <c:pt idx="43">
                  <c:v>69037.387479216442</c:v>
                </c:pt>
                <c:pt idx="44">
                  <c:v>72095.029813518748</c:v>
                </c:pt>
                <c:pt idx="45">
                  <c:v>72925.182485967991</c:v>
                </c:pt>
                <c:pt idx="46">
                  <c:v>72754.263456154556</c:v>
                </c:pt>
                <c:pt idx="47">
                  <c:v>73881.972093084216</c:v>
                </c:pt>
                <c:pt idx="48">
                  <c:v>73153.826608543182</c:v>
                </c:pt>
                <c:pt idx="49">
                  <c:v>70000.282185886157</c:v>
                </c:pt>
                <c:pt idx="50">
                  <c:v>72380.503746466828</c:v>
                </c:pt>
                <c:pt idx="51">
                  <c:v>72004.69633274118</c:v>
                </c:pt>
                <c:pt idx="52">
                  <c:v>80153.613526977031</c:v>
                </c:pt>
                <c:pt idx="53">
                  <c:v>81088.478800324112</c:v>
                </c:pt>
                <c:pt idx="54">
                  <c:v>81698.154241345037</c:v>
                </c:pt>
                <c:pt idx="55">
                  <c:v>83534.795828049493</c:v>
                </c:pt>
                <c:pt idx="56">
                  <c:v>82844.562097126051</c:v>
                </c:pt>
                <c:pt idx="57">
                  <c:v>82430.139521194666</c:v>
                </c:pt>
                <c:pt idx="58">
                  <c:v>84810.084407427697</c:v>
                </c:pt>
                <c:pt idx="59">
                  <c:v>84956.492607928245</c:v>
                </c:pt>
                <c:pt idx="60">
                  <c:v>83599.981612796822</c:v>
                </c:pt>
                <c:pt idx="61">
                  <c:v>83010.670687731952</c:v>
                </c:pt>
                <c:pt idx="62">
                  <c:v>85811.187104957397</c:v>
                </c:pt>
                <c:pt idx="63">
                  <c:v>87069.507252358846</c:v>
                </c:pt>
                <c:pt idx="64">
                  <c:v>86601.307227194295</c:v>
                </c:pt>
                <c:pt idx="65">
                  <c:v>83864.374578311166</c:v>
                </c:pt>
                <c:pt idx="66">
                  <c:v>84160.867505757997</c:v>
                </c:pt>
                <c:pt idx="67">
                  <c:v>94624.738721699759</c:v>
                </c:pt>
                <c:pt idx="68">
                  <c:v>93913.949151556168</c:v>
                </c:pt>
                <c:pt idx="69">
                  <c:v>95462.705220965261</c:v>
                </c:pt>
                <c:pt idx="70">
                  <c:v>99006.591411615664</c:v>
                </c:pt>
                <c:pt idx="71">
                  <c:v>99844.317688843759</c:v>
                </c:pt>
                <c:pt idx="72">
                  <c:v>101119.73526483699</c:v>
                </c:pt>
                <c:pt idx="73">
                  <c:v>99443.471306448788</c:v>
                </c:pt>
                <c:pt idx="74">
                  <c:v>99385.801563508183</c:v>
                </c:pt>
                <c:pt idx="75">
                  <c:v>101270.52749655211</c:v>
                </c:pt>
                <c:pt idx="76">
                  <c:v>102152.86305298406</c:v>
                </c:pt>
                <c:pt idx="77">
                  <c:v>100235.56634561495</c:v>
                </c:pt>
                <c:pt idx="78">
                  <c:v>105733.96693180669</c:v>
                </c:pt>
                <c:pt idx="79">
                  <c:v>104860.65476210765</c:v>
                </c:pt>
                <c:pt idx="80">
                  <c:v>104176.35452035361</c:v>
                </c:pt>
                <c:pt idx="81">
                  <c:v>102948.94850941611</c:v>
                </c:pt>
                <c:pt idx="82">
                  <c:v>104379.78667805565</c:v>
                </c:pt>
                <c:pt idx="83">
                  <c:v>104949.30518293349</c:v>
                </c:pt>
                <c:pt idx="84">
                  <c:v>103565.32743648053</c:v>
                </c:pt>
                <c:pt idx="85">
                  <c:v>105848.35106394203</c:v>
                </c:pt>
                <c:pt idx="86">
                  <c:v>107699.33116312057</c:v>
                </c:pt>
                <c:pt idx="87">
                  <c:v>107720.93584721163</c:v>
                </c:pt>
                <c:pt idx="88">
                  <c:v>109527.43726383414</c:v>
                </c:pt>
                <c:pt idx="89">
                  <c:v>112501.76064337877</c:v>
                </c:pt>
                <c:pt idx="90">
                  <c:v>115137.86310417192</c:v>
                </c:pt>
                <c:pt idx="91">
                  <c:v>119789.3261127794</c:v>
                </c:pt>
                <c:pt idx="92">
                  <c:v>112969.31968043468</c:v>
                </c:pt>
                <c:pt idx="93">
                  <c:v>116063.57863635987</c:v>
                </c:pt>
                <c:pt idx="94">
                  <c:v>116649.75593783245</c:v>
                </c:pt>
                <c:pt idx="95">
                  <c:v>115541.48707652038</c:v>
                </c:pt>
                <c:pt idx="96">
                  <c:v>115731.96377298968</c:v>
                </c:pt>
                <c:pt idx="97">
                  <c:v>113858.90899324918</c:v>
                </c:pt>
                <c:pt idx="98">
                  <c:v>113510.44233004763</c:v>
                </c:pt>
                <c:pt idx="99">
                  <c:v>111888.90635708495</c:v>
                </c:pt>
                <c:pt idx="100">
                  <c:v>111561.66136603641</c:v>
                </c:pt>
                <c:pt idx="101">
                  <c:v>111102.46730972113</c:v>
                </c:pt>
                <c:pt idx="102">
                  <c:v>111417.02590602406</c:v>
                </c:pt>
                <c:pt idx="103">
                  <c:v>110694.95093614137</c:v>
                </c:pt>
                <c:pt idx="104">
                  <c:v>112310.59046737029</c:v>
                </c:pt>
                <c:pt idx="105">
                  <c:v>112168.93119201416</c:v>
                </c:pt>
                <c:pt idx="106">
                  <c:v>110573.76674005894</c:v>
                </c:pt>
                <c:pt idx="107">
                  <c:v>111389.8408413705</c:v>
                </c:pt>
                <c:pt idx="108">
                  <c:v>115292.29512498144</c:v>
                </c:pt>
                <c:pt idx="109">
                  <c:v>113291.50467876952</c:v>
                </c:pt>
                <c:pt idx="110">
                  <c:v>116396.64209290939</c:v>
                </c:pt>
                <c:pt idx="111">
                  <c:v>119070.68039401219</c:v>
                </c:pt>
                <c:pt idx="112">
                  <c:v>118436.04339003065</c:v>
                </c:pt>
                <c:pt idx="113">
                  <c:v>117872.50484822341</c:v>
                </c:pt>
                <c:pt idx="114">
                  <c:v>118563.18721515154</c:v>
                </c:pt>
                <c:pt idx="115">
                  <c:v>113508.15822438501</c:v>
                </c:pt>
                <c:pt idx="116">
                  <c:v>118022.47589860646</c:v>
                </c:pt>
                <c:pt idx="117">
                  <c:v>116742.15650471763</c:v>
                </c:pt>
                <c:pt idx="118">
                  <c:v>121407.95195209635</c:v>
                </c:pt>
                <c:pt idx="119">
                  <c:v>126610.53340463509</c:v>
                </c:pt>
                <c:pt idx="120">
                  <c:v>131124.73075752403</c:v>
                </c:pt>
                <c:pt idx="121">
                  <c:v>137149.16176026757</c:v>
                </c:pt>
                <c:pt idx="122">
                  <c:v>143524.33726287063</c:v>
                </c:pt>
                <c:pt idx="123">
                  <c:v>145539.20717876055</c:v>
                </c:pt>
                <c:pt idx="124">
                  <c:v>153617.0836762106</c:v>
                </c:pt>
                <c:pt idx="125">
                  <c:v>161033.67257049403</c:v>
                </c:pt>
                <c:pt idx="126">
                  <c:v>172481.36726079969</c:v>
                </c:pt>
                <c:pt idx="127">
                  <c:v>177687.6334184015</c:v>
                </c:pt>
                <c:pt idx="128">
                  <c:v>187322.28329661125</c:v>
                </c:pt>
                <c:pt idx="129">
                  <c:v>185629.91880596639</c:v>
                </c:pt>
                <c:pt idx="130">
                  <c:v>185409.65582730976</c:v>
                </c:pt>
                <c:pt idx="131">
                  <c:v>190739.69644260503</c:v>
                </c:pt>
                <c:pt idx="132">
                  <c:v>195046.77452249944</c:v>
                </c:pt>
                <c:pt idx="133">
                  <c:v>203029.76057507945</c:v>
                </c:pt>
                <c:pt idx="134">
                  <c:v>213510.21955790144</c:v>
                </c:pt>
                <c:pt idx="135">
                  <c:v>216481.04960902515</c:v>
                </c:pt>
                <c:pt idx="136">
                  <c:v>222447.2105508282</c:v>
                </c:pt>
                <c:pt idx="137">
                  <c:v>228187.14925441949</c:v>
                </c:pt>
                <c:pt idx="138">
                  <c:v>229039.03484938902</c:v>
                </c:pt>
                <c:pt idx="139">
                  <c:v>234619.63664407036</c:v>
                </c:pt>
                <c:pt idx="140">
                  <c:v>236923.95177575428</c:v>
                </c:pt>
                <c:pt idx="141">
                  <c:v>241802.1199781239</c:v>
                </c:pt>
                <c:pt idx="142">
                  <c:v>243146.8956706803</c:v>
                </c:pt>
                <c:pt idx="143">
                  <c:v>249324.37239888191</c:v>
                </c:pt>
                <c:pt idx="144">
                  <c:v>252949.3022814735</c:v>
                </c:pt>
                <c:pt idx="145">
                  <c:v>252925.84554406218</c:v>
                </c:pt>
                <c:pt idx="146">
                  <c:v>263069.46285208018</c:v>
                </c:pt>
                <c:pt idx="147">
                  <c:v>273301.45973777556</c:v>
                </c:pt>
                <c:pt idx="148">
                  <c:v>282377.20295884425</c:v>
                </c:pt>
                <c:pt idx="149">
                  <c:v>282775.05319613393</c:v>
                </c:pt>
                <c:pt idx="150">
                  <c:v>290080.94844780641</c:v>
                </c:pt>
                <c:pt idx="151">
                  <c:v>332176.32289839111</c:v>
                </c:pt>
                <c:pt idx="152">
                  <c:v>354622.92693884781</c:v>
                </c:pt>
                <c:pt idx="153">
                  <c:v>351709.33464199892</c:v>
                </c:pt>
                <c:pt idx="154">
                  <c:v>341976.60968256422</c:v>
                </c:pt>
                <c:pt idx="155">
                  <c:v>336175.79478146299</c:v>
                </c:pt>
                <c:pt idx="156">
                  <c:v>339410.17128588201</c:v>
                </c:pt>
                <c:pt idx="157">
                  <c:v>338482.37564087712</c:v>
                </c:pt>
                <c:pt idx="158">
                  <c:v>350068.14699059492</c:v>
                </c:pt>
                <c:pt idx="159">
                  <c:v>335925.19115822029</c:v>
                </c:pt>
                <c:pt idx="160">
                  <c:v>333646.64615426399</c:v>
                </c:pt>
                <c:pt idx="161">
                  <c:v>334718.06641351513</c:v>
                </c:pt>
                <c:pt idx="162">
                  <c:v>348669.65539185837</c:v>
                </c:pt>
                <c:pt idx="163">
                  <c:v>348677.58814094099</c:v>
                </c:pt>
                <c:pt idx="164">
                  <c:v>369777.52615651465</c:v>
                </c:pt>
                <c:pt idx="165">
                  <c:v>374552.9397469539</c:v>
                </c:pt>
                <c:pt idx="166">
                  <c:v>368955.65238778677</c:v>
                </c:pt>
                <c:pt idx="167">
                  <c:v>375241.91097713012</c:v>
                </c:pt>
                <c:pt idx="168">
                  <c:v>370346.20515128475</c:v>
                </c:pt>
                <c:pt idx="169">
                  <c:v>347447.83241941896</c:v>
                </c:pt>
                <c:pt idx="170">
                  <c:v>349835.90751590213</c:v>
                </c:pt>
                <c:pt idx="171">
                  <c:v>340522.84114215785</c:v>
                </c:pt>
                <c:pt idx="172">
                  <c:v>346879.17847912328</c:v>
                </c:pt>
                <c:pt idx="173">
                  <c:v>353647.78127594391</c:v>
                </c:pt>
                <c:pt idx="174">
                  <c:v>352961.21601463726</c:v>
                </c:pt>
                <c:pt idx="175">
                  <c:v>356565.57975247822</c:v>
                </c:pt>
                <c:pt idx="176">
                  <c:v>360030.1024869731</c:v>
                </c:pt>
                <c:pt idx="177">
                  <c:v>354734.13846412377</c:v>
                </c:pt>
                <c:pt idx="178">
                  <c:v>358715.64694473572</c:v>
                </c:pt>
                <c:pt idx="179">
                  <c:v>352899.85998848337</c:v>
                </c:pt>
                <c:pt idx="180">
                  <c:v>378004.32813576021</c:v>
                </c:pt>
                <c:pt idx="181">
                  <c:v>378503.68314343248</c:v>
                </c:pt>
                <c:pt idx="182">
                  <c:v>385504.03473920241</c:v>
                </c:pt>
                <c:pt idx="183">
                  <c:v>368603.95943927759</c:v>
                </c:pt>
                <c:pt idx="184">
                  <c:v>372878.9668542947</c:v>
                </c:pt>
                <c:pt idx="185">
                  <c:v>375959.30562549864</c:v>
                </c:pt>
                <c:pt idx="186">
                  <c:v>379360.63715238433</c:v>
                </c:pt>
                <c:pt idx="187">
                  <c:v>381612.70625837444</c:v>
                </c:pt>
                <c:pt idx="188">
                  <c:v>369794.62094279123</c:v>
                </c:pt>
                <c:pt idx="189">
                  <c:v>369420.12023789209</c:v>
                </c:pt>
                <c:pt idx="190">
                  <c:v>367551.54073754093</c:v>
                </c:pt>
                <c:pt idx="191">
                  <c:v>370797.00838024449</c:v>
                </c:pt>
                <c:pt idx="192">
                  <c:v>388480.2708675256</c:v>
                </c:pt>
                <c:pt idx="193">
                  <c:v>395271.34724272339</c:v>
                </c:pt>
                <c:pt idx="194">
                  <c:v>402130.61024071003</c:v>
                </c:pt>
                <c:pt idx="195">
                  <c:v>404794.26226002135</c:v>
                </c:pt>
                <c:pt idx="196">
                  <c:v>12464788</c:v>
                </c:pt>
                <c:pt idx="197">
                  <c:v>13819702</c:v>
                </c:pt>
                <c:pt idx="198">
                  <c:v>14408631</c:v>
                </c:pt>
                <c:pt idx="199">
                  <c:v>15469163</c:v>
                </c:pt>
                <c:pt idx="200">
                  <c:v>15545879</c:v>
                </c:pt>
                <c:pt idx="201">
                  <c:v>16665376</c:v>
                </c:pt>
                <c:pt idx="202">
                  <c:v>16900965</c:v>
                </c:pt>
                <c:pt idx="203">
                  <c:v>17618092</c:v>
                </c:pt>
                <c:pt idx="204">
                  <c:v>16226574</c:v>
                </c:pt>
                <c:pt idx="205">
                  <c:v>14336837</c:v>
                </c:pt>
                <c:pt idx="206">
                  <c:v>13230809</c:v>
                </c:pt>
                <c:pt idx="207">
                  <c:v>14223485</c:v>
                </c:pt>
                <c:pt idx="208">
                  <c:v>15394878</c:v>
                </c:pt>
                <c:pt idx="209">
                  <c:v>15704378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15-4BD2-8B1F-1537104E9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473167"/>
        <c:axId val="499691567"/>
      </c:lineChart>
      <c:catAx>
        <c:axId val="721473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691567"/>
        <c:crosses val="autoZero"/>
        <c:auto val="1"/>
        <c:lblAlgn val="ctr"/>
        <c:lblOffset val="100"/>
        <c:noMultiLvlLbl val="0"/>
      </c:catAx>
      <c:valAx>
        <c:axId val="4996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47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Levels!$AG$58:$AG$198</c:f>
              <c:numCache>
                <c:formatCode>General</c:formatCode>
                <c:ptCount val="141"/>
                <c:pt idx="0">
                  <c:v>0.73343179590257046</c:v>
                </c:pt>
                <c:pt idx="1">
                  <c:v>0.31733465933786309</c:v>
                </c:pt>
                <c:pt idx="2">
                  <c:v>0.45960830655262247</c:v>
                </c:pt>
                <c:pt idx="3">
                  <c:v>0.26269464662745656</c:v>
                </c:pt>
                <c:pt idx="4">
                  <c:v>0.13929155003809218</c:v>
                </c:pt>
                <c:pt idx="5">
                  <c:v>3.6362103965164497E-2</c:v>
                </c:pt>
                <c:pt idx="6">
                  <c:v>5.4235317906247867E-2</c:v>
                </c:pt>
                <c:pt idx="7">
                  <c:v>9.2657992887520607E-2</c:v>
                </c:pt>
                <c:pt idx="8">
                  <c:v>0.21198912338784212</c:v>
                </c:pt>
                <c:pt idx="9">
                  <c:v>0.33631163702058875</c:v>
                </c:pt>
                <c:pt idx="10">
                  <c:v>0.30293484384945196</c:v>
                </c:pt>
                <c:pt idx="11">
                  <c:v>-5.2703589393737778</c:v>
                </c:pt>
                <c:pt idx="12">
                  <c:v>-0.70508051855329423</c:v>
                </c:pt>
                <c:pt idx="13">
                  <c:v>-0.65045366306633268</c:v>
                </c:pt>
                <c:pt idx="14">
                  <c:v>-0.47667036570864396</c:v>
                </c:pt>
                <c:pt idx="15">
                  <c:v>0.56048774259507417</c:v>
                </c:pt>
                <c:pt idx="16">
                  <c:v>0.75368759790637174</c:v>
                </c:pt>
                <c:pt idx="17">
                  <c:v>0.35189897782056201</c:v>
                </c:pt>
                <c:pt idx="18">
                  <c:v>0.25531001113459223</c:v>
                </c:pt>
                <c:pt idx="19">
                  <c:v>0.16048364511959096</c:v>
                </c:pt>
                <c:pt idx="20">
                  <c:v>0.14223276364566301</c:v>
                </c:pt>
                <c:pt idx="21">
                  <c:v>2.2439376630583246E-2</c:v>
                </c:pt>
                <c:pt idx="22">
                  <c:v>0.15560200219500972</c:v>
                </c:pt>
                <c:pt idx="23">
                  <c:v>0.37616010749109691</c:v>
                </c:pt>
                <c:pt idx="24">
                  <c:v>-1.10622950774162</c:v>
                </c:pt>
                <c:pt idx="25">
                  <c:v>-0.78044647062775396</c:v>
                </c:pt>
                <c:pt idx="26">
                  <c:v>-0.2420989614583518</c:v>
                </c:pt>
                <c:pt idx="27">
                  <c:v>-0.23702072949446906</c:v>
                </c:pt>
                <c:pt idx="28">
                  <c:v>-0.22253585734060494</c:v>
                </c:pt>
                <c:pt idx="29">
                  <c:v>-0.14068702794124202</c:v>
                </c:pt>
                <c:pt idx="30">
                  <c:v>-6.5009198041838689E-2</c:v>
                </c:pt>
                <c:pt idx="31">
                  <c:v>0.13422169354573971</c:v>
                </c:pt>
                <c:pt idx="32">
                  <c:v>0.68056029792691475</c:v>
                </c:pt>
                <c:pt idx="33">
                  <c:v>0.82808256825729198</c:v>
                </c:pt>
                <c:pt idx="34">
                  <c:v>0.7768235619424434</c:v>
                </c:pt>
                <c:pt idx="35">
                  <c:v>1.0508908306929023</c:v>
                </c:pt>
                <c:pt idx="36">
                  <c:v>1.2768539071707157</c:v>
                </c:pt>
                <c:pt idx="37">
                  <c:v>7.5960568411195233</c:v>
                </c:pt>
                <c:pt idx="38">
                  <c:v>7.8956470170981028</c:v>
                </c:pt>
                <c:pt idx="39">
                  <c:v>-6.5468887188557678</c:v>
                </c:pt>
                <c:pt idx="40">
                  <c:v>3.841771037646434</c:v>
                </c:pt>
                <c:pt idx="41">
                  <c:v>0.2657779419456599</c:v>
                </c:pt>
                <c:pt idx="42">
                  <c:v>0.20860027302296033</c:v>
                </c:pt>
                <c:pt idx="43">
                  <c:v>0.14074482205626235</c:v>
                </c:pt>
                <c:pt idx="44">
                  <c:v>0.12215575901008491</c:v>
                </c:pt>
                <c:pt idx="45">
                  <c:v>0.28695149809148995</c:v>
                </c:pt>
                <c:pt idx="46">
                  <c:v>0.29874918525471633</c:v>
                </c:pt>
                <c:pt idx="47">
                  <c:v>0.35562089085204601</c:v>
                </c:pt>
                <c:pt idx="48">
                  <c:v>0.41703405389785464</c:v>
                </c:pt>
                <c:pt idx="49">
                  <c:v>0.2951265204888962</c:v>
                </c:pt>
                <c:pt idx="50">
                  <c:v>0.22108049353110903</c:v>
                </c:pt>
                <c:pt idx="51">
                  <c:v>0.22002936249430549</c:v>
                </c:pt>
                <c:pt idx="52">
                  <c:v>0.193693829451699</c:v>
                </c:pt>
                <c:pt idx="53">
                  <c:v>0.18103855273083444</c:v>
                </c:pt>
                <c:pt idx="54">
                  <c:v>0.39470698488377975</c:v>
                </c:pt>
                <c:pt idx="55">
                  <c:v>0.28060916137619929</c:v>
                </c:pt>
                <c:pt idx="56">
                  <c:v>0.19718823211150391</c:v>
                </c:pt>
                <c:pt idx="57">
                  <c:v>0.23019570166010739</c:v>
                </c:pt>
                <c:pt idx="58">
                  <c:v>0.22776454464272083</c:v>
                </c:pt>
                <c:pt idx="59">
                  <c:v>0.18280683153881389</c:v>
                </c:pt>
                <c:pt idx="60">
                  <c:v>0.4046001161238002</c:v>
                </c:pt>
                <c:pt idx="61">
                  <c:v>0.5210375977002164</c:v>
                </c:pt>
                <c:pt idx="62">
                  <c:v>0.26461183666787652</c:v>
                </c:pt>
                <c:pt idx="63">
                  <c:v>-0.22958780225035513</c:v>
                </c:pt>
                <c:pt idx="64">
                  <c:v>2.1411934017888951E-2</c:v>
                </c:pt>
                <c:pt idx="65">
                  <c:v>0.18884374812072513</c:v>
                </c:pt>
                <c:pt idx="66">
                  <c:v>0.21708046458534647</c:v>
                </c:pt>
                <c:pt idx="67">
                  <c:v>0.43511894239634946</c:v>
                </c:pt>
                <c:pt idx="68">
                  <c:v>0.79453662590648855</c:v>
                </c:pt>
                <c:pt idx="69">
                  <c:v>0.37184281576883865</c:v>
                </c:pt>
                <c:pt idx="70">
                  <c:v>0.21583685732347399</c:v>
                </c:pt>
                <c:pt idx="71">
                  <c:v>8.0450622918450801E-2</c:v>
                </c:pt>
                <c:pt idx="72">
                  <c:v>4.1887317634034783E-2</c:v>
                </c:pt>
                <c:pt idx="73">
                  <c:v>0.34095167943161936</c:v>
                </c:pt>
                <c:pt idx="74">
                  <c:v>-7.9016463377110199E-2</c:v>
                </c:pt>
                <c:pt idx="75">
                  <c:v>-2.8174102810553457E-2</c:v>
                </c:pt>
                <c:pt idx="76">
                  <c:v>6.660702916321104E-2</c:v>
                </c:pt>
                <c:pt idx="77">
                  <c:v>0.15573898580601681</c:v>
                </c:pt>
                <c:pt idx="78">
                  <c:v>0.42419628614702248</c:v>
                </c:pt>
                <c:pt idx="79">
                  <c:v>0.37013455389651279</c:v>
                </c:pt>
                <c:pt idx="80">
                  <c:v>0.6839730766582498</c:v>
                </c:pt>
                <c:pt idx="81">
                  <c:v>0.72844962836130944</c:v>
                </c:pt>
                <c:pt idx="82">
                  <c:v>0.40284493890718226</c:v>
                </c:pt>
                <c:pt idx="83">
                  <c:v>0.72501526325926646</c:v>
                </c:pt>
                <c:pt idx="84">
                  <c:v>0.78191635557978501</c:v>
                </c:pt>
                <c:pt idx="85">
                  <c:v>0.73818789221262304</c:v>
                </c:pt>
                <c:pt idx="86">
                  <c:v>0.61897403150715358</c:v>
                </c:pt>
                <c:pt idx="87">
                  <c:v>0.41916713331558975</c:v>
                </c:pt>
                <c:pt idx="88">
                  <c:v>0.28478072485304967</c:v>
                </c:pt>
                <c:pt idx="89">
                  <c:v>0.2118331892626292</c:v>
                </c:pt>
                <c:pt idx="90">
                  <c:v>0.13014766177300965</c:v>
                </c:pt>
                <c:pt idx="91">
                  <c:v>-4.8064061698372539E-2</c:v>
                </c:pt>
                <c:pt idx="92">
                  <c:v>0.21218541318217246</c:v>
                </c:pt>
                <c:pt idx="93">
                  <c:v>0.32651156331900921</c:v>
                </c:pt>
                <c:pt idx="94">
                  <c:v>0.19929772968071793</c:v>
                </c:pt>
                <c:pt idx="95">
                  <c:v>0.21069824512553884</c:v>
                </c:pt>
                <c:pt idx="96">
                  <c:v>0.30513585090286433</c:v>
                </c:pt>
                <c:pt idx="97">
                  <c:v>0.49331259583089926</c:v>
                </c:pt>
                <c:pt idx="98">
                  <c:v>1.9976835734533323</c:v>
                </c:pt>
                <c:pt idx="99">
                  <c:v>-0.62217664422992391</c:v>
                </c:pt>
                <c:pt idx="100">
                  <c:v>-0.22494583886173738</c:v>
                </c:pt>
                <c:pt idx="101">
                  <c:v>-1.0644925769219184E-2</c:v>
                </c:pt>
                <c:pt idx="102">
                  <c:v>0.40552398991364036</c:v>
                </c:pt>
                <c:pt idx="103">
                  <c:v>0.441461688938311</c:v>
                </c:pt>
                <c:pt idx="104">
                  <c:v>0.2918377325008415</c:v>
                </c:pt>
                <c:pt idx="105">
                  <c:v>0.30838924551949431</c:v>
                </c:pt>
                <c:pt idx="106">
                  <c:v>0.89865326170142767</c:v>
                </c:pt>
                <c:pt idx="107">
                  <c:v>4.5777117934484277</c:v>
                </c:pt>
                <c:pt idx="108">
                  <c:v>2.1346243684328843</c:v>
                </c:pt>
                <c:pt idx="109">
                  <c:v>2.10806269756683</c:v>
                </c:pt>
                <c:pt idx="110">
                  <c:v>0.30118956044962369</c:v>
                </c:pt>
                <c:pt idx="111">
                  <c:v>0.36781562319887484</c:v>
                </c:pt>
                <c:pt idx="112">
                  <c:v>0.33434800165230388</c:v>
                </c:pt>
                <c:pt idx="113">
                  <c:v>0.25168888162244413</c:v>
                </c:pt>
                <c:pt idx="114">
                  <c:v>0.27132065017560575</c:v>
                </c:pt>
                <c:pt idx="115">
                  <c:v>0.15164537000836878</c:v>
                </c:pt>
                <c:pt idx="116">
                  <c:v>0.20420532735153299</c:v>
                </c:pt>
                <c:pt idx="117">
                  <c:v>0.29065982598609014</c:v>
                </c:pt>
                <c:pt idx="118">
                  <c:v>0.35583925312590187</c:v>
                </c:pt>
                <c:pt idx="119">
                  <c:v>0.55734041511035071</c:v>
                </c:pt>
                <c:pt idx="120">
                  <c:v>0.58686416212992998</c:v>
                </c:pt>
                <c:pt idx="121">
                  <c:v>0.66046769129153149</c:v>
                </c:pt>
                <c:pt idx="122">
                  <c:v>2.1233016233216957</c:v>
                </c:pt>
                <c:pt idx="123">
                  <c:v>3.4434281799105255</c:v>
                </c:pt>
                <c:pt idx="124">
                  <c:v>-0.55871421845253622</c:v>
                </c:pt>
                <c:pt idx="125">
                  <c:v>-9.8993920216757285</c:v>
                </c:pt>
                <c:pt idx="126">
                  <c:v>0.49540470730679187</c:v>
                </c:pt>
                <c:pt idx="127">
                  <c:v>0.35601552298374084</c:v>
                </c:pt>
                <c:pt idx="128">
                  <c:v>0.1304398310143412</c:v>
                </c:pt>
                <c:pt idx="129">
                  <c:v>0.22847144463518879</c:v>
                </c:pt>
                <c:pt idx="130">
                  <c:v>0.20204395755270591</c:v>
                </c:pt>
                <c:pt idx="131">
                  <c:v>0.26228326915698968</c:v>
                </c:pt>
                <c:pt idx="132">
                  <c:v>0.29848422226601462</c:v>
                </c:pt>
                <c:pt idx="133">
                  <c:v>0.33760297071061612</c:v>
                </c:pt>
                <c:pt idx="134">
                  <c:v>0.39085175619171181</c:v>
                </c:pt>
                <c:pt idx="135">
                  <c:v>7.1029477616754351</c:v>
                </c:pt>
                <c:pt idx="136">
                  <c:v>-6.5517962515811767</c:v>
                </c:pt>
                <c:pt idx="137">
                  <c:v>0.31474840676611293</c:v>
                </c:pt>
                <c:pt idx="138">
                  <c:v>0.57597319112156975</c:v>
                </c:pt>
                <c:pt idx="139">
                  <c:v>4.0142214480998903E-2</c:v>
                </c:pt>
                <c:pt idx="140">
                  <c:v>3.4937615450770627E-3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70-4F5E-B272-951326BF5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075552"/>
        <c:axId val="975076512"/>
      </c:lineChart>
      <c:catAx>
        <c:axId val="97507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076512"/>
        <c:crosses val="autoZero"/>
        <c:auto val="1"/>
        <c:lblAlgn val="ctr"/>
        <c:lblOffset val="100"/>
        <c:noMultiLvlLbl val="0"/>
      </c:catAx>
      <c:valAx>
        <c:axId val="97507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07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184</xdr:row>
      <xdr:rowOff>157162</xdr:rowOff>
    </xdr:from>
    <xdr:to>
      <xdr:col>18</xdr:col>
      <xdr:colOff>228600</xdr:colOff>
      <xdr:row>200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6AA910-F550-9557-DF2E-F093ABE30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533400</xdr:colOff>
      <xdr:row>11</xdr:row>
      <xdr:rowOff>61912</xdr:rowOff>
    </xdr:from>
    <xdr:to>
      <xdr:col>22</xdr:col>
      <xdr:colOff>228600</xdr:colOff>
      <xdr:row>26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89C41C-2D73-E922-3439-6E4F0DCBB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3555-226A-41CF-9A84-6ACD20D58E2F}">
  <dimension ref="A1:X179"/>
  <sheetViews>
    <sheetView topLeftCell="B4" workbookViewId="0">
      <selection activeCell="N4" sqref="N4"/>
    </sheetView>
  </sheetViews>
  <sheetFormatPr defaultRowHeight="14.5" x14ac:dyDescent="0.35"/>
  <cols>
    <col min="5" max="5" width="10.81640625" bestFit="1" customWidth="1"/>
    <col min="9" max="10" width="10.81640625" customWidth="1"/>
  </cols>
  <sheetData>
    <row r="1" spans="1:24" x14ac:dyDescent="0.35">
      <c r="A1" t="s">
        <v>0</v>
      </c>
      <c r="B1" t="s">
        <v>166</v>
      </c>
      <c r="C1" t="s">
        <v>226</v>
      </c>
      <c r="D1" t="str">
        <f>Levels!D1</f>
        <v>net worth</v>
      </c>
      <c r="E1" t="str">
        <f>Levels!V1</f>
        <v>pvt safe</v>
      </c>
      <c r="F1" t="s">
        <v>167</v>
      </c>
      <c r="G1" t="s">
        <v>222</v>
      </c>
      <c r="H1" s="6" t="s">
        <v>225</v>
      </c>
      <c r="I1" t="str">
        <f>Levels!W1</f>
        <v>LI_leverage</v>
      </c>
      <c r="J1" t="str">
        <f>Levels!AD1</f>
        <v>ma_equity_invcap_mean</v>
      </c>
      <c r="K1" t="str">
        <f>Levels!AC1</f>
        <v>ffr</v>
      </c>
      <c r="L1" t="s">
        <v>169</v>
      </c>
      <c r="M1" t="s">
        <v>170</v>
      </c>
      <c r="N1" t="s">
        <v>160</v>
      </c>
      <c r="O1" t="s">
        <v>230</v>
      </c>
      <c r="P1" t="s">
        <v>162</v>
      </c>
      <c r="Q1" t="s">
        <v>223</v>
      </c>
      <c r="R1" t="s">
        <v>163</v>
      </c>
      <c r="S1" t="s">
        <v>164</v>
      </c>
      <c r="T1" t="s">
        <v>165</v>
      </c>
      <c r="U1" t="s">
        <v>227</v>
      </c>
      <c r="V1" t="s">
        <v>228</v>
      </c>
      <c r="W1" t="s">
        <v>229</v>
      </c>
      <c r="X1" t="str">
        <f>Levels!AB1</f>
        <v>vola_shock</v>
      </c>
    </row>
    <row r="2" spans="1:24" x14ac:dyDescent="0.35">
      <c r="A2" t="str">
        <f>Levels!A2</f>
        <v>1971Q1</v>
      </c>
      <c r="B2">
        <f>Levels!B2/Levels!$R2</f>
        <v>1146.9861056754896</v>
      </c>
      <c r="C2">
        <f>Levels!C2/Levels!$R2</f>
        <v>216295.2296511844</v>
      </c>
      <c r="D2">
        <f>Levels!D2/Levels!R2</f>
        <v>183563.37237485964</v>
      </c>
      <c r="E2">
        <f>Levels!V2/Levels!R2</f>
        <v>1028622.8635118463</v>
      </c>
      <c r="G2">
        <f>Levels!F2</f>
        <v>3107.249149876835</v>
      </c>
      <c r="H2">
        <f>Levels!G2</f>
        <v>-2.1</v>
      </c>
      <c r="J2">
        <f>Levels!AD2</f>
        <v>-1.1871577556454627E-2</v>
      </c>
      <c r="K2">
        <f>Levels!AC2</f>
        <v>3.8566666666666669</v>
      </c>
      <c r="L2">
        <f>Levels!I2</f>
        <v>-0.49996227946916427</v>
      </c>
      <c r="M2">
        <f>Levels!J2</f>
        <v>1.9854294841089</v>
      </c>
      <c r="N2">
        <f>Levels!K2</f>
        <v>-0.15297860068392799</v>
      </c>
      <c r="P2">
        <f>Levels!M2</f>
        <v>0.14492942188065799</v>
      </c>
      <c r="Q2">
        <f>Levels!N2</f>
        <v>0.16729428260769233</v>
      </c>
      <c r="R2">
        <f>Levels!O2</f>
        <v>0.79096955613266395</v>
      </c>
      <c r="S2">
        <f>Levels!P2</f>
        <v>0.97779341102097905</v>
      </c>
      <c r="T2">
        <f>Levels!Q2</f>
        <v>5072.9960000000001</v>
      </c>
      <c r="U2">
        <f>Levels!S2</f>
        <v>-4.2005675519999999</v>
      </c>
      <c r="V2">
        <f>Levels!T2</f>
        <v>3.5197163480000002</v>
      </c>
      <c r="W2">
        <f>Levels!U2</f>
        <v>4.7928510000000001E-2</v>
      </c>
      <c r="X2">
        <f>Levels!AB2</f>
        <v>-0.99253556539002696</v>
      </c>
    </row>
    <row r="3" spans="1:24" x14ac:dyDescent="0.35">
      <c r="A3" t="str">
        <f>Levels!A3</f>
        <v>1971Q2</v>
      </c>
      <c r="B3">
        <f>Levels!B3/Levels!$R3</f>
        <v>1181.7508852124838</v>
      </c>
      <c r="C3">
        <f>Levels!C3/Levels!$R3</f>
        <v>215131.26349103032</v>
      </c>
      <c r="D3">
        <f>Levels!D3/Levels!R3</f>
        <v>187801.59866736291</v>
      </c>
      <c r="E3">
        <f>Levels!V3/Levels!R3</f>
        <v>1063192.1413541758</v>
      </c>
      <c r="G3">
        <f>Levels!F3</f>
        <v>3132.4206456131546</v>
      </c>
      <c r="H3">
        <f>Levels!G3</f>
        <v>-0.5</v>
      </c>
      <c r="J3">
        <f>Levels!AD3</f>
        <v>-1.1629499452408765E-2</v>
      </c>
      <c r="K3">
        <f>Levels!AC3</f>
        <v>4.5666666666666664</v>
      </c>
      <c r="L3">
        <f>Levels!I3</f>
        <v>-0.33476317460317428</v>
      </c>
      <c r="M3">
        <f>Levels!J3</f>
        <v>2.0035370992705901</v>
      </c>
      <c r="N3">
        <f>Levels!K3</f>
        <v>-0.25304609672788297</v>
      </c>
      <c r="P3">
        <f>Levels!M3</f>
        <v>1.0346772708502039E-2</v>
      </c>
      <c r="Q3">
        <f>Levels!N3</f>
        <v>0.49772333021870668</v>
      </c>
      <c r="R3">
        <f>Levels!O3</f>
        <v>0.75466324140772201</v>
      </c>
      <c r="S3">
        <f>Levels!P3</f>
        <v>0.93890474327853302</v>
      </c>
      <c r="T3">
        <f>Levels!Q3</f>
        <v>5100.4470000000001</v>
      </c>
      <c r="U3">
        <f>Levels!S3</f>
        <v>1.0692357020000001</v>
      </c>
      <c r="V3">
        <f>Levels!T3</f>
        <v>-1.3260016530000001</v>
      </c>
      <c r="W3">
        <f>Levels!U3</f>
        <v>-0.20350855100000001</v>
      </c>
      <c r="X3">
        <f>Levels!AB3</f>
        <v>0.11138772535651401</v>
      </c>
    </row>
    <row r="4" spans="1:24" x14ac:dyDescent="0.35">
      <c r="A4" t="str">
        <f>Levels!A4</f>
        <v>1971Q3</v>
      </c>
      <c r="B4">
        <f>Levels!B4/Levels!$R4</f>
        <v>1208.3142998695851</v>
      </c>
      <c r="C4">
        <f>Levels!C4/Levels!$R4</f>
        <v>212956.09288493259</v>
      </c>
      <c r="D4">
        <f>Levels!D4/Levels!R4</f>
        <v>192946.5554412507</v>
      </c>
      <c r="E4">
        <f>Levels!V4/Levels!R4</f>
        <v>1091280.9540851798</v>
      </c>
      <c r="G4">
        <f>Levels!F4</f>
        <v>3148.7996568785097</v>
      </c>
      <c r="H4">
        <f>Levels!G4</f>
        <v>0</v>
      </c>
      <c r="J4">
        <f>Levels!AD4</f>
        <v>-3.640672704525505E-3</v>
      </c>
      <c r="K4">
        <f>Levels!AC4</f>
        <v>5.4766666666666666</v>
      </c>
      <c r="L4">
        <f>Levels!I4</f>
        <v>-0.17078910714285733</v>
      </c>
      <c r="M4">
        <f>Levels!J4</f>
        <v>1.9910998459870799</v>
      </c>
      <c r="N4">
        <f>Levels!K4</f>
        <v>-0.37432899080373</v>
      </c>
      <c r="P4">
        <f>Levels!M4</f>
        <v>-0.13164364342254101</v>
      </c>
      <c r="Q4">
        <f>Levels!N4</f>
        <v>0.16400188813981464</v>
      </c>
      <c r="R4">
        <f>Levels!O4</f>
        <v>0.76033864456955003</v>
      </c>
      <c r="S4">
        <f>Levels!P4</f>
        <v>0.94071233916643904</v>
      </c>
      <c r="T4">
        <f>Levels!Q4</f>
        <v>5142.4219999999996</v>
      </c>
      <c r="U4">
        <f>Levels!S4</f>
        <v>-1.079585612</v>
      </c>
      <c r="V4">
        <f>Levels!T4</f>
        <v>0.29892607999999998</v>
      </c>
      <c r="W4">
        <f>Levels!U4</f>
        <v>0.40864257500000001</v>
      </c>
      <c r="X4">
        <f>Levels!AB4</f>
        <v>0.30780087654652699</v>
      </c>
    </row>
    <row r="5" spans="1:24" x14ac:dyDescent="0.35">
      <c r="A5" t="str">
        <f>Levels!A5</f>
        <v>1971Q4</v>
      </c>
      <c r="B5">
        <f>Levels!B5/Levels!$R5</f>
        <v>1239.8682973364866</v>
      </c>
      <c r="C5">
        <f>Levels!C5/Levels!$R5</f>
        <v>222961.20156502671</v>
      </c>
      <c r="D5">
        <f>Levels!D5/Levels!R5</f>
        <v>200141.42640627132</v>
      </c>
      <c r="E5">
        <f>Levels!V5/Levels!R5</f>
        <v>1136453.6448867559</v>
      </c>
      <c r="G5">
        <f>Levels!F5</f>
        <v>3182.1609408143822</v>
      </c>
      <c r="H5">
        <f>Levels!G5</f>
        <v>1.9</v>
      </c>
      <c r="J5">
        <f>Levels!AD5</f>
        <v>2.8613195352631182E-2</v>
      </c>
      <c r="K5">
        <f>Levels!AC5</f>
        <v>4.75</v>
      </c>
      <c r="L5">
        <f>Levels!I5</f>
        <v>-0.8234862607338016</v>
      </c>
      <c r="M5">
        <f>Levels!J5</f>
        <v>1.9819173407080799</v>
      </c>
      <c r="N5">
        <f>Levels!K5</f>
        <v>-0.35322285081190702</v>
      </c>
      <c r="P5">
        <f>Levels!M5</f>
        <v>-0.14608553094380702</v>
      </c>
      <c r="Q5">
        <f>Levels!N5</f>
        <v>0.2446985314093047</v>
      </c>
      <c r="R5">
        <f>Levels!O5</f>
        <v>0.75628188058049906</v>
      </c>
      <c r="S5">
        <f>Levels!P5</f>
        <v>0.94820076038364898</v>
      </c>
      <c r="T5">
        <f>Levels!Q5</f>
        <v>5154.5469999999996</v>
      </c>
      <c r="U5">
        <f>Levels!S5</f>
        <v>2.398831258</v>
      </c>
      <c r="V5">
        <f>Levels!T5</f>
        <v>-0.26675264500000001</v>
      </c>
      <c r="W5">
        <f>Levels!U5</f>
        <v>0.47947587699999999</v>
      </c>
      <c r="X5">
        <f>Levels!AB5</f>
        <v>-7.1932089241717095E-2</v>
      </c>
    </row>
    <row r="6" spans="1:24" x14ac:dyDescent="0.35">
      <c r="A6" t="str">
        <f>Levels!A6</f>
        <v>1972Q1</v>
      </c>
      <c r="B6">
        <f>Levels!B6/Levels!$R6</f>
        <v>1263.1117338904717</v>
      </c>
      <c r="C6">
        <f>Levels!C6/Levels!$R6</f>
        <v>222285.29747102596</v>
      </c>
      <c r="D6">
        <f>Levels!D6/Levels!R6</f>
        <v>208062.21141705834</v>
      </c>
      <c r="E6">
        <f>Levels!V6/Levels!R6</f>
        <v>1165254.2269397222</v>
      </c>
      <c r="F6">
        <f>Levels!E6</f>
        <v>908.53700000000003</v>
      </c>
      <c r="G6">
        <f>Levels!F6</f>
        <v>3226.2103409696001</v>
      </c>
      <c r="H6">
        <f>Levels!G6</f>
        <v>2.6</v>
      </c>
      <c r="J6">
        <f>Levels!AD6</f>
        <v>2.3036362135946398E-3</v>
      </c>
      <c r="K6">
        <f>Levels!AC6</f>
        <v>3.5466666666666669</v>
      </c>
      <c r="L6">
        <f>Levels!I6</f>
        <v>-0.74157349206349199</v>
      </c>
      <c r="M6">
        <f>Levels!J6</f>
        <v>2.0227772548784402</v>
      </c>
      <c r="N6">
        <f>Levels!K6</f>
        <v>-0.73939461011942598</v>
      </c>
      <c r="P6">
        <f>Levels!M6</f>
        <v>-0.57402807598092598</v>
      </c>
      <c r="Q6">
        <f>Levels!N6</f>
        <v>0.24291625182383667</v>
      </c>
      <c r="R6">
        <f>Levels!O6</f>
        <v>0.74905766918581196</v>
      </c>
      <c r="S6">
        <f>Levels!P6</f>
        <v>0.89377226659146602</v>
      </c>
      <c r="T6">
        <f>Levels!Q6</f>
        <v>5249.3370000000004</v>
      </c>
      <c r="U6">
        <f>Levels!S6</f>
        <v>0.55881061499999996</v>
      </c>
      <c r="V6">
        <f>Levels!T6</f>
        <v>2.9088960180000001</v>
      </c>
      <c r="W6">
        <f>Levels!U6</f>
        <v>-3.6705216630000002</v>
      </c>
      <c r="X6">
        <f>Levels!AB6</f>
        <v>-0.50540096441740701</v>
      </c>
    </row>
    <row r="7" spans="1:24" x14ac:dyDescent="0.35">
      <c r="A7" t="str">
        <f>Levels!A7</f>
        <v>1972Q2</v>
      </c>
      <c r="B7">
        <f>Levels!B7/Levels!$R7</f>
        <v>1308.5801232577471</v>
      </c>
      <c r="C7">
        <f>Levels!C7/Levels!$R7</f>
        <v>221312.68432494384</v>
      </c>
      <c r="D7">
        <f>Levels!D7/Levels!R7</f>
        <v>210594.23030606163</v>
      </c>
      <c r="E7">
        <f>Levels!V7/Levels!R7</f>
        <v>1204986.0692786474</v>
      </c>
      <c r="F7">
        <f>Levels!E7</f>
        <v>919.34500000000003</v>
      </c>
      <c r="G7">
        <f>Levels!F7</f>
        <v>3276.546653344858</v>
      </c>
      <c r="H7">
        <f>Levels!G7</f>
        <v>3</v>
      </c>
      <c r="J7">
        <f>Levels!AD7</f>
        <v>-2.3576010988009766E-2</v>
      </c>
      <c r="K7">
        <f>Levels!AC7</f>
        <v>4.3</v>
      </c>
      <c r="L7">
        <f>Levels!I7</f>
        <v>-0.69670607142857222</v>
      </c>
      <c r="M7">
        <f>Levels!J7</f>
        <v>2.0331157848759598</v>
      </c>
      <c r="N7">
        <f>Levels!K7</f>
        <v>-0.84409952672258604</v>
      </c>
      <c r="P7">
        <f>Levels!M7</f>
        <v>-0.71528011318391405</v>
      </c>
      <c r="Q7">
        <f>Levels!N7</f>
        <v>0.24096478817537068</v>
      </c>
      <c r="R7">
        <f>Levels!O7</f>
        <v>0.72086478063553305</v>
      </c>
      <c r="S7">
        <f>Levels!P7</f>
        <v>0.86197467630532798</v>
      </c>
      <c r="T7">
        <f>Levels!Q7</f>
        <v>5368.4849999999997</v>
      </c>
      <c r="U7">
        <f>Levels!S7</f>
        <v>-0.61409979999999997</v>
      </c>
      <c r="V7">
        <f>Levels!T7</f>
        <v>-1.3445919980000001</v>
      </c>
      <c r="W7">
        <f>Levels!U7</f>
        <v>0.183849386</v>
      </c>
      <c r="X7">
        <f>Levels!AB7</f>
        <v>1.3378271273554E-2</v>
      </c>
    </row>
    <row r="8" spans="1:24" x14ac:dyDescent="0.35">
      <c r="A8" t="str">
        <f>Levels!A8</f>
        <v>1972Q3</v>
      </c>
      <c r="B8">
        <f>Levels!B8/Levels!$R8</f>
        <v>1340.3831707313377</v>
      </c>
      <c r="C8">
        <f>Levels!C8/Levels!$R8</f>
        <v>218852.09917052955</v>
      </c>
      <c r="D8">
        <f>Levels!D8/Levels!R8</f>
        <v>218072.4792324178</v>
      </c>
      <c r="E8">
        <f>Levels!V8/Levels!R8</f>
        <v>1233553.3591822218</v>
      </c>
      <c r="F8">
        <f>Levels!E8</f>
        <v>917.59</v>
      </c>
      <c r="G8">
        <f>Levels!F8</f>
        <v>3329.6378136526419</v>
      </c>
      <c r="H8">
        <f>Levels!G8</f>
        <v>3.5</v>
      </c>
      <c r="J8">
        <f>Levels!AD8</f>
        <v>-1.9333254369501396E-2</v>
      </c>
      <c r="K8">
        <f>Levels!AC8</f>
        <v>4.7433333333333332</v>
      </c>
      <c r="L8">
        <f>Levels!I8</f>
        <v>-0.61610666666666525</v>
      </c>
      <c r="M8">
        <f>Levels!J8</f>
        <v>2.0413836183108098</v>
      </c>
      <c r="N8">
        <f>Levels!K8</f>
        <v>-0.815470678542496</v>
      </c>
      <c r="P8">
        <f>Levels!M8</f>
        <v>-0.70840304116539499</v>
      </c>
      <c r="Q8">
        <f>Levels!N8</f>
        <v>0.31879167651217866</v>
      </c>
      <c r="R8">
        <f>Levels!O8</f>
        <v>0.75740919806524198</v>
      </c>
      <c r="S8">
        <f>Levels!P8</f>
        <v>0.88100813043735604</v>
      </c>
      <c r="T8">
        <f>Levels!Q8</f>
        <v>5419.1840000000002</v>
      </c>
      <c r="U8">
        <f>Levels!S8</f>
        <v>1.5322160600000001</v>
      </c>
      <c r="V8">
        <f>Levels!T8</f>
        <v>-4.5506628E-2</v>
      </c>
      <c r="W8">
        <f>Levels!U8</f>
        <v>-2.9725927999999999E-2</v>
      </c>
      <c r="X8">
        <f>Levels!AB8</f>
        <v>-7.6880758742980402E-3</v>
      </c>
    </row>
    <row r="9" spans="1:24" x14ac:dyDescent="0.35">
      <c r="A9" t="str">
        <f>Levels!A9</f>
        <v>1972Q4</v>
      </c>
      <c r="B9">
        <f>Levels!B9/Levels!$R9</f>
        <v>1387.2765632804164</v>
      </c>
      <c r="C9">
        <f>Levels!C9/Levels!$R9</f>
        <v>228739.2178856821</v>
      </c>
      <c r="D9">
        <f>Levels!D9/Levels!R9</f>
        <v>228956.69325997541</v>
      </c>
      <c r="E9">
        <f>Levels!V9/Levels!R9</f>
        <v>1295029.0326893008</v>
      </c>
      <c r="F9">
        <f>Levels!E9</f>
        <v>956.77499999999998</v>
      </c>
      <c r="G9">
        <f>Levels!F9</f>
        <v>3410.2998972443843</v>
      </c>
      <c r="H9">
        <f>Levels!G9</f>
        <v>3.5</v>
      </c>
      <c r="J9">
        <f>Levels!AD9</f>
        <v>-1.0324680174159107E-2</v>
      </c>
      <c r="K9">
        <f>Levels!AC9</f>
        <v>5.1466666666666665</v>
      </c>
      <c r="L9">
        <f>Levels!I9</f>
        <v>-0.59691595238095108</v>
      </c>
      <c r="M9">
        <f>Levels!J9</f>
        <v>2.0655565951187702</v>
      </c>
      <c r="N9">
        <f>Levels!K9</f>
        <v>-0.47116966650174702</v>
      </c>
      <c r="P9">
        <f>Levels!M9</f>
        <v>-0.40034764395926431</v>
      </c>
      <c r="Q9">
        <f>Levels!N9</f>
        <v>0.31577168613730799</v>
      </c>
      <c r="R9">
        <f>Levels!O9</f>
        <v>0.78272068928217198</v>
      </c>
      <c r="S9">
        <f>Levels!P9</f>
        <v>0.92604829909453401</v>
      </c>
      <c r="T9">
        <f>Levels!Q9</f>
        <v>5509.9260000000004</v>
      </c>
      <c r="U9">
        <f>Levels!S9</f>
        <v>4.0139768059999996</v>
      </c>
      <c r="V9">
        <f>Levels!T9</f>
        <v>0.10468662300000001</v>
      </c>
      <c r="W9">
        <f>Levels!U9</f>
        <v>-0.211610944</v>
      </c>
      <c r="X9">
        <f>Levels!AB9</f>
        <v>-0.79853770106557398</v>
      </c>
    </row>
    <row r="10" spans="1:24" x14ac:dyDescent="0.35">
      <c r="A10" t="str">
        <f>Levels!A10</f>
        <v>1973Q1</v>
      </c>
      <c r="B10">
        <f>Levels!B10/Levels!$R10</f>
        <v>1426.4018748255689</v>
      </c>
      <c r="C10">
        <f>Levels!C10/Levels!$R10</f>
        <v>224997.99348254871</v>
      </c>
      <c r="D10">
        <f>Levels!D10/Levels!R10</f>
        <v>237261.28783533198</v>
      </c>
      <c r="E10">
        <f>Levels!V10/Levels!R10</f>
        <v>1327657.4055868583</v>
      </c>
      <c r="F10">
        <f>Levels!E10</f>
        <v>996.16099999999994</v>
      </c>
      <c r="G10">
        <f>Levels!F10</f>
        <v>3488.2415002722041</v>
      </c>
      <c r="H10">
        <f>Levels!G10</f>
        <v>3.9</v>
      </c>
      <c r="J10">
        <f>Levels!AD10</f>
        <v>3.3388640893944332E-2</v>
      </c>
      <c r="K10">
        <f>Levels!AC10</f>
        <v>6.5366666666666671</v>
      </c>
      <c r="L10">
        <f>Levels!I10</f>
        <v>-0.4193127342549916</v>
      </c>
      <c r="M10">
        <f>Levels!J10</f>
        <v>2.0605947058432599</v>
      </c>
      <c r="N10">
        <f>Levels!K10</f>
        <v>-0.174663821029786</v>
      </c>
      <c r="O10">
        <v>2.0899999999999998E-2</v>
      </c>
      <c r="P10">
        <f>Levels!M10</f>
        <v>-0.15933787752907572</v>
      </c>
      <c r="Q10">
        <f>Levels!N10</f>
        <v>0.62397346738689163</v>
      </c>
      <c r="R10">
        <f>Levels!O10</f>
        <v>0.82162466755668295</v>
      </c>
      <c r="S10">
        <f>Levels!P10</f>
        <v>1.0025216840570099</v>
      </c>
      <c r="T10">
        <f>Levels!Q10</f>
        <v>5646.2860000000001</v>
      </c>
      <c r="U10">
        <f>Levels!S10</f>
        <v>1.68865036</v>
      </c>
      <c r="V10">
        <f>Levels!T10</f>
        <v>0.692187102</v>
      </c>
      <c r="W10">
        <f>Levels!U10</f>
        <v>0.30885107499999997</v>
      </c>
      <c r="X10">
        <f>Levels!AB10</f>
        <v>1.4915650291787499</v>
      </c>
    </row>
    <row r="11" spans="1:24" x14ac:dyDescent="0.35">
      <c r="A11" t="str">
        <f>Levels!A11</f>
        <v>1973Q2</v>
      </c>
      <c r="B11">
        <f>Levels!B11/Levels!$R11</f>
        <v>1478.7258029966108</v>
      </c>
      <c r="C11">
        <f>Levels!C11/Levels!$R11</f>
        <v>223233.26536704501</v>
      </c>
      <c r="D11">
        <f>Levels!D11/Levels!R11</f>
        <v>242322.77462236019</v>
      </c>
      <c r="E11">
        <f>Levels!V11/Levels!R11</f>
        <v>1375374.5179971505</v>
      </c>
      <c r="F11">
        <f>Levels!E11</f>
        <v>996.95600000000002</v>
      </c>
      <c r="G11">
        <f>Levels!F11</f>
        <v>3529.2354136291092</v>
      </c>
      <c r="H11">
        <f>Levels!G11</f>
        <v>4.2</v>
      </c>
      <c r="J11">
        <f>Levels!AD11</f>
        <v>2.1323124234942981E-2</v>
      </c>
      <c r="K11">
        <f>Levels!AC11</f>
        <v>7.8166666666666664</v>
      </c>
      <c r="L11">
        <f>Levels!I11</f>
        <v>-0.26696047619047381</v>
      </c>
      <c r="M11">
        <f>Levels!J11</f>
        <v>2.02940431203595</v>
      </c>
      <c r="N11">
        <f>Levels!K11</f>
        <v>0.29158209081325798</v>
      </c>
      <c r="O11">
        <v>-3.1600000000000003E-2</v>
      </c>
      <c r="P11">
        <f>Levels!M11</f>
        <v>0.27028401183621908</v>
      </c>
      <c r="Q11">
        <f>Levels!N11</f>
        <v>0.68809511318404792</v>
      </c>
      <c r="R11">
        <f>Levels!O11</f>
        <v>0.85461161731455704</v>
      </c>
      <c r="S11">
        <f>Levels!P11</f>
        <v>1.06804088277295</v>
      </c>
      <c r="T11">
        <f>Levels!Q11</f>
        <v>5707.7550000000001</v>
      </c>
      <c r="U11">
        <f>Levels!S11</f>
        <v>1.8592563150000001</v>
      </c>
      <c r="V11">
        <f>Levels!T11</f>
        <v>-1.252370848</v>
      </c>
      <c r="W11">
        <f>Levels!U11</f>
        <v>1.312444078</v>
      </c>
      <c r="X11">
        <f>Levels!AB11</f>
        <v>0.95301058772896097</v>
      </c>
    </row>
    <row r="12" spans="1:24" x14ac:dyDescent="0.35">
      <c r="A12" t="str">
        <f>Levels!A12</f>
        <v>1973Q3</v>
      </c>
      <c r="B12">
        <f>Levels!B12/Levels!$R12</f>
        <v>1522.4616319024203</v>
      </c>
      <c r="C12">
        <f>Levels!C12/Levels!$R12</f>
        <v>219707.59614926533</v>
      </c>
      <c r="D12">
        <f>Levels!D12/Levels!R12</f>
        <v>260305.56452565081</v>
      </c>
      <c r="E12">
        <f>Levels!V12/Levels!R12</f>
        <v>1393249.7103644018</v>
      </c>
      <c r="F12">
        <f>Levels!E12</f>
        <v>988.51099999999997</v>
      </c>
      <c r="G12">
        <f>Levels!F12</f>
        <v>3575.1040193994281</v>
      </c>
      <c r="H12">
        <f>Levels!G12</f>
        <v>4.3</v>
      </c>
      <c r="J12">
        <f>Levels!AD12</f>
        <v>2.5083577054625605E-2</v>
      </c>
      <c r="K12">
        <f>Levels!AC12</f>
        <v>10.56</v>
      </c>
      <c r="L12">
        <f>Levels!I12</f>
        <v>0.12014968253968394</v>
      </c>
      <c r="M12">
        <f>Levels!J12</f>
        <v>2.0268212039414402</v>
      </c>
      <c r="N12">
        <f>Levels!K12</f>
        <v>0.27369989030185998</v>
      </c>
      <c r="O12">
        <v>-0.31430000000000002</v>
      </c>
      <c r="P12">
        <f>Levels!M12</f>
        <v>0.21962251802680788</v>
      </c>
      <c r="Q12">
        <f>Levels!N12</f>
        <v>0.7512809694685626</v>
      </c>
      <c r="R12">
        <f>Levels!O12</f>
        <v>0.94089069224208299</v>
      </c>
      <c r="S12">
        <f>Levels!P12</f>
        <v>1.1392991253110301</v>
      </c>
      <c r="T12">
        <f>Levels!Q12</f>
        <v>5677.7380000000003</v>
      </c>
      <c r="U12">
        <f>Levels!S12</f>
        <v>3.5375631790000002</v>
      </c>
      <c r="V12">
        <f>Levels!T12</f>
        <v>0.26813095100000001</v>
      </c>
      <c r="W12">
        <f>Levels!U12</f>
        <v>1.2148524089999999</v>
      </c>
      <c r="X12">
        <f>Levels!AB12</f>
        <v>-0.52173464665715896</v>
      </c>
    </row>
    <row r="13" spans="1:24" x14ac:dyDescent="0.35">
      <c r="A13" t="str">
        <f>Levels!A13</f>
        <v>1973Q4</v>
      </c>
      <c r="B13">
        <f>Levels!B13/Levels!$R13</f>
        <v>1560.4965358405295</v>
      </c>
      <c r="C13">
        <f>Levels!C13/Levels!$R13</f>
        <v>228414.44835605903</v>
      </c>
      <c r="D13">
        <f>Levels!D13/Levels!R13</f>
        <v>259035.18440940022</v>
      </c>
      <c r="E13">
        <f>Levels!V13/Levels!R13</f>
        <v>1455277.6472585835</v>
      </c>
      <c r="F13">
        <f>Levels!E13</f>
        <v>982.62800000000004</v>
      </c>
      <c r="G13">
        <f>Levels!F13</f>
        <v>3600.9919148798799</v>
      </c>
      <c r="H13">
        <f>Levels!G13</f>
        <v>3.8</v>
      </c>
      <c r="J13">
        <f>Levels!AD13</f>
        <v>-2.3258883884308856E-2</v>
      </c>
      <c r="K13">
        <f>Levels!AC13</f>
        <v>9.9966666666666661</v>
      </c>
      <c r="L13">
        <f>Levels!I13</f>
        <v>-0.34416785714285592</v>
      </c>
      <c r="M13">
        <f>Levels!J13</f>
        <v>1.99265843806265</v>
      </c>
      <c r="N13">
        <f>Levels!K13</f>
        <v>0.48129294679297702</v>
      </c>
      <c r="O13">
        <v>5.2299999999999999E-2</v>
      </c>
      <c r="P13">
        <f>Levels!M13</f>
        <v>0.3818921600741596</v>
      </c>
      <c r="Q13">
        <f>Levels!N13</f>
        <v>0.73214842009877301</v>
      </c>
      <c r="R13">
        <f>Levels!O13</f>
        <v>0.94060057207050796</v>
      </c>
      <c r="S13">
        <f>Levels!P13</f>
        <v>1.19641641544229</v>
      </c>
      <c r="T13">
        <f>Levels!Q13</f>
        <v>5731.6319999999996</v>
      </c>
      <c r="U13">
        <f>Levels!S13</f>
        <v>1.707309907</v>
      </c>
      <c r="V13">
        <f>Levels!T13</f>
        <v>0.11346682</v>
      </c>
      <c r="W13">
        <f>Levels!U13</f>
        <v>-1.917343633</v>
      </c>
      <c r="X13">
        <f>Levels!AB13</f>
        <v>3.2358202813405899</v>
      </c>
    </row>
    <row r="14" spans="1:24" x14ac:dyDescent="0.35">
      <c r="A14" t="str">
        <f>Levels!A14</f>
        <v>1974Q1</v>
      </c>
      <c r="B14">
        <f>Levels!B14/Levels!$R14</f>
        <v>1586.6711715830588</v>
      </c>
      <c r="C14">
        <f>Levels!C14/Levels!$R14</f>
        <v>224963.48500444696</v>
      </c>
      <c r="D14">
        <f>Levels!D14/Levels!R14</f>
        <v>267499.58116011973</v>
      </c>
      <c r="E14">
        <f>Levels!V14/Levels!R14</f>
        <v>1476121.8500375787</v>
      </c>
      <c r="F14">
        <f>Levels!E14</f>
        <v>973.87800000000004</v>
      </c>
      <c r="G14">
        <f>Levels!F14</f>
        <v>3630.8792170736556</v>
      </c>
      <c r="H14">
        <f>Levels!G14</f>
        <v>1.8</v>
      </c>
      <c r="J14">
        <f>Levels!AD14</f>
        <v>-8.0833952636307771E-3</v>
      </c>
      <c r="K14">
        <f>Levels!AC14</f>
        <v>9.3233333333333341</v>
      </c>
      <c r="L14">
        <f>Levels!I14</f>
        <v>-3.8360526932081029E-2</v>
      </c>
      <c r="M14">
        <f>Levels!J14</f>
        <v>1.9806950527515499</v>
      </c>
      <c r="N14">
        <f>Levels!K14</f>
        <v>0.57698053759631696</v>
      </c>
      <c r="O14">
        <v>-3.5000000000000001E-3</v>
      </c>
      <c r="P14">
        <f>Levels!M14</f>
        <v>0.43001946290617299</v>
      </c>
      <c r="Q14">
        <f>Levels!N14</f>
        <v>1.1415136515158328</v>
      </c>
      <c r="R14">
        <f>Levels!O14</f>
        <v>0.92797056191534899</v>
      </c>
      <c r="S14">
        <f>Levels!P14</f>
        <v>1.11474869908889</v>
      </c>
      <c r="T14">
        <f>Levels!Q14</f>
        <v>5682.3530000000001</v>
      </c>
      <c r="U14">
        <f>Levels!S14</f>
        <v>-0.36504645800000002</v>
      </c>
      <c r="V14">
        <f>Levels!T14</f>
        <v>-0.73052763300000001</v>
      </c>
      <c r="W14">
        <f>Levels!U14</f>
        <v>-0.10677294499999999</v>
      </c>
      <c r="X14">
        <f>Levels!AB14</f>
        <v>-1.01697094176159</v>
      </c>
    </row>
    <row r="15" spans="1:24" x14ac:dyDescent="0.35">
      <c r="A15" t="str">
        <f>Levels!A15</f>
        <v>1974Q2</v>
      </c>
      <c r="B15">
        <f>Levels!B15/Levels!$R15</f>
        <v>1640.6855109159392</v>
      </c>
      <c r="C15">
        <f>Levels!C15/Levels!$R15</f>
        <v>224409.84116918064</v>
      </c>
      <c r="D15">
        <f>Levels!D15/Levels!R15</f>
        <v>272871.50095745688</v>
      </c>
      <c r="E15">
        <f>Levels!V15/Levels!R15</f>
        <v>1520604.9728999387</v>
      </c>
      <c r="F15">
        <f>Levels!E15</f>
        <v>970.42899999999997</v>
      </c>
      <c r="G15">
        <f>Levels!F15</f>
        <v>3692.3401090352208</v>
      </c>
      <c r="H15">
        <f>Levels!G15</f>
        <v>1</v>
      </c>
      <c r="J15">
        <f>Levels!AD15</f>
        <v>-1.045556385362223E-2</v>
      </c>
      <c r="K15">
        <f>Levels!AC15</f>
        <v>11.25</v>
      </c>
      <c r="L15">
        <f>Levels!I15</f>
        <v>0.49468238095238348</v>
      </c>
      <c r="M15">
        <f>Levels!J15</f>
        <v>1.94278924507463</v>
      </c>
      <c r="N15">
        <f>Levels!K15</f>
        <v>0.75252262109275503</v>
      </c>
      <c r="O15">
        <v>0.2001</v>
      </c>
      <c r="P15">
        <f>Levels!M15</f>
        <v>0.55573822675139006</v>
      </c>
      <c r="Q15">
        <f>Levels!N15</f>
        <v>0.83048510311023738</v>
      </c>
      <c r="R15">
        <f>Levels!O15</f>
        <v>0.93079600840638499</v>
      </c>
      <c r="S15">
        <f>Levels!P15</f>
        <v>1.1263068837869601</v>
      </c>
      <c r="T15">
        <f>Levels!Q15</f>
        <v>5695.8590000000004</v>
      </c>
      <c r="U15">
        <f>Levels!S15</f>
        <v>1.475847162</v>
      </c>
      <c r="V15">
        <f>Levels!T15</f>
        <v>0.14781981899999999</v>
      </c>
      <c r="W15">
        <f>Levels!U15</f>
        <v>1.8949369039999999</v>
      </c>
      <c r="X15">
        <f>Levels!AB15</f>
        <v>2.76187879058363</v>
      </c>
    </row>
    <row r="16" spans="1:24" x14ac:dyDescent="0.35">
      <c r="A16" t="str">
        <f>Levels!A16</f>
        <v>1974Q3</v>
      </c>
      <c r="B16">
        <f>Levels!B16/Levels!$R16</f>
        <v>1679.814427140612</v>
      </c>
      <c r="C16">
        <f>Levels!C16/Levels!$R16</f>
        <v>222845.09323105082</v>
      </c>
      <c r="D16">
        <f>Levels!D16/Levels!R16</f>
        <v>261082.13501574149</v>
      </c>
      <c r="E16">
        <f>Levels!V16/Levels!R16</f>
        <v>1536096.321729938</v>
      </c>
      <c r="F16">
        <f>Levels!E16</f>
        <v>953.83699999999999</v>
      </c>
      <c r="G16">
        <f>Levels!F16</f>
        <v>3741.7166434262131</v>
      </c>
      <c r="H16">
        <f>Levels!G16</f>
        <v>0</v>
      </c>
      <c r="J16">
        <f>Levels!AD16</f>
        <v>-1.2828438948995324E-2</v>
      </c>
      <c r="K16">
        <f>Levels!AC16</f>
        <v>12.09</v>
      </c>
      <c r="L16">
        <f>Levels!I16</f>
        <v>0.98917160714285846</v>
      </c>
      <c r="M16">
        <f>Levels!J16</f>
        <v>1.8519564473152501</v>
      </c>
      <c r="N16">
        <f>Levels!K16</f>
        <v>1.4335446451101399</v>
      </c>
      <c r="O16">
        <v>0.80569999999999997</v>
      </c>
      <c r="P16">
        <f>Levels!M16</f>
        <v>1.1790347482602428</v>
      </c>
      <c r="Q16">
        <f>Levels!N16</f>
        <v>1.076967143132556</v>
      </c>
      <c r="R16">
        <f>Levels!O16</f>
        <v>0.959433592484772</v>
      </c>
      <c r="S16">
        <f>Levels!P16</f>
        <v>1.20853578899459</v>
      </c>
      <c r="T16">
        <f>Levels!Q16</f>
        <v>5642.0249999999996</v>
      </c>
      <c r="U16">
        <f>Levels!S16</f>
        <v>0.85070264399999995</v>
      </c>
      <c r="V16">
        <f>Levels!T16</f>
        <v>-0.83917507599999996</v>
      </c>
      <c r="W16">
        <f>Levels!U16</f>
        <v>3.4635749009999999</v>
      </c>
      <c r="X16">
        <f>Levels!AB16</f>
        <v>3.8256053041765199</v>
      </c>
    </row>
    <row r="17" spans="1:24" x14ac:dyDescent="0.35">
      <c r="A17" t="str">
        <f>Levels!A17</f>
        <v>1974Q4</v>
      </c>
      <c r="B17">
        <f>Levels!B17/Levels!$R17</f>
        <v>1713.0008020670364</v>
      </c>
      <c r="C17">
        <f>Levels!C17/Levels!$R17</f>
        <v>229078.1519843025</v>
      </c>
      <c r="D17">
        <f>Levels!D17/Levels!R17</f>
        <v>273902.32280265843</v>
      </c>
      <c r="E17">
        <f>Levels!V17/Levels!R17</f>
        <v>1568515.114417403</v>
      </c>
      <c r="F17">
        <f>Levels!E17</f>
        <v>911.37900000000002</v>
      </c>
      <c r="G17">
        <f>Levels!F17</f>
        <v>3699.7296856769576</v>
      </c>
      <c r="H17">
        <f>Levels!G17</f>
        <v>-2.1</v>
      </c>
      <c r="J17">
        <f>Levels!AD17</f>
        <v>-2.2248579424328785E-3</v>
      </c>
      <c r="K17">
        <f>Levels!AC17</f>
        <v>9.3466666666666676</v>
      </c>
      <c r="L17">
        <f>Levels!I17</f>
        <v>0.80944858704137435</v>
      </c>
      <c r="M17">
        <f>Levels!J17</f>
        <v>1.8411448393403</v>
      </c>
      <c r="N17">
        <f>Levels!K17</f>
        <v>1.5758591530499599</v>
      </c>
      <c r="O17">
        <v>0.83320000000000005</v>
      </c>
      <c r="P17">
        <f>Levels!M17</f>
        <v>1.249374970565561</v>
      </c>
      <c r="Q17">
        <f>Levels!N17</f>
        <v>0.84920672886232962</v>
      </c>
      <c r="R17">
        <f>Levels!O17</f>
        <v>0.99742135048234004</v>
      </c>
      <c r="S17">
        <f>Levels!P17</f>
        <v>1.2550740304563901</v>
      </c>
      <c r="T17">
        <f>Levels!Q17</f>
        <v>5620.1260000000002</v>
      </c>
      <c r="U17">
        <f>Levels!S17</f>
        <v>-5.7580010330000002</v>
      </c>
      <c r="V17">
        <f>Levels!T17</f>
        <v>-5.0263148429999998</v>
      </c>
      <c r="W17">
        <f>Levels!U17</f>
        <v>3.9206876290000001</v>
      </c>
      <c r="X17">
        <f>Levels!AB17</f>
        <v>-1.56373002428977</v>
      </c>
    </row>
    <row r="18" spans="1:24" x14ac:dyDescent="0.35">
      <c r="A18" t="str">
        <f>Levels!A18</f>
        <v>1975Q1</v>
      </c>
      <c r="B18">
        <f>Levels!B18/Levels!$R18</f>
        <v>1718.8820625498577</v>
      </c>
      <c r="C18">
        <f>Levels!C18/Levels!$R18</f>
        <v>241849.12747355227</v>
      </c>
      <c r="D18">
        <f>Levels!D18/Levels!R18</f>
        <v>287744.08518228412</v>
      </c>
      <c r="E18">
        <f>Levels!V18/Levels!R18</f>
        <v>1592870.4967255823</v>
      </c>
      <c r="F18">
        <f>Levels!E18</f>
        <v>876.76</v>
      </c>
      <c r="G18">
        <f>Levels!F18</f>
        <v>3709.2437915621781</v>
      </c>
      <c r="H18">
        <f>Levels!G18</f>
        <v>-4.7</v>
      </c>
      <c r="J18">
        <f>Levels!AD18</f>
        <v>4.4844085897228769E-3</v>
      </c>
      <c r="K18">
        <f>Levels!AC18</f>
        <v>6.3033333333333337</v>
      </c>
      <c r="L18">
        <f>Levels!I18</f>
        <v>0.82049095238095315</v>
      </c>
      <c r="M18">
        <f>Levels!J18</f>
        <v>1.8958233820538299</v>
      </c>
      <c r="N18">
        <f>Levels!K18</f>
        <v>1.49594577879077</v>
      </c>
      <c r="O18">
        <v>0.37780000000000002</v>
      </c>
      <c r="P18">
        <f>Levels!M18</f>
        <v>1.1326991463226079</v>
      </c>
      <c r="Q18">
        <f>Levels!N18</f>
        <v>0.511354384763678</v>
      </c>
      <c r="R18">
        <f>Levels!O18</f>
        <v>0.95919583724984903</v>
      </c>
      <c r="S18">
        <f>Levels!P18</f>
        <v>1.2120658438782701</v>
      </c>
      <c r="T18">
        <f>Levels!Q18</f>
        <v>5551.7129999999997</v>
      </c>
      <c r="U18">
        <f>Levels!S18</f>
        <v>-4.787174802</v>
      </c>
      <c r="V18">
        <f>Levels!T18</f>
        <v>1.5937692080000001</v>
      </c>
      <c r="W18">
        <f>Levels!U18</f>
        <v>-0.98702403699999997</v>
      </c>
      <c r="X18">
        <f>Levels!AB18</f>
        <v>-0.42944658634869098</v>
      </c>
    </row>
    <row r="19" spans="1:24" x14ac:dyDescent="0.35">
      <c r="A19" t="str">
        <f>Levels!A19</f>
        <v>1975Q2</v>
      </c>
      <c r="B19">
        <f>Levels!B19/Levels!$R19</f>
        <v>1746.9322445242994</v>
      </c>
      <c r="C19">
        <f>Levels!C19/Levels!$R19</f>
        <v>261148.68702602063</v>
      </c>
      <c r="D19">
        <f>Levels!D19/Levels!R19</f>
        <v>300285.1927739766</v>
      </c>
      <c r="E19">
        <f>Levels!V19/Levels!R19</f>
        <v>1635360.9629822215</v>
      </c>
      <c r="F19">
        <f>Levels!E19</f>
        <v>856.80600000000004</v>
      </c>
      <c r="G19">
        <f>Levels!F19</f>
        <v>3722.0425633613895</v>
      </c>
      <c r="H19">
        <f>Levels!G19</f>
        <v>-5.9</v>
      </c>
      <c r="J19">
        <f>Levels!AD19</f>
        <v>-7.3048032527047724E-3</v>
      </c>
      <c r="K19">
        <f>Levels!AC19</f>
        <v>5.42</v>
      </c>
      <c r="L19">
        <f>Levels!I19</f>
        <v>1.4727935714285723</v>
      </c>
      <c r="M19">
        <f>Levels!J19</f>
        <v>1.9536193721861901</v>
      </c>
      <c r="N19">
        <f>Levels!K19</f>
        <v>1.2809491452966599</v>
      </c>
      <c r="O19">
        <v>0.2218</v>
      </c>
      <c r="P19">
        <f>Levels!M19</f>
        <v>0.89383768951658393</v>
      </c>
      <c r="Q19">
        <f>Levels!N19</f>
        <v>0.56616469702898065</v>
      </c>
      <c r="R19">
        <f>Levels!O19</f>
        <v>0.89676814656029402</v>
      </c>
      <c r="S19">
        <f>Levels!P19</f>
        <v>1.07600057617251</v>
      </c>
      <c r="T19">
        <f>Levels!Q19</f>
        <v>5591.3819999999996</v>
      </c>
      <c r="U19">
        <f>Levels!S19</f>
        <v>2.1712544110000001</v>
      </c>
      <c r="V19">
        <f>Levels!T19</f>
        <v>-1.2464273699999999</v>
      </c>
      <c r="W19">
        <f>Levels!U19</f>
        <v>-0.406702067</v>
      </c>
      <c r="X19">
        <f>Levels!AB19</f>
        <v>-0.87082343689506903</v>
      </c>
    </row>
    <row r="20" spans="1:24" x14ac:dyDescent="0.35">
      <c r="A20" t="str">
        <f>Levels!A20</f>
        <v>1975Q3</v>
      </c>
      <c r="B20">
        <f>Levels!B20/Levels!$R20</f>
        <v>1773.9547102293207</v>
      </c>
      <c r="C20">
        <f>Levels!C20/Levels!$R20</f>
        <v>275088.40931307315</v>
      </c>
      <c r="D20">
        <f>Levels!D20/Levels!R20</f>
        <v>293406.06077376573</v>
      </c>
      <c r="E20">
        <f>Levels!V20/Levels!R20</f>
        <v>1650365.8180359581</v>
      </c>
      <c r="F20">
        <f>Levels!E20</f>
        <v>887.95399999999995</v>
      </c>
      <c r="G20">
        <f>Levels!F20</f>
        <v>3760.3222587607343</v>
      </c>
      <c r="H20">
        <f>Levels!G20</f>
        <v>-4.7</v>
      </c>
      <c r="J20">
        <f>Levels!AD20</f>
        <v>6.3287292397924411E-3</v>
      </c>
      <c r="K20">
        <f>Levels!AC20</f>
        <v>6.16</v>
      </c>
      <c r="L20">
        <f>Levels!I20</f>
        <v>1.8322875000000005</v>
      </c>
      <c r="M20">
        <f>Levels!J20</f>
        <v>1.9360158998506201</v>
      </c>
      <c r="N20">
        <f>Levels!K20</f>
        <v>1.4534451881306001</v>
      </c>
      <c r="O20">
        <v>0.28270000000000001</v>
      </c>
      <c r="P20">
        <f>Levels!M20</f>
        <v>1.022661192037402</v>
      </c>
      <c r="Q20">
        <f>Levels!N20</f>
        <v>0.6187970059794583</v>
      </c>
      <c r="R20">
        <f>Levels!O20</f>
        <v>0.84630792691854895</v>
      </c>
      <c r="S20">
        <f>Levels!P20</f>
        <v>1.0188284435445301</v>
      </c>
      <c r="T20">
        <f>Levels!Q20</f>
        <v>5687.0870000000004</v>
      </c>
      <c r="U20">
        <f>Levels!S20</f>
        <v>0.745475891</v>
      </c>
      <c r="V20">
        <f>Levels!T20</f>
        <v>2.921434079</v>
      </c>
      <c r="W20">
        <f>Levels!U20</f>
        <v>-0.756122293</v>
      </c>
      <c r="X20">
        <f>Levels!AB20</f>
        <v>1.618526836339</v>
      </c>
    </row>
    <row r="21" spans="1:24" x14ac:dyDescent="0.35">
      <c r="A21" t="str">
        <f>Levels!A21</f>
        <v>1975Q4</v>
      </c>
      <c r="B21">
        <f>Levels!B21/Levels!$R21</f>
        <v>1810.1814353612981</v>
      </c>
      <c r="C21">
        <f>Levels!C21/Levels!$R21</f>
        <v>288631.60436660267</v>
      </c>
      <c r="D21">
        <f>Levels!D21/Levels!R21</f>
        <v>303312.40579797322</v>
      </c>
      <c r="E21">
        <f>Levels!V21/Levels!R21</f>
        <v>1703308.488611768</v>
      </c>
      <c r="F21">
        <f>Levels!E21</f>
        <v>909.90300000000002</v>
      </c>
      <c r="G21">
        <f>Levels!F21</f>
        <v>3792.3720990619436</v>
      </c>
      <c r="H21">
        <f>Levels!G21</f>
        <v>-1.5</v>
      </c>
      <c r="J21">
        <f>Levels!AD21</f>
        <v>-3.7410724407663798E-3</v>
      </c>
      <c r="K21">
        <f>Levels!AC21</f>
        <v>5.4133333333333331</v>
      </c>
      <c r="L21">
        <f>Levels!I21</f>
        <v>1.696495593286496</v>
      </c>
      <c r="M21">
        <f>Levels!J21</f>
        <v>1.9512518912877399</v>
      </c>
      <c r="N21">
        <f>Levels!K21</f>
        <v>1.548580156324</v>
      </c>
      <c r="O21">
        <v>9.2499999999999999E-2</v>
      </c>
      <c r="P21">
        <f>Levels!M21</f>
        <v>1.088665617357456</v>
      </c>
      <c r="Q21">
        <f>Levels!N21</f>
        <v>0.54657055072079164</v>
      </c>
      <c r="R21">
        <f>Levels!O21</f>
        <v>0.79199990539623599</v>
      </c>
      <c r="S21">
        <f>Levels!P21</f>
        <v>1.00045912120836</v>
      </c>
      <c r="T21">
        <f>Levels!Q21</f>
        <v>5763.665</v>
      </c>
      <c r="U21">
        <f>Levels!S21</f>
        <v>0.72190290800000001</v>
      </c>
      <c r="V21">
        <f>Levels!T21</f>
        <v>-0.28344698000000002</v>
      </c>
      <c r="W21">
        <f>Levels!U21</f>
        <v>0.83826267499999996</v>
      </c>
      <c r="X21">
        <f>Levels!AB21</f>
        <v>-0.24768794087520199</v>
      </c>
    </row>
    <row r="22" spans="1:24" x14ac:dyDescent="0.35">
      <c r="A22" t="str">
        <f>Levels!A22</f>
        <v>1976Q1</v>
      </c>
      <c r="B22">
        <f>Levels!B22/Levels!$R22</f>
        <v>1830.8926381966214</v>
      </c>
      <c r="C22">
        <f>Levels!C22/Levels!$R22</f>
        <v>302654.52718475991</v>
      </c>
      <c r="D22">
        <f>Levels!D22/Levels!R22</f>
        <v>316662.03196665918</v>
      </c>
      <c r="E22">
        <f>Levels!V22/Levels!R22</f>
        <v>1736004.105241569</v>
      </c>
      <c r="F22">
        <f>Levels!E22</f>
        <v>942.82600000000002</v>
      </c>
      <c r="G22">
        <f>Levels!F22</f>
        <v>3845.7791094801073</v>
      </c>
      <c r="H22">
        <f>Levels!G22</f>
        <v>3.4</v>
      </c>
      <c r="J22">
        <f>Levels!AD22</f>
        <v>3.0430448436880031E-3</v>
      </c>
      <c r="K22">
        <f>Levels!AC22</f>
        <v>4.8266666666666671</v>
      </c>
      <c r="L22">
        <f>Levels!I22</f>
        <v>1.4638217818740396</v>
      </c>
      <c r="M22">
        <f>Levels!J22</f>
        <v>1.9978312003404799</v>
      </c>
      <c r="N22">
        <f>Levels!K22</f>
        <v>1.5727236830262099</v>
      </c>
      <c r="O22">
        <v>-2.0199999999999999E-2</v>
      </c>
      <c r="P22">
        <f>Levels!M22</f>
        <v>1.0856072162370709</v>
      </c>
      <c r="Q22">
        <f>Levels!N22</f>
        <v>0.23970129331002035</v>
      </c>
      <c r="R22">
        <f>Levels!O22</f>
        <v>0.77115583158966405</v>
      </c>
      <c r="S22">
        <f>Levels!P22</f>
        <v>0.98979670141818499</v>
      </c>
      <c r="T22">
        <f>Levels!Q22</f>
        <v>5893.2759999999998</v>
      </c>
      <c r="U22">
        <f>Levels!S22</f>
        <v>-0.88467790099999999</v>
      </c>
      <c r="V22">
        <f>Levels!T22</f>
        <v>1.5373063220000001</v>
      </c>
      <c r="W22">
        <f>Levels!U22</f>
        <v>-3.3945029949999999</v>
      </c>
      <c r="X22">
        <f>Levels!AB22</f>
        <v>-0.26766813387741401</v>
      </c>
    </row>
    <row r="23" spans="1:24" x14ac:dyDescent="0.35">
      <c r="A23" t="str">
        <f>Levels!A23</f>
        <v>1976Q2</v>
      </c>
      <c r="B23">
        <f>Levels!B23/Levels!$R23</f>
        <v>1883.5080979357047</v>
      </c>
      <c r="C23">
        <f>Levels!C23/Levels!$R23</f>
        <v>318363.58023000922</v>
      </c>
      <c r="D23">
        <f>Levels!D23/Levels!R23</f>
        <v>321022.26604663872</v>
      </c>
      <c r="E23">
        <f>Levels!V23/Levels!R23</f>
        <v>1794579.2150776142</v>
      </c>
      <c r="F23">
        <f>Levels!E23</f>
        <v>943.01800000000003</v>
      </c>
      <c r="G23">
        <f>Levels!F23</f>
        <v>3852.9639058617281</v>
      </c>
      <c r="H23">
        <f>Levels!G23</f>
        <v>4.4000000000000004</v>
      </c>
      <c r="J23">
        <f>Levels!AD23</f>
        <v>-4.3248281574241876E-3</v>
      </c>
      <c r="K23">
        <f>Levels!AC23</f>
        <v>5.1966666666666663</v>
      </c>
      <c r="L23">
        <f>Levels!I23</f>
        <v>1.5568477777777767</v>
      </c>
      <c r="M23">
        <f>Levels!J23</f>
        <v>2.0097425483686102</v>
      </c>
      <c r="N23">
        <f>Levels!K23</f>
        <v>1.7849868295417299</v>
      </c>
      <c r="O23">
        <v>2.9000000000000001E-2</v>
      </c>
      <c r="P23">
        <f>Levels!M23</f>
        <v>1.2530874268817218</v>
      </c>
      <c r="Q23">
        <f>Levels!N23</f>
        <v>0.53392256072545574</v>
      </c>
      <c r="R23">
        <f>Levels!O23</f>
        <v>0.73877531665098295</v>
      </c>
      <c r="S23">
        <f>Levels!P23</f>
        <v>0.87362976742421194</v>
      </c>
      <c r="T23">
        <f>Levels!Q23</f>
        <v>5936.5150000000003</v>
      </c>
      <c r="U23">
        <f>Levels!S23</f>
        <v>-1.0698054100000001</v>
      </c>
      <c r="V23">
        <f>Levels!T23</f>
        <v>-0.33983404699999997</v>
      </c>
      <c r="W23">
        <f>Levels!U23</f>
        <v>-0.71612103400000005</v>
      </c>
      <c r="X23">
        <f>Levels!AB23</f>
        <v>-0.98277565406954703</v>
      </c>
    </row>
    <row r="24" spans="1:24" x14ac:dyDescent="0.35">
      <c r="A24" t="str">
        <f>Levels!A24</f>
        <v>1976Q3</v>
      </c>
      <c r="B24">
        <f>Levels!B24/Levels!$R24</f>
        <v>1926.608311182795</v>
      </c>
      <c r="C24">
        <f>Levels!C24/Levels!$R24</f>
        <v>330547.18838865228</v>
      </c>
      <c r="D24">
        <f>Levels!D24/Levels!R24</f>
        <v>328326.34077373624</v>
      </c>
      <c r="E24">
        <f>Levels!V24/Levels!R24</f>
        <v>1832723.3529657696</v>
      </c>
      <c r="F24">
        <f>Levels!E24</f>
        <v>949.2</v>
      </c>
      <c r="G24">
        <f>Levels!F24</f>
        <v>3894.5993490683504</v>
      </c>
      <c r="H24">
        <f>Levels!G24</f>
        <v>3.8</v>
      </c>
      <c r="J24">
        <f>Levels!AD24</f>
        <v>-3.0354556211714678E-3</v>
      </c>
      <c r="K24">
        <f>Levels!AC24</f>
        <v>5.2833333333333332</v>
      </c>
      <c r="L24">
        <f>Levels!I24</f>
        <v>1.5796575000000006</v>
      </c>
      <c r="M24">
        <f>Levels!J24</f>
        <v>2.01517565505325</v>
      </c>
      <c r="N24">
        <f>Levels!K24</f>
        <v>1.70835528515347</v>
      </c>
      <c r="O24">
        <v>-5.9999999999999995E-4</v>
      </c>
      <c r="P24">
        <f>Levels!M24</f>
        <v>1.147482963129917</v>
      </c>
      <c r="Q24">
        <f>Levels!N24</f>
        <v>0.46733170512259331</v>
      </c>
      <c r="R24">
        <f>Levels!O24</f>
        <v>0.72467702988030203</v>
      </c>
      <c r="S24">
        <f>Levels!P24</f>
        <v>0.82499208489428</v>
      </c>
      <c r="T24">
        <f>Levels!Q24</f>
        <v>5969.0889999999999</v>
      </c>
      <c r="U24">
        <f>Levels!S24</f>
        <v>0.47204128499999998</v>
      </c>
      <c r="V24">
        <f>Levels!T24</f>
        <v>-1.2983942820000001</v>
      </c>
      <c r="W24">
        <f>Levels!U24</f>
        <v>-0.62702346200000003</v>
      </c>
      <c r="X24">
        <f>Levels!AB24</f>
        <v>0.937984785231746</v>
      </c>
    </row>
    <row r="25" spans="1:24" x14ac:dyDescent="0.35">
      <c r="A25" t="str">
        <f>Levels!A25</f>
        <v>1976Q4</v>
      </c>
      <c r="B25">
        <f>Levels!B25/Levels!$R25</f>
        <v>1981.3980103288097</v>
      </c>
      <c r="C25">
        <f>Levels!C25/Levels!$R25</f>
        <v>343750.09032673587</v>
      </c>
      <c r="D25">
        <f>Levels!D25/Levels!R25</f>
        <v>342146.0861423004</v>
      </c>
      <c r="E25">
        <f>Levels!V25/Levels!R25</f>
        <v>1905104.1285583</v>
      </c>
      <c r="F25">
        <f>Levels!E25</f>
        <v>980.029</v>
      </c>
      <c r="G25">
        <f>Levels!F25</f>
        <v>3947.9710052326823</v>
      </c>
      <c r="H25">
        <f>Levels!G25</f>
        <v>2.7</v>
      </c>
      <c r="J25">
        <f>Levels!AD25</f>
        <v>7.470753986467793E-3</v>
      </c>
      <c r="K25">
        <f>Levels!AC25</f>
        <v>4.8733333333333331</v>
      </c>
      <c r="L25">
        <f>Levels!I25</f>
        <v>1.1019398165495708</v>
      </c>
      <c r="M25">
        <f>Levels!J25</f>
        <v>2.0125635970913098</v>
      </c>
      <c r="N25">
        <f>Levels!K25</f>
        <v>1.7657757769265601</v>
      </c>
      <c r="O25">
        <v>-2.5600000000000001E-2</v>
      </c>
      <c r="P25">
        <f>Levels!M25</f>
        <v>1.1837661638562931</v>
      </c>
      <c r="Q25">
        <f>Levels!N25</f>
        <v>0.34612416373851229</v>
      </c>
      <c r="R25">
        <f>Levels!O25</f>
        <v>0.75037320212113201</v>
      </c>
      <c r="S25">
        <f>Levels!P25</f>
        <v>0.83759722049949703</v>
      </c>
      <c r="T25">
        <f>Levels!Q25</f>
        <v>6012.3559999999998</v>
      </c>
      <c r="U25">
        <f>Levels!S25</f>
        <v>1.796614409</v>
      </c>
      <c r="V25">
        <f>Levels!T25</f>
        <v>0.22468131299999999</v>
      </c>
      <c r="W25">
        <f>Levels!U25</f>
        <v>-0.229351523</v>
      </c>
      <c r="X25">
        <f>Levels!AB25</f>
        <v>-1.1224234608412</v>
      </c>
    </row>
    <row r="26" spans="1:24" x14ac:dyDescent="0.35">
      <c r="A26" t="str">
        <f>Levels!A26</f>
        <v>1977Q1</v>
      </c>
      <c r="B26">
        <f>Levels!B26/Levels!$R26</f>
        <v>2028.1151484972304</v>
      </c>
      <c r="C26">
        <f>Levels!C26/Levels!$R26</f>
        <v>345252.62176672177</v>
      </c>
      <c r="D26">
        <f>Levels!D26/Levels!R26</f>
        <v>345478.84728693508</v>
      </c>
      <c r="E26">
        <f>Levels!V26/Levels!R26</f>
        <v>1956378.1400949373</v>
      </c>
      <c r="F26">
        <f>Levels!E26</f>
        <v>1011.381</v>
      </c>
      <c r="G26">
        <f>Levels!F26</f>
        <v>4006.5038533971888</v>
      </c>
      <c r="H26">
        <f>Levels!G26</f>
        <v>2.1</v>
      </c>
      <c r="J26">
        <f>Levels!AD26</f>
        <v>4.0309503559867732E-3</v>
      </c>
      <c r="K26">
        <f>Levels!AC26</f>
        <v>4.66</v>
      </c>
      <c r="L26">
        <f>Levels!I26</f>
        <v>1.3484905555555562</v>
      </c>
      <c r="M26">
        <f>Levels!J26</f>
        <v>2.0077055693383299</v>
      </c>
      <c r="N26">
        <f>Levels!K26</f>
        <v>2.2492067577430301</v>
      </c>
      <c r="O26">
        <v>-7.0599999999999996E-2</v>
      </c>
      <c r="P26">
        <f>Levels!M26</f>
        <v>1.6466654279461841</v>
      </c>
      <c r="Q26">
        <f>Levels!N26</f>
        <v>0.73930796469914095</v>
      </c>
      <c r="R26">
        <f>Levels!O26</f>
        <v>0.74841477249351296</v>
      </c>
      <c r="S26">
        <f>Levels!P26</f>
        <v>0.81014341717159299</v>
      </c>
      <c r="T26">
        <f>Levels!Q26</f>
        <v>6083.3909999999996</v>
      </c>
      <c r="U26">
        <f>Levels!S26</f>
        <v>-0.13239819999999999</v>
      </c>
      <c r="V26">
        <f>Levels!T26</f>
        <v>0.93436585100000003</v>
      </c>
      <c r="W26">
        <f>Levels!U26</f>
        <v>-2.5948205340000001</v>
      </c>
      <c r="X26">
        <f>Levels!AB26</f>
        <v>0.38890054433425397</v>
      </c>
    </row>
    <row r="27" spans="1:24" x14ac:dyDescent="0.35">
      <c r="A27" t="str">
        <f>Levels!A27</f>
        <v>1977Q2</v>
      </c>
      <c r="B27">
        <f>Levels!B27/Levels!$R27</f>
        <v>2103.2543885176055</v>
      </c>
      <c r="C27">
        <f>Levels!C27/Levels!$R27</f>
        <v>347903.31172636803</v>
      </c>
      <c r="D27">
        <f>Levels!D27/Levels!R27</f>
        <v>357238.57901539933</v>
      </c>
      <c r="E27">
        <f>Levels!V27/Levels!R27</f>
        <v>2028786.879749062</v>
      </c>
      <c r="F27">
        <f>Levels!E27</f>
        <v>1057.0350000000001</v>
      </c>
      <c r="G27">
        <f>Levels!F27</f>
        <v>4035.1755717607589</v>
      </c>
      <c r="H27">
        <f>Levels!G27</f>
        <v>3.9</v>
      </c>
      <c r="J27">
        <f>Levels!AD27</f>
        <v>8.6495133500033017E-3</v>
      </c>
      <c r="K27">
        <f>Levels!AC27</f>
        <v>5.1566666666666663</v>
      </c>
      <c r="L27">
        <f>Levels!I27</f>
        <v>1.4242612698412707</v>
      </c>
      <c r="M27">
        <f>Levels!J27</f>
        <v>1.99705219834034</v>
      </c>
      <c r="N27">
        <f>Levels!K27</f>
        <v>2.3972369805474099</v>
      </c>
      <c r="O27">
        <v>-7.1099999999999997E-2</v>
      </c>
      <c r="P27">
        <f>Levels!M27</f>
        <v>1.7749629162551599</v>
      </c>
      <c r="Q27">
        <f>Levels!N27</f>
        <v>0.66789535051168325</v>
      </c>
      <c r="R27">
        <f>Levels!O27</f>
        <v>0.70522258750894595</v>
      </c>
      <c r="S27">
        <f>Levels!P27</f>
        <v>0.79946099923358604</v>
      </c>
      <c r="T27">
        <f>Levels!Q27</f>
        <v>6201.6589999999997</v>
      </c>
      <c r="U27">
        <f>Levels!S27</f>
        <v>-0.27064297300000001</v>
      </c>
      <c r="V27">
        <f>Levels!T27</f>
        <v>1.3373658230000001</v>
      </c>
      <c r="W27">
        <f>Levels!U27</f>
        <v>0.31314730699999999</v>
      </c>
      <c r="X27">
        <f>Levels!AB27</f>
        <v>-0.93037774632372305</v>
      </c>
    </row>
    <row r="28" spans="1:24" x14ac:dyDescent="0.35">
      <c r="A28" t="str">
        <f>Levels!A28</f>
        <v>1977Q3</v>
      </c>
      <c r="B28">
        <f>Levels!B28/Levels!$R28</f>
        <v>2168.7561427151309</v>
      </c>
      <c r="C28">
        <f>Levels!C28/Levels!$R28</f>
        <v>356116.32695624878</v>
      </c>
      <c r="D28">
        <f>Levels!D28/Levels!R28</f>
        <v>362846.91560333275</v>
      </c>
      <c r="E28">
        <f>Levels!V28/Levels!R28</f>
        <v>2083054.1323413677</v>
      </c>
      <c r="F28">
        <f>Levels!E28</f>
        <v>1064.587</v>
      </c>
      <c r="G28">
        <f>Levels!F28</f>
        <v>4068.3770394286375</v>
      </c>
      <c r="H28">
        <f>Levels!G28</f>
        <v>4.5999999999999996</v>
      </c>
      <c r="J28">
        <f>Levels!AD28</f>
        <v>6.8984512886047789E-3</v>
      </c>
      <c r="K28">
        <f>Levels!AC28</f>
        <v>5.82</v>
      </c>
      <c r="L28">
        <f>Levels!I28</f>
        <v>1.4871407936507941</v>
      </c>
      <c r="M28">
        <f>Levels!J28</f>
        <v>1.9817840670154001</v>
      </c>
      <c r="N28">
        <f>Levels!K28</f>
        <v>2.6630519616202402</v>
      </c>
      <c r="O28">
        <v>-0.1066</v>
      </c>
      <c r="P28">
        <f>Levels!M28</f>
        <v>2.029678694286603</v>
      </c>
      <c r="Q28">
        <f>Levels!N28</f>
        <v>0.38296672515899038</v>
      </c>
      <c r="R28">
        <f>Levels!O28</f>
        <v>0.70069420469052901</v>
      </c>
      <c r="S28">
        <f>Levels!P28</f>
        <v>0.81352943947031497</v>
      </c>
      <c r="T28">
        <f>Levels!Q28</f>
        <v>6313.5590000000002</v>
      </c>
      <c r="U28">
        <f>Levels!S28</f>
        <v>-1.2588391800000001</v>
      </c>
      <c r="V28">
        <f>Levels!T28</f>
        <v>-1.090057979</v>
      </c>
      <c r="W28">
        <f>Levels!U28</f>
        <v>5.2617617999999998E-2</v>
      </c>
      <c r="X28">
        <f>Levels!AB28</f>
        <v>-0.50580696423191396</v>
      </c>
    </row>
    <row r="29" spans="1:24" x14ac:dyDescent="0.35">
      <c r="A29" t="str">
        <f>Levels!A29</f>
        <v>1977Q4</v>
      </c>
      <c r="B29">
        <f>Levels!B29/Levels!$R29</f>
        <v>2248.4173407720755</v>
      </c>
      <c r="C29">
        <f>Levels!C29/Levels!$R29</f>
        <v>357508.30460005789</v>
      </c>
      <c r="D29">
        <f>Levels!D29/Levels!R29</f>
        <v>379032.05386423314</v>
      </c>
      <c r="E29">
        <f>Levels!V29/Levels!R29</f>
        <v>2151704.8526901095</v>
      </c>
      <c r="F29">
        <f>Levels!E29</f>
        <v>1076.124</v>
      </c>
      <c r="G29">
        <f>Levels!F29</f>
        <v>4120.2470858911174</v>
      </c>
      <c r="H29">
        <f>Levels!G29</f>
        <v>5.0999999999999996</v>
      </c>
      <c r="J29">
        <f>Levels!AD29</f>
        <v>-1.7208947764392302E-2</v>
      </c>
      <c r="K29">
        <f>Levels!AC29</f>
        <v>6.5133333333333336</v>
      </c>
      <c r="L29">
        <f>Levels!I29</f>
        <v>1.7895842857142856</v>
      </c>
      <c r="M29">
        <f>Levels!J29</f>
        <v>1.9733575012317099</v>
      </c>
      <c r="N29">
        <f>Levels!K29</f>
        <v>2.02015951639327</v>
      </c>
      <c r="O29">
        <v>-0.159</v>
      </c>
      <c r="P29">
        <f>Levels!M29</f>
        <v>1.373376848450512</v>
      </c>
      <c r="Q29">
        <f>Levels!N29</f>
        <v>0.37861588769852234</v>
      </c>
      <c r="R29">
        <f>Levels!O29</f>
        <v>0.73018895282826801</v>
      </c>
      <c r="S29">
        <f>Levels!P29</f>
        <v>0.85918999907315596</v>
      </c>
      <c r="T29">
        <f>Levels!Q29</f>
        <v>6313.6970000000001</v>
      </c>
      <c r="U29">
        <f>Levels!S29</f>
        <v>0.32604997800000002</v>
      </c>
      <c r="V29">
        <f>Levels!T29</f>
        <v>-2.0194581359999999</v>
      </c>
      <c r="W29">
        <f>Levels!U29</f>
        <v>0.48723441699999998</v>
      </c>
      <c r="X29">
        <f>Levels!AB29</f>
        <v>-0.119083210053225</v>
      </c>
    </row>
    <row r="30" spans="1:24" x14ac:dyDescent="0.35">
      <c r="A30" t="str">
        <f>Levels!A30</f>
        <v>1978Q1</v>
      </c>
      <c r="B30">
        <f>Levels!B30/Levels!$R30</f>
        <v>2304.6839108557974</v>
      </c>
      <c r="C30">
        <f>Levels!C30/Levels!$R30</f>
        <v>352667.93796607963</v>
      </c>
      <c r="D30">
        <f>Levels!D30/Levels!R30</f>
        <v>384713.06532138766</v>
      </c>
      <c r="E30">
        <f>Levels!V30/Levels!R30</f>
        <v>2199118.4461248503</v>
      </c>
      <c r="F30">
        <f>Levels!E30</f>
        <v>1081.3979999999999</v>
      </c>
      <c r="G30">
        <f>Levels!F30</f>
        <v>4144.0331823881497</v>
      </c>
      <c r="H30">
        <f>Levels!G30</f>
        <v>4.5</v>
      </c>
      <c r="J30">
        <f>Levels!AD30</f>
        <v>6.8757084756232434E-3</v>
      </c>
      <c r="K30">
        <f>Levels!AC30</f>
        <v>6.7566666666666668</v>
      </c>
      <c r="L30">
        <f>Levels!I30</f>
        <v>2.2555634894613572</v>
      </c>
      <c r="M30">
        <f>Levels!J30</f>
        <v>1.95108346027579</v>
      </c>
      <c r="N30">
        <f>Levels!K30</f>
        <v>2.3766955281720601</v>
      </c>
      <c r="O30">
        <v>-0.24210000000000001</v>
      </c>
      <c r="P30">
        <f>Levels!M30</f>
        <v>1.7152146357812621</v>
      </c>
      <c r="Q30">
        <f>Levels!N30</f>
        <v>0.69301164762374923</v>
      </c>
      <c r="R30">
        <f>Levels!O30</f>
        <v>0.77014287453955099</v>
      </c>
      <c r="S30">
        <f>Levels!P30</f>
        <v>0.89178767565910899</v>
      </c>
      <c r="T30">
        <f>Levels!Q30</f>
        <v>6333.848</v>
      </c>
      <c r="U30">
        <f>Levels!S30</f>
        <v>1.319162476</v>
      </c>
      <c r="V30">
        <f>Levels!T30</f>
        <v>0.88049275699999996</v>
      </c>
      <c r="W30">
        <f>Levels!U30</f>
        <v>0.58052211799999998</v>
      </c>
      <c r="X30">
        <f>Levels!AB30</f>
        <v>0.68407808800258196</v>
      </c>
    </row>
    <row r="31" spans="1:24" x14ac:dyDescent="0.35">
      <c r="A31" t="str">
        <f>Levels!A31</f>
        <v>1978Q2</v>
      </c>
      <c r="B31">
        <f>Levels!B31/Levels!$R31</f>
        <v>2401.3916752825071</v>
      </c>
      <c r="C31">
        <f>Levels!C31/Levels!$R31</f>
        <v>362779.4140820516</v>
      </c>
      <c r="D31">
        <f>Levels!D31/Levels!R31</f>
        <v>399948.58382510761</v>
      </c>
      <c r="E31">
        <f>Levels!V31/Levels!R31</f>
        <v>2283672.8104969114</v>
      </c>
      <c r="F31">
        <f>Levels!E31</f>
        <v>1162.01</v>
      </c>
      <c r="G31">
        <f>Levels!F31</f>
        <v>4252.0832965720447</v>
      </c>
      <c r="H31">
        <f>Levels!G31</f>
        <v>5.5</v>
      </c>
      <c r="J31">
        <f>Levels!AD31</f>
        <v>1.3171014722323404E-2</v>
      </c>
      <c r="K31">
        <f>Levels!AC31</f>
        <v>7.2833333333333332</v>
      </c>
      <c r="L31">
        <f>Levels!I31</f>
        <v>2.6194862698412686</v>
      </c>
      <c r="M31">
        <f>Levels!J31</f>
        <v>1.98326710662392</v>
      </c>
      <c r="N31">
        <f>Levels!K31</f>
        <v>2.2128946053033398</v>
      </c>
      <c r="O31">
        <v>-0.222</v>
      </c>
      <c r="P31">
        <f>Levels!M31</f>
        <v>1.5274832299560179</v>
      </c>
      <c r="Q31">
        <f>Levels!N31</f>
        <v>0.93762732903424362</v>
      </c>
      <c r="R31">
        <f>Levels!O31</f>
        <v>0.75305974414652499</v>
      </c>
      <c r="S31">
        <f>Levels!P31</f>
        <v>0.93583454594996496</v>
      </c>
      <c r="T31">
        <f>Levels!Q31</f>
        <v>6578.6049999999996</v>
      </c>
      <c r="U31">
        <f>Levels!S31</f>
        <v>0.84999904299999995</v>
      </c>
      <c r="V31">
        <f>Levels!T31</f>
        <v>2.9257259150000001</v>
      </c>
      <c r="W31">
        <f>Levels!U31</f>
        <v>0.132911046</v>
      </c>
      <c r="X31">
        <f>Levels!AB31</f>
        <v>-0.99431064805687297</v>
      </c>
    </row>
    <row r="32" spans="1:24" x14ac:dyDescent="0.35">
      <c r="A32" t="str">
        <f>Levels!A32</f>
        <v>1978Q3</v>
      </c>
      <c r="B32">
        <f>Levels!B32/Levels!$R32</f>
        <v>2478.9859468081577</v>
      </c>
      <c r="C32">
        <f>Levels!C32/Levels!$R32</f>
        <v>370710.41987682751</v>
      </c>
      <c r="D32">
        <f>Levels!D32/Levels!R32</f>
        <v>418373.64773461176</v>
      </c>
      <c r="E32">
        <f>Levels!V32/Levels!R32</f>
        <v>2341981.207126176</v>
      </c>
      <c r="F32">
        <f>Levels!E32</f>
        <v>1193.6669999999999</v>
      </c>
      <c r="G32">
        <f>Levels!F32</f>
        <v>4274.9054939276302</v>
      </c>
      <c r="H32">
        <f>Levels!G32</f>
        <v>5.3</v>
      </c>
      <c r="J32">
        <f>Levels!AD32</f>
        <v>-2.9543716864255387E-5</v>
      </c>
      <c r="K32">
        <f>Levels!AC32</f>
        <v>8.1</v>
      </c>
      <c r="L32">
        <f>Levels!I32</f>
        <v>2.8277915873015873</v>
      </c>
      <c r="M32">
        <f>Levels!J32</f>
        <v>2.0119430252780899</v>
      </c>
      <c r="N32">
        <f>Levels!K32</f>
        <v>2.1181963352114601</v>
      </c>
      <c r="O32">
        <v>-0.27600000000000002</v>
      </c>
      <c r="P32">
        <f>Levels!M32</f>
        <v>1.4069555352129912</v>
      </c>
      <c r="Q32">
        <f>Levels!N32</f>
        <v>0.66035597592870932</v>
      </c>
      <c r="R32">
        <f>Levels!O32</f>
        <v>0.74728546585998201</v>
      </c>
      <c r="S32">
        <f>Levels!P32</f>
        <v>1.01759882547518</v>
      </c>
      <c r="T32">
        <f>Levels!Q32</f>
        <v>6644.7539999999999</v>
      </c>
      <c r="U32">
        <f>Levels!S32</f>
        <v>-0.183940836</v>
      </c>
      <c r="V32">
        <f>Levels!T32</f>
        <v>0.95938441399999996</v>
      </c>
      <c r="W32">
        <f>Levels!U32</f>
        <v>3.6304600580000002</v>
      </c>
      <c r="X32">
        <f>Levels!AB32</f>
        <v>0.92999772370935097</v>
      </c>
    </row>
    <row r="33" spans="1:24" x14ac:dyDescent="0.35">
      <c r="A33" t="str">
        <f>Levels!A33</f>
        <v>1978Q4</v>
      </c>
      <c r="B33">
        <f>Levels!B33/Levels!$R33</f>
        <v>2560.9069734309551</v>
      </c>
      <c r="C33">
        <f>Levels!C33/Levels!$R33</f>
        <v>365461.12548349123</v>
      </c>
      <c r="D33">
        <f>Levels!D33/Levels!R33</f>
        <v>431834.90230768907</v>
      </c>
      <c r="E33">
        <f>Levels!V33/Levels!R33</f>
        <v>2426294.3532020161</v>
      </c>
      <c r="F33">
        <f>Levels!E33</f>
        <v>1220.4559999999999</v>
      </c>
      <c r="G33">
        <f>Levels!F33</f>
        <v>4319.4145585653596</v>
      </c>
      <c r="H33">
        <f>Levels!G33</f>
        <v>5.5</v>
      </c>
      <c r="J33">
        <f>Levels!AD33</f>
        <v>-1.6657112909832295E-2</v>
      </c>
      <c r="K33">
        <f>Levels!AC33</f>
        <v>9.5833333333333339</v>
      </c>
      <c r="L33">
        <f>Levels!I33</f>
        <v>3.2041205386416864</v>
      </c>
      <c r="M33">
        <f>Levels!J33</f>
        <v>1.9795822069314499</v>
      </c>
      <c r="N33">
        <f>Levels!K33</f>
        <v>2.41268114009898</v>
      </c>
      <c r="O33">
        <v>-0.36659999999999998</v>
      </c>
      <c r="P33">
        <f>Levels!M33</f>
        <v>1.6758448464141851</v>
      </c>
      <c r="Q33">
        <f>Levels!N33</f>
        <v>0.59815112879378574</v>
      </c>
      <c r="R33">
        <f>Levels!O33</f>
        <v>0.76429366246036201</v>
      </c>
      <c r="S33">
        <f>Levels!P33</f>
        <v>1.0817196421156401</v>
      </c>
      <c r="T33">
        <f>Levels!Q33</f>
        <v>6734.0690000000004</v>
      </c>
      <c r="U33">
        <f>Levels!S33</f>
        <v>1.646186524</v>
      </c>
      <c r="V33">
        <f>Levels!T33</f>
        <v>-7.2811729000000006E-2</v>
      </c>
      <c r="W33">
        <f>Levels!U33</f>
        <v>-2.8780008110000002</v>
      </c>
      <c r="X33">
        <f>Levels!AB33</f>
        <v>-0.400907649905829</v>
      </c>
    </row>
    <row r="34" spans="1:24" x14ac:dyDescent="0.35">
      <c r="A34" t="str">
        <f>Levels!A34</f>
        <v>1979Q1</v>
      </c>
      <c r="B34">
        <f>Levels!B34/Levels!$R34</f>
        <v>2626.515092354427</v>
      </c>
      <c r="C34">
        <f>Levels!C34/Levels!$R34</f>
        <v>368235.25486078282</v>
      </c>
      <c r="D34">
        <f>Levels!D34/Levels!R34</f>
        <v>443834.60525642714</v>
      </c>
      <c r="E34">
        <f>Levels!V34/Levels!R34</f>
        <v>2476427.7889351817</v>
      </c>
      <c r="F34">
        <f>Levels!E34</f>
        <v>1216.21</v>
      </c>
      <c r="G34">
        <f>Levels!F34</f>
        <v>4348.0221889521272</v>
      </c>
      <c r="H34">
        <f>Levels!G34</f>
        <v>5.8</v>
      </c>
      <c r="J34">
        <f>Levels!AD34</f>
        <v>-5.106742497399952E-3</v>
      </c>
      <c r="K34">
        <f>Levels!AC34</f>
        <v>10.073333333333334</v>
      </c>
      <c r="L34">
        <f>Levels!I34</f>
        <v>3.5572160138248856</v>
      </c>
      <c r="M34">
        <f>Levels!J34</f>
        <v>1.99713897926064</v>
      </c>
      <c r="N34">
        <f>Levels!K34</f>
        <v>2.4656139495585299</v>
      </c>
      <c r="O34">
        <v>-0.2351</v>
      </c>
      <c r="P34">
        <f>Levels!M34</f>
        <v>1.7068918496714749</v>
      </c>
      <c r="Q34">
        <f>Levels!N34</f>
        <v>1.0235302004547551</v>
      </c>
      <c r="R34">
        <f>Levels!O34</f>
        <v>0.80498175069301603</v>
      </c>
      <c r="S34">
        <f>Levels!P34</f>
        <v>1.00766326124951</v>
      </c>
      <c r="T34">
        <f>Levels!Q34</f>
        <v>6746.1760000000004</v>
      </c>
      <c r="U34">
        <f>Levels!S34</f>
        <v>1.635708766</v>
      </c>
      <c r="V34">
        <f>Levels!T34</f>
        <v>-2.785396027</v>
      </c>
      <c r="W34">
        <f>Levels!U34</f>
        <v>-0.115757311</v>
      </c>
      <c r="X34">
        <f>Levels!AB34</f>
        <v>-0.72686372349608497</v>
      </c>
    </row>
    <row r="35" spans="1:24" x14ac:dyDescent="0.35">
      <c r="A35" t="str">
        <f>Levels!A35</f>
        <v>1979Q2</v>
      </c>
      <c r="B35">
        <f>Levels!B35/Levels!$R35</f>
        <v>2728.1062561307222</v>
      </c>
      <c r="C35">
        <f>Levels!C35/Levels!$R35</f>
        <v>371570.81447680324</v>
      </c>
      <c r="D35">
        <f>Levels!D35/Levels!R35</f>
        <v>459063.28293834219</v>
      </c>
      <c r="E35">
        <f>Levels!V35/Levels!R35</f>
        <v>2565687.2138950946</v>
      </c>
      <c r="F35">
        <f>Levels!E35</f>
        <v>1219.8440000000001</v>
      </c>
      <c r="G35">
        <f>Levels!F35</f>
        <v>4389.8243076196586</v>
      </c>
      <c r="H35">
        <f>Levels!G35</f>
        <v>3.1</v>
      </c>
      <c r="J35">
        <f>Levels!AD35</f>
        <v>4.897628967884371E-3</v>
      </c>
      <c r="K35">
        <f>Levels!AC35</f>
        <v>10.18</v>
      </c>
      <c r="L35">
        <f>Levels!I35</f>
        <v>3.634563571428572</v>
      </c>
      <c r="M35">
        <f>Levels!J35</f>
        <v>2.0066857394117998</v>
      </c>
      <c r="N35">
        <f>Levels!K35</f>
        <v>2.6291516323601698</v>
      </c>
      <c r="O35">
        <v>-0.223</v>
      </c>
      <c r="P35">
        <f>Levels!M35</f>
        <v>1.8399191775234838</v>
      </c>
      <c r="Q35">
        <f>Levels!N35</f>
        <v>1.1799334864831568</v>
      </c>
      <c r="R35">
        <f>Levels!O35</f>
        <v>0.85457157194875799</v>
      </c>
      <c r="S35">
        <f>Levels!P35</f>
        <v>0.96130465522050002</v>
      </c>
      <c r="T35">
        <f>Levels!Q35</f>
        <v>6753.3890000000001</v>
      </c>
      <c r="U35">
        <f>Levels!S35</f>
        <v>-4.6451747000000002E-2</v>
      </c>
      <c r="V35">
        <f>Levels!T35</f>
        <v>-0.71977859899999996</v>
      </c>
      <c r="W35">
        <f>Levels!U35</f>
        <v>-0.19744320100000001</v>
      </c>
      <c r="X35">
        <f>Levels!AB35</f>
        <v>-0.44725818121154698</v>
      </c>
    </row>
    <row r="36" spans="1:24" x14ac:dyDescent="0.35">
      <c r="A36" t="str">
        <f>Levels!A36</f>
        <v>1979Q3</v>
      </c>
      <c r="B36">
        <f>Levels!B36/Levels!$R36</f>
        <v>2819.0469853338714</v>
      </c>
      <c r="C36">
        <f>Levels!C36/Levels!$R36</f>
        <v>380798.5014795594</v>
      </c>
      <c r="D36">
        <f>Levels!D36/Levels!R36</f>
        <v>481157.56969758193</v>
      </c>
      <c r="E36">
        <f>Levels!V36/Levels!R36</f>
        <v>2645870.0730497977</v>
      </c>
      <c r="F36">
        <f>Levels!E36</f>
        <v>1248.048</v>
      </c>
      <c r="G36">
        <f>Levels!F36</f>
        <v>4461.6530975799715</v>
      </c>
      <c r="H36">
        <f>Levels!G36</f>
        <v>3.2</v>
      </c>
      <c r="J36">
        <f>Levels!AD36</f>
        <v>2.8634354183758592E-3</v>
      </c>
      <c r="K36">
        <f>Levels!AC36</f>
        <v>10.946666666666667</v>
      </c>
      <c r="L36">
        <f>Levels!I36</f>
        <v>3.6992272222222233</v>
      </c>
      <c r="M36">
        <f>Levels!J36</f>
        <v>2.0286501323544801</v>
      </c>
      <c r="N36">
        <f>Levels!K36</f>
        <v>2.7790950175674101</v>
      </c>
      <c r="O36">
        <v>-0.21659999999999999</v>
      </c>
      <c r="P36">
        <f>Levels!M36</f>
        <v>1.9352361602197532</v>
      </c>
      <c r="Q36">
        <f>Levels!N36</f>
        <v>1.0493679569775465</v>
      </c>
      <c r="R36">
        <f>Levels!O36</f>
        <v>0.86954149731573305</v>
      </c>
      <c r="S36">
        <f>Levels!P36</f>
        <v>0.997747828227737</v>
      </c>
      <c r="T36">
        <f>Levels!Q36</f>
        <v>6803.558</v>
      </c>
      <c r="U36">
        <f>Levels!S36</f>
        <v>1.1634772950000001</v>
      </c>
      <c r="V36">
        <f>Levels!T36</f>
        <v>-2.6091098160000001</v>
      </c>
      <c r="W36">
        <f>Levels!U36</f>
        <v>1.4592137919999999</v>
      </c>
      <c r="X36">
        <f>Levels!AB36</f>
        <v>1.2913580300819201</v>
      </c>
    </row>
    <row r="37" spans="1:24" x14ac:dyDescent="0.35">
      <c r="A37" t="str">
        <f>Levels!A37</f>
        <v>1979Q4</v>
      </c>
      <c r="B37">
        <f>Levels!B37/Levels!$R37</f>
        <v>2896.6439795928486</v>
      </c>
      <c r="C37">
        <f>Levels!C37/Levels!$R37</f>
        <v>380346.19514993567</v>
      </c>
      <c r="D37">
        <f>Levels!D37/Levels!R37</f>
        <v>492549.41415815731</v>
      </c>
      <c r="E37">
        <f>Levels!V37/Levels!R37</f>
        <v>2695989.2284751437</v>
      </c>
      <c r="F37">
        <f>Levels!E37</f>
        <v>1238.856</v>
      </c>
      <c r="G37">
        <f>Levels!F37</f>
        <v>4498.0000939508654</v>
      </c>
      <c r="H37">
        <f>Levels!G37</f>
        <v>2.2000000000000002</v>
      </c>
      <c r="J37">
        <f>Levels!AD37</f>
        <v>-1.1101083531804057E-2</v>
      </c>
      <c r="K37">
        <f>Levels!AC37</f>
        <v>13.576666666666666</v>
      </c>
      <c r="L37">
        <f>Levels!I37</f>
        <v>5.1284169476971124</v>
      </c>
      <c r="M37">
        <f>Levels!J37</f>
        <v>2.02419875861988</v>
      </c>
      <c r="N37">
        <f>Levels!K37</f>
        <v>2.8523373193716699</v>
      </c>
      <c r="O37">
        <v>-0.33929999999999999</v>
      </c>
      <c r="P37">
        <f>Levels!M37</f>
        <v>1.9712531778096198</v>
      </c>
      <c r="Q37">
        <f>Levels!N37</f>
        <v>0.92971968446283393</v>
      </c>
      <c r="R37">
        <f>Levels!O37</f>
        <v>0.92560484589340597</v>
      </c>
      <c r="S37">
        <f>Levels!P37</f>
        <v>1.0682760337696899</v>
      </c>
      <c r="T37">
        <f>Levels!Q37</f>
        <v>6820.5720000000001</v>
      </c>
      <c r="U37">
        <f>Levels!S37</f>
        <v>2.6794027250000001</v>
      </c>
      <c r="V37">
        <f>Levels!T37</f>
        <v>-1.039458561</v>
      </c>
      <c r="W37">
        <f>Levels!U37</f>
        <v>-0.17342022400000001</v>
      </c>
      <c r="X37">
        <f>Levels!AB37</f>
        <v>-0.43797138161982502</v>
      </c>
    </row>
    <row r="38" spans="1:24" x14ac:dyDescent="0.35">
      <c r="A38" t="str">
        <f>Levels!A38</f>
        <v>1980Q1</v>
      </c>
      <c r="B38">
        <f>Levels!B38/Levels!$R38</f>
        <v>2965.9742925279465</v>
      </c>
      <c r="C38">
        <f>Levels!C38/Levels!$R38</f>
        <v>394806.3192037291</v>
      </c>
      <c r="D38">
        <f>Levels!D38/Levels!R38</f>
        <v>500986.34433997946</v>
      </c>
      <c r="E38">
        <f>Levels!V38/Levels!R38</f>
        <v>2727802.1969377003</v>
      </c>
      <c r="F38">
        <f>Levels!E38</f>
        <v>1233.79</v>
      </c>
      <c r="G38">
        <f>Levels!F38</f>
        <v>4538.9029830547342</v>
      </c>
      <c r="H38">
        <f>Levels!G38</f>
        <v>1.2</v>
      </c>
      <c r="J38">
        <f>Levels!AD38</f>
        <v>1.0948072150632315E-2</v>
      </c>
      <c r="K38">
        <f>Levels!AC38</f>
        <v>15.046666666666667</v>
      </c>
      <c r="L38">
        <f>Levels!I38</f>
        <v>6.7349681182795678</v>
      </c>
      <c r="M38">
        <f>Levels!J38</f>
        <v>2.0422358450409002</v>
      </c>
      <c r="N38">
        <f>Levels!K38</f>
        <v>2.6842087619947299</v>
      </c>
      <c r="O38">
        <v>-0.1469</v>
      </c>
      <c r="P38">
        <f>Levels!M38</f>
        <v>1.7726300514393689</v>
      </c>
      <c r="Q38">
        <f>Levels!N38</f>
        <v>1.4563177856260701</v>
      </c>
      <c r="R38">
        <f>Levels!O38</f>
        <v>1.0363934626323399</v>
      </c>
      <c r="S38">
        <f>Levels!P38</f>
        <v>1.11833617644162</v>
      </c>
      <c r="T38">
        <f>Levels!Q38</f>
        <v>6842.0240000000003</v>
      </c>
      <c r="U38">
        <f>Levels!S38</f>
        <v>6.8982784419999996</v>
      </c>
      <c r="V38">
        <f>Levels!T38</f>
        <v>-5.7902288940000002</v>
      </c>
      <c r="W38">
        <f>Levels!U38</f>
        <v>1.2245496570000001</v>
      </c>
      <c r="X38">
        <f>Levels!AB38</f>
        <v>1.51100521073645</v>
      </c>
    </row>
    <row r="39" spans="1:24" x14ac:dyDescent="0.35">
      <c r="A39" t="str">
        <f>Levels!A39</f>
        <v>1980Q2</v>
      </c>
      <c r="B39">
        <f>Levels!B39/Levels!$R39</f>
        <v>2998.2894278358453</v>
      </c>
      <c r="C39">
        <f>Levels!C39/Levels!$R39</f>
        <v>408516.64831001323</v>
      </c>
      <c r="D39">
        <f>Levels!D39/Levels!R39</f>
        <v>524006.33131420851</v>
      </c>
      <c r="E39">
        <f>Levels!V39/Levels!R39</f>
        <v>2805719.7535001589</v>
      </c>
      <c r="F39">
        <f>Levels!E39</f>
        <v>1144.0409999999999</v>
      </c>
      <c r="G39">
        <f>Levels!F39</f>
        <v>4446.8596113520207</v>
      </c>
      <c r="H39">
        <f>Levels!G39</f>
        <v>-0.9</v>
      </c>
      <c r="J39">
        <f>Levels!AD39</f>
        <v>1.2162566562781807E-2</v>
      </c>
      <c r="K39">
        <f>Levels!AC39</f>
        <v>12.686666666666667</v>
      </c>
      <c r="L39">
        <f>Levels!I39</f>
        <v>5.3661554761904764</v>
      </c>
      <c r="M39">
        <f>Levels!J39</f>
        <v>2.0456735909219499</v>
      </c>
      <c r="N39">
        <f>Levels!K39</f>
        <v>2.8393814781446198</v>
      </c>
      <c r="O39">
        <v>-0.2089</v>
      </c>
      <c r="P39">
        <f>Levels!M39</f>
        <v>1.8972651628313069</v>
      </c>
      <c r="Q39">
        <f>Levels!N39</f>
        <v>1.0704981084610441</v>
      </c>
      <c r="R39">
        <f>Levels!O39</f>
        <v>1.12931719917518</v>
      </c>
      <c r="S39">
        <f>Levels!P39</f>
        <v>1.06166976704935</v>
      </c>
      <c r="T39">
        <f>Levels!Q39</f>
        <v>6701.0460000000003</v>
      </c>
      <c r="U39">
        <f>Levels!S39</f>
        <v>-6.1779234540000001</v>
      </c>
      <c r="V39">
        <f>Levels!T39</f>
        <v>-1.802748574</v>
      </c>
      <c r="W39">
        <f>Levels!U39</f>
        <v>-3.2536660290000001</v>
      </c>
      <c r="X39">
        <f>Levels!AB39</f>
        <v>-1.5765633984819101</v>
      </c>
    </row>
    <row r="40" spans="1:24" x14ac:dyDescent="0.35">
      <c r="A40" t="str">
        <f>Levels!A40</f>
        <v>1980Q3</v>
      </c>
      <c r="B40">
        <f>Levels!B40/Levels!$R40</f>
        <v>3058.0759728032085</v>
      </c>
      <c r="C40">
        <f>Levels!C40/Levels!$R40</f>
        <v>430139.79164439358</v>
      </c>
      <c r="D40">
        <f>Levels!D40/Levels!R40</f>
        <v>544609.99617574224</v>
      </c>
      <c r="E40">
        <f>Levels!V40/Levels!R40</f>
        <v>2861515.8633787488</v>
      </c>
      <c r="F40">
        <f>Levels!E40</f>
        <v>1148.8599999999999</v>
      </c>
      <c r="G40">
        <f>Levels!F40</f>
        <v>4500.9194988151385</v>
      </c>
      <c r="H40">
        <f>Levels!G40</f>
        <v>-2.2999999999999998</v>
      </c>
      <c r="J40">
        <f>Levels!AD40</f>
        <v>-1.4538256839751185E-3</v>
      </c>
      <c r="K40">
        <f>Levels!AC40</f>
        <v>9.836666666666666</v>
      </c>
      <c r="L40">
        <f>Levels!I40</f>
        <v>5.942481607142855</v>
      </c>
      <c r="M40">
        <f>Levels!J40</f>
        <v>2.1027894891132299</v>
      </c>
      <c r="N40">
        <f>Levels!K40</f>
        <v>2.3819633691084499</v>
      </c>
      <c r="O40">
        <v>3.5499999999999997E-2</v>
      </c>
      <c r="P40">
        <f>Levels!M40</f>
        <v>1.4339835558531768</v>
      </c>
      <c r="Q40">
        <f>Levels!N40</f>
        <v>0.52195001337898805</v>
      </c>
      <c r="R40">
        <f>Levels!O40</f>
        <v>1.07347731849768</v>
      </c>
      <c r="S40">
        <f>Levels!P40</f>
        <v>0.97575651342307801</v>
      </c>
      <c r="T40">
        <f>Levels!Q40</f>
        <v>6693.0820000000003</v>
      </c>
      <c r="U40">
        <f>Levels!S40</f>
        <v>4.8543295830000002</v>
      </c>
      <c r="V40">
        <f>Levels!T40</f>
        <v>0.40998356200000002</v>
      </c>
      <c r="W40">
        <f>Levels!U40</f>
        <v>-3.1589248560000001</v>
      </c>
      <c r="X40">
        <f>Levels!AB40</f>
        <v>1.34628033715756</v>
      </c>
    </row>
    <row r="41" spans="1:24" x14ac:dyDescent="0.35">
      <c r="A41" t="str">
        <f>Levels!A41</f>
        <v>1980Q4</v>
      </c>
      <c r="B41">
        <f>Levels!B41/Levels!$R41</f>
        <v>3144.0726900582949</v>
      </c>
      <c r="C41">
        <f>Levels!C41/Levels!$R41</f>
        <v>430402.49484710454</v>
      </c>
      <c r="D41">
        <f>Levels!D41/Levels!R41</f>
        <v>561927.06940250308</v>
      </c>
      <c r="E41">
        <f>Levels!V41/Levels!R41</f>
        <v>2961520.7076883935</v>
      </c>
      <c r="F41">
        <f>Levels!E41</f>
        <v>1184.951</v>
      </c>
      <c r="G41">
        <f>Levels!F41</f>
        <v>4568.3634731186294</v>
      </c>
      <c r="H41">
        <f>Levels!G41</f>
        <v>-1.2</v>
      </c>
      <c r="J41">
        <f>Levels!AD41</f>
        <v>-1.6952831419898784E-2</v>
      </c>
      <c r="K41">
        <f>Levels!AC41</f>
        <v>15.853333333333333</v>
      </c>
      <c r="L41">
        <f>Levels!I41</f>
        <v>7.5347325800156124</v>
      </c>
      <c r="M41">
        <f>Levels!J41</f>
        <v>2.1290305566801702</v>
      </c>
      <c r="N41">
        <f>Levels!K41</f>
        <v>2.1091440358216098</v>
      </c>
      <c r="O41">
        <v>-6.3E-2</v>
      </c>
      <c r="P41">
        <f>Levels!M41</f>
        <v>1.1554793383089748</v>
      </c>
      <c r="Q41">
        <f>Levels!N41</f>
        <v>0.90450838837135128</v>
      </c>
      <c r="R41">
        <f>Levels!O41</f>
        <v>1.02693307752508</v>
      </c>
      <c r="S41">
        <f>Levels!P41</f>
        <v>0.94474727243432199</v>
      </c>
      <c r="T41">
        <f>Levels!Q41</f>
        <v>6817.9030000000002</v>
      </c>
      <c r="U41">
        <f>Levels!S41</f>
        <v>3.7112981299999999</v>
      </c>
      <c r="V41">
        <f>Levels!T41</f>
        <v>-0.66733788999999999</v>
      </c>
      <c r="W41">
        <f>Levels!U41</f>
        <v>-1.7492747609999999</v>
      </c>
      <c r="X41">
        <f>Levels!AB41</f>
        <v>0.140236501468258</v>
      </c>
    </row>
    <row r="42" spans="1:24" x14ac:dyDescent="0.35">
      <c r="A42" t="str">
        <f>Levels!A42</f>
        <v>1981Q1</v>
      </c>
      <c r="B42">
        <f>Levels!B42/Levels!$R42</f>
        <v>3184.701199014085</v>
      </c>
      <c r="C42">
        <f>Levels!C42/Levels!$R42</f>
        <v>459365.68384704617</v>
      </c>
      <c r="D42">
        <f>Levels!D42/Levels!R42</f>
        <v>576370.84696632961</v>
      </c>
      <c r="E42">
        <f>Levels!V42/Levels!R42</f>
        <v>3039294.0416798773</v>
      </c>
      <c r="F42">
        <f>Levels!E42</f>
        <v>1201.2429999999999</v>
      </c>
      <c r="G42">
        <f>Levels!F42</f>
        <v>4591.524202029258</v>
      </c>
      <c r="H42">
        <f>Levels!G42</f>
        <v>-0.4</v>
      </c>
      <c r="I42">
        <f>Levels!Y42</f>
        <v>0.88892154863003392</v>
      </c>
      <c r="J42">
        <f>Levels!AD42</f>
        <v>3.0625663338481601E-3</v>
      </c>
      <c r="K42">
        <f>Levels!AC42</f>
        <v>16.57</v>
      </c>
      <c r="L42">
        <f>Levels!I42</f>
        <v>8.2256026424668214</v>
      </c>
      <c r="M42">
        <f>Levels!J42</f>
        <v>2.1189736298447301</v>
      </c>
      <c r="N42">
        <f>Levels!K42</f>
        <v>2.5209273881866299</v>
      </c>
      <c r="O42">
        <v>0.15110000000000001</v>
      </c>
      <c r="P42">
        <f>Levels!M42</f>
        <v>1.5615670083793238</v>
      </c>
      <c r="Q42">
        <f>Levels!N42</f>
        <v>0.84273353379032967</v>
      </c>
      <c r="R42">
        <f>Levels!O42</f>
        <v>1.0163666765080199</v>
      </c>
      <c r="S42">
        <f>Levels!P42</f>
        <v>0.92260367522692699</v>
      </c>
      <c r="T42">
        <f>Levels!Q42</f>
        <v>6951.4949999999999</v>
      </c>
      <c r="U42">
        <f>Levels!S42</f>
        <v>-1.9293083900000001</v>
      </c>
      <c r="V42">
        <f>Levels!T42</f>
        <v>-0.22506820599999999</v>
      </c>
      <c r="W42">
        <f>Levels!U42</f>
        <v>-0.57680167900000001</v>
      </c>
      <c r="X42">
        <f>Levels!AB42</f>
        <v>-0.70313636241992095</v>
      </c>
    </row>
    <row r="43" spans="1:24" x14ac:dyDescent="0.35">
      <c r="A43" t="str">
        <f>Levels!A43</f>
        <v>1981Q2</v>
      </c>
      <c r="B43">
        <f>Levels!B43/Levels!$R43</f>
        <v>3281.214396274605</v>
      </c>
      <c r="C43">
        <f>Levels!C43/Levels!$R43</f>
        <v>453082.8950247381</v>
      </c>
      <c r="D43">
        <f>Levels!D43/Levels!R43</f>
        <v>586864.73667424195</v>
      </c>
      <c r="E43">
        <f>Levels!V43/Levels!R43</f>
        <v>3115263.3619738799</v>
      </c>
      <c r="F43">
        <f>Levels!E43</f>
        <v>1201.53</v>
      </c>
      <c r="G43">
        <f>Levels!F43</f>
        <v>4561.531034781312</v>
      </c>
      <c r="H43">
        <f>Levels!G43</f>
        <v>1.5</v>
      </c>
      <c r="I43">
        <f>Levels!Y43</f>
        <v>1.7287282392994763</v>
      </c>
      <c r="J43">
        <f>Levels!AD43</f>
        <v>9.7319220752667412E-4</v>
      </c>
      <c r="K43">
        <f>Levels!AC43</f>
        <v>17.78</v>
      </c>
      <c r="L43">
        <f>Levels!I43</f>
        <v>9.1581014285714275</v>
      </c>
      <c r="M43">
        <f>Levels!J43</f>
        <v>2.1201177825333799</v>
      </c>
      <c r="N43">
        <f>Levels!K43</f>
        <v>2.6629970145695601</v>
      </c>
      <c r="O43">
        <v>0.37180000000000002</v>
      </c>
      <c r="P43">
        <f>Levels!M43</f>
        <v>1.717134265305956</v>
      </c>
      <c r="Q43">
        <f>Levels!N43</f>
        <v>0.78482293918144597</v>
      </c>
      <c r="R43">
        <f>Levels!O43</f>
        <v>1.00949608929618</v>
      </c>
      <c r="S43">
        <f>Levels!P43</f>
        <v>0.91077230648030705</v>
      </c>
      <c r="T43">
        <f>Levels!Q43</f>
        <v>6899.98</v>
      </c>
      <c r="U43">
        <f>Levels!S43</f>
        <v>1.6972630959999999</v>
      </c>
      <c r="V43">
        <f>Levels!T43</f>
        <v>-0.72447344300000005</v>
      </c>
      <c r="W43">
        <f>Levels!U43</f>
        <v>-1.201745375</v>
      </c>
      <c r="X43">
        <f>Levels!AB43</f>
        <v>4.6531181130074303E-2</v>
      </c>
    </row>
    <row r="44" spans="1:24" x14ac:dyDescent="0.35">
      <c r="A44" t="str">
        <f>Levels!A44</f>
        <v>1981Q3</v>
      </c>
      <c r="B44">
        <f>Levels!B44/Levels!$R44</f>
        <v>3362.1176299064341</v>
      </c>
      <c r="C44">
        <f>Levels!C44/Levels!$R44</f>
        <v>471301.38009084587</v>
      </c>
      <c r="D44">
        <f>Levels!D44/Levels!R44</f>
        <v>585290.31014380034</v>
      </c>
      <c r="E44">
        <f>Levels!V44/Levels!R44</f>
        <v>3203015.5464247395</v>
      </c>
      <c r="F44">
        <f>Levels!E44</f>
        <v>1197.7639999999999</v>
      </c>
      <c r="G44">
        <f>Levels!F44</f>
        <v>4554.6705849678365</v>
      </c>
      <c r="H44">
        <f>Levels!G44</f>
        <v>1.9</v>
      </c>
      <c r="I44">
        <f>Levels!Y44</f>
        <v>2.0917107700013564</v>
      </c>
      <c r="J44">
        <f>Levels!AD44</f>
        <v>7.6998274984974024E-4</v>
      </c>
      <c r="K44">
        <f>Levels!AC44</f>
        <v>17.576666666666668</v>
      </c>
      <c r="L44">
        <f>Levels!I44</f>
        <v>10.391209642857142</v>
      </c>
      <c r="M44">
        <f>Levels!J44</f>
        <v>2.08801552140527</v>
      </c>
      <c r="N44">
        <f>Levels!K44</f>
        <v>2.9623773758299801</v>
      </c>
      <c r="O44">
        <v>0.30370000000000003</v>
      </c>
      <c r="P44">
        <f>Levels!M44</f>
        <v>2.0265009294173599</v>
      </c>
      <c r="Q44">
        <f>Levels!N44</f>
        <v>0.94767538529709394</v>
      </c>
      <c r="R44">
        <f>Levels!O44</f>
        <v>1.0058699565634099</v>
      </c>
      <c r="S44">
        <f>Levels!P44</f>
        <v>0.95476982843289604</v>
      </c>
      <c r="T44">
        <f>Levels!Q44</f>
        <v>6982.6090000000004</v>
      </c>
      <c r="U44">
        <f>Levels!S44</f>
        <v>0.40799322900000001</v>
      </c>
      <c r="V44">
        <f>Levels!T44</f>
        <v>-1.867434394</v>
      </c>
      <c r="W44">
        <f>Levels!U44</f>
        <v>0.35005574</v>
      </c>
      <c r="X44">
        <f>Levels!AB44</f>
        <v>1.3330722566608699</v>
      </c>
    </row>
    <row r="45" spans="1:24" x14ac:dyDescent="0.35">
      <c r="A45" t="str">
        <f>Levels!A45</f>
        <v>1981Q4</v>
      </c>
      <c r="B45">
        <f>Levels!B45/Levels!$R45</f>
        <v>3429.2686935170868</v>
      </c>
      <c r="C45">
        <f>Levels!C45/Levels!$R45</f>
        <v>504514.29994779639</v>
      </c>
      <c r="D45">
        <f>Levels!D45/Levels!R45</f>
        <v>601647.46917529486</v>
      </c>
      <c r="E45">
        <f>Levels!V45/Levels!R45</f>
        <v>3361692.6906325836</v>
      </c>
      <c r="F45">
        <f>Levels!E45</f>
        <v>1200.9960000000001</v>
      </c>
      <c r="G45">
        <f>Levels!F45</f>
        <v>4495.495416065236</v>
      </c>
      <c r="H45">
        <f>Levels!G45</f>
        <v>0.2</v>
      </c>
      <c r="I45">
        <f>Levels!Y45</f>
        <v>2.0845536409209955</v>
      </c>
      <c r="J45">
        <f>Levels!AD45</f>
        <v>-5.1487745927289996E-3</v>
      </c>
      <c r="K45">
        <f>Levels!AC45</f>
        <v>13.586666666666666</v>
      </c>
      <c r="L45">
        <f>Levels!I45</f>
        <v>9.7978379781420752</v>
      </c>
      <c r="M45">
        <f>Levels!J45</f>
        <v>2.0911362637852799</v>
      </c>
      <c r="N45">
        <f>Levels!K45</f>
        <v>2.9874789548919098</v>
      </c>
      <c r="O45">
        <v>0.38850000000000001</v>
      </c>
      <c r="P45">
        <f>Levels!M45</f>
        <v>2.0867719146599359</v>
      </c>
      <c r="Q45">
        <f>Levels!N45</f>
        <v>0.28532072529483699</v>
      </c>
      <c r="R45">
        <f>Levels!O45</f>
        <v>1.0118918579884699</v>
      </c>
      <c r="S45">
        <f>Levels!P45</f>
        <v>0.93622252010145501</v>
      </c>
      <c r="T45">
        <f>Levels!Q45</f>
        <v>6906.5290000000005</v>
      </c>
      <c r="U45">
        <f>Levels!S45</f>
        <v>-3.0255949530000001</v>
      </c>
      <c r="V45">
        <f>Levels!T45</f>
        <v>-2.2739213839999999</v>
      </c>
      <c r="W45">
        <f>Levels!U45</f>
        <v>-0.88778327099999998</v>
      </c>
      <c r="X45">
        <f>Levels!AB45</f>
        <v>0.51262903842140695</v>
      </c>
    </row>
    <row r="46" spans="1:24" x14ac:dyDescent="0.35">
      <c r="A46" t="str">
        <f>Levels!A46</f>
        <v>1982Q1</v>
      </c>
      <c r="B46">
        <f>Levels!B46/Levels!$R46</f>
        <v>3476.5973714779143</v>
      </c>
      <c r="C46">
        <f>Levels!C46/Levels!$R46</f>
        <v>525973.22459043178</v>
      </c>
      <c r="D46">
        <f>Levels!D46/Levels!R46</f>
        <v>607108.19342888135</v>
      </c>
      <c r="E46">
        <f>Levels!V46/Levels!R46</f>
        <v>3415610.0412347284</v>
      </c>
      <c r="F46">
        <f>Levels!E46</f>
        <v>1168.9169999999999</v>
      </c>
      <c r="G46">
        <f>Levels!F46</f>
        <v>4496.4744423720704</v>
      </c>
      <c r="H46">
        <f>Levels!G46</f>
        <v>-2.1</v>
      </c>
      <c r="I46">
        <f>Levels!Y46</f>
        <v>1.5797079719113936</v>
      </c>
      <c r="J46">
        <f>Levels!AD46</f>
        <v>3.0904094384198721E-4</v>
      </c>
      <c r="K46">
        <f>Levels!AC46</f>
        <v>14.226666666666667</v>
      </c>
      <c r="L46">
        <f>Levels!I46</f>
        <v>10.062421834504294</v>
      </c>
      <c r="M46">
        <f>Levels!J46</f>
        <v>2.05754775306128</v>
      </c>
      <c r="N46">
        <f>Levels!K46</f>
        <v>3.2456478185322699</v>
      </c>
      <c r="O46">
        <v>0.6552</v>
      </c>
      <c r="P46">
        <f>Levels!M46</f>
        <v>2.381093815175904</v>
      </c>
      <c r="Q46">
        <f>Levels!N46</f>
        <v>0.177191435681952</v>
      </c>
      <c r="R46">
        <f>Levels!O46</f>
        <v>1.01880701677344</v>
      </c>
      <c r="S46">
        <f>Levels!P46</f>
        <v>0.91682961604842494</v>
      </c>
      <c r="T46">
        <f>Levels!Q46</f>
        <v>6799.2330000000002</v>
      </c>
      <c r="U46">
        <f>Levels!S46</f>
        <v>-0.47249076200000001</v>
      </c>
      <c r="V46">
        <f>Levels!T46</f>
        <v>1.533854303</v>
      </c>
      <c r="W46">
        <f>Levels!U46</f>
        <v>0.128164318</v>
      </c>
      <c r="X46">
        <f>Levels!AB46</f>
        <v>-1.1371214557834901</v>
      </c>
    </row>
    <row r="47" spans="1:24" x14ac:dyDescent="0.35">
      <c r="A47" t="str">
        <f>Levels!A47</f>
        <v>1982Q2</v>
      </c>
      <c r="B47">
        <f>Levels!B47/Levels!$R47</f>
        <v>3552.9576004185478</v>
      </c>
      <c r="C47">
        <f>Levels!C47/Levels!$R47</f>
        <v>526893.20617009315</v>
      </c>
      <c r="D47">
        <f>Levels!D47/Levels!R47</f>
        <v>610851.84882354911</v>
      </c>
      <c r="E47">
        <f>Levels!V47/Levels!R47</f>
        <v>3521201.9637347008</v>
      </c>
      <c r="F47">
        <f>Levels!E47</f>
        <v>1143.1410000000001</v>
      </c>
      <c r="G47">
        <f>Levels!F47</f>
        <v>4473.343555237896</v>
      </c>
      <c r="H47">
        <f>Levels!G47</f>
        <v>-1.7</v>
      </c>
      <c r="I47">
        <f>Levels!Y47</f>
        <v>2.2858784240203005</v>
      </c>
      <c r="J47">
        <f>Levels!AD47</f>
        <v>1.444605015106748E-2</v>
      </c>
      <c r="K47">
        <f>Levels!AC47</f>
        <v>14.513333333333334</v>
      </c>
      <c r="L47">
        <f>Levels!I47</f>
        <v>9.8382992063492054</v>
      </c>
      <c r="M47">
        <f>Levels!J47</f>
        <v>2.05268916115361</v>
      </c>
      <c r="N47">
        <f>Levels!K47</f>
        <v>3.32453107021409</v>
      </c>
      <c r="O47">
        <v>0.61890000000000001</v>
      </c>
      <c r="P47">
        <f>Levels!M47</f>
        <v>2.4978990268194972</v>
      </c>
      <c r="Q47">
        <f>Levels!N47</f>
        <v>0.87475224280402264</v>
      </c>
      <c r="R47">
        <f>Levels!O47</f>
        <v>0.97206958113393804</v>
      </c>
      <c r="S47">
        <f>Levels!P47</f>
        <v>0.94059797474454199</v>
      </c>
      <c r="T47">
        <f>Levels!Q47</f>
        <v>6830.2510000000002</v>
      </c>
      <c r="U47">
        <f>Levels!S47</f>
        <v>-1.4216616959999999</v>
      </c>
      <c r="V47">
        <f>Levels!T47</f>
        <v>-2.3032457829999999</v>
      </c>
      <c r="W47">
        <f>Levels!U47</f>
        <v>1.6264403080000001</v>
      </c>
      <c r="X47">
        <f>Levels!AB47</f>
        <v>-0.54074285085661999</v>
      </c>
    </row>
    <row r="48" spans="1:24" x14ac:dyDescent="0.35">
      <c r="A48" t="str">
        <f>Levels!A48</f>
        <v>1982Q3</v>
      </c>
      <c r="B48">
        <f>Levels!B48/Levels!$R48</f>
        <v>3595.9813595323503</v>
      </c>
      <c r="C48">
        <f>Levels!C48/Levels!$R48</f>
        <v>575008.17587660125</v>
      </c>
      <c r="D48">
        <f>Levels!D48/Levels!R48</f>
        <v>627192.7746528784</v>
      </c>
      <c r="E48">
        <f>Levels!V48/Levels!R48</f>
        <v>3623175.727251627</v>
      </c>
      <c r="F48">
        <f>Levels!E48</f>
        <v>1121.6959999999999</v>
      </c>
      <c r="G48">
        <f>Levels!F48</f>
        <v>4500.0533335397386</v>
      </c>
      <c r="H48">
        <f>Levels!G48</f>
        <v>-2.4</v>
      </c>
      <c r="I48">
        <f>Levels!Y48</f>
        <v>2.1945322949490884</v>
      </c>
      <c r="J48">
        <f>Levels!AD48</f>
        <v>1.2009587043101178E-2</v>
      </c>
      <c r="K48">
        <f>Levels!AC48</f>
        <v>11.006666666666666</v>
      </c>
      <c r="L48">
        <f>Levels!I48</f>
        <v>9.0984285714285704</v>
      </c>
      <c r="M48">
        <f>Levels!J48</f>
        <v>2.0836196560829001</v>
      </c>
      <c r="N48">
        <f>Levels!K48</f>
        <v>3.2953810933911099</v>
      </c>
      <c r="O48">
        <v>0.3034</v>
      </c>
      <c r="P48">
        <f>Levels!M48</f>
        <v>2.4906013171367158</v>
      </c>
      <c r="Q48">
        <f>Levels!N48</f>
        <v>0.30843347111325164</v>
      </c>
      <c r="R48">
        <f>Levels!O48</f>
        <v>0.945753447216932</v>
      </c>
      <c r="S48">
        <f>Levels!P48</f>
        <v>1.00682411895251</v>
      </c>
      <c r="T48">
        <f>Levels!Q48</f>
        <v>6804.1390000000001</v>
      </c>
      <c r="U48">
        <f>Levels!S48</f>
        <v>-2.37466534</v>
      </c>
      <c r="V48">
        <f>Levels!T48</f>
        <v>1.1564377210000001</v>
      </c>
      <c r="W48">
        <f>Levels!U48</f>
        <v>2.2141463560000001</v>
      </c>
      <c r="X48">
        <f>Levels!AB48</f>
        <v>4.51930364461509</v>
      </c>
    </row>
    <row r="49" spans="1:24" x14ac:dyDescent="0.35">
      <c r="A49" t="str">
        <f>Levels!A49</f>
        <v>1982Q4</v>
      </c>
      <c r="B49">
        <f>Levels!B49/Levels!$R49</f>
        <v>3651.6042621972078</v>
      </c>
      <c r="C49">
        <f>Levels!C49/Levels!$R49</f>
        <v>633731.81206020911</v>
      </c>
      <c r="D49">
        <f>Levels!D49/Levels!R49</f>
        <v>674838.27672661655</v>
      </c>
      <c r="E49">
        <f>Levels!V49/Levels!R49</f>
        <v>3717989.4441139949</v>
      </c>
      <c r="F49">
        <f>Levels!E49</f>
        <v>1129.354</v>
      </c>
      <c r="G49">
        <f>Levels!F49</f>
        <v>4557.0992322302509</v>
      </c>
      <c r="H49">
        <f>Levels!G49</f>
        <v>-2.8</v>
      </c>
      <c r="I49">
        <f>Levels!Y49</f>
        <v>1.0426175884597886</v>
      </c>
      <c r="J49">
        <f>Levels!AD49</f>
        <v>-3.8358508809002712E-2</v>
      </c>
      <c r="K49">
        <f>Levels!AC49</f>
        <v>9.2866666666666671</v>
      </c>
      <c r="L49">
        <f>Levels!I49</f>
        <v>6.7349723848555811</v>
      </c>
      <c r="M49">
        <f>Levels!J49</f>
        <v>2.1422282261703098</v>
      </c>
      <c r="N49">
        <f>Levels!K49</f>
        <v>2.8730823242979899</v>
      </c>
      <c r="O49">
        <v>0.42880000000000001</v>
      </c>
      <c r="P49">
        <f>Levels!M49</f>
        <v>2.109894158384559</v>
      </c>
      <c r="Q49">
        <f>Levels!N49</f>
        <v>-0.10179803839678432</v>
      </c>
      <c r="R49">
        <f>Levels!O49</f>
        <v>0.91078784078036601</v>
      </c>
      <c r="S49">
        <f>Levels!P49</f>
        <v>1.00694621668957</v>
      </c>
      <c r="T49">
        <f>Levels!Q49</f>
        <v>6806.857</v>
      </c>
      <c r="U49">
        <f>Levels!S49</f>
        <v>-1.6930450880000001</v>
      </c>
      <c r="V49">
        <f>Levels!T49</f>
        <v>-2.6836456829999999</v>
      </c>
      <c r="W49">
        <f>Levels!U49</f>
        <v>-0.92759025399999995</v>
      </c>
      <c r="X49">
        <f>Levels!AB49</f>
        <v>-0.418070289274181</v>
      </c>
    </row>
    <row r="50" spans="1:24" x14ac:dyDescent="0.35">
      <c r="A50" t="str">
        <f>Levels!A50</f>
        <v>1983Q1</v>
      </c>
      <c r="B50">
        <f>Levels!B50/Levels!$R50</f>
        <v>3696.8308266928648</v>
      </c>
      <c r="C50">
        <f>Levels!C50/Levels!$R50</f>
        <v>665170.57307408424</v>
      </c>
      <c r="D50">
        <f>Levels!D50/Levels!R50</f>
        <v>686618.1738586321</v>
      </c>
      <c r="E50">
        <f>Levels!V50/Levels!R50</f>
        <v>3774554.649568988</v>
      </c>
      <c r="F50">
        <f>Levels!E50</f>
        <v>1150.482</v>
      </c>
      <c r="G50">
        <f>Levels!F50</f>
        <v>4572.1045161043785</v>
      </c>
      <c r="H50">
        <f>Levels!G50</f>
        <v>-0.6</v>
      </c>
      <c r="I50">
        <f>Levels!Y50</f>
        <v>0.61462193106250151</v>
      </c>
      <c r="J50">
        <f>Levels!AD50</f>
        <v>-2.4790760228082798E-3</v>
      </c>
      <c r="K50">
        <f>Levels!AC50</f>
        <v>8.6533333333333324</v>
      </c>
      <c r="L50">
        <f>Levels!I50</f>
        <v>6.7021344444444457</v>
      </c>
      <c r="M50">
        <f>Levels!J50</f>
        <v>2.16918338684544</v>
      </c>
      <c r="N50">
        <f>Levels!K50</f>
        <v>2.73761991112436</v>
      </c>
      <c r="O50">
        <v>0.27239999999999998</v>
      </c>
      <c r="P50">
        <f>Levels!M50</f>
        <v>2.022229306102767</v>
      </c>
      <c r="Q50">
        <f>Levels!N50</f>
        <v>0.10238917384648101</v>
      </c>
      <c r="R50">
        <f>Levels!O50</f>
        <v>0.87690195617554101</v>
      </c>
      <c r="S50">
        <f>Levels!P50</f>
        <v>0.94020378769990498</v>
      </c>
      <c r="T50">
        <f>Levels!Q50</f>
        <v>6896.5609999999997</v>
      </c>
      <c r="U50">
        <f>Levels!S50</f>
        <v>1.1467868059999999</v>
      </c>
      <c r="V50">
        <f>Levels!T50</f>
        <v>2.6345384090000001</v>
      </c>
      <c r="W50">
        <f>Levels!U50</f>
        <v>-1.0335218500000001</v>
      </c>
      <c r="X50">
        <f>Levels!AB50</f>
        <v>-1.28085065644361</v>
      </c>
    </row>
    <row r="51" spans="1:24" x14ac:dyDescent="0.35">
      <c r="A51" t="str">
        <f>Levels!A51</f>
        <v>1983Q2</v>
      </c>
      <c r="B51">
        <f>Levels!B51/Levels!$R51</f>
        <v>3793.8824278091893</v>
      </c>
      <c r="C51">
        <f>Levels!C51/Levels!$R51</f>
        <v>682287.43067633407</v>
      </c>
      <c r="D51">
        <f>Levels!D51/Levels!R51</f>
        <v>687097.61796733656</v>
      </c>
      <c r="E51">
        <f>Levels!V51/Levels!R51</f>
        <v>3877395.9002032434</v>
      </c>
      <c r="F51">
        <f>Levels!E51</f>
        <v>1186.9100000000001</v>
      </c>
      <c r="G51">
        <f>Levels!F51</f>
        <v>4640.6961756455412</v>
      </c>
      <c r="H51">
        <f>Levels!G51</f>
        <v>0.1</v>
      </c>
      <c r="I51">
        <f>Levels!Y51</f>
        <v>1.0273062350969331</v>
      </c>
      <c r="J51">
        <f>Levels!AD51</f>
        <v>-1.455732070290594E-3</v>
      </c>
      <c r="K51">
        <f>Levels!AC51</f>
        <v>8.8033333333333328</v>
      </c>
      <c r="L51">
        <f>Levels!I51</f>
        <v>6.7680573809523814</v>
      </c>
      <c r="M51">
        <f>Levels!J51</f>
        <v>2.2142025168710702</v>
      </c>
      <c r="N51">
        <f>Levels!K51</f>
        <v>2.4897533931747899</v>
      </c>
      <c r="O51">
        <v>6.1600000000000002E-2</v>
      </c>
      <c r="P51">
        <f>Levels!M51</f>
        <v>1.7963711445276449</v>
      </c>
      <c r="Q51">
        <f>Levels!N51</f>
        <v>0.5419846487908293</v>
      </c>
      <c r="R51">
        <f>Levels!O51</f>
        <v>0.82073507797682799</v>
      </c>
      <c r="S51">
        <f>Levels!P51</f>
        <v>0.90969026004082298</v>
      </c>
      <c r="T51">
        <f>Levels!Q51</f>
        <v>7053.5</v>
      </c>
      <c r="U51">
        <f>Levels!S51</f>
        <v>0.97786839299999995</v>
      </c>
      <c r="V51">
        <f>Levels!T51</f>
        <v>0.83570919300000002</v>
      </c>
      <c r="W51">
        <f>Levels!U51</f>
        <v>-1.4650980440000001</v>
      </c>
      <c r="X51">
        <f>Levels!AB51</f>
        <v>1.17679087460722</v>
      </c>
    </row>
    <row r="52" spans="1:24" x14ac:dyDescent="0.35">
      <c r="A52" t="str">
        <f>Levels!A52</f>
        <v>1983Q3</v>
      </c>
      <c r="B52">
        <f>Levels!B52/Levels!$R52</f>
        <v>3893.4199663170721</v>
      </c>
      <c r="C52">
        <f>Levels!C52/Levels!$R52</f>
        <v>724595.17311142222</v>
      </c>
      <c r="D52">
        <f>Levels!D52/Levels!R52</f>
        <v>713233.82028272399</v>
      </c>
      <c r="E52">
        <f>Levels!V52/Levels!R52</f>
        <v>3987110.9715712615</v>
      </c>
      <c r="F52">
        <f>Levels!E52</f>
        <v>1248.5119999999999</v>
      </c>
      <c r="G52">
        <f>Levels!F52</f>
        <v>4725.0046677346973</v>
      </c>
      <c r="H52">
        <f>Levels!G52</f>
        <v>2.8</v>
      </c>
      <c r="I52">
        <f>Levels!Y52</f>
        <v>1.0543237567580797</v>
      </c>
      <c r="J52">
        <f>Levels!AD52</f>
        <v>1.2685368056423174E-2</v>
      </c>
      <c r="K52">
        <f>Levels!AC52</f>
        <v>9.4600000000000009</v>
      </c>
      <c r="L52">
        <f>Levels!I52</f>
        <v>7.9169536309523814</v>
      </c>
      <c r="M52">
        <f>Levels!J52</f>
        <v>2.2194517868714101</v>
      </c>
      <c r="N52">
        <f>Levels!K52</f>
        <v>2.5606657801959098</v>
      </c>
      <c r="O52">
        <v>-0.1163</v>
      </c>
      <c r="P52">
        <f>Levels!M52</f>
        <v>1.8906297896949149</v>
      </c>
      <c r="Q52">
        <f>Levels!N52</f>
        <v>0.40043744885317767</v>
      </c>
      <c r="R52">
        <f>Levels!O52</f>
        <v>0.79068312417304198</v>
      </c>
      <c r="S52">
        <f>Levels!P52</f>
        <v>0.88129830024198097</v>
      </c>
      <c r="T52">
        <f>Levels!Q52</f>
        <v>7194.5039999999999</v>
      </c>
      <c r="U52">
        <f>Levels!S52</f>
        <v>2.4339858219999999</v>
      </c>
      <c r="V52">
        <f>Levels!T52</f>
        <v>1.493213466</v>
      </c>
      <c r="W52">
        <f>Levels!U52</f>
        <v>-1.7133385590000001</v>
      </c>
      <c r="X52">
        <f>Levels!AB52</f>
        <v>-0.97507169295658103</v>
      </c>
    </row>
    <row r="53" spans="1:24" x14ac:dyDescent="0.35">
      <c r="A53" t="str">
        <f>Levels!A53</f>
        <v>1983Q4</v>
      </c>
      <c r="B53">
        <f>Levels!B53/Levels!$R53</f>
        <v>4017.7800085241602</v>
      </c>
      <c r="C53">
        <f>Levels!C53/Levels!$R53</f>
        <v>746249.5684247826</v>
      </c>
      <c r="D53">
        <f>Levels!D53/Levels!R53</f>
        <v>707054.12552217999</v>
      </c>
      <c r="E53">
        <f>Levels!V53/Levels!R53</f>
        <v>4099248.5496031316</v>
      </c>
      <c r="F53">
        <f>Levels!E53</f>
        <v>1308.453</v>
      </c>
      <c r="G53">
        <f>Levels!F53</f>
        <v>4771.5155154564345</v>
      </c>
      <c r="H53">
        <f>Levels!G53</f>
        <v>5.8</v>
      </c>
      <c r="I53">
        <f>Levels!Y53</f>
        <v>0.76761253346530978</v>
      </c>
      <c r="J53">
        <f>Levels!AD53</f>
        <v>2.4551115483719688E-3</v>
      </c>
      <c r="K53">
        <f>Levels!AC53</f>
        <v>9.43</v>
      </c>
      <c r="L53">
        <f>Levels!I53</f>
        <v>8.0358009523809528</v>
      </c>
      <c r="M53">
        <f>Levels!J53</f>
        <v>2.2169559280942002</v>
      </c>
      <c r="N53">
        <f>Levels!K53</f>
        <v>2.5908383152462902</v>
      </c>
      <c r="O53">
        <v>6.3E-3</v>
      </c>
      <c r="P53">
        <f>Levels!M53</f>
        <v>1.95436946452585</v>
      </c>
      <c r="Q53">
        <f>Levels!N53</f>
        <v>0.19824954301483508</v>
      </c>
      <c r="R53">
        <f>Levels!O53</f>
        <v>0.76173375826497203</v>
      </c>
      <c r="S53">
        <f>Levels!P53</f>
        <v>0.88130841918701397</v>
      </c>
      <c r="T53">
        <f>Levels!Q53</f>
        <v>7344.5969999999998</v>
      </c>
      <c r="U53">
        <f>Levels!S53</f>
        <v>-1.192113725</v>
      </c>
      <c r="V53">
        <f>Levels!T53</f>
        <v>0.44673631600000002</v>
      </c>
      <c r="W53">
        <f>Levels!U53</f>
        <v>-0.195272484</v>
      </c>
      <c r="X53">
        <f>Levels!AB53</f>
        <v>-0.75730967184324005</v>
      </c>
    </row>
    <row r="54" spans="1:24" x14ac:dyDescent="0.35">
      <c r="A54" t="str">
        <f>Levels!A54</f>
        <v>1984Q1</v>
      </c>
      <c r="B54">
        <f>Levels!B54/Levels!$R54</f>
        <v>4125.6835734324977</v>
      </c>
      <c r="C54">
        <f>Levels!C54/Levels!$R54</f>
        <v>763582.88021713996</v>
      </c>
      <c r="D54">
        <f>Levels!D54/Levels!R54</f>
        <v>777304.11236463021</v>
      </c>
      <c r="E54">
        <f>Levels!V54/Levels!R54</f>
        <v>4194787.9882166041</v>
      </c>
      <c r="F54">
        <f>Levels!E54</f>
        <v>1347.7729999999999</v>
      </c>
      <c r="G54">
        <f>Levels!F54</f>
        <v>4809.6270368924552</v>
      </c>
      <c r="H54">
        <f>Levels!G54</f>
        <v>7.1</v>
      </c>
      <c r="I54">
        <f>Levels!Y54</f>
        <v>0.86206736671434292</v>
      </c>
      <c r="J54">
        <f>Levels!AD54</f>
        <v>2.181951158515627E-2</v>
      </c>
      <c r="K54">
        <f>Levels!AC54</f>
        <v>9.6866666666666674</v>
      </c>
      <c r="L54">
        <f>Levels!I54</f>
        <v>8.354713986175117</v>
      </c>
      <c r="M54">
        <f>Levels!J54</f>
        <v>2.2049622575336798</v>
      </c>
      <c r="N54">
        <f>Levels!K54</f>
        <v>2.6717188666145502</v>
      </c>
      <c r="O54">
        <v>-2.12E-2</v>
      </c>
      <c r="P54">
        <f>Levels!M54</f>
        <v>2.0494985610174621</v>
      </c>
      <c r="Q54">
        <f>Levels!N54</f>
        <v>0.42609657772074133</v>
      </c>
      <c r="R54">
        <f>Levels!O54</f>
        <v>0.76683499309916403</v>
      </c>
      <c r="S54">
        <f>Levels!P54</f>
        <v>0.88976134297007703</v>
      </c>
      <c r="T54">
        <f>Levels!Q54</f>
        <v>7488.1670000000004</v>
      </c>
      <c r="U54">
        <f>Levels!S54</f>
        <v>0.89383706699999999</v>
      </c>
      <c r="V54">
        <f>Levels!T54</f>
        <v>2.2793956519999998</v>
      </c>
      <c r="W54">
        <f>Levels!U54</f>
        <v>-1.0147785540000001</v>
      </c>
      <c r="X54">
        <f>Levels!AB54</f>
        <v>0.57859030423487601</v>
      </c>
    </row>
    <row r="55" spans="1:24" x14ac:dyDescent="0.35">
      <c r="A55" t="str">
        <f>Levels!A55</f>
        <v>1984Q2</v>
      </c>
      <c r="B55">
        <f>Levels!B55/Levels!$R55</f>
        <v>4288.1804216132905</v>
      </c>
      <c r="C55">
        <f>Levels!C55/Levels!$R55</f>
        <v>759431.53714124416</v>
      </c>
      <c r="D55">
        <f>Levels!D55/Levels!R55</f>
        <v>773207.59341765533</v>
      </c>
      <c r="E55">
        <f>Levels!V55/Levels!R55</f>
        <v>4346117.1867441358</v>
      </c>
      <c r="F55">
        <f>Levels!E55</f>
        <v>1396.925</v>
      </c>
      <c r="G55">
        <f>Levels!F55</f>
        <v>4873.7494682520728</v>
      </c>
      <c r="H55">
        <f>Levels!G55</f>
        <v>7.3</v>
      </c>
      <c r="I55">
        <f>Levels!Y55</f>
        <v>1.3268124414890232</v>
      </c>
      <c r="J55">
        <f>Levels!AD55</f>
        <v>1.5092954918720869E-2</v>
      </c>
      <c r="K55">
        <f>Levels!AC55</f>
        <v>10.556666666666667</v>
      </c>
      <c r="L55">
        <f>Levels!I55</f>
        <v>9.6603044444444439</v>
      </c>
      <c r="M55">
        <f>Levels!J55</f>
        <v>2.1891469064781899</v>
      </c>
      <c r="N55">
        <f>Levels!K55</f>
        <v>2.6775636154871201</v>
      </c>
      <c r="O55">
        <v>-7.5399999999999995E-2</v>
      </c>
      <c r="P55">
        <f>Levels!M55</f>
        <v>2.0828451306203792</v>
      </c>
      <c r="Q55">
        <f>Levels!N55</f>
        <v>0.35614815421400764</v>
      </c>
      <c r="R55">
        <f>Levels!O55</f>
        <v>0.75153060824074203</v>
      </c>
      <c r="S55">
        <f>Levels!P55</f>
        <v>0.912624292406365</v>
      </c>
      <c r="T55">
        <f>Levels!Q55</f>
        <v>7617.5469999999996</v>
      </c>
      <c r="U55">
        <f>Levels!S55</f>
        <v>0.55836621500000005</v>
      </c>
      <c r="V55">
        <f>Levels!T55</f>
        <v>5.1271254000000002E-2</v>
      </c>
      <c r="W55">
        <f>Levels!U55</f>
        <v>0.65010290900000001</v>
      </c>
      <c r="X55">
        <f>Levels!AB55</f>
        <v>-0.421245663702147</v>
      </c>
    </row>
    <row r="56" spans="1:24" x14ac:dyDescent="0.35">
      <c r="A56" t="str">
        <f>Levels!A56</f>
        <v>1984Q3</v>
      </c>
      <c r="B56">
        <f>Levels!B56/Levels!$R56</f>
        <v>4415.7141178552502</v>
      </c>
      <c r="C56">
        <f>Levels!C56/Levels!$R56</f>
        <v>808126.58444848086</v>
      </c>
      <c r="D56">
        <f>Levels!D56/Levels!R56</f>
        <v>800906.40455700119</v>
      </c>
      <c r="E56">
        <f>Levels!V56/Levels!R56</f>
        <v>4470689.2889266899</v>
      </c>
      <c r="F56">
        <f>Levels!E56</f>
        <v>1423.6590000000001</v>
      </c>
      <c r="G56">
        <f>Levels!F56</f>
        <v>4891.9589207007857</v>
      </c>
      <c r="H56">
        <f>Levels!G56</f>
        <v>5.6</v>
      </c>
      <c r="I56">
        <f>Levels!Y56</f>
        <v>1.2306489685576445</v>
      </c>
      <c r="J56">
        <f>Levels!AD56</f>
        <v>2.5230301832736668E-2</v>
      </c>
      <c r="K56">
        <f>Levels!AC56</f>
        <v>11.39</v>
      </c>
      <c r="L56">
        <f>Levels!I56</f>
        <v>9.375764603174602</v>
      </c>
      <c r="M56">
        <f>Levels!J56</f>
        <v>2.2177428843388398</v>
      </c>
      <c r="N56">
        <f>Levels!K56</f>
        <v>2.6394737695702801</v>
      </c>
      <c r="O56">
        <v>-1.8599999999999998E-2</v>
      </c>
      <c r="P56">
        <f>Levels!M56</f>
        <v>2.0826754519967872</v>
      </c>
      <c r="Q56">
        <f>Levels!N56</f>
        <v>0.41614762620838464</v>
      </c>
      <c r="R56">
        <f>Levels!O56</f>
        <v>0.76024757975316104</v>
      </c>
      <c r="S56">
        <f>Levels!P56</f>
        <v>0.94269758624599298</v>
      </c>
      <c r="T56">
        <f>Levels!Q56</f>
        <v>7690.9849999999997</v>
      </c>
      <c r="U56">
        <f>Levels!S56</f>
        <v>-1.105684332</v>
      </c>
      <c r="V56">
        <f>Levels!T56</f>
        <v>-1.0603413900000001</v>
      </c>
      <c r="W56">
        <f>Levels!U56</f>
        <v>-0.68734995499999996</v>
      </c>
      <c r="X56">
        <f>Levels!AB56</f>
        <v>0.34769900588262398</v>
      </c>
    </row>
    <row r="57" spans="1:24" x14ac:dyDescent="0.35">
      <c r="A57" t="str">
        <f>Levels!A57</f>
        <v>1984Q4</v>
      </c>
      <c r="B57">
        <f>Levels!B57/Levels!$R57</f>
        <v>4582.0576669173042</v>
      </c>
      <c r="C57">
        <f>Levels!C57/Levels!$R57</f>
        <v>860645.16041830042</v>
      </c>
      <c r="D57">
        <f>Levels!D57/Levels!R57</f>
        <v>818703.75835338945</v>
      </c>
      <c r="E57">
        <f>Levels!V57/Levels!R57</f>
        <v>4673074.261780615</v>
      </c>
      <c r="F57">
        <f>Levels!E57</f>
        <v>1460.6030000000001</v>
      </c>
      <c r="G57">
        <f>Levels!F57</f>
        <v>4936.7397815141621</v>
      </c>
      <c r="H57">
        <f>Levels!G57</f>
        <v>4.4000000000000004</v>
      </c>
      <c r="I57">
        <f>Levels!Y57</f>
        <v>0.94107171486689989</v>
      </c>
      <c r="J57">
        <f>Levels!AD57</f>
        <v>-2.2956895201051597E-2</v>
      </c>
      <c r="K57">
        <f>Levels!AC57</f>
        <v>9.2666666666666675</v>
      </c>
      <c r="L57">
        <f>Levels!I57</f>
        <v>8.3036112138953939</v>
      </c>
      <c r="M57">
        <f>Levels!J57</f>
        <v>2.2185290757527598</v>
      </c>
      <c r="N57">
        <f>Levels!K57</f>
        <v>2.54256088671838</v>
      </c>
      <c r="O57">
        <v>-0.10009999999999999</v>
      </c>
      <c r="P57">
        <f>Levels!M57</f>
        <v>2.013909530914713</v>
      </c>
      <c r="Q57">
        <f>Levels!N57</f>
        <v>9.5238095238095663E-2</v>
      </c>
      <c r="R57">
        <f>Levels!O57</f>
        <v>0.76475655211965099</v>
      </c>
      <c r="S57">
        <f>Levels!P57</f>
        <v>0.89401877656456297</v>
      </c>
      <c r="T57">
        <f>Levels!Q57</f>
        <v>7754.1170000000002</v>
      </c>
      <c r="U57">
        <f>Levels!S57</f>
        <v>-8.6505598000000003E-2</v>
      </c>
      <c r="V57">
        <f>Levels!T57</f>
        <v>-0.16070679399999999</v>
      </c>
      <c r="W57">
        <f>Levels!U57</f>
        <v>-5.6017300000000001E-3</v>
      </c>
      <c r="X57">
        <f>Levels!AB57</f>
        <v>5.0671877591436001E-2</v>
      </c>
    </row>
    <row r="58" spans="1:24" x14ac:dyDescent="0.35">
      <c r="A58" t="str">
        <f>Levels!A58</f>
        <v>1985Q1</v>
      </c>
      <c r="B58">
        <f>Levels!B58/Levels!$R58</f>
        <v>4715.4631786521277</v>
      </c>
      <c r="C58">
        <f>Levels!C58/Levels!$R58</f>
        <v>893569.56728818803</v>
      </c>
      <c r="D58">
        <f>Levels!D58/Levels!R58</f>
        <v>836520.28670651885</v>
      </c>
      <c r="E58">
        <f>Levels!V58/Levels!R58</f>
        <v>4732851.1181370784</v>
      </c>
      <c r="F58">
        <f>Levels!E58</f>
        <v>1474.579</v>
      </c>
      <c r="G58">
        <f>Levels!F58</f>
        <v>5030.9804091763626</v>
      </c>
      <c r="H58">
        <f>Levels!G58</f>
        <v>3.2</v>
      </c>
      <c r="I58">
        <f>Levels!Y58</f>
        <v>1.3187710401936472</v>
      </c>
      <c r="J58">
        <f>Levels!AD58</f>
        <v>-7.8901845921486302E-3</v>
      </c>
      <c r="K58">
        <f>Levels!AC58</f>
        <v>8.4766666666666666</v>
      </c>
      <c r="L58">
        <f>Levels!I58</f>
        <v>8.1695630952380949</v>
      </c>
      <c r="M58">
        <f>Levels!J58</f>
        <v>2.2485927630268598</v>
      </c>
      <c r="N58">
        <f>Levels!K58</f>
        <v>2.4493142240177499</v>
      </c>
      <c r="O58">
        <v>2.5999999999999999E-3</v>
      </c>
      <c r="P58">
        <f>Levels!M58</f>
        <v>1.9325231621576389</v>
      </c>
      <c r="Q58">
        <f>Levels!N58</f>
        <v>0.34707522104066602</v>
      </c>
      <c r="R58">
        <f>Levels!O58</f>
        <v>0.76873270540252703</v>
      </c>
      <c r="S58">
        <f>Levels!P58</f>
        <v>0.87606994294729601</v>
      </c>
      <c r="T58">
        <f>Levels!Q58</f>
        <v>7829.26</v>
      </c>
      <c r="U58">
        <f>Levels!S58</f>
        <v>-0.43405108799999997</v>
      </c>
      <c r="V58">
        <f>Levels!T58</f>
        <v>-1.436270728</v>
      </c>
      <c r="W58">
        <f>Levels!U58</f>
        <v>-1.150457686</v>
      </c>
      <c r="X58">
        <f>Levels!AB58</f>
        <v>-1.6182092240947099</v>
      </c>
    </row>
    <row r="59" spans="1:24" x14ac:dyDescent="0.35">
      <c r="A59" t="str">
        <f>Levels!A59</f>
        <v>1985Q2</v>
      </c>
      <c r="B59">
        <f>Levels!B59/Levels!$R59</f>
        <v>4865.425583330436</v>
      </c>
      <c r="C59">
        <f>Levels!C59/Levels!$R59</f>
        <v>919872.71720471873</v>
      </c>
      <c r="D59">
        <f>Levels!D59/Levels!R59</f>
        <v>850526.07442088798</v>
      </c>
      <c r="E59">
        <f>Levels!V59/Levels!R59</f>
        <v>4850462.4510842841</v>
      </c>
      <c r="F59">
        <f>Levels!E59</f>
        <v>1505.1659999999999</v>
      </c>
      <c r="G59">
        <f>Levels!F59</f>
        <v>5064.4655929151086</v>
      </c>
      <c r="H59">
        <f>Levels!G59</f>
        <v>2.6</v>
      </c>
      <c r="I59">
        <f>Levels!Y59</f>
        <v>1.6212159648379285</v>
      </c>
      <c r="J59">
        <f>Levels!AD59</f>
        <v>5.196557055693396E-2</v>
      </c>
      <c r="K59">
        <f>Levels!AC59</f>
        <v>7.9233333333333329</v>
      </c>
      <c r="L59">
        <f>Levels!I59</f>
        <v>7.4572689682539677</v>
      </c>
      <c r="M59">
        <f>Levels!J59</f>
        <v>2.2710793372257498</v>
      </c>
      <c r="N59">
        <f>Levels!K59</f>
        <v>2.5762754661431599</v>
      </c>
      <c r="O59">
        <v>3.8899999999999997E-2</v>
      </c>
      <c r="P59">
        <f>Levels!M59</f>
        <v>2.070998109145902</v>
      </c>
      <c r="Q59">
        <f>Levels!N59</f>
        <v>0.37456540826975565</v>
      </c>
      <c r="R59">
        <f>Levels!O59</f>
        <v>0.76351854432845301</v>
      </c>
      <c r="S59">
        <f>Levels!P59</f>
        <v>0.83759755783131196</v>
      </c>
      <c r="T59">
        <f>Levels!Q59</f>
        <v>7898.1940000000004</v>
      </c>
      <c r="U59">
        <f>Levels!S59</f>
        <v>-1.8248063450000001</v>
      </c>
      <c r="V59">
        <f>Levels!T59</f>
        <v>0.12627075500000001</v>
      </c>
      <c r="W59">
        <f>Levels!U59</f>
        <v>0.26111475299999998</v>
      </c>
      <c r="X59">
        <f>Levels!AB59</f>
        <v>-0.22433656279302999</v>
      </c>
    </row>
    <row r="60" spans="1:24" x14ac:dyDescent="0.35">
      <c r="A60" t="str">
        <f>Levels!A60</f>
        <v>1985Q3</v>
      </c>
      <c r="B60">
        <f>Levels!B60/Levels!$R60</f>
        <v>5004.7256959294427</v>
      </c>
      <c r="C60">
        <f>Levels!C60/Levels!$R60</f>
        <v>959045.64944777614</v>
      </c>
      <c r="D60">
        <f>Levels!D60/Levels!R60</f>
        <v>873287.06961360795</v>
      </c>
      <c r="E60">
        <f>Levels!V60/Levels!R60</f>
        <v>4995630.8949196385</v>
      </c>
      <c r="F60">
        <f>Levels!E60</f>
        <v>1510.2449999999999</v>
      </c>
      <c r="G60">
        <f>Levels!F60</f>
        <v>5150.4799965732909</v>
      </c>
      <c r="H60">
        <f>Levels!G60</f>
        <v>2.4</v>
      </c>
      <c r="I60">
        <f>Levels!Y60</f>
        <v>1.6202849153615579</v>
      </c>
      <c r="J60">
        <f>Levels!AD60</f>
        <v>-9.4366341860032454E-2</v>
      </c>
      <c r="K60">
        <f>Levels!AC60</f>
        <v>7.9</v>
      </c>
      <c r="L60">
        <f>Levels!I60</f>
        <v>7.0127948412698409</v>
      </c>
      <c r="M60">
        <f>Levels!J60</f>
        <v>2.269961261722</v>
      </c>
      <c r="N60">
        <f>Levels!K60</f>
        <v>2.7483615664361198</v>
      </c>
      <c r="O60">
        <v>0.2271</v>
      </c>
      <c r="P60">
        <f>Levels!M60</f>
        <v>2.249474746799041</v>
      </c>
      <c r="Q60">
        <f>Levels!N60</f>
        <v>0.21639338022768401</v>
      </c>
      <c r="R60">
        <f>Levels!O60</f>
        <v>0.74925467128533596</v>
      </c>
      <c r="S60">
        <f>Levels!P60</f>
        <v>0.85238991056100299</v>
      </c>
      <c r="T60">
        <f>Levels!Q60</f>
        <v>8018.8090000000002</v>
      </c>
      <c r="U60">
        <f>Levels!S60</f>
        <v>-0.101789252</v>
      </c>
      <c r="V60">
        <f>Levels!T60</f>
        <v>-0.71081351500000001</v>
      </c>
      <c r="W60">
        <f>Levels!U60</f>
        <v>1.5480411270000001</v>
      </c>
      <c r="X60">
        <f>Levels!AB60</f>
        <v>-0.335191363111217</v>
      </c>
    </row>
    <row r="61" spans="1:24" x14ac:dyDescent="0.35">
      <c r="A61" t="str">
        <f>Levels!A61</f>
        <v>1985Q4</v>
      </c>
      <c r="B61">
        <f>Levels!B61/Levels!$R61</f>
        <v>5211.902534365081</v>
      </c>
      <c r="C61">
        <f>Levels!C61/Levels!$R61</f>
        <v>1005459.7795561739</v>
      </c>
      <c r="D61">
        <f>Levels!D61/Levels!R61</f>
        <v>906481.16589069064</v>
      </c>
      <c r="E61">
        <f>Levels!V61/Levels!R61</f>
        <v>5351771.2698036358</v>
      </c>
      <c r="F61">
        <f>Levels!E61</f>
        <v>1533.2619999999999</v>
      </c>
      <c r="G61">
        <f>Levels!F61</f>
        <v>5145.8353424165407</v>
      </c>
      <c r="H61">
        <f>Levels!G61</f>
        <v>2.2999999999999998</v>
      </c>
      <c r="I61">
        <f>Levels!Y61</f>
        <v>0.62080097726327066</v>
      </c>
      <c r="J61">
        <f>Levels!AD61</f>
        <v>-0.10390165978611898</v>
      </c>
      <c r="K61">
        <f>Levels!AC61</f>
        <v>8.1033333333333335</v>
      </c>
      <c r="L61">
        <f>Levels!I61</f>
        <v>6.4921756989247319</v>
      </c>
      <c r="M61">
        <f>Levels!J61</f>
        <v>2.3060832010281702</v>
      </c>
      <c r="N61">
        <f>Levels!K61</f>
        <v>2.7052615828197801</v>
      </c>
      <c r="O61">
        <v>0.23530000000000001</v>
      </c>
      <c r="P61">
        <f>Levels!M61</f>
        <v>2.2070608458814882</v>
      </c>
      <c r="Q61">
        <f>Levels!N61</f>
        <v>0.30685424396849831</v>
      </c>
      <c r="R61">
        <f>Levels!O61</f>
        <v>0.76969274795438403</v>
      </c>
      <c r="S61">
        <f>Levels!P61</f>
        <v>0.89121446248342495</v>
      </c>
      <c r="T61">
        <f>Levels!Q61</f>
        <v>8078.415</v>
      </c>
      <c r="U61">
        <f>Levels!S61</f>
        <v>0.73162774799999997</v>
      </c>
      <c r="V61">
        <f>Levels!T61</f>
        <v>-1.1122958519999999</v>
      </c>
      <c r="W61">
        <f>Levels!U61</f>
        <v>-0.71882701999999998</v>
      </c>
      <c r="X61">
        <f>Levels!AB61</f>
        <v>0.14757865732525999</v>
      </c>
    </row>
    <row r="62" spans="1:24" x14ac:dyDescent="0.35">
      <c r="A62" t="str">
        <f>Levels!A62</f>
        <v>1986Q1</v>
      </c>
      <c r="B62">
        <f>Levels!B62/Levels!$R62</f>
        <v>5298.9309492314778</v>
      </c>
      <c r="C62">
        <f>Levels!C62/Levels!$R62</f>
        <v>1060871.5924295681</v>
      </c>
      <c r="D62">
        <f>Levels!D62/Levels!R62</f>
        <v>923846.95346651063</v>
      </c>
      <c r="E62">
        <f>Levels!V62/Levels!R62</f>
        <v>5425118.5616191821</v>
      </c>
      <c r="F62">
        <f>Levels!E62</f>
        <v>1540.8130000000001</v>
      </c>
      <c r="G62">
        <f>Levels!F62</f>
        <v>5175.5305613001947</v>
      </c>
      <c r="H62">
        <f>Levels!G62</f>
        <v>1.3</v>
      </c>
      <c r="I62">
        <f>Levels!Y62</f>
        <v>0.62323017685155935</v>
      </c>
      <c r="J62">
        <f>Levels!AD62</f>
        <v>0.10042896642305443</v>
      </c>
      <c r="K62">
        <f>Levels!AC62</f>
        <v>7.8266666666666671</v>
      </c>
      <c r="L62">
        <f>Levels!I62</f>
        <v>5.3448200000000003</v>
      </c>
      <c r="M62">
        <f>Levels!J62</f>
        <v>2.3419221860711499</v>
      </c>
      <c r="N62">
        <f>Levels!K62</f>
        <v>2.5515405721940199</v>
      </c>
      <c r="O62">
        <v>0.19320000000000001</v>
      </c>
      <c r="P62">
        <f>Levels!M62</f>
        <v>2.07412371812765</v>
      </c>
      <c r="Q62">
        <f>Levels!N62</f>
        <v>-0.15223508146287798</v>
      </c>
      <c r="R62">
        <f>Levels!O62</f>
        <v>0.812280405658246</v>
      </c>
      <c r="S62">
        <f>Levels!P62</f>
        <v>0.918582171876825</v>
      </c>
      <c r="T62">
        <f>Levels!Q62</f>
        <v>8153.8289999999997</v>
      </c>
      <c r="U62">
        <f>Levels!S62</f>
        <v>-1.5626075340000001</v>
      </c>
      <c r="V62">
        <f>Levels!T62</f>
        <v>-1.223521955</v>
      </c>
      <c r="W62">
        <f>Levels!U62</f>
        <v>1.2651667120000001</v>
      </c>
      <c r="X62">
        <f>Levels!AB62</f>
        <v>1.2519375882075801</v>
      </c>
    </row>
    <row r="63" spans="1:24" x14ac:dyDescent="0.35">
      <c r="A63" t="str">
        <f>Levels!A63</f>
        <v>1986Q2</v>
      </c>
      <c r="B63">
        <f>Levels!B63/Levels!$R63</f>
        <v>5456.064061345166</v>
      </c>
      <c r="C63">
        <f>Levels!C63/Levels!$R63</f>
        <v>1083135.30330694</v>
      </c>
      <c r="D63">
        <f>Levels!D63/Levels!R63</f>
        <v>954334.97059379646</v>
      </c>
      <c r="E63">
        <f>Levels!V63/Levels!R63</f>
        <v>5576617.6780872466</v>
      </c>
      <c r="F63">
        <f>Levels!E63</f>
        <v>1548.742</v>
      </c>
      <c r="G63">
        <f>Levels!F63</f>
        <v>5178.0844667947322</v>
      </c>
      <c r="H63">
        <f>Levels!G63</f>
        <v>0.4</v>
      </c>
      <c r="I63">
        <f>Levels!Y63</f>
        <v>0.77081367028441627</v>
      </c>
      <c r="J63">
        <f>Levels!AD63</f>
        <v>2.9986730352536739E-2</v>
      </c>
      <c r="K63">
        <f>Levels!AC63</f>
        <v>6.92</v>
      </c>
      <c r="L63">
        <f>Levels!I63</f>
        <v>4.4211504166666673</v>
      </c>
      <c r="M63">
        <f>Levels!J63</f>
        <v>2.3810839729264801</v>
      </c>
      <c r="N63">
        <f>Levels!K63</f>
        <v>2.3999233916578899</v>
      </c>
      <c r="O63">
        <v>0.1608</v>
      </c>
      <c r="P63">
        <f>Levels!M63</f>
        <v>1.9645936094585779</v>
      </c>
      <c r="Q63">
        <f>Levels!N63</f>
        <v>0.21446125061290067</v>
      </c>
      <c r="R63">
        <f>Levels!O63</f>
        <v>0.80352349923611399</v>
      </c>
      <c r="S63">
        <f>Levels!P63</f>
        <v>0.951811806276321</v>
      </c>
      <c r="T63">
        <f>Levels!Q63</f>
        <v>8190.5519999999997</v>
      </c>
      <c r="U63">
        <f>Levels!S63</f>
        <v>-0.23514148000000001</v>
      </c>
      <c r="V63">
        <f>Levels!T63</f>
        <v>1.7729811150000001</v>
      </c>
      <c r="W63">
        <f>Levels!U63</f>
        <v>1.7968777549999999</v>
      </c>
      <c r="X63">
        <f>Levels!AB63</f>
        <v>-0.796434346973806</v>
      </c>
    </row>
    <row r="64" spans="1:24" x14ac:dyDescent="0.35">
      <c r="A64" t="str">
        <f>Levels!A64</f>
        <v>1986Q3</v>
      </c>
      <c r="B64">
        <f>Levels!B64/Levels!$R64</f>
        <v>5610.6872952497424</v>
      </c>
      <c r="C64">
        <f>Levels!C64/Levels!$R64</f>
        <v>1120858.88855452</v>
      </c>
      <c r="D64">
        <f>Levels!D64/Levels!R64</f>
        <v>985515.89161946543</v>
      </c>
      <c r="E64">
        <f>Levels!V64/Levels!R64</f>
        <v>5732534.9784809733</v>
      </c>
      <c r="F64">
        <f>Levels!E64</f>
        <v>1558.829</v>
      </c>
      <c r="G64">
        <f>Levels!F64</f>
        <v>5250.7793401496483</v>
      </c>
      <c r="H64">
        <f>Levels!G64</f>
        <v>0.6</v>
      </c>
      <c r="I64">
        <f>Levels!Y64</f>
        <v>0.76716696857576738</v>
      </c>
      <c r="J64">
        <f>Levels!AD64</f>
        <v>-2.2707244776211999E-2</v>
      </c>
      <c r="K64">
        <f>Levels!AC64</f>
        <v>6.206666666666667</v>
      </c>
      <c r="L64">
        <f>Levels!I64</f>
        <v>4.1678985119047613</v>
      </c>
      <c r="M64">
        <f>Levels!J64</f>
        <v>2.3805902804431902</v>
      </c>
      <c r="N64">
        <f>Levels!K64</f>
        <v>2.4270902563313701</v>
      </c>
      <c r="O64">
        <v>0.56789999999999996</v>
      </c>
      <c r="P64">
        <f>Levels!M64</f>
        <v>1.9961055317785852</v>
      </c>
      <c r="Q64">
        <f>Levels!N64</f>
        <v>0.21281230531864365</v>
      </c>
      <c r="R64">
        <f>Levels!O64</f>
        <v>0.78593577623472899</v>
      </c>
      <c r="S64">
        <f>Levels!P64</f>
        <v>1.0276505214376599</v>
      </c>
      <c r="T64">
        <f>Levels!Q64</f>
        <v>8268.9349999999995</v>
      </c>
      <c r="U64">
        <f>Levels!S64</f>
        <v>0.170981781</v>
      </c>
      <c r="V64">
        <f>Levels!T64</f>
        <v>0.687721209</v>
      </c>
      <c r="W64">
        <f>Levels!U64</f>
        <v>1.6942304450000001</v>
      </c>
      <c r="X64">
        <f>Levels!AB64</f>
        <v>0.83679990165276497</v>
      </c>
    </row>
    <row r="65" spans="1:24" x14ac:dyDescent="0.35">
      <c r="A65" t="str">
        <f>Levels!A65</f>
        <v>1986Q4</v>
      </c>
      <c r="B65">
        <f>Levels!B65/Levels!$R65</f>
        <v>5793.7985036111804</v>
      </c>
      <c r="C65">
        <f>Levels!C65/Levels!$R65</f>
        <v>1164151.3459016045</v>
      </c>
      <c r="D65">
        <f>Levels!D65/Levels!R65</f>
        <v>1011331.0866488063</v>
      </c>
      <c r="E65">
        <f>Levels!V65/Levels!R65</f>
        <v>5919434.3898238176</v>
      </c>
      <c r="F65">
        <f>Levels!E65</f>
        <v>1564.354</v>
      </c>
      <c r="G65">
        <f>Levels!F65</f>
        <v>5272.5862839730344</v>
      </c>
      <c r="H65">
        <f>Levels!G65</f>
        <v>0.8</v>
      </c>
      <c r="I65">
        <f>Levels!Y65</f>
        <v>0.61194272319839826</v>
      </c>
      <c r="J65">
        <f>Levels!AD65</f>
        <v>1.1698491615691031E-2</v>
      </c>
      <c r="K65">
        <f>Levels!AC65</f>
        <v>6.2666666666666666</v>
      </c>
      <c r="L65">
        <f>Levels!I65</f>
        <v>4.1573965437788019</v>
      </c>
      <c r="M65">
        <f>Levels!J65</f>
        <v>2.3924222177788499</v>
      </c>
      <c r="N65">
        <f>Levels!K65</f>
        <v>2.6391162588674799</v>
      </c>
      <c r="O65">
        <v>0.62739999999999996</v>
      </c>
      <c r="P65">
        <f>Levels!M65</f>
        <v>2.2138641307157809</v>
      </c>
      <c r="Q65">
        <f>Levels!N65</f>
        <v>9.0661881049101403E-2</v>
      </c>
      <c r="R65">
        <f>Levels!O65</f>
        <v>0.79289806667180696</v>
      </c>
      <c r="S65">
        <f>Levels!P65</f>
        <v>1.0254392282170799</v>
      </c>
      <c r="T65">
        <f>Levels!Q65</f>
        <v>8313.3379999999997</v>
      </c>
      <c r="U65">
        <f>Levels!S65</f>
        <v>2.3625475520000001</v>
      </c>
      <c r="V65">
        <f>Levels!T65</f>
        <v>-0.277478799</v>
      </c>
      <c r="W65">
        <f>Levels!U65</f>
        <v>-1.0091628749999999</v>
      </c>
      <c r="X65">
        <f>Levels!AB65</f>
        <v>-0.23570713519331901</v>
      </c>
    </row>
    <row r="66" spans="1:24" x14ac:dyDescent="0.35">
      <c r="A66" t="str">
        <f>Levels!A66</f>
        <v>1987Q1</v>
      </c>
      <c r="B66">
        <f>Levels!B66/Levels!$R66</f>
        <v>5860.4237115522546</v>
      </c>
      <c r="C66">
        <f>Levels!C66/Levels!$R66</f>
        <v>1171443.1819324126</v>
      </c>
      <c r="D66">
        <f>Levels!D66/Levels!R66</f>
        <v>1060698.6514215542</v>
      </c>
      <c r="E66">
        <f>Levels!V66/Levels!R66</f>
        <v>5937768.6767173437</v>
      </c>
      <c r="F66">
        <f>Levels!E66</f>
        <v>1548.529</v>
      </c>
      <c r="G66">
        <f>Levels!F66</f>
        <v>5283.7565759383015</v>
      </c>
      <c r="H66">
        <f>Levels!G66</f>
        <v>2.2000000000000002</v>
      </c>
      <c r="I66">
        <f>Levels!Y66</f>
        <v>3.2949026884635595</v>
      </c>
      <c r="J66">
        <f>Levels!AD66</f>
        <v>9.8693660752662282E-3</v>
      </c>
      <c r="K66">
        <f>Levels!AC66</f>
        <v>6.22</v>
      </c>
      <c r="L66">
        <f>Levels!I66</f>
        <v>4.1209236455893841</v>
      </c>
      <c r="M66">
        <f>Levels!J66</f>
        <v>2.44570109533033</v>
      </c>
      <c r="N66">
        <f>Levels!K66</f>
        <v>2.4255732436845299</v>
      </c>
      <c r="O66">
        <v>0.56079999999999997</v>
      </c>
      <c r="P66">
        <f>Levels!M66</f>
        <v>1.9860404328665409</v>
      </c>
      <c r="Q66">
        <f>Levels!N66</f>
        <v>0.480408355648962</v>
      </c>
      <c r="R66">
        <f>Levels!O66</f>
        <v>0.79788138410486498</v>
      </c>
      <c r="S66">
        <f>Levels!P66</f>
        <v>1.0318213902600499</v>
      </c>
      <c r="T66">
        <f>Levels!Q66</f>
        <v>8375.2739999999994</v>
      </c>
      <c r="U66">
        <f>Levels!S66</f>
        <v>-1.3678983600000001</v>
      </c>
      <c r="V66">
        <f>Levels!T66</f>
        <v>2.4009960210000001</v>
      </c>
      <c r="W66">
        <f>Levels!U66</f>
        <v>-0.66723307099999996</v>
      </c>
      <c r="X66">
        <f>Levels!AB66</f>
        <v>1.80369080794915</v>
      </c>
    </row>
    <row r="67" spans="1:24" x14ac:dyDescent="0.35">
      <c r="A67" t="str">
        <f>Levels!A67</f>
        <v>1987Q2</v>
      </c>
      <c r="B67">
        <f>Levels!B67/Levels!$R67</f>
        <v>6016.410454957414</v>
      </c>
      <c r="C67">
        <f>Levels!C67/Levels!$R67</f>
        <v>1180703.652041924</v>
      </c>
      <c r="D67">
        <f>Levels!D67/Levels!R67</f>
        <v>1054611.845864766</v>
      </c>
      <c r="E67">
        <f>Levels!V67/Levels!R67</f>
        <v>6074955.2375380928</v>
      </c>
      <c r="F67">
        <f>Levels!E67</f>
        <v>1573.88</v>
      </c>
      <c r="G67">
        <f>Levels!F67</f>
        <v>5369.2849454430107</v>
      </c>
      <c r="H67">
        <f>Levels!G67</f>
        <v>3.1</v>
      </c>
      <c r="I67">
        <f>Levels!Y67</f>
        <v>3.5816072108650903</v>
      </c>
      <c r="J67">
        <f>Levels!AD67</f>
        <v>-4.7538778427144157E-3</v>
      </c>
      <c r="K67">
        <f>Levels!AC67</f>
        <v>6.65</v>
      </c>
      <c r="L67">
        <f>Levels!I67</f>
        <v>5.2947386507936516</v>
      </c>
      <c r="M67">
        <f>Levels!J67</f>
        <v>2.4732603848836501</v>
      </c>
      <c r="N67">
        <f>Levels!K67</f>
        <v>2.5576468219037398</v>
      </c>
      <c r="O67">
        <v>2.18E-2</v>
      </c>
      <c r="P67">
        <f>Levels!M67</f>
        <v>2.0959174191033139</v>
      </c>
      <c r="Q67">
        <f>Levels!N67</f>
        <v>0.4146100979295203</v>
      </c>
      <c r="R67">
        <f>Levels!O67</f>
        <v>0.74747068382203097</v>
      </c>
      <c r="S67">
        <f>Levels!P67</f>
        <v>1.02045390445622</v>
      </c>
      <c r="T67">
        <f>Levels!Q67</f>
        <v>8465.6299999999992</v>
      </c>
      <c r="U67">
        <f>Levels!S67</f>
        <v>0.95513394200000001</v>
      </c>
      <c r="V67">
        <f>Levels!T67</f>
        <v>1.696428491</v>
      </c>
      <c r="W67">
        <f>Levels!U67</f>
        <v>1.687710877</v>
      </c>
      <c r="X67">
        <f>Levels!AB67</f>
        <v>-1.55819758785645</v>
      </c>
    </row>
    <row r="68" spans="1:24" x14ac:dyDescent="0.35">
      <c r="A68" t="str">
        <f>Levels!A68</f>
        <v>1987Q3</v>
      </c>
      <c r="B68">
        <f>Levels!B68/Levels!$R68</f>
        <v>6147.2224243458686</v>
      </c>
      <c r="C68">
        <f>Levels!C68/Levels!$R68</f>
        <v>1198961.3363428337</v>
      </c>
      <c r="D68">
        <f>Levels!D68/Levels!R68</f>
        <v>1074580.2872150913</v>
      </c>
      <c r="E68">
        <f>Levels!V68/Levels!R68</f>
        <v>6177962.0897882143</v>
      </c>
      <c r="F68">
        <f>Levels!E68</f>
        <v>1599.722</v>
      </c>
      <c r="G68">
        <f>Levels!F68</f>
        <v>5439.2295434840853</v>
      </c>
      <c r="H68">
        <f>Levels!G68</f>
        <v>3.3</v>
      </c>
      <c r="I68">
        <f>Levels!Y68</f>
        <v>2.9584889767197424</v>
      </c>
      <c r="J68">
        <f>Levels!AD68</f>
        <v>1.3519779780906571E-2</v>
      </c>
      <c r="K68">
        <f>Levels!AC68</f>
        <v>6.8433333333333337</v>
      </c>
      <c r="L68">
        <f>Levels!I68</f>
        <v>5.8612591666666667</v>
      </c>
      <c r="M68">
        <f>Levels!J68</f>
        <v>2.48952459641907</v>
      </c>
      <c r="N68">
        <f>Levels!K68</f>
        <v>2.5803642759407301</v>
      </c>
      <c r="O68">
        <v>0.50939999999999996</v>
      </c>
      <c r="P68">
        <f>Levels!M68</f>
        <v>2.1073945315183393</v>
      </c>
      <c r="Q68">
        <f>Levels!N68</f>
        <v>0.43867782612623829</v>
      </c>
      <c r="R68">
        <f>Levels!O68</f>
        <v>0.74380298983835003</v>
      </c>
      <c r="S68">
        <f>Levels!P68</f>
        <v>1.1545048148841699</v>
      </c>
      <c r="T68">
        <f>Levels!Q68</f>
        <v>8539.0750000000007</v>
      </c>
      <c r="U68">
        <f>Levels!S68</f>
        <v>2.3867561909999999</v>
      </c>
      <c r="V68">
        <f>Levels!T68</f>
        <v>2.128821716</v>
      </c>
      <c r="W68">
        <f>Levels!U68</f>
        <v>6.6214788249999996</v>
      </c>
      <c r="X68">
        <f>Levels!AB68</f>
        <v>5.8632107621001799</v>
      </c>
    </row>
    <row r="69" spans="1:24" x14ac:dyDescent="0.35">
      <c r="A69" t="str">
        <f>Levels!A69</f>
        <v>1987Q4</v>
      </c>
      <c r="B69">
        <f>Levels!B69/Levels!$R69</f>
        <v>6277.7764614649186</v>
      </c>
      <c r="C69">
        <f>Levels!C69/Levels!$R69</f>
        <v>1235929.8649438473</v>
      </c>
      <c r="D69">
        <f>Levels!D69/Levels!R69</f>
        <v>1087726.7000415388</v>
      </c>
      <c r="E69">
        <f>Levels!V69/Levels!R69</f>
        <v>6374938.7462536404</v>
      </c>
      <c r="F69">
        <f>Levels!E69</f>
        <v>1600.45</v>
      </c>
      <c r="G69">
        <f>Levels!F69</f>
        <v>5452.2611631116988</v>
      </c>
      <c r="H69">
        <f>Levels!G69</f>
        <v>3.6</v>
      </c>
      <c r="I69">
        <f>Levels!Y69</f>
        <v>0.35517720416140092</v>
      </c>
      <c r="J69">
        <f>Levels!AD69</f>
        <v>-2.9370146006533648E-2</v>
      </c>
      <c r="K69">
        <f>Levels!AC69</f>
        <v>6.916666666666667</v>
      </c>
      <c r="L69">
        <f>Levels!I69</f>
        <v>6.1675601152073742</v>
      </c>
      <c r="M69">
        <f>Levels!J69</f>
        <v>2.3855915634697</v>
      </c>
      <c r="N69">
        <f>Levels!K69</f>
        <v>3.3552604064155802</v>
      </c>
      <c r="O69">
        <v>-0.21290000000000001</v>
      </c>
      <c r="P69">
        <f>Levels!M69</f>
        <v>2.876198167592078</v>
      </c>
      <c r="Q69">
        <f>Levels!N69</f>
        <v>0.11586661136040879</v>
      </c>
      <c r="R69">
        <f>Levels!O69</f>
        <v>0.770002976001813</v>
      </c>
      <c r="S69">
        <f>Levels!P69</f>
        <v>1.2604395483189501</v>
      </c>
      <c r="T69">
        <f>Levels!Q69</f>
        <v>8685.6939999999995</v>
      </c>
      <c r="U69">
        <f>Levels!S69</f>
        <v>1.120384496</v>
      </c>
      <c r="V69">
        <f>Levels!T69</f>
        <v>0.92682936100000002</v>
      </c>
      <c r="W69">
        <f>Levels!U69</f>
        <v>-6.3787586210000002</v>
      </c>
      <c r="X69">
        <f>Levels!AB69</f>
        <v>2.7969161870542298</v>
      </c>
    </row>
    <row r="70" spans="1:24" x14ac:dyDescent="0.35">
      <c r="A70" t="str">
        <f>Levels!A70</f>
        <v>1988Q1</v>
      </c>
      <c r="B70">
        <f>Levels!B70/Levels!$R70</f>
        <v>6399.9938839159831</v>
      </c>
      <c r="C70">
        <f>Levels!C70/Levels!$R70</f>
        <v>1229239.838436303</v>
      </c>
      <c r="D70">
        <f>Levels!D70/Levels!R70</f>
        <v>1107750.2332064961</v>
      </c>
      <c r="E70">
        <f>Levels!V70/Levels!R70</f>
        <v>6545352.4292407362</v>
      </c>
      <c r="F70">
        <f>Levels!E70</f>
        <v>1589.2049999999999</v>
      </c>
      <c r="G70">
        <f>Levels!F70</f>
        <v>5543.0391617836167</v>
      </c>
      <c r="H70">
        <f>Levels!G70</f>
        <v>2.4</v>
      </c>
      <c r="I70">
        <f>Levels!Y70</f>
        <v>0.74444980375006464</v>
      </c>
      <c r="J70">
        <f>Levels!AD70</f>
        <v>6.4902584237644945E-3</v>
      </c>
      <c r="K70">
        <f>Levels!AC70</f>
        <v>6.6633333333333331</v>
      </c>
      <c r="L70">
        <f>Levels!I70</f>
        <v>5.5066246466973876</v>
      </c>
      <c r="M70">
        <f>Levels!J70</f>
        <v>2.41166242971914</v>
      </c>
      <c r="N70">
        <f>Levels!K70</f>
        <v>3.4217399872178</v>
      </c>
      <c r="O70">
        <v>-2.5399999999999999E-2</v>
      </c>
      <c r="P70">
        <f>Levels!M70</f>
        <v>2.9245685892829192</v>
      </c>
      <c r="Q70">
        <f>Levels!N70</f>
        <v>0.31676369708026697</v>
      </c>
      <c r="R70">
        <f>Levels!O70</f>
        <v>0.74899058778389505</v>
      </c>
      <c r="S70">
        <f>Levels!P70</f>
        <v>1.0292293298575299</v>
      </c>
      <c r="T70">
        <f>Levels!Q70</f>
        <v>8730.5689999999995</v>
      </c>
      <c r="U70">
        <f>Levels!S70</f>
        <v>-1.556987122</v>
      </c>
      <c r="V70">
        <f>Levels!T70</f>
        <v>0.83486693599999995</v>
      </c>
      <c r="W70">
        <f>Levels!U70</f>
        <v>-2.409299115</v>
      </c>
      <c r="X70">
        <f>Levels!AB70</f>
        <v>-0.97706124026296104</v>
      </c>
    </row>
    <row r="71" spans="1:24" x14ac:dyDescent="0.35">
      <c r="A71" t="str">
        <f>Levels!A71</f>
        <v>1988Q2</v>
      </c>
      <c r="B71">
        <f>Levels!B71/Levels!$R71</f>
        <v>6573.7575212473075</v>
      </c>
      <c r="C71">
        <f>Levels!C71/Levels!$R71</f>
        <v>1219192.3481890375</v>
      </c>
      <c r="D71">
        <f>Levels!D71/Levels!R71</f>
        <v>1137417.5674179061</v>
      </c>
      <c r="E71">
        <f>Levels!V71/Levels!R71</f>
        <v>6682735.6082362719</v>
      </c>
      <c r="F71">
        <f>Levels!E71</f>
        <v>1617.4390000000001</v>
      </c>
      <c r="G71">
        <f>Levels!F71</f>
        <v>5591.1280006907364</v>
      </c>
      <c r="H71">
        <f>Levels!G71</f>
        <v>3.3</v>
      </c>
      <c r="I71">
        <f>Levels!Y71</f>
        <v>0.66092799253056478</v>
      </c>
      <c r="J71">
        <f>Levels!AD71</f>
        <v>1.8967084954148339E-2</v>
      </c>
      <c r="K71">
        <f>Levels!AC71</f>
        <v>7.1566666666666663</v>
      </c>
      <c r="L71">
        <f>Levels!I71</f>
        <v>6.0709528571428582</v>
      </c>
      <c r="M71">
        <f>Levels!J71</f>
        <v>2.4225265634390398</v>
      </c>
      <c r="N71">
        <f>Levels!K71</f>
        <v>3.5549646093179899</v>
      </c>
      <c r="O71">
        <v>5.2200000000000003E-2</v>
      </c>
      <c r="P71">
        <f>Levels!M71</f>
        <v>3.042065537984096</v>
      </c>
      <c r="Q71">
        <f>Levels!N71</f>
        <v>0.42738058670531859</v>
      </c>
      <c r="R71">
        <f>Levels!O71</f>
        <v>0.71734420713290503</v>
      </c>
      <c r="S71">
        <f>Levels!P71</f>
        <v>0.90733743917406096</v>
      </c>
      <c r="T71">
        <f>Levels!Q71</f>
        <v>8845.2800000000007</v>
      </c>
      <c r="U71">
        <f>Levels!S71</f>
        <v>-0.65367258299999997</v>
      </c>
      <c r="V71">
        <f>Levels!T71</f>
        <v>-1.338368665</v>
      </c>
      <c r="W71">
        <f>Levels!U71</f>
        <v>0.1097364</v>
      </c>
      <c r="X71">
        <f>Levels!AB71</f>
        <v>-0.100468571468565</v>
      </c>
    </row>
    <row r="72" spans="1:24" x14ac:dyDescent="0.35">
      <c r="A72" t="str">
        <f>Levels!A72</f>
        <v>1988Q3</v>
      </c>
      <c r="B72">
        <f>Levels!B72/Levels!$R72</f>
        <v>6710.916618870805</v>
      </c>
      <c r="C72">
        <f>Levels!C72/Levels!$R72</f>
        <v>1248873.2020683507</v>
      </c>
      <c r="D72">
        <f>Levels!D72/Levels!R72</f>
        <v>1188153.6265783771</v>
      </c>
      <c r="E72">
        <f>Levels!V72/Levels!R72</f>
        <v>6786206.6966629261</v>
      </c>
      <c r="F72">
        <f>Levels!E72</f>
        <v>1621.3520000000001</v>
      </c>
      <c r="G72">
        <f>Levels!F72</f>
        <v>5651.7105900683446</v>
      </c>
      <c r="H72">
        <f>Levels!G72</f>
        <v>2.8</v>
      </c>
      <c r="I72">
        <f>Levels!Y72</f>
        <v>0.69218464722774564</v>
      </c>
      <c r="J72">
        <f>Levels!AD72</f>
        <v>-1.5897078516002305E-2</v>
      </c>
      <c r="K72">
        <f>Levels!AC72</f>
        <v>7.9833333333333334</v>
      </c>
      <c r="L72">
        <f>Levels!I72</f>
        <v>6.3300542261904766</v>
      </c>
      <c r="M72">
        <f>Levels!J72</f>
        <v>2.4307837935198302</v>
      </c>
      <c r="N72">
        <f>Levels!K72</f>
        <v>3.3323981389894</v>
      </c>
      <c r="O72">
        <v>-3.5900000000000001E-2</v>
      </c>
      <c r="P72">
        <f>Levels!M72</f>
        <v>2.81090895766296</v>
      </c>
      <c r="Q72">
        <f>Levels!N72</f>
        <v>0.50597954979746163</v>
      </c>
      <c r="R72">
        <f>Levels!O72</f>
        <v>0.70612418119825304</v>
      </c>
      <c r="S72">
        <f>Levels!P72</f>
        <v>0.84500575044892401</v>
      </c>
      <c r="T72">
        <f>Levels!Q72</f>
        <v>8897.107</v>
      </c>
      <c r="U72">
        <f>Levels!S72</f>
        <v>-1.446645561</v>
      </c>
      <c r="V72">
        <f>Levels!T72</f>
        <v>-1.4789062319999999</v>
      </c>
      <c r="W72">
        <f>Levels!U72</f>
        <v>-0.64440549999999996</v>
      </c>
      <c r="X72">
        <f>Levels!AB72</f>
        <v>-0.47991150210559003</v>
      </c>
    </row>
    <row r="73" spans="1:24" x14ac:dyDescent="0.35">
      <c r="A73" t="str">
        <f>Levels!A73</f>
        <v>1988Q4</v>
      </c>
      <c r="B73">
        <f>Levels!B73/Levels!$R73</f>
        <v>6869.0873791424774</v>
      </c>
      <c r="C73">
        <f>Levels!C73/Levels!$R73</f>
        <v>1257449.8512185325</v>
      </c>
      <c r="D73">
        <f>Levels!D73/Levels!R73</f>
        <v>1204555.3805461121</v>
      </c>
      <c r="E73">
        <f>Levels!V73/Levels!R73</f>
        <v>6900163.1969665671</v>
      </c>
      <c r="F73">
        <f>Levels!E73</f>
        <v>1640.7660000000001</v>
      </c>
      <c r="G73">
        <f>Levels!F73</f>
        <v>5710.7568947726832</v>
      </c>
      <c r="H73">
        <f>Levels!G73</f>
        <v>2.9</v>
      </c>
      <c r="I73">
        <f>Levels!Y73</f>
        <v>1.2635510587649552</v>
      </c>
      <c r="J73">
        <f>Levels!AD73</f>
        <v>-1.1195672532561152E-2</v>
      </c>
      <c r="K73">
        <f>Levels!AC73</f>
        <v>8.4700000000000006</v>
      </c>
      <c r="L73">
        <f>Levels!I73</f>
        <v>6.2592220374707264</v>
      </c>
      <c r="M73">
        <f>Levels!J73</f>
        <v>2.4373322132575601</v>
      </c>
      <c r="N73">
        <f>Levels!K73</f>
        <v>3.57088743646929</v>
      </c>
      <c r="O73">
        <v>0.16830000000000001</v>
      </c>
      <c r="P73">
        <f>Levels!M73</f>
        <v>3.0515271599934568</v>
      </c>
      <c r="Q73">
        <f>Levels!N73</f>
        <v>0.19444517699012456</v>
      </c>
      <c r="R73">
        <f>Levels!O73</f>
        <v>0.71584072453527803</v>
      </c>
      <c r="S73">
        <f>Levels!P73</f>
        <v>0.81870617965996295</v>
      </c>
      <c r="T73">
        <f>Levels!Q73</f>
        <v>9015.6610000000001</v>
      </c>
      <c r="U73">
        <f>Levels!S73</f>
        <v>0.689641744</v>
      </c>
      <c r="V73">
        <f>Levels!T73</f>
        <v>-1.5112732680000001</v>
      </c>
      <c r="W73">
        <f>Levels!U73</f>
        <v>-0.439724899</v>
      </c>
      <c r="X73">
        <f>Levels!AB73</f>
        <v>-0.67653061022583005</v>
      </c>
    </row>
    <row r="74" spans="1:24" x14ac:dyDescent="0.35">
      <c r="A74" t="str">
        <f>Levels!A74</f>
        <v>1989Q1</v>
      </c>
      <c r="B74">
        <f>Levels!B74/Levels!$R74</f>
        <v>6982.6369595191591</v>
      </c>
      <c r="C74">
        <f>Levels!C74/Levels!$R74</f>
        <v>1258823.2559813007</v>
      </c>
      <c r="D74">
        <f>Levels!D74/Levels!R74</f>
        <v>1251563.3899346432</v>
      </c>
      <c r="E74">
        <f>Levels!V74/Levels!R74</f>
        <v>6935478.91833439</v>
      </c>
      <c r="F74">
        <f>Levels!E74</f>
        <v>1650.856</v>
      </c>
      <c r="G74">
        <f>Levels!F74</f>
        <v>5738.4059687534318</v>
      </c>
      <c r="H74">
        <f>Levels!G74</f>
        <v>3.9</v>
      </c>
      <c r="I74">
        <f>Levels!Y74</f>
        <v>1.0727803519178154</v>
      </c>
      <c r="J74">
        <f>Levels!AD74</f>
        <v>-1.6472628084567287E-2</v>
      </c>
      <c r="K74">
        <f>Levels!AC74</f>
        <v>9.4433333333333334</v>
      </c>
      <c r="L74">
        <f>Levels!I74</f>
        <v>6.5910224395003905</v>
      </c>
      <c r="M74">
        <f>Levels!J74</f>
        <v>2.4634080072081899</v>
      </c>
      <c r="N74">
        <f>Levels!K74</f>
        <v>3.6524018648492498</v>
      </c>
      <c r="O74">
        <v>0.10780000000000001</v>
      </c>
      <c r="P74">
        <f>Levels!M74</f>
        <v>3.1315038800006487</v>
      </c>
      <c r="Q74">
        <f>Levels!N74</f>
        <v>0.49548837390408568</v>
      </c>
      <c r="R74">
        <f>Levels!O74</f>
        <v>0.75426092838730896</v>
      </c>
      <c r="S74">
        <f>Levels!P74</f>
        <v>0.81414100482676399</v>
      </c>
      <c r="T74">
        <f>Levels!Q74</f>
        <v>9107.3140000000003</v>
      </c>
      <c r="U74">
        <f>Levels!S74</f>
        <v>-1.038837233</v>
      </c>
      <c r="V74">
        <f>Levels!T74</f>
        <v>-0.68886860299999997</v>
      </c>
      <c r="W74">
        <f>Levels!U74</f>
        <v>-0.30917723899999999</v>
      </c>
      <c r="X74">
        <f>Levels!AB74</f>
        <v>-0.55400846379503199</v>
      </c>
    </row>
    <row r="75" spans="1:24" x14ac:dyDescent="0.35">
      <c r="A75" t="str">
        <f>Levels!A75</f>
        <v>1989Q2</v>
      </c>
      <c r="B75">
        <f>Levels!B75/Levels!$R75</f>
        <v>7144.0818259613216</v>
      </c>
      <c r="C75">
        <f>Levels!C75/Levels!$R75</f>
        <v>1260610.7971185893</v>
      </c>
      <c r="D75">
        <f>Levels!D75/Levels!R75</f>
        <v>1277782.8360391741</v>
      </c>
      <c r="E75">
        <f>Levels!V75/Levels!R75</f>
        <v>7140823.1908097351</v>
      </c>
      <c r="F75">
        <f>Levels!E75</f>
        <v>1654.579</v>
      </c>
      <c r="G75">
        <f>Levels!F75</f>
        <v>5775.8600983536871</v>
      </c>
      <c r="H75">
        <f>Levels!G75</f>
        <v>2.8</v>
      </c>
      <c r="I75">
        <f>Levels!Y75</f>
        <v>0.73312453538645983</v>
      </c>
      <c r="J75">
        <f>Levels!AD75</f>
        <v>-6.0811714633809411E-3</v>
      </c>
      <c r="K75">
        <f>Levels!AC75</f>
        <v>9.7266666666666666</v>
      </c>
      <c r="L75">
        <f>Levels!I75</f>
        <v>6.2173725595238096</v>
      </c>
      <c r="M75">
        <f>Levels!J75</f>
        <v>2.50209485367226</v>
      </c>
      <c r="N75">
        <f>Levels!K75</f>
        <v>3.60082572793252</v>
      </c>
      <c r="O75">
        <v>0.3488</v>
      </c>
      <c r="P75">
        <f>Levels!M75</f>
        <v>3.0821208226914121</v>
      </c>
      <c r="Q75">
        <f>Levels!N75</f>
        <v>0.48836630089210337</v>
      </c>
      <c r="R75">
        <f>Levels!O75</f>
        <v>0.76215679532646396</v>
      </c>
      <c r="S75">
        <f>Levels!P75</f>
        <v>0.82681951181143698</v>
      </c>
      <c r="T75">
        <f>Levels!Q75</f>
        <v>9176.8269999999993</v>
      </c>
      <c r="U75">
        <f>Levels!S75</f>
        <v>-1.4642382540000001</v>
      </c>
      <c r="V75">
        <f>Levels!T75</f>
        <v>-0.37080961099999998</v>
      </c>
      <c r="W75">
        <f>Levels!U75</f>
        <v>0.81217630299999999</v>
      </c>
      <c r="X75">
        <f>Levels!AB75</f>
        <v>-0.21598310108173999</v>
      </c>
    </row>
    <row r="76" spans="1:24" x14ac:dyDescent="0.35">
      <c r="A76" t="str">
        <f>Levels!A76</f>
        <v>1989Q3</v>
      </c>
      <c r="B76">
        <f>Levels!B76/Levels!$R76</f>
        <v>7253.2002393543607</v>
      </c>
      <c r="C76">
        <f>Levels!C76/Levels!$R76</f>
        <v>1271802.0760540552</v>
      </c>
      <c r="D76">
        <f>Levels!D76/Levels!R76</f>
        <v>1325362.0721632382</v>
      </c>
      <c r="E76">
        <f>Levels!V76/Levels!R76</f>
        <v>7199086.2359447489</v>
      </c>
      <c r="F76">
        <f>Levels!E76</f>
        <v>1684.92</v>
      </c>
      <c r="G76">
        <f>Levels!F76</f>
        <v>5803.2816104208423</v>
      </c>
      <c r="H76">
        <f>Levels!G76</f>
        <v>2.8</v>
      </c>
      <c r="I76">
        <f>Levels!Y76</f>
        <v>0.79606010608224043</v>
      </c>
      <c r="J76">
        <f>Levels!AD76</f>
        <v>-1.0122322819180352E-2</v>
      </c>
      <c r="K76">
        <f>Levels!AC76</f>
        <v>9.0833333333333339</v>
      </c>
      <c r="L76">
        <f>Levels!I76</f>
        <v>5.6357653174603168</v>
      </c>
      <c r="M76">
        <f>Levels!J76</f>
        <v>2.54045438526658</v>
      </c>
      <c r="N76">
        <f>Levels!K76</f>
        <v>3.28209318644759</v>
      </c>
      <c r="O76">
        <v>0.43070000000000003</v>
      </c>
      <c r="P76">
        <f>Levels!M76</f>
        <v>2.7873059968791551</v>
      </c>
      <c r="Q76">
        <f>Levels!N76</f>
        <v>0.24117984110955001</v>
      </c>
      <c r="R76">
        <f>Levels!O76</f>
        <v>0.76494053209595503</v>
      </c>
      <c r="S76">
        <f>Levels!P76</f>
        <v>0.85485097027357504</v>
      </c>
      <c r="T76">
        <f>Levels!Q76</f>
        <v>9244.8160000000007</v>
      </c>
      <c r="U76">
        <f>Levels!S76</f>
        <v>-1.487008965</v>
      </c>
      <c r="V76">
        <f>Levels!T76</f>
        <v>0.51459534699999998</v>
      </c>
      <c r="W76">
        <f>Levels!U76</f>
        <v>1.2958202110000001</v>
      </c>
      <c r="X76">
        <f>Levels!AB76</f>
        <v>0.62810397863213996</v>
      </c>
    </row>
    <row r="77" spans="1:24" x14ac:dyDescent="0.35">
      <c r="A77" t="str">
        <f>Levels!A77</f>
        <v>1989Q4</v>
      </c>
      <c r="B77">
        <f>Levels!B77/Levels!$R77</f>
        <v>7393.2248680658868</v>
      </c>
      <c r="C77">
        <f>Levels!C77/Levels!$R77</f>
        <v>1334532.7013505341</v>
      </c>
      <c r="D77">
        <f>Levels!D77/Levels!R77</f>
        <v>1345069.3069724943</v>
      </c>
      <c r="E77">
        <f>Levels!V77/Levels!R77</f>
        <v>7270373.4466686696</v>
      </c>
      <c r="F77">
        <f>Levels!E77</f>
        <v>1667.9739999999999</v>
      </c>
      <c r="G77">
        <f>Levels!F77</f>
        <v>5817.5193779140354</v>
      </c>
      <c r="H77">
        <f>Levels!G77</f>
        <v>1.6</v>
      </c>
      <c r="I77">
        <f>Levels!Y77</f>
        <v>2.504856883105234</v>
      </c>
      <c r="J77">
        <f>Levels!AD77</f>
        <v>-9.8891656625377244E-4</v>
      </c>
      <c r="K77">
        <f>Levels!AC77</f>
        <v>8.6133333333333333</v>
      </c>
      <c r="L77">
        <f>Levels!I77</f>
        <v>5.4877384408602143</v>
      </c>
      <c r="M77">
        <f>Levels!J77</f>
        <v>2.5370308460252602</v>
      </c>
      <c r="N77">
        <f>Levels!K77</f>
        <v>3.4821187736829899</v>
      </c>
      <c r="O77">
        <v>0.3458</v>
      </c>
      <c r="P77">
        <f>Levels!M77</f>
        <v>3.0018066515512141</v>
      </c>
      <c r="Q77">
        <f>Levels!N77</f>
        <v>0.29256991276397831</v>
      </c>
      <c r="R77">
        <f>Levels!O77</f>
        <v>0.76523948788229501</v>
      </c>
      <c r="S77">
        <f>Levels!P77</f>
        <v>0.896060989483623</v>
      </c>
      <c r="T77">
        <f>Levels!Q77</f>
        <v>9263.0329999999994</v>
      </c>
      <c r="U77">
        <f>Levels!S77</f>
        <v>1.877640564</v>
      </c>
      <c r="V77">
        <f>Levels!T77</f>
        <v>-2.365621682</v>
      </c>
      <c r="W77">
        <f>Levels!U77</f>
        <v>0.72213269700000005</v>
      </c>
      <c r="X77">
        <f>Levels!AB77</f>
        <v>0.48584898910485702</v>
      </c>
    </row>
    <row r="78" spans="1:24" x14ac:dyDescent="0.35">
      <c r="A78" t="str">
        <f>Levels!A78</f>
        <v>1990Q1</v>
      </c>
      <c r="B78">
        <f>Levels!B78/Levels!$R78</f>
        <v>7520.0587721141464</v>
      </c>
      <c r="C78">
        <f>Levels!C78/Levels!$R78</f>
        <v>1341959.2212189892</v>
      </c>
      <c r="D78">
        <f>Levels!D78/Levels!R78</f>
        <v>1341841.6384783103</v>
      </c>
      <c r="E78">
        <f>Levels!V78/Levels!R78</f>
        <v>7324042.0443268092</v>
      </c>
      <c r="F78">
        <f>Levels!E78</f>
        <v>1695.374</v>
      </c>
      <c r="G78">
        <f>Levels!F78</f>
        <v>5896.9335774844121</v>
      </c>
      <c r="H78">
        <f>Levels!G78</f>
        <v>0.9</v>
      </c>
      <c r="I78">
        <f>Levels!Y78</f>
        <v>2.4719549531196434</v>
      </c>
      <c r="J78">
        <f>Levels!AD78</f>
        <v>1.8206700220366967E-2</v>
      </c>
      <c r="K78">
        <f>Levels!AC78</f>
        <v>8.25</v>
      </c>
      <c r="L78">
        <f>Levels!I78</f>
        <v>6.0518543010752683</v>
      </c>
      <c r="M78">
        <f>Levels!J78</f>
        <v>2.5266845671885698</v>
      </c>
      <c r="N78">
        <f>Levels!K78</f>
        <v>3.6218740829378402</v>
      </c>
      <c r="O78">
        <v>0.20519999999999999</v>
      </c>
      <c r="P78">
        <f>Levels!M78</f>
        <v>3.1367388003897414</v>
      </c>
      <c r="Q78">
        <f>Levels!N78</f>
        <v>0.68292014962210368</v>
      </c>
      <c r="R78">
        <f>Levels!O78</f>
        <v>0.80223205390863095</v>
      </c>
      <c r="S78">
        <f>Levels!P78</f>
        <v>0.94495807367117901</v>
      </c>
      <c r="T78">
        <f>Levels!Q78</f>
        <v>9364.259</v>
      </c>
      <c r="U78">
        <f>Levels!S78</f>
        <v>-0.21563012100000001</v>
      </c>
      <c r="V78">
        <f>Levels!T78</f>
        <v>1.678834441</v>
      </c>
      <c r="W78">
        <f>Levels!U78</f>
        <v>0.33174742600000001</v>
      </c>
      <c r="X78">
        <f>Levels!AB78</f>
        <v>-0.44830829701913999</v>
      </c>
    </row>
    <row r="79" spans="1:24" x14ac:dyDescent="0.35">
      <c r="A79" t="str">
        <f>Levels!A79</f>
        <v>1990Q2</v>
      </c>
      <c r="B79">
        <f>Levels!B79/Levels!$R79</f>
        <v>7623.3537448635252</v>
      </c>
      <c r="C79">
        <f>Levels!C79/Levels!$R79</f>
        <v>1364477.4011772061</v>
      </c>
      <c r="D79">
        <f>Levels!D79/Levels!R79</f>
        <v>1340931.7626894687</v>
      </c>
      <c r="E79">
        <f>Levels!V79/Levels!R79</f>
        <v>7329113.9641212793</v>
      </c>
      <c r="F79">
        <f>Levels!E79</f>
        <v>1668.4369999999999</v>
      </c>
      <c r="G79">
        <f>Levels!F79</f>
        <v>5912.9435714158626</v>
      </c>
      <c r="H79">
        <f>Levels!G79</f>
        <v>0.1</v>
      </c>
      <c r="I79">
        <f>Levels!Y79</f>
        <v>2.0215992557312257</v>
      </c>
      <c r="J79">
        <f>Levels!AD79</f>
        <v>1.0856851475554485E-2</v>
      </c>
      <c r="K79">
        <f>Levels!AC79</f>
        <v>8.2433333333333341</v>
      </c>
      <c r="L79">
        <f>Levels!I79</f>
        <v>6.348189126984126</v>
      </c>
      <c r="M79">
        <f>Levels!J79</f>
        <v>2.5466593715045902</v>
      </c>
      <c r="N79">
        <f>Levels!K79</f>
        <v>3.52724062705538</v>
      </c>
      <c r="O79">
        <v>-5.2900000000000003E-2</v>
      </c>
      <c r="P79">
        <f>Levels!M79</f>
        <v>3.0516506431997841</v>
      </c>
      <c r="Q79">
        <f>Levels!N79</f>
        <v>0.30997812601860031</v>
      </c>
      <c r="R79">
        <f>Levels!O79</f>
        <v>0.78316944787659004</v>
      </c>
      <c r="S79">
        <f>Levels!P79</f>
        <v>0.99157226848330704</v>
      </c>
      <c r="T79">
        <f>Levels!Q79</f>
        <v>9398.2430000000004</v>
      </c>
      <c r="U79">
        <f>Levels!S79</f>
        <v>-0.184271094</v>
      </c>
      <c r="V79">
        <f>Levels!T79</f>
        <v>0.73003185699999995</v>
      </c>
      <c r="W79">
        <f>Levels!U79</f>
        <v>1.472479179</v>
      </c>
      <c r="X79">
        <f>Levels!AB79</f>
        <v>-0.61051554500737504</v>
      </c>
    </row>
    <row r="80" spans="1:24" x14ac:dyDescent="0.35">
      <c r="A80" t="str">
        <f>Levels!A80</f>
        <v>1990Q3</v>
      </c>
      <c r="B80">
        <f>Levels!B80/Levels!$R80</f>
        <v>7702.5015921203785</v>
      </c>
      <c r="C80">
        <f>Levels!C80/Levels!$R80</f>
        <v>1389259.5003331078</v>
      </c>
      <c r="D80">
        <f>Levels!D80/Levels!R80</f>
        <v>1351517.8379952214</v>
      </c>
      <c r="E80">
        <f>Levels!V80/Levels!R80</f>
        <v>7345467.4980592625</v>
      </c>
      <c r="F80">
        <f>Levels!E80</f>
        <v>1659.143</v>
      </c>
      <c r="G80">
        <f>Levels!F80</f>
        <v>5952.5009088969064</v>
      </c>
      <c r="H80">
        <f>Levels!G80</f>
        <v>-0.6</v>
      </c>
      <c r="I80">
        <f>Levels!Y80</f>
        <v>1.4704282695584296</v>
      </c>
      <c r="J80">
        <f>Levels!AD80</f>
        <v>3.5492290165783924E-3</v>
      </c>
      <c r="K80">
        <f>Levels!AC80</f>
        <v>8.16</v>
      </c>
      <c r="L80">
        <f>Levels!I80</f>
        <v>6.4258696031746023</v>
      </c>
      <c r="M80">
        <f>Levels!J80</f>
        <v>2.5018944701282102</v>
      </c>
      <c r="N80">
        <f>Levels!K80</f>
        <v>3.7492912787122199</v>
      </c>
      <c r="O80">
        <v>-0.13950000000000001</v>
      </c>
      <c r="P80">
        <f>Levels!M80</f>
        <v>3.2673143829396798</v>
      </c>
      <c r="Q80">
        <f>Levels!N80</f>
        <v>0.71367437684432933</v>
      </c>
      <c r="R80">
        <f>Levels!O80</f>
        <v>0.79792491503791396</v>
      </c>
      <c r="S80">
        <f>Levels!P80</f>
        <v>1.0665368511887601</v>
      </c>
      <c r="T80">
        <f>Levels!Q80</f>
        <v>9404.4940000000006</v>
      </c>
      <c r="U80">
        <f>Levels!S80</f>
        <v>5.87588E-4</v>
      </c>
      <c r="V80">
        <f>Levels!T80</f>
        <v>0.69674910800000001</v>
      </c>
      <c r="W80">
        <f>Levels!U80</f>
        <v>1.17805005</v>
      </c>
      <c r="X80">
        <f>Levels!AB80</f>
        <v>3.5342884344447301</v>
      </c>
    </row>
    <row r="81" spans="1:24" x14ac:dyDescent="0.35">
      <c r="A81" t="str">
        <f>Levels!A81</f>
        <v>1990Q4</v>
      </c>
      <c r="B81">
        <f>Levels!B81/Levels!$R81</f>
        <v>7764.8096673006821</v>
      </c>
      <c r="C81">
        <f>Levels!C81/Levels!$R81</f>
        <v>1453087.3887393682</v>
      </c>
      <c r="D81">
        <f>Levels!D81/Levels!R81</f>
        <v>1345876.3682877428</v>
      </c>
      <c r="E81">
        <f>Levels!V81/Levels!R81</f>
        <v>7373148.7010927638</v>
      </c>
      <c r="F81">
        <f>Levels!E81</f>
        <v>1628.395</v>
      </c>
      <c r="G81">
        <f>Levels!F81</f>
        <v>5922.2669225592645</v>
      </c>
      <c r="H81">
        <f>Levels!G81</f>
        <v>-1.1000000000000001</v>
      </c>
      <c r="I81">
        <f>Levels!Y81</f>
        <v>1.6432696067743715</v>
      </c>
      <c r="J81">
        <f>Levels!AD81</f>
        <v>4.7867567830615743E-2</v>
      </c>
      <c r="K81">
        <f>Levels!AC81</f>
        <v>7.7433333333333332</v>
      </c>
      <c r="L81">
        <f>Levels!I81</f>
        <v>6.1846179800307217</v>
      </c>
      <c r="M81">
        <f>Levels!J81</f>
        <v>2.5077879790094899</v>
      </c>
      <c r="N81">
        <f>Levels!K81</f>
        <v>3.6343277598646799</v>
      </c>
      <c r="O81">
        <v>0.1431</v>
      </c>
      <c r="P81">
        <f>Levels!M81</f>
        <v>3.1355221969456659</v>
      </c>
      <c r="Q81">
        <f>Levels!N81</f>
        <v>0.27586090107787031</v>
      </c>
      <c r="R81">
        <f>Levels!O81</f>
        <v>0.81619640845165098</v>
      </c>
      <c r="S81">
        <f>Levels!P81</f>
        <v>1.0265247827903401</v>
      </c>
      <c r="T81">
        <f>Levels!Q81</f>
        <v>9318.8760000000002</v>
      </c>
      <c r="U81">
        <f>Levels!S81</f>
        <v>-2.5627222789999999</v>
      </c>
      <c r="V81">
        <f>Levels!T81</f>
        <v>-2.9572710350000002</v>
      </c>
      <c r="W81">
        <f>Levels!U81</f>
        <v>-0.22201816099999999</v>
      </c>
      <c r="X81">
        <f>Levels!AB81</f>
        <v>-0.150204922034328</v>
      </c>
    </row>
    <row r="82" spans="1:24" x14ac:dyDescent="0.35">
      <c r="A82" t="str">
        <f>Levels!A82</f>
        <v>1991Q1</v>
      </c>
      <c r="B82">
        <f>Levels!B82/Levels!$R82</f>
        <v>7769.6145179693058</v>
      </c>
      <c r="C82">
        <f>Levels!C82/Levels!$R82</f>
        <v>1498889.8290514392</v>
      </c>
      <c r="D82">
        <f>Levels!D82/Levels!R82</f>
        <v>1390268.2349714409</v>
      </c>
      <c r="E82">
        <f>Levels!V82/Levels!R82</f>
        <v>7438154.5400351016</v>
      </c>
      <c r="F82">
        <f>Levels!E82</f>
        <v>1587.4079999999999</v>
      </c>
      <c r="G82">
        <f>Levels!F82</f>
        <v>5869.509919710179</v>
      </c>
      <c r="H82">
        <f>Levels!G82</f>
        <v>-2.2999999999999998</v>
      </c>
      <c r="I82">
        <f>Levels!Y82</f>
        <v>1.3902090913286553</v>
      </c>
      <c r="J82">
        <f>Levels!AD82</f>
        <v>3.2941537517046759E-2</v>
      </c>
      <c r="K82">
        <f>Levels!AC82</f>
        <v>6.4266666666666667</v>
      </c>
      <c r="L82">
        <f>Levels!I82</f>
        <v>5.8529795238095232</v>
      </c>
      <c r="M82">
        <f>Levels!J82</f>
        <v>2.5474759127810001</v>
      </c>
      <c r="N82">
        <f>Levels!K82</f>
        <v>3.0750164985437101</v>
      </c>
      <c r="O82">
        <v>0.1288</v>
      </c>
      <c r="P82">
        <f>Levels!M82</f>
        <v>2.5849116668012329</v>
      </c>
      <c r="Q82">
        <f>Levels!N82</f>
        <v>0.2982878956636647</v>
      </c>
      <c r="R82">
        <f>Levels!O82</f>
        <v>0.80304762761678505</v>
      </c>
      <c r="S82">
        <f>Levels!P82</f>
        <v>0.97944895477500504</v>
      </c>
      <c r="T82">
        <f>Levels!Q82</f>
        <v>9275.2759999999998</v>
      </c>
      <c r="U82">
        <f>Levels!S82</f>
        <v>-2.6868604880000002</v>
      </c>
      <c r="V82">
        <f>Levels!T82</f>
        <v>0.48444735900000002</v>
      </c>
      <c r="W82">
        <f>Levels!U82</f>
        <v>0.37051224199999999</v>
      </c>
      <c r="X82">
        <f>Levels!AB82</f>
        <v>-1.8310972112456201</v>
      </c>
    </row>
    <row r="83" spans="1:24" x14ac:dyDescent="0.35">
      <c r="A83" t="str">
        <f>Levels!A83</f>
        <v>1991Q2</v>
      </c>
      <c r="B83">
        <f>Levels!B83/Levels!$R83</f>
        <v>7836.5886019589234</v>
      </c>
      <c r="C83">
        <f>Levels!C83/Levels!$R83</f>
        <v>1531185.45159917</v>
      </c>
      <c r="D83">
        <f>Levels!D83/Levels!R83</f>
        <v>1416396.1270742447</v>
      </c>
      <c r="E83">
        <f>Levels!V83/Levels!R83</f>
        <v>7430984.4842344141</v>
      </c>
      <c r="F83">
        <f>Levels!E83</f>
        <v>1596.569</v>
      </c>
      <c r="G83">
        <f>Levels!F83</f>
        <v>5892.7652387099797</v>
      </c>
      <c r="H83">
        <f>Levels!G83</f>
        <v>-2.5</v>
      </c>
      <c r="I83">
        <f>Levels!Y83</f>
        <v>1.4171945773165175</v>
      </c>
      <c r="J83">
        <f>Levels!AD83</f>
        <v>5.7268262968608319E-3</v>
      </c>
      <c r="K83">
        <f>Levels!AC83</f>
        <v>5.8633333333333333</v>
      </c>
      <c r="L83">
        <f>Levels!I83</f>
        <v>6.0060187499999991</v>
      </c>
      <c r="M83">
        <f>Levels!J83</f>
        <v>2.57869231795368</v>
      </c>
      <c r="N83">
        <f>Levels!K83</f>
        <v>2.9220543715188199</v>
      </c>
      <c r="O83">
        <v>5.3600000000000002E-2</v>
      </c>
      <c r="P83">
        <f>Levels!M83</f>
        <v>2.4429714132887499</v>
      </c>
      <c r="Q83">
        <f>Levels!N83</f>
        <v>0.24633046235043168</v>
      </c>
      <c r="R83">
        <f>Levels!O83</f>
        <v>0.75619166549912498</v>
      </c>
      <c r="S83">
        <f>Levels!P83</f>
        <v>0.92436033850087296</v>
      </c>
      <c r="T83">
        <f>Levels!Q83</f>
        <v>9347.5969999999998</v>
      </c>
      <c r="U83">
        <f>Levels!S83</f>
        <v>1.8805490330000001</v>
      </c>
      <c r="V83">
        <f>Levels!T83</f>
        <v>1.1631079989999999</v>
      </c>
      <c r="W83">
        <f>Levels!U83</f>
        <v>-0.231231985</v>
      </c>
      <c r="X83">
        <f>Levels!AB83</f>
        <v>-0.51586854696125395</v>
      </c>
    </row>
    <row r="84" spans="1:24" x14ac:dyDescent="0.35">
      <c r="A84" t="str">
        <f>Levels!A84</f>
        <v>1991Q3</v>
      </c>
      <c r="B84">
        <f>Levels!B84/Levels!$R84</f>
        <v>7834.3851677169268</v>
      </c>
      <c r="C84">
        <f>Levels!C84/Levels!$R84</f>
        <v>1620427.9259782068</v>
      </c>
      <c r="D84">
        <f>Levels!D84/Levels!R84</f>
        <v>1449540.24445606</v>
      </c>
      <c r="E84">
        <f>Levels!V84/Levels!R84</f>
        <v>7459430.647607035</v>
      </c>
      <c r="F84">
        <f>Levels!E84</f>
        <v>1596.4839999999999</v>
      </c>
      <c r="G84">
        <f>Levels!F84</f>
        <v>5909.7734325661922</v>
      </c>
      <c r="H84">
        <f>Levels!G84</f>
        <v>-2.1</v>
      </c>
      <c r="I84">
        <f>Levels!Y84</f>
        <v>0.82288648357572491</v>
      </c>
      <c r="J84">
        <f>Levels!AD84</f>
        <v>-0.33042407627404136</v>
      </c>
      <c r="K84">
        <f>Levels!AC84</f>
        <v>5.6433333333333335</v>
      </c>
      <c r="L84">
        <f>Levels!I84</f>
        <v>5.8728109523809522</v>
      </c>
      <c r="M84">
        <f>Levels!J84</f>
        <v>2.5886358583336802</v>
      </c>
      <c r="N84">
        <f>Levels!K84</f>
        <v>2.5904716938001102</v>
      </c>
      <c r="O84">
        <v>7.2599999999999998E-2</v>
      </c>
      <c r="P84">
        <f>Levels!M84</f>
        <v>2.1117456417864653</v>
      </c>
      <c r="Q84">
        <f>Levels!N84</f>
        <v>0.29332774425722768</v>
      </c>
      <c r="R84">
        <f>Levels!O84</f>
        <v>0.71955926524340996</v>
      </c>
      <c r="S84">
        <f>Levels!P84</f>
        <v>0.89863002895966104</v>
      </c>
      <c r="T84">
        <f>Levels!Q84</f>
        <v>9394.8340000000007</v>
      </c>
      <c r="U84">
        <f>Levels!S84</f>
        <v>-1.7941509689999999</v>
      </c>
      <c r="V84">
        <f>Levels!T84</f>
        <v>0.29606168300000002</v>
      </c>
      <c r="W84">
        <f>Levels!U84</f>
        <v>6.3685242000000003E-2</v>
      </c>
      <c r="X84">
        <f>Levels!AB84</f>
        <v>-0.55742796110089299</v>
      </c>
    </row>
    <row r="85" spans="1:24" x14ac:dyDescent="0.35">
      <c r="A85" t="str">
        <f>Levels!A85</f>
        <v>1991Q4</v>
      </c>
      <c r="B85">
        <f>Levels!B85/Levels!$R85</f>
        <v>7870.2441973801078</v>
      </c>
      <c r="C85">
        <f>Levels!C85/Levels!$R85</f>
        <v>1707844.5430753108</v>
      </c>
      <c r="D85">
        <f>Levels!D85/Levels!R85</f>
        <v>1455382.3529457732</v>
      </c>
      <c r="E85">
        <f>Levels!V85/Levels!R85</f>
        <v>7503560.2129847761</v>
      </c>
      <c r="F85">
        <f>Levels!E85</f>
        <v>1597.712</v>
      </c>
      <c r="G85">
        <f>Levels!F85</f>
        <v>5898.8307310919545</v>
      </c>
      <c r="H85">
        <f>Levels!G85</f>
        <v>-1.9</v>
      </c>
      <c r="I85">
        <f>Levels!Y85</f>
        <v>0.8355742123414045</v>
      </c>
      <c r="J85">
        <f>Levels!AD85</f>
        <v>0.12746050799481567</v>
      </c>
      <c r="K85">
        <f>Levels!AC85</f>
        <v>4.8166666666666664</v>
      </c>
      <c r="L85">
        <f>Levels!I85</f>
        <v>5.3156273809523809</v>
      </c>
      <c r="M85">
        <f>Levels!J85</f>
        <v>2.5879497439341201</v>
      </c>
      <c r="N85">
        <f>Levels!K85</f>
        <v>2.55374993501079</v>
      </c>
      <c r="O85">
        <v>6.8400000000000002E-2</v>
      </c>
      <c r="P85">
        <f>Levels!M85</f>
        <v>2.0672473155703579</v>
      </c>
      <c r="Q85">
        <f>Levels!N85</f>
        <v>0.16982078346131652</v>
      </c>
      <c r="R85">
        <f>Levels!O85</f>
        <v>0.71337125391967804</v>
      </c>
      <c r="S85">
        <f>Levels!P85</f>
        <v>0.92942747571198403</v>
      </c>
      <c r="T85">
        <f>Levels!Q85</f>
        <v>9427.5810000000001</v>
      </c>
      <c r="U85">
        <f>Levels!S85</f>
        <v>-2.2569065209999999</v>
      </c>
      <c r="V85">
        <f>Levels!T85</f>
        <v>-0.53090687199999997</v>
      </c>
      <c r="W85">
        <f>Levels!U85</f>
        <v>2.7945142970000001</v>
      </c>
      <c r="X85">
        <f>Levels!AB85</f>
        <v>-0.13757750158790399</v>
      </c>
    </row>
    <row r="86" spans="1:24" x14ac:dyDescent="0.35">
      <c r="A86" t="str">
        <f>Levels!A86</f>
        <v>1992Q1</v>
      </c>
      <c r="B86">
        <f>Levels!B86/Levels!$R86</f>
        <v>7900.46083237312</v>
      </c>
      <c r="C86">
        <f>Levels!C86/Levels!$R86</f>
        <v>1708808.9153022384</v>
      </c>
      <c r="D86">
        <f>Levels!D86/Levels!R86</f>
        <v>1474767.5689213416</v>
      </c>
      <c r="E86">
        <f>Levels!V86/Levels!R86</f>
        <v>7563751.2354729883</v>
      </c>
      <c r="F86">
        <f>Levels!E86</f>
        <v>1619.962</v>
      </c>
      <c r="G86">
        <f>Levels!F86</f>
        <v>5996.0654107923601</v>
      </c>
      <c r="H86">
        <f>Levels!G86</f>
        <v>-1.5</v>
      </c>
      <c r="I86">
        <f>Levels!Y86</f>
        <v>1.5472059651693149</v>
      </c>
      <c r="J86">
        <f>Levels!AD86</f>
        <v>0.11636533706775887</v>
      </c>
      <c r="K86">
        <f>Levels!AC86</f>
        <v>4.0233333333333334</v>
      </c>
      <c r="L86">
        <f>Levels!I86</f>
        <v>5.3199250076804905</v>
      </c>
      <c r="M86">
        <f>Levels!J86</f>
        <v>2.6148807803796701</v>
      </c>
      <c r="N86">
        <f>Levels!K86</f>
        <v>2.4968844962547099</v>
      </c>
      <c r="O86">
        <v>-2.98E-2</v>
      </c>
      <c r="P86">
        <f>Levels!M86</f>
        <v>2.0163675266071168</v>
      </c>
      <c r="Q86">
        <f>Levels!N86</f>
        <v>0.33737987273460401</v>
      </c>
      <c r="R86">
        <f>Levels!O86</f>
        <v>0.71735226985635603</v>
      </c>
      <c r="S86">
        <f>Levels!P86</f>
        <v>0.89365616769051603</v>
      </c>
      <c r="T86">
        <f>Levels!Q86</f>
        <v>9540.4439999999995</v>
      </c>
      <c r="U86">
        <f>Levels!S86</f>
        <v>-0.58691885700000002</v>
      </c>
      <c r="V86">
        <f>Levels!T86</f>
        <v>0.80247598899999995</v>
      </c>
      <c r="W86">
        <f>Levels!U86</f>
        <v>-2.691774396</v>
      </c>
      <c r="X86">
        <f>Levels!AB86</f>
        <v>-0.74769306336021901</v>
      </c>
    </row>
    <row r="87" spans="1:24" x14ac:dyDescent="0.35">
      <c r="A87" t="str">
        <f>Levels!A87</f>
        <v>1992Q2</v>
      </c>
      <c r="B87">
        <f>Levels!B87/Levels!$R87</f>
        <v>7937.4083965609479</v>
      </c>
      <c r="C87">
        <f>Levels!C87/Levels!$R87</f>
        <v>1763276.6946629484</v>
      </c>
      <c r="D87">
        <f>Levels!D87/Levels!R87</f>
        <v>1505031.0701333671</v>
      </c>
      <c r="E87">
        <f>Levels!V87/Levels!R87</f>
        <v>7591997.4034764813</v>
      </c>
      <c r="F87">
        <f>Levels!E87</f>
        <v>1655.489</v>
      </c>
      <c r="G87">
        <f>Levels!F87</f>
        <v>6027.7225426372361</v>
      </c>
      <c r="H87">
        <f>Levels!G87</f>
        <v>-0.5</v>
      </c>
      <c r="I87">
        <f>Levels!Y87</f>
        <v>1.4810085094013801</v>
      </c>
      <c r="J87">
        <f>Levels!AD87</f>
        <v>-1.5673444412479531E-3</v>
      </c>
      <c r="K87">
        <f>Levels!AC87</f>
        <v>3.77</v>
      </c>
      <c r="L87">
        <f>Levels!I87</f>
        <v>5.42179865079365</v>
      </c>
      <c r="M87">
        <f>Levels!J87</f>
        <v>2.61423219730978</v>
      </c>
      <c r="N87">
        <f>Levels!K87</f>
        <v>2.2600927583094301</v>
      </c>
      <c r="O87">
        <v>-8.4199999999999997E-2</v>
      </c>
      <c r="P87">
        <f>Levels!M87</f>
        <v>1.792949745161422</v>
      </c>
      <c r="Q87">
        <f>Levels!N87</f>
        <v>0.21495133343426537</v>
      </c>
      <c r="R87">
        <f>Levels!O87</f>
        <v>0.70192694645061404</v>
      </c>
      <c r="S87">
        <f>Levels!P87</f>
        <v>0.83665197766486199</v>
      </c>
      <c r="T87">
        <f>Levels!Q87</f>
        <v>9643.893</v>
      </c>
      <c r="U87">
        <f>Levels!S87</f>
        <v>-0.56407801700000004</v>
      </c>
      <c r="V87">
        <f>Levels!T87</f>
        <v>-0.92166759600000003</v>
      </c>
      <c r="W87">
        <f>Levels!U87</f>
        <v>3.0354019999999999E-2</v>
      </c>
      <c r="X87">
        <f>Levels!AB87</f>
        <v>-1.2838374007129101</v>
      </c>
    </row>
    <row r="88" spans="1:24" x14ac:dyDescent="0.35">
      <c r="A88" t="str">
        <f>Levels!A88</f>
        <v>1992Q3</v>
      </c>
      <c r="B88">
        <f>Levels!B88/Levels!$R88</f>
        <v>7990.1230358390576</v>
      </c>
      <c r="C88">
        <f>Levels!C88/Levels!$R88</f>
        <v>1838564.6342699428</v>
      </c>
      <c r="D88">
        <f>Levels!D88/Levels!R88</f>
        <v>1538458.2851650617</v>
      </c>
      <c r="E88">
        <f>Levels!V88/Levels!R88</f>
        <v>7725228.3159042187</v>
      </c>
      <c r="F88">
        <f>Levels!E88</f>
        <v>1664.8979999999999</v>
      </c>
      <c r="G88">
        <f>Levels!F88</f>
        <v>6082.5824145523611</v>
      </c>
      <c r="H88">
        <f>Levels!G88</f>
        <v>-0.2</v>
      </c>
      <c r="I88">
        <f>Levels!Y88</f>
        <v>0.92877829632935049</v>
      </c>
      <c r="J88">
        <f>Levels!AD88</f>
        <v>-1.4975480096115712E-2</v>
      </c>
      <c r="K88">
        <f>Levels!AC88</f>
        <v>3.2566666666666668</v>
      </c>
      <c r="L88">
        <f>Levels!I88</f>
        <v>4.6987878571428574</v>
      </c>
      <c r="M88">
        <f>Levels!J88</f>
        <v>2.61940073561632</v>
      </c>
      <c r="N88">
        <f>Levels!K88</f>
        <v>1.79623711488977</v>
      </c>
      <c r="O88">
        <v>-7.7799999999999994E-2</v>
      </c>
      <c r="P88">
        <f>Levels!M88</f>
        <v>1.3348424132464229</v>
      </c>
      <c r="Q88">
        <f>Levels!N88</f>
        <v>0.26085560686901338</v>
      </c>
      <c r="R88">
        <f>Levels!O88</f>
        <v>0.70144560090357799</v>
      </c>
      <c r="S88">
        <f>Levels!P88</f>
        <v>0.809170600825869</v>
      </c>
      <c r="T88">
        <f>Levels!Q88</f>
        <v>9739.1849999999995</v>
      </c>
      <c r="U88">
        <f>Levels!S88</f>
        <v>-0.98895645200000004</v>
      </c>
      <c r="V88">
        <f>Levels!T88</f>
        <v>-0.98893396099999997</v>
      </c>
      <c r="W88">
        <f>Levels!U88</f>
        <v>-1.1553935559999999</v>
      </c>
      <c r="X88">
        <f>Levels!AB88</f>
        <v>0.30592672536999399</v>
      </c>
    </row>
    <row r="89" spans="1:24" x14ac:dyDescent="0.35">
      <c r="A89" t="str">
        <f>Levels!A89</f>
        <v>1992Q4</v>
      </c>
      <c r="B89">
        <f>Levels!B89/Levels!$R89</f>
        <v>8051.3279231194165</v>
      </c>
      <c r="C89">
        <f>Levels!C89/Levels!$R89</f>
        <v>1899912.1702489743</v>
      </c>
      <c r="D89">
        <f>Levels!D89/Levels!R89</f>
        <v>1558276.8506600263</v>
      </c>
      <c r="E89">
        <f>Levels!V89/Levels!R89</f>
        <v>7720659.5588040426</v>
      </c>
      <c r="F89">
        <f>Levels!E89</f>
        <v>1699.3340000000001</v>
      </c>
      <c r="G89">
        <f>Levels!F89</f>
        <v>6153.6644915083125</v>
      </c>
      <c r="H89">
        <f>Levels!G89</f>
        <v>0.6</v>
      </c>
      <c r="I89">
        <f>Levels!Y89</f>
        <v>0.26160921610936955</v>
      </c>
      <c r="J89">
        <f>Levels!AD89</f>
        <v>2.6520608228064457E-2</v>
      </c>
      <c r="K89">
        <f>Levels!AC89</f>
        <v>3.0366666666666666</v>
      </c>
      <c r="L89">
        <f>Levels!I89</f>
        <v>4.8470880568356369</v>
      </c>
      <c r="M89">
        <f>Levels!J89</f>
        <v>2.6326519067626299</v>
      </c>
      <c r="N89">
        <f>Levels!K89</f>
        <v>1.7942511280578699</v>
      </c>
      <c r="O89">
        <v>5.3600000000000002E-2</v>
      </c>
      <c r="P89">
        <f>Levels!M89</f>
        <v>1.3342812392648709</v>
      </c>
      <c r="Q89">
        <f>Levels!N89</f>
        <v>0.14149274336604928</v>
      </c>
      <c r="R89">
        <f>Levels!O89</f>
        <v>0.70407972210476799</v>
      </c>
      <c r="S89">
        <f>Levels!P89</f>
        <v>0.79611537796857201</v>
      </c>
      <c r="T89">
        <f>Levels!Q89</f>
        <v>9840.7530000000006</v>
      </c>
      <c r="U89">
        <f>Levels!S89</f>
        <v>0.44260923400000002</v>
      </c>
      <c r="V89">
        <f>Levels!T89</f>
        <v>-0.70919847700000005</v>
      </c>
      <c r="W89">
        <f>Levels!U89</f>
        <v>-0.47390219500000003</v>
      </c>
      <c r="X89">
        <f>Levels!AB89</f>
        <v>-1.8709909971837699</v>
      </c>
    </row>
    <row r="90" spans="1:24" x14ac:dyDescent="0.35">
      <c r="A90" t="str">
        <f>Levels!A90</f>
        <v>1993Q1</v>
      </c>
      <c r="B90">
        <f>Levels!B90/Levels!$R90</f>
        <v>8088.4806618216935</v>
      </c>
      <c r="C90">
        <f>Levels!C90/Levels!$R90</f>
        <v>1924046.0520292553</v>
      </c>
      <c r="D90">
        <f>Levels!D90/Levels!R90</f>
        <v>1604711.3413784299</v>
      </c>
      <c r="E90">
        <f>Levels!V90/Levels!R90</f>
        <v>7702693.8601131914</v>
      </c>
      <c r="F90">
        <f>Levels!E90</f>
        <v>1700.163</v>
      </c>
      <c r="G90">
        <f>Levels!F90</f>
        <v>6170.4972976181207</v>
      </c>
      <c r="H90">
        <f>Levels!G90</f>
        <v>2.1</v>
      </c>
      <c r="I90">
        <f>Levels!Y90</f>
        <v>0.57322976458901453</v>
      </c>
      <c r="J90">
        <f>Levels!AD90</f>
        <v>1.0363055411360289E-2</v>
      </c>
      <c r="K90">
        <f>Levels!AC90</f>
        <v>3.04</v>
      </c>
      <c r="L90">
        <f>Levels!I90</f>
        <v>4.3945100546448082</v>
      </c>
      <c r="M90">
        <f>Levels!J90</f>
        <v>2.6457377082139399</v>
      </c>
      <c r="N90">
        <f>Levels!K90</f>
        <v>1.53704662473455</v>
      </c>
      <c r="O90">
        <v>2.47E-2</v>
      </c>
      <c r="P90">
        <f>Levels!M90</f>
        <v>1.095003355875112</v>
      </c>
      <c r="Q90">
        <f>Levels!N90</f>
        <v>0.39778076343205998</v>
      </c>
      <c r="R90">
        <f>Levels!O90</f>
        <v>0.69478880267039</v>
      </c>
      <c r="S90">
        <f>Levels!P90</f>
        <v>0.78491547451561305</v>
      </c>
      <c r="T90">
        <f>Levels!Q90</f>
        <v>9857.1849999999995</v>
      </c>
      <c r="U90">
        <f>Levels!S90</f>
        <v>-1.7393688860000001</v>
      </c>
      <c r="V90">
        <f>Levels!T90</f>
        <v>0.95150290400000004</v>
      </c>
      <c r="W90">
        <f>Levels!U90</f>
        <v>-6.2031981E-2</v>
      </c>
      <c r="X90">
        <f>Levels!AB90</f>
        <v>-0.65727951835060705</v>
      </c>
    </row>
    <row r="91" spans="1:24" x14ac:dyDescent="0.35">
      <c r="A91" t="str">
        <f>Levels!A91</f>
        <v>1993Q2</v>
      </c>
      <c r="B91">
        <f>Levels!B91/Levels!$R91</f>
        <v>8192.6223909117416</v>
      </c>
      <c r="C91">
        <f>Levels!C91/Levels!$R91</f>
        <v>1971998.9097268439</v>
      </c>
      <c r="D91">
        <f>Levels!D91/Levels!R91</f>
        <v>1652449.7265971866</v>
      </c>
      <c r="E91">
        <f>Levels!V91/Levels!R91</f>
        <v>7782633.035398677</v>
      </c>
      <c r="F91">
        <f>Levels!E91</f>
        <v>1728.5340000000001</v>
      </c>
      <c r="G91">
        <f>Levels!F91</f>
        <v>6225.7538503763162</v>
      </c>
      <c r="H91">
        <f>Levels!G91</f>
        <v>2.9</v>
      </c>
      <c r="I91">
        <f>Levels!Y91</f>
        <v>0.48928019003539192</v>
      </c>
      <c r="J91">
        <f>Levels!AD91</f>
        <v>-2.8089599729409498E-2</v>
      </c>
      <c r="K91">
        <f>Levels!AC91</f>
        <v>3</v>
      </c>
      <c r="L91">
        <f>Levels!I91</f>
        <v>4.1538940476190476</v>
      </c>
      <c r="M91">
        <f>Levels!J91</f>
        <v>2.6492528596345899</v>
      </c>
      <c r="N91">
        <f>Levels!K91</f>
        <v>1.8340446056956301</v>
      </c>
      <c r="O91">
        <v>-1.5100000000000001E-2</v>
      </c>
      <c r="P91">
        <f>Levels!M91</f>
        <v>1.3803575827478392</v>
      </c>
      <c r="Q91">
        <f>Levels!N91</f>
        <v>0.18537889204114802</v>
      </c>
      <c r="R91">
        <f>Levels!O91</f>
        <v>0.67720633816841502</v>
      </c>
      <c r="S91">
        <f>Levels!P91</f>
        <v>0.77138888514672799</v>
      </c>
      <c r="T91">
        <f>Levels!Q91</f>
        <v>9914.5650000000005</v>
      </c>
      <c r="U91">
        <f>Levels!S91</f>
        <v>-2.7452693899999998</v>
      </c>
      <c r="V91">
        <f>Levels!T91</f>
        <v>0.52204810800000001</v>
      </c>
      <c r="W91">
        <f>Levels!U91</f>
        <v>-0.37167573100000001</v>
      </c>
      <c r="X91">
        <f>Levels!AB91</f>
        <v>-1.25091108236982</v>
      </c>
    </row>
    <row r="92" spans="1:24" x14ac:dyDescent="0.35">
      <c r="A92" t="str">
        <f>Levels!A92</f>
        <v>1993Q3</v>
      </c>
      <c r="B92">
        <f>Levels!B92/Levels!$R92</f>
        <v>8299.9437108840339</v>
      </c>
      <c r="C92">
        <f>Levels!C92/Levels!$R92</f>
        <v>2026552.7922783059</v>
      </c>
      <c r="D92">
        <f>Levels!D92/Levels!R92</f>
        <v>1711868.4637637362</v>
      </c>
      <c r="E92">
        <f>Levels!V92/Levels!R92</f>
        <v>7884904.2773333052</v>
      </c>
      <c r="F92">
        <f>Levels!E92</f>
        <v>1745.3589999999999</v>
      </c>
      <c r="G92">
        <f>Levels!F92</f>
        <v>6278.3889884269047</v>
      </c>
      <c r="H92">
        <f>Levels!G92</f>
        <v>3.3</v>
      </c>
      <c r="I92">
        <f>Levels!Y92</f>
        <v>0.44159727743153737</v>
      </c>
      <c r="J92">
        <f>Levels!AD92</f>
        <v>-3.8386035356408277E-2</v>
      </c>
      <c r="K92">
        <f>Levels!AC92</f>
        <v>3.06</v>
      </c>
      <c r="L92">
        <f>Levels!I92</f>
        <v>3.8096472619047619</v>
      </c>
      <c r="M92">
        <f>Levels!J92</f>
        <v>2.6618814244325599</v>
      </c>
      <c r="N92">
        <f>Levels!K92</f>
        <v>1.88949545551733</v>
      </c>
      <c r="O92">
        <v>-7.17E-2</v>
      </c>
      <c r="P92">
        <f>Levels!M92</f>
        <v>1.455250763536696</v>
      </c>
      <c r="Q92">
        <f>Levels!N92</f>
        <v>0.16139687689709667</v>
      </c>
      <c r="R92">
        <f>Levels!O92</f>
        <v>0.66421728147375603</v>
      </c>
      <c r="S92">
        <f>Levels!P92</f>
        <v>0.75547423126138502</v>
      </c>
      <c r="T92">
        <f>Levels!Q92</f>
        <v>9961.8729999999996</v>
      </c>
      <c r="U92">
        <f>Levels!S92</f>
        <v>-0.93907281600000003</v>
      </c>
      <c r="V92">
        <f>Levels!T92</f>
        <v>-0.52372391200000001</v>
      </c>
      <c r="W92">
        <f>Levels!U92</f>
        <v>0.14643562299999999</v>
      </c>
      <c r="X92">
        <f>Levels!AB92</f>
        <v>-1.18125288258968</v>
      </c>
    </row>
    <row r="93" spans="1:24" x14ac:dyDescent="0.35">
      <c r="A93" t="str">
        <f>Levels!A93</f>
        <v>1993Q4</v>
      </c>
      <c r="B93">
        <f>Levels!B93/Levels!$R93</f>
        <v>8422.7701911752283</v>
      </c>
      <c r="C93">
        <f>Levels!C93/Levels!$R93</f>
        <v>2059305.4106912841</v>
      </c>
      <c r="D93">
        <f>Levels!D93/Levels!R93</f>
        <v>1789280.4023363355</v>
      </c>
      <c r="E93">
        <f>Levels!V93/Levels!R93</f>
        <v>7973639.1914617717</v>
      </c>
      <c r="F93">
        <f>Levels!E93</f>
        <v>1803.922</v>
      </c>
      <c r="G93">
        <f>Levels!F93</f>
        <v>6326.2596559971071</v>
      </c>
      <c r="H93">
        <f>Levels!G93</f>
        <v>3.6</v>
      </c>
      <c r="I93">
        <f>Levels!Y93</f>
        <v>0.44924979974022439</v>
      </c>
      <c r="J93">
        <f>Levels!AD93</f>
        <v>5.0489214043652586E-2</v>
      </c>
      <c r="K93">
        <f>Levels!AC93</f>
        <v>2.99</v>
      </c>
      <c r="L93">
        <f>Levels!I93</f>
        <v>3.8322153609831027</v>
      </c>
      <c r="M93">
        <f>Levels!J93</f>
        <v>2.6669085573571198</v>
      </c>
      <c r="N93">
        <f>Levels!K93</f>
        <v>2.03101696959496</v>
      </c>
      <c r="O93">
        <v>-0.1414</v>
      </c>
      <c r="P93">
        <f>Levels!M93</f>
        <v>1.5981032446958729</v>
      </c>
      <c r="Q93">
        <f>Levels!N93</f>
        <v>0.16071403513004517</v>
      </c>
      <c r="R93">
        <f>Levels!O93</f>
        <v>0.67881743578427201</v>
      </c>
      <c r="S93">
        <f>Levels!P93</f>
        <v>0.76638006556809402</v>
      </c>
      <c r="T93">
        <f>Levels!Q93</f>
        <v>10097.361999999999</v>
      </c>
      <c r="U93">
        <f>Levels!S93</f>
        <v>0.91548311199999999</v>
      </c>
      <c r="V93">
        <f>Levels!T93</f>
        <v>-1.2975780100000001</v>
      </c>
      <c r="W93">
        <f>Levels!U93</f>
        <v>-0.24301767699999999</v>
      </c>
      <c r="X93">
        <f>Levels!AB93</f>
        <v>-1.16831615443754</v>
      </c>
    </row>
    <row r="94" spans="1:24" x14ac:dyDescent="0.35">
      <c r="A94" t="str">
        <f>Levels!A94</f>
        <v>1994Q1</v>
      </c>
      <c r="B94">
        <f>Levels!B94/Levels!$R94</f>
        <v>8529.7796247783408</v>
      </c>
      <c r="C94">
        <f>Levels!C94/Levels!$R94</f>
        <v>2041106.2961026626</v>
      </c>
      <c r="D94">
        <f>Levels!D94/Levels!R94</f>
        <v>1694635.1035932724</v>
      </c>
      <c r="E94">
        <f>Levels!V94/Levels!R94</f>
        <v>8251469.0120918704</v>
      </c>
      <c r="F94">
        <f>Levels!E94</f>
        <v>1804.884</v>
      </c>
      <c r="G94">
        <f>Levels!F94</f>
        <v>6380.9364197911063</v>
      </c>
      <c r="H94">
        <f>Levels!G94</f>
        <v>3.3</v>
      </c>
      <c r="I94">
        <f>Levels!Y94</f>
        <v>0.50372517051307264</v>
      </c>
      <c r="J94">
        <f>Levels!AD94</f>
        <v>5.703164799156335E-3</v>
      </c>
      <c r="K94">
        <f>Levels!AC94</f>
        <v>3.2133333333333334</v>
      </c>
      <c r="L94">
        <f>Levels!I94</f>
        <v>4.3185468663594477</v>
      </c>
      <c r="M94">
        <f>Levels!J94</f>
        <v>2.6715824816956002</v>
      </c>
      <c r="N94">
        <f>Levels!K94</f>
        <v>2.1625108869015999</v>
      </c>
      <c r="O94">
        <v>-0.3468</v>
      </c>
      <c r="P94">
        <f>Levels!M94</f>
        <v>1.7507048884113998</v>
      </c>
      <c r="Q94">
        <f>Levels!N94</f>
        <v>0.31905910523121067</v>
      </c>
      <c r="R94">
        <f>Levels!O94</f>
        <v>0.69857174664370703</v>
      </c>
      <c r="S94">
        <f>Levels!P94</f>
        <v>0.77997223412143102</v>
      </c>
      <c r="T94">
        <f>Levels!Q94</f>
        <v>10195.338</v>
      </c>
      <c r="U94">
        <f>Levels!S94</f>
        <v>-0.75062329100000003</v>
      </c>
      <c r="V94">
        <f>Levels!T94</f>
        <v>1.4023738189999999</v>
      </c>
      <c r="W94">
        <f>Levels!U94</f>
        <v>-0.20385415600000001</v>
      </c>
      <c r="X94">
        <f>Levels!AB94</f>
        <v>0.23668007308813699</v>
      </c>
    </row>
    <row r="95" spans="1:24" x14ac:dyDescent="0.35">
      <c r="A95" t="str">
        <f>Levels!A95</f>
        <v>1994Q2</v>
      </c>
      <c r="B95">
        <f>Levels!B95/Levels!$R95</f>
        <v>8663.8730196857687</v>
      </c>
      <c r="C95">
        <f>Levels!C95/Levels!$R95</f>
        <v>2031898.4450173439</v>
      </c>
      <c r="D95">
        <f>Levels!D95/Levels!R95</f>
        <v>1709780.4000689811</v>
      </c>
      <c r="E95">
        <f>Levels!V95/Levels!R95</f>
        <v>8311788.2639830876</v>
      </c>
      <c r="F95">
        <f>Levels!E95</f>
        <v>1839.627</v>
      </c>
      <c r="G95">
        <f>Levels!F95</f>
        <v>6429.3835526620005</v>
      </c>
      <c r="H95">
        <f>Levels!G95</f>
        <v>3.8</v>
      </c>
      <c r="I95">
        <f>Levels!Y95</f>
        <v>0.42474000796317118</v>
      </c>
      <c r="J95">
        <f>Levels!AD95</f>
        <v>-1.7621369966899447E-2</v>
      </c>
      <c r="K95">
        <f>Levels!AC95</f>
        <v>3.94</v>
      </c>
      <c r="L95">
        <f>Levels!I95</f>
        <v>5.3264242242703537</v>
      </c>
      <c r="M95">
        <f>Levels!J95</f>
        <v>2.6542554551647202</v>
      </c>
      <c r="N95">
        <f>Levels!K95</f>
        <v>2.2032146152455701</v>
      </c>
      <c r="O95">
        <v>-0.33279999999999998</v>
      </c>
      <c r="P95">
        <f>Levels!M95</f>
        <v>1.8119378270962061</v>
      </c>
      <c r="Q95">
        <f>Levels!N95</f>
        <v>0.18089840707362975</v>
      </c>
      <c r="R95">
        <f>Levels!O95</f>
        <v>0.68383605661564495</v>
      </c>
      <c r="S95">
        <f>Levels!P95</f>
        <v>0.76846057621215003</v>
      </c>
      <c r="T95">
        <f>Levels!Q95</f>
        <v>10333.495000000001</v>
      </c>
      <c r="U95">
        <f>Levels!S95</f>
        <v>-0.69524724699999996</v>
      </c>
      <c r="V95">
        <f>Levels!T95</f>
        <v>1.175708049</v>
      </c>
      <c r="W95">
        <f>Levels!U95</f>
        <v>-1.0484761170000001</v>
      </c>
      <c r="X95">
        <f>Levels!AB95</f>
        <v>-1.5206282742464201</v>
      </c>
    </row>
    <row r="96" spans="1:24" x14ac:dyDescent="0.35">
      <c r="A96" t="str">
        <f>Levels!A96</f>
        <v>1994Q3</v>
      </c>
      <c r="B96">
        <f>Levels!B96/Levels!$R96</f>
        <v>8789.6238019068205</v>
      </c>
      <c r="C96">
        <f>Levels!C96/Levels!$R96</f>
        <v>2036055.8720933113</v>
      </c>
      <c r="D96">
        <f>Levels!D96/Levels!R96</f>
        <v>1740459.6258918871</v>
      </c>
      <c r="E96">
        <f>Levels!V96/Levels!R96</f>
        <v>8352873.2029962828</v>
      </c>
      <c r="F96">
        <f>Levels!E96</f>
        <v>1864.201</v>
      </c>
      <c r="G96">
        <f>Levels!F96</f>
        <v>6488.8916719731569</v>
      </c>
      <c r="H96">
        <f>Levels!G96</f>
        <v>4.4000000000000004</v>
      </c>
      <c r="I96">
        <f>Levels!Y96</f>
        <v>0.56193818028563514</v>
      </c>
      <c r="J96">
        <f>Levels!AD96</f>
        <v>7.2765031738243113E-2</v>
      </c>
      <c r="K96">
        <f>Levels!AC96</f>
        <v>4.4866666666666664</v>
      </c>
      <c r="L96">
        <f>Levels!I96</f>
        <v>5.569209940476191</v>
      </c>
      <c r="M96">
        <f>Levels!J96</f>
        <v>2.66745411529687</v>
      </c>
      <c r="N96">
        <f>Levels!K96</f>
        <v>2.0833291338377999</v>
      </c>
      <c r="O96">
        <v>-0.35099999999999998</v>
      </c>
      <c r="P96">
        <f>Levels!M96</f>
        <v>1.7018250293554109</v>
      </c>
      <c r="Q96">
        <f>Levels!N96</f>
        <v>0.31434643819093733</v>
      </c>
      <c r="R96">
        <f>Levels!O96</f>
        <v>0.67965558213416399</v>
      </c>
      <c r="S96">
        <f>Levels!P96</f>
        <v>0.76452369158573397</v>
      </c>
      <c r="T96">
        <f>Levels!Q96</f>
        <v>10393.897999999999</v>
      </c>
      <c r="U96">
        <f>Levels!S96</f>
        <v>-0.887198339</v>
      </c>
      <c r="V96">
        <f>Levels!T96</f>
        <v>-0.75180988800000004</v>
      </c>
      <c r="W96">
        <f>Levels!U96</f>
        <v>-0.36760087200000002</v>
      </c>
      <c r="X96">
        <f>Levels!AB96</f>
        <v>-0.35906450708243298</v>
      </c>
    </row>
    <row r="97" spans="1:24" x14ac:dyDescent="0.35">
      <c r="A97" t="str">
        <f>Levels!A97</f>
        <v>1994Q4</v>
      </c>
      <c r="B97">
        <f>Levels!B97/Levels!$R97</f>
        <v>8957.7876620267998</v>
      </c>
      <c r="C97">
        <f>Levels!C97/Levels!$R97</f>
        <v>2058756.8475126626</v>
      </c>
      <c r="D97">
        <f>Levels!D97/Levels!R97</f>
        <v>1711405.2940343379</v>
      </c>
      <c r="E97">
        <f>Levels!V97/Levels!R97</f>
        <v>8348597.527508758</v>
      </c>
      <c r="F97">
        <f>Levels!E97</f>
        <v>1895.2539999999999</v>
      </c>
      <c r="G97">
        <f>Levels!F97</f>
        <v>6553.5328881802452</v>
      </c>
      <c r="H97">
        <f>Levels!G97</f>
        <v>3.9</v>
      </c>
      <c r="I97">
        <f>Levels!Y97</f>
        <v>0.95935665026648653</v>
      </c>
      <c r="J97">
        <f>Levels!AD97</f>
        <v>2.6922418233418233E-2</v>
      </c>
      <c r="K97">
        <f>Levels!AC97</f>
        <v>5.166666666666667</v>
      </c>
      <c r="L97">
        <f>Levels!I97</f>
        <v>6.0788788290398124</v>
      </c>
      <c r="M97">
        <f>Levels!J97</f>
        <v>2.6609515292671699</v>
      </c>
      <c r="N97">
        <f>Levels!K97</f>
        <v>2.2261892419806801</v>
      </c>
      <c r="O97">
        <v>-0.30930000000000002</v>
      </c>
      <c r="P97">
        <f>Levels!M97</f>
        <v>1.8761870661484712</v>
      </c>
      <c r="Q97">
        <f>Levels!N97</f>
        <v>6.6904556165946996E-2</v>
      </c>
      <c r="R97">
        <f>Levels!O97</f>
        <v>0.68245327869518202</v>
      </c>
      <c r="S97">
        <f>Levels!P97</f>
        <v>0.76412512712568204</v>
      </c>
      <c r="T97">
        <f>Levels!Q97</f>
        <v>10512.962</v>
      </c>
      <c r="U97">
        <f>Levels!S97</f>
        <v>1.118212429</v>
      </c>
      <c r="V97">
        <f>Levels!T97</f>
        <v>0.14686360200000001</v>
      </c>
      <c r="W97">
        <f>Levels!U97</f>
        <v>-1.5158609540000001</v>
      </c>
      <c r="X97">
        <f>Levels!AB97</f>
        <v>-1.38073208710747</v>
      </c>
    </row>
    <row r="98" spans="1:24" x14ac:dyDescent="0.35">
      <c r="A98" t="str">
        <f>Levels!A98</f>
        <v>1995Q1</v>
      </c>
      <c r="B98">
        <f>Levels!B98/Levels!$R98</f>
        <v>9068.0410438284816</v>
      </c>
      <c r="C98">
        <f>Levels!C98/Levels!$R98</f>
        <v>2100937.313381833</v>
      </c>
      <c r="D98">
        <f>Levels!D98/Levels!R98</f>
        <v>1749021.9072732313</v>
      </c>
      <c r="E98">
        <f>Levels!V98/Levels!R98</f>
        <v>8578535.430006342</v>
      </c>
      <c r="F98">
        <f>Levels!E98</f>
        <v>1931.3969999999999</v>
      </c>
      <c r="G98">
        <f>Levels!F98</f>
        <v>6565.8004274698051</v>
      </c>
      <c r="H98">
        <f>Levels!G98</f>
        <v>3.7</v>
      </c>
      <c r="I98">
        <f>Levels!Y98</f>
        <v>1.0738825716165807</v>
      </c>
      <c r="J98">
        <f>Levels!AD98</f>
        <v>-0.30121094911423807</v>
      </c>
      <c r="K98">
        <f>Levels!AC98</f>
        <v>5.81</v>
      </c>
      <c r="L98">
        <f>Levels!I98</f>
        <v>5.7150319892473123</v>
      </c>
      <c r="M98">
        <f>Levels!J98</f>
        <v>2.68121345648234</v>
      </c>
      <c r="N98">
        <f>Levels!K98</f>
        <v>2.13206345644807</v>
      </c>
      <c r="O98">
        <v>-0.32250000000000001</v>
      </c>
      <c r="P98">
        <f>Levels!M98</f>
        <v>1.7954278102568291</v>
      </c>
      <c r="Q98">
        <f>Levels!N98</f>
        <v>0.37711615392518399</v>
      </c>
      <c r="R98">
        <f>Levels!O98</f>
        <v>0.692321770835299</v>
      </c>
      <c r="S98">
        <f>Levels!P98</f>
        <v>0.747637238227983</v>
      </c>
      <c r="T98">
        <f>Levels!Q98</f>
        <v>10550.251</v>
      </c>
      <c r="U98">
        <f>Levels!S98</f>
        <v>-1.987907482</v>
      </c>
      <c r="V98">
        <f>Levels!T98</f>
        <v>-0.86267848199999997</v>
      </c>
      <c r="W98">
        <f>Levels!U98</f>
        <v>-0.49292129200000001</v>
      </c>
      <c r="X98">
        <f>Levels!AB98</f>
        <v>-1.03634835309352</v>
      </c>
    </row>
    <row r="99" spans="1:24" x14ac:dyDescent="0.35">
      <c r="A99" t="str">
        <f>Levels!A99</f>
        <v>1995Q2</v>
      </c>
      <c r="B99">
        <f>Levels!B99/Levels!$R99</f>
        <v>9235.112930487061</v>
      </c>
      <c r="C99">
        <f>Levels!C99/Levels!$R99</f>
        <v>2115526.3330249093</v>
      </c>
      <c r="D99">
        <f>Levels!D99/Levels!R99</f>
        <v>1797375.9673105383</v>
      </c>
      <c r="E99">
        <f>Levels!V99/Levels!R99</f>
        <v>8751049.91898508</v>
      </c>
      <c r="F99">
        <f>Levels!E99</f>
        <v>1931.7860000000001</v>
      </c>
      <c r="G99">
        <f>Levels!F99</f>
        <v>6624.0545861737419</v>
      </c>
      <c r="H99">
        <f>Levels!G99</f>
        <v>1.9</v>
      </c>
      <c r="I99">
        <f>Levels!Y99</f>
        <v>0.93020125642710949</v>
      </c>
      <c r="J99">
        <f>Levels!AD99</f>
        <v>0.17312636415239946</v>
      </c>
      <c r="K99">
        <f>Levels!AC99</f>
        <v>6.02</v>
      </c>
      <c r="L99">
        <f>Levels!I99</f>
        <v>4.8469108730158732</v>
      </c>
      <c r="M99">
        <f>Levels!J99</f>
        <v>2.72574370532163</v>
      </c>
      <c r="N99">
        <f>Levels!K99</f>
        <v>1.88773119194459</v>
      </c>
      <c r="O99">
        <v>-0.28749999999999998</v>
      </c>
      <c r="P99">
        <f>Levels!M99</f>
        <v>1.566493122600336</v>
      </c>
      <c r="Q99">
        <f>Levels!N99</f>
        <v>0.24161947065014935</v>
      </c>
      <c r="R99">
        <f>Levels!O99</f>
        <v>0.69135043207751701</v>
      </c>
      <c r="S99">
        <f>Levels!P99</f>
        <v>0.74928917269819495</v>
      </c>
      <c r="T99">
        <f>Levels!Q99</f>
        <v>10581.723</v>
      </c>
      <c r="U99">
        <f>Levels!S99</f>
        <v>-0.94039405899999995</v>
      </c>
      <c r="V99">
        <f>Levels!T99</f>
        <v>0.81374468799999999</v>
      </c>
      <c r="W99">
        <f>Levels!U99</f>
        <v>0.42017692600000001</v>
      </c>
      <c r="X99">
        <f>Levels!AB99</f>
        <v>-0.71682413434175996</v>
      </c>
    </row>
    <row r="100" spans="1:24" x14ac:dyDescent="0.35">
      <c r="A100" t="str">
        <f>Levels!A100</f>
        <v>1995Q3</v>
      </c>
      <c r="B100">
        <f>Levels!B100/Levels!$R100</f>
        <v>9379.4051895162993</v>
      </c>
      <c r="C100">
        <f>Levels!C100/Levels!$R100</f>
        <v>2114839.2484448184</v>
      </c>
      <c r="D100">
        <f>Levels!D100/Levels!R100</f>
        <v>1850493.642255747</v>
      </c>
      <c r="E100">
        <f>Levels!V100/Levels!R100</f>
        <v>8849062.7341696471</v>
      </c>
      <c r="F100">
        <f>Levels!E100</f>
        <v>1947.3230000000001</v>
      </c>
      <c r="G100">
        <f>Levels!F100</f>
        <v>6674.6783434814633</v>
      </c>
      <c r="H100">
        <f>Levels!G100</f>
        <v>1.9</v>
      </c>
      <c r="I100">
        <f>Levels!Y100</f>
        <v>0.54927916257591369</v>
      </c>
      <c r="J100">
        <f>Levels!AD100</f>
        <v>9.9432173813437164E-2</v>
      </c>
      <c r="K100">
        <f>Levels!AC100</f>
        <v>5.7966666666666669</v>
      </c>
      <c r="L100">
        <f>Levels!I100</f>
        <v>4.5740070634920631</v>
      </c>
      <c r="M100">
        <f>Levels!J100</f>
        <v>2.7585374093149402</v>
      </c>
      <c r="N100">
        <f>Levels!K100</f>
        <v>1.7783560350187499</v>
      </c>
      <c r="O100">
        <v>-0.27039999999999997</v>
      </c>
      <c r="P100">
        <f>Levels!M100</f>
        <v>1.497858824481749</v>
      </c>
      <c r="Q100">
        <f>Levels!N100</f>
        <v>0.15283391766467366</v>
      </c>
      <c r="R100">
        <f>Levels!O100</f>
        <v>0.68797938321694696</v>
      </c>
      <c r="S100">
        <f>Levels!P100</f>
        <v>0.76428001301675397</v>
      </c>
      <c r="T100">
        <f>Levels!Q100</f>
        <v>10671.737999999999</v>
      </c>
      <c r="U100">
        <f>Levels!S100</f>
        <v>-0.61824621800000001</v>
      </c>
      <c r="V100">
        <f>Levels!T100</f>
        <v>0.56677300200000003</v>
      </c>
      <c r="W100">
        <f>Levels!U100</f>
        <v>-0.123132644</v>
      </c>
      <c r="X100">
        <f>Levels!AB100</f>
        <v>-0.91104575076372296</v>
      </c>
    </row>
    <row r="101" spans="1:24" x14ac:dyDescent="0.35">
      <c r="A101" t="str">
        <f>Levels!A101</f>
        <v>1995Q4</v>
      </c>
      <c r="B101">
        <f>Levels!B101/Levels!$R101</f>
        <v>9533.2786414190086</v>
      </c>
      <c r="C101">
        <f>Levels!C101/Levels!$R101</f>
        <v>2151081.4543302916</v>
      </c>
      <c r="D101">
        <f>Levels!D101/Levels!R101</f>
        <v>1866158.7096689409</v>
      </c>
      <c r="E101">
        <f>Levels!V101/Levels!R101</f>
        <v>9029930.7230005916</v>
      </c>
      <c r="F101">
        <f>Levels!E101</f>
        <v>1975.1890000000001</v>
      </c>
      <c r="G101">
        <f>Levels!F101</f>
        <v>6715.2137777194075</v>
      </c>
      <c r="H101">
        <f>Levels!G101</f>
        <v>1.7</v>
      </c>
      <c r="I101">
        <f>Levels!Y101</f>
        <v>0.12326700860818676</v>
      </c>
      <c r="J101">
        <f>Levels!AD101</f>
        <v>-4.3126120790870193E-2</v>
      </c>
      <c r="K101">
        <f>Levels!AC101</f>
        <v>5.72</v>
      </c>
      <c r="L101">
        <f>Levels!I101</f>
        <v>4.1426207680491549</v>
      </c>
      <c r="M101">
        <f>Levels!J101</f>
        <v>2.7817375003006499</v>
      </c>
      <c r="N101">
        <f>Levels!K101</f>
        <v>1.6455842756179799</v>
      </c>
      <c r="O101">
        <v>-0.1201</v>
      </c>
      <c r="P101">
        <f>Levels!M101</f>
        <v>1.3867922879869889</v>
      </c>
      <c r="Q101">
        <f>Levels!N101</f>
        <v>6.5401593931738833E-2</v>
      </c>
      <c r="R101">
        <f>Levels!O101</f>
        <v>0.69894249709347001</v>
      </c>
      <c r="S101">
        <f>Levels!P101</f>
        <v>0.77265703189059798</v>
      </c>
      <c r="T101">
        <f>Levels!Q101</f>
        <v>10744.203</v>
      </c>
      <c r="U101">
        <f>Levels!S101</f>
        <v>-0.68322606699999999</v>
      </c>
      <c r="V101">
        <f>Levels!T101</f>
        <v>-2.1615687399999999</v>
      </c>
      <c r="W101">
        <f>Levels!U101</f>
        <v>-0.66684257199999997</v>
      </c>
      <c r="X101">
        <f>Levels!AB101</f>
        <v>-0.83253303161931702</v>
      </c>
    </row>
    <row r="102" spans="1:24" x14ac:dyDescent="0.35">
      <c r="A102" t="str">
        <f>Levels!A102</f>
        <v>1996Q1</v>
      </c>
      <c r="B102">
        <f>Levels!B102/Levels!$R102</f>
        <v>9664.9940990161704</v>
      </c>
      <c r="C102">
        <f>Levels!C102/Levels!$R102</f>
        <v>2171031.6988225323</v>
      </c>
      <c r="D102">
        <f>Levels!D102/Levels!R102</f>
        <v>1902292.3291026927</v>
      </c>
      <c r="E102">
        <f>Levels!V102/Levels!R102</f>
        <v>9245145.1189752985</v>
      </c>
      <c r="F102">
        <f>Levels!E102</f>
        <v>2025.7840000000001</v>
      </c>
      <c r="G102">
        <f>Levels!F102</f>
        <v>6778.9349563008245</v>
      </c>
      <c r="H102">
        <f>Levels!G102</f>
        <v>1.5</v>
      </c>
      <c r="I102">
        <f>Levels!Y102</f>
        <v>0.1219780698803689</v>
      </c>
      <c r="J102">
        <f>Levels!AD102</f>
        <v>-1.642035480044679E-2</v>
      </c>
      <c r="K102">
        <f>Levels!AC102</f>
        <v>5.3633333333333333</v>
      </c>
      <c r="L102">
        <f>Levels!I102</f>
        <v>4.1464048233486936</v>
      </c>
      <c r="M102">
        <f>Levels!J102</f>
        <v>2.80400750337424</v>
      </c>
      <c r="N102">
        <f>Levels!K102</f>
        <v>1.5894899492245</v>
      </c>
      <c r="O102">
        <v>-0.25900000000000001</v>
      </c>
      <c r="P102">
        <f>Levels!M102</f>
        <v>1.3282795464189661</v>
      </c>
      <c r="Q102">
        <f>Levels!N102</f>
        <v>0.47553854961046133</v>
      </c>
      <c r="R102">
        <f>Levels!O102</f>
        <v>0.72915376477014404</v>
      </c>
      <c r="S102">
        <f>Levels!P102</f>
        <v>0.77005236095817398</v>
      </c>
      <c r="T102">
        <f>Levels!Q102</f>
        <v>10824.674000000001</v>
      </c>
      <c r="U102">
        <f>Levels!S102</f>
        <v>-0.182575141</v>
      </c>
      <c r="V102">
        <f>Levels!T102</f>
        <v>0.29310753899999997</v>
      </c>
      <c r="W102">
        <f>Levels!U102</f>
        <v>0.23161847999999999</v>
      </c>
      <c r="X102">
        <f>Levels!AB102</f>
        <v>-0.13126592581777899</v>
      </c>
    </row>
    <row r="103" spans="1:24" x14ac:dyDescent="0.35">
      <c r="A103" t="str">
        <f>Levels!A103</f>
        <v>1996Q2</v>
      </c>
      <c r="B103">
        <f>Levels!B103/Levels!$R103</f>
        <v>9836.1888953059333</v>
      </c>
      <c r="C103">
        <f>Levels!C103/Levels!$R103</f>
        <v>2130339.7883558101</v>
      </c>
      <c r="D103">
        <f>Levels!D103/Levels!R103</f>
        <v>1915714.779729998</v>
      </c>
      <c r="E103">
        <f>Levels!V103/Levels!R103</f>
        <v>9316602.7565038055</v>
      </c>
      <c r="F103">
        <f>Levels!E103</f>
        <v>2080.6190000000001</v>
      </c>
      <c r="G103">
        <f>Levels!F103</f>
        <v>6863.7997370611329</v>
      </c>
      <c r="H103">
        <f>Levels!G103</f>
        <v>2.6</v>
      </c>
      <c r="I103">
        <f>Levels!Y103</f>
        <v>0.10273347620128415</v>
      </c>
      <c r="J103">
        <f>Levels!AD103</f>
        <v>3.6641016304750362E-3</v>
      </c>
      <c r="K103">
        <f>Levels!AC103</f>
        <v>5.2433333333333332</v>
      </c>
      <c r="L103">
        <f>Levels!I103</f>
        <v>4.9350294047619041</v>
      </c>
      <c r="M103">
        <f>Levels!J103</f>
        <v>2.8163513521641299</v>
      </c>
      <c r="N103">
        <f>Levels!K103</f>
        <v>1.4868883223673901</v>
      </c>
      <c r="O103">
        <v>-0.30649999999999999</v>
      </c>
      <c r="P103">
        <f>Levels!M103</f>
        <v>1.229806454678521</v>
      </c>
      <c r="Q103">
        <f>Levels!N103</f>
        <v>0.21371733159460482</v>
      </c>
      <c r="R103">
        <f>Levels!O103</f>
        <v>0.69743032793811799</v>
      </c>
      <c r="S103">
        <f>Levels!P103</f>
        <v>0.81908060130673299</v>
      </c>
      <c r="T103">
        <f>Levels!Q103</f>
        <v>11005.217000000001</v>
      </c>
      <c r="U103">
        <f>Levels!S103</f>
        <v>0.67824847600000004</v>
      </c>
      <c r="V103">
        <f>Levels!T103</f>
        <v>2.426356438</v>
      </c>
      <c r="W103">
        <f>Levels!U103</f>
        <v>0.58195806100000003</v>
      </c>
      <c r="X103">
        <f>Levels!AB103</f>
        <v>0.246515703111265</v>
      </c>
    </row>
    <row r="104" spans="1:24" x14ac:dyDescent="0.35">
      <c r="A104" t="str">
        <f>Levels!A104</f>
        <v>1996Q3</v>
      </c>
      <c r="B104">
        <f>Levels!B104/Levels!$R104</f>
        <v>9981.0404742767605</v>
      </c>
      <c r="C104">
        <f>Levels!C104/Levels!$R104</f>
        <v>2129004.2221016986</v>
      </c>
      <c r="D104">
        <f>Levels!D104/Levels!R104</f>
        <v>1950743.0045999556</v>
      </c>
      <c r="E104">
        <f>Levels!V104/Levels!R104</f>
        <v>9519496.4541136064</v>
      </c>
      <c r="F104">
        <f>Levels!E104</f>
        <v>2122.1550000000002</v>
      </c>
      <c r="G104">
        <f>Levels!F104</f>
        <v>6902.659051404733</v>
      </c>
      <c r="H104">
        <f>Levels!G104</f>
        <v>2.2000000000000002</v>
      </c>
      <c r="I104">
        <f>Levels!Y104</f>
        <v>0.56025367960929195</v>
      </c>
      <c r="J104">
        <f>Levels!AD104</f>
        <v>9.0277633889028763E-3</v>
      </c>
      <c r="K104">
        <f>Levels!AC104</f>
        <v>5.3066666666666666</v>
      </c>
      <c r="L104">
        <f>Levels!I104</f>
        <v>4.9848608333333333</v>
      </c>
      <c r="M104">
        <f>Levels!J104</f>
        <v>2.83217777750956</v>
      </c>
      <c r="N104">
        <f>Levels!K104</f>
        <v>1.53705478478499</v>
      </c>
      <c r="O104">
        <v>-0.41449999999999998</v>
      </c>
      <c r="P104">
        <f>Levels!M104</f>
        <v>1.2903900899335501</v>
      </c>
      <c r="Q104">
        <f>Levels!N104</f>
        <v>0.23346512824229065</v>
      </c>
      <c r="R104">
        <f>Levels!O104</f>
        <v>0.68023159148199297</v>
      </c>
      <c r="S104">
        <f>Levels!P104</f>
        <v>0.86368306415057094</v>
      </c>
      <c r="T104">
        <f>Levels!Q104</f>
        <v>11103.934999999999</v>
      </c>
      <c r="U104">
        <f>Levels!S104</f>
        <v>-1.5721951789999999</v>
      </c>
      <c r="V104">
        <f>Levels!T104</f>
        <v>0.88378279900000001</v>
      </c>
      <c r="W104">
        <f>Levels!U104</f>
        <v>-0.57673947999999997</v>
      </c>
      <c r="X104">
        <f>Levels!AB104</f>
        <v>-0.71177571888563196</v>
      </c>
    </row>
    <row r="105" spans="1:24" x14ac:dyDescent="0.35">
      <c r="A105" t="str">
        <f>Levels!A105</f>
        <v>1996Q4</v>
      </c>
      <c r="B105">
        <f>Levels!B105/Levels!$R105</f>
        <v>10113.895641316387</v>
      </c>
      <c r="C105">
        <f>Levels!C105/Levels!$R105</f>
        <v>2106552.027872168</v>
      </c>
      <c r="D105">
        <f>Levels!D105/Levels!R105</f>
        <v>2009440.0812914884</v>
      </c>
      <c r="E105">
        <f>Levels!V105/Levels!R105</f>
        <v>9764263.1648605205</v>
      </c>
      <c r="F105">
        <f>Levels!E105</f>
        <v>2153.0729999999999</v>
      </c>
      <c r="G105">
        <f>Levels!F105</f>
        <v>6973.0358227773759</v>
      </c>
      <c r="H105">
        <f>Levels!G105</f>
        <v>3.1</v>
      </c>
      <c r="I105">
        <f>Levels!Y105</f>
        <v>0.7465394199695522</v>
      </c>
      <c r="J105">
        <f>Levels!AD105</f>
        <v>1.0339861716663901E-2</v>
      </c>
      <c r="K105">
        <f>Levels!AC105</f>
        <v>5.28</v>
      </c>
      <c r="L105">
        <f>Levels!I105</f>
        <v>4.5478806912442398</v>
      </c>
      <c r="M105">
        <f>Levels!J105</f>
        <v>2.8689089820595699</v>
      </c>
      <c r="N105">
        <f>Levels!K105</f>
        <v>1.4720711473763299</v>
      </c>
      <c r="O105">
        <v>-0.39529999999999998</v>
      </c>
      <c r="P105">
        <f>Levels!M105</f>
        <v>1.1944183479365869</v>
      </c>
      <c r="Q105">
        <f>Levels!N105</f>
        <v>0.16879012084726333</v>
      </c>
      <c r="R105">
        <f>Levels!O105</f>
        <v>0.67828777582256505</v>
      </c>
      <c r="S105">
        <f>Levels!P105</f>
        <v>0.85718108566838302</v>
      </c>
      <c r="T105">
        <f>Levels!Q105</f>
        <v>11219.237999999999</v>
      </c>
      <c r="U105">
        <f>Levels!S105</f>
        <v>3.3499938999999999E-2</v>
      </c>
      <c r="V105">
        <f>Levels!T105</f>
        <v>0.244489334</v>
      </c>
      <c r="W105">
        <f>Levels!U105</f>
        <v>8.8911902000000001E-2</v>
      </c>
      <c r="X105">
        <f>Levels!AB105</f>
        <v>0.34874056694449801</v>
      </c>
    </row>
    <row r="106" spans="1:24" x14ac:dyDescent="0.35">
      <c r="A106" t="str">
        <f>Levels!A106</f>
        <v>1997Q1</v>
      </c>
      <c r="B106">
        <f>Levels!B106/Levels!$R106</f>
        <v>10240.450775276013</v>
      </c>
      <c r="C106">
        <f>Levels!C106/Levels!$R106</f>
        <v>2069897.7308222803</v>
      </c>
      <c r="D106">
        <f>Levels!D106/Levels!R106</f>
        <v>2092045.5993611794</v>
      </c>
      <c r="E106">
        <f>Levels!V106/Levels!R106</f>
        <v>10107206.17423686</v>
      </c>
      <c r="F106">
        <f>Levels!E106</f>
        <v>2178.1060000000002</v>
      </c>
      <c r="G106">
        <f>Levels!F106</f>
        <v>7044.1018679251583</v>
      </c>
      <c r="H106">
        <f>Levels!G106</f>
        <v>3.8</v>
      </c>
      <c r="I106">
        <f>Levels!Y106</f>
        <v>0.83473258317480459</v>
      </c>
      <c r="J106">
        <f>Levels!AD106</f>
        <v>-3.5578332478047869E-3</v>
      </c>
      <c r="K106">
        <f>Levels!AC106</f>
        <v>5.2766666666666664</v>
      </c>
      <c r="L106">
        <f>Levels!I106</f>
        <v>4.756294761904762</v>
      </c>
      <c r="M106">
        <f>Levels!J106</f>
        <v>2.8951271604977502</v>
      </c>
      <c r="N106">
        <f>Levels!K106</f>
        <v>1.3560216406576</v>
      </c>
      <c r="O106">
        <v>-0.45319999999999999</v>
      </c>
      <c r="P106">
        <f>Levels!M106</f>
        <v>1.0889172622717589</v>
      </c>
      <c r="Q106">
        <f>Levels!N106</f>
        <v>0.29338427817469603</v>
      </c>
      <c r="R106">
        <f>Levels!O106</f>
        <v>0.67902340252583004</v>
      </c>
      <c r="S106">
        <f>Levels!P106</f>
        <v>0.88148382362704503</v>
      </c>
      <c r="T106">
        <f>Levels!Q106</f>
        <v>11291.665000000001</v>
      </c>
      <c r="U106">
        <f>Levels!S106</f>
        <v>0.81111497499999996</v>
      </c>
      <c r="V106">
        <f>Levels!T106</f>
        <v>1.269755161</v>
      </c>
      <c r="W106">
        <f>Levels!U106</f>
        <v>0.82396036100000003</v>
      </c>
      <c r="X106">
        <f>Levels!AB106</f>
        <v>0.27185527050417602</v>
      </c>
    </row>
    <row r="107" spans="1:24" x14ac:dyDescent="0.35">
      <c r="A107" t="str">
        <f>Levels!A107</f>
        <v>1997Q2</v>
      </c>
      <c r="B107">
        <f>Levels!B107/Levels!$R107</f>
        <v>10427.545006979733</v>
      </c>
      <c r="C107">
        <f>Levels!C107/Levels!$R107</f>
        <v>2067276.3373272666</v>
      </c>
      <c r="D107">
        <f>Levels!D107/Levels!R107</f>
        <v>2158012.5450925734</v>
      </c>
      <c r="E107">
        <f>Levels!V107/Levels!R107</f>
        <v>10265988.387831576</v>
      </c>
      <c r="F107">
        <f>Levels!E107</f>
        <v>2215.5540000000001</v>
      </c>
      <c r="G107">
        <f>Levels!F107</f>
        <v>7059.8739877076532</v>
      </c>
      <c r="H107">
        <f>Levels!G107</f>
        <v>3.3</v>
      </c>
      <c r="I107">
        <f>Levels!Y107</f>
        <v>0.54520729515961686</v>
      </c>
      <c r="J107">
        <f>Levels!AD107</f>
        <v>-1.8314676119385309E-2</v>
      </c>
      <c r="K107">
        <f>Levels!AC107</f>
        <v>5.5233333333333334</v>
      </c>
      <c r="L107">
        <f>Levels!I107</f>
        <v>4.8857598809523806</v>
      </c>
      <c r="M107">
        <f>Levels!J107</f>
        <v>2.92816780276753</v>
      </c>
      <c r="N107">
        <f>Levels!K107</f>
        <v>1.2673346926861799</v>
      </c>
      <c r="O107">
        <v>-0.46360000000000001</v>
      </c>
      <c r="P107">
        <f>Levels!M107</f>
        <v>1.0236292217316219</v>
      </c>
      <c r="Q107">
        <f>Levels!N107</f>
        <v>6.2499983754434302E-2</v>
      </c>
      <c r="R107">
        <f>Levels!O107</f>
        <v>0.67688741265795604</v>
      </c>
      <c r="S107">
        <f>Levels!P107</f>
        <v>0.92709206636101205</v>
      </c>
      <c r="T107">
        <f>Levels!Q107</f>
        <v>11479.33</v>
      </c>
      <c r="U107">
        <f>Levels!S107</f>
        <v>-0.71080252700000002</v>
      </c>
      <c r="V107">
        <f>Levels!T107</f>
        <v>1.012517941</v>
      </c>
      <c r="W107">
        <f>Levels!U107</f>
        <v>0.25995473200000002</v>
      </c>
      <c r="X107">
        <f>Levels!AB107</f>
        <v>0.53950952260743401</v>
      </c>
    </row>
    <row r="108" spans="1:24" x14ac:dyDescent="0.35">
      <c r="A108" t="str">
        <f>Levels!A108</f>
        <v>1997Q3</v>
      </c>
      <c r="B108">
        <f>Levels!B108/Levels!$R108</f>
        <v>10656.452802495802</v>
      </c>
      <c r="C108">
        <f>Levels!C108/Levels!$R108</f>
        <v>2088579.3895119929</v>
      </c>
      <c r="D108">
        <f>Levels!D108/Levels!R108</f>
        <v>2223180.1260202294</v>
      </c>
      <c r="E108">
        <f>Levels!V108/Levels!R108</f>
        <v>10587751.929651704</v>
      </c>
      <c r="F108">
        <f>Levels!E108</f>
        <v>2288.4540000000002</v>
      </c>
      <c r="G108">
        <f>Levels!F108</f>
        <v>7164.149163657773</v>
      </c>
      <c r="H108">
        <f>Levels!G108</f>
        <v>3.1</v>
      </c>
      <c r="I108">
        <f>Levels!Y108</f>
        <v>0.35090495021899382</v>
      </c>
      <c r="J108">
        <f>Levels!AD108</f>
        <v>9.5986011369331159E-4</v>
      </c>
      <c r="K108">
        <f>Levels!AC108</f>
        <v>5.5333333333333332</v>
      </c>
      <c r="L108">
        <f>Levels!I108</f>
        <v>4.4198310714285718</v>
      </c>
      <c r="M108">
        <f>Levels!J108</f>
        <v>2.9723981990622099</v>
      </c>
      <c r="N108">
        <f>Levels!K108</f>
        <v>0.973060396770564</v>
      </c>
      <c r="O108">
        <v>-0.54500000000000004</v>
      </c>
      <c r="P108">
        <f>Levels!M108</f>
        <v>0.73442412086430697</v>
      </c>
      <c r="Q108">
        <f>Levels!N108</f>
        <v>0.18681272346220335</v>
      </c>
      <c r="R108">
        <f>Levels!O108</f>
        <v>0.68357888273382095</v>
      </c>
      <c r="S108">
        <f>Levels!P108</f>
        <v>0.94204045119232305</v>
      </c>
      <c r="T108">
        <f>Levels!Q108</f>
        <v>11622.911</v>
      </c>
      <c r="U108">
        <f>Levels!S108</f>
        <v>1.84372716</v>
      </c>
      <c r="V108">
        <f>Levels!T108</f>
        <v>1.749399237</v>
      </c>
      <c r="W108">
        <f>Levels!U108</f>
        <v>-0.196302535</v>
      </c>
      <c r="X108">
        <f>Levels!AB108</f>
        <v>1.1444527420056001</v>
      </c>
    </row>
    <row r="109" spans="1:24" x14ac:dyDescent="0.35">
      <c r="A109" t="str">
        <f>Levels!A109</f>
        <v>1997Q4</v>
      </c>
      <c r="B109">
        <f>Levels!B109/Levels!$R109</f>
        <v>10846.748669426588</v>
      </c>
      <c r="C109">
        <f>Levels!C109/Levels!$R109</f>
        <v>2187871.169277105</v>
      </c>
      <c r="D109">
        <f>Levels!D109/Levels!R109</f>
        <v>2251084.5647558453</v>
      </c>
      <c r="E109">
        <f>Levels!V109/Levels!R109</f>
        <v>10798754.665947376</v>
      </c>
      <c r="F109">
        <f>Levels!E109</f>
        <v>2301.413</v>
      </c>
      <c r="G109">
        <f>Levels!F109</f>
        <v>7241.3351460612002</v>
      </c>
      <c r="H109">
        <f>Levels!G109</f>
        <v>2.4</v>
      </c>
      <c r="I109">
        <f>Levels!Y109</f>
        <v>0.63781404546859233</v>
      </c>
      <c r="J109">
        <f>Levels!AD109</f>
        <v>6.2637575590265282E-3</v>
      </c>
      <c r="K109">
        <f>Levels!AC109</f>
        <v>5.5066666666666668</v>
      </c>
      <c r="L109">
        <f>Levels!I109</f>
        <v>4.074006513056835</v>
      </c>
      <c r="M109">
        <f>Levels!J109</f>
        <v>2.9779853331789399</v>
      </c>
      <c r="N109">
        <f>Levels!K109</f>
        <v>0.94997300235961701</v>
      </c>
      <c r="O109">
        <v>-0.44519999999999998</v>
      </c>
      <c r="P109">
        <f>Levels!M109</f>
        <v>0.73538177968493001</v>
      </c>
      <c r="Q109">
        <f>Levels!N109</f>
        <v>2.0806253469888E-2</v>
      </c>
      <c r="R109">
        <f>Levels!O109</f>
        <v>0.68409971180823403</v>
      </c>
      <c r="S109">
        <f>Levels!P109</f>
        <v>0.93585973545346302</v>
      </c>
      <c r="T109">
        <f>Levels!Q109</f>
        <v>11722.722</v>
      </c>
      <c r="U109">
        <f>Levels!S109</f>
        <v>0.93443026299999998</v>
      </c>
      <c r="V109">
        <f>Levels!T109</f>
        <v>8.6475317999999995E-2</v>
      </c>
      <c r="W109">
        <f>Levels!U109</f>
        <v>-0.91300994800000002</v>
      </c>
      <c r="X109">
        <f>Levels!AB109</f>
        <v>0.61316320270102398</v>
      </c>
    </row>
    <row r="110" spans="1:24" x14ac:dyDescent="0.35">
      <c r="A110" t="str">
        <f>Levels!A110</f>
        <v>1998Q1</v>
      </c>
      <c r="B110">
        <f>Levels!B110/Levels!$R110</f>
        <v>11062.839484336979</v>
      </c>
      <c r="C110">
        <f>Levels!C110/Levels!$R110</f>
        <v>2195232.4536446198</v>
      </c>
      <c r="D110">
        <f>Levels!D110/Levels!R110</f>
        <v>2402518.9034578013</v>
      </c>
      <c r="E110">
        <f>Levels!V110/Levels!R110</f>
        <v>11172833.649125662</v>
      </c>
      <c r="F110">
        <f>Levels!E110</f>
        <v>2357.5500000000002</v>
      </c>
      <c r="G110">
        <f>Levels!F110</f>
        <v>7288.2797622823791</v>
      </c>
      <c r="H110">
        <f>Levels!G110</f>
        <v>2.2000000000000002</v>
      </c>
      <c r="I110">
        <f>Levels!Y110</f>
        <v>0.64183451313276396</v>
      </c>
      <c r="J110">
        <f>Levels!AD110</f>
        <v>-1.6610423449397116E-2</v>
      </c>
      <c r="K110">
        <f>Levels!AC110</f>
        <v>5.52</v>
      </c>
      <c r="L110">
        <f>Levels!I110</f>
        <v>3.7425883684621386</v>
      </c>
      <c r="M110">
        <f>Levels!J110</f>
        <v>3.0087084762385601</v>
      </c>
      <c r="N110">
        <f>Levels!K110</f>
        <v>0.41185175786984102</v>
      </c>
      <c r="O110">
        <v>-0.378</v>
      </c>
      <c r="P110">
        <f>Levels!M110</f>
        <v>0.23467060799142703</v>
      </c>
      <c r="Q110">
        <f>Levels!N110</f>
        <v>0.185643990886772</v>
      </c>
      <c r="R110">
        <f>Levels!O110</f>
        <v>0.69303898080433102</v>
      </c>
      <c r="S110">
        <f>Levels!P110</f>
        <v>0.96110029965277199</v>
      </c>
      <c r="T110">
        <f>Levels!Q110</f>
        <v>11839.876</v>
      </c>
      <c r="U110">
        <f>Levels!S110</f>
        <v>-0.67978734100000004</v>
      </c>
      <c r="V110">
        <f>Levels!T110</f>
        <v>0.74531894600000004</v>
      </c>
      <c r="W110">
        <f>Levels!U110</f>
        <v>1.309357678</v>
      </c>
      <c r="X110">
        <f>Levels!AB110</f>
        <v>-0.48577064053932301</v>
      </c>
    </row>
    <row r="111" spans="1:24" x14ac:dyDescent="0.35">
      <c r="A111" t="str">
        <f>Levels!A111</f>
        <v>1998Q2</v>
      </c>
      <c r="B111">
        <f>Levels!B111/Levels!$R111</f>
        <v>11377.004893724319</v>
      </c>
      <c r="C111">
        <f>Levels!C111/Levels!$R111</f>
        <v>2121631.0854534307</v>
      </c>
      <c r="D111">
        <f>Levels!D111/Levels!R111</f>
        <v>2458441.7537597539</v>
      </c>
      <c r="E111">
        <f>Levels!V111/Levels!R111</f>
        <v>11255331.073464394</v>
      </c>
      <c r="F111">
        <f>Levels!E111</f>
        <v>2435.2759999999998</v>
      </c>
      <c r="G111">
        <f>Levels!F111</f>
        <v>7404.5638670749349</v>
      </c>
      <c r="H111">
        <f>Levels!G111</f>
        <v>2.2000000000000002</v>
      </c>
      <c r="I111">
        <f>Levels!Y111</f>
        <v>0.58537995325970771</v>
      </c>
      <c r="J111">
        <f>Levels!AD111</f>
        <v>-6.8001745762813481E-4</v>
      </c>
      <c r="K111">
        <f>Levels!AC111</f>
        <v>5.5</v>
      </c>
      <c r="L111">
        <f>Levels!I111</f>
        <v>3.7256696825396824</v>
      </c>
      <c r="M111">
        <f>Levels!J111</f>
        <v>3.0496888802847</v>
      </c>
      <c r="N111">
        <f>Levels!K111</f>
        <v>0.25002792404103003</v>
      </c>
      <c r="O111">
        <v>-0.43880000000000002</v>
      </c>
      <c r="P111">
        <f>Levels!M111</f>
        <v>0.11466106903830203</v>
      </c>
      <c r="Q111">
        <f>Levels!N111</f>
        <v>0.16414078362291032</v>
      </c>
      <c r="R111">
        <f>Levels!O111</f>
        <v>0.71465048729345704</v>
      </c>
      <c r="S111">
        <f>Levels!P111</f>
        <v>1.03203041496791</v>
      </c>
      <c r="T111">
        <f>Levels!Q111</f>
        <v>11949.492</v>
      </c>
      <c r="U111">
        <f>Levels!S111</f>
        <v>1.0817925070000001</v>
      </c>
      <c r="V111">
        <f>Levels!T111</f>
        <v>0.14281203100000001</v>
      </c>
      <c r="W111">
        <f>Levels!U111</f>
        <v>3.5973865190000001</v>
      </c>
      <c r="X111">
        <f>Levels!AB111</f>
        <v>-0.43123422161400299</v>
      </c>
    </row>
    <row r="112" spans="1:24" x14ac:dyDescent="0.35">
      <c r="A112" t="str">
        <f>Levels!A112</f>
        <v>1998Q3</v>
      </c>
      <c r="B112">
        <f>Levels!B112/Levels!$R112</f>
        <v>11604.657598862233</v>
      </c>
      <c r="C112">
        <f>Levels!C112/Levels!$R112</f>
        <v>2145565.9066258403</v>
      </c>
      <c r="D112">
        <f>Levels!D112/Levels!R112</f>
        <v>2446038.3568359134</v>
      </c>
      <c r="E112">
        <f>Levels!V112/Levels!R112</f>
        <v>11378696.9810388</v>
      </c>
      <c r="F112">
        <f>Levels!E112</f>
        <v>2488.2939999999999</v>
      </c>
      <c r="G112">
        <f>Levels!F112</f>
        <v>7502.6018348600965</v>
      </c>
      <c r="H112">
        <f>Levels!G112</f>
        <v>1.8</v>
      </c>
      <c r="I112">
        <f>Levels!Y112</f>
        <v>0.71358234623602312</v>
      </c>
      <c r="J112">
        <f>Levels!AD112</f>
        <v>3.9197375871677931E-3</v>
      </c>
      <c r="K112">
        <f>Levels!AC112</f>
        <v>5.5333333333333332</v>
      </c>
      <c r="L112">
        <f>Levels!I112</f>
        <v>3.3344963690476188</v>
      </c>
      <c r="M112">
        <f>Levels!J112</f>
        <v>3.0180016484293399</v>
      </c>
      <c r="N112">
        <f>Levels!K112</f>
        <v>0.20270789741543299</v>
      </c>
      <c r="O112">
        <v>-0.19539999999999999</v>
      </c>
      <c r="P112">
        <f>Levels!M112</f>
        <v>0.11252481095944689</v>
      </c>
      <c r="Q112">
        <f>Levels!N112</f>
        <v>0.12254914230624332</v>
      </c>
      <c r="R112">
        <f>Levels!O112</f>
        <v>0.753603045665863</v>
      </c>
      <c r="S112">
        <f>Levels!P112</f>
        <v>1.1748019903873499</v>
      </c>
      <c r="T112">
        <f>Levels!Q112</f>
        <v>12099.191000000001</v>
      </c>
      <c r="U112">
        <f>Levels!S112</f>
        <v>0.84226563799999998</v>
      </c>
      <c r="V112">
        <f>Levels!T112</f>
        <v>2.2284684600000002</v>
      </c>
      <c r="W112">
        <f>Levels!U112</f>
        <v>-0.31576303100000003</v>
      </c>
      <c r="X112">
        <f>Levels!AB112</f>
        <v>5.96851848809104</v>
      </c>
    </row>
    <row r="113" spans="1:24" x14ac:dyDescent="0.35">
      <c r="A113" t="str">
        <f>Levels!A113</f>
        <v>1998Q4</v>
      </c>
      <c r="B113">
        <f>Levels!B113/Levels!$R113</f>
        <v>11886.99912683231</v>
      </c>
      <c r="C113">
        <f>Levels!C113/Levels!$R113</f>
        <v>2168167.3834600574</v>
      </c>
      <c r="D113">
        <f>Levels!D113/Levels!R113</f>
        <v>2627289.084654842</v>
      </c>
      <c r="E113">
        <f>Levels!V113/Levels!R113</f>
        <v>11437208.198715977</v>
      </c>
      <c r="F113">
        <f>Levels!E113</f>
        <v>2537.3110000000001</v>
      </c>
      <c r="G113">
        <f>Levels!F113</f>
        <v>7606.5973941419779</v>
      </c>
      <c r="H113">
        <f>Levels!G113</f>
        <v>2.5</v>
      </c>
      <c r="I113">
        <f>Levels!Y113</f>
        <v>0.27629492209602219</v>
      </c>
      <c r="J113">
        <f>Levels!AD113</f>
        <v>-1.0358187206976899E-3</v>
      </c>
      <c r="K113">
        <f>Levels!AC113</f>
        <v>4.8600000000000003</v>
      </c>
      <c r="L113">
        <f>Levels!I113</f>
        <v>2.7992569124423965</v>
      </c>
      <c r="M113">
        <f>Levels!J113</f>
        <v>3.0670772212605399</v>
      </c>
      <c r="N113">
        <f>Levels!K113</f>
        <v>-0.75034916797537299</v>
      </c>
      <c r="O113">
        <v>-0.05</v>
      </c>
      <c r="P113">
        <f>Levels!M113</f>
        <v>-0.88890870014354295</v>
      </c>
      <c r="Q113">
        <f>Levels!N113</f>
        <v>6.1174389250008065E-2</v>
      </c>
      <c r="R113">
        <f>Levels!O113</f>
        <v>0.73678652367957098</v>
      </c>
      <c r="S113">
        <f>Levels!P113</f>
        <v>1.08043663605827</v>
      </c>
      <c r="T113">
        <f>Levels!Q113</f>
        <v>12294.736999999999</v>
      </c>
      <c r="U113">
        <f>Levels!S113</f>
        <v>0.87811569599999995</v>
      </c>
      <c r="V113">
        <f>Levels!T113</f>
        <v>0.71480065999999998</v>
      </c>
      <c r="W113">
        <f>Levels!U113</f>
        <v>-1.1551457650000001</v>
      </c>
      <c r="X113">
        <f>Levels!AB113</f>
        <v>-1.4888187045151</v>
      </c>
    </row>
    <row r="114" spans="1:24" x14ac:dyDescent="0.35">
      <c r="A114" t="str">
        <f>Levels!A114</f>
        <v>1999Q1</v>
      </c>
      <c r="B114">
        <f>Levels!B114/Levels!$R114</f>
        <v>12156.519272541347</v>
      </c>
      <c r="C114">
        <f>Levels!C114/Levels!$R114</f>
        <v>2201990.7208437547</v>
      </c>
      <c r="D114">
        <f>Levels!D114/Levels!R114</f>
        <v>2700319.3498739018</v>
      </c>
      <c r="E114">
        <f>Levels!V114/Levels!R114</f>
        <v>11646575.951471146</v>
      </c>
      <c r="F114">
        <f>Levels!E114</f>
        <v>2581.66</v>
      </c>
      <c r="G114">
        <f>Levels!F114</f>
        <v>7675.1588790545675</v>
      </c>
      <c r="H114">
        <f>Levels!G114</f>
        <v>1.8</v>
      </c>
      <c r="I114">
        <f>Levels!Y114</f>
        <v>0.34541571391289155</v>
      </c>
      <c r="J114">
        <f>Levels!AD114</f>
        <v>-5.888689668380076E-3</v>
      </c>
      <c r="K114">
        <f>Levels!AC114</f>
        <v>4.7333333333333334</v>
      </c>
      <c r="L114">
        <f>Levels!I114</f>
        <v>3.1490108626073376</v>
      </c>
      <c r="M114">
        <f>Levels!J114</f>
        <v>3.09999181402832</v>
      </c>
      <c r="N114">
        <f>Levels!K114</f>
        <v>-1.31914970031513</v>
      </c>
      <c r="O114">
        <v>-0.27229999999999999</v>
      </c>
      <c r="P114">
        <f>Levels!M114</f>
        <v>-1.457492339771842</v>
      </c>
      <c r="Q114">
        <f>Levels!N114</f>
        <v>0.223243721295903</v>
      </c>
      <c r="R114">
        <f>Levels!O114</f>
        <v>0.73069147271632195</v>
      </c>
      <c r="S114">
        <f>Levels!P114</f>
        <v>1.0419974291340499</v>
      </c>
      <c r="T114">
        <f>Levels!Q114</f>
        <v>12410.778</v>
      </c>
      <c r="U114">
        <f>Levels!S114</f>
        <v>0.45142172400000002</v>
      </c>
      <c r="V114">
        <f>Levels!T114</f>
        <v>0.69246747099999995</v>
      </c>
      <c r="W114">
        <f>Levels!U114</f>
        <v>0.26738702600000003</v>
      </c>
      <c r="X114">
        <f>Levels!AB114</f>
        <v>-7.3415628048950798E-2</v>
      </c>
    </row>
    <row r="115" spans="1:24" x14ac:dyDescent="0.35">
      <c r="A115" t="str">
        <f>Levels!A115</f>
        <v>1999Q2</v>
      </c>
      <c r="B115">
        <f>Levels!B115/Levels!$R115</f>
        <v>12430.434804045724</v>
      </c>
      <c r="C115">
        <f>Levels!C115/Levels!$R115</f>
        <v>2145571.0872628829</v>
      </c>
      <c r="D115">
        <f>Levels!D115/Levels!R115</f>
        <v>2761941.7597653265</v>
      </c>
      <c r="E115">
        <f>Levels!V115/Levels!R115</f>
        <v>11746830.320448652</v>
      </c>
      <c r="F115">
        <f>Levels!E115</f>
        <v>2636.8409999999999</v>
      </c>
      <c r="G115">
        <f>Levels!F115</f>
        <v>7812.7540064350605</v>
      </c>
      <c r="H115">
        <f>Levels!G115</f>
        <v>1.8</v>
      </c>
      <c r="I115">
        <f>Levels!Y115</f>
        <v>0.38385076820493941</v>
      </c>
      <c r="J115">
        <f>Levels!AD115</f>
        <v>1.9619429282083489E-2</v>
      </c>
      <c r="K115">
        <f>Levels!AC115</f>
        <v>4.746666666666667</v>
      </c>
      <c r="L115">
        <f>Levels!I115</f>
        <v>3.7030092857142853</v>
      </c>
      <c r="M115">
        <f>Levels!J115</f>
        <v>3.1278832161049999</v>
      </c>
      <c r="N115">
        <f>Levels!K115</f>
        <v>-1.08582518243668</v>
      </c>
      <c r="O115">
        <v>-0.2762</v>
      </c>
      <c r="P115">
        <f>Levels!M115</f>
        <v>-1.2020187934438</v>
      </c>
      <c r="Q115">
        <f>Levels!N115</f>
        <v>0.24242424242423805</v>
      </c>
      <c r="R115">
        <f>Levels!O115</f>
        <v>0.73153113668723702</v>
      </c>
      <c r="S115">
        <f>Levels!P115</f>
        <v>1.0294312512034101</v>
      </c>
      <c r="T115">
        <f>Levels!Q115</f>
        <v>12514.407999999999</v>
      </c>
      <c r="U115">
        <f>Levels!S115</f>
        <v>-0.17896611300000001</v>
      </c>
      <c r="V115">
        <f>Levels!T115</f>
        <v>0.58594268999999999</v>
      </c>
      <c r="W115">
        <f>Levels!U115</f>
        <v>0.299838041</v>
      </c>
      <c r="X115">
        <f>Levels!AB115</f>
        <v>-0.22290063083165501</v>
      </c>
    </row>
    <row r="116" spans="1:24" x14ac:dyDescent="0.35">
      <c r="A116" t="str">
        <f>Levels!A116</f>
        <v>1999Q3</v>
      </c>
      <c r="B116">
        <f>Levels!B116/Levels!$R116</f>
        <v>12781.160500019207</v>
      </c>
      <c r="C116">
        <f>Levels!C116/Levels!$R116</f>
        <v>2143324.5981516391</v>
      </c>
      <c r="D116">
        <f>Levels!D116/Levels!R116</f>
        <v>2751841.905270468</v>
      </c>
      <c r="E116">
        <f>Levels!V116/Levels!R116</f>
        <v>11841576.554208191</v>
      </c>
      <c r="F116">
        <f>Levels!E116</f>
        <v>2696.0320000000002</v>
      </c>
      <c r="G116">
        <f>Levels!F116</f>
        <v>7918.7408839968466</v>
      </c>
      <c r="H116">
        <f>Levels!G116</f>
        <v>2.2999999999999998</v>
      </c>
      <c r="I116">
        <f>Levels!Y116</f>
        <v>0.61633205215253906</v>
      </c>
      <c r="J116">
        <f>Levels!AD116</f>
        <v>-1.6188997476413891E-2</v>
      </c>
      <c r="K116">
        <f>Levels!AC116</f>
        <v>5.0933333333333337</v>
      </c>
      <c r="L116">
        <f>Levels!I116</f>
        <v>4.0424285119047614</v>
      </c>
      <c r="M116">
        <f>Levels!J116</f>
        <v>3.1189831248750202</v>
      </c>
      <c r="N116">
        <f>Levels!K116</f>
        <v>-0.73707951563223295</v>
      </c>
      <c r="O116">
        <v>-0.11609999999999999</v>
      </c>
      <c r="P116">
        <f>Levels!M116</f>
        <v>-0.82227898449421799</v>
      </c>
      <c r="Q116">
        <f>Levels!N116</f>
        <v>0.33984986819585533</v>
      </c>
      <c r="R116">
        <f>Levels!O116</f>
        <v>0.72390308310265405</v>
      </c>
      <c r="S116">
        <f>Levels!P116</f>
        <v>1.02997947426856</v>
      </c>
      <c r="T116">
        <f>Levels!Q116</f>
        <v>12679.977000000001</v>
      </c>
      <c r="U116">
        <f>Levels!S116</f>
        <v>0.23116740399999999</v>
      </c>
      <c r="V116">
        <f>Levels!T116</f>
        <v>0.21295291299999999</v>
      </c>
      <c r="W116">
        <f>Levels!U116</f>
        <v>1.304659886</v>
      </c>
      <c r="X116">
        <f>Levels!AB116</f>
        <v>1.4823732501584701</v>
      </c>
    </row>
    <row r="117" spans="1:24" x14ac:dyDescent="0.35">
      <c r="A117" t="str">
        <f>Levels!A117</f>
        <v>1999Q4</v>
      </c>
      <c r="B117">
        <f>Levels!B117/Levels!$R117</f>
        <v>13061.683743243355</v>
      </c>
      <c r="C117">
        <f>Levels!C117/Levels!$R117</f>
        <v>2146012.2941250424</v>
      </c>
      <c r="D117">
        <f>Levels!D117/Levels!R117</f>
        <v>2712844.7267747461</v>
      </c>
      <c r="E117">
        <f>Levels!V117/Levels!R117</f>
        <v>12599611.016303595</v>
      </c>
      <c r="F117">
        <f>Levels!E117</f>
        <v>2721.23</v>
      </c>
      <c r="G117">
        <f>Levels!F117</f>
        <v>8057.3545396170175</v>
      </c>
      <c r="H117">
        <f>Levels!G117</f>
        <v>1.5</v>
      </c>
      <c r="I117">
        <f>Levels!Y117</f>
        <v>0.76182002360536361</v>
      </c>
      <c r="J117">
        <f>Levels!AD117</f>
        <v>1.557450865537402E-2</v>
      </c>
      <c r="K117">
        <f>Levels!AC117</f>
        <v>5.3066666666666666</v>
      </c>
      <c r="L117">
        <f>Levels!I117</f>
        <v>4.2940325192012283</v>
      </c>
      <c r="M117">
        <f>Levels!J117</f>
        <v>3.1491310475521201</v>
      </c>
      <c r="N117">
        <f>Levels!K117</f>
        <v>-0.77147540698082595</v>
      </c>
      <c r="O117">
        <v>-0.16889999999999999</v>
      </c>
      <c r="P117">
        <f>Levels!M117</f>
        <v>-0.82675681575271598</v>
      </c>
      <c r="Q117">
        <f>Levels!N117</f>
        <v>7.9376938833370464E-2</v>
      </c>
      <c r="R117">
        <f>Levels!O117</f>
        <v>0.74369561191321698</v>
      </c>
      <c r="S117">
        <f>Levels!P117</f>
        <v>1.0917925473127501</v>
      </c>
      <c r="T117">
        <f>Levels!Q117</f>
        <v>12888.281000000001</v>
      </c>
      <c r="U117">
        <f>Levels!S117</f>
        <v>3.942778192</v>
      </c>
      <c r="V117">
        <f>Levels!T117</f>
        <v>1.2169547169999999</v>
      </c>
      <c r="W117">
        <f>Levels!U117</f>
        <v>1.5440293949999999</v>
      </c>
      <c r="X117">
        <f>Levels!AB117</f>
        <v>0.291690882186801</v>
      </c>
    </row>
    <row r="118" spans="1:24" x14ac:dyDescent="0.35">
      <c r="A118" t="str">
        <f>Levels!A118</f>
        <v>2000Q1</v>
      </c>
      <c r="B118">
        <f>Levels!B118/Levels!$R118</f>
        <v>13369.367446057444</v>
      </c>
      <c r="C118">
        <f>Levels!C118/Levels!$R118</f>
        <v>2172400.7649394018</v>
      </c>
      <c r="D118">
        <f>Levels!D118/Levels!R118</f>
        <v>2827982.639394281</v>
      </c>
      <c r="E118">
        <f>Levels!V118/Levels!R118</f>
        <v>13098467.107051728</v>
      </c>
      <c r="F118">
        <f>Levels!E118</f>
        <v>2788.58</v>
      </c>
      <c r="G118">
        <f>Levels!F118</f>
        <v>8216.064120904357</v>
      </c>
      <c r="H118">
        <f>Levels!G118</f>
        <v>2.1</v>
      </c>
      <c r="I118">
        <f>Levels!Y118</f>
        <v>0.81680537323050761</v>
      </c>
      <c r="J118">
        <f>Levels!AD118</f>
        <v>-2.2841226413302107E-2</v>
      </c>
      <c r="K118">
        <f>Levels!AC118</f>
        <v>5.6766666666666667</v>
      </c>
      <c r="L118">
        <f>Levels!I118</f>
        <v>4.6139500793650789</v>
      </c>
      <c r="M118">
        <f>Levels!J118</f>
        <v>3.1518949133185199</v>
      </c>
      <c r="N118">
        <f>Levels!K118</f>
        <v>-0.70296058497216796</v>
      </c>
      <c r="O118">
        <v>-7.0000000000000007E-2</v>
      </c>
      <c r="P118">
        <f>Levels!M118</f>
        <v>-0.7475228178757346</v>
      </c>
      <c r="Q118">
        <f>Levels!N118</f>
        <v>0.57133500168862439</v>
      </c>
      <c r="R118">
        <f>Levels!O118</f>
        <v>0.77679079680589003</v>
      </c>
      <c r="S118">
        <f>Levels!P118</f>
        <v>1.17992609736069</v>
      </c>
      <c r="T118">
        <f>Levels!Q118</f>
        <v>12935.252</v>
      </c>
      <c r="U118">
        <f>Levels!S118</f>
        <v>1.274594416</v>
      </c>
      <c r="V118">
        <f>Levels!T118</f>
        <v>0.765293942</v>
      </c>
      <c r="W118">
        <f>Levels!U118</f>
        <v>1.035957936</v>
      </c>
      <c r="X118">
        <f>Levels!AB118</f>
        <v>1.9911430160560499</v>
      </c>
    </row>
    <row r="119" spans="1:24" x14ac:dyDescent="0.35">
      <c r="A119" t="str">
        <f>Levels!A119</f>
        <v>2000Q2</v>
      </c>
      <c r="B119">
        <f>Levels!B119/Levels!$R119</f>
        <v>13689.73804812138</v>
      </c>
      <c r="C119">
        <f>Levels!C119/Levels!$R119</f>
        <v>2119188.8610041374</v>
      </c>
      <c r="D119">
        <f>Levels!D119/Levels!R119</f>
        <v>2822897.0411044629</v>
      </c>
      <c r="E119">
        <f>Levels!V119/Levels!R119</f>
        <v>13198202.35039942</v>
      </c>
      <c r="F119">
        <f>Levels!E119</f>
        <v>2832.3130000000001</v>
      </c>
      <c r="G119">
        <f>Levels!F119</f>
        <v>8296.662933784015</v>
      </c>
      <c r="H119">
        <f>Levels!G119</f>
        <v>1.8</v>
      </c>
      <c r="I119">
        <f>Levels!Y119</f>
        <v>0.54351631180704207</v>
      </c>
      <c r="J119">
        <f>Levels!AD119</f>
        <v>2.040704540874283E-2</v>
      </c>
      <c r="K119">
        <f>Levels!AC119</f>
        <v>6.2733333333333334</v>
      </c>
      <c r="L119">
        <f>Levels!I119</f>
        <v>4.3382011111111112</v>
      </c>
      <c r="M119">
        <f>Levels!J119</f>
        <v>3.1624296674157102</v>
      </c>
      <c r="N119">
        <f>Levels!K119</f>
        <v>-0.74953561003145996</v>
      </c>
      <c r="O119">
        <v>0.39929999999999999</v>
      </c>
      <c r="P119">
        <f>Levels!M119</f>
        <v>-0.78066556112572638</v>
      </c>
      <c r="Q119">
        <f>Levels!N119</f>
        <v>0.233315596134028</v>
      </c>
      <c r="R119">
        <f>Levels!O119</f>
        <v>0.80708605189545102</v>
      </c>
      <c r="S119">
        <f>Levels!P119</f>
        <v>1.1582561177345001</v>
      </c>
      <c r="T119">
        <f>Levels!Q119</f>
        <v>13170.749</v>
      </c>
      <c r="U119">
        <f>Levels!S119</f>
        <v>2.296517675</v>
      </c>
      <c r="V119">
        <f>Levels!T119</f>
        <v>-5.0407955999999997E-2</v>
      </c>
      <c r="W119">
        <f>Levels!U119</f>
        <v>-1.5727623930000001</v>
      </c>
      <c r="X119">
        <f>Levels!AB119</f>
        <v>-0.86524344022436495</v>
      </c>
    </row>
    <row r="120" spans="1:24" x14ac:dyDescent="0.35">
      <c r="A120" t="str">
        <f>Levels!A120</f>
        <v>2000Q3</v>
      </c>
      <c r="B120">
        <f>Levels!B120/Levels!$R120</f>
        <v>13956.304276002613</v>
      </c>
      <c r="C120">
        <f>Levels!C120/Levels!$R120</f>
        <v>2172574.7924571224</v>
      </c>
      <c r="D120">
        <f>Levels!D120/Levels!R120</f>
        <v>2928507.7903433251</v>
      </c>
      <c r="E120">
        <f>Levels!V120/Levels!R120</f>
        <v>13447468.169356845</v>
      </c>
      <c r="F120">
        <f>Levels!E120</f>
        <v>2840.4169999999999</v>
      </c>
      <c r="G120">
        <f>Levels!F120</f>
        <v>8394.1015304213397</v>
      </c>
      <c r="H120">
        <f>Levels!G120</f>
        <v>1.1000000000000001</v>
      </c>
      <c r="I120">
        <f>Levels!Y120</f>
        <v>0.19653398965245064</v>
      </c>
      <c r="J120">
        <f>Levels!AD120</f>
        <v>6.2784642281006109E-2</v>
      </c>
      <c r="K120">
        <f>Levels!AC120</f>
        <v>6.52</v>
      </c>
      <c r="L120">
        <f>Levels!I120</f>
        <v>4.0582888888888888</v>
      </c>
      <c r="M120">
        <f>Levels!J120</f>
        <v>3.1605534496893499</v>
      </c>
      <c r="N120">
        <f>Levels!K120</f>
        <v>-0.77909008573484595</v>
      </c>
      <c r="O120">
        <v>0.66900000000000004</v>
      </c>
      <c r="P120">
        <f>Levels!M120</f>
        <v>-0.79106543659168693</v>
      </c>
      <c r="Q120">
        <f>Levels!N120</f>
        <v>0.25095063160607728</v>
      </c>
      <c r="R120">
        <f>Levels!O120</f>
        <v>0.80365560919717705</v>
      </c>
      <c r="S120">
        <f>Levels!P120</f>
        <v>1.1189115424945799</v>
      </c>
      <c r="T120">
        <f>Levels!Q120</f>
        <v>13183.89</v>
      </c>
      <c r="U120">
        <f>Levels!S120</f>
        <v>-3.1877009999999998E-3</v>
      </c>
      <c r="V120">
        <f>Levels!T120</f>
        <v>0.39305536299999999</v>
      </c>
      <c r="W120">
        <f>Levels!U120</f>
        <v>-5.6197249999999997E-2</v>
      </c>
      <c r="X120">
        <f>Levels!AB120</f>
        <v>1.3948180756890101</v>
      </c>
    </row>
    <row r="121" spans="1:24" x14ac:dyDescent="0.35">
      <c r="A121" t="str">
        <f>Levels!A121</f>
        <v>2000Q4</v>
      </c>
      <c r="B121">
        <f>Levels!B121/Levels!$R121</f>
        <v>14191.864850921125</v>
      </c>
      <c r="C121">
        <f>Levels!C121/Levels!$R121</f>
        <v>2141839.0110871606</v>
      </c>
      <c r="D121">
        <f>Levels!D121/Levels!R121</f>
        <v>2965305.9855261808</v>
      </c>
      <c r="E121">
        <f>Levels!V121/Levels!R121</f>
        <v>13747533.879426356</v>
      </c>
      <c r="F121">
        <f>Levels!E121</f>
        <v>2854.8809999999999</v>
      </c>
      <c r="G121">
        <f>Levels!F121</f>
        <v>8476.562328374639</v>
      </c>
      <c r="H121">
        <f>Levels!G121</f>
        <v>0.4</v>
      </c>
      <c r="I121">
        <f>Levels!Y121</f>
        <v>0.31521444067541854</v>
      </c>
      <c r="J121">
        <f>Levels!AD121</f>
        <v>-9.5442172139028392E-2</v>
      </c>
      <c r="K121">
        <f>Levels!AC121</f>
        <v>6.4733333333333336</v>
      </c>
      <c r="L121">
        <f>Levels!I121</f>
        <v>3.7546492089093699</v>
      </c>
      <c r="M121">
        <f>Levels!J121</f>
        <v>3.1317085191739</v>
      </c>
      <c r="N121">
        <f>Levels!K121</f>
        <v>-0.34950161769138299</v>
      </c>
      <c r="O121">
        <v>1.2242999999999999</v>
      </c>
      <c r="P121">
        <f>Levels!M121</f>
        <v>-0.32060921534100517</v>
      </c>
      <c r="Q121">
        <f>Levels!N121</f>
        <v>5.7581527388681657E-2</v>
      </c>
      <c r="R121">
        <f>Levels!O121</f>
        <v>0.81177684026520802</v>
      </c>
      <c r="S121">
        <f>Levels!P121</f>
        <v>1.1297077170621901</v>
      </c>
      <c r="T121">
        <f>Levels!Q121</f>
        <v>13262.25</v>
      </c>
      <c r="U121">
        <f>Levels!S121</f>
        <v>0.384376838</v>
      </c>
      <c r="V121">
        <f>Levels!T121</f>
        <v>-0.84351804699999999</v>
      </c>
      <c r="W121">
        <f>Levels!U121</f>
        <v>2.0419839849999999</v>
      </c>
      <c r="X121">
        <f>Levels!AB121</f>
        <v>1.54238529654856</v>
      </c>
    </row>
    <row r="122" spans="1:24" x14ac:dyDescent="0.35">
      <c r="A122" t="str">
        <f>Levels!A122</f>
        <v>2001Q1</v>
      </c>
      <c r="B122">
        <f>Levels!B122/Levels!$R122</f>
        <v>14296.533903282803</v>
      </c>
      <c r="C122">
        <f>Levels!C122/Levels!$R122</f>
        <v>2221626.3595075654</v>
      </c>
      <c r="D122">
        <f>Levels!D122/Levels!R122</f>
        <v>2990238.2140031601</v>
      </c>
      <c r="E122">
        <f>Levels!V122/Levels!R122</f>
        <v>14111227.868661024</v>
      </c>
      <c r="F122">
        <f>Levels!E122</f>
        <v>2847.701</v>
      </c>
      <c r="G122">
        <f>Levels!F122</f>
        <v>8530.7894673221417</v>
      </c>
      <c r="H122">
        <f>Levels!G122</f>
        <v>-0.1</v>
      </c>
      <c r="I122">
        <f>Levels!Y122</f>
        <v>0.26717958676868442</v>
      </c>
      <c r="J122">
        <f>Levels!AD122</f>
        <v>0.10716690217621694</v>
      </c>
      <c r="K122">
        <f>Levels!AC122</f>
        <v>5.5933333333333337</v>
      </c>
      <c r="L122">
        <f>Levels!I122</f>
        <v>3.2368166436251915</v>
      </c>
      <c r="M122">
        <f>Levels!J122</f>
        <v>3.1051919859153001</v>
      </c>
      <c r="N122">
        <f>Levels!K122</f>
        <v>5.9386826192597802E-2</v>
      </c>
      <c r="O122">
        <v>0.88129999999999997</v>
      </c>
      <c r="P122">
        <f>Levels!M122</f>
        <v>0.12607178947637848</v>
      </c>
      <c r="Q122">
        <f>Levels!N122</f>
        <v>0.41982891756893703</v>
      </c>
      <c r="R122">
        <f>Levels!O122</f>
        <v>0.82552284662965003</v>
      </c>
      <c r="S122">
        <f>Levels!P122</f>
        <v>1.1149339094103901</v>
      </c>
      <c r="T122">
        <f>Levels!Q122</f>
        <v>13219.251</v>
      </c>
      <c r="U122">
        <f>Levels!S122</f>
        <v>-2.1607316079999999</v>
      </c>
      <c r="V122">
        <f>Levels!T122</f>
        <v>7.2060083999999996E-2</v>
      </c>
      <c r="W122">
        <f>Levels!U122</f>
        <v>-0.25804039400000001</v>
      </c>
      <c r="X122">
        <f>Levels!AB122</f>
        <v>2.3358814382295501</v>
      </c>
    </row>
    <row r="123" spans="1:24" x14ac:dyDescent="0.35">
      <c r="A123" t="str">
        <f>Levels!A123</f>
        <v>2001Q2</v>
      </c>
      <c r="B123">
        <f>Levels!B123/Levels!$R123</f>
        <v>14623.472685271157</v>
      </c>
      <c r="C123">
        <f>Levels!C123/Levels!$R123</f>
        <v>2179036.4977092319</v>
      </c>
      <c r="D123">
        <f>Levels!D123/Levels!R123</f>
        <v>3071992.7100428827</v>
      </c>
      <c r="E123">
        <f>Levels!V123/Levels!R123</f>
        <v>14337823.400233259</v>
      </c>
      <c r="F123">
        <f>Levels!E123</f>
        <v>2840.4270000000001</v>
      </c>
      <c r="G123">
        <f>Levels!F123</f>
        <v>8545.486233084217</v>
      </c>
      <c r="H123">
        <f>Levels!G123</f>
        <v>-1.4</v>
      </c>
      <c r="I123">
        <f>Levels!Y123</f>
        <v>0.27504119945696776</v>
      </c>
      <c r="J123">
        <f>Levels!AD123</f>
        <v>-0.13104019029004521</v>
      </c>
      <c r="K123">
        <f>Levels!AC123</f>
        <v>4.3266666666666671</v>
      </c>
      <c r="L123">
        <f>Levels!I123</f>
        <v>3.4731723809523807</v>
      </c>
      <c r="M123">
        <f>Levels!J123</f>
        <v>3.0882943034477699</v>
      </c>
      <c r="N123">
        <f>Levels!K123</f>
        <v>0.12710175082466499</v>
      </c>
      <c r="O123">
        <v>0.7762</v>
      </c>
      <c r="P123">
        <f>Levels!M123</f>
        <v>0.23185518149687601</v>
      </c>
      <c r="Q123">
        <f>Levels!N123</f>
        <v>0.33944419443696933</v>
      </c>
      <c r="R123">
        <f>Levels!O123</f>
        <v>0.82222675497965303</v>
      </c>
      <c r="S123">
        <f>Levels!P123</f>
        <v>1.07838695071625</v>
      </c>
      <c r="T123">
        <f>Levels!Q123</f>
        <v>13301.394</v>
      </c>
      <c r="U123">
        <f>Levels!S123</f>
        <v>-0.58658512500000004</v>
      </c>
      <c r="V123">
        <f>Levels!T123</f>
        <v>-1.461465566</v>
      </c>
      <c r="W123">
        <f>Levels!U123</f>
        <v>1.284683751</v>
      </c>
      <c r="X123">
        <f>Levels!AB123</f>
        <v>-1.0402368866807701</v>
      </c>
    </row>
    <row r="124" spans="1:24" x14ac:dyDescent="0.35">
      <c r="A124" t="str">
        <f>Levels!A124</f>
        <v>2001Q3</v>
      </c>
      <c r="B124">
        <f>Levels!B124/Levels!$R124</f>
        <v>14929.839970102072</v>
      </c>
      <c r="C124">
        <f>Levels!C124/Levels!$R124</f>
        <v>2233532.4117271174</v>
      </c>
      <c r="D124">
        <f>Levels!D124/Levels!R124</f>
        <v>3063020.7258460755</v>
      </c>
      <c r="E124">
        <f>Levels!V124/Levels!R124</f>
        <v>14629794.897439959</v>
      </c>
      <c r="F124">
        <f>Levels!E124</f>
        <v>2804.819</v>
      </c>
      <c r="G124">
        <f>Levels!F124</f>
        <v>8536.4689594032134</v>
      </c>
      <c r="H124">
        <f>Levels!G124</f>
        <v>-2.6</v>
      </c>
      <c r="I124">
        <f>Levels!Y124</f>
        <v>0.31823823515036687</v>
      </c>
      <c r="J124">
        <f>Levels!AD124</f>
        <v>-0.13136694450688147</v>
      </c>
      <c r="K124">
        <f>Levels!AC124</f>
        <v>3.4966666666666666</v>
      </c>
      <c r="L124">
        <f>Levels!I124</f>
        <v>3.1967869906323187</v>
      </c>
      <c r="M124">
        <f>Levels!J124</f>
        <v>3.04078219321234</v>
      </c>
      <c r="N124">
        <f>Levels!K124</f>
        <v>0.114856374093386</v>
      </c>
      <c r="O124">
        <v>0.69450000000000001</v>
      </c>
      <c r="P124">
        <f>Levels!M124</f>
        <v>0.25089671122898705</v>
      </c>
      <c r="Q124">
        <f>Levels!N124</f>
        <v>5.6601782982541968E-2</v>
      </c>
      <c r="R124">
        <f>Levels!O124</f>
        <v>0.85835991654792798</v>
      </c>
      <c r="S124">
        <f>Levels!P124</f>
        <v>1.1224323321798699</v>
      </c>
      <c r="T124">
        <f>Levels!Q124</f>
        <v>13248.142</v>
      </c>
      <c r="U124">
        <f>Levels!S124</f>
        <v>3.0713691089999999</v>
      </c>
      <c r="V124">
        <f>Levels!T124</f>
        <v>-3.2060923080000001</v>
      </c>
      <c r="W124">
        <f>Levels!U124</f>
        <v>3.3289678540000001</v>
      </c>
      <c r="X124">
        <f>Levels!AB124</f>
        <v>3.9110673523150901</v>
      </c>
    </row>
    <row r="125" spans="1:24" x14ac:dyDescent="0.35">
      <c r="A125" t="str">
        <f>Levels!A125</f>
        <v>2001Q4</v>
      </c>
      <c r="B125">
        <f>Levels!B125/Levels!$R125</f>
        <v>15107.777955064375</v>
      </c>
      <c r="C125">
        <f>Levels!C125/Levels!$R125</f>
        <v>2256928.6254571904</v>
      </c>
      <c r="D125">
        <f>Levels!D125/Levels!R125</f>
        <v>3152784.375836432</v>
      </c>
      <c r="E125">
        <f>Levels!V125/Levels!R125</f>
        <v>15154278.351113001</v>
      </c>
      <c r="F125">
        <f>Levels!E125</f>
        <v>2775.3670000000002</v>
      </c>
      <c r="G125">
        <f>Levels!F125</f>
        <v>8638.9537154632289</v>
      </c>
      <c r="H125">
        <f>Levels!G125</f>
        <v>-3.3</v>
      </c>
      <c r="I125">
        <f>Levels!Y125</f>
        <v>0.70035763287973285</v>
      </c>
      <c r="J125">
        <f>Levels!AD125</f>
        <v>0.11429167492742121</v>
      </c>
      <c r="K125">
        <f>Levels!AC125</f>
        <v>2.1333333333333333</v>
      </c>
      <c r="L125">
        <f>Levels!I125</f>
        <v>2.9572027265745007</v>
      </c>
      <c r="M125">
        <f>Levels!J125</f>
        <v>3.0558671875640702</v>
      </c>
      <c r="N125">
        <f>Levels!K125</f>
        <v>0.2079082558051</v>
      </c>
      <c r="O125">
        <v>0.2177</v>
      </c>
      <c r="P125">
        <f>Levels!M125</f>
        <v>0.37370922528129302</v>
      </c>
      <c r="Q125">
        <f>Levels!N125</f>
        <v>-0.29997461949294069</v>
      </c>
      <c r="R125">
        <f>Levels!O125</f>
        <v>0.86189693188836103</v>
      </c>
      <c r="S125">
        <f>Levels!P125</f>
        <v>1.0964113971680101</v>
      </c>
      <c r="T125">
        <f>Levels!Q125</f>
        <v>13284.880999999999</v>
      </c>
      <c r="U125">
        <f>Levels!S125</f>
        <v>-3.6373318979999998</v>
      </c>
      <c r="V125">
        <f>Levels!T125</f>
        <v>3.687135364</v>
      </c>
      <c r="W125">
        <f>Levels!U125</f>
        <v>-2.5450284939999999</v>
      </c>
      <c r="X125">
        <f>Levels!AB125</f>
        <v>-1.59890931457998</v>
      </c>
    </row>
    <row r="126" spans="1:24" x14ac:dyDescent="0.35">
      <c r="A126" t="str">
        <f>Levels!A126</f>
        <v>2002Q1</v>
      </c>
      <c r="B126">
        <f>Levels!B126/Levels!$R126</f>
        <v>15293.558363458113</v>
      </c>
      <c r="C126">
        <f>Levels!C126/Levels!$R126</f>
        <v>2289559.5602799538</v>
      </c>
      <c r="D126">
        <f>Levels!D126/Levels!R126</f>
        <v>3322694.7465731725</v>
      </c>
      <c r="E126">
        <f>Levels!V126/Levels!R126</f>
        <v>15283999.602411915</v>
      </c>
      <c r="F126">
        <f>Levels!E126</f>
        <v>2766.5940000000001</v>
      </c>
      <c r="G126">
        <f>Levels!F126</f>
        <v>8637.1028113202137</v>
      </c>
      <c r="H126">
        <f>Levels!G126</f>
        <v>-4.0999999999999996</v>
      </c>
      <c r="I126">
        <f>Levels!Y126</f>
        <v>0.59369095371854397</v>
      </c>
      <c r="J126">
        <f>Levels!AD126</f>
        <v>3.775225019133277E-2</v>
      </c>
      <c r="K126">
        <f>Levels!AC126</f>
        <v>1.7333333333333334</v>
      </c>
      <c r="L126">
        <f>Levels!I126</f>
        <v>3.2721304761904761</v>
      </c>
      <c r="M126">
        <f>Levels!J126</f>
        <v>3.0535895818685099</v>
      </c>
      <c r="N126">
        <f>Levels!K126</f>
        <v>0.38381754059455497</v>
      </c>
      <c r="O126">
        <v>0.49390000000000001</v>
      </c>
      <c r="P126">
        <f>Levels!M126</f>
        <v>0.56632108432361694</v>
      </c>
      <c r="Q126">
        <f>Levels!N126</f>
        <v>0.39468633195112168</v>
      </c>
      <c r="R126">
        <f>Levels!O126</f>
        <v>0.78965800230669303</v>
      </c>
      <c r="S126">
        <f>Levels!P126</f>
        <v>1.0547395086340301</v>
      </c>
      <c r="T126">
        <f>Levels!Q126</f>
        <v>13394.91</v>
      </c>
      <c r="U126">
        <f>Levels!S126</f>
        <v>1.05467876</v>
      </c>
      <c r="V126">
        <f>Levels!T126</f>
        <v>2.4963258320000001</v>
      </c>
      <c r="W126">
        <f>Levels!U126</f>
        <v>1.0367595970000001</v>
      </c>
      <c r="X126">
        <f>Levels!AB126</f>
        <v>6.4281994477339996E-2</v>
      </c>
    </row>
    <row r="127" spans="1:24" x14ac:dyDescent="0.35">
      <c r="A127" t="str">
        <f>Levels!A127</f>
        <v>2002Q2</v>
      </c>
      <c r="B127">
        <f>Levels!B127/Levels!$R127</f>
        <v>15504.692550510297</v>
      </c>
      <c r="C127">
        <f>Levels!C127/Levels!$R127</f>
        <v>2318978.0993739311</v>
      </c>
      <c r="D127">
        <f>Levels!D127/Levels!R127</f>
        <v>3332274.5762472283</v>
      </c>
      <c r="E127">
        <f>Levels!V127/Levels!R127</f>
        <v>15355652.510752019</v>
      </c>
      <c r="F127">
        <f>Levels!E127</f>
        <v>2767.098</v>
      </c>
      <c r="G127">
        <f>Levels!F127</f>
        <v>8713.8542428563342</v>
      </c>
      <c r="H127">
        <f>Levels!G127</f>
        <v>-2.9</v>
      </c>
      <c r="I127">
        <f>Levels!Y127</f>
        <v>0.38575470787500904</v>
      </c>
      <c r="J127">
        <f>Levels!AD127</f>
        <v>-1.0401487129039211E-3</v>
      </c>
      <c r="K127">
        <f>Levels!AC127</f>
        <v>1.75</v>
      </c>
      <c r="L127">
        <f>Levels!I127</f>
        <v>3.2926985119047623</v>
      </c>
      <c r="M127">
        <f>Levels!J127</f>
        <v>3.0103043604659798</v>
      </c>
      <c r="N127">
        <f>Levels!K127</f>
        <v>0.591368964229955</v>
      </c>
      <c r="O127">
        <v>0.54590000000000005</v>
      </c>
      <c r="P127">
        <f>Levels!M127</f>
        <v>0.76981406119732698</v>
      </c>
      <c r="Q127">
        <f>Levels!N127</f>
        <v>0.2049671563150357</v>
      </c>
      <c r="R127">
        <f>Levels!O127</f>
        <v>0.74245972311669095</v>
      </c>
      <c r="S127">
        <f>Levels!P127</f>
        <v>1.0932867722980699</v>
      </c>
      <c r="T127">
        <f>Levels!Q127</f>
        <v>13477.356</v>
      </c>
      <c r="U127">
        <f>Levels!S127</f>
        <v>0.57346645100000004</v>
      </c>
      <c r="V127">
        <f>Levels!T127</f>
        <v>2.3302913159999998</v>
      </c>
      <c r="W127">
        <f>Levels!U127</f>
        <v>2.6364372220000001</v>
      </c>
      <c r="X127">
        <f>Levels!AB127</f>
        <v>4.8311781937735097</v>
      </c>
    </row>
    <row r="128" spans="1:24" x14ac:dyDescent="0.35">
      <c r="A128" t="str">
        <f>Levels!A128</f>
        <v>2002Q3</v>
      </c>
      <c r="B128">
        <f>Levels!B128/Levels!$R128</f>
        <v>15740.493392281762</v>
      </c>
      <c r="C128">
        <f>Levels!C128/Levels!$R128</f>
        <v>2380436.2436008542</v>
      </c>
      <c r="D128">
        <f>Levels!D128/Levels!R128</f>
        <v>3336761.3783267192</v>
      </c>
      <c r="E128">
        <f>Levels!V128/Levels!R128</f>
        <v>15629430.263521282</v>
      </c>
      <c r="F128">
        <f>Levels!E128</f>
        <v>2772.502</v>
      </c>
      <c r="G128">
        <f>Levels!F128</f>
        <v>8784.8583318065321</v>
      </c>
      <c r="H128">
        <f>Levels!G128</f>
        <v>-2.1</v>
      </c>
      <c r="I128">
        <f>Levels!Y128</f>
        <v>0.29285375786475376</v>
      </c>
      <c r="J128">
        <f>Levels!AD128</f>
        <v>-5.161905670395428E-3</v>
      </c>
      <c r="K128">
        <f>Levels!AC128</f>
        <v>1.74</v>
      </c>
      <c r="L128">
        <f>Levels!I128</f>
        <v>2.4546827976190482</v>
      </c>
      <c r="M128">
        <f>Levels!J128</f>
        <v>2.9434864844978299</v>
      </c>
      <c r="N128">
        <f>Levels!K128</f>
        <v>1.1146049182486599</v>
      </c>
      <c r="O128">
        <v>1.1881999999999999</v>
      </c>
      <c r="P128">
        <f>Levels!M128</f>
        <v>1.3010916817123939</v>
      </c>
      <c r="Q128">
        <f>Levels!N128</f>
        <v>0.20344738470694934</v>
      </c>
      <c r="R128">
        <f>Levels!O128</f>
        <v>0.73463521054403902</v>
      </c>
      <c r="S128">
        <f>Levels!P128</f>
        <v>1.1462534981222099</v>
      </c>
      <c r="T128">
        <f>Levels!Q128</f>
        <v>13531.741</v>
      </c>
      <c r="U128">
        <f>Levels!S128</f>
        <v>-1.6894145270000001</v>
      </c>
      <c r="V128">
        <f>Levels!T128</f>
        <v>0.71755078000000005</v>
      </c>
      <c r="W128">
        <f>Levels!U128</f>
        <v>0.83100891499999996</v>
      </c>
      <c r="X128">
        <f>Levels!AB128</f>
        <v>3.4080537472621</v>
      </c>
    </row>
    <row r="129" spans="1:24" x14ac:dyDescent="0.35">
      <c r="A129" t="str">
        <f>Levels!A129</f>
        <v>2002Q4</v>
      </c>
      <c r="B129">
        <f>Levels!B129/Levels!$R129</f>
        <v>16036.520970522606</v>
      </c>
      <c r="C129">
        <f>Levels!C129/Levels!$R129</f>
        <v>2469716.2964917473</v>
      </c>
      <c r="D129">
        <f>Levels!D129/Levels!R129</f>
        <v>3480482.565362419</v>
      </c>
      <c r="E129">
        <f>Levels!V129/Levels!R129</f>
        <v>15789573.278994238</v>
      </c>
      <c r="F129">
        <f>Levels!E129</f>
        <v>2771.0430000000001</v>
      </c>
      <c r="G129">
        <f>Levels!F129</f>
        <v>8833.2779390235482</v>
      </c>
      <c r="H129">
        <f>Levels!G129</f>
        <v>-0.8</v>
      </c>
      <c r="I129">
        <f>Levels!Y129</f>
        <v>0.24970351508034402</v>
      </c>
      <c r="J129">
        <f>Levels!AD129</f>
        <v>2.5982415417496796E-2</v>
      </c>
      <c r="K129">
        <f>Levels!AC129</f>
        <v>1.4433333333333334</v>
      </c>
      <c r="L129">
        <f>Levels!I129</f>
        <v>2.1950470430107529</v>
      </c>
      <c r="M129">
        <f>Levels!J129</f>
        <v>2.9564273111555401</v>
      </c>
      <c r="N129">
        <f>Levels!K129</f>
        <v>1.07245571131964</v>
      </c>
      <c r="O129">
        <v>0.77559999999999996</v>
      </c>
      <c r="P129">
        <f>Levels!M129</f>
        <v>1.269935017933097</v>
      </c>
      <c r="Q129">
        <f>Levels!N129</f>
        <v>-1.8294311901254998E-2</v>
      </c>
      <c r="R129">
        <f>Levels!O129</f>
        <v>0.74521475476933097</v>
      </c>
      <c r="S129">
        <f>Levels!P129</f>
        <v>1.0734394833726499</v>
      </c>
      <c r="T129">
        <f>Levels!Q129</f>
        <v>13549.421</v>
      </c>
      <c r="U129">
        <f>Levels!S129</f>
        <v>-0.27951799399999999</v>
      </c>
      <c r="V129">
        <f>Levels!T129</f>
        <v>-1.6395007619999999</v>
      </c>
      <c r="W129">
        <f>Levels!U129</f>
        <v>-1.785563225</v>
      </c>
      <c r="X129">
        <f>Levels!AB129</f>
        <v>-0.92155537784984098</v>
      </c>
    </row>
    <row r="130" spans="1:24" x14ac:dyDescent="0.35">
      <c r="A130" t="str">
        <f>Levels!A130</f>
        <v>2003Q1</v>
      </c>
      <c r="B130">
        <f>Levels!B130/Levels!$R130</f>
        <v>16234.643976430889</v>
      </c>
      <c r="C130">
        <f>Levels!C130/Levels!$R130</f>
        <v>2379528.4971134136</v>
      </c>
      <c r="D130">
        <f>Levels!D130/Levels!R130</f>
        <v>3588787.9261032473</v>
      </c>
      <c r="E130">
        <f>Levels!V130/Levels!R130</f>
        <v>16191744.901922733</v>
      </c>
      <c r="F130">
        <f>Levels!E130</f>
        <v>2791.3429999999998</v>
      </c>
      <c r="G130">
        <f>Levels!F130</f>
        <v>8905.4652584237192</v>
      </c>
      <c r="H130">
        <f>Levels!G130</f>
        <v>-0.5</v>
      </c>
      <c r="I130">
        <f>Levels!Y130</f>
        <v>0.44080759117294338</v>
      </c>
      <c r="J130">
        <f>Levels!AD130</f>
        <v>-4.5531713481001823E-3</v>
      </c>
      <c r="K130">
        <f>Levels!AC130</f>
        <v>1.25</v>
      </c>
      <c r="L130">
        <f>Levels!I130</f>
        <v>2.1176276190476191</v>
      </c>
      <c r="M130">
        <f>Levels!J130</f>
        <v>2.93422170914664</v>
      </c>
      <c r="N130">
        <f>Levels!K130</f>
        <v>1.4285116786598699</v>
      </c>
      <c r="O130">
        <v>0.2074</v>
      </c>
      <c r="P130">
        <f>Levels!M130</f>
        <v>1.6178717868054449</v>
      </c>
      <c r="Q130">
        <f>Levels!N130</f>
        <v>0.60449957103125396</v>
      </c>
      <c r="R130">
        <f>Levels!O130</f>
        <v>0.78105921668315703</v>
      </c>
      <c r="S130">
        <f>Levels!P130</f>
        <v>0.99542156483316402</v>
      </c>
      <c r="T130">
        <f>Levels!Q130</f>
        <v>13619.433999999999</v>
      </c>
      <c r="U130">
        <f>Levels!S130</f>
        <v>1.2854469989999999</v>
      </c>
      <c r="V130">
        <f>Levels!T130</f>
        <v>-1.2101709709999999</v>
      </c>
      <c r="W130">
        <f>Levels!U130</f>
        <v>-0.88886669100000004</v>
      </c>
      <c r="X130">
        <f>Levels!AB130</f>
        <v>1.04722464630406</v>
      </c>
    </row>
    <row r="131" spans="1:24" x14ac:dyDescent="0.35">
      <c r="A131" t="str">
        <f>Levels!A131</f>
        <v>2003Q2</v>
      </c>
      <c r="B131">
        <f>Levels!B131/Levels!$R131</f>
        <v>16639.540540515325</v>
      </c>
      <c r="C131">
        <f>Levels!C131/Levels!$R131</f>
        <v>2423260.9002834749</v>
      </c>
      <c r="D131">
        <f>Levels!D131/Levels!R131</f>
        <v>3710063.0152427112</v>
      </c>
      <c r="E131">
        <f>Levels!V131/Levels!R131</f>
        <v>16937322.211222876</v>
      </c>
      <c r="F131">
        <f>Levels!E131</f>
        <v>2845.7719999999999</v>
      </c>
      <c r="G131">
        <f>Levels!F131</f>
        <v>8977.0148237444482</v>
      </c>
      <c r="H131">
        <f>Levels!G131</f>
        <v>-1.1000000000000001</v>
      </c>
      <c r="I131">
        <f>Levels!Y131</f>
        <v>0.29750761356120559</v>
      </c>
      <c r="J131">
        <f>Levels!AD131</f>
        <v>7.1939186209778017E-2</v>
      </c>
      <c r="K131">
        <f>Levels!AC131</f>
        <v>1.2466666666666666</v>
      </c>
      <c r="L131">
        <f>Levels!I131</f>
        <v>1.8233430158730162</v>
      </c>
      <c r="M131">
        <f>Levels!J131</f>
        <v>2.9780417242521402</v>
      </c>
      <c r="N131">
        <f>Levels!K131</f>
        <v>1.27242330859843</v>
      </c>
      <c r="O131">
        <v>-0.58430000000000004</v>
      </c>
      <c r="P131">
        <f>Levels!M131</f>
        <v>1.470361453955165</v>
      </c>
      <c r="Q131">
        <f>Levels!N131</f>
        <v>-9.046144422544232E-2</v>
      </c>
      <c r="R131">
        <f>Levels!O131</f>
        <v>0.78595411434365403</v>
      </c>
      <c r="S131">
        <f>Levels!P131</f>
        <v>0.97265171606600198</v>
      </c>
      <c r="T131">
        <f>Levels!Q131</f>
        <v>13741.107</v>
      </c>
      <c r="U131">
        <f>Levels!S131</f>
        <v>-1.614398435</v>
      </c>
      <c r="V131">
        <f>Levels!T131</f>
        <v>-5.2889815E-2</v>
      </c>
      <c r="W131">
        <f>Levels!U131</f>
        <v>-0.79345316899999996</v>
      </c>
      <c r="X131">
        <f>Levels!AB131</f>
        <v>-1.4091170701742199</v>
      </c>
    </row>
    <row r="132" spans="1:24" x14ac:dyDescent="0.35">
      <c r="A132" t="str">
        <f>Levels!A132</f>
        <v>2003Q3</v>
      </c>
      <c r="B132">
        <f>Levels!B132/Levels!$R132</f>
        <v>16945.48858297661</v>
      </c>
      <c r="C132">
        <f>Levels!C132/Levels!$R132</f>
        <v>2432696.9108407404</v>
      </c>
      <c r="D132">
        <f>Levels!D132/Levels!R132</f>
        <v>3814503.3716355278</v>
      </c>
      <c r="E132">
        <f>Levels!V132/Levels!R132</f>
        <v>16907726.380287811</v>
      </c>
      <c r="F132">
        <f>Levels!E132</f>
        <v>2931.913</v>
      </c>
      <c r="G132">
        <f>Levels!F132</f>
        <v>9127.6858812095106</v>
      </c>
      <c r="H132">
        <f>Levels!G132</f>
        <v>-0.5</v>
      </c>
      <c r="I132">
        <f>Levels!Y132</f>
        <v>0.25459455637886153</v>
      </c>
      <c r="J132">
        <f>Levels!AD132</f>
        <v>8.6713166837723454E-2</v>
      </c>
      <c r="K132">
        <f>Levels!AC132</f>
        <v>1.0166666666666666</v>
      </c>
      <c r="L132">
        <f>Levels!I132</f>
        <v>2.430196488095238</v>
      </c>
      <c r="M132">
        <f>Levels!J132</f>
        <v>3.00676443679161</v>
      </c>
      <c r="N132">
        <f>Levels!K132</f>
        <v>1.2412621879138499</v>
      </c>
      <c r="O132">
        <v>-0.78810000000000002</v>
      </c>
      <c r="P132">
        <f>Levels!M132</f>
        <v>1.4400980873462199</v>
      </c>
      <c r="Q132">
        <f>Levels!N132</f>
        <v>0.27151396714272069</v>
      </c>
      <c r="R132">
        <f>Levels!O132</f>
        <v>0.76478987525003905</v>
      </c>
      <c r="S132">
        <f>Levels!P132</f>
        <v>0.90903424110457798</v>
      </c>
      <c r="T132">
        <f>Levels!Q132</f>
        <v>13970.156999999999</v>
      </c>
      <c r="U132">
        <f>Levels!S132</f>
        <v>0.83270075700000001</v>
      </c>
      <c r="V132">
        <f>Levels!T132</f>
        <v>-0.20867239900000001</v>
      </c>
      <c r="W132">
        <f>Levels!U132</f>
        <v>-0.68924224899999997</v>
      </c>
      <c r="X132">
        <f>Levels!AB132</f>
        <v>-0.57746607538991901</v>
      </c>
    </row>
    <row r="133" spans="1:24" x14ac:dyDescent="0.35">
      <c r="A133" t="str">
        <f>Levels!A133</f>
        <v>2003Q4</v>
      </c>
      <c r="B133">
        <f>Levels!B133/Levels!$R133</f>
        <v>17209.525932898752</v>
      </c>
      <c r="C133">
        <f>Levels!C133/Levels!$R133</f>
        <v>2463224.0642540609</v>
      </c>
      <c r="D133">
        <f>Levels!D133/Levels!R133</f>
        <v>4003319.5089305011</v>
      </c>
      <c r="E133">
        <f>Levels!V133/Levels!R133</f>
        <v>17031127.859226141</v>
      </c>
      <c r="F133">
        <f>Levels!E133</f>
        <v>2977.5390000000002</v>
      </c>
      <c r="G133">
        <f>Levels!F133</f>
        <v>9200.9517484268763</v>
      </c>
      <c r="H133">
        <f>Levels!G133</f>
        <v>-0.2</v>
      </c>
      <c r="I133">
        <f>Levels!Y133</f>
        <v>0.19277722867767727</v>
      </c>
      <c r="J133">
        <f>Levels!AD133</f>
        <v>-0.28724462698938424</v>
      </c>
      <c r="K133">
        <f>Levels!AC133</f>
        <v>0.9966666666666667</v>
      </c>
      <c r="L133">
        <f>Levels!I133</f>
        <v>2.4870948617511521</v>
      </c>
      <c r="M133">
        <f>Levels!J133</f>
        <v>3.0274144873381599</v>
      </c>
      <c r="N133">
        <f>Levels!K133</f>
        <v>1.26325535166971</v>
      </c>
      <c r="O133">
        <v>-0.51580000000000004</v>
      </c>
      <c r="P133">
        <f>Levels!M133</f>
        <v>1.4673232880346481</v>
      </c>
      <c r="Q133">
        <f>Levels!N133</f>
        <v>-0.16222090499074998</v>
      </c>
      <c r="R133">
        <f>Levels!O133</f>
        <v>0.73895487758858502</v>
      </c>
      <c r="S133">
        <f>Levels!P133</f>
        <v>0.86874326548016101</v>
      </c>
      <c r="T133">
        <f>Levels!Q133</f>
        <v>14131.379000000001</v>
      </c>
      <c r="U133">
        <f>Levels!S133</f>
        <v>-1.6390452129999999</v>
      </c>
      <c r="V133">
        <f>Levels!T133</f>
        <v>1.057135398</v>
      </c>
      <c r="W133">
        <f>Levels!U133</f>
        <v>-0.83754119000000005</v>
      </c>
      <c r="X133">
        <f>Levels!AB133</f>
        <v>-1.3167359962321401</v>
      </c>
    </row>
    <row r="134" spans="1:24" x14ac:dyDescent="0.35">
      <c r="A134" t="str">
        <f>Levels!A134</f>
        <v>2004Q1</v>
      </c>
      <c r="B134">
        <f>Levels!B134/Levels!$R134</f>
        <v>17547.82509802172</v>
      </c>
      <c r="C134">
        <f>Levels!C134/Levels!$R134</f>
        <v>2445610.4083529804</v>
      </c>
      <c r="D134">
        <f>Levels!D134/Levels!R134</f>
        <v>4207101.5414012568</v>
      </c>
      <c r="E134">
        <f>Levels!V134/Levels!R134</f>
        <v>17619385.576769732</v>
      </c>
      <c r="F134">
        <f>Levels!E134</f>
        <v>2970.2640000000001</v>
      </c>
      <c r="G134">
        <f>Levels!F134</f>
        <v>9320.907876251953</v>
      </c>
      <c r="H134">
        <f>Levels!G134</f>
        <v>0.8</v>
      </c>
      <c r="I134">
        <f>Levels!Y134</f>
        <v>0.16809978740232775</v>
      </c>
      <c r="J134">
        <f>Levels!AD134</f>
        <v>0.2235781689366485</v>
      </c>
      <c r="K134">
        <f>Levels!AC134</f>
        <v>1.0033333333333334</v>
      </c>
      <c r="L134">
        <f>Levels!I134</f>
        <v>2.2089911904761905</v>
      </c>
      <c r="M134">
        <f>Levels!J134</f>
        <v>3.0543291527679002</v>
      </c>
      <c r="N134">
        <f>Levels!K134</f>
        <v>1.1784982735296901</v>
      </c>
      <c r="O134">
        <v>-0.48630000000000001</v>
      </c>
      <c r="P134">
        <f>Levels!M134</f>
        <v>1.382439048514114</v>
      </c>
      <c r="Q134">
        <f>Levels!N134</f>
        <v>0.55758645158432174</v>
      </c>
      <c r="R134">
        <f>Levels!O134</f>
        <v>0.724453469940741</v>
      </c>
      <c r="S134">
        <f>Levels!P134</f>
        <v>0.82089809787779999</v>
      </c>
      <c r="T134">
        <f>Levels!Q134</f>
        <v>14212.34</v>
      </c>
      <c r="U134">
        <f>Levels!S134</f>
        <v>-1.0281483170000001</v>
      </c>
      <c r="V134">
        <f>Levels!T134</f>
        <v>-1.2018274739999999</v>
      </c>
      <c r="W134">
        <f>Levels!U134</f>
        <v>-0.23051722399999999</v>
      </c>
      <c r="X134">
        <f>Levels!AB134</f>
        <v>-0.77501288804388402</v>
      </c>
    </row>
    <row r="135" spans="1:24" x14ac:dyDescent="0.35">
      <c r="A135" t="str">
        <f>Levels!A135</f>
        <v>2004Q2</v>
      </c>
      <c r="B135">
        <f>Levels!B135/Levels!$R135</f>
        <v>17925.922925271636</v>
      </c>
      <c r="C135">
        <f>Levels!C135/Levels!$R135</f>
        <v>2379016.9662308223</v>
      </c>
      <c r="D135">
        <f>Levels!D135/Levels!R135</f>
        <v>4348529.2637269069</v>
      </c>
      <c r="E135">
        <f>Levels!V135/Levels!R135</f>
        <v>17928642.941698264</v>
      </c>
      <c r="F135">
        <f>Levels!E135</f>
        <v>3039.9859999999999</v>
      </c>
      <c r="G135">
        <f>Levels!F135</f>
        <v>9391.4052422063269</v>
      </c>
      <c r="H135">
        <f>Levels!G135</f>
        <v>1.1000000000000001</v>
      </c>
      <c r="I135">
        <f>Levels!Y135</f>
        <v>0.21576521221923523</v>
      </c>
      <c r="J135">
        <f>Levels!AD135</f>
        <v>0.10156429781426168</v>
      </c>
      <c r="K135">
        <f>Levels!AC135</f>
        <v>1.01</v>
      </c>
      <c r="L135">
        <f>Levels!I135</f>
        <v>2.7990070122887865</v>
      </c>
      <c r="M135">
        <f>Levels!J135</f>
        <v>3.04867272228433</v>
      </c>
      <c r="N135">
        <f>Levels!K135</f>
        <v>1.3228708252510899</v>
      </c>
      <c r="O135">
        <v>-0.43369999999999997</v>
      </c>
      <c r="P135">
        <f>Levels!M135</f>
        <v>1.5261659896545179</v>
      </c>
      <c r="Q135">
        <f>Levels!N135</f>
        <v>0.40752319285991534</v>
      </c>
      <c r="R135">
        <f>Levels!O135</f>
        <v>0.73754885382134305</v>
      </c>
      <c r="S135">
        <f>Levels!P135</f>
        <v>0.82144189052148597</v>
      </c>
      <c r="T135">
        <f>Levels!Q135</f>
        <v>14323.017</v>
      </c>
      <c r="U135">
        <f>Levels!S135</f>
        <v>-0.39201555399999999</v>
      </c>
      <c r="V135">
        <f>Levels!T135</f>
        <v>-0.88251684900000005</v>
      </c>
      <c r="W135">
        <f>Levels!U135</f>
        <v>0.41778123</v>
      </c>
      <c r="X135">
        <f>Levels!AB135</f>
        <v>-0.52283161548210999</v>
      </c>
    </row>
    <row r="136" spans="1:24" x14ac:dyDescent="0.35">
      <c r="A136" t="str">
        <f>Levels!A136</f>
        <v>2004Q3</v>
      </c>
      <c r="B136">
        <f>Levels!B136/Levels!$R136</f>
        <v>18291.235558527827</v>
      </c>
      <c r="C136">
        <f>Levels!C136/Levels!$R136</f>
        <v>2468291.125499587</v>
      </c>
      <c r="D136">
        <f>Levels!D136/Levels!R136</f>
        <v>4549246.5540300235</v>
      </c>
      <c r="E136">
        <f>Levels!V136/Levels!R136</f>
        <v>18369136.767647371</v>
      </c>
      <c r="F136">
        <f>Levels!E136</f>
        <v>3091.5790000000002</v>
      </c>
      <c r="G136">
        <f>Levels!F136</f>
        <v>9499.9444537053678</v>
      </c>
      <c r="H136">
        <f>Levels!G136</f>
        <v>1.6</v>
      </c>
      <c r="I136">
        <f>Levels!Y136</f>
        <v>0.22110963873275161</v>
      </c>
      <c r="J136">
        <f>Levels!AD136</f>
        <v>-0.45959135265125739</v>
      </c>
      <c r="K136">
        <f>Levels!AC136</f>
        <v>1.4333333333333333</v>
      </c>
      <c r="L136">
        <f>Levels!I136</f>
        <v>2.5157133928571431</v>
      </c>
      <c r="M136">
        <f>Levels!J136</f>
        <v>3.0444828245345299</v>
      </c>
      <c r="N136">
        <f>Levels!K136</f>
        <v>1.4302513005775901</v>
      </c>
      <c r="O136">
        <v>-0.42909999999999998</v>
      </c>
      <c r="P136">
        <f>Levels!M136</f>
        <v>1.6311185114695321</v>
      </c>
      <c r="Q136">
        <f>Levels!N136</f>
        <v>3.5245222020691233E-2</v>
      </c>
      <c r="R136">
        <f>Levels!O136</f>
        <v>0.73449786980367804</v>
      </c>
      <c r="S136">
        <f>Levels!P136</f>
        <v>0.82952424617416798</v>
      </c>
      <c r="T136">
        <f>Levels!Q136</f>
        <v>14457.832</v>
      </c>
      <c r="U136">
        <f>Levels!S136</f>
        <v>-0.60181738600000001</v>
      </c>
      <c r="V136">
        <f>Levels!T136</f>
        <v>0.99512931199999999</v>
      </c>
      <c r="W136">
        <f>Levels!U136</f>
        <v>-0.46036522699999999</v>
      </c>
      <c r="X136">
        <f>Levels!AB136</f>
        <v>-0.73637069271950695</v>
      </c>
    </row>
    <row r="137" spans="1:24" x14ac:dyDescent="0.35">
      <c r="A137" t="str">
        <f>Levels!A137</f>
        <v>2004Q4</v>
      </c>
      <c r="B137">
        <f>Levels!B137/Levels!$R137</f>
        <v>18789.815357032745</v>
      </c>
      <c r="C137">
        <f>Levels!C137/Levels!$R137</f>
        <v>2491326.5020229761</v>
      </c>
      <c r="D137">
        <f>Levels!D137/Levels!R137</f>
        <v>4747189.4032802619</v>
      </c>
      <c r="E137">
        <f>Levels!V137/Levels!R137</f>
        <v>18766474.243727524</v>
      </c>
      <c r="F137">
        <f>Levels!E137</f>
        <v>3136.7049999999999</v>
      </c>
      <c r="G137">
        <f>Levels!F137</f>
        <v>9642.7565573363354</v>
      </c>
      <c r="H137">
        <f>Levels!G137</f>
        <v>1.7</v>
      </c>
      <c r="I137">
        <f>Levels!Y137</f>
        <v>0.22828967263841704</v>
      </c>
      <c r="J137">
        <f>Levels!AD137</f>
        <v>0.21062726530168563</v>
      </c>
      <c r="K137">
        <f>Levels!AC137</f>
        <v>1.95</v>
      </c>
      <c r="L137">
        <f>Levels!I137</f>
        <v>2.4036993087557601</v>
      </c>
      <c r="M137">
        <f>Levels!J137</f>
        <v>3.0733437306931402</v>
      </c>
      <c r="N137">
        <f>Levels!K137</f>
        <v>1.42261677312017</v>
      </c>
      <c r="O137">
        <v>-0.69599999999999995</v>
      </c>
      <c r="P137">
        <f>Levels!M137</f>
        <v>1.599933951466018</v>
      </c>
      <c r="Q137">
        <f>Levels!N137</f>
        <v>7.0828081296170867E-2</v>
      </c>
      <c r="R137">
        <f>Levels!O137</f>
        <v>0.75650587202483399</v>
      </c>
      <c r="S137">
        <f>Levels!P137</f>
        <v>0.83510101297968797</v>
      </c>
      <c r="T137">
        <f>Levels!Q137</f>
        <v>14605.594999999999</v>
      </c>
      <c r="U137">
        <f>Levels!S137</f>
        <v>2.330880208</v>
      </c>
      <c r="V137">
        <f>Levels!T137</f>
        <v>-1.2895746050000001</v>
      </c>
      <c r="W137">
        <f>Levels!U137</f>
        <v>-1.631804649</v>
      </c>
      <c r="X137">
        <f>Levels!AB137</f>
        <v>-1.3836903044291</v>
      </c>
    </row>
    <row r="138" spans="1:24" x14ac:dyDescent="0.35">
      <c r="A138" t="str">
        <f>Levels!A138</f>
        <v>2005Q1</v>
      </c>
      <c r="B138">
        <f>Levels!B138/Levels!$R138</f>
        <v>19119.690523888377</v>
      </c>
      <c r="C138">
        <f>Levels!C138/Levels!$R138</f>
        <v>2546435.2863278864</v>
      </c>
      <c r="D138">
        <f>Levels!D138/Levels!R138</f>
        <v>4891400.1818197677</v>
      </c>
      <c r="E138">
        <f>Levels!V138/Levels!R138</f>
        <v>19188458.843212616</v>
      </c>
      <c r="F138">
        <f>Levels!E138</f>
        <v>3182.8890000000001</v>
      </c>
      <c r="G138">
        <f>Levels!F138</f>
        <v>9710.935725083511</v>
      </c>
      <c r="H138">
        <f>Levels!G138</f>
        <v>1.5</v>
      </c>
      <c r="I138">
        <f>Levels!Y138</f>
        <v>0.11300424825487555</v>
      </c>
      <c r="J138">
        <f>Levels!AD138</f>
        <v>0.15856197234719294</v>
      </c>
      <c r="K138">
        <f>Levels!AC138</f>
        <v>2.4700000000000002</v>
      </c>
      <c r="L138">
        <f>Levels!I138</f>
        <v>2.548944890710382</v>
      </c>
      <c r="M138">
        <f>Levels!J138</f>
        <v>3.0762598405564998</v>
      </c>
      <c r="N138">
        <f>Levels!K138</f>
        <v>1.4266276722723701</v>
      </c>
      <c r="O138">
        <v>-0.89229999999999998</v>
      </c>
      <c r="P138">
        <f>Levels!M138</f>
        <v>1.587472852759249</v>
      </c>
      <c r="Q138">
        <f>Levels!N138</f>
        <v>0.52302710480019132</v>
      </c>
      <c r="R138">
        <f>Levels!O138</f>
        <v>0.76869239723369798</v>
      </c>
      <c r="S138">
        <f>Levels!P138</f>
        <v>0.82520634690498496</v>
      </c>
      <c r="T138">
        <f>Levels!Q138</f>
        <v>14767.846</v>
      </c>
      <c r="U138">
        <f>Levels!S138</f>
        <v>-0.33342692299999999</v>
      </c>
      <c r="V138">
        <f>Levels!T138</f>
        <v>1.101377611</v>
      </c>
      <c r="W138">
        <f>Levels!U138</f>
        <v>-0.15048141300000001</v>
      </c>
      <c r="X138">
        <f>Levels!AB138</f>
        <v>-0.95462006101755403</v>
      </c>
    </row>
    <row r="139" spans="1:24" x14ac:dyDescent="0.35">
      <c r="A139" t="str">
        <f>Levels!A139</f>
        <v>2005Q2</v>
      </c>
      <c r="B139">
        <f>Levels!B139/Levels!$R139</f>
        <v>19599.245017129375</v>
      </c>
      <c r="C139">
        <f>Levels!C139/Levels!$R139</f>
        <v>2500028.5197162018</v>
      </c>
      <c r="D139">
        <f>Levels!D139/Levels!R139</f>
        <v>5010404.4555053748</v>
      </c>
      <c r="E139">
        <f>Levels!V139/Levels!R139</f>
        <v>19423405.805986073</v>
      </c>
      <c r="F139">
        <f>Levels!E139</f>
        <v>3230.0790000000002</v>
      </c>
      <c r="G139">
        <f>Levels!F139</f>
        <v>9826.5282306413501</v>
      </c>
      <c r="H139">
        <f>Levels!G139</f>
        <v>2</v>
      </c>
      <c r="I139">
        <f>Levels!Y139</f>
        <v>7.549427818557311E-2</v>
      </c>
      <c r="J139">
        <f>Levels!AD139</f>
        <v>-9.7087910480384898E-2</v>
      </c>
      <c r="K139">
        <f>Levels!AC139</f>
        <v>2.9433333333333334</v>
      </c>
      <c r="L139">
        <f>Levels!I139</f>
        <v>2.4272997023809522</v>
      </c>
      <c r="M139">
        <f>Levels!J139</f>
        <v>3.07612829260975</v>
      </c>
      <c r="N139">
        <f>Levels!K139</f>
        <v>1.48076903686325</v>
      </c>
      <c r="O139">
        <v>-0.52839999999999998</v>
      </c>
      <c r="P139">
        <f>Levels!M139</f>
        <v>1.6577080217489941</v>
      </c>
      <c r="Q139">
        <f>Levels!N139</f>
        <v>0.20706505093577313</v>
      </c>
      <c r="R139">
        <f>Levels!O139</f>
        <v>0.77216402336853596</v>
      </c>
      <c r="S139">
        <f>Levels!P139</f>
        <v>0.82140675881406799</v>
      </c>
      <c r="T139">
        <f>Levels!Q139</f>
        <v>14839.707</v>
      </c>
      <c r="U139">
        <f>Levels!S139</f>
        <v>0.22155125000000001</v>
      </c>
      <c r="V139">
        <f>Levels!T139</f>
        <v>-0.95245603099999998</v>
      </c>
      <c r="W139">
        <f>Levels!U139</f>
        <v>-1.601898815</v>
      </c>
      <c r="X139">
        <f>Levels!AB139</f>
        <v>-1.8719707103301</v>
      </c>
    </row>
    <row r="140" spans="1:24" x14ac:dyDescent="0.35">
      <c r="A140" t="str">
        <f>Levels!A140</f>
        <v>2005Q3</v>
      </c>
      <c r="B140">
        <f>Levels!B140/Levels!$R140</f>
        <v>20071.773198752304</v>
      </c>
      <c r="C140">
        <f>Levels!C140/Levels!$R140</f>
        <v>2518506.8460582322</v>
      </c>
      <c r="D140">
        <f>Levels!D140/Levels!R140</f>
        <v>5067246.0495040342</v>
      </c>
      <c r="E140">
        <f>Levels!V140/Levels!R140</f>
        <v>20019067.562102322</v>
      </c>
      <c r="F140">
        <f>Levels!E140</f>
        <v>3276.7339999999999</v>
      </c>
      <c r="G140">
        <f>Levels!F140</f>
        <v>9962.1914416250202</v>
      </c>
      <c r="H140">
        <f>Levels!G140</f>
        <v>1.6</v>
      </c>
      <c r="I140">
        <f>Levels!Y140</f>
        <v>8.0450180762108345E-2</v>
      </c>
      <c r="J140">
        <f>Levels!AD140</f>
        <v>-2.2574672364573778E-2</v>
      </c>
      <c r="K140">
        <f>Levels!AC140</f>
        <v>3.46</v>
      </c>
      <c r="L140">
        <f>Levels!I140</f>
        <v>2.5071048214285714</v>
      </c>
      <c r="M140">
        <f>Levels!J140</f>
        <v>3.0842003397735298</v>
      </c>
      <c r="N140">
        <f>Levels!K140</f>
        <v>1.3007272389095901</v>
      </c>
      <c r="O140">
        <v>-0.66410000000000002</v>
      </c>
      <c r="P140">
        <f>Levels!M140</f>
        <v>1.4688413942425891</v>
      </c>
      <c r="Q140">
        <f>Levels!N140</f>
        <v>0.73216386304244663</v>
      </c>
      <c r="R140">
        <f>Levels!O140</f>
        <v>0.83002223813561204</v>
      </c>
      <c r="S140">
        <f>Levels!P140</f>
        <v>0.79765321159288005</v>
      </c>
      <c r="T140">
        <f>Levels!Q140</f>
        <v>14956.290999999999</v>
      </c>
      <c r="U140">
        <f>Levels!S140</f>
        <v>-0.47245991199999998</v>
      </c>
      <c r="V140">
        <f>Levels!T140</f>
        <v>-6.0333774529999999</v>
      </c>
      <c r="W140">
        <f>Levels!U140</f>
        <v>2.2548150999999999E-2</v>
      </c>
      <c r="X140">
        <f>Levels!AB140</f>
        <v>-0.36092587211071198</v>
      </c>
    </row>
    <row r="141" spans="1:24" x14ac:dyDescent="0.35">
      <c r="A141" t="str">
        <f>Levels!A141</f>
        <v>2005Q4</v>
      </c>
      <c r="B141">
        <f>Levels!B141/Levels!$R141</f>
        <v>20519.796378349638</v>
      </c>
      <c r="C141">
        <f>Levels!C141/Levels!$R141</f>
        <v>2589628.1321898252</v>
      </c>
      <c r="D141">
        <f>Levels!D141/Levels!R141</f>
        <v>5246877.3525482165</v>
      </c>
      <c r="E141">
        <f>Levels!V141/Levels!R141</f>
        <v>20171038.286484525</v>
      </c>
      <c r="F141">
        <f>Levels!E141</f>
        <v>3290.41</v>
      </c>
      <c r="G141">
        <f>Levels!F141</f>
        <v>10006.179138207695</v>
      </c>
      <c r="H141">
        <f>Levels!G141</f>
        <v>1.7</v>
      </c>
      <c r="I141">
        <f>Levels!Y141</f>
        <v>0.11246201503385131</v>
      </c>
      <c r="J141">
        <f>Levels!AD141</f>
        <v>6.0129080656953215E-2</v>
      </c>
      <c r="K141">
        <f>Levels!AC141</f>
        <v>3.98</v>
      </c>
      <c r="L141">
        <f>Levels!I141</f>
        <v>2.7988126736924284</v>
      </c>
      <c r="M141">
        <f>Levels!J141</f>
        <v>3.0967915129144101</v>
      </c>
      <c r="N141">
        <f>Levels!K141</f>
        <v>1.39680344666482</v>
      </c>
      <c r="O141">
        <v>-0.44379999999999997</v>
      </c>
      <c r="P141">
        <f>Levels!M141</f>
        <v>1.563249763986476</v>
      </c>
      <c r="Q141">
        <f>Levels!N141</f>
        <v>-0.33562130251333466</v>
      </c>
      <c r="R141">
        <f>Levels!O141</f>
        <v>0.85244193066571805</v>
      </c>
      <c r="S141">
        <f>Levels!P141</f>
        <v>0.79290126226275603</v>
      </c>
      <c r="T141">
        <f>Levels!Q141</f>
        <v>15041.232</v>
      </c>
      <c r="U141">
        <f>Levels!S141</f>
        <v>1.4914216899999999</v>
      </c>
      <c r="V141">
        <f>Levels!T141</f>
        <v>5.1883554739999997</v>
      </c>
      <c r="W141">
        <f>Levels!U141</f>
        <v>-2.0310206370000001</v>
      </c>
      <c r="X141">
        <f>Levels!AB141</f>
        <v>-1.7471758331187801</v>
      </c>
    </row>
    <row r="142" spans="1:24" x14ac:dyDescent="0.35">
      <c r="A142" t="str">
        <f>Levels!A142</f>
        <v>2006Q1</v>
      </c>
      <c r="B142">
        <f>Levels!B142/Levels!$R142</f>
        <v>21078.523857310891</v>
      </c>
      <c r="C142">
        <f>Levels!C142/Levels!$R142</f>
        <v>2592566.5029606125</v>
      </c>
      <c r="D142">
        <f>Levels!D142/Levels!R142</f>
        <v>5363877.6075448543</v>
      </c>
      <c r="E142">
        <f>Levels!V142/Levels!R142</f>
        <v>20882358.570882209</v>
      </c>
      <c r="F142">
        <f>Levels!E142</f>
        <v>3355.5419999999999</v>
      </c>
      <c r="G142">
        <f>Levels!F142</f>
        <v>10110.364287530057</v>
      </c>
      <c r="H142">
        <f>Levels!G142</f>
        <v>2.5</v>
      </c>
      <c r="I142">
        <f>Levels!Y142</f>
        <v>0.16657561618472744</v>
      </c>
      <c r="J142">
        <f>Levels!AD142</f>
        <v>-4.0704608239543472E-3</v>
      </c>
      <c r="K142">
        <f>Levels!AC142</f>
        <v>4.456666666666667</v>
      </c>
      <c r="L142">
        <f>Levels!I142</f>
        <v>2.9066598694316435</v>
      </c>
      <c r="M142">
        <f>Levels!J142</f>
        <v>3.1082325698920599</v>
      </c>
      <c r="N142">
        <f>Levels!K142</f>
        <v>1.20038239074469</v>
      </c>
      <c r="O142">
        <v>-0.47170000000000001</v>
      </c>
      <c r="P142">
        <f>Levels!M142</f>
        <v>1.3767233347300329</v>
      </c>
      <c r="Q142">
        <f>Levels!N142</f>
        <v>0.50583602845371534</v>
      </c>
      <c r="R142">
        <f>Levels!O142</f>
        <v>0.81281303139036198</v>
      </c>
      <c r="S142">
        <f>Levels!P142</f>
        <v>0.78278353377298104</v>
      </c>
      <c r="T142">
        <f>Levels!Q142</f>
        <v>15244.088</v>
      </c>
      <c r="U142">
        <f>Levels!S142</f>
        <v>-1.1392052340000001</v>
      </c>
      <c r="V142">
        <f>Levels!T142</f>
        <v>-0.27009372300000001</v>
      </c>
      <c r="W142">
        <f>Levels!U142</f>
        <v>-1.1713850699999999</v>
      </c>
      <c r="X142">
        <f>Levels!AB142</f>
        <v>-1.3932730464276599</v>
      </c>
    </row>
    <row r="143" spans="1:24" x14ac:dyDescent="0.35">
      <c r="A143" t="str">
        <f>Levels!A143</f>
        <v>2006Q2</v>
      </c>
      <c r="B143">
        <f>Levels!B143/Levels!$R143</f>
        <v>21633.057432400543</v>
      </c>
      <c r="C143">
        <f>Levels!C143/Levels!$R143</f>
        <v>2550749.7140933746</v>
      </c>
      <c r="D143">
        <f>Levels!D143/Levels!R143</f>
        <v>5454834.5254243305</v>
      </c>
      <c r="E143">
        <f>Levels!V143/Levels!R143</f>
        <v>21099364.81510007</v>
      </c>
      <c r="F143">
        <f>Levels!E143</f>
        <v>3345.6750000000002</v>
      </c>
      <c r="G143">
        <f>Levels!F143</f>
        <v>10197.214749910489</v>
      </c>
      <c r="H143">
        <f>Levels!G143</f>
        <v>2.2000000000000002</v>
      </c>
      <c r="I143">
        <f>Levels!Y143</f>
        <v>0.1802634362598928</v>
      </c>
      <c r="J143">
        <f>Levels!AD143</f>
        <v>1.0785440343722641E-2</v>
      </c>
      <c r="K143">
        <f>Levels!AC143</f>
        <v>4.9066666666666663</v>
      </c>
      <c r="L143">
        <f>Levels!I143</f>
        <v>3.4140581746031744</v>
      </c>
      <c r="M143">
        <f>Levels!J143</f>
        <v>3.1059310030471399</v>
      </c>
      <c r="N143">
        <f>Levels!K143</f>
        <v>1.3472237197575301</v>
      </c>
      <c r="O143">
        <v>-0.47360000000000002</v>
      </c>
      <c r="P143">
        <f>Levels!M143</f>
        <v>1.548338179758703</v>
      </c>
      <c r="Q143">
        <f>Levels!N143</f>
        <v>0.51488654356036967</v>
      </c>
      <c r="R143">
        <f>Levels!O143</f>
        <v>0.79159535224439403</v>
      </c>
      <c r="S143">
        <f>Levels!P143</f>
        <v>0.76788462717329198</v>
      </c>
      <c r="T143">
        <f>Levels!Q143</f>
        <v>15281.525</v>
      </c>
      <c r="U143">
        <f>Levels!S143</f>
        <v>-0.36859059500000002</v>
      </c>
      <c r="V143">
        <f>Levels!T143</f>
        <v>-0.55148860499999997</v>
      </c>
      <c r="W143">
        <f>Levels!U143</f>
        <v>-1.173905907</v>
      </c>
      <c r="X143">
        <f>Levels!AB143</f>
        <v>-5.7801027507976999E-2</v>
      </c>
    </row>
    <row r="144" spans="1:24" x14ac:dyDescent="0.35">
      <c r="A144" t="str">
        <f>Levels!A144</f>
        <v>2006Q3</v>
      </c>
      <c r="B144">
        <f>Levels!B144/Levels!$R144</f>
        <v>22090.972435868709</v>
      </c>
      <c r="C144">
        <f>Levels!C144/Levels!$R144</f>
        <v>2598945.7085615378</v>
      </c>
      <c r="D144">
        <f>Levels!D144/Levels!R144</f>
        <v>5563289.4427155219</v>
      </c>
      <c r="E144">
        <f>Levels!V144/Levels!R144</f>
        <v>21780595.037280891</v>
      </c>
      <c r="F144">
        <f>Levels!E144</f>
        <v>3320.6419999999998</v>
      </c>
      <c r="G144">
        <f>Levels!F144</f>
        <v>10273.53829975133</v>
      </c>
      <c r="H144">
        <f>Levels!G144</f>
        <v>2.2999999999999998</v>
      </c>
      <c r="I144">
        <f>Levels!Y144</f>
        <v>0.20014707918026658</v>
      </c>
      <c r="J144">
        <f>Levels!AD144</f>
        <v>-1.1076297894823228E-2</v>
      </c>
      <c r="K144">
        <f>Levels!AC144</f>
        <v>5.246666666666667</v>
      </c>
      <c r="L144">
        <f>Levels!I144</f>
        <v>3.2503720634920636</v>
      </c>
      <c r="M144">
        <f>Levels!J144</f>
        <v>3.12135860301116</v>
      </c>
      <c r="N144">
        <f>Levels!K144</f>
        <v>1.4189135969200599</v>
      </c>
      <c r="O144">
        <v>-0.47199999999999998</v>
      </c>
      <c r="P144">
        <f>Levels!M144</f>
        <v>1.6362822966003139</v>
      </c>
      <c r="Q144">
        <f>Levels!N144</f>
        <v>6.1196052330966669E-4</v>
      </c>
      <c r="R144">
        <f>Levels!O144</f>
        <v>0.79311213653387602</v>
      </c>
      <c r="S144">
        <f>Levels!P144</f>
        <v>0.74556562662223702</v>
      </c>
      <c r="T144">
        <f>Levels!Q144</f>
        <v>15304.517</v>
      </c>
      <c r="U144">
        <f>Levels!S144</f>
        <v>0.19327999400000001</v>
      </c>
      <c r="V144">
        <f>Levels!T144</f>
        <v>-2.618434385</v>
      </c>
      <c r="W144">
        <f>Levels!U144</f>
        <v>-1.14544862</v>
      </c>
      <c r="X144">
        <f>Levels!AB144</f>
        <v>-2.0334011991962102</v>
      </c>
    </row>
    <row r="145" spans="1:24" x14ac:dyDescent="0.35">
      <c r="A145" t="str">
        <f>Levels!A145</f>
        <v>2006Q4</v>
      </c>
      <c r="B145">
        <f>Levels!B145/Levels!$R145</f>
        <v>22629.242388859624</v>
      </c>
      <c r="C145">
        <f>Levels!C145/Levels!$R145</f>
        <v>2682981.9490873637</v>
      </c>
      <c r="D145">
        <f>Levels!D145/Levels!R145</f>
        <v>5852150.8888009852</v>
      </c>
      <c r="E145">
        <f>Levels!V145/Levels!R145</f>
        <v>22029701.900742572</v>
      </c>
      <c r="F145">
        <f>Levels!E145</f>
        <v>3305.3820000000001</v>
      </c>
      <c r="G145">
        <f>Levels!F145</f>
        <v>10287.284548952075</v>
      </c>
      <c r="H145">
        <f>Levels!G145</f>
        <v>2.1</v>
      </c>
      <c r="I145">
        <f>Levels!Y145</f>
        <v>0.40776351893288088</v>
      </c>
      <c r="J145">
        <f>Levels!AD145</f>
        <v>4.5924930014180632E-3</v>
      </c>
      <c r="K145">
        <f>Levels!AC145</f>
        <v>5.246666666666667</v>
      </c>
      <c r="L145">
        <f>Levels!I145</f>
        <v>3.0052444470046087</v>
      </c>
      <c r="M145">
        <f>Levels!J145</f>
        <v>3.1468908607184498</v>
      </c>
      <c r="N145">
        <f>Levels!K145</f>
        <v>1.23619169823757</v>
      </c>
      <c r="O145">
        <v>-0.5998</v>
      </c>
      <c r="P145">
        <f>Levels!M145</f>
        <v>1.5089597987443741</v>
      </c>
      <c r="Q145">
        <f>Levels!N145</f>
        <v>-0.18063921721902235</v>
      </c>
      <c r="R145">
        <f>Levels!O145</f>
        <v>0.78660432623930598</v>
      </c>
      <c r="S145">
        <f>Levels!P145</f>
        <v>0.72747030259686196</v>
      </c>
      <c r="T145">
        <f>Levels!Q145</f>
        <v>15433.643</v>
      </c>
      <c r="U145">
        <f>Levels!S145</f>
        <v>-0.93646935899999995</v>
      </c>
      <c r="V145">
        <f>Levels!T145</f>
        <v>1.174893499</v>
      </c>
      <c r="W145">
        <f>Levels!U145</f>
        <v>-1.0724309540000001</v>
      </c>
      <c r="X145">
        <f>Levels!AB145</f>
        <v>-1.5470707216006501</v>
      </c>
    </row>
    <row r="146" spans="1:24" x14ac:dyDescent="0.35">
      <c r="A146" t="str">
        <f>Levels!A146</f>
        <v>2007Q1</v>
      </c>
      <c r="B146">
        <f>Levels!B146/Levels!$R146</f>
        <v>23038.021600205593</v>
      </c>
      <c r="C146">
        <f>Levels!C146/Levels!$R146</f>
        <v>2690313.1976801949</v>
      </c>
      <c r="D146">
        <f>Levels!D146/Levels!R146</f>
        <v>5981588.4898475967</v>
      </c>
      <c r="E146">
        <f>Levels!V146/Levels!R146</f>
        <v>22905354.229067847</v>
      </c>
      <c r="F146">
        <f>Levels!E146</f>
        <v>3306.0369999999998</v>
      </c>
      <c r="G146">
        <f>Levels!F146</f>
        <v>10383.844502853888</v>
      </c>
      <c r="H146">
        <f>Levels!G146</f>
        <v>1.3</v>
      </c>
      <c r="I146">
        <f>Levels!Y146</f>
        <v>0.83426760766351615</v>
      </c>
      <c r="J146">
        <f>Levels!AD146</f>
        <v>2.4824863199810476E-3</v>
      </c>
      <c r="K146">
        <f>Levels!AC146</f>
        <v>5.2566666666666668</v>
      </c>
      <c r="L146">
        <f>Levels!I146</f>
        <v>3.0694715437788016</v>
      </c>
      <c r="M146">
        <f>Levels!J146</f>
        <v>3.1538817268239701</v>
      </c>
      <c r="N146">
        <f>Levels!K146</f>
        <v>1.3670960682334401</v>
      </c>
      <c r="O146">
        <v>-0.64870000000000005</v>
      </c>
      <c r="P146">
        <f>Levels!M146</f>
        <v>1.66147405862702</v>
      </c>
      <c r="Q146">
        <f>Levels!N146</f>
        <v>0.58361968885565607</v>
      </c>
      <c r="R146">
        <f>Levels!O146</f>
        <v>0.77333290675575606</v>
      </c>
      <c r="S146">
        <f>Levels!P146</f>
        <v>0.73196210699521702</v>
      </c>
      <c r="T146">
        <f>Levels!Q146</f>
        <v>15478.956</v>
      </c>
      <c r="U146">
        <f>Levels!S146</f>
        <v>-0.44205258600000003</v>
      </c>
      <c r="V146">
        <f>Levels!T146</f>
        <v>0.27277616199999999</v>
      </c>
      <c r="W146">
        <f>Levels!U146</f>
        <v>-9.5231854000000005E-2</v>
      </c>
      <c r="X146">
        <f>Levels!AB146</f>
        <v>-0.68026959785795205</v>
      </c>
    </row>
    <row r="147" spans="1:24" x14ac:dyDescent="0.35">
      <c r="A147" t="str">
        <f>Levels!A147</f>
        <v>2007Q2</v>
      </c>
      <c r="B147">
        <f>Levels!B147/Levels!$R147</f>
        <v>23632.640951860561</v>
      </c>
      <c r="C147">
        <f>Levels!C147/Levels!$R147</f>
        <v>2629528.4383653579</v>
      </c>
      <c r="D147">
        <f>Levels!D147/Levels!R147</f>
        <v>6110417.8164539523</v>
      </c>
      <c r="E147">
        <f>Levels!V147/Levels!R147</f>
        <v>23515925.064025003</v>
      </c>
      <c r="F147">
        <f>Levels!E147</f>
        <v>3330.1680000000001</v>
      </c>
      <c r="G147">
        <f>Levels!F147</f>
        <v>10434.829653558012</v>
      </c>
      <c r="H147">
        <f>Levels!G147</f>
        <v>1.5</v>
      </c>
      <c r="I147">
        <f>Levels!Y147</f>
        <v>1.334421786931308</v>
      </c>
      <c r="J147">
        <f>Levels!AD147</f>
        <v>5.358414922331578E-3</v>
      </c>
      <c r="K147">
        <f>Levels!AC147</f>
        <v>5.25</v>
      </c>
      <c r="L147">
        <f>Levels!I147</f>
        <v>3.2587201785714286</v>
      </c>
      <c r="M147">
        <f>Levels!J147</f>
        <v>3.17674143672948</v>
      </c>
      <c r="N147">
        <f>Levels!K147</f>
        <v>1.3301875076657399</v>
      </c>
      <c r="O147">
        <v>-0.58279999999999998</v>
      </c>
      <c r="P147">
        <f>Levels!M147</f>
        <v>1.6271294576904158</v>
      </c>
      <c r="Q147">
        <f>Levels!N147</f>
        <v>0.48482855126064139</v>
      </c>
      <c r="R147">
        <f>Levels!O147</f>
        <v>0.74849075167825496</v>
      </c>
      <c r="S147">
        <f>Levels!P147</f>
        <v>0.78489141819516095</v>
      </c>
      <c r="T147">
        <f>Levels!Q147</f>
        <v>15577.779</v>
      </c>
      <c r="U147">
        <f>Levels!S147</f>
        <v>-0.55798038699999997</v>
      </c>
      <c r="V147">
        <f>Levels!T147</f>
        <v>0.58176146900000003</v>
      </c>
      <c r="W147">
        <f>Levels!U147</f>
        <v>1.114327192</v>
      </c>
      <c r="X147">
        <f>Levels!AB147</f>
        <v>4.54128765716484E-2</v>
      </c>
    </row>
    <row r="148" spans="1:24" x14ac:dyDescent="0.35">
      <c r="A148" t="str">
        <f>Levels!A148</f>
        <v>2007Q3</v>
      </c>
      <c r="B148">
        <f>Levels!B148/Levels!$R148</f>
        <v>24163.626668711968</v>
      </c>
      <c r="C148">
        <f>Levels!C148/Levels!$R148</f>
        <v>2763446.8103538528</v>
      </c>
      <c r="D148">
        <f>Levels!D148/Levels!R148</f>
        <v>6337648.5794690754</v>
      </c>
      <c r="E148">
        <f>Levels!V148/Levels!R148</f>
        <v>23854669.169625729</v>
      </c>
      <c r="F148">
        <f>Levels!E148</f>
        <v>3316.2440000000001</v>
      </c>
      <c r="G148">
        <f>Levels!F148</f>
        <v>10508.859153769636</v>
      </c>
      <c r="H148">
        <f>Levels!G148</f>
        <v>0.7</v>
      </c>
      <c r="I148">
        <f>Levels!Y148</f>
        <v>1.8826513557728648</v>
      </c>
      <c r="J148">
        <f>Levels!AD148</f>
        <v>-2.1421545506425943E-2</v>
      </c>
      <c r="K148">
        <f>Levels!AC148</f>
        <v>5.0733333333333333</v>
      </c>
      <c r="L148">
        <f>Levels!I148</f>
        <v>3.160954126984127</v>
      </c>
      <c r="M148">
        <f>Levels!J148</f>
        <v>3.1751436645684601</v>
      </c>
      <c r="N148">
        <f>Levels!K148</f>
        <v>1.4522043479054301</v>
      </c>
      <c r="O148">
        <v>-2.46E-2</v>
      </c>
      <c r="P148">
        <f>Levels!M148</f>
        <v>1.769403906923241</v>
      </c>
      <c r="Q148">
        <f>Levels!N148</f>
        <v>2.2254265682325525E-2</v>
      </c>
      <c r="R148">
        <f>Levels!O148</f>
        <v>0.78006584586393501</v>
      </c>
      <c r="S148">
        <f>Levels!P148</f>
        <v>0.84998346739880604</v>
      </c>
      <c r="T148">
        <f>Levels!Q148</f>
        <v>15671.605</v>
      </c>
      <c r="U148">
        <f>Levels!S148</f>
        <v>1.2648060779999999</v>
      </c>
      <c r="V148">
        <f>Levels!T148</f>
        <v>-1.108663468</v>
      </c>
      <c r="W148">
        <f>Levels!U148</f>
        <v>-0.21925197399999999</v>
      </c>
      <c r="X148">
        <f>Levels!AB148</f>
        <v>0.66618344230118798</v>
      </c>
    </row>
    <row r="149" spans="1:24" x14ac:dyDescent="0.35">
      <c r="A149" t="str">
        <f>Levels!A149</f>
        <v>2007Q4</v>
      </c>
      <c r="B149">
        <f>Levels!B149/Levels!$R149</f>
        <v>24655.826444797807</v>
      </c>
      <c r="C149">
        <f>Levels!C149/Levels!$R149</f>
        <v>2857604.7598557891</v>
      </c>
      <c r="D149">
        <f>Levels!D149/Levels!R149</f>
        <v>6534934.0843333257</v>
      </c>
      <c r="E149">
        <f>Levels!V149/Levels!R149</f>
        <v>23854028.620542616</v>
      </c>
      <c r="F149">
        <f>Levels!E149</f>
        <v>3297.634</v>
      </c>
      <c r="G149">
        <f>Levels!F149</f>
        <v>10603.532288866463</v>
      </c>
      <c r="H149">
        <f>Levels!G149</f>
        <v>-0.1</v>
      </c>
      <c r="I149">
        <f>Levels!Y149</f>
        <v>1.6162570722060794</v>
      </c>
      <c r="J149">
        <f>Levels!AD149</f>
        <v>-3.6562726821989577E-2</v>
      </c>
      <c r="K149">
        <f>Levels!AC149</f>
        <v>4.496666666666667</v>
      </c>
      <c r="L149">
        <f>Levels!I149</f>
        <v>2.6936493317972348</v>
      </c>
      <c r="M149">
        <f>Levels!J149</f>
        <v>3.1676964265542198</v>
      </c>
      <c r="N149">
        <f>Levels!K149</f>
        <v>1.57877711678196</v>
      </c>
      <c r="O149">
        <v>0.1381</v>
      </c>
      <c r="P149">
        <f>Levels!M149</f>
        <v>1.903443270653205</v>
      </c>
      <c r="Q149">
        <f>Levels!N149</f>
        <v>0.24693153572963891</v>
      </c>
      <c r="R149">
        <f>Levels!O149</f>
        <v>0.82503678395514402</v>
      </c>
      <c r="S149">
        <f>Levels!P149</f>
        <v>0.92715120588130595</v>
      </c>
      <c r="T149">
        <f>Levels!Q149</f>
        <v>15767.146000000001</v>
      </c>
      <c r="U149">
        <f>Levels!S149</f>
        <v>1.2672689150000001</v>
      </c>
      <c r="V149">
        <f>Levels!T149</f>
        <v>-0.72412404799999996</v>
      </c>
      <c r="W149">
        <f>Levels!U149</f>
        <v>1.0950355810000001</v>
      </c>
      <c r="X149">
        <f>Levels!AB149</f>
        <v>2.6356959425426698</v>
      </c>
    </row>
    <row r="150" spans="1:24" x14ac:dyDescent="0.35">
      <c r="A150" t="str">
        <f>Levels!A150</f>
        <v>2008Q1</v>
      </c>
      <c r="B150">
        <f>Levels!B150/Levels!$R150</f>
        <v>24949.739042765381</v>
      </c>
      <c r="C150">
        <f>Levels!C150/Levels!$R150</f>
        <v>2854609.3591057407</v>
      </c>
      <c r="D150">
        <f>Levels!D150/Levels!R150</f>
        <v>6500209.8957451349</v>
      </c>
      <c r="E150">
        <f>Levels!V150/Levels!R150</f>
        <v>24532310.125807438</v>
      </c>
      <c r="F150">
        <f>Levels!E150</f>
        <v>3254.2869999999998</v>
      </c>
      <c r="G150">
        <f>Levels!F150</f>
        <v>10614.135675456484</v>
      </c>
      <c r="H150">
        <f>Levels!G150</f>
        <v>-0.5</v>
      </c>
      <c r="I150">
        <f>Levels!Y150</f>
        <v>2.7396025544752005</v>
      </c>
      <c r="J150">
        <f>Levels!AD150</f>
        <v>1.5014132183503781E-2</v>
      </c>
      <c r="K150">
        <f>Levels!AC150</f>
        <v>3.1766666666666667</v>
      </c>
      <c r="L150">
        <f>Levels!I150</f>
        <v>2.098882806401249</v>
      </c>
      <c r="M150">
        <f>Levels!J150</f>
        <v>3.1303174302730699</v>
      </c>
      <c r="N150">
        <f>Levels!K150</f>
        <v>1.9503247849066201</v>
      </c>
      <c r="O150">
        <v>0.83560000000000001</v>
      </c>
      <c r="P150">
        <f>Levels!M150</f>
        <v>2.2772470486891683</v>
      </c>
      <c r="Q150">
        <f>Levels!N150</f>
        <v>0.55143005295159464</v>
      </c>
      <c r="R150">
        <f>Levels!O150</f>
        <v>0.853202561396045</v>
      </c>
      <c r="S150">
        <f>Levels!P150</f>
        <v>0.99395178130416695</v>
      </c>
      <c r="T150">
        <f>Levels!Q150</f>
        <v>15702.906000000001</v>
      </c>
      <c r="U150">
        <f>Levels!S150</f>
        <v>0.106650221</v>
      </c>
      <c r="V150">
        <f>Levels!T150</f>
        <v>1.9567424999999999E-2</v>
      </c>
      <c r="W150">
        <f>Levels!U150</f>
        <v>1.1452982540000001</v>
      </c>
      <c r="X150">
        <f>Levels!AB150</f>
        <v>-0.122932178503563</v>
      </c>
    </row>
    <row r="151" spans="1:24" x14ac:dyDescent="0.35">
      <c r="A151" t="str">
        <f>Levels!A151</f>
        <v>2008Q2</v>
      </c>
      <c r="B151">
        <f>Levels!B151/Levels!$R151</f>
        <v>25062.840485194192</v>
      </c>
      <c r="C151">
        <f>Levels!C151/Levels!$R151</f>
        <v>2680232.5899160197</v>
      </c>
      <c r="D151">
        <f>Levels!D151/Levels!R151</f>
        <v>6483664.9570020447</v>
      </c>
      <c r="E151">
        <f>Levels!V151/Levels!R151</f>
        <v>23925616.634698253</v>
      </c>
      <c r="F151">
        <f>Levels!E151</f>
        <v>3244.4639999999999</v>
      </c>
      <c r="G151">
        <f>Levels!F151</f>
        <v>10689.898185266655</v>
      </c>
      <c r="H151">
        <f>Levels!G151</f>
        <v>-1.6</v>
      </c>
      <c r="I151">
        <f>Levels!Y151</f>
        <v>4.0165885634993179</v>
      </c>
      <c r="J151">
        <f>Levels!AD151</f>
        <v>1.6604513687263012E-2</v>
      </c>
      <c r="K151">
        <f>Levels!AC151</f>
        <v>2.0866666666666669</v>
      </c>
      <c r="L151">
        <f>Levels!I151</f>
        <v>2.3169803571428567</v>
      </c>
      <c r="M151">
        <f>Levels!J151</f>
        <v>3.12773857803327</v>
      </c>
      <c r="N151">
        <f>Levels!K151</f>
        <v>1.9117318302874999</v>
      </c>
      <c r="O151">
        <v>0.61060000000000003</v>
      </c>
      <c r="P151">
        <f>Levels!M151</f>
        <v>2.22309163302985</v>
      </c>
      <c r="Q151">
        <f>Levels!N151</f>
        <v>0.81875537854566238</v>
      </c>
      <c r="R151">
        <f>Levels!O151</f>
        <v>0.91840631021671304</v>
      </c>
      <c r="S151">
        <f>Levels!P151</f>
        <v>1.0952449104214399</v>
      </c>
      <c r="T151">
        <f>Levels!Q151</f>
        <v>15792.772999999999</v>
      </c>
      <c r="U151">
        <f>Levels!S151</f>
        <v>3.257049715</v>
      </c>
      <c r="V151">
        <f>Levels!T151</f>
        <v>-2.358565714</v>
      </c>
      <c r="W151">
        <f>Levels!U151</f>
        <v>4.1027953410000002</v>
      </c>
      <c r="X151">
        <f>Levels!AB151</f>
        <v>0.65736594143238103</v>
      </c>
    </row>
    <row r="152" spans="1:24" x14ac:dyDescent="0.35">
      <c r="A152" t="str">
        <f>Levels!A152</f>
        <v>2008Q3</v>
      </c>
      <c r="B152">
        <f>Levels!B152/Levels!$R152</f>
        <v>25277.008107894926</v>
      </c>
      <c r="C152">
        <f>Levels!C152/Levels!$R152</f>
        <v>2950746.9837566358</v>
      </c>
      <c r="D152">
        <f>Levels!D152/Levels!R152</f>
        <v>6201240.1244121082</v>
      </c>
      <c r="E152">
        <f>Levels!V152/Levels!R152</f>
        <v>24229421.527824555</v>
      </c>
      <c r="F152">
        <f>Levels!E152</f>
        <v>3182.549</v>
      </c>
      <c r="G152">
        <f>Levels!F152</f>
        <v>10663.385265347111</v>
      </c>
      <c r="H152">
        <f>Levels!G152</f>
        <v>-2.2999999999999998</v>
      </c>
      <c r="I152">
        <f>Levels!Y152</f>
        <v>3.3778203733802243</v>
      </c>
      <c r="J152">
        <f>Levels!AD152</f>
        <v>-3.257573642263345E-2</v>
      </c>
      <c r="K152">
        <f>Levels!AC152</f>
        <v>1.94</v>
      </c>
      <c r="L152">
        <f>Levels!I152</f>
        <v>2.3002308333333334</v>
      </c>
      <c r="M152">
        <f>Levels!J152</f>
        <v>3.0597384362357198</v>
      </c>
      <c r="N152">
        <f>Levels!K152</f>
        <v>2.3305535559745798</v>
      </c>
      <c r="O152">
        <v>1.167</v>
      </c>
      <c r="P152">
        <f>Levels!M152</f>
        <v>2.6137960031915597</v>
      </c>
      <c r="Q152">
        <f>Levels!N152</f>
        <v>-4.1189889394719799E-3</v>
      </c>
      <c r="R152">
        <f>Levels!O152</f>
        <v>1.0630212749210299</v>
      </c>
      <c r="S152">
        <f>Levels!P152</f>
        <v>1.25834720443848</v>
      </c>
      <c r="T152">
        <f>Levels!Q152</f>
        <v>15709.562</v>
      </c>
      <c r="U152">
        <f>Levels!S152</f>
        <v>1.529706287</v>
      </c>
      <c r="V152">
        <f>Levels!T152</f>
        <v>-8.9944368879999992</v>
      </c>
      <c r="W152">
        <f>Levels!U152</f>
        <v>6.4248306949999998</v>
      </c>
      <c r="X152">
        <f>Levels!AB152</f>
        <v>10.7478847570454</v>
      </c>
    </row>
    <row r="153" spans="1:24" x14ac:dyDescent="0.35">
      <c r="A153" t="str">
        <f>Levels!A153</f>
        <v>2008Q4</v>
      </c>
      <c r="B153">
        <f>Levels!B153/Levels!$R153</f>
        <v>24999.276006871267</v>
      </c>
      <c r="C153">
        <f>Levels!C153/Levels!$R153</f>
        <v>3235074.2358649257</v>
      </c>
      <c r="D153">
        <f>Levels!D153/Levels!R153</f>
        <v>6329084.8731184825</v>
      </c>
      <c r="E153">
        <f>Levels!V153/Levels!R153</f>
        <v>23059040.178516533</v>
      </c>
      <c r="F153">
        <f>Levels!E153</f>
        <v>3011.5390000000002</v>
      </c>
      <c r="G153">
        <f>Levels!F153</f>
        <v>10342.657584776658</v>
      </c>
      <c r="H153">
        <f>Levels!G153</f>
        <v>-4.7</v>
      </c>
      <c r="I153">
        <f>Levels!Y153</f>
        <v>2.6536429796875121</v>
      </c>
      <c r="J153">
        <f>Levels!AD153</f>
        <v>1.4231537033582153E-3</v>
      </c>
      <c r="K153">
        <f>Levels!AC153</f>
        <v>0.50666666666666671</v>
      </c>
      <c r="L153">
        <f>Levels!I153</f>
        <v>1.6827007526881719</v>
      </c>
      <c r="M153">
        <f>Levels!J153</f>
        <v>2.9446285980965299</v>
      </c>
      <c r="N153">
        <f>Levels!K153</f>
        <v>2.7963724276258901</v>
      </c>
      <c r="O153">
        <v>1.9770000000000001</v>
      </c>
      <c r="P153">
        <f>Levels!M153</f>
        <v>3.1404942746504161</v>
      </c>
      <c r="Q153">
        <f>Levels!N153</f>
        <v>-1.3198900809154068</v>
      </c>
      <c r="R153">
        <f>Levels!O153</f>
        <v>1.1972307047594</v>
      </c>
      <c r="S153">
        <f>Levels!P153</f>
        <v>1.3933090022393899</v>
      </c>
      <c r="T153">
        <f>Levels!Q153</f>
        <v>15366.607</v>
      </c>
      <c r="U153">
        <f>Levels!S153</f>
        <v>0.89722970800000001</v>
      </c>
      <c r="V153">
        <f>Levels!T153</f>
        <v>2.6306926160000002</v>
      </c>
      <c r="W153">
        <f>Levels!U153</f>
        <v>-2.0537180949999998</v>
      </c>
      <c r="X153">
        <f>Levels!AB153</f>
        <v>0.74771310051486295</v>
      </c>
    </row>
    <row r="154" spans="1:24" x14ac:dyDescent="0.35">
      <c r="A154" t="str">
        <f>Levels!A154</f>
        <v>2009Q1</v>
      </c>
      <c r="B154">
        <f>Levels!B154/Levels!$R154</f>
        <v>24875.685509448245</v>
      </c>
      <c r="C154">
        <f>Levels!C154/Levels!$R154</f>
        <v>3272504.1886428846</v>
      </c>
      <c r="D154">
        <f>Levels!D154/Levels!R154</f>
        <v>6531830.5742321992</v>
      </c>
      <c r="E154">
        <f>Levels!V154/Levels!R154</f>
        <v>22840767.15003765</v>
      </c>
      <c r="F154">
        <f>Levels!E154</f>
        <v>2820.7539999999999</v>
      </c>
      <c r="G154">
        <f>Levels!F154</f>
        <v>10211.243681451817</v>
      </c>
      <c r="H154">
        <f>Levels!G154</f>
        <v>-6.8</v>
      </c>
      <c r="I154">
        <f>Levels!Y154</f>
        <v>2.972167968811593</v>
      </c>
      <c r="J154">
        <f>Levels!AD154</f>
        <v>3.0231729088317394E-2</v>
      </c>
      <c r="K154">
        <f>Levels!AC154</f>
        <v>0.18333333333333332</v>
      </c>
      <c r="L154">
        <f>Levels!I154</f>
        <v>1.1765230796252923</v>
      </c>
      <c r="M154">
        <f>Levels!J154</f>
        <v>2.90746587153687</v>
      </c>
      <c r="N154">
        <f>Levels!K154</f>
        <v>3.2801909176071602</v>
      </c>
      <c r="O154">
        <v>2.0463</v>
      </c>
      <c r="P154">
        <f>Levels!M154</f>
        <v>3.6339760696613022</v>
      </c>
      <c r="Q154">
        <f>Levels!N154</f>
        <v>0.39190329555803866</v>
      </c>
      <c r="R154">
        <f>Levels!O154</f>
        <v>1.1204241779467301</v>
      </c>
      <c r="S154">
        <f>Levels!P154</f>
        <v>1.3421580254559</v>
      </c>
      <c r="T154">
        <f>Levels!Q154</f>
        <v>15187.475</v>
      </c>
      <c r="U154">
        <f>Levels!S154</f>
        <v>-2.8895224690000001</v>
      </c>
      <c r="V154">
        <f>Levels!T154</f>
        <v>2.893567054</v>
      </c>
      <c r="W154">
        <f>Levels!U154</f>
        <v>0.99340765200000003</v>
      </c>
      <c r="X154">
        <f>Levels!AB154</f>
        <v>1.99270442004014</v>
      </c>
    </row>
    <row r="155" spans="1:24" x14ac:dyDescent="0.35">
      <c r="A155" t="str">
        <f>Levels!A155</f>
        <v>2009Q2</v>
      </c>
      <c r="B155">
        <f>Levels!B155/Levels!$R155</f>
        <v>24745.20596675577</v>
      </c>
      <c r="C155">
        <f>Levels!C155/Levels!$R155</f>
        <v>3459948.9821204757</v>
      </c>
      <c r="D155">
        <f>Levels!D155/Levels!R155</f>
        <v>6789831.7213622369</v>
      </c>
      <c r="E155">
        <f>Levels!V155/Levels!R155</f>
        <v>22807195.331430946</v>
      </c>
      <c r="F155">
        <f>Levels!E155</f>
        <v>2752.5659999999998</v>
      </c>
      <c r="G155">
        <f>Levels!F155</f>
        <v>10179.716076945047</v>
      </c>
      <c r="H155">
        <f>Levels!G155</f>
        <v>-8.5</v>
      </c>
      <c r="I155">
        <f>Levels!Y155</f>
        <v>1.4092412471708444</v>
      </c>
      <c r="J155">
        <f>Levels!AD155</f>
        <v>-2.5152833461964397E-3</v>
      </c>
      <c r="K155">
        <f>Levels!AC155</f>
        <v>0.18</v>
      </c>
      <c r="L155">
        <f>Levels!I155</f>
        <v>1.739461269841269</v>
      </c>
      <c r="M155">
        <f>Levels!J155</f>
        <v>2.9554340378322799</v>
      </c>
      <c r="N155">
        <f>Levels!K155</f>
        <v>3.0071331435374402</v>
      </c>
      <c r="O155">
        <v>1.0368999999999999</v>
      </c>
      <c r="P155">
        <f>Levels!M155</f>
        <v>3.3518698273155971</v>
      </c>
      <c r="Q155">
        <f>Levels!N155</f>
        <v>0.46583414586395994</v>
      </c>
      <c r="R155">
        <f>Levels!O155</f>
        <v>1.01625569520356</v>
      </c>
      <c r="S155">
        <f>Levels!P155</f>
        <v>1.21787166521074</v>
      </c>
      <c r="T155">
        <f>Levels!Q155</f>
        <v>15161.772000000001</v>
      </c>
      <c r="U155">
        <f>Levels!S155</f>
        <v>-1.4617979539999999</v>
      </c>
      <c r="V155">
        <f>Levels!T155</f>
        <v>-1.4446123040000001</v>
      </c>
      <c r="W155">
        <f>Levels!U155</f>
        <v>-2.0724753100000002</v>
      </c>
      <c r="X155">
        <f>Levels!AB155</f>
        <v>-2.1938422347783799</v>
      </c>
    </row>
    <row r="156" spans="1:24" x14ac:dyDescent="0.35">
      <c r="A156" t="str">
        <f>Levels!A156</f>
        <v>2009Q3</v>
      </c>
      <c r="B156">
        <f>Levels!B156/Levels!$R156</f>
        <v>24557.855586898451</v>
      </c>
      <c r="C156">
        <f>Levels!C156/Levels!$R156</f>
        <v>3577309.0394649808</v>
      </c>
      <c r="D156">
        <f>Levels!D156/Levels!R156</f>
        <v>7014325.9979980104</v>
      </c>
      <c r="E156">
        <f>Levels!V156/Levels!R156</f>
        <v>22711591.806425661</v>
      </c>
      <c r="F156">
        <f>Levels!E156</f>
        <v>2762.7040000000002</v>
      </c>
      <c r="G156">
        <f>Levels!F156</f>
        <v>10297.525676684148</v>
      </c>
      <c r="H156">
        <f>Levels!G156</f>
        <v>-8.5</v>
      </c>
      <c r="I156">
        <f>Levels!Y156</f>
        <v>0.60920967457329955</v>
      </c>
      <c r="J156">
        <f>Levels!AD156</f>
        <v>-1.3369792103968492E-2</v>
      </c>
      <c r="K156">
        <f>Levels!AC156</f>
        <v>0.15666666666666668</v>
      </c>
      <c r="L156">
        <f>Levels!I156</f>
        <v>1.9179455952380948</v>
      </c>
      <c r="M156">
        <f>Levels!J156</f>
        <v>3.0171891550935301</v>
      </c>
      <c r="N156">
        <f>Levels!K156</f>
        <v>2.7815203910410302</v>
      </c>
      <c r="O156">
        <v>-0.2051</v>
      </c>
      <c r="P156">
        <f>Levels!M156</f>
        <v>3.1001536308328621</v>
      </c>
      <c r="Q156">
        <f>Levels!N156</f>
        <v>4.2758127205102567E-2</v>
      </c>
      <c r="R156">
        <f>Levels!O156</f>
        <v>0.94372588060304696</v>
      </c>
      <c r="S156">
        <f>Levels!P156</f>
        <v>1.1046224249385499</v>
      </c>
      <c r="T156">
        <f>Levels!Q156</f>
        <v>15216.647000000001</v>
      </c>
      <c r="U156">
        <f>Levels!S156</f>
        <v>1.5699967210000001</v>
      </c>
      <c r="V156">
        <f>Levels!T156</f>
        <v>3.9122566559999998</v>
      </c>
      <c r="W156">
        <f>Levels!U156</f>
        <v>-0.72521951900000003</v>
      </c>
      <c r="X156">
        <f>Levels!AB156</f>
        <v>-0.23592210770480199</v>
      </c>
    </row>
    <row r="157" spans="1:24" x14ac:dyDescent="0.35">
      <c r="A157" t="str">
        <f>Levels!A157</f>
        <v>2009Q4</v>
      </c>
      <c r="B157">
        <f>Levels!B157/Levels!$R157</f>
        <v>24343.229808919903</v>
      </c>
      <c r="C157">
        <f>Levels!C157/Levels!$R157</f>
        <v>3644931.9075721968</v>
      </c>
      <c r="D157">
        <f>Levels!D157/Levels!R157</f>
        <v>7061197.8023801325</v>
      </c>
      <c r="E157">
        <f>Levels!V157/Levels!R157</f>
        <v>22600629.546065956</v>
      </c>
      <c r="F157">
        <f>Levels!E157</f>
        <v>2767.4070000000002</v>
      </c>
      <c r="G157">
        <f>Levels!F157</f>
        <v>10348.233366863948</v>
      </c>
      <c r="H157">
        <f>Levels!G157</f>
        <v>-6</v>
      </c>
      <c r="I157">
        <f>Levels!Y157</f>
        <v>0.6074332659911279</v>
      </c>
      <c r="J157">
        <f>Levels!AD157</f>
        <v>7.9272283410796174E-3</v>
      </c>
      <c r="K157">
        <f>Levels!AC157</f>
        <v>0.12</v>
      </c>
      <c r="L157">
        <f>Levels!I157</f>
        <v>1.8396184485407063</v>
      </c>
      <c r="M157">
        <f>Levels!J157</f>
        <v>3.04106423346864</v>
      </c>
      <c r="N157">
        <f>Levels!K157</f>
        <v>2.7829008608527301</v>
      </c>
      <c r="O157">
        <v>-0.42080000000000001</v>
      </c>
      <c r="P157">
        <f>Levels!M157</f>
        <v>3.0884101648467084</v>
      </c>
      <c r="Q157">
        <f>Levels!N157</f>
        <v>-3.0114538292490998E-3</v>
      </c>
      <c r="R157">
        <f>Levels!O157</f>
        <v>0.874515517066346</v>
      </c>
      <c r="S157">
        <f>Levels!P157</f>
        <v>1.05158792263747</v>
      </c>
      <c r="T157">
        <f>Levels!Q157</f>
        <v>15379.155000000001</v>
      </c>
      <c r="U157">
        <f>Levels!S157</f>
        <v>-0.226162433</v>
      </c>
      <c r="V157">
        <f>Levels!T157</f>
        <v>-0.40575211999999999</v>
      </c>
      <c r="W157">
        <f>Levels!U157</f>
        <v>-0.40133716200000003</v>
      </c>
      <c r="X157">
        <f>Levels!AB157</f>
        <v>-0.89444991533511597</v>
      </c>
    </row>
    <row r="158" spans="1:24" x14ac:dyDescent="0.35">
      <c r="A158" t="str">
        <f>Levels!A158</f>
        <v>2010Q1</v>
      </c>
      <c r="B158">
        <f>Levels!B158/Levels!$R158</f>
        <v>24202.179430603988</v>
      </c>
      <c r="C158">
        <f>Levels!C158/Levels!$R158</f>
        <v>3805131.5479634334</v>
      </c>
      <c r="D158">
        <f>Levels!D158/Levels!R158</f>
        <v>7191181.1051653903</v>
      </c>
      <c r="E158">
        <f>Levels!V158/Levels!R158</f>
        <v>22381499.364720058</v>
      </c>
      <c r="F158">
        <f>Levels!E158</f>
        <v>2757.2489999999998</v>
      </c>
      <c r="G158">
        <f>Levels!F158</f>
        <v>10412.60783799499</v>
      </c>
      <c r="H158">
        <f>Levels!G158</f>
        <v>-3.2</v>
      </c>
      <c r="I158">
        <f>Levels!Y158</f>
        <v>0.92907481045241458</v>
      </c>
      <c r="J158">
        <f>Levels!AD158</f>
        <v>6.8949153647743788E-3</v>
      </c>
      <c r="K158">
        <f>Levels!AC158</f>
        <v>0.13333333333333333</v>
      </c>
      <c r="L158">
        <f>Levels!I158</f>
        <v>2.1040702810304452</v>
      </c>
      <c r="M158">
        <f>Levels!J158</f>
        <v>3.0497223371906701</v>
      </c>
      <c r="N158">
        <f>Levels!K158</f>
        <v>2.5109907893784</v>
      </c>
      <c r="O158">
        <v>-0.1075</v>
      </c>
      <c r="P158">
        <f>Levels!M158</f>
        <v>2.811654244889596</v>
      </c>
      <c r="Q158">
        <f>Levels!N158</f>
        <v>0.25909881629320197</v>
      </c>
      <c r="R158">
        <f>Levels!O158</f>
        <v>0.85467470015616498</v>
      </c>
      <c r="S158">
        <f>Levels!P158</f>
        <v>1.04223400481838</v>
      </c>
      <c r="T158">
        <f>Levels!Q158</f>
        <v>15456.058999999999</v>
      </c>
      <c r="U158">
        <f>Levels!S158</f>
        <v>1.6073191739999999</v>
      </c>
      <c r="V158">
        <f>Levels!T158</f>
        <v>2.1623357740000002</v>
      </c>
      <c r="W158">
        <f>Levels!U158</f>
        <v>0.25509826099999999</v>
      </c>
      <c r="X158">
        <f>Levels!AB158</f>
        <v>-0.90935173342933195</v>
      </c>
    </row>
    <row r="159" spans="1:24" x14ac:dyDescent="0.35">
      <c r="A159" t="str">
        <f>Levels!A159</f>
        <v>2010Q2</v>
      </c>
      <c r="B159">
        <f>Levels!B159/Levels!$R159</f>
        <v>24057.291546259195</v>
      </c>
      <c r="C159">
        <f>Levels!C159/Levels!$R159</f>
        <v>3870041.3133882452</v>
      </c>
      <c r="D159">
        <f>Levels!D159/Levels!R159</f>
        <v>7164396.0684388215</v>
      </c>
      <c r="E159">
        <f>Levels!V159/Levels!R159</f>
        <v>22114693.453256018</v>
      </c>
      <c r="F159">
        <f>Levels!E159</f>
        <v>2845.6260000000002</v>
      </c>
      <c r="G159">
        <f>Levels!F159</f>
        <v>10477.073221201266</v>
      </c>
      <c r="H159">
        <f>Levels!G159</f>
        <v>-0.1</v>
      </c>
      <c r="I159">
        <f>Levels!Y159</f>
        <v>1.1157853548620504</v>
      </c>
      <c r="J159">
        <f>Levels!AD159</f>
        <v>-4.254103751759053E-3</v>
      </c>
      <c r="K159">
        <f>Levels!AC159</f>
        <v>0.19333333333333333</v>
      </c>
      <c r="L159">
        <f>Levels!I159</f>
        <v>1.8884528571428574</v>
      </c>
      <c r="M159">
        <f>Levels!J159</f>
        <v>3.0493755101994799</v>
      </c>
      <c r="N159">
        <f>Levels!K159</f>
        <v>2.6692035874356499</v>
      </c>
      <c r="O159">
        <v>-0.1676</v>
      </c>
      <c r="P159">
        <f>Levels!M159</f>
        <v>2.9443756730941431</v>
      </c>
      <c r="Q159">
        <f>Levels!N159</f>
        <v>5.1193839342042101E-2</v>
      </c>
      <c r="R159">
        <f>Levels!O159</f>
        <v>0.80457871550753801</v>
      </c>
      <c r="S159">
        <f>Levels!P159</f>
        <v>1.08610246724661</v>
      </c>
      <c r="T159">
        <f>Levels!Q159</f>
        <v>15605.628000000001</v>
      </c>
      <c r="U159">
        <f>Levels!S159</f>
        <v>0.18932289399999999</v>
      </c>
      <c r="V159">
        <f>Levels!T159</f>
        <v>4.1456408050000002</v>
      </c>
      <c r="W159">
        <f>Levels!U159</f>
        <v>0.86377692800000005</v>
      </c>
      <c r="X159">
        <f>Levels!AB159</f>
        <v>2.8920744533008098</v>
      </c>
    </row>
    <row r="160" spans="1:24" x14ac:dyDescent="0.35">
      <c r="A160" t="str">
        <f>Levels!A160</f>
        <v>2010Q3</v>
      </c>
      <c r="B160">
        <f>Levels!B160/Levels!$R160</f>
        <v>24040.903388650888</v>
      </c>
      <c r="C160">
        <f>Levels!C160/Levels!$R160</f>
        <v>3976038.8281856934</v>
      </c>
      <c r="D160">
        <f>Levels!D160/Levels!R160</f>
        <v>7426008.4107338199</v>
      </c>
      <c r="E160">
        <f>Levels!V160/Levels!R160</f>
        <v>22326258.074880905</v>
      </c>
      <c r="F160">
        <f>Levels!E160</f>
        <v>2856.404</v>
      </c>
      <c r="G160">
        <f>Levels!F160</f>
        <v>10530.074915162753</v>
      </c>
      <c r="H160">
        <f>Levels!G160</f>
        <v>1.4</v>
      </c>
      <c r="I160">
        <f>Levels!Y160</f>
        <v>0.72751028500039183</v>
      </c>
      <c r="J160">
        <f>Levels!AD160</f>
        <v>-3.6807404735138549E-3</v>
      </c>
      <c r="K160">
        <f>Levels!AC160</f>
        <v>0.18666666666666668</v>
      </c>
      <c r="L160">
        <f>Levels!I160</f>
        <v>1.1854426785714283</v>
      </c>
      <c r="M160">
        <f>Levels!J160</f>
        <v>3.0517123900887801</v>
      </c>
      <c r="N160">
        <f>Levels!K160</f>
        <v>2.9467247505001501</v>
      </c>
      <c r="O160">
        <v>-0.18640000000000001</v>
      </c>
      <c r="P160">
        <f>Levels!M160</f>
        <v>3.2427944801087452</v>
      </c>
      <c r="Q160">
        <f>Levels!N160</f>
        <v>7.2448118883171597E-2</v>
      </c>
      <c r="R160">
        <f>Levels!O160</f>
        <v>0.75654171889618205</v>
      </c>
      <c r="S160">
        <f>Levels!P160</f>
        <v>1.0855742190692099</v>
      </c>
      <c r="T160">
        <f>Levels!Q160</f>
        <v>15726.281999999999</v>
      </c>
      <c r="U160">
        <f>Levels!S160</f>
        <v>1.9147688999999999E-2</v>
      </c>
      <c r="V160">
        <f>Levels!T160</f>
        <v>0.60358028900000005</v>
      </c>
      <c r="W160">
        <f>Levels!U160</f>
        <v>-0.48659861999999998</v>
      </c>
      <c r="X160">
        <f>Levels!AB160</f>
        <v>-0.77002335569587399</v>
      </c>
    </row>
    <row r="161" spans="1:24" x14ac:dyDescent="0.35">
      <c r="A161" t="str">
        <f>Levels!A161</f>
        <v>2010Q4</v>
      </c>
      <c r="B161">
        <f>Levels!B161/Levels!$R161</f>
        <v>23996.035734578491</v>
      </c>
      <c r="C161">
        <f>Levels!C161/Levels!$R161</f>
        <v>4306839.1313778693</v>
      </c>
      <c r="D161">
        <f>Levels!D161/Levels!R161</f>
        <v>7375944.1984178098</v>
      </c>
      <c r="E161">
        <f>Levels!V161/Levels!R161</f>
        <v>22467317.563111808</v>
      </c>
      <c r="F161">
        <f>Levels!E161</f>
        <v>2892.01</v>
      </c>
      <c r="G161">
        <f>Levels!F161</f>
        <v>10625.467458787482</v>
      </c>
      <c r="H161">
        <f>Levels!G161</f>
        <v>2</v>
      </c>
      <c r="I161">
        <f>Levels!Y161</f>
        <v>1.0023181114318374</v>
      </c>
      <c r="J161">
        <f>Levels!AD161</f>
        <v>1.442841287458374E-2</v>
      </c>
      <c r="K161">
        <f>Levels!AC161</f>
        <v>0.18666666666666668</v>
      </c>
      <c r="L161">
        <f>Levels!I161</f>
        <v>1.2714216205837172</v>
      </c>
      <c r="M161">
        <f>Levels!J161</f>
        <v>3.0863682779670398</v>
      </c>
      <c r="N161">
        <f>Levels!K161</f>
        <v>2.8248676069969401</v>
      </c>
      <c r="P161">
        <f>Levels!M161</f>
        <v>3.1181638795082631</v>
      </c>
      <c r="Q161">
        <f>Levels!N161</f>
        <v>0.11280953671665189</v>
      </c>
      <c r="R161">
        <f>Levels!O161</f>
        <v>0.74815231358801304</v>
      </c>
      <c r="S161">
        <f>Levels!P161</f>
        <v>0.99033145495145902</v>
      </c>
      <c r="T161">
        <f>Levels!Q161</f>
        <v>15807.995000000001</v>
      </c>
      <c r="U161">
        <f>Levels!S161</f>
        <v>1.1490886789999999</v>
      </c>
      <c r="V161">
        <f>Levels!T161</f>
        <v>-2.1975646659999999</v>
      </c>
      <c r="W161">
        <f>Levels!U161</f>
        <v>-2.6184162710000001</v>
      </c>
      <c r="X161">
        <f>Levels!AB161</f>
        <v>-1.58881049483931</v>
      </c>
    </row>
    <row r="162" spans="1:24" x14ac:dyDescent="0.35">
      <c r="A162" t="str">
        <f>Levels!A162</f>
        <v>2011Q1</v>
      </c>
      <c r="B162">
        <f>Levels!B162/Levels!$R162</f>
        <v>23964.2201296065</v>
      </c>
      <c r="C162">
        <f>Levels!C162/Levels!$R162</f>
        <v>4590181.4414274246</v>
      </c>
      <c r="D162">
        <f>Levels!D162/Levels!R162</f>
        <v>7535270.0140860947</v>
      </c>
      <c r="E162">
        <f>Levels!V162/Levels!R162</f>
        <v>22531429.74231625</v>
      </c>
      <c r="F162">
        <f>Levels!E162</f>
        <v>2875.0859999999998</v>
      </c>
      <c r="G162">
        <f>Levels!F162</f>
        <v>10726.621487094935</v>
      </c>
      <c r="H162">
        <f>Levels!G162</f>
        <v>1.9</v>
      </c>
      <c r="I162">
        <f>Levels!Y162</f>
        <v>0.97475963225323004</v>
      </c>
      <c r="J162">
        <f>Levels!AD162</f>
        <v>8.0426639506381292E-4</v>
      </c>
      <c r="K162">
        <f>Levels!AC162</f>
        <v>0.15666666666666668</v>
      </c>
      <c r="L162">
        <f>Levels!I162</f>
        <v>1.7934176881720427</v>
      </c>
      <c r="M162">
        <f>Levels!J162</f>
        <v>3.1148270096988599</v>
      </c>
      <c r="N162">
        <f>Levels!K162</f>
        <v>2.8138993279728899</v>
      </c>
      <c r="P162">
        <f>Levels!M162</f>
        <v>3.1058808561396418</v>
      </c>
      <c r="Q162">
        <f>Levels!N162</f>
        <v>0.64818890366450466</v>
      </c>
      <c r="R162">
        <f>Levels!O162</f>
        <v>0.75664863915027203</v>
      </c>
      <c r="S162">
        <f>Levels!P162</f>
        <v>0.92122099808387303</v>
      </c>
      <c r="T162">
        <f>Levels!Q162</f>
        <v>15769.911</v>
      </c>
      <c r="U162">
        <f>Levels!S162</f>
        <v>-1.0833278340000001</v>
      </c>
      <c r="V162">
        <f>Levels!T162</f>
        <v>0.34972921400000001</v>
      </c>
      <c r="W162">
        <f>Levels!U162</f>
        <v>-1.0523798900000001</v>
      </c>
      <c r="X162">
        <f>Levels!AB162</f>
        <v>-0.93220479205566897</v>
      </c>
    </row>
    <row r="163" spans="1:24" x14ac:dyDescent="0.35">
      <c r="A163" t="str">
        <f>Levels!A163</f>
        <v>2011Q2</v>
      </c>
      <c r="B163">
        <f>Levels!B163/Levels!$R163</f>
        <v>23939.169865891072</v>
      </c>
      <c r="C163">
        <f>Levels!C163/Levels!$R163</f>
        <v>4654339.9812610717</v>
      </c>
      <c r="D163">
        <f>Levels!D163/Levels!R163</f>
        <v>7591798.4883611109</v>
      </c>
      <c r="E163">
        <f>Levels!V163/Levels!R163</f>
        <v>22830149.415348843</v>
      </c>
      <c r="F163">
        <f>Levels!E163</f>
        <v>2919.5129999999999</v>
      </c>
      <c r="G163">
        <f>Levels!F163</f>
        <v>10811.282780441856</v>
      </c>
      <c r="H163">
        <f>Levels!G163</f>
        <v>2.2000000000000002</v>
      </c>
      <c r="I163">
        <f>Levels!Y163</f>
        <v>1.8249669745315404</v>
      </c>
      <c r="J163">
        <f>Levels!AD163</f>
        <v>1.0676410522238999E-3</v>
      </c>
      <c r="K163">
        <f>Levels!AC163</f>
        <v>9.3333333333333338E-2</v>
      </c>
      <c r="L163">
        <f>Levels!I163</f>
        <v>1.4730154761904759</v>
      </c>
      <c r="M163">
        <f>Levels!J163</f>
        <v>3.1207139252695</v>
      </c>
      <c r="N163">
        <f>Levels!K163</f>
        <v>2.9863874297058901</v>
      </c>
      <c r="P163">
        <f>Levels!M163</f>
        <v>3.2967793204451712</v>
      </c>
      <c r="Q163">
        <f>Levels!N163</f>
        <v>0.33575500019971366</v>
      </c>
      <c r="R163">
        <f>Levels!O163</f>
        <v>0.75238606470499803</v>
      </c>
      <c r="S163">
        <f>Levels!P163</f>
        <v>0.93018128720699</v>
      </c>
      <c r="T163">
        <f>Levels!Q163</f>
        <v>15876.839</v>
      </c>
      <c r="U163">
        <f>Levels!S163</f>
        <v>8.1994043000000003E-2</v>
      </c>
      <c r="V163">
        <f>Levels!T163</f>
        <v>0.39988548000000002</v>
      </c>
      <c r="W163">
        <f>Levels!U163</f>
        <v>2.3896843259999998</v>
      </c>
      <c r="X163">
        <f>Levels!AB163</f>
        <v>0.39393525709238097</v>
      </c>
    </row>
    <row r="164" spans="1:24" x14ac:dyDescent="0.35">
      <c r="A164" t="str">
        <f>Levels!A164</f>
        <v>2011Q3</v>
      </c>
      <c r="B164">
        <f>Levels!B164/Levels!$R164</f>
        <v>23943.62104330281</v>
      </c>
      <c r="C164">
        <f>Levels!C164/Levels!$R164</f>
        <v>5013792.0141072292</v>
      </c>
      <c r="D164">
        <f>Levels!D164/Levels!R164</f>
        <v>7549132.0163305076</v>
      </c>
      <c r="E164">
        <f>Levels!V164/Levels!R164</f>
        <v>22840228.626556166</v>
      </c>
      <c r="F164">
        <f>Levels!E164</f>
        <v>3008.9490000000001</v>
      </c>
      <c r="G164">
        <f>Levels!F164</f>
        <v>10853.601063378688</v>
      </c>
      <c r="H164">
        <f>Levels!G164</f>
        <v>2.1</v>
      </c>
      <c r="I164">
        <f>Levels!Y164</f>
        <v>2.181731185784463</v>
      </c>
      <c r="J164">
        <f>Levels!AD164</f>
        <v>8.078188199416303E-4</v>
      </c>
      <c r="K164">
        <f>Levels!AC164</f>
        <v>8.3333333333333329E-2</v>
      </c>
      <c r="L164">
        <f>Levels!I164</f>
        <v>0.60908898809523726</v>
      </c>
      <c r="M164">
        <f>Levels!J164</f>
        <v>3.0750806911844002</v>
      </c>
      <c r="N164">
        <f>Levels!K164</f>
        <v>3.3299776608321001</v>
      </c>
      <c r="P164">
        <f>Levels!M164</f>
        <v>3.6636525094450532</v>
      </c>
      <c r="Q164">
        <f>Levels!N164</f>
        <v>0.17206988949508881</v>
      </c>
      <c r="R164">
        <f>Levels!O164</f>
        <v>0.75982319564826295</v>
      </c>
      <c r="S164">
        <f>Levels!P164</f>
        <v>1.044697822252</v>
      </c>
      <c r="T164">
        <f>Levels!Q164</f>
        <v>15870.683999999999</v>
      </c>
      <c r="U164">
        <f>Levels!S164</f>
        <v>0.64616230399999997</v>
      </c>
      <c r="V164">
        <f>Levels!T164</f>
        <v>2.9440564949999999</v>
      </c>
      <c r="W164">
        <f>Levels!U164</f>
        <v>3.380963371</v>
      </c>
      <c r="X164">
        <f>Levels!AB164</f>
        <v>4.8862020723469302</v>
      </c>
    </row>
    <row r="165" spans="1:24" x14ac:dyDescent="0.35">
      <c r="A165" t="str">
        <f>Levels!A165</f>
        <v>2011Q4</v>
      </c>
      <c r="B165">
        <f>Levels!B165/Levels!$R165</f>
        <v>24026.772673771506</v>
      </c>
      <c r="C165">
        <f>Levels!C165/Levels!$R165</f>
        <v>5341305.4659426371</v>
      </c>
      <c r="D165">
        <f>Levels!D165/Levels!R165</f>
        <v>7671833.5511448337</v>
      </c>
      <c r="E165">
        <f>Levels!V165/Levels!R165</f>
        <v>23076765.2111656</v>
      </c>
      <c r="F165">
        <f>Levels!E165</f>
        <v>3067.232</v>
      </c>
      <c r="G165">
        <f>Levels!F165</f>
        <v>10859.144740354166</v>
      </c>
      <c r="H165">
        <f>Levels!G165</f>
        <v>2.4</v>
      </c>
      <c r="I165">
        <f>Levels!Y165</f>
        <v>1.5509293404578917</v>
      </c>
      <c r="J165">
        <f>Levels!AD165</f>
        <v>7.8188391342428609E-3</v>
      </c>
      <c r="K165">
        <f>Levels!AC165</f>
        <v>7.3333333333333334E-2</v>
      </c>
      <c r="L165">
        <f>Levels!I165</f>
        <v>0.15771512099921869</v>
      </c>
      <c r="M165">
        <f>Levels!J165</f>
        <v>3.0916110719835501</v>
      </c>
      <c r="N165">
        <f>Levels!K165</f>
        <v>3.3350409944202801</v>
      </c>
      <c r="P165">
        <f>Levels!M165</f>
        <v>3.7098175094867911</v>
      </c>
      <c r="Q165">
        <f>Levels!N165</f>
        <v>-0.17909201136461966</v>
      </c>
      <c r="R165">
        <f>Levels!O165</f>
        <v>0.73770689326590699</v>
      </c>
      <c r="S165">
        <f>Levels!P165</f>
        <v>1.0180618726724</v>
      </c>
      <c r="T165">
        <f>Levels!Q165</f>
        <v>16048.701999999999</v>
      </c>
      <c r="U165">
        <f>Levels!S165</f>
        <v>-0.60875249099999995</v>
      </c>
      <c r="V165">
        <f>Levels!T165</f>
        <v>0.32447595899999998</v>
      </c>
      <c r="W165">
        <f>Levels!U165</f>
        <v>-4.6667843659999999</v>
      </c>
      <c r="X165">
        <f>Levels!AB165</f>
        <v>-2.1133242399799501</v>
      </c>
    </row>
    <row r="166" spans="1:24" x14ac:dyDescent="0.35">
      <c r="A166" t="str">
        <f>Levels!A166</f>
        <v>2012Q1</v>
      </c>
      <c r="B166">
        <f>Levels!B166/Levels!$R166</f>
        <v>24068.553</v>
      </c>
      <c r="C166">
        <f>Levels!C166/Levels!$R166</f>
        <v>5735451</v>
      </c>
      <c r="D166">
        <f>Levels!D166/Levels!R166</f>
        <v>8452783</v>
      </c>
      <c r="E166">
        <f>Levels!V166/Levels!R166</f>
        <v>23464432</v>
      </c>
      <c r="F166">
        <f>Levels!E166</f>
        <v>3129.95</v>
      </c>
      <c r="G166">
        <f>Levels!F166</f>
        <v>10959.3</v>
      </c>
      <c r="H166">
        <f>Levels!G166</f>
        <v>3.1</v>
      </c>
      <c r="I166">
        <f>Levels!Y166</f>
        <v>2.2870649042195597</v>
      </c>
      <c r="J166">
        <f>Levels!AD166</f>
        <v>-3.7274849959796352E-3</v>
      </c>
      <c r="K166">
        <f>Levels!AC166</f>
        <v>0.10333333333333333</v>
      </c>
      <c r="L166">
        <f>Levels!I166</f>
        <v>7.6403333333333157E-2</v>
      </c>
      <c r="M166">
        <f>Levels!J166</f>
        <v>3.1293494711016399</v>
      </c>
      <c r="N166">
        <f>Levels!K166</f>
        <v>2.9741715728788001</v>
      </c>
      <c r="P166">
        <f>Levels!M166</f>
        <v>3.3890172850294129</v>
      </c>
      <c r="Q166">
        <f>Levels!N166</f>
        <v>0.54659078678248929</v>
      </c>
      <c r="R166">
        <f>Levels!O166</f>
        <v>0.71559723165546996</v>
      </c>
      <c r="S166">
        <f>Levels!P166</f>
        <v>0.912069944057188</v>
      </c>
      <c r="T166">
        <f>Levels!Q166</f>
        <v>16179.968000000001</v>
      </c>
      <c r="U166">
        <f>Levels!S166</f>
        <v>-0.83450165200000004</v>
      </c>
      <c r="V166">
        <f>Levels!T166</f>
        <v>0.10112816600000001</v>
      </c>
      <c r="W166">
        <f>Levels!U166</f>
        <v>-0.32687476599999998</v>
      </c>
      <c r="X166">
        <f>Levels!AB166</f>
        <v>-1.17223630346594</v>
      </c>
    </row>
    <row r="167" spans="1:24" x14ac:dyDescent="0.35">
      <c r="A167" t="str">
        <f>Levels!A167</f>
        <v>2012Q2</v>
      </c>
      <c r="B167">
        <f>Levels!B167/Levels!$R167</f>
        <v>24133.180463312809</v>
      </c>
      <c r="C167">
        <f>Levels!C167/Levels!$R167</f>
        <v>5789243.1175959613</v>
      </c>
      <c r="D167">
        <f>Levels!D167/Levels!R167</f>
        <v>8577102.5674543716</v>
      </c>
      <c r="E167">
        <f>Levels!V167/Levels!R167</f>
        <v>23501727.520008113</v>
      </c>
      <c r="F167">
        <f>Levels!E167</f>
        <v>3177.2179999999998</v>
      </c>
      <c r="G167">
        <f>Levels!F167</f>
        <v>10953.830201746778</v>
      </c>
      <c r="H167">
        <f>Levels!G167</f>
        <v>2.2000000000000002</v>
      </c>
      <c r="I167">
        <f>Levels!Y167</f>
        <v>2.1600445375623387</v>
      </c>
      <c r="J167">
        <f>Levels!AD167</f>
        <v>-6.6493919362623499E-3</v>
      </c>
      <c r="K167">
        <f>Levels!AC167</f>
        <v>0.15333333333333332</v>
      </c>
      <c r="L167">
        <f>Levels!I167</f>
        <v>-0.20694732142857175</v>
      </c>
      <c r="M167">
        <f>Levels!J167</f>
        <v>3.1311500475088399</v>
      </c>
      <c r="N167">
        <f>Levels!K167</f>
        <v>2.6432846934374901</v>
      </c>
      <c r="P167">
        <f>Levels!M167</f>
        <v>3.1110183505813112</v>
      </c>
      <c r="Q167">
        <f>Levels!N167</f>
        <v>1.2705108443626656E-2</v>
      </c>
      <c r="R167">
        <f>Levels!O167</f>
        <v>0.70555584675247196</v>
      </c>
      <c r="S167">
        <f>Levels!P167</f>
        <v>0.88215007984380001</v>
      </c>
      <c r="T167">
        <f>Levels!Q167</f>
        <v>16253.726000000001</v>
      </c>
      <c r="U167">
        <f>Levels!S167</f>
        <v>-0.217619439</v>
      </c>
      <c r="V167">
        <f>Levels!T167</f>
        <v>-0.17054582800000001</v>
      </c>
      <c r="W167">
        <f>Levels!U167</f>
        <v>-0.90206171400000001</v>
      </c>
      <c r="X167">
        <f>Levels!AB167</f>
        <v>-1.7899072970372701E-2</v>
      </c>
    </row>
    <row r="168" spans="1:24" x14ac:dyDescent="0.35">
      <c r="A168" t="str">
        <f>Levels!A168</f>
        <v>2012Q3</v>
      </c>
      <c r="B168">
        <f>Levels!B168/Levels!$R168</f>
        <v>24322.30319908632</v>
      </c>
      <c r="C168">
        <f>Levels!C168/Levels!$R168</f>
        <v>5910006.3356137071</v>
      </c>
      <c r="D168">
        <f>Levels!D168/Levels!R168</f>
        <v>8644770.6265960913</v>
      </c>
      <c r="E168">
        <f>Levels!V168/Levels!R168</f>
        <v>23954838.030619126</v>
      </c>
      <c r="F168">
        <f>Levels!E168</f>
        <v>3170.9459999999999</v>
      </c>
      <c r="G168">
        <f>Levels!F168</f>
        <v>10961.311735831785</v>
      </c>
      <c r="H168">
        <f>Levels!G168</f>
        <v>2.4</v>
      </c>
      <c r="I168">
        <f>Levels!Y168</f>
        <v>1.3135290048151245</v>
      </c>
      <c r="J168">
        <f>Levels!AD168</f>
        <v>-1.4769994051551327E-2</v>
      </c>
      <c r="K168">
        <f>Levels!AC168</f>
        <v>0.14333333333333334</v>
      </c>
      <c r="L168">
        <f>Levels!I168</f>
        <v>-0.46215587301587391</v>
      </c>
      <c r="M168">
        <f>Levels!J168</f>
        <v>3.1547647279225002</v>
      </c>
      <c r="N168">
        <f>Levels!K168</f>
        <v>2.4407335508563399</v>
      </c>
      <c r="P168">
        <f>Levels!M168</f>
        <v>2.9219718939167709</v>
      </c>
      <c r="Q168">
        <f>Levels!N168</f>
        <v>0.27991948624075969</v>
      </c>
      <c r="R168">
        <f>Levels!O168</f>
        <v>0.71137390567288095</v>
      </c>
      <c r="S168">
        <f>Levels!P168</f>
        <v>0.82532662331989004</v>
      </c>
      <c r="T168">
        <f>Levels!Q168</f>
        <v>16282.151</v>
      </c>
      <c r="U168">
        <f>Levels!S168</f>
        <v>-0.73819541499999997</v>
      </c>
      <c r="V168">
        <f>Levels!T168</f>
        <v>-1.173894478</v>
      </c>
      <c r="W168">
        <f>Levels!U168</f>
        <v>-1.116435316</v>
      </c>
      <c r="X168">
        <f>Levels!AB168</f>
        <v>-1.2651619473176301</v>
      </c>
    </row>
    <row r="169" spans="1:24" x14ac:dyDescent="0.35">
      <c r="A169" t="str">
        <f>Levels!A169</f>
        <v>2012Q4</v>
      </c>
      <c r="B169">
        <f>Levels!B169/Levels!$R169</f>
        <v>24514.113747512718</v>
      </c>
      <c r="C169">
        <f>Levels!C169/Levels!$R169</f>
        <v>5977240.2042976227</v>
      </c>
      <c r="D169">
        <f>Levels!D169/Levels!R169</f>
        <v>8744641.3787360806</v>
      </c>
      <c r="E169">
        <f>Levels!V169/Levels!R169</f>
        <v>24578787.610213391</v>
      </c>
      <c r="F169">
        <f>Levels!E169</f>
        <v>3208.1779999999999</v>
      </c>
      <c r="G169">
        <f>Levels!F169</f>
        <v>11017.443044218429</v>
      </c>
      <c r="H169">
        <f>Levels!G169</f>
        <v>2.1</v>
      </c>
      <c r="I169">
        <f>Levels!Y169</f>
        <v>0.51977919277994755</v>
      </c>
      <c r="J169">
        <f>Levels!AD169</f>
        <v>2.2177327967442206E-2</v>
      </c>
      <c r="K169">
        <f>Levels!AC169</f>
        <v>0.16</v>
      </c>
      <c r="L169">
        <f>Levels!I169</f>
        <v>-0.46660820062451269</v>
      </c>
      <c r="M169">
        <f>Levels!J169</f>
        <v>3.1487048947455198</v>
      </c>
      <c r="N169">
        <f>Levels!K169</f>
        <v>2.4377672496833198</v>
      </c>
      <c r="P169">
        <f>Levels!M169</f>
        <v>2.9098326597319026</v>
      </c>
      <c r="Q169">
        <f>Levels!N169</f>
        <v>-0.2606692108547487</v>
      </c>
      <c r="R169">
        <f>Levels!O169</f>
        <v>0.71528796146653395</v>
      </c>
      <c r="S169">
        <f>Levels!P169</f>
        <v>0.80250873881961504</v>
      </c>
      <c r="T169">
        <f>Levels!Q169</f>
        <v>16300.035</v>
      </c>
      <c r="U169">
        <f>Levels!S169</f>
        <v>1.2729780530000001</v>
      </c>
      <c r="V169">
        <f>Levels!T169</f>
        <v>-0.80718583099999996</v>
      </c>
      <c r="W169">
        <f>Levels!U169</f>
        <v>-0.16894062600000001</v>
      </c>
      <c r="X169">
        <f>Levels!AB169</f>
        <v>-1.06204472013061</v>
      </c>
    </row>
    <row r="170" spans="1:24" x14ac:dyDescent="0.35">
      <c r="A170" t="str">
        <f>Levels!A170</f>
        <v>2013Q1</v>
      </c>
      <c r="B170">
        <f>Levels!B170/Levels!$R170</f>
        <v>24509.098384291086</v>
      </c>
      <c r="C170">
        <f>Levels!C170/Levels!$R170</f>
        <v>6103367.1648368482</v>
      </c>
      <c r="D170">
        <f>Levels!D170/Levels!R170</f>
        <v>8896447.8836415634</v>
      </c>
      <c r="E170">
        <f>Levels!V170/Levels!R170</f>
        <v>24604440.461989611</v>
      </c>
      <c r="F170">
        <f>Levels!E170</f>
        <v>3239.2289999999998</v>
      </c>
      <c r="G170">
        <f>Levels!F170</f>
        <v>11073.000709436523</v>
      </c>
      <c r="H170">
        <f>Levels!G170</f>
        <v>1.7</v>
      </c>
      <c r="I170">
        <f>Levels!Y170</f>
        <v>8.0937949029566997E-2</v>
      </c>
      <c r="J170">
        <f>Levels!AD170</f>
        <v>2.6327964090135936E-3</v>
      </c>
      <c r="K170">
        <f>Levels!AC170</f>
        <v>0.14333333333333334</v>
      </c>
      <c r="L170">
        <f>Levels!I170</f>
        <v>-0.28504690476190486</v>
      </c>
      <c r="M170">
        <f>Levels!J170</f>
        <v>3.1801946979789899</v>
      </c>
      <c r="N170">
        <f>Levels!K170</f>
        <v>2.3107349583930499</v>
      </c>
      <c r="P170">
        <f>Levels!M170</f>
        <v>2.7708203184191467</v>
      </c>
      <c r="Q170">
        <f>Levels!N170</f>
        <v>0.45872807688565831</v>
      </c>
      <c r="R170">
        <f>Levels!O170</f>
        <v>0.71595231831453998</v>
      </c>
      <c r="S170">
        <f>Levels!P170</f>
        <v>0.809772130158813</v>
      </c>
      <c r="T170">
        <f>Levels!Q170</f>
        <v>16441.485000000001</v>
      </c>
      <c r="U170">
        <f>Levels!S170</f>
        <v>-1.1628730549999999</v>
      </c>
      <c r="V170">
        <f>Levels!T170</f>
        <v>1.925884699</v>
      </c>
      <c r="W170">
        <f>Levels!U170</f>
        <v>-0.22683251500000001</v>
      </c>
      <c r="X170">
        <f>Levels!AB170</f>
        <v>-1.1040287738735499</v>
      </c>
    </row>
    <row r="171" spans="1:24" x14ac:dyDescent="0.35">
      <c r="A171" t="str">
        <f>Levels!A171</f>
        <v>2013Q2</v>
      </c>
      <c r="B171">
        <f>Levels!B171/Levels!$R171</f>
        <v>24671.405757396042</v>
      </c>
      <c r="C171">
        <f>Levels!C171/Levels!$R171</f>
        <v>5903389.5571496878</v>
      </c>
      <c r="D171">
        <f>Levels!D171/Levels!R171</f>
        <v>8601918.1413337681</v>
      </c>
      <c r="E171">
        <f>Levels!V171/Levels!R171</f>
        <v>24418413.304413337</v>
      </c>
      <c r="F171">
        <f>Levels!E171</f>
        <v>3257.752</v>
      </c>
      <c r="G171">
        <f>Levels!F171</f>
        <v>11057.971850160597</v>
      </c>
      <c r="H171">
        <f>Levels!G171</f>
        <v>2</v>
      </c>
      <c r="I171">
        <f>Levels!Y171</f>
        <v>0.12246324878585721</v>
      </c>
      <c r="J171">
        <f>Levels!AD171</f>
        <v>-1.764104009925338E-2</v>
      </c>
      <c r="K171">
        <f>Levels!AC171</f>
        <v>0.11666666666666667</v>
      </c>
      <c r="L171">
        <f>Levels!I171</f>
        <v>-0.26640536585365915</v>
      </c>
      <c r="M171">
        <f>Levels!J171</f>
        <v>3.2106132318619802</v>
      </c>
      <c r="N171">
        <f>Levels!K171</f>
        <v>2.2820455202998202</v>
      </c>
      <c r="P171">
        <f>Levels!M171</f>
        <v>2.7367428268731802</v>
      </c>
      <c r="Q171">
        <f>Levels!N171</f>
        <v>0.10468254606998567</v>
      </c>
      <c r="R171">
        <f>Levels!O171</f>
        <v>0.68643444906954598</v>
      </c>
      <c r="S171">
        <f>Levels!P171</f>
        <v>0.817410851927591</v>
      </c>
      <c r="T171">
        <f>Levels!Q171</f>
        <v>16464.401999999998</v>
      </c>
      <c r="U171">
        <f>Levels!S171</f>
        <v>-2.616339354</v>
      </c>
      <c r="V171">
        <f>Levels!T171</f>
        <v>1.3218151659999999</v>
      </c>
      <c r="W171">
        <f>Levels!U171</f>
        <v>0.76916278299999996</v>
      </c>
      <c r="X171">
        <f>Levels!AB171</f>
        <v>-0.94657627963792701</v>
      </c>
    </row>
    <row r="172" spans="1:24" x14ac:dyDescent="0.35">
      <c r="A172" t="str">
        <f>Levels!A172</f>
        <v>2013Q3</v>
      </c>
      <c r="B172">
        <f>Levels!B172/Levels!$R172</f>
        <v>24925.9006224902</v>
      </c>
      <c r="C172">
        <f>Levels!C172/Levels!$R172</f>
        <v>5901062.7884348342</v>
      </c>
      <c r="D172">
        <f>Levels!D172/Levels!R172</f>
        <v>8815133.3482278995</v>
      </c>
      <c r="E172">
        <f>Levels!V172/Levels!R172</f>
        <v>24713873.036277022</v>
      </c>
      <c r="F172">
        <f>Levels!E172</f>
        <v>3305.8409999999999</v>
      </c>
      <c r="G172">
        <f>Levels!F172</f>
        <v>11101.498522561738</v>
      </c>
      <c r="H172">
        <f>Levels!G172</f>
        <v>2</v>
      </c>
      <c r="I172">
        <f>Levels!Y172</f>
        <v>0.1368721223383598</v>
      </c>
      <c r="J172">
        <f>Levels!AD172</f>
        <v>-2.0301210641826439E-2</v>
      </c>
      <c r="K172">
        <f>Levels!AC172</f>
        <v>8.3333333333333329E-2</v>
      </c>
      <c r="L172">
        <f>Levels!I172</f>
        <v>0.43372924999999984</v>
      </c>
      <c r="M172">
        <f>Levels!J172</f>
        <v>3.2284782472843898</v>
      </c>
      <c r="N172">
        <f>Levels!K172</f>
        <v>2.3024897114010101</v>
      </c>
      <c r="P172">
        <f>Levels!M172</f>
        <v>2.7329287109548832</v>
      </c>
      <c r="Q172">
        <f>Levels!N172</f>
        <v>9.1997785851456029E-2</v>
      </c>
      <c r="R172">
        <f>Levels!O172</f>
        <v>0.67632809113370695</v>
      </c>
      <c r="S172">
        <f>Levels!P172</f>
        <v>0.84172166091746603</v>
      </c>
      <c r="T172">
        <f>Levels!Q172</f>
        <v>16594.742999999999</v>
      </c>
      <c r="U172">
        <f>Levels!S172</f>
        <v>-0.70887009300000003</v>
      </c>
      <c r="V172">
        <f>Levels!T172</f>
        <v>1.183553195</v>
      </c>
      <c r="W172">
        <f>Levels!U172</f>
        <v>3.0942278E-2</v>
      </c>
      <c r="X172">
        <f>Levels!AB172</f>
        <v>-0.56107576531154801</v>
      </c>
    </row>
    <row r="173" spans="1:24" x14ac:dyDescent="0.35">
      <c r="A173" t="str">
        <f>Levels!A173</f>
        <v>2013Q4</v>
      </c>
      <c r="B173">
        <f>Levels!B173/Levels!$R173</f>
        <v>25228.798702230502</v>
      </c>
      <c r="C173">
        <f>Levels!C173/Levels!$R173</f>
        <v>6257584.9684168389</v>
      </c>
      <c r="D173">
        <f>Levels!D173/Levels!R173</f>
        <v>8807608.4441632573</v>
      </c>
      <c r="E173">
        <f>Levels!V173/Levels!R173</f>
        <v>24889495.643782947</v>
      </c>
      <c r="F173">
        <f>Levels!E173</f>
        <v>3336.17</v>
      </c>
      <c r="G173">
        <f>Levels!F173</f>
        <v>11192.709348322813</v>
      </c>
      <c r="H173">
        <f>Levels!G173</f>
        <v>1.6</v>
      </c>
      <c r="I173">
        <f>Levels!Y173</f>
        <v>0.20621563355397676</v>
      </c>
      <c r="J173">
        <f>Levels!AD173</f>
        <v>3.5524096200223676E-2</v>
      </c>
      <c r="K173">
        <f>Levels!AC173</f>
        <v>8.666666666666667E-2</v>
      </c>
      <c r="L173">
        <f>Levels!I173</f>
        <v>0.45270380479735239</v>
      </c>
      <c r="M173">
        <f>Levels!J173</f>
        <v>3.2542142155979601</v>
      </c>
      <c r="N173">
        <f>Levels!K173</f>
        <v>2.1129805284587202</v>
      </c>
      <c r="P173">
        <f>Levels!M173</f>
        <v>2.5176169962464532</v>
      </c>
      <c r="Q173">
        <f>Levels!N173</f>
        <v>-0.15678396494035368</v>
      </c>
      <c r="R173">
        <f>Levels!O173</f>
        <v>0.67288638287505997</v>
      </c>
      <c r="S173">
        <f>Levels!P173</f>
        <v>0.82150993236291803</v>
      </c>
      <c r="T173">
        <f>Levels!Q173</f>
        <v>16712.759999999998</v>
      </c>
      <c r="U173">
        <f>Levels!S173</f>
        <v>-6.2481050000000003E-2</v>
      </c>
      <c r="V173">
        <f>Levels!T173</f>
        <v>-1.3005294489999999</v>
      </c>
      <c r="W173">
        <f>Levels!U173</f>
        <v>-0.37181786</v>
      </c>
      <c r="X173">
        <f>Levels!AB173</f>
        <v>-1.60863007134494</v>
      </c>
    </row>
    <row r="174" spans="1:24" x14ac:dyDescent="0.35">
      <c r="A174" t="str">
        <f>Levels!A174</f>
        <v>2014Q1</v>
      </c>
      <c r="B174">
        <f>Levels!B174/Levels!$R174</f>
        <v>25360.333058840974</v>
      </c>
      <c r="C174">
        <f>Levels!C174/Levels!$R174</f>
        <v>6525185.5063195564</v>
      </c>
      <c r="D174">
        <f>Levels!D174/Levels!R174</f>
        <v>9044764.7586871199</v>
      </c>
      <c r="E174">
        <f>Levels!V174/Levels!R174</f>
        <v>25110686.795003753</v>
      </c>
      <c r="F174">
        <f>Levels!E174</f>
        <v>3348.4589999999998</v>
      </c>
      <c r="G174">
        <f>Levels!F174</f>
        <v>11246.457623618748</v>
      </c>
      <c r="H174">
        <f>Levels!G174</f>
        <v>1.7</v>
      </c>
      <c r="I174">
        <f>Levels!Y174</f>
        <v>0.12992766252922291</v>
      </c>
      <c r="J174">
        <f>Levels!AD174</f>
        <v>-8.6143834810401554E-3</v>
      </c>
      <c r="K174">
        <f>Levels!AC174</f>
        <v>7.3333333333333334E-2</v>
      </c>
      <c r="L174">
        <f>Levels!I174</f>
        <v>0.45552430974978364</v>
      </c>
      <c r="M174">
        <f>Levels!J174</f>
        <v>3.2634442400966401</v>
      </c>
      <c r="N174">
        <f>Levels!K174</f>
        <v>2.2027839037926702</v>
      </c>
      <c r="P174">
        <f>Levels!M174</f>
        <v>2.5939801298233691</v>
      </c>
      <c r="Q174">
        <f>Levels!N174</f>
        <v>0.46194001501443394</v>
      </c>
      <c r="R174">
        <f>Levels!O174</f>
        <v>0.68000562257298203</v>
      </c>
      <c r="S174">
        <f>Levels!P174</f>
        <v>0.822618586838614</v>
      </c>
      <c r="T174">
        <f>Levels!Q174</f>
        <v>16654.246999999999</v>
      </c>
      <c r="U174">
        <f>Levels!S174</f>
        <v>-0.52100155299999995</v>
      </c>
      <c r="V174">
        <f>Levels!T174</f>
        <v>1.8241382079999999</v>
      </c>
      <c r="W174">
        <f>Levels!U174</f>
        <v>-0.79833556699999997</v>
      </c>
      <c r="X174">
        <f>Levels!AB174</f>
        <v>-0.73967951928839104</v>
      </c>
    </row>
    <row r="175" spans="1:24" x14ac:dyDescent="0.35">
      <c r="A175" t="str">
        <f>Levels!A175</f>
        <v>2014Q2</v>
      </c>
      <c r="B175">
        <f>Levels!B175/Levels!$R175</f>
        <v>25601.298601489088</v>
      </c>
      <c r="C175">
        <f>Levels!C175/Levels!$R175</f>
        <v>6622765.6813698057</v>
      </c>
      <c r="D175">
        <f>Levels!D175/Levels!R175</f>
        <v>9395292.1668907627</v>
      </c>
      <c r="E175">
        <f>Levels!V175/Levels!R175</f>
        <v>25368743.986596573</v>
      </c>
      <c r="F175">
        <f>Levels!E175</f>
        <v>3437.808</v>
      </c>
      <c r="G175">
        <f>Levels!F175</f>
        <v>11358.663324694899</v>
      </c>
      <c r="H175">
        <f>Levels!G175</f>
        <v>2.1</v>
      </c>
      <c r="I175">
        <f>Levels!Y175</f>
        <v>0.18334949774529216</v>
      </c>
      <c r="J175">
        <f>Levels!AD175</f>
        <v>-2.8892089658512199E-2</v>
      </c>
      <c r="K175">
        <f>Levels!AC175</f>
        <v>9.3333333333333338E-2</v>
      </c>
      <c r="L175">
        <f>Levels!I175</f>
        <v>0.29013075933075871</v>
      </c>
      <c r="M175">
        <f>Levels!J175</f>
        <v>3.2828626386341599</v>
      </c>
      <c r="N175">
        <f>Levels!K175</f>
        <v>2.0912673287812402</v>
      </c>
      <c r="P175">
        <f>Levels!M175</f>
        <v>2.4692727117614801</v>
      </c>
      <c r="Q175">
        <f>Levels!N175</f>
        <v>0.28838304124335135</v>
      </c>
      <c r="R175">
        <f>Levels!O175</f>
        <v>0.66512900265762798</v>
      </c>
      <c r="S175">
        <f>Levels!P175</f>
        <v>0.82088490807357695</v>
      </c>
      <c r="T175">
        <f>Levels!Q175</f>
        <v>16868.109</v>
      </c>
      <c r="U175">
        <f>Levels!S175</f>
        <v>-0.370779054</v>
      </c>
      <c r="V175">
        <f>Levels!T175</f>
        <v>-0.10704255</v>
      </c>
      <c r="W175">
        <f>Levels!U175</f>
        <v>0.63173997299999995</v>
      </c>
      <c r="X175">
        <f>Levels!AB175</f>
        <v>-1.82288816465549</v>
      </c>
    </row>
    <row r="176" spans="1:24" x14ac:dyDescent="0.35">
      <c r="A176" t="str">
        <f>Levels!A176</f>
        <v>2014Q3</v>
      </c>
      <c r="B176">
        <f>Levels!B176/Levels!$R176</f>
        <v>25779.285366272507</v>
      </c>
      <c r="C176">
        <f>Levels!C176/Levels!$R176</f>
        <v>6849405.312899421</v>
      </c>
      <c r="D176">
        <f>Levels!D176/Levels!R176</f>
        <v>9474708.7841420081</v>
      </c>
      <c r="E176">
        <f>Levels!V176/Levels!R176</f>
        <v>25533060.639499031</v>
      </c>
      <c r="F176">
        <f>Levels!E176</f>
        <v>3494.1480000000001</v>
      </c>
      <c r="G176">
        <f>Levels!F176</f>
        <v>11453.495515879025</v>
      </c>
      <c r="H176">
        <f>Levels!G176</f>
        <v>2.2999999999999998</v>
      </c>
      <c r="I176">
        <f>Levels!Y176</f>
        <v>0.23717048834397483</v>
      </c>
      <c r="J176">
        <f>Levels!AD176</f>
        <v>-7.1482259200980058E-3</v>
      </c>
      <c r="K176">
        <f>Levels!AC176</f>
        <v>0.09</v>
      </c>
      <c r="L176">
        <f>Levels!I176</f>
        <v>0.15192874999999928</v>
      </c>
      <c r="M176">
        <f>Levels!J176</f>
        <v>3.29311417431592</v>
      </c>
      <c r="N176">
        <f>Levels!K176</f>
        <v>2.02493586993773</v>
      </c>
      <c r="P176">
        <f>Levels!M176</f>
        <v>2.396575340732424</v>
      </c>
      <c r="Q176">
        <f>Levels!N176</f>
        <v>-4.360464352140897E-2</v>
      </c>
      <c r="R176">
        <f>Levels!O176</f>
        <v>0.69241830137203597</v>
      </c>
      <c r="S176">
        <f>Levels!P176</f>
        <v>0.85801742550714699</v>
      </c>
      <c r="T176">
        <f>Levels!Q176</f>
        <v>17064.616000000002</v>
      </c>
      <c r="U176">
        <f>Levels!S176</f>
        <v>0.75233947899999998</v>
      </c>
      <c r="V176">
        <f>Levels!T176</f>
        <v>-0.89984993400000002</v>
      </c>
      <c r="W176">
        <f>Levels!U176</f>
        <v>-0.27432499900000001</v>
      </c>
      <c r="X176">
        <f>Levels!AB176</f>
        <v>0.37688358069097999</v>
      </c>
    </row>
    <row r="177" spans="1:24" x14ac:dyDescent="0.35">
      <c r="A177" t="str">
        <f>Levels!A177</f>
        <v>2014Q4</v>
      </c>
      <c r="B177">
        <f>Levels!B177/Levels!$R177</f>
        <v>26099.001302143526</v>
      </c>
      <c r="C177">
        <f>Levels!C177/Levels!$R177</f>
        <v>7129331.7795618661</v>
      </c>
      <c r="D177">
        <f>Levels!D177/Levels!R177</f>
        <v>9761382.5828674678</v>
      </c>
      <c r="E177">
        <f>Levels!V177/Levels!R177</f>
        <v>25994119.924518839</v>
      </c>
      <c r="F177">
        <f>Levels!E177</f>
        <v>3533.0569999999998</v>
      </c>
      <c r="G177">
        <f>Levels!F177</f>
        <v>11524.37757321043</v>
      </c>
      <c r="H177">
        <f>Levels!G177</f>
        <v>3.2</v>
      </c>
      <c r="I177">
        <f>Levels!Y177</f>
        <v>0.75803508702206435</v>
      </c>
      <c r="J177">
        <f>Levels!AD177</f>
        <v>4.6849199931959573E-2</v>
      </c>
      <c r="K177">
        <f>Levels!AC177</f>
        <v>0.1</v>
      </c>
      <c r="L177">
        <f>Levels!I177</f>
        <v>-8.9424543778802157E-2</v>
      </c>
      <c r="M177">
        <f>Levels!J177</f>
        <v>3.3116297539878401</v>
      </c>
      <c r="N177">
        <f>Levels!K177</f>
        <v>1.9046793272515801</v>
      </c>
      <c r="P177">
        <f>Levels!M177</f>
        <v>2.282519543612072</v>
      </c>
      <c r="Q177">
        <f>Levels!N177</f>
        <v>-0.45272655545419899</v>
      </c>
      <c r="R177">
        <f>Levels!O177</f>
        <v>0.74473787427930505</v>
      </c>
      <c r="S177">
        <f>Levels!P177</f>
        <v>0.84661246742168506</v>
      </c>
      <c r="T177">
        <f>Levels!Q177</f>
        <v>17141.235000000001</v>
      </c>
      <c r="U177">
        <f>Levels!S177</f>
        <v>2.1928863879999998</v>
      </c>
      <c r="V177">
        <f>Levels!T177</f>
        <v>-2.9063466509999998</v>
      </c>
      <c r="W177">
        <f>Levels!U177</f>
        <v>-2.442410067</v>
      </c>
      <c r="X177">
        <f>Levels!AB177</f>
        <v>-0.47406379110615898</v>
      </c>
    </row>
    <row r="178" spans="1:24" x14ac:dyDescent="0.35">
      <c r="A178" t="str">
        <f>Levels!A178</f>
        <v>2015Q1</v>
      </c>
      <c r="B178">
        <f>Levels!B178/Levels!$R178</f>
        <v>26268.386008693105</v>
      </c>
      <c r="C178">
        <f>Levels!C178/Levels!$R178</f>
        <v>7111991.9451306108</v>
      </c>
      <c r="D178">
        <f>Levels!D178/Levels!R178</f>
        <v>9880583.0876586214</v>
      </c>
      <c r="E178">
        <f>Levels!V178/Levels!R178</f>
        <v>26093779.808639605</v>
      </c>
      <c r="F178">
        <f>Levels!E178</f>
        <v>3536.69</v>
      </c>
      <c r="G178">
        <f>Levels!F178</f>
        <v>11513.69399374812</v>
      </c>
      <c r="H178">
        <f>Levels!G178</f>
        <v>3</v>
      </c>
      <c r="I178">
        <f>Levels!Y178</f>
        <v>0.65986079487906846</v>
      </c>
      <c r="J178">
        <f>Levels!AD178</f>
        <v>-8.4821697049235478E-3</v>
      </c>
      <c r="K178">
        <f>Levels!AC178</f>
        <v>0.11</v>
      </c>
      <c r="L178">
        <f>Levels!I178</f>
        <v>-0.4213604821600776</v>
      </c>
      <c r="M178">
        <f>Levels!J178</f>
        <v>3.3145633949810001</v>
      </c>
      <c r="N178">
        <f>Levels!K178</f>
        <v>1.8640204173628201</v>
      </c>
      <c r="P178">
        <f>Levels!M178</f>
        <v>2.258033032495697</v>
      </c>
      <c r="Q178">
        <f>Levels!N178</f>
        <v>0.18629580537987137</v>
      </c>
      <c r="R178">
        <f>Levels!O178</f>
        <v>0.80369404808188205</v>
      </c>
      <c r="S178">
        <f>Levels!P178</f>
        <v>0.85171872199571497</v>
      </c>
      <c r="T178">
        <f>Levels!Q178</f>
        <v>17280.647000000001</v>
      </c>
      <c r="U178">
        <f>Levels!S178</f>
        <v>-1.150652389</v>
      </c>
      <c r="V178">
        <f>Levels!T178</f>
        <v>-1.0551957759999999</v>
      </c>
      <c r="W178">
        <f>Levels!U178</f>
        <v>-0.64654783599999999</v>
      </c>
      <c r="X178">
        <f>Levels!AB178</f>
        <v>-1.6420875434289599</v>
      </c>
    </row>
    <row r="179" spans="1:24" x14ac:dyDescent="0.35">
      <c r="A179" t="str">
        <f>Levels!A179</f>
        <v>2015Q2</v>
      </c>
      <c r="B179">
        <f>Levels!B179/Levels!$R179</f>
        <v>26649.832936902712</v>
      </c>
      <c r="C179">
        <f>Levels!C179/Levels!$R179</f>
        <v>6826466.4800138082</v>
      </c>
      <c r="D179">
        <f>Levels!D179/Levels!R179</f>
        <v>9801467.1397210099</v>
      </c>
      <c r="E179">
        <f>Levels!V179/Levels!R179</f>
        <v>25985151.626481589</v>
      </c>
      <c r="F179">
        <f>Levels!E179</f>
        <v>3579.1289999999999</v>
      </c>
      <c r="G179">
        <f>Levels!F179</f>
        <v>11609.990929754695</v>
      </c>
      <c r="H179">
        <f>Levels!G179</f>
        <v>2.6</v>
      </c>
      <c r="I179">
        <f>Levels!Y179</f>
        <v>0.5284733024007473</v>
      </c>
      <c r="J179">
        <f>Levels!AD179</f>
        <v>-6.9266046254512492E-4</v>
      </c>
      <c r="K179">
        <f>Levels!AC179</f>
        <v>0.12333333333333334</v>
      </c>
      <c r="L179">
        <f>Levels!I179</f>
        <v>-0.25672500000000076</v>
      </c>
      <c r="M179">
        <f>Levels!J179</f>
        <v>3.3222286823374598</v>
      </c>
      <c r="N179">
        <f>Levels!K179</f>
        <v>1.8323220610617399</v>
      </c>
      <c r="P179">
        <f>Levels!M179</f>
        <v>2.209411310021312</v>
      </c>
      <c r="Q179">
        <f>Levels!N179</f>
        <v>0.35443250928701664</v>
      </c>
      <c r="R179">
        <f>Levels!O179</f>
        <v>0.78124466625646605</v>
      </c>
      <c r="S179">
        <f>Levels!P179</f>
        <v>0.84736692979958494</v>
      </c>
      <c r="T179">
        <f>Levels!Q179</f>
        <v>17380.875</v>
      </c>
      <c r="U179">
        <f>Levels!S179</f>
        <v>-0.39101440100000001</v>
      </c>
      <c r="V179">
        <f>Levels!T179</f>
        <v>0.53039319699999998</v>
      </c>
      <c r="W179">
        <f>Levels!U179</f>
        <v>0.12045721400000001</v>
      </c>
      <c r="X179">
        <v>-0.18838439979427099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6C09-3092-43D7-8B02-C8561F68174C}">
  <dimension ref="A1:T193"/>
  <sheetViews>
    <sheetView workbookViewId="0">
      <selection activeCell="G2" sqref="G2"/>
    </sheetView>
  </sheetViews>
  <sheetFormatPr defaultRowHeight="14.5" x14ac:dyDescent="0.35"/>
  <sheetData>
    <row r="1" spans="1:20" x14ac:dyDescent="0.35">
      <c r="A1" t="str">
        <f>Normalized!A1</f>
        <v>date</v>
      </c>
      <c r="B1" t="str">
        <f>Normalized!B1</f>
        <v>credit</v>
      </c>
      <c r="C1" t="str">
        <f>Normalized!C1</f>
        <v>trsry security</v>
      </c>
      <c r="D1" t="str">
        <f>Normalized!D1</f>
        <v>net worth</v>
      </c>
      <c r="E1" t="str">
        <f>Normalized!E1</f>
        <v>GFCF</v>
      </c>
      <c r="F1" t="str">
        <f>Normalized!F1</f>
        <v>cons</v>
      </c>
      <c r="G1" t="str">
        <f>Normalized!G1</f>
        <v>hours</v>
      </c>
      <c r="H1" t="str">
        <f>Normalized!H1</f>
        <v>Real 3m r</v>
      </c>
      <c r="I1" t="str">
        <f>Normalized!I1</f>
        <v>Real 10y r</v>
      </c>
      <c r="J1" t="str">
        <f>Normalized!J1</f>
        <v>logQ</v>
      </c>
      <c r="K1" t="str">
        <f>Normalized!K1</f>
        <v>ret</v>
      </c>
      <c r="L1" t="str">
        <f>Normalized!L1</f>
        <v>gz_spr</v>
      </c>
      <c r="M1" t="str">
        <f>Normalized!M1</f>
        <v>ExcR</v>
      </c>
      <c r="N1" t="str">
        <f>Normalized!N1</f>
        <v>infl</v>
      </c>
      <c r="O1" t="str">
        <f>Normalized!O1</f>
        <v>JLN</v>
      </c>
      <c r="P1" t="str">
        <f>Normalized!P1</f>
        <v>JLN_F</v>
      </c>
      <c r="Q1" t="str">
        <f>Normalized!Q1</f>
        <v>GDP</v>
      </c>
      <c r="R1" t="str">
        <f>Normalized!R1</f>
        <v>unc_m shock</v>
      </c>
      <c r="S1" t="str">
        <f>Normalized!S1</f>
        <v>ip shock</v>
      </c>
      <c r="T1" t="str">
        <f>Normalized!T1</f>
        <v>unc_f shock</v>
      </c>
    </row>
    <row r="2" spans="1:20" x14ac:dyDescent="0.35">
      <c r="A2" t="str">
        <f>Levels!A2</f>
        <v>1971Q1</v>
      </c>
      <c r="B2">
        <f>Normalized!B2</f>
        <v>1.1469861056754895</v>
      </c>
      <c r="C2">
        <f>Normalized!C2</f>
        <v>216.2952296511844</v>
      </c>
      <c r="D2">
        <f>Normalized!D2</f>
        <v>21804.202101156126</v>
      </c>
      <c r="F2">
        <f>Levels!F2/Levels!$Q2</f>
        <v>0.6125077074527232</v>
      </c>
      <c r="G2" s="6">
        <v>-2.1</v>
      </c>
      <c r="H2" s="4">
        <v>-1.1999911475409832</v>
      </c>
      <c r="I2" s="4">
        <v>-0.49996227946916427</v>
      </c>
      <c r="J2">
        <v>1.9854294841089</v>
      </c>
      <c r="K2">
        <v>0.19569738980662199</v>
      </c>
      <c r="M2">
        <v>2.4406014718644999</v>
      </c>
      <c r="N2" s="6">
        <v>5.0037700000000003</v>
      </c>
      <c r="O2">
        <v>0.79096955613266395</v>
      </c>
      <c r="P2">
        <v>0.97779341102097905</v>
      </c>
      <c r="Q2">
        <v>2.6972399999999999</v>
      </c>
      <c r="R2">
        <v>-4.2005675519999999</v>
      </c>
      <c r="S2">
        <v>3.5197163480000002</v>
      </c>
      <c r="T2">
        <v>4.7928510000000001E-2</v>
      </c>
    </row>
    <row r="3" spans="1:20" x14ac:dyDescent="0.35">
      <c r="A3" t="str">
        <f>Levels!A3</f>
        <v>1971Q2</v>
      </c>
      <c r="B3">
        <f>Normalized!B3</f>
        <v>1.1817508852124836</v>
      </c>
      <c r="C3">
        <f>Normalized!C3</f>
        <v>215.13126349103032</v>
      </c>
      <c r="D3">
        <f>Normalized!D3</f>
        <v>21916.490825591365</v>
      </c>
      <c r="E3" s="2"/>
      <c r="F3">
        <f>Levels!F3/Levels!$Q3</f>
        <v>0.61414629847406599</v>
      </c>
      <c r="G3" s="6">
        <v>-0.5</v>
      </c>
      <c r="H3" s="4">
        <v>-0.57537904761904812</v>
      </c>
      <c r="I3" s="4">
        <v>-0.33476317460317428</v>
      </c>
      <c r="J3">
        <v>2.0035370992705901</v>
      </c>
      <c r="K3">
        <v>0.17269642418539802</v>
      </c>
      <c r="M3">
        <v>1.89722219049529</v>
      </c>
      <c r="N3" s="6">
        <v>5.0178599999999998</v>
      </c>
      <c r="O3">
        <v>0.75466324140772201</v>
      </c>
      <c r="P3">
        <v>0.93890474327853302</v>
      </c>
      <c r="Q3">
        <v>3.1066099999999999</v>
      </c>
      <c r="R3">
        <v>1.0692357020000001</v>
      </c>
      <c r="S3">
        <v>-1.3260016530000001</v>
      </c>
      <c r="T3">
        <v>-0.20350855100000001</v>
      </c>
    </row>
    <row r="4" spans="1:20" x14ac:dyDescent="0.35">
      <c r="A4" t="str">
        <f>Levels!A4</f>
        <v>1971Q3</v>
      </c>
      <c r="B4">
        <f>Normalized!B4</f>
        <v>1.2083142998695851</v>
      </c>
      <c r="C4">
        <f>Normalized!C4</f>
        <v>212.95609288493259</v>
      </c>
      <c r="D4">
        <f>Normalized!D4</f>
        <v>22827.07436656595</v>
      </c>
      <c r="E4" s="2"/>
      <c r="F4">
        <f>Levels!F4/Levels!$Q4</f>
        <v>0.61231840888952904</v>
      </c>
      <c r="G4" s="6">
        <v>0</v>
      </c>
      <c r="H4" s="4">
        <v>1.0299225000000001</v>
      </c>
      <c r="I4" s="4">
        <v>-0.17078910714285733</v>
      </c>
      <c r="J4">
        <v>1.9910998459870799</v>
      </c>
      <c r="K4">
        <v>-8.2923813247211695E-2</v>
      </c>
      <c r="M4">
        <v>1.6608248586976599</v>
      </c>
      <c r="N4" s="6">
        <v>4.8377600000000003</v>
      </c>
      <c r="O4">
        <v>0.76033864456955003</v>
      </c>
      <c r="P4">
        <v>0.94071233916643904</v>
      </c>
      <c r="Q4">
        <v>3.00589</v>
      </c>
      <c r="R4">
        <v>-1.079585612</v>
      </c>
      <c r="S4">
        <v>0.29892607999999998</v>
      </c>
      <c r="T4">
        <v>0.40864257500000001</v>
      </c>
    </row>
    <row r="5" spans="1:20" x14ac:dyDescent="0.35">
      <c r="A5" t="str">
        <f>Levels!A5</f>
        <v>1971Q4</v>
      </c>
      <c r="B5">
        <f>Normalized!B5</f>
        <v>1.2398682973364867</v>
      </c>
      <c r="C5">
        <f>Normalized!C5</f>
        <v>222.96120156502673</v>
      </c>
      <c r="D5">
        <f>Normalized!D5</f>
        <v>23906.508465466271</v>
      </c>
      <c r="E5" s="2"/>
      <c r="F5">
        <f>Levels!F5/Levels!$Q5</f>
        <v>0.61735026197537479</v>
      </c>
      <c r="G5" s="6">
        <v>1.9</v>
      </c>
      <c r="H5" s="4">
        <v>0.55639672131147533</v>
      </c>
      <c r="I5" s="4">
        <v>-0.8234862607338016</v>
      </c>
      <c r="J5">
        <v>1.9819173407080799</v>
      </c>
      <c r="K5">
        <v>9.0832647667238295E-2</v>
      </c>
      <c r="M5">
        <v>1.65537770934155</v>
      </c>
      <c r="N5" s="6">
        <v>3.9778899999999999</v>
      </c>
      <c r="O5">
        <v>0.75628188058049906</v>
      </c>
      <c r="P5">
        <v>0.94820076038364898</v>
      </c>
      <c r="Q5">
        <v>4.3672000000000004</v>
      </c>
      <c r="R5">
        <v>2.398831258</v>
      </c>
      <c r="S5">
        <v>-0.26675264500000001</v>
      </c>
      <c r="T5">
        <v>0.47947587699999999</v>
      </c>
    </row>
    <row r="6" spans="1:20" x14ac:dyDescent="0.35">
      <c r="A6" t="str">
        <f>Levels!A6</f>
        <v>1972Q1</v>
      </c>
      <c r="B6">
        <f>Normalized!B6</f>
        <v>1.2631117338904718</v>
      </c>
      <c r="C6">
        <f>Normalized!C6</f>
        <v>222.28529747102596</v>
      </c>
      <c r="D6">
        <f>Normalized!D6</f>
        <v>23872.215883725577</v>
      </c>
      <c r="E6">
        <f>Levels!E6/Levels!$Q6</f>
        <v>0.17307652375909566</v>
      </c>
      <c r="F6">
        <f>Levels!F6/Levels!$Q6</f>
        <v>0.6145938698486304</v>
      </c>
      <c r="G6" s="6">
        <v>2.6</v>
      </c>
      <c r="H6" s="4">
        <v>0.26047682539682526</v>
      </c>
      <c r="I6" s="4">
        <v>-0.74157349206349199</v>
      </c>
      <c r="J6">
        <v>2.0227772548784402</v>
      </c>
      <c r="K6">
        <v>-0.89174984140168601</v>
      </c>
      <c r="M6">
        <v>0.95439693102841205</v>
      </c>
      <c r="N6" s="6">
        <v>3.6617999999999999</v>
      </c>
      <c r="O6">
        <v>0.74905766918581196</v>
      </c>
      <c r="P6">
        <v>0.89377226659146602</v>
      </c>
      <c r="Q6">
        <v>3.4760721277919515</v>
      </c>
      <c r="R6">
        <v>0.55881061499999996</v>
      </c>
      <c r="S6">
        <v>2.9088960180000001</v>
      </c>
      <c r="T6">
        <v>-3.6705216630000002</v>
      </c>
    </row>
    <row r="7" spans="1:20" x14ac:dyDescent="0.35">
      <c r="A7" t="str">
        <f>Levels!A7</f>
        <v>1972Q2</v>
      </c>
      <c r="B7">
        <f>Normalized!B7</f>
        <v>1.3085801232577472</v>
      </c>
      <c r="C7">
        <f>Normalized!C7</f>
        <v>221.31268432494383</v>
      </c>
      <c r="D7">
        <f>Normalized!D7</f>
        <v>23928.732133326561</v>
      </c>
      <c r="E7">
        <f>Levels!E7/Levels!$Q7</f>
        <v>0.17124849934385586</v>
      </c>
      <c r="F7">
        <f>Levels!F7/Levels!$Q7</f>
        <v>0.61032985159590802</v>
      </c>
      <c r="G7" s="6">
        <v>3</v>
      </c>
      <c r="H7" s="4">
        <v>0.78059749999999983</v>
      </c>
      <c r="I7" s="4">
        <v>-0.69670607142857222</v>
      </c>
      <c r="J7">
        <v>2.0331157848759598</v>
      </c>
      <c r="K7">
        <v>-3.5339051920940702E-2</v>
      </c>
      <c r="M7">
        <v>1.8877983893396499</v>
      </c>
      <c r="N7" s="6">
        <v>3.18492</v>
      </c>
      <c r="O7">
        <v>0.72086478063553305</v>
      </c>
      <c r="P7">
        <v>0.86197467630532798</v>
      </c>
      <c r="Q7">
        <v>5.2551864571869888</v>
      </c>
      <c r="R7">
        <v>-0.61409979999999997</v>
      </c>
      <c r="S7">
        <v>-1.3445919980000001</v>
      </c>
      <c r="T7">
        <v>0.183849386</v>
      </c>
    </row>
    <row r="8" spans="1:20" x14ac:dyDescent="0.35">
      <c r="A8" t="str">
        <f>Levels!A8</f>
        <v>1972Q3</v>
      </c>
      <c r="B8">
        <f>Normalized!B8</f>
        <v>1.3403831707313376</v>
      </c>
      <c r="C8">
        <f>Normalized!C8</f>
        <v>218.85209917052958</v>
      </c>
      <c r="D8">
        <f>Normalized!D8</f>
        <v>24589.231263334379</v>
      </c>
      <c r="E8">
        <f>Levels!E8/Levels!$Q8</f>
        <v>0.1693225400724537</v>
      </c>
      <c r="F8">
        <f>Levels!F8/Levels!$Q8</f>
        <v>0.61441682246859342</v>
      </c>
      <c r="G8" s="6">
        <v>3.5</v>
      </c>
      <c r="H8" s="4">
        <v>1.1635023809523806</v>
      </c>
      <c r="I8" s="4">
        <v>-0.61610666666666525</v>
      </c>
      <c r="J8">
        <v>2.0413836183108098</v>
      </c>
      <c r="K8">
        <v>-0.55965761187401708</v>
      </c>
      <c r="M8">
        <v>1.0524892457719399</v>
      </c>
      <c r="N8" s="6">
        <v>2.9903400000000002</v>
      </c>
      <c r="O8">
        <v>0.75740919806524198</v>
      </c>
      <c r="P8">
        <v>0.88100813043735604</v>
      </c>
      <c r="Q8">
        <v>5.3819387051471157</v>
      </c>
      <c r="R8">
        <v>1.5322160600000001</v>
      </c>
      <c r="S8">
        <v>-4.5506628E-2</v>
      </c>
      <c r="T8">
        <v>-2.9725927999999999E-2</v>
      </c>
    </row>
    <row r="9" spans="1:20" x14ac:dyDescent="0.35">
      <c r="A9" t="str">
        <f>Levels!A9</f>
        <v>1972Q4</v>
      </c>
      <c r="B9">
        <f>Normalized!B9</f>
        <v>1.3872765632804163</v>
      </c>
      <c r="C9">
        <f>Normalized!C9</f>
        <v>228.73921788568208</v>
      </c>
      <c r="D9">
        <f>Normalized!D9</f>
        <v>25220.008579687139</v>
      </c>
      <c r="E9">
        <f>Levels!E9/Levels!$Q9</f>
        <v>0.17364570776449628</v>
      </c>
      <c r="F9">
        <f>Levels!F9/Levels!$Q9</f>
        <v>0.61893751336122915</v>
      </c>
      <c r="G9" s="6">
        <v>3.5</v>
      </c>
      <c r="H9" s="4">
        <v>2.0814833333333334</v>
      </c>
      <c r="I9" s="4">
        <v>-0.59691595238095108</v>
      </c>
      <c r="J9">
        <v>2.0655565951187702</v>
      </c>
      <c r="K9">
        <v>-0.681468118916423</v>
      </c>
      <c r="M9">
        <v>1.35687421896618</v>
      </c>
      <c r="N9" s="6">
        <v>3.04745</v>
      </c>
      <c r="O9">
        <v>0.78272068928217198</v>
      </c>
      <c r="P9">
        <v>0.92604829909453401</v>
      </c>
      <c r="Q9">
        <v>6.8944758870178369</v>
      </c>
      <c r="R9">
        <v>4.0139768059999996</v>
      </c>
      <c r="S9">
        <v>0.10468662300000001</v>
      </c>
      <c r="T9">
        <v>-0.211610944</v>
      </c>
    </row>
    <row r="10" spans="1:20" x14ac:dyDescent="0.35">
      <c r="A10" t="str">
        <f>Levels!A10</f>
        <v>1973Q1</v>
      </c>
      <c r="B10">
        <f>Normalized!B10</f>
        <v>1.4264018748255689</v>
      </c>
      <c r="C10">
        <f>Normalized!C10</f>
        <v>224.99799348254871</v>
      </c>
      <c r="D10">
        <f>Normalized!D10</f>
        <v>26285.509524262376</v>
      </c>
      <c r="E10">
        <f>Levels!E10/Levels!$Q10</f>
        <v>0.17642765527640647</v>
      </c>
      <c r="F10">
        <f>Levels!F10/Levels!$Q10</f>
        <v>0.61779398002017683</v>
      </c>
      <c r="G10" s="6">
        <v>3.9</v>
      </c>
      <c r="H10" s="4">
        <v>2.2260941935483873</v>
      </c>
      <c r="I10" s="4">
        <v>-0.4193127342549916</v>
      </c>
      <c r="J10">
        <v>2.0605947058432599</v>
      </c>
      <c r="K10">
        <v>-3.8180952976452097E-2</v>
      </c>
      <c r="L10">
        <v>0.88959999999999995</v>
      </c>
      <c r="M10">
        <v>2.1151618073140801</v>
      </c>
      <c r="N10" s="6">
        <v>2.7813500000000002</v>
      </c>
      <c r="O10">
        <v>0.82162466755668295</v>
      </c>
      <c r="P10">
        <v>1.0025216840570099</v>
      </c>
      <c r="Q10">
        <v>7.5618882917976027</v>
      </c>
      <c r="R10">
        <v>1.68865036</v>
      </c>
      <c r="S10">
        <v>0.692187102</v>
      </c>
      <c r="T10">
        <v>0.30885107499999997</v>
      </c>
    </row>
    <row r="11" spans="1:20" x14ac:dyDescent="0.35">
      <c r="A11" t="str">
        <f>Levels!A11</f>
        <v>1973Q2</v>
      </c>
      <c r="B11">
        <f>Normalized!B11</f>
        <v>1.4787258029966106</v>
      </c>
      <c r="C11">
        <f>Normalized!C11</f>
        <v>223.23326536704499</v>
      </c>
      <c r="D11">
        <f>Normalized!D11</f>
        <v>27740.003289084441</v>
      </c>
      <c r="E11">
        <f>Levels!E11/Levels!$Q11</f>
        <v>0.17466692245900534</v>
      </c>
      <c r="F11">
        <f>Levels!F11/Levels!$Q11</f>
        <v>0.61832286312729068</v>
      </c>
      <c r="G11" s="6">
        <v>4.2</v>
      </c>
      <c r="H11" s="4">
        <v>2.5281507936507941</v>
      </c>
      <c r="I11" s="4">
        <v>-0.26696047619047381</v>
      </c>
      <c r="J11">
        <v>2.02940431203595</v>
      </c>
      <c r="K11">
        <v>0.72880494832131004</v>
      </c>
      <c r="L11">
        <v>0.84709999999999996</v>
      </c>
      <c r="M11">
        <v>3.0131481310085202</v>
      </c>
      <c r="N11" s="6">
        <v>3.48068</v>
      </c>
      <c r="O11">
        <v>0.85461161731455704</v>
      </c>
      <c r="P11">
        <v>1.06804088277295</v>
      </c>
      <c r="Q11">
        <v>6.3196600158145211</v>
      </c>
      <c r="R11">
        <v>1.8592563150000001</v>
      </c>
      <c r="S11">
        <v>-1.252370848</v>
      </c>
      <c r="T11">
        <v>1.312444078</v>
      </c>
    </row>
    <row r="12" spans="1:20" x14ac:dyDescent="0.35">
      <c r="A12" t="str">
        <f>Levels!A12</f>
        <v>1973Q3</v>
      </c>
      <c r="B12">
        <f>Normalized!B12</f>
        <v>1.5224616319024202</v>
      </c>
      <c r="C12">
        <f>Normalized!C12</f>
        <v>219.70759614926533</v>
      </c>
      <c r="D12">
        <f>Normalized!D12</f>
        <v>29927.056582721194</v>
      </c>
      <c r="E12">
        <f>Levels!E12/Levels!$Q12</f>
        <v>0.17410296142583542</v>
      </c>
      <c r="F12">
        <f>Levels!F12/Levels!$Q12</f>
        <v>0.62967048134299752</v>
      </c>
      <c r="G12" s="6">
        <v>4.3</v>
      </c>
      <c r="H12" s="4">
        <v>3.4716693650793644</v>
      </c>
      <c r="I12" s="4">
        <v>0.12014968253968394</v>
      </c>
      <c r="J12">
        <v>2.0268212039414402</v>
      </c>
      <c r="K12">
        <v>7.4922403621902098E-2</v>
      </c>
      <c r="L12">
        <v>0.69550000000000001</v>
      </c>
      <c r="M12">
        <v>2.0486348456980101</v>
      </c>
      <c r="N12" s="6">
        <v>4.0754999999999999</v>
      </c>
      <c r="O12">
        <v>0.94089069224208299</v>
      </c>
      <c r="P12">
        <v>1.1392991253110301</v>
      </c>
      <c r="Q12">
        <v>4.7710873076094229</v>
      </c>
      <c r="R12">
        <v>3.5375631790000002</v>
      </c>
      <c r="S12">
        <v>0.26813095100000001</v>
      </c>
      <c r="T12">
        <v>1.2148524089999999</v>
      </c>
    </row>
    <row r="13" spans="1:20" x14ac:dyDescent="0.35">
      <c r="A13" t="str">
        <f>Levels!A13</f>
        <v>1973Q4</v>
      </c>
      <c r="B13">
        <f>Normalized!B13</f>
        <v>1.5604965358405294</v>
      </c>
      <c r="C13">
        <f>Normalized!C13</f>
        <v>228.41444835605901</v>
      </c>
      <c r="D13">
        <f>Normalized!D13</f>
        <v>30873.860606168077</v>
      </c>
      <c r="E13">
        <f>Levels!E13/Levels!$Q13</f>
        <v>0.17143947831961301</v>
      </c>
      <c r="F13">
        <f>Levels!F13/Levels!$Q13</f>
        <v>0.62826641956076035</v>
      </c>
      <c r="G13" s="6">
        <v>3.8</v>
      </c>
      <c r="H13" s="4">
        <v>1.5712566666666667</v>
      </c>
      <c r="I13" s="4">
        <v>-0.34416785714285592</v>
      </c>
      <c r="J13">
        <v>1.99265843806265</v>
      </c>
      <c r="K13">
        <v>1.0961418735848101</v>
      </c>
      <c r="L13">
        <v>1.0661</v>
      </c>
      <c r="M13">
        <v>4.0151528543903598</v>
      </c>
      <c r="N13" s="6">
        <v>4.86341</v>
      </c>
      <c r="O13">
        <v>0.94060057207050796</v>
      </c>
      <c r="P13">
        <v>1.19641641544229</v>
      </c>
      <c r="Q13">
        <v>4.0237563989062419</v>
      </c>
      <c r="R13">
        <v>1.707309907</v>
      </c>
      <c r="S13">
        <v>0.11346682</v>
      </c>
      <c r="T13">
        <v>-1.917343633</v>
      </c>
    </row>
    <row r="14" spans="1:20" x14ac:dyDescent="0.35">
      <c r="A14" t="str">
        <f>Levels!A14</f>
        <v>1974Q1</v>
      </c>
      <c r="B14">
        <f>Normalized!B14</f>
        <v>1.5866711715830588</v>
      </c>
      <c r="C14">
        <f>Normalized!C14</f>
        <v>224.96348500444697</v>
      </c>
      <c r="D14">
        <f>Normalized!D14</f>
        <v>32325.489740500758</v>
      </c>
      <c r="E14">
        <f>Levels!E14/Levels!$Q14</f>
        <v>0.17138639574134165</v>
      </c>
      <c r="F14">
        <f>Levels!F14/Levels!$Q14</f>
        <v>0.63897459680411539</v>
      </c>
      <c r="G14" s="6">
        <v>1.8</v>
      </c>
      <c r="H14" s="4">
        <v>0.54385196721311502</v>
      </c>
      <c r="I14" s="4">
        <v>-3.8360526932081029E-2</v>
      </c>
      <c r="J14">
        <v>1.9806950527515499</v>
      </c>
      <c r="K14">
        <v>0.13757707837368899</v>
      </c>
      <c r="L14">
        <v>0.98280000000000001</v>
      </c>
      <c r="M14">
        <v>2.7278288044483001</v>
      </c>
      <c r="N14" s="6">
        <v>5.92591</v>
      </c>
      <c r="O14">
        <v>0.92797056191534899</v>
      </c>
      <c r="P14">
        <v>1.11474869908889</v>
      </c>
      <c r="Q14">
        <v>0.63877387719999401</v>
      </c>
      <c r="R14">
        <v>-0.36504645800000002</v>
      </c>
      <c r="S14">
        <v>-0.73052763300000001</v>
      </c>
      <c r="T14">
        <v>-0.10677294499999999</v>
      </c>
    </row>
    <row r="15" spans="1:20" x14ac:dyDescent="0.35">
      <c r="A15" t="str">
        <f>Levels!A15</f>
        <v>1974Q2</v>
      </c>
      <c r="B15">
        <f>Normalized!B15</f>
        <v>1.6406855109159393</v>
      </c>
      <c r="C15">
        <f>Normalized!C15</f>
        <v>224.40984116918065</v>
      </c>
      <c r="D15">
        <f>Normalized!D15</f>
        <v>34346.310157003303</v>
      </c>
      <c r="E15">
        <f>Levels!E15/Levels!$Q15</f>
        <v>0.17037447731764427</v>
      </c>
      <c r="F15">
        <f>Levels!F15/Levels!$Q15</f>
        <v>0.64824991437379698</v>
      </c>
      <c r="G15" s="6">
        <v>1</v>
      </c>
      <c r="H15" s="4">
        <v>-0.55646492063492126</v>
      </c>
      <c r="I15" s="4">
        <v>0.49468238095238348</v>
      </c>
      <c r="J15">
        <v>1.94278924507463</v>
      </c>
      <c r="K15">
        <v>1.12301306209976</v>
      </c>
      <c r="L15">
        <v>1.1518999999999999</v>
      </c>
      <c r="M15">
        <v>2.9483717369566902</v>
      </c>
      <c r="N15" s="6">
        <v>7.1012300000000002</v>
      </c>
      <c r="O15">
        <v>0.93079600840638499</v>
      </c>
      <c r="P15">
        <v>1.1263068837869601</v>
      </c>
      <c r="Q15">
        <v>-0.20841819594569211</v>
      </c>
      <c r="R15">
        <v>1.475847162</v>
      </c>
      <c r="S15">
        <v>0.14781981899999999</v>
      </c>
      <c r="T15">
        <v>1.8949369039999999</v>
      </c>
    </row>
    <row r="16" spans="1:20" x14ac:dyDescent="0.35">
      <c r="A16" t="str">
        <f>Levels!A16</f>
        <v>1974Q3</v>
      </c>
      <c r="B16">
        <f>Normalized!B16</f>
        <v>1.6798144271406121</v>
      </c>
      <c r="C16">
        <f>Normalized!C16</f>
        <v>222.84509323105081</v>
      </c>
      <c r="D16">
        <f>Normalized!D16</f>
        <v>36061.849699427388</v>
      </c>
      <c r="E16">
        <f>Levels!E16/Levels!$Q16</f>
        <v>0.16905933596536704</v>
      </c>
      <c r="F16">
        <f>Levels!F16/Levels!$Q16</f>
        <v>0.66318682448699062</v>
      </c>
      <c r="G16" s="6">
        <v>0</v>
      </c>
      <c r="H16" s="4">
        <v>-1.6525712499999994</v>
      </c>
      <c r="I16" s="4">
        <v>0.98917160714285846</v>
      </c>
      <c r="J16">
        <v>1.8519564473152501</v>
      </c>
      <c r="K16">
        <v>1.05794560886983</v>
      </c>
      <c r="L16">
        <v>1.9156</v>
      </c>
      <c r="M16">
        <v>2.88961191468908</v>
      </c>
      <c r="N16" s="6">
        <v>8.7158300000000004</v>
      </c>
      <c r="O16">
        <v>0.959433592484772</v>
      </c>
      <c r="P16">
        <v>1.20853578899459</v>
      </c>
      <c r="Q16">
        <v>-0.62900049280190107</v>
      </c>
      <c r="R16">
        <v>0.85070264399999995</v>
      </c>
      <c r="S16">
        <v>-0.83917507599999996</v>
      </c>
      <c r="T16">
        <v>3.4635749009999999</v>
      </c>
    </row>
    <row r="17" spans="1:20" x14ac:dyDescent="0.35">
      <c r="A17" t="str">
        <f>Levels!A17</f>
        <v>1974Q4</v>
      </c>
      <c r="B17">
        <f>Normalized!B17</f>
        <v>1.7130008020670364</v>
      </c>
      <c r="C17">
        <f>Normalized!C17</f>
        <v>229.07815198430251</v>
      </c>
      <c r="D17">
        <f>Normalized!D17</f>
        <v>38346.851471878719</v>
      </c>
      <c r="E17">
        <f>Levels!E17/Levels!$Q17</f>
        <v>0.16216344615761283</v>
      </c>
      <c r="F17">
        <f>Levels!F17/Levels!$Q17</f>
        <v>0.6583001316477527</v>
      </c>
      <c r="G17" s="6">
        <v>-2.1</v>
      </c>
      <c r="H17" s="4">
        <v>-2.7436993442622946</v>
      </c>
      <c r="I17" s="4">
        <v>0.80944858704137435</v>
      </c>
      <c r="J17">
        <v>1.8411448393403</v>
      </c>
      <c r="K17">
        <v>0.63063488942456403</v>
      </c>
      <c r="L17">
        <v>2.0764</v>
      </c>
      <c r="M17">
        <v>4.1781395457674</v>
      </c>
      <c r="N17" s="6">
        <v>9.8455399999999997</v>
      </c>
      <c r="O17">
        <v>0.99742135048234004</v>
      </c>
      <c r="P17">
        <v>1.2550740304563901</v>
      </c>
      <c r="Q17">
        <v>-1.945449393820109</v>
      </c>
      <c r="R17">
        <v>-5.7580010330000002</v>
      </c>
      <c r="S17">
        <v>-5.0263148429999998</v>
      </c>
      <c r="T17">
        <v>3.9206876290000001</v>
      </c>
    </row>
    <row r="18" spans="1:20" x14ac:dyDescent="0.35">
      <c r="A18" t="str">
        <f>Levels!A18</f>
        <v>1975Q1</v>
      </c>
      <c r="B18">
        <f>Normalized!B18</f>
        <v>1.7188820625498575</v>
      </c>
      <c r="C18">
        <f>Normalized!C18</f>
        <v>241.84912747355224</v>
      </c>
      <c r="D18">
        <f>Normalized!D18</f>
        <v>38222.126802624414</v>
      </c>
      <c r="E18">
        <f>Levels!E18/Levels!$Q18</f>
        <v>0.15792603111868356</v>
      </c>
      <c r="F18">
        <f>Levels!F18/Levels!$Q18</f>
        <v>0.66812599850932108</v>
      </c>
      <c r="G18" s="6">
        <v>-4.7</v>
      </c>
      <c r="H18" s="4">
        <v>-3.2911799999999989</v>
      </c>
      <c r="I18" s="4">
        <v>0.82049095238095315</v>
      </c>
      <c r="J18">
        <v>1.8958233820538299</v>
      </c>
      <c r="K18">
        <v>-1.8346177511902901</v>
      </c>
      <c r="L18">
        <v>1.415</v>
      </c>
      <c r="M18">
        <v>3.632641970321</v>
      </c>
      <c r="N18" s="6">
        <v>10.10206</v>
      </c>
      <c r="O18">
        <v>0.95919583724984903</v>
      </c>
      <c r="P18">
        <v>1.2120658438782701</v>
      </c>
      <c r="Q18">
        <v>-2.2990475952479605</v>
      </c>
      <c r="R18">
        <v>-4.787174802</v>
      </c>
      <c r="S18">
        <v>1.5937692080000001</v>
      </c>
      <c r="T18">
        <v>-0.98702403699999997</v>
      </c>
    </row>
    <row r="19" spans="1:20" x14ac:dyDescent="0.35">
      <c r="A19" t="str">
        <f>Levels!A19</f>
        <v>1975Q2</v>
      </c>
      <c r="B19">
        <f>Normalized!B19</f>
        <v>1.7469322445242994</v>
      </c>
      <c r="C19">
        <f>Normalized!C19</f>
        <v>261.14868702602064</v>
      </c>
      <c r="D19">
        <f>Normalized!D19</f>
        <v>37696.126230076865</v>
      </c>
      <c r="E19">
        <f>Levels!E19/Levels!$Q19</f>
        <v>0.15323689205995944</v>
      </c>
      <c r="F19">
        <f>Levels!F19/Levels!$Q19</f>
        <v>0.66567488384113083</v>
      </c>
      <c r="G19" s="6">
        <v>-5.9</v>
      </c>
      <c r="H19" s="4">
        <v>-2.231465</v>
      </c>
      <c r="I19" s="4">
        <v>1.4727935714285723</v>
      </c>
      <c r="J19">
        <v>1.9536193721861901</v>
      </c>
      <c r="K19">
        <v>0.18272603894092801</v>
      </c>
      <c r="L19">
        <v>1.2315</v>
      </c>
      <c r="M19">
        <v>3.4027599919949201</v>
      </c>
      <c r="N19" s="6">
        <v>9.0661799999999992</v>
      </c>
      <c r="O19">
        <v>0.89676814656029402</v>
      </c>
      <c r="P19">
        <v>1.07600057617251</v>
      </c>
      <c r="Q19">
        <v>-1.8342624001050689</v>
      </c>
      <c r="R19">
        <v>2.1712544110000001</v>
      </c>
      <c r="S19">
        <v>-1.2464273699999999</v>
      </c>
      <c r="T19">
        <v>-0.406702067</v>
      </c>
    </row>
    <row r="20" spans="1:20" x14ac:dyDescent="0.35">
      <c r="A20" t="str">
        <f>Levels!A20</f>
        <v>1975Q3</v>
      </c>
      <c r="B20">
        <f>Normalized!B20</f>
        <v>1.7739547102293205</v>
      </c>
      <c r="C20">
        <f>Normalized!C20</f>
        <v>275.08840931307316</v>
      </c>
      <c r="D20">
        <f>Normalized!D20</f>
        <v>37539.738936236245</v>
      </c>
      <c r="E20">
        <f>Levels!E20/Levels!$Q20</f>
        <v>0.15613511803142802</v>
      </c>
      <c r="F20">
        <f>Levels!F20/Levels!$Q20</f>
        <v>0.6612035755318556</v>
      </c>
      <c r="G20" s="6">
        <v>-4.7</v>
      </c>
      <c r="H20" s="4">
        <v>-0.44310250000000018</v>
      </c>
      <c r="I20" s="4">
        <v>1.8322875000000005</v>
      </c>
      <c r="J20">
        <v>1.9360158998506201</v>
      </c>
      <c r="K20">
        <v>0.77819691263503199</v>
      </c>
      <c r="L20">
        <v>1.1962999999999999</v>
      </c>
      <c r="M20">
        <v>4.7881682993969603</v>
      </c>
      <c r="N20" s="6">
        <v>7.6283399999999997</v>
      </c>
      <c r="O20">
        <v>0.84630792691854895</v>
      </c>
      <c r="P20">
        <v>1.0188284435445301</v>
      </c>
      <c r="Q20">
        <v>0.79868486935099625</v>
      </c>
      <c r="R20">
        <v>0.745475891</v>
      </c>
      <c r="S20">
        <v>2.921434079</v>
      </c>
      <c r="T20">
        <v>-0.756122293</v>
      </c>
    </row>
    <row r="21" spans="1:20" x14ac:dyDescent="0.35">
      <c r="A21" t="str">
        <f>Levels!A21</f>
        <v>1975Q4</v>
      </c>
      <c r="B21">
        <f>Normalized!B21</f>
        <v>1.8101814353612982</v>
      </c>
      <c r="C21">
        <f>Normalized!C21</f>
        <v>288.63160436660269</v>
      </c>
      <c r="D21">
        <f>Normalized!D21</f>
        <v>38279.544855149972</v>
      </c>
      <c r="E21">
        <f>Levels!E21/Levels!$Q21</f>
        <v>0.15786882131421587</v>
      </c>
      <c r="F21">
        <f>Levels!F21/Levels!$Q21</f>
        <v>0.65797927170679482</v>
      </c>
      <c r="G21" s="6">
        <v>-1.5</v>
      </c>
      <c r="H21" s="4">
        <v>-0.67907901639344281</v>
      </c>
      <c r="I21" s="4">
        <v>1.696495593286496</v>
      </c>
      <c r="J21">
        <v>1.9512518912877399</v>
      </c>
      <c r="K21">
        <v>0.176958310516312</v>
      </c>
      <c r="L21">
        <v>1.0724</v>
      </c>
      <c r="M21">
        <v>5.99811574479528</v>
      </c>
      <c r="N21" s="6">
        <v>6.7715399999999999</v>
      </c>
      <c r="O21">
        <v>0.79199990539623599</v>
      </c>
      <c r="P21">
        <v>1.00045912120836</v>
      </c>
      <c r="Q21">
        <v>2.5540174722061382</v>
      </c>
      <c r="R21">
        <v>0.72190290800000001</v>
      </c>
      <c r="S21">
        <v>-0.28344698000000002</v>
      </c>
      <c r="T21">
        <v>0.83826267499999996</v>
      </c>
    </row>
    <row r="22" spans="1:20" x14ac:dyDescent="0.35">
      <c r="A22" t="str">
        <f>Levels!A22</f>
        <v>1976Q1</v>
      </c>
      <c r="B22">
        <f>Normalized!B22</f>
        <v>1.8308926381966215</v>
      </c>
      <c r="C22">
        <f>Normalized!C22</f>
        <v>302.6545271847599</v>
      </c>
      <c r="D22">
        <f>Normalized!D22</f>
        <v>38197.635071669778</v>
      </c>
      <c r="E22">
        <f>Levels!E22/Levels!$Q22</f>
        <v>0.15998334372936207</v>
      </c>
      <c r="F22">
        <f>Levels!F22/Levels!$Q22</f>
        <v>0.65257067706995353</v>
      </c>
      <c r="G22" s="6">
        <v>3.4</v>
      </c>
      <c r="H22" s="4">
        <v>-1.0558496774193555</v>
      </c>
      <c r="I22" s="4">
        <v>1.4638217818740396</v>
      </c>
      <c r="J22">
        <v>1.9978312003404799</v>
      </c>
      <c r="K22">
        <v>-0.97911005633227688</v>
      </c>
      <c r="L22">
        <v>0.86140000000000005</v>
      </c>
      <c r="M22">
        <v>5.4951176736538798</v>
      </c>
      <c r="N22" s="6">
        <v>6.3166200000000003</v>
      </c>
      <c r="O22">
        <v>0.77115583158966405</v>
      </c>
      <c r="P22">
        <v>0.98979670141818499</v>
      </c>
      <c r="Q22">
        <v>6.152389361625854</v>
      </c>
      <c r="R22">
        <v>-0.88467790099999999</v>
      </c>
      <c r="S22">
        <v>1.5373063220000001</v>
      </c>
      <c r="T22">
        <v>-3.3945029949999999</v>
      </c>
    </row>
    <row r="23" spans="1:20" x14ac:dyDescent="0.35">
      <c r="A23" t="str">
        <f>Levels!A23</f>
        <v>1976Q2</v>
      </c>
      <c r="B23">
        <f>Normalized!B23</f>
        <v>1.8835080979357046</v>
      </c>
      <c r="C23">
        <f>Normalized!C23</f>
        <v>318.36358023000923</v>
      </c>
      <c r="D23">
        <f>Normalized!D23</f>
        <v>38288.0085982284</v>
      </c>
      <c r="E23">
        <f>Levels!E23/Levels!$Q23</f>
        <v>0.15885043666191359</v>
      </c>
      <c r="F23">
        <f>Levels!F23/Levels!$Q23</f>
        <v>0.64902790709056202</v>
      </c>
      <c r="G23" s="6">
        <v>4.4000000000000004</v>
      </c>
      <c r="H23" s="4">
        <v>-0.8862123809523812</v>
      </c>
      <c r="I23" s="4">
        <v>1.5568477777777767</v>
      </c>
      <c r="J23">
        <v>2.0097425483686102</v>
      </c>
      <c r="K23">
        <v>-0.352425408923279</v>
      </c>
      <c r="L23">
        <v>0.89349999999999996</v>
      </c>
      <c r="M23">
        <v>6.9427187215877204</v>
      </c>
      <c r="N23" s="6">
        <v>5.9771400000000003</v>
      </c>
      <c r="O23">
        <v>0.73877531665098295</v>
      </c>
      <c r="P23">
        <v>0.87362976742421194</v>
      </c>
      <c r="Q23">
        <v>6.1725884584526769</v>
      </c>
      <c r="R23">
        <v>-1.0698054100000001</v>
      </c>
      <c r="S23">
        <v>-0.33983404699999997</v>
      </c>
      <c r="T23">
        <v>-0.71612103400000005</v>
      </c>
    </row>
    <row r="24" spans="1:20" x14ac:dyDescent="0.35">
      <c r="A24" t="str">
        <f>Levels!A24</f>
        <v>1976Q3</v>
      </c>
      <c r="B24">
        <f>Normalized!B24</f>
        <v>1.9266083111827952</v>
      </c>
      <c r="C24">
        <f>Normalized!C24</f>
        <v>330.54718838865233</v>
      </c>
      <c r="D24">
        <f>Normalized!D24</f>
        <v>38998.966086432047</v>
      </c>
      <c r="E24">
        <f>Levels!E24/Levels!$Q24</f>
        <v>0.1590192406244906</v>
      </c>
      <c r="F24">
        <f>Levels!F24/Levels!$Q24</f>
        <v>0.65246126319583275</v>
      </c>
      <c r="G24" s="6">
        <v>3.8</v>
      </c>
      <c r="H24" s="4">
        <v>-0.82693499999999975</v>
      </c>
      <c r="I24" s="4">
        <v>1.5796575000000006</v>
      </c>
      <c r="J24">
        <v>2.01517565505325</v>
      </c>
      <c r="K24">
        <v>-0.34915898148820301</v>
      </c>
      <c r="L24">
        <v>0.8266</v>
      </c>
      <c r="M24">
        <v>8.2744872761208992</v>
      </c>
      <c r="N24" s="6">
        <v>6.0452599999999999</v>
      </c>
      <c r="O24">
        <v>0.72467702988030203</v>
      </c>
      <c r="P24">
        <v>0.82499208489428</v>
      </c>
      <c r="Q24">
        <v>4.9586369964095711</v>
      </c>
      <c r="R24">
        <v>0.47204128499999998</v>
      </c>
      <c r="S24">
        <v>-1.2983942820000001</v>
      </c>
      <c r="T24">
        <v>-0.62702346200000003</v>
      </c>
    </row>
    <row r="25" spans="1:20" x14ac:dyDescent="0.35">
      <c r="A25" t="str">
        <f>Levels!A25</f>
        <v>1976Q4</v>
      </c>
      <c r="B25">
        <f>Normalized!B25</f>
        <v>1.9813980103288098</v>
      </c>
      <c r="C25">
        <f>Normalized!C25</f>
        <v>343.75009032673586</v>
      </c>
      <c r="D25">
        <f>Normalized!D25</f>
        <v>40794.390475560809</v>
      </c>
      <c r="E25">
        <f>Levels!E25/Levels!$Q25</f>
        <v>0.16300249020517082</v>
      </c>
      <c r="F25">
        <f>Levels!F25/Levels!$Q25</f>
        <v>0.65664292088370724</v>
      </c>
      <c r="G25" s="6">
        <v>2.7</v>
      </c>
      <c r="H25" s="4">
        <v>-1.4868981967213113</v>
      </c>
      <c r="I25" s="4">
        <v>1.1019398165495708</v>
      </c>
      <c r="J25">
        <v>2.0125635970913098</v>
      </c>
      <c r="K25">
        <v>7.0886869173297798E-2</v>
      </c>
      <c r="L25">
        <v>0.88339999999999996</v>
      </c>
      <c r="M25">
        <v>7.6010786638386403</v>
      </c>
      <c r="N25" s="6">
        <v>5.9788100000000002</v>
      </c>
      <c r="O25">
        <v>0.75037320212113201</v>
      </c>
      <c r="P25">
        <v>0.83759722049949703</v>
      </c>
      <c r="Q25">
        <v>4.3148066377903582</v>
      </c>
      <c r="R25">
        <v>1.796614409</v>
      </c>
      <c r="S25">
        <v>0.22468131299999999</v>
      </c>
      <c r="T25">
        <v>-0.229351523</v>
      </c>
    </row>
    <row r="26" spans="1:20" x14ac:dyDescent="0.35">
      <c r="A26" t="str">
        <f>Levels!A26</f>
        <v>1977Q1</v>
      </c>
      <c r="B26">
        <f>Normalized!B26</f>
        <v>2.0281151484972306</v>
      </c>
      <c r="C26">
        <f>Normalized!C26</f>
        <v>345.25262176672175</v>
      </c>
      <c r="D26">
        <f>Normalized!D26</f>
        <v>41428.173435108329</v>
      </c>
      <c r="E26">
        <f>Levels!E26/Levels!$Q26</f>
        <v>0.16625283497312601</v>
      </c>
      <c r="F26">
        <f>Levels!F26/Levels!$Q26</f>
        <v>0.6585971300212643</v>
      </c>
      <c r="G26" s="6">
        <v>2.1</v>
      </c>
      <c r="H26" s="4">
        <v>-1.8696020634920636</v>
      </c>
      <c r="I26" s="4">
        <v>1.3484905555555562</v>
      </c>
      <c r="J26">
        <v>2.0077055693383299</v>
      </c>
      <c r="K26">
        <v>-0.33015541494136097</v>
      </c>
      <c r="L26">
        <v>0.86860000000000004</v>
      </c>
      <c r="M26">
        <v>7.1324565826948199</v>
      </c>
      <c r="N26" s="6">
        <v>6.1473899999999997</v>
      </c>
      <c r="O26">
        <v>0.74841477249351296</v>
      </c>
      <c r="P26">
        <v>0.81014341717159299</v>
      </c>
      <c r="Q26">
        <v>3.2259646417374555</v>
      </c>
      <c r="R26">
        <v>-0.13239819999999999</v>
      </c>
      <c r="S26">
        <v>0.93436585100000003</v>
      </c>
      <c r="T26">
        <v>-2.5948205340000001</v>
      </c>
    </row>
    <row r="27" spans="1:20" x14ac:dyDescent="0.35">
      <c r="A27" t="str">
        <f>Levels!A27</f>
        <v>1977Q2</v>
      </c>
      <c r="B27">
        <f>Normalized!B27</f>
        <v>2.1032543885176058</v>
      </c>
      <c r="C27">
        <f>Normalized!C27</f>
        <v>347.90331172636803</v>
      </c>
      <c r="D27">
        <f>Normalized!D27</f>
        <v>43377.181518734164</v>
      </c>
      <c r="E27">
        <f>Levels!E27/Levels!$Q27</f>
        <v>0.17044390863799511</v>
      </c>
      <c r="F27">
        <f>Levels!F27/Levels!$Q27</f>
        <v>0.65066066543819312</v>
      </c>
      <c r="G27" s="6">
        <v>3.9</v>
      </c>
      <c r="H27" s="4">
        <v>-1.7526692063492071</v>
      </c>
      <c r="I27" s="4">
        <v>1.4242612698412707</v>
      </c>
      <c r="J27">
        <v>1.99705219834034</v>
      </c>
      <c r="K27">
        <v>-4.30470490187684E-2</v>
      </c>
      <c r="L27">
        <v>0.83819999999999995</v>
      </c>
      <c r="M27">
        <v>6.6085719512263399</v>
      </c>
      <c r="N27" s="6">
        <v>6.4961099999999998</v>
      </c>
      <c r="O27">
        <v>0.70522258750894595</v>
      </c>
      <c r="P27">
        <v>0.79946099923358604</v>
      </c>
      <c r="Q27">
        <v>4.4663240975555407</v>
      </c>
      <c r="R27">
        <v>-0.27064297300000001</v>
      </c>
      <c r="S27">
        <v>1.3373658230000001</v>
      </c>
      <c r="T27">
        <v>0.31314730699999999</v>
      </c>
    </row>
    <row r="28" spans="1:20" x14ac:dyDescent="0.35">
      <c r="A28" t="str">
        <f>Levels!A28</f>
        <v>1977Q3</v>
      </c>
      <c r="B28">
        <f>Normalized!B28</f>
        <v>2.1687561427151305</v>
      </c>
      <c r="C28">
        <f>Normalized!C28</f>
        <v>356.11632695624877</v>
      </c>
      <c r="D28">
        <f>Normalized!D28</f>
        <v>44810.710598325633</v>
      </c>
      <c r="E28">
        <f>Levels!E28/Levels!$Q28</f>
        <v>0.16861915759399729</v>
      </c>
      <c r="F28">
        <f>Levels!F28/Levels!$Q28</f>
        <v>0.64438726864334961</v>
      </c>
      <c r="G28" s="6">
        <v>4.5999999999999996</v>
      </c>
      <c r="H28" s="4">
        <v>-0.9751280952380954</v>
      </c>
      <c r="I28" s="4">
        <v>1.4871407936507941</v>
      </c>
      <c r="J28">
        <v>1.9817840670154001</v>
      </c>
      <c r="K28">
        <v>1.7843415405349199</v>
      </c>
      <c r="L28">
        <v>0.7833</v>
      </c>
      <c r="M28">
        <v>6.1455681216793003</v>
      </c>
      <c r="N28" s="6">
        <v>6.5963200000000004</v>
      </c>
      <c r="O28">
        <v>0.70069420469052901</v>
      </c>
      <c r="P28">
        <v>0.81352943947031497</v>
      </c>
      <c r="Q28">
        <v>5.7708973680908437</v>
      </c>
      <c r="R28">
        <v>-1.2588391800000001</v>
      </c>
      <c r="S28">
        <v>-1.090057979</v>
      </c>
      <c r="T28">
        <v>5.2617617999999998E-2</v>
      </c>
    </row>
    <row r="29" spans="1:20" x14ac:dyDescent="0.35">
      <c r="A29" t="str">
        <f>Levels!A29</f>
        <v>1977Q4</v>
      </c>
      <c r="B29">
        <f>Normalized!B29</f>
        <v>2.2484173407720758</v>
      </c>
      <c r="C29">
        <f>Normalized!C29</f>
        <v>357.50830460005784</v>
      </c>
      <c r="D29">
        <f>Normalized!D29</f>
        <v>47250.841457178547</v>
      </c>
      <c r="E29">
        <f>Levels!E29/Levels!$Q29</f>
        <v>0.17044276910976247</v>
      </c>
      <c r="F29">
        <f>Levels!F29/Levels!$Q29</f>
        <v>0.65258866332849319</v>
      </c>
      <c r="G29" s="6">
        <v>5.0999999999999996</v>
      </c>
      <c r="H29" s="4">
        <v>-0.2424866666666663</v>
      </c>
      <c r="I29" s="4">
        <v>1.7895842857142856</v>
      </c>
      <c r="J29">
        <v>1.9733575012317099</v>
      </c>
      <c r="K29">
        <v>0.62854812546586603</v>
      </c>
      <c r="L29">
        <v>0.7198</v>
      </c>
      <c r="M29">
        <v>2.5887028483464101</v>
      </c>
      <c r="N29" s="6">
        <v>6.4798900000000001</v>
      </c>
      <c r="O29">
        <v>0.73018895282826801</v>
      </c>
      <c r="P29">
        <v>0.85918999907315596</v>
      </c>
      <c r="Q29">
        <v>5.012028562513593</v>
      </c>
      <c r="R29">
        <v>0.32604997800000002</v>
      </c>
      <c r="S29">
        <v>-2.0194581359999999</v>
      </c>
      <c r="T29">
        <v>0.48723441699999998</v>
      </c>
    </row>
    <row r="30" spans="1:20" x14ac:dyDescent="0.35">
      <c r="A30" t="str">
        <f>Levels!A30</f>
        <v>1978Q1</v>
      </c>
      <c r="B30">
        <f>Normalized!B30</f>
        <v>2.3046839108557973</v>
      </c>
      <c r="C30">
        <f>Normalized!C30</f>
        <v>352.66793796607965</v>
      </c>
      <c r="D30">
        <f>Normalized!D30</f>
        <v>49085.692174197422</v>
      </c>
      <c r="E30">
        <f>Levels!E30/Levels!$Q30</f>
        <v>0.1707331783143517</v>
      </c>
      <c r="F30">
        <f>Levels!F30/Levels!$Q30</f>
        <v>0.65426786092564104</v>
      </c>
      <c r="G30" s="6">
        <v>4.5</v>
      </c>
      <c r="H30" s="4">
        <v>-0.1672436065573768</v>
      </c>
      <c r="I30" s="4">
        <v>2.2555634894613572</v>
      </c>
      <c r="J30">
        <v>1.95108346027579</v>
      </c>
      <c r="K30">
        <v>1.05057638472332</v>
      </c>
      <c r="L30">
        <v>0.62680000000000002</v>
      </c>
      <c r="M30">
        <v>2.13362296721581</v>
      </c>
      <c r="N30" s="6">
        <v>6.35182</v>
      </c>
      <c r="O30">
        <v>0.77014287453955099</v>
      </c>
      <c r="P30">
        <v>0.89178767565910899</v>
      </c>
      <c r="Q30">
        <v>4.1170623423679276</v>
      </c>
      <c r="R30">
        <v>1.319162476</v>
      </c>
      <c r="S30">
        <v>0.88049275699999996</v>
      </c>
      <c r="T30">
        <v>0.58052211799999998</v>
      </c>
    </row>
    <row r="31" spans="1:20" x14ac:dyDescent="0.35">
      <c r="A31" t="str">
        <f>Levels!A31</f>
        <v>1978Q2</v>
      </c>
      <c r="B31">
        <f>Normalized!B31</f>
        <v>2.4013916752825071</v>
      </c>
      <c r="C31">
        <f>Normalized!C31</f>
        <v>362.77941408205157</v>
      </c>
      <c r="D31">
        <f>Normalized!D31</f>
        <v>49499.036321079366</v>
      </c>
      <c r="E31">
        <f>Levels!E31/Levels!$Q31</f>
        <v>0.17663471207041614</v>
      </c>
      <c r="F31">
        <f>Levels!F31/Levels!$Q31</f>
        <v>0.64635029714841441</v>
      </c>
      <c r="G31" s="6">
        <v>5.5</v>
      </c>
      <c r="H31" s="4">
        <v>-0.12760539682539651</v>
      </c>
      <c r="I31" s="4">
        <v>2.6194862698412686</v>
      </c>
      <c r="J31">
        <v>1.98326710662392</v>
      </c>
      <c r="K31">
        <v>8.6848259122135299E-2</v>
      </c>
      <c r="L31">
        <v>0.62849999999999995</v>
      </c>
      <c r="M31">
        <v>0.43887761452107699</v>
      </c>
      <c r="N31" s="6">
        <v>6.55626</v>
      </c>
      <c r="O31">
        <v>0.75305974414652499</v>
      </c>
      <c r="P31">
        <v>0.93583454594996496</v>
      </c>
      <c r="Q31">
        <v>6.0781477988389954</v>
      </c>
      <c r="R31">
        <v>0.84999904299999995</v>
      </c>
      <c r="S31">
        <v>2.9257259150000001</v>
      </c>
      <c r="T31">
        <v>0.132911046</v>
      </c>
    </row>
    <row r="32" spans="1:20" x14ac:dyDescent="0.35">
      <c r="A32" t="str">
        <f>Levels!A32</f>
        <v>1978Q3</v>
      </c>
      <c r="B32">
        <f>Normalized!B32</f>
        <v>2.4789859468081574</v>
      </c>
      <c r="C32">
        <f>Normalized!C32</f>
        <v>370.71041987682753</v>
      </c>
      <c r="D32">
        <f>Normalized!D32</f>
        <v>50433.595817149195</v>
      </c>
      <c r="E32">
        <f>Levels!E32/Levels!$Q32</f>
        <v>0.17964051039361276</v>
      </c>
      <c r="F32">
        <f>Levels!F32/Levels!$Q32</f>
        <v>0.64335045269209823</v>
      </c>
      <c r="G32" s="6">
        <v>5.3</v>
      </c>
      <c r="H32" s="4">
        <v>0.3274676190476189</v>
      </c>
      <c r="I32" s="4">
        <v>2.8277915873015873</v>
      </c>
      <c r="J32">
        <v>2.0119430252780899</v>
      </c>
      <c r="K32">
        <v>-0.13773596991095</v>
      </c>
      <c r="L32">
        <v>0.56210000000000004</v>
      </c>
      <c r="M32">
        <v>0.784645067382435</v>
      </c>
      <c r="N32" s="6">
        <v>6.6107800000000001</v>
      </c>
      <c r="O32">
        <v>0.74728546585998201</v>
      </c>
      <c r="P32">
        <v>1.01759882547518</v>
      </c>
      <c r="Q32">
        <v>5.2457734219320651</v>
      </c>
      <c r="R32">
        <v>-0.183940836</v>
      </c>
      <c r="S32">
        <v>0.95938441399999996</v>
      </c>
      <c r="T32">
        <v>3.6304600580000002</v>
      </c>
    </row>
    <row r="33" spans="1:20" x14ac:dyDescent="0.35">
      <c r="A33" t="str">
        <f>Levels!A33</f>
        <v>1978Q4</v>
      </c>
      <c r="B33">
        <f>Normalized!B33</f>
        <v>2.5609069734309551</v>
      </c>
      <c r="C33">
        <f>Normalized!C33</f>
        <v>365.46112548349123</v>
      </c>
      <c r="D33">
        <f>Normalized!D33</f>
        <v>53857.210858753984</v>
      </c>
      <c r="E33">
        <f>Levels!E33/Levels!$Q33</f>
        <v>0.18123604020095427</v>
      </c>
      <c r="F33">
        <f>Levels!F33/Levels!$Q33</f>
        <v>0.64142713099098914</v>
      </c>
      <c r="G33" s="6">
        <v>5.5</v>
      </c>
      <c r="H33" s="4">
        <v>1.7934696721311472</v>
      </c>
      <c r="I33" s="4">
        <v>3.2041205386416864</v>
      </c>
      <c r="J33">
        <v>1.9795822069314499</v>
      </c>
      <c r="K33">
        <v>0.302897817266018</v>
      </c>
      <c r="L33">
        <v>0.56830000000000003</v>
      </c>
      <c r="M33">
        <v>0.46184151340388202</v>
      </c>
      <c r="N33" s="6">
        <v>6.9715800000000003</v>
      </c>
      <c r="O33">
        <v>0.76429366246036201</v>
      </c>
      <c r="P33">
        <v>1.0817196421156401</v>
      </c>
      <c r="Q33">
        <v>6.6580958826500503</v>
      </c>
      <c r="R33">
        <v>1.646186524</v>
      </c>
      <c r="S33">
        <v>-7.2811729000000006E-2</v>
      </c>
      <c r="T33">
        <v>-2.8780008110000002</v>
      </c>
    </row>
    <row r="34" spans="1:20" x14ac:dyDescent="0.35">
      <c r="A34" t="str">
        <f>Levels!A34</f>
        <v>1979Q1</v>
      </c>
      <c r="B34">
        <f>Normalized!B34</f>
        <v>2.6265150923544271</v>
      </c>
      <c r="C34">
        <f>Normalized!C34</f>
        <v>368.23525486078279</v>
      </c>
      <c r="D34">
        <f>Normalized!D34</f>
        <v>54471.76136437081</v>
      </c>
      <c r="E34">
        <f>Levels!E34/Levels!$Q34</f>
        <v>0.18028139200637516</v>
      </c>
      <c r="F34">
        <f>Levels!F34/Levels!$Q34</f>
        <v>0.64451656597042928</v>
      </c>
      <c r="G34" s="6">
        <v>5.8</v>
      </c>
      <c r="H34" s="4">
        <v>2.1245019354838721</v>
      </c>
      <c r="I34" s="4">
        <v>3.5572160138248856</v>
      </c>
      <c r="J34">
        <v>1.99713897926064</v>
      </c>
      <c r="K34">
        <v>-0.45348246448304197</v>
      </c>
      <c r="L34">
        <v>0.60919999999999996</v>
      </c>
      <c r="M34">
        <v>-0.69080903715067499</v>
      </c>
      <c r="N34" s="6">
        <v>6.7673500000000004</v>
      </c>
      <c r="O34">
        <v>0.80498175069301603</v>
      </c>
      <c r="P34">
        <v>1.00766326124951</v>
      </c>
      <c r="Q34">
        <v>6.5099130891679291</v>
      </c>
      <c r="R34">
        <v>1.635708766</v>
      </c>
      <c r="S34">
        <v>-2.785396027</v>
      </c>
      <c r="T34">
        <v>-0.115757311</v>
      </c>
    </row>
    <row r="35" spans="1:20" x14ac:dyDescent="0.35">
      <c r="A35" t="str">
        <f>Levels!A35</f>
        <v>1979Q2</v>
      </c>
      <c r="B35">
        <f>Normalized!B35</f>
        <v>2.7281062561307223</v>
      </c>
      <c r="C35">
        <f>Normalized!C35</f>
        <v>371.57081447680321</v>
      </c>
      <c r="D35">
        <f>Normalized!D35</f>
        <v>55948.258817796326</v>
      </c>
      <c r="E35">
        <f>Levels!E35/Levels!$Q35</f>
        <v>0.18062694152521053</v>
      </c>
      <c r="F35">
        <f>Levels!F35/Levels!$Q35</f>
        <v>0.6500179846917834</v>
      </c>
      <c r="G35" s="6">
        <v>3.1</v>
      </c>
      <c r="H35" s="4">
        <v>1.972774838709678</v>
      </c>
      <c r="I35" s="4">
        <v>3.634563571428572</v>
      </c>
      <c r="J35">
        <v>2.0066857394117998</v>
      </c>
      <c r="K35">
        <v>-0.181626329284298</v>
      </c>
      <c r="L35">
        <v>0.62690000000000001</v>
      </c>
      <c r="M35">
        <v>0.33721415626773998</v>
      </c>
      <c r="N35" s="6">
        <v>7.2632399999999997</v>
      </c>
      <c r="O35">
        <v>0.85457157194875799</v>
      </c>
      <c r="P35">
        <v>0.96130465522050002</v>
      </c>
      <c r="Q35">
        <v>2.6568550627374732</v>
      </c>
      <c r="R35">
        <v>-4.6451747000000002E-2</v>
      </c>
      <c r="S35">
        <v>-0.71977859899999996</v>
      </c>
      <c r="T35">
        <v>-0.19744320100000001</v>
      </c>
    </row>
    <row r="36" spans="1:20" x14ac:dyDescent="0.35">
      <c r="A36" t="str">
        <f>Levels!A36</f>
        <v>1979Q3</v>
      </c>
      <c r="B36">
        <f>Normalized!B36</f>
        <v>2.8190469853338711</v>
      </c>
      <c r="C36">
        <f>Normalized!C36</f>
        <v>380.79850147955943</v>
      </c>
      <c r="D36">
        <f>Normalized!D36</f>
        <v>57536.247748092537</v>
      </c>
      <c r="E36">
        <f>Levels!E36/Levels!$Q36</f>
        <v>0.1834404880505171</v>
      </c>
      <c r="F36">
        <f>Levels!F36/Levels!$Q36</f>
        <v>0.65578232706768602</v>
      </c>
      <c r="G36" s="6">
        <v>3.2</v>
      </c>
      <c r="H36" s="4">
        <v>1.9430223809523808</v>
      </c>
      <c r="I36" s="4">
        <v>3.6992272222222233</v>
      </c>
      <c r="J36">
        <v>2.0286501323544801</v>
      </c>
      <c r="K36">
        <v>0.56606228686411808</v>
      </c>
      <c r="L36">
        <v>0.61060000000000003</v>
      </c>
      <c r="M36">
        <v>-1.0999117597524199</v>
      </c>
      <c r="N36" s="6">
        <v>7.40158</v>
      </c>
      <c r="O36">
        <v>0.86954149731573305</v>
      </c>
      <c r="P36">
        <v>0.997747828227737</v>
      </c>
      <c r="Q36">
        <v>2.3899154129708888</v>
      </c>
      <c r="R36">
        <v>1.1634772950000001</v>
      </c>
      <c r="S36">
        <v>-2.6091098160000001</v>
      </c>
      <c r="T36">
        <v>1.4592137919999999</v>
      </c>
    </row>
    <row r="37" spans="1:20" x14ac:dyDescent="0.35">
      <c r="A37" t="str">
        <f>Levels!A37</f>
        <v>1979Q4</v>
      </c>
      <c r="B37">
        <f>Normalized!B37</f>
        <v>2.8966439795928487</v>
      </c>
      <c r="C37">
        <f>Normalized!C37</f>
        <v>380.34619514993562</v>
      </c>
      <c r="D37">
        <f>Normalized!D37</f>
        <v>59316.439169399528</v>
      </c>
      <c r="E37">
        <f>Levels!E37/Levels!$Q37</f>
        <v>0.1816352059621979</v>
      </c>
      <c r="F37">
        <f>Levels!F37/Levels!$Q37</f>
        <v>0.65947549471669908</v>
      </c>
      <c r="G37" s="6">
        <v>2.2000000000000002</v>
      </c>
      <c r="H37" s="4">
        <v>2.9843242622950825</v>
      </c>
      <c r="I37" s="4">
        <v>5.1284169476971124</v>
      </c>
      <c r="J37">
        <v>2.02419875861988</v>
      </c>
      <c r="K37">
        <v>-0.142431637874668</v>
      </c>
      <c r="L37">
        <v>0.7137</v>
      </c>
      <c r="M37">
        <v>-4.6619633851289999</v>
      </c>
      <c r="N37" s="6">
        <v>7.7079300000000002</v>
      </c>
      <c r="O37">
        <v>0.92560484589340597</v>
      </c>
      <c r="P37">
        <v>1.0682760337696899</v>
      </c>
      <c r="Q37">
        <v>1.284557672337483</v>
      </c>
      <c r="R37">
        <v>2.6794027250000001</v>
      </c>
      <c r="S37">
        <v>-1.039458561</v>
      </c>
      <c r="T37">
        <v>-0.17342022400000001</v>
      </c>
    </row>
    <row r="38" spans="1:20" x14ac:dyDescent="0.35">
      <c r="A38" t="str">
        <f>Levels!A38</f>
        <v>1980Q1</v>
      </c>
      <c r="B38">
        <f>Normalized!B38</f>
        <v>2.9659742925279464</v>
      </c>
      <c r="C38">
        <f>Normalized!C38</f>
        <v>394.80631920372912</v>
      </c>
      <c r="D38">
        <f>Normalized!D38</f>
        <v>59391.734020228709</v>
      </c>
      <c r="E38">
        <f>Levels!E38/Levels!$Q38</f>
        <v>0.18032529555581797</v>
      </c>
      <c r="F38">
        <f>Levels!F38/Levels!$Q38</f>
        <v>0.66338600727719366</v>
      </c>
      <c r="G38" s="6">
        <v>1.2</v>
      </c>
      <c r="H38" s="4">
        <v>4.449327741935484</v>
      </c>
      <c r="I38" s="4">
        <v>6.7349681182795678</v>
      </c>
      <c r="J38">
        <v>2.0422358450409002</v>
      </c>
      <c r="K38">
        <v>0.98438341068524493</v>
      </c>
      <c r="L38">
        <v>0.84409999999999996</v>
      </c>
      <c r="M38">
        <v>-5.92970853359801</v>
      </c>
      <c r="N38" s="6">
        <v>8.8550199999999997</v>
      </c>
      <c r="O38">
        <v>1.0363934626323399</v>
      </c>
      <c r="P38">
        <v>1.11833617644162</v>
      </c>
      <c r="Q38">
        <v>1.4207752658691453</v>
      </c>
      <c r="R38">
        <v>6.8982784419999996</v>
      </c>
      <c r="S38">
        <v>-5.7902288940000002</v>
      </c>
      <c r="T38">
        <v>1.2245496570000001</v>
      </c>
    </row>
    <row r="39" spans="1:20" x14ac:dyDescent="0.35">
      <c r="A39" t="str">
        <f>Levels!A39</f>
        <v>1980Q2</v>
      </c>
      <c r="B39">
        <f>Normalized!B39</f>
        <v>2.9982894278358452</v>
      </c>
      <c r="C39">
        <f>Normalized!C39</f>
        <v>408.51664831001318</v>
      </c>
      <c r="D39">
        <f>Normalized!D39</f>
        <v>62132.948426528317</v>
      </c>
      <c r="E39">
        <f>Levels!E39/Levels!$Q39</f>
        <v>0.17072573445996339</v>
      </c>
      <c r="F39">
        <f>Levels!F39/Levels!$Q39</f>
        <v>0.66360678785849558</v>
      </c>
      <c r="G39" s="6">
        <v>-0.9</v>
      </c>
      <c r="H39" s="4">
        <v>0.315083968253969</v>
      </c>
      <c r="I39" s="4">
        <v>5.3661554761904764</v>
      </c>
      <c r="J39">
        <v>2.0456735909219499</v>
      </c>
      <c r="K39">
        <v>-0.245154753208288</v>
      </c>
      <c r="L39">
        <v>1.0052000000000001</v>
      </c>
      <c r="M39">
        <v>-6.8848127541550497</v>
      </c>
      <c r="N39" s="6">
        <v>8.8966399999999997</v>
      </c>
      <c r="O39">
        <v>1.12931719917518</v>
      </c>
      <c r="P39">
        <v>1.06166976704935</v>
      </c>
      <c r="Q39">
        <v>-0.77506271295789686</v>
      </c>
      <c r="R39">
        <v>-6.1779234540000001</v>
      </c>
      <c r="S39">
        <v>-1.802748574</v>
      </c>
      <c r="T39">
        <v>-3.2536660290000001</v>
      </c>
    </row>
    <row r="40" spans="1:20" x14ac:dyDescent="0.35">
      <c r="A40" t="str">
        <f>Levels!A40</f>
        <v>1980Q3</v>
      </c>
      <c r="B40">
        <f>Normalized!B40</f>
        <v>3.0580759728032083</v>
      </c>
      <c r="C40">
        <f>Normalized!C40</f>
        <v>430.1397916443936</v>
      </c>
      <c r="D40">
        <f>Normalized!D40</f>
        <v>61154.249897297093</v>
      </c>
      <c r="E40">
        <f>Levels!E40/Levels!$Q40</f>
        <v>0.17164887565997247</v>
      </c>
      <c r="F40">
        <f>Levels!F40/Levels!$Q40</f>
        <v>0.67247338353469122</v>
      </c>
      <c r="G40" s="6">
        <v>-2.2999999999999998</v>
      </c>
      <c r="H40" s="4">
        <v>-0.54240125000000106</v>
      </c>
      <c r="I40" s="4">
        <v>5.942481607142855</v>
      </c>
      <c r="J40">
        <v>2.1027894891132299</v>
      </c>
      <c r="K40">
        <v>-0.67194131393811796</v>
      </c>
      <c r="L40">
        <v>0.92469999999999997</v>
      </c>
      <c r="M40">
        <v>-9.4775608677496006</v>
      </c>
      <c r="N40" s="6">
        <v>9.3031699999999997</v>
      </c>
      <c r="O40">
        <v>1.07347731849768</v>
      </c>
      <c r="P40">
        <v>0.97575651342307801</v>
      </c>
      <c r="Q40">
        <v>-1.6237974306972824</v>
      </c>
      <c r="R40">
        <v>4.8543295830000002</v>
      </c>
      <c r="S40">
        <v>0.40998356200000002</v>
      </c>
      <c r="T40">
        <v>-3.1589248560000001</v>
      </c>
    </row>
    <row r="41" spans="1:20" x14ac:dyDescent="0.35">
      <c r="A41" t="str">
        <f>Levels!A41</f>
        <v>1980Q4</v>
      </c>
      <c r="B41">
        <f>Normalized!B41</f>
        <v>3.1440726900582949</v>
      </c>
      <c r="C41">
        <f>Normalized!C41</f>
        <v>430.40249484710449</v>
      </c>
      <c r="D41">
        <f>Normalized!D41</f>
        <v>61544.743858650741</v>
      </c>
      <c r="E41">
        <f>Levels!E41/Levels!$Q41</f>
        <v>0.17379992059141938</v>
      </c>
      <c r="F41">
        <f>Levels!F41/Levels!$Q41</f>
        <v>0.67005404346741648</v>
      </c>
      <c r="G41" s="6">
        <v>-1.2</v>
      </c>
      <c r="H41" s="4">
        <v>4.1707280327868865</v>
      </c>
      <c r="I41" s="4">
        <v>7.5347325800156124</v>
      </c>
      <c r="J41">
        <v>2.1290305566801702</v>
      </c>
      <c r="K41">
        <v>0.93793092137525202</v>
      </c>
      <c r="L41">
        <v>0.91510000000000002</v>
      </c>
      <c r="M41">
        <v>-10.8606025708833</v>
      </c>
      <c r="N41" s="6">
        <v>9.6778700000000004</v>
      </c>
      <c r="O41">
        <v>1.02693307752508</v>
      </c>
      <c r="P41">
        <v>0.94474727243432199</v>
      </c>
      <c r="Q41">
        <v>-3.9131615354248694E-2</v>
      </c>
      <c r="R41">
        <v>3.7112981299999999</v>
      </c>
      <c r="S41">
        <v>-0.66733788999999999</v>
      </c>
      <c r="T41">
        <v>-1.7492747609999999</v>
      </c>
    </row>
    <row r="42" spans="1:20" x14ac:dyDescent="0.35">
      <c r="A42" t="str">
        <f>Levels!A42</f>
        <v>1981Q1</v>
      </c>
      <c r="B42">
        <f>Normalized!B42</f>
        <v>3.1847011990140852</v>
      </c>
      <c r="C42">
        <f>Normalized!C42</f>
        <v>459.36568384704617</v>
      </c>
      <c r="D42">
        <f>Normalized!D42</f>
        <v>63908.943407402359</v>
      </c>
      <c r="E42">
        <f>Levels!E42/Levels!$Q42</f>
        <v>0.17280354801377257</v>
      </c>
      <c r="F42">
        <f>Levels!F42/Levels!$Q42</f>
        <v>0.66050888363283844</v>
      </c>
      <c r="G42" s="6">
        <v>-0.4</v>
      </c>
      <c r="H42" s="4">
        <v>5.2895208196721306</v>
      </c>
      <c r="I42" s="4">
        <v>8.2256026424668214</v>
      </c>
      <c r="J42">
        <v>2.1189736298447301</v>
      </c>
      <c r="K42">
        <v>0.96141700148294107</v>
      </c>
      <c r="L42">
        <v>0.91869999999999996</v>
      </c>
      <c r="M42">
        <v>-12.815564396374601</v>
      </c>
      <c r="N42" s="6">
        <v>9.4341899999999992</v>
      </c>
      <c r="O42">
        <v>1.0163666765080199</v>
      </c>
      <c r="P42">
        <v>0.92260367522692699</v>
      </c>
      <c r="Q42">
        <v>1.5999797720674502</v>
      </c>
      <c r="R42">
        <v>-1.9293083900000001</v>
      </c>
      <c r="S42">
        <v>-0.22506820599999999</v>
      </c>
      <c r="T42">
        <v>-0.57680167900000001</v>
      </c>
    </row>
    <row r="43" spans="1:20" x14ac:dyDescent="0.35">
      <c r="A43" t="str">
        <f>Levels!A43</f>
        <v>1981Q2</v>
      </c>
      <c r="B43">
        <f>Normalized!B43</f>
        <v>3.281214396274605</v>
      </c>
      <c r="C43">
        <f>Normalized!C43</f>
        <v>453.08289502473809</v>
      </c>
      <c r="D43">
        <f>Normalized!D43</f>
        <v>65135.052980968198</v>
      </c>
      <c r="E43">
        <f>Levels!E43/Levels!$Q43</f>
        <v>0.17413528734865899</v>
      </c>
      <c r="F43">
        <f>Levels!F43/Levels!$Q43</f>
        <v>0.66109337052880046</v>
      </c>
      <c r="G43" s="6">
        <v>1.5</v>
      </c>
      <c r="H43" s="4">
        <v>6.2326668253968247</v>
      </c>
      <c r="I43" s="4">
        <v>9.1581014285714275</v>
      </c>
      <c r="J43">
        <v>2.1201177825333799</v>
      </c>
      <c r="K43">
        <v>0.44022107694533502</v>
      </c>
      <c r="L43">
        <v>1.0609</v>
      </c>
      <c r="M43">
        <v>-16.371065464707399</v>
      </c>
      <c r="N43" s="6">
        <v>9.0634300000000003</v>
      </c>
      <c r="O43">
        <v>1.00949608929618</v>
      </c>
      <c r="P43">
        <v>0.91077230648030705</v>
      </c>
      <c r="Q43">
        <v>2.9687007073224025</v>
      </c>
      <c r="R43">
        <v>1.6972630959999999</v>
      </c>
      <c r="S43">
        <v>-0.72447344300000005</v>
      </c>
      <c r="T43">
        <v>-1.201745375</v>
      </c>
    </row>
    <row r="44" spans="1:20" x14ac:dyDescent="0.35">
      <c r="A44" t="str">
        <f>Levels!A44</f>
        <v>1981Q3</v>
      </c>
      <c r="B44">
        <f>Normalized!B44</f>
        <v>3.3621176299064341</v>
      </c>
      <c r="C44">
        <f>Normalized!C44</f>
        <v>471.30138009084584</v>
      </c>
      <c r="D44">
        <f>Normalized!D44</f>
        <v>67211.130602961741</v>
      </c>
      <c r="E44">
        <f>Levels!E44/Levels!$Q44</f>
        <v>0.17153531008252071</v>
      </c>
      <c r="F44">
        <f>Levels!F44/Levels!$Q44</f>
        <v>0.65228778884337302</v>
      </c>
      <c r="G44" s="6">
        <v>1.9</v>
      </c>
      <c r="H44" s="4">
        <v>7.09681125</v>
      </c>
      <c r="I44" s="4">
        <v>10.391209642857142</v>
      </c>
      <c r="J44">
        <v>2.08801552140527</v>
      </c>
      <c r="K44">
        <v>0.47330165497133303</v>
      </c>
      <c r="L44">
        <v>1.0024999999999999</v>
      </c>
      <c r="M44">
        <v>-18.189857599539799</v>
      </c>
      <c r="N44" s="6">
        <v>8.65273</v>
      </c>
      <c r="O44">
        <v>1.0058699565634099</v>
      </c>
      <c r="P44">
        <v>0.95476982843289604</v>
      </c>
      <c r="Q44">
        <v>4.3257650212562782</v>
      </c>
      <c r="R44">
        <v>0.40799322900000001</v>
      </c>
      <c r="S44">
        <v>-1.867434394</v>
      </c>
      <c r="T44">
        <v>0.35005574</v>
      </c>
    </row>
    <row r="45" spans="1:20" x14ac:dyDescent="0.35">
      <c r="A45" t="str">
        <f>Levels!A45</f>
        <v>1981Q4</v>
      </c>
      <c r="B45">
        <f>Normalized!B45</f>
        <v>3.4292686935170869</v>
      </c>
      <c r="C45">
        <f>Normalized!C45</f>
        <v>504.51429994779636</v>
      </c>
      <c r="D45">
        <f>Normalized!D45</f>
        <v>69037.387479216442</v>
      </c>
      <c r="E45">
        <f>Levels!E45/Levels!$Q45</f>
        <v>0.17389284834683238</v>
      </c>
      <c r="F45">
        <f>Levels!F45/Levels!$Q45</f>
        <v>0.65090516756901129</v>
      </c>
      <c r="G45" s="6">
        <v>0.2</v>
      </c>
      <c r="H45" s="4">
        <v>4.6191388524590167</v>
      </c>
      <c r="I45" s="4">
        <v>9.7978379781420752</v>
      </c>
      <c r="J45">
        <v>2.0911362637852799</v>
      </c>
      <c r="K45">
        <v>0.14521066511901098</v>
      </c>
      <c r="L45">
        <v>1.2755000000000001</v>
      </c>
      <c r="M45">
        <v>-16.662218342191402</v>
      </c>
      <c r="N45" s="6">
        <v>7.95397</v>
      </c>
      <c r="O45">
        <v>1.0118918579884699</v>
      </c>
      <c r="P45">
        <v>0.93622252010145501</v>
      </c>
      <c r="Q45">
        <v>1.2999011572913277</v>
      </c>
      <c r="R45">
        <v>-3.0255949530000001</v>
      </c>
      <c r="S45">
        <v>-2.2739213839999999</v>
      </c>
      <c r="T45">
        <v>-0.88778327099999998</v>
      </c>
    </row>
    <row r="46" spans="1:20" x14ac:dyDescent="0.35">
      <c r="A46" t="str">
        <f>Levels!A46</f>
        <v>1982Q1</v>
      </c>
      <c r="B46">
        <f>Normalized!B46</f>
        <v>3.4765973714779146</v>
      </c>
      <c r="C46">
        <f>Normalized!C46</f>
        <v>525.97322459043176</v>
      </c>
      <c r="D46">
        <f>Normalized!D46</f>
        <v>72095.029813518748</v>
      </c>
      <c r="E46">
        <f>Levels!E46/Levels!$Q46</f>
        <v>0.17191895026983189</v>
      </c>
      <c r="F46">
        <f>Levels!F46/Levels!$Q46</f>
        <v>0.66132083462532765</v>
      </c>
      <c r="G46" s="6">
        <v>-2.1</v>
      </c>
      <c r="H46" s="4">
        <v>6.1897686885245893</v>
      </c>
      <c r="I46" s="4">
        <v>10.062421834504294</v>
      </c>
      <c r="J46">
        <v>2.05754775306128</v>
      </c>
      <c r="K46">
        <v>1.7309915200413399</v>
      </c>
      <c r="L46">
        <v>1.3647</v>
      </c>
      <c r="M46">
        <v>-15.552288291759</v>
      </c>
      <c r="N46" s="6">
        <v>7.1587300000000003</v>
      </c>
      <c r="O46">
        <v>1.01880701677344</v>
      </c>
      <c r="P46">
        <v>0.91682961604842494</v>
      </c>
      <c r="Q46">
        <v>-2.1903489824850575</v>
      </c>
      <c r="R46">
        <v>-0.47249076200000001</v>
      </c>
      <c r="S46">
        <v>1.533854303</v>
      </c>
      <c r="T46">
        <v>0.128164318</v>
      </c>
    </row>
    <row r="47" spans="1:20" x14ac:dyDescent="0.35">
      <c r="A47" t="str">
        <f>Levels!A47</f>
        <v>1982Q2</v>
      </c>
      <c r="B47">
        <f>Normalized!B47</f>
        <v>3.5529576004185479</v>
      </c>
      <c r="C47">
        <f>Normalized!C47</f>
        <v>526.89320617009309</v>
      </c>
      <c r="D47">
        <f>Normalized!D47</f>
        <v>72925.182485967991</v>
      </c>
      <c r="E47">
        <f>Levels!E47/Levels!$Q47</f>
        <v>0.16736442042905891</v>
      </c>
      <c r="F47">
        <f>Levels!F47/Levels!$Q47</f>
        <v>0.65493106406161294</v>
      </c>
      <c r="G47" s="6">
        <v>-1.7</v>
      </c>
      <c r="H47" s="4">
        <v>6.0816693650793638</v>
      </c>
      <c r="I47" s="4">
        <v>9.8382992063492054</v>
      </c>
      <c r="J47">
        <v>2.05268916115361</v>
      </c>
      <c r="K47">
        <v>0.39242882584925898</v>
      </c>
      <c r="L47">
        <v>1.3167</v>
      </c>
      <c r="M47">
        <v>-14.2511945380068</v>
      </c>
      <c r="N47" s="6">
        <v>6.5935100000000002</v>
      </c>
      <c r="O47">
        <v>0.97206958113393804</v>
      </c>
      <c r="P47">
        <v>0.94059797474454199</v>
      </c>
      <c r="Q47">
        <v>-1.010568146574331</v>
      </c>
      <c r="R47">
        <v>-1.4216616959999999</v>
      </c>
      <c r="S47">
        <v>-2.3032457829999999</v>
      </c>
      <c r="T47">
        <v>1.6264403080000001</v>
      </c>
    </row>
    <row r="48" spans="1:20" x14ac:dyDescent="0.35">
      <c r="A48" t="str">
        <f>Levels!A48</f>
        <v>1982Q3</v>
      </c>
      <c r="B48">
        <f>Normalized!B48</f>
        <v>3.5959813595323507</v>
      </c>
      <c r="C48">
        <f>Normalized!C48</f>
        <v>575.00817587660129</v>
      </c>
      <c r="D48">
        <f>Normalized!D48</f>
        <v>72754.263456154556</v>
      </c>
      <c r="E48">
        <f>Levels!E48/Levels!$Q48</f>
        <v>0.16485495078804238</v>
      </c>
      <c r="F48">
        <f>Levels!F48/Levels!$Q48</f>
        <v>0.66136998869948693</v>
      </c>
      <c r="G48" s="6">
        <v>-2.4</v>
      </c>
      <c r="H48" s="4">
        <v>3.3660362500000005</v>
      </c>
      <c r="I48" s="4">
        <v>9.0984285714285704</v>
      </c>
      <c r="J48">
        <v>2.0836196560829001</v>
      </c>
      <c r="K48">
        <v>-2.0046390410935597</v>
      </c>
      <c r="L48">
        <v>1.4722999999999999</v>
      </c>
      <c r="M48">
        <v>-12.839160978707</v>
      </c>
      <c r="N48" s="6">
        <v>6.3434100000000004</v>
      </c>
      <c r="O48">
        <v>0.945753447216932</v>
      </c>
      <c r="P48">
        <v>1.00682411895251</v>
      </c>
      <c r="Q48">
        <v>-2.5559214328054192</v>
      </c>
      <c r="R48">
        <v>-2.37466534</v>
      </c>
      <c r="S48">
        <v>1.1564377210000001</v>
      </c>
      <c r="T48">
        <v>2.2141463560000001</v>
      </c>
    </row>
    <row r="49" spans="1:20" x14ac:dyDescent="0.35">
      <c r="A49" t="str">
        <f>Levels!A49</f>
        <v>1982Q4</v>
      </c>
      <c r="B49">
        <f>Normalized!B49</f>
        <v>3.6516042621972078</v>
      </c>
      <c r="C49">
        <f>Normalized!C49</f>
        <v>633.73181206020911</v>
      </c>
      <c r="D49">
        <f>Normalized!D49</f>
        <v>73881.972093084216</v>
      </c>
      <c r="E49">
        <f>Levels!E49/Levels!$Q49</f>
        <v>0.16591416567146924</v>
      </c>
      <c r="F49">
        <f>Levels!F49/Levels!$Q49</f>
        <v>0.66948655337261398</v>
      </c>
      <c r="G49" s="6">
        <v>-2.8</v>
      </c>
      <c r="H49" s="4">
        <v>2.1196208196721305</v>
      </c>
      <c r="I49" s="4">
        <v>6.7349723848555811</v>
      </c>
      <c r="J49">
        <v>2.1422282261703098</v>
      </c>
      <c r="K49">
        <v>-2.0593973074668401</v>
      </c>
      <c r="L49">
        <v>1.4575</v>
      </c>
      <c r="M49">
        <v>-11.1027024516829</v>
      </c>
      <c r="N49" s="6">
        <v>5.9403699999999997</v>
      </c>
      <c r="O49">
        <v>0.91078784078036601</v>
      </c>
      <c r="P49">
        <v>1.00694621668957</v>
      </c>
      <c r="Q49">
        <v>-1.4431561787404457</v>
      </c>
      <c r="R49">
        <v>-1.6930450880000001</v>
      </c>
      <c r="S49">
        <v>-2.6836456829999999</v>
      </c>
      <c r="T49">
        <v>-0.92759025399999995</v>
      </c>
    </row>
    <row r="50" spans="1:20" x14ac:dyDescent="0.35">
      <c r="A50" t="str">
        <f>Levels!A50</f>
        <v>1983Q1</v>
      </c>
      <c r="B50">
        <f>Normalized!B50</f>
        <v>3.6968308266928651</v>
      </c>
      <c r="C50">
        <f>Normalized!C50</f>
        <v>665.17057307408425</v>
      </c>
      <c r="D50">
        <f>Normalized!D50</f>
        <v>73153.826608543182</v>
      </c>
      <c r="E50">
        <f>Levels!E50/Levels!$Q50</f>
        <v>0.16681966562754974</v>
      </c>
      <c r="F50">
        <f>Levels!F50/Levels!$Q50</f>
        <v>0.66295426316165096</v>
      </c>
      <c r="G50" s="6">
        <v>-0.6</v>
      </c>
      <c r="H50" s="4">
        <v>2.9438907936507928</v>
      </c>
      <c r="I50" s="4">
        <v>6.7021344444444457</v>
      </c>
      <c r="J50">
        <v>2.16918338684544</v>
      </c>
      <c r="K50">
        <v>1.50477835068867E-2</v>
      </c>
      <c r="L50">
        <v>1.0813999999999999</v>
      </c>
      <c r="M50">
        <v>-9.5917731944106208</v>
      </c>
      <c r="N50" s="6">
        <v>5.7833300000000003</v>
      </c>
      <c r="O50">
        <v>0.87690195617554101</v>
      </c>
      <c r="P50">
        <v>0.94020378769990498</v>
      </c>
      <c r="Q50">
        <v>1.4314555774158633</v>
      </c>
      <c r="R50">
        <v>1.1467868059999999</v>
      </c>
      <c r="S50">
        <v>2.6345384090000001</v>
      </c>
      <c r="T50">
        <v>-1.0335218500000001</v>
      </c>
    </row>
    <row r="51" spans="1:20" x14ac:dyDescent="0.35">
      <c r="A51" t="str">
        <f>Levels!A51</f>
        <v>1983Q2</v>
      </c>
      <c r="B51">
        <f>Normalized!B51</f>
        <v>3.7938824278091894</v>
      </c>
      <c r="C51">
        <f>Normalized!C51</f>
        <v>682.287430676334</v>
      </c>
      <c r="D51">
        <f>Normalized!D51</f>
        <v>70000.282185886157</v>
      </c>
      <c r="E51">
        <f>Levels!E51/Levels!$Q51</f>
        <v>0.16827248883533</v>
      </c>
      <c r="F51">
        <f>Levels!F51/Levels!$Q51</f>
        <v>0.65792814569299518</v>
      </c>
      <c r="G51" s="6">
        <v>0.1</v>
      </c>
      <c r="H51" s="4">
        <v>3.3260265079365086</v>
      </c>
      <c r="I51" s="4">
        <v>6.7680573809523814</v>
      </c>
      <c r="J51">
        <v>2.2142025168710702</v>
      </c>
      <c r="K51">
        <v>-0.403074019521377</v>
      </c>
      <c r="L51">
        <v>0.84619999999999995</v>
      </c>
      <c r="M51">
        <v>-9.3645191255575195</v>
      </c>
      <c r="N51" s="6">
        <v>5.1697600000000001</v>
      </c>
      <c r="O51">
        <v>0.82073507797682799</v>
      </c>
      <c r="P51">
        <v>0.90969026004082298</v>
      </c>
      <c r="Q51">
        <v>3.2685328840770245</v>
      </c>
      <c r="R51">
        <v>0.97786839299999995</v>
      </c>
      <c r="S51">
        <v>0.83570919300000002</v>
      </c>
      <c r="T51">
        <v>-1.4650980440000001</v>
      </c>
    </row>
    <row r="52" spans="1:20" x14ac:dyDescent="0.35">
      <c r="A52" t="str">
        <f>Levels!A52</f>
        <v>1983Q3</v>
      </c>
      <c r="B52">
        <f>Normalized!B52</f>
        <v>3.8934199663170719</v>
      </c>
      <c r="C52">
        <f>Normalized!C52</f>
        <v>724.59517311142213</v>
      </c>
      <c r="D52">
        <f>Normalized!D52</f>
        <v>72380.503746466828</v>
      </c>
      <c r="E52">
        <f>Levels!E52/Levels!$Q52</f>
        <v>0.17353691095313867</v>
      </c>
      <c r="F52">
        <f>Levels!F52/Levels!$Q52</f>
        <v>0.65675196896612986</v>
      </c>
      <c r="G52" s="6">
        <v>2.8</v>
      </c>
      <c r="H52" s="4">
        <v>4.6783112499999993</v>
      </c>
      <c r="I52" s="4">
        <v>7.9169536309523814</v>
      </c>
      <c r="J52">
        <v>2.2194517868714101</v>
      </c>
      <c r="K52">
        <v>0.14159179099084299</v>
      </c>
      <c r="L52">
        <v>0.78220000000000001</v>
      </c>
      <c r="M52">
        <v>-9.7433002300290799</v>
      </c>
      <c r="N52" s="6">
        <v>5.0819099999999997</v>
      </c>
      <c r="O52">
        <v>0.79068312417304198</v>
      </c>
      <c r="P52">
        <v>0.88129830024198097</v>
      </c>
      <c r="Q52">
        <v>5.7371696845111453</v>
      </c>
      <c r="R52">
        <v>2.4339858219999999</v>
      </c>
      <c r="S52">
        <v>1.493213466</v>
      </c>
      <c r="T52">
        <v>-1.7133385590000001</v>
      </c>
    </row>
    <row r="53" spans="1:20" x14ac:dyDescent="0.35">
      <c r="A53" t="str">
        <f>Levels!A53</f>
        <v>1983Q4</v>
      </c>
      <c r="B53">
        <f>Normalized!B53</f>
        <v>4.0177800085241602</v>
      </c>
      <c r="C53">
        <f>Normalized!C53</f>
        <v>746.24956842478264</v>
      </c>
      <c r="D53">
        <f>Normalized!D53</f>
        <v>72004.69633274118</v>
      </c>
      <c r="E53">
        <f>Levels!E53/Levels!$Q53</f>
        <v>0.17815177606068788</v>
      </c>
      <c r="F53">
        <f>Levels!F53/Levels!$Q53</f>
        <v>0.64966335327267577</v>
      </c>
      <c r="G53" s="6">
        <v>5.8</v>
      </c>
      <c r="H53" s="4">
        <v>4.646163333333333</v>
      </c>
      <c r="I53" s="4">
        <v>8.0358009523809528</v>
      </c>
      <c r="J53">
        <v>2.2169559280942002</v>
      </c>
      <c r="K53">
        <v>0.159112798243916</v>
      </c>
      <c r="L53">
        <v>0.78539999999999999</v>
      </c>
      <c r="M53">
        <v>-9.6727087027686505</v>
      </c>
      <c r="N53" s="6">
        <v>4.4687200000000002</v>
      </c>
      <c r="O53">
        <v>0.76173375826497203</v>
      </c>
      <c r="P53">
        <v>0.88130841918701397</v>
      </c>
      <c r="Q53">
        <v>7.8999749811109465</v>
      </c>
      <c r="R53">
        <v>-1.192113725</v>
      </c>
      <c r="S53">
        <v>0.44673631600000002</v>
      </c>
      <c r="T53">
        <v>-0.195272484</v>
      </c>
    </row>
    <row r="54" spans="1:20" x14ac:dyDescent="0.35">
      <c r="A54" t="str">
        <f>Levels!A54</f>
        <v>1984Q1</v>
      </c>
      <c r="B54">
        <f>Normalized!B54</f>
        <v>4.1256835734324975</v>
      </c>
      <c r="C54">
        <f>Normalized!C54</f>
        <v>763.58288021713997</v>
      </c>
      <c r="D54">
        <f>Normalized!D54</f>
        <v>80153.613526977031</v>
      </c>
      <c r="E54">
        <f>Levels!E54/Levels!$Q54</f>
        <v>0.17998703821642864</v>
      </c>
      <c r="F54">
        <f>Levels!F54/Levels!$Q54</f>
        <v>0.64229697827151222</v>
      </c>
      <c r="G54" s="6">
        <v>7.1</v>
      </c>
      <c r="H54" s="4">
        <v>4.6037506451612904</v>
      </c>
      <c r="I54" s="4">
        <v>8.354713986175117</v>
      </c>
      <c r="J54">
        <v>2.2049622575336798</v>
      </c>
      <c r="K54">
        <v>0.64357286088340904</v>
      </c>
      <c r="L54">
        <v>0.76639999999999997</v>
      </c>
      <c r="M54">
        <v>-9.0514768426840106</v>
      </c>
      <c r="N54" s="6">
        <v>4.1561700000000004</v>
      </c>
      <c r="O54">
        <v>0.76683499309916403</v>
      </c>
      <c r="P54">
        <v>0.88976134297007703</v>
      </c>
      <c r="Q54">
        <v>8.5782754622195192</v>
      </c>
      <c r="R54">
        <v>0.89383706699999999</v>
      </c>
      <c r="S54">
        <v>2.2793956519999998</v>
      </c>
      <c r="T54">
        <v>-1.0147785540000001</v>
      </c>
    </row>
    <row r="55" spans="1:20" x14ac:dyDescent="0.35">
      <c r="A55" t="str">
        <f>Levels!A55</f>
        <v>1984Q2</v>
      </c>
      <c r="B55">
        <f>Normalized!B55</f>
        <v>4.2881804216132897</v>
      </c>
      <c r="C55">
        <f>Normalized!C55</f>
        <v>759.43153714124423</v>
      </c>
      <c r="D55">
        <f>Normalized!D55</f>
        <v>81088.478800324112</v>
      </c>
      <c r="E55">
        <f>Levels!E55/Levels!$Q55</f>
        <v>0.18338252458435766</v>
      </c>
      <c r="F55">
        <f>Levels!F55/Levels!$Q55</f>
        <v>0.63980563142597913</v>
      </c>
      <c r="G55" s="6">
        <v>7.3</v>
      </c>
      <c r="H55" s="4">
        <v>5.8231723809523812</v>
      </c>
      <c r="I55" s="4">
        <v>9.6603044444444439</v>
      </c>
      <c r="J55">
        <v>2.1891469064781899</v>
      </c>
      <c r="K55">
        <v>0.79883671940796896</v>
      </c>
      <c r="L55">
        <v>0.72289999999999999</v>
      </c>
      <c r="M55">
        <v>-11.0772405944106</v>
      </c>
      <c r="N55" s="6">
        <v>4.5738300000000001</v>
      </c>
      <c r="O55">
        <v>0.75153060824074203</v>
      </c>
      <c r="P55">
        <v>0.912624292406365</v>
      </c>
      <c r="Q55">
        <v>7.9966966754093649</v>
      </c>
      <c r="R55">
        <v>0.55836621500000005</v>
      </c>
      <c r="S55">
        <v>5.1271254000000002E-2</v>
      </c>
      <c r="T55">
        <v>0.65010290900000001</v>
      </c>
    </row>
    <row r="56" spans="1:20" x14ac:dyDescent="0.35">
      <c r="A56" t="str">
        <f>Levels!A56</f>
        <v>1984Q3</v>
      </c>
      <c r="B56">
        <f>Normalized!B56</f>
        <v>4.4157141178552504</v>
      </c>
      <c r="C56">
        <f>Normalized!C56</f>
        <v>808.12658444848091</v>
      </c>
      <c r="D56">
        <f>Normalized!D56</f>
        <v>81698.154241345037</v>
      </c>
      <c r="E56">
        <f>Levels!E56/Levels!$Q56</f>
        <v>0.18510749923449341</v>
      </c>
      <c r="F56">
        <f>Levels!F56/Levels!$Q56</f>
        <v>0.63606403090121566</v>
      </c>
      <c r="G56" s="6">
        <v>5.6</v>
      </c>
      <c r="H56" s="4">
        <v>6.4338800000000003</v>
      </c>
      <c r="I56" s="4">
        <v>9.375764603174602</v>
      </c>
      <c r="J56">
        <v>2.2177428843388398</v>
      </c>
      <c r="K56">
        <v>-0.28397094674404999</v>
      </c>
      <c r="L56">
        <v>0.80030000000000001</v>
      </c>
      <c r="M56">
        <v>-11.6773705878099</v>
      </c>
      <c r="N56" s="6">
        <v>3.9777800000000001</v>
      </c>
      <c r="O56">
        <v>0.76024757975316104</v>
      </c>
      <c r="P56">
        <v>0.94269758624599298</v>
      </c>
      <c r="Q56">
        <v>6.9008370834181099</v>
      </c>
      <c r="R56">
        <v>-1.105684332</v>
      </c>
      <c r="S56">
        <v>-1.0603413900000001</v>
      </c>
      <c r="T56">
        <v>-0.68734995499999996</v>
      </c>
    </row>
    <row r="57" spans="1:20" x14ac:dyDescent="0.35">
      <c r="A57" t="str">
        <f>Levels!A57</f>
        <v>1984Q4</v>
      </c>
      <c r="B57">
        <f>Normalized!B57</f>
        <v>4.5820576669173043</v>
      </c>
      <c r="C57">
        <f>Normalized!C57</f>
        <v>860.64516041830041</v>
      </c>
      <c r="D57">
        <f>Normalized!D57</f>
        <v>83534.795828049493</v>
      </c>
      <c r="E57">
        <f>Levels!E57/Levels!$Q57</f>
        <v>0.18836483896232156</v>
      </c>
      <c r="F57">
        <f>Levels!F57/Levels!$Q57</f>
        <v>0.63666047101354828</v>
      </c>
      <c r="G57" s="6">
        <v>4.4000000000000004</v>
      </c>
      <c r="H57" s="4">
        <v>4.5853062295081966</v>
      </c>
      <c r="I57" s="4">
        <v>8.3036112138953939</v>
      </c>
      <c r="J57">
        <v>2.2185290757527598</v>
      </c>
      <c r="K57" s="5">
        <v>-7.2099733932462495E-3</v>
      </c>
      <c r="L57">
        <v>0.88980000000000004</v>
      </c>
      <c r="M57">
        <v>-10.3184054196846</v>
      </c>
      <c r="N57" s="6">
        <v>3.88612</v>
      </c>
      <c r="O57">
        <v>0.76475655211965099</v>
      </c>
      <c r="P57">
        <v>0.89401877656456297</v>
      </c>
      <c r="Q57">
        <v>5.5757994618356843</v>
      </c>
      <c r="R57">
        <v>-8.6505598000000003E-2</v>
      </c>
      <c r="S57">
        <v>-0.16070679399999999</v>
      </c>
      <c r="T57">
        <v>-5.6017300000000001E-3</v>
      </c>
    </row>
    <row r="58" spans="1:20" x14ac:dyDescent="0.35">
      <c r="A58" t="str">
        <f>Levels!A58</f>
        <v>1985Q1</v>
      </c>
      <c r="B58">
        <f>Normalized!B58</f>
        <v>4.7154631786521275</v>
      </c>
      <c r="C58">
        <f>Normalized!C58</f>
        <v>893.56956728818807</v>
      </c>
      <c r="D58">
        <f>Normalized!D58</f>
        <v>82844.562097126051</v>
      </c>
      <c r="E58">
        <f>Levels!E58/Levels!$Q58</f>
        <v>0.18834206553365196</v>
      </c>
      <c r="F58">
        <f>Levels!F58/Levels!$Q58</f>
        <v>0.64258696341370225</v>
      </c>
      <c r="G58" s="6">
        <v>3.2</v>
      </c>
      <c r="H58" s="4">
        <v>4.236600000000001</v>
      </c>
      <c r="I58" s="4">
        <v>8.1695630952380949</v>
      </c>
      <c r="J58">
        <v>2.2485927630268598</v>
      </c>
      <c r="K58">
        <v>-0.84860944343617994</v>
      </c>
      <c r="L58">
        <v>0.92559999999999998</v>
      </c>
      <c r="M58">
        <v>-10.0080241477248</v>
      </c>
      <c r="N58" s="6">
        <v>4.2491199999999996</v>
      </c>
      <c r="O58">
        <v>0.76873270540252703</v>
      </c>
      <c r="P58">
        <v>0.87606994294729601</v>
      </c>
      <c r="Q58">
        <v>4.5550933893434786</v>
      </c>
      <c r="R58">
        <v>-0.43405108799999997</v>
      </c>
      <c r="S58">
        <v>-1.436270728</v>
      </c>
      <c r="T58">
        <v>-1.150457686</v>
      </c>
    </row>
    <row r="59" spans="1:20" x14ac:dyDescent="0.35">
      <c r="A59" t="str">
        <f>Levels!A59</f>
        <v>1985Q2</v>
      </c>
      <c r="B59">
        <f>Normalized!B59</f>
        <v>4.8654255833304356</v>
      </c>
      <c r="C59">
        <f>Normalized!C59</f>
        <v>919.87271720471881</v>
      </c>
      <c r="D59">
        <f>Normalized!D59</f>
        <v>82430.139521194666</v>
      </c>
      <c r="E59">
        <f>Levels!E59/Levels!$Q59</f>
        <v>0.19057090772903271</v>
      </c>
      <c r="F59">
        <f>Levels!F59/Levels!$Q59</f>
        <v>0.64121818138616349</v>
      </c>
      <c r="G59" s="6">
        <v>2.6</v>
      </c>
      <c r="H59" s="4">
        <v>3.4393126984126985</v>
      </c>
      <c r="I59" s="4">
        <v>7.4572689682539677</v>
      </c>
      <c r="J59">
        <v>2.2710793372257498</v>
      </c>
      <c r="K59">
        <v>-5.7470942563445107E-2</v>
      </c>
      <c r="L59">
        <v>1.1348</v>
      </c>
      <c r="M59">
        <v>-7.6300222154733097</v>
      </c>
      <c r="N59" s="6">
        <v>3.9384000000000001</v>
      </c>
      <c r="O59">
        <v>0.76351854432845301</v>
      </c>
      <c r="P59">
        <v>0.83759755783131196</v>
      </c>
      <c r="Q59">
        <v>3.6842175046639225</v>
      </c>
      <c r="R59">
        <v>-1.8248063450000001</v>
      </c>
      <c r="S59">
        <v>0.12627075500000001</v>
      </c>
      <c r="T59">
        <v>0.26111475299999998</v>
      </c>
    </row>
    <row r="60" spans="1:20" x14ac:dyDescent="0.35">
      <c r="A60" t="str">
        <f>Levels!A60</f>
        <v>1985Q3</v>
      </c>
      <c r="B60">
        <f>Normalized!B60</f>
        <v>5.0047256959294426</v>
      </c>
      <c r="C60">
        <f>Normalized!C60</f>
        <v>959.0456494477761</v>
      </c>
      <c r="D60">
        <f>Normalized!D60</f>
        <v>84810.084407427697</v>
      </c>
      <c r="E60">
        <f>Levels!E60/Levels!$Q60</f>
        <v>0.18833781924472823</v>
      </c>
      <c r="F60">
        <f>Levels!F60/Levels!$Q60</f>
        <v>0.64229987228443663</v>
      </c>
      <c r="G60" s="6">
        <v>2.4</v>
      </c>
      <c r="H60" s="4">
        <v>3.0717217460317467</v>
      </c>
      <c r="I60" s="4">
        <v>7.0127948412698409</v>
      </c>
      <c r="J60">
        <v>2.269961261722</v>
      </c>
      <c r="K60">
        <v>-0.94191077155577996</v>
      </c>
      <c r="L60">
        <v>1.1496999999999999</v>
      </c>
      <c r="M60">
        <v>-7.3892327184050801</v>
      </c>
      <c r="N60" s="6">
        <v>4.0290999999999997</v>
      </c>
      <c r="O60">
        <v>0.74925467128533596</v>
      </c>
      <c r="P60">
        <v>0.85238991056100299</v>
      </c>
      <c r="Q60">
        <v>4.2624449274052845</v>
      </c>
      <c r="R60">
        <v>-0.101789252</v>
      </c>
      <c r="S60">
        <v>-0.71081351500000001</v>
      </c>
      <c r="T60">
        <v>1.5480411270000001</v>
      </c>
    </row>
    <row r="61" spans="1:20" x14ac:dyDescent="0.35">
      <c r="A61" t="str">
        <f>Levels!A61</f>
        <v>1985Q4</v>
      </c>
      <c r="B61">
        <f>Normalized!B61</f>
        <v>5.2119025343650804</v>
      </c>
      <c r="C61">
        <f>Normalized!C61</f>
        <v>1005.459779556174</v>
      </c>
      <c r="D61">
        <f>Normalized!D61</f>
        <v>84956.492607928245</v>
      </c>
      <c r="E61">
        <f>Levels!E61/Levels!$Q61</f>
        <v>0.18979737980779646</v>
      </c>
      <c r="F61">
        <f>Levels!F61/Levels!$Q61</f>
        <v>0.63698576297659137</v>
      </c>
      <c r="G61" s="6">
        <v>2.2999999999999998</v>
      </c>
      <c r="H61" s="4">
        <v>3.4200296774193553</v>
      </c>
      <c r="I61" s="4">
        <v>6.4921756989247319</v>
      </c>
      <c r="J61">
        <v>2.3060832010281702</v>
      </c>
      <c r="K61">
        <v>-0.36180971345440299</v>
      </c>
      <c r="L61">
        <v>1.3325</v>
      </c>
      <c r="M61">
        <v>-6.4370741303313697</v>
      </c>
      <c r="N61" s="6">
        <v>4.0343099999999996</v>
      </c>
      <c r="O61">
        <v>0.76969274795438403</v>
      </c>
      <c r="P61">
        <v>0.89121446248342495</v>
      </c>
      <c r="Q61">
        <v>4.1822685935742232</v>
      </c>
      <c r="R61">
        <v>0.73162774799999997</v>
      </c>
      <c r="S61">
        <v>-1.1122958519999999</v>
      </c>
      <c r="T61">
        <v>-0.71882701999999998</v>
      </c>
    </row>
    <row r="62" spans="1:20" x14ac:dyDescent="0.35">
      <c r="A62" t="str">
        <f>Levels!A62</f>
        <v>1986Q1</v>
      </c>
      <c r="B62">
        <f>Normalized!B62</f>
        <v>5.2989309492314778</v>
      </c>
      <c r="C62">
        <f>Normalized!C62</f>
        <v>1060.871592429568</v>
      </c>
      <c r="D62">
        <f>Normalized!D62</f>
        <v>83599.981612796822</v>
      </c>
      <c r="E62">
        <f>Levels!E62/Levels!$Q62</f>
        <v>0.18896802962142081</v>
      </c>
      <c r="F62">
        <f>Levels!F62/Levels!$Q62</f>
        <v>0.63473621550074144</v>
      </c>
      <c r="G62" s="6">
        <v>1.3</v>
      </c>
      <c r="H62" s="4">
        <v>3.3441766666666668</v>
      </c>
      <c r="I62" s="4">
        <v>5.3448200000000003</v>
      </c>
      <c r="J62">
        <v>2.3419221860711499</v>
      </c>
      <c r="K62">
        <v>-2.0680591358986603E-2</v>
      </c>
      <c r="L62">
        <v>1.6753</v>
      </c>
      <c r="M62">
        <v>-4.9003657696485199</v>
      </c>
      <c r="N62" s="6">
        <v>3.7436799999999999</v>
      </c>
      <c r="O62">
        <v>0.812280405658246</v>
      </c>
      <c r="P62">
        <v>0.918582171876825</v>
      </c>
      <c r="Q62">
        <v>4.1455897492227889</v>
      </c>
      <c r="R62">
        <v>-1.5626075340000001</v>
      </c>
      <c r="S62">
        <v>-1.223521955</v>
      </c>
      <c r="T62">
        <v>1.2651667120000001</v>
      </c>
    </row>
    <row r="63" spans="1:20" x14ac:dyDescent="0.35">
      <c r="A63" t="str">
        <f>Levels!A63</f>
        <v>1986Q2</v>
      </c>
      <c r="B63">
        <f>Normalized!B63</f>
        <v>5.4560640613451667</v>
      </c>
      <c r="C63">
        <f>Normalized!C63</f>
        <v>1083.1353033069399</v>
      </c>
      <c r="D63">
        <f>Normalized!D63</f>
        <v>83010.670687731952</v>
      </c>
      <c r="E63">
        <f>Levels!E63/Levels!$Q63</f>
        <v>0.1890888428521057</v>
      </c>
      <c r="F63">
        <f>Levels!F63/Levels!$Q63</f>
        <v>0.63220213567958938</v>
      </c>
      <c r="G63" s="6">
        <v>0.4</v>
      </c>
      <c r="H63" s="4">
        <v>2.9303474999999994</v>
      </c>
      <c r="I63" s="4">
        <v>4.4211504166666673</v>
      </c>
      <c r="J63">
        <v>2.3810839729264801</v>
      </c>
      <c r="K63">
        <v>-7.5708988762951401E-2</v>
      </c>
      <c r="L63">
        <v>1.7927999999999999</v>
      </c>
      <c r="M63">
        <v>-3.1568093886062001</v>
      </c>
      <c r="N63" s="6">
        <v>3.5554899999999998</v>
      </c>
      <c r="O63">
        <v>0.80352349923611399</v>
      </c>
      <c r="P63">
        <v>0.951811806276321</v>
      </c>
      <c r="Q63">
        <v>3.7015803866048191</v>
      </c>
      <c r="R63">
        <v>-0.23514148000000001</v>
      </c>
      <c r="S63">
        <v>1.7729811150000001</v>
      </c>
      <c r="T63">
        <v>1.7968777549999999</v>
      </c>
    </row>
    <row r="64" spans="1:20" x14ac:dyDescent="0.35">
      <c r="A64" t="str">
        <f>Levels!A64</f>
        <v>1986Q3</v>
      </c>
      <c r="B64">
        <f>Normalized!B64</f>
        <v>5.6106872952497424</v>
      </c>
      <c r="C64">
        <f>Normalized!C64</f>
        <v>1120.85888855452</v>
      </c>
      <c r="D64">
        <f>Normalized!D64</f>
        <v>85811.187104957397</v>
      </c>
      <c r="E64">
        <f>Levels!E64/Levels!$Q64</f>
        <v>0.1885162962340374</v>
      </c>
      <c r="F64">
        <f>Levels!F64/Levels!$Q64</f>
        <v>0.63500067906564128</v>
      </c>
      <c r="G64" s="6">
        <v>0.6</v>
      </c>
      <c r="H64" s="4">
        <v>2.2222225</v>
      </c>
      <c r="I64" s="4">
        <v>4.1678985119047613</v>
      </c>
      <c r="J64">
        <v>2.3805902804431902</v>
      </c>
      <c r="K64">
        <v>0.17977388821371498</v>
      </c>
      <c r="L64">
        <v>2.0034999999999998</v>
      </c>
      <c r="M64">
        <v>-3.33000492472117</v>
      </c>
      <c r="N64" s="6">
        <v>3.2068400000000001</v>
      </c>
      <c r="O64">
        <v>0.78593577623472899</v>
      </c>
      <c r="P64">
        <v>1.0276505214376599</v>
      </c>
      <c r="Q64">
        <v>3.1192412738599851</v>
      </c>
      <c r="R64">
        <v>0.170981781</v>
      </c>
      <c r="S64">
        <v>0.687721209</v>
      </c>
      <c r="T64">
        <v>1.6942304450000001</v>
      </c>
    </row>
    <row r="65" spans="1:20" x14ac:dyDescent="0.35">
      <c r="A65" t="str">
        <f>Levels!A65</f>
        <v>1986Q4</v>
      </c>
      <c r="B65">
        <f>Normalized!B65</f>
        <v>5.793798503611181</v>
      </c>
      <c r="C65">
        <f>Normalized!C65</f>
        <v>1164.1513459016044</v>
      </c>
      <c r="D65">
        <f>Normalized!D65</f>
        <v>87069.507252358846</v>
      </c>
      <c r="E65">
        <f>Levels!E65/Levels!$Q65</f>
        <v>0.18817399220385361</v>
      </c>
      <c r="F65">
        <f>Levels!F65/Levels!$Q65</f>
        <v>0.63423215608135197</v>
      </c>
      <c r="G65" s="6">
        <v>0.8</v>
      </c>
      <c r="H65" s="4">
        <v>2.5107906451612902</v>
      </c>
      <c r="I65" s="4">
        <v>4.1573965437788019</v>
      </c>
      <c r="J65">
        <v>2.3924222177788499</v>
      </c>
      <c r="K65">
        <v>-0.43903318139711406</v>
      </c>
      <c r="L65">
        <v>1.9392</v>
      </c>
      <c r="M65">
        <v>-4.29586969488353</v>
      </c>
      <c r="N65" s="6">
        <v>3.3043399999999998</v>
      </c>
      <c r="O65">
        <v>0.79289806667180696</v>
      </c>
      <c r="P65">
        <v>1.0254392282170799</v>
      </c>
      <c r="Q65">
        <v>2.9080333208927778</v>
      </c>
      <c r="R65">
        <v>2.3625475520000001</v>
      </c>
      <c r="S65">
        <v>-0.277478799</v>
      </c>
      <c r="T65">
        <v>-1.0091628749999999</v>
      </c>
    </row>
    <row r="66" spans="1:20" x14ac:dyDescent="0.35">
      <c r="A66" t="str">
        <f>Levels!A66</f>
        <v>1987Q1</v>
      </c>
      <c r="B66">
        <f>Normalized!B66</f>
        <v>5.8604237115522544</v>
      </c>
      <c r="C66">
        <f>Normalized!C66</f>
        <v>1171.4431819324125</v>
      </c>
      <c r="D66">
        <f>Normalized!D66</f>
        <v>86601.307227194295</v>
      </c>
      <c r="E66">
        <f>Levels!E66/Levels!$Q66</f>
        <v>0.18489293604006271</v>
      </c>
      <c r="F66">
        <f>Levels!F66/Levels!$Q66</f>
        <v>0.63087566758273239</v>
      </c>
      <c r="G66" s="6">
        <v>2.2000000000000002</v>
      </c>
      <c r="H66" s="4">
        <v>2.4056106557377048</v>
      </c>
      <c r="I66" s="4">
        <v>4.1209236455893841</v>
      </c>
      <c r="J66">
        <v>2.44570109533033</v>
      </c>
      <c r="K66">
        <v>-0.734702948671762</v>
      </c>
      <c r="L66">
        <v>1.8607</v>
      </c>
      <c r="M66">
        <v>-4.6389603102951797</v>
      </c>
      <c r="N66" s="6">
        <v>2.84179</v>
      </c>
      <c r="O66">
        <v>0.79788138410486498</v>
      </c>
      <c r="P66">
        <v>1.0318213902600499</v>
      </c>
      <c r="Q66">
        <v>2.7158406191741369</v>
      </c>
      <c r="R66">
        <v>-1.3678983600000001</v>
      </c>
      <c r="S66">
        <v>2.4009960210000001</v>
      </c>
      <c r="T66">
        <v>-0.66723307099999996</v>
      </c>
    </row>
    <row r="67" spans="1:20" x14ac:dyDescent="0.35">
      <c r="A67" t="str">
        <f>Levels!A67</f>
        <v>1987Q2</v>
      </c>
      <c r="B67">
        <f>Normalized!B67</f>
        <v>6.0164104549574144</v>
      </c>
      <c r="C67">
        <f>Normalized!C67</f>
        <v>1180.703652041924</v>
      </c>
      <c r="D67">
        <f>Normalized!D67</f>
        <v>83864.374578311166</v>
      </c>
      <c r="E67">
        <f>Levels!E67/Levels!$Q67</f>
        <v>0.18591410208100287</v>
      </c>
      <c r="F67">
        <f>Levels!F67/Levels!$Q67</f>
        <v>0.63424517081930243</v>
      </c>
      <c r="G67" s="6">
        <v>3.1</v>
      </c>
      <c r="H67" s="4">
        <v>2.309900634920635</v>
      </c>
      <c r="I67" s="4">
        <v>5.2947386507936516</v>
      </c>
      <c r="J67">
        <v>2.4732603848836501</v>
      </c>
      <c r="K67">
        <v>-0.16188126537921799</v>
      </c>
      <c r="L67">
        <v>1.6099000000000001</v>
      </c>
      <c r="M67">
        <v>-5.9534696940123197</v>
      </c>
      <c r="N67" s="6">
        <v>3.1327500000000001</v>
      </c>
      <c r="O67">
        <v>0.74747068382203097</v>
      </c>
      <c r="P67">
        <v>1.02045390445622</v>
      </c>
      <c r="Q67">
        <v>3.3584793796559653</v>
      </c>
      <c r="R67">
        <v>0.95513394200000001</v>
      </c>
      <c r="S67">
        <v>1.696428491</v>
      </c>
      <c r="T67">
        <v>1.687710877</v>
      </c>
    </row>
    <row r="68" spans="1:20" x14ac:dyDescent="0.35">
      <c r="A68" t="str">
        <f>Levels!A68</f>
        <v>1987Q3</v>
      </c>
      <c r="B68">
        <f>Normalized!B68</f>
        <v>6.1472224243458689</v>
      </c>
      <c r="C68">
        <f>Normalized!C68</f>
        <v>1198.9613363428336</v>
      </c>
      <c r="D68">
        <f>Normalized!D68</f>
        <v>84160.867505757997</v>
      </c>
      <c r="E68">
        <f>Levels!E68/Levels!$Q68</f>
        <v>0.18734136894218634</v>
      </c>
      <c r="F68">
        <f>Levels!F68/Levels!$Q68</f>
        <v>0.63698111838625204</v>
      </c>
      <c r="G68" s="6">
        <v>3.3</v>
      </c>
      <c r="H68" s="4">
        <v>2.4815487500000004</v>
      </c>
      <c r="I68" s="4">
        <v>5.8612591666666667</v>
      </c>
      <c r="J68">
        <v>2.48952459641907</v>
      </c>
      <c r="K68">
        <v>0.67469191350707902</v>
      </c>
      <c r="L68">
        <v>1.6453</v>
      </c>
      <c r="M68">
        <v>-7.4056155197273403</v>
      </c>
      <c r="N68" s="6">
        <v>3.3450199999999999</v>
      </c>
      <c r="O68">
        <v>0.74380298983835003</v>
      </c>
      <c r="P68">
        <v>1.1545048148841699</v>
      </c>
      <c r="Q68">
        <v>3.2669261519167936</v>
      </c>
      <c r="R68">
        <v>2.3867561909999999</v>
      </c>
      <c r="S68">
        <v>2.128821716</v>
      </c>
      <c r="T68">
        <v>6.6214788249999996</v>
      </c>
    </row>
    <row r="69" spans="1:20" x14ac:dyDescent="0.35">
      <c r="A69" t="str">
        <f>Levels!A69</f>
        <v>1987Q4</v>
      </c>
      <c r="B69">
        <f>Normalized!B69</f>
        <v>6.277776461464919</v>
      </c>
      <c r="C69">
        <f>Normalized!C69</f>
        <v>1235.9298649438474</v>
      </c>
      <c r="D69">
        <f>Normalized!D69</f>
        <v>94624.738721699759</v>
      </c>
      <c r="E69">
        <f>Levels!E69/Levels!$Q69</f>
        <v>0.18426276587685453</v>
      </c>
      <c r="F69">
        <f>Levels!F69/Levels!$Q69</f>
        <v>0.6277289026198366</v>
      </c>
      <c r="G69" s="6">
        <v>3.6</v>
      </c>
      <c r="H69" s="4">
        <v>1.9678335483870968</v>
      </c>
      <c r="I69" s="4">
        <v>6.1675601152073742</v>
      </c>
      <c r="J69">
        <v>2.3855915634697</v>
      </c>
      <c r="K69">
        <v>2.0697219030251901</v>
      </c>
      <c r="L69">
        <v>1.4029</v>
      </c>
      <c r="M69">
        <v>-5.0273567422500802</v>
      </c>
      <c r="N69" s="6">
        <v>3.5551699999999999</v>
      </c>
      <c r="O69">
        <v>0.770002976001813</v>
      </c>
      <c r="P69">
        <v>1.2604395483189501</v>
      </c>
      <c r="Q69">
        <v>4.4790191376797184</v>
      </c>
      <c r="R69">
        <v>1.120384496</v>
      </c>
      <c r="S69">
        <v>0.92682936100000002</v>
      </c>
      <c r="T69">
        <v>-6.3787586210000002</v>
      </c>
    </row>
    <row r="70" spans="1:20" x14ac:dyDescent="0.35">
      <c r="A70" t="str">
        <f>Levels!A70</f>
        <v>1988Q1</v>
      </c>
      <c r="B70">
        <f>Normalized!B70</f>
        <v>6.3999938839159833</v>
      </c>
      <c r="C70">
        <f>Normalized!C70</f>
        <v>1229.239838436303</v>
      </c>
      <c r="D70">
        <f>Normalized!D70</f>
        <v>93913.949151556168</v>
      </c>
      <c r="E70">
        <f>Levels!E70/Levels!$Q70</f>
        <v>0.18202765478401237</v>
      </c>
      <c r="F70">
        <f>Levels!F70/Levels!$Q70</f>
        <v>0.63490010350798631</v>
      </c>
      <c r="G70" s="6">
        <v>2.4</v>
      </c>
      <c r="H70" s="4">
        <v>1.5718558064516133</v>
      </c>
      <c r="I70" s="4">
        <v>5.5066246466973876</v>
      </c>
      <c r="J70">
        <v>2.41166242971914</v>
      </c>
      <c r="K70">
        <v>-0.45718533658320998</v>
      </c>
      <c r="L70">
        <v>1.552</v>
      </c>
      <c r="M70">
        <v>-7.5345230239547103</v>
      </c>
      <c r="N70" s="6">
        <v>3.9013599999999999</v>
      </c>
      <c r="O70">
        <v>0.74899058778389505</v>
      </c>
      <c r="P70">
        <v>1.0292293298575299</v>
      </c>
      <c r="Q70">
        <v>4.2421895689621625</v>
      </c>
      <c r="R70">
        <v>-1.556987122</v>
      </c>
      <c r="S70">
        <v>0.83486693599999995</v>
      </c>
      <c r="T70">
        <v>-2.409299115</v>
      </c>
    </row>
    <row r="71" spans="1:20" x14ac:dyDescent="0.35">
      <c r="A71" t="str">
        <f>Levels!A71</f>
        <v>1988Q2</v>
      </c>
      <c r="B71">
        <f>Normalized!B71</f>
        <v>6.5737575212473072</v>
      </c>
      <c r="C71">
        <f>Normalized!C71</f>
        <v>1219.1923481890376</v>
      </c>
      <c r="D71">
        <f>Normalized!D71</f>
        <v>95462.705220965261</v>
      </c>
      <c r="E71">
        <f>Levels!E71/Levels!$Q71</f>
        <v>0.18285899372320605</v>
      </c>
      <c r="F71">
        <f>Levels!F71/Levels!$Q71</f>
        <v>0.63210299738286813</v>
      </c>
      <c r="G71" s="6">
        <v>3.3</v>
      </c>
      <c r="H71" s="4">
        <v>1.799876666666667</v>
      </c>
      <c r="I71" s="4">
        <v>6.0709528571428582</v>
      </c>
      <c r="J71">
        <v>2.4225265634390398</v>
      </c>
      <c r="K71">
        <v>-4.76516959399736E-2</v>
      </c>
      <c r="L71">
        <v>1.4227000000000001</v>
      </c>
      <c r="M71">
        <v>-8.3996380917753992</v>
      </c>
      <c r="N71" s="6">
        <v>4.15137</v>
      </c>
      <c r="O71">
        <v>0.71734420713290503</v>
      </c>
      <c r="P71">
        <v>0.90733743917406096</v>
      </c>
      <c r="Q71">
        <v>4.4846042172880463</v>
      </c>
      <c r="R71">
        <v>-0.65367258299999997</v>
      </c>
      <c r="S71">
        <v>-1.338368665</v>
      </c>
      <c r="T71">
        <v>0.1097364</v>
      </c>
    </row>
    <row r="72" spans="1:20" x14ac:dyDescent="0.35">
      <c r="A72" t="str">
        <f>Levels!A72</f>
        <v>1988Q3</v>
      </c>
      <c r="B72">
        <f>Normalized!B72</f>
        <v>6.7109166188708045</v>
      </c>
      <c r="C72">
        <f>Normalized!C72</f>
        <v>1248.8732020683508</v>
      </c>
      <c r="D72">
        <f>Normalized!D72</f>
        <v>99006.591411615664</v>
      </c>
      <c r="E72">
        <f>Levels!E72/Levels!$Q72</f>
        <v>0.18223361818622616</v>
      </c>
      <c r="F72">
        <f>Levels!F72/Levels!$Q72</f>
        <v>0.63523014729038829</v>
      </c>
      <c r="G72" s="6">
        <v>2.8</v>
      </c>
      <c r="H72" s="4">
        <v>2.4954800000000006</v>
      </c>
      <c r="I72" s="4">
        <v>6.3300542261904766</v>
      </c>
      <c r="J72">
        <v>2.4307837935198302</v>
      </c>
      <c r="K72">
        <v>6.4101970035990191E-2</v>
      </c>
      <c r="L72">
        <v>1.3593</v>
      </c>
      <c r="M72">
        <v>-9.1814682681160793</v>
      </c>
      <c r="N72" s="6">
        <v>4.4167899999999998</v>
      </c>
      <c r="O72">
        <v>0.70612418119825304</v>
      </c>
      <c r="P72">
        <v>0.84500575044892401</v>
      </c>
      <c r="Q72">
        <v>4.1928663233429697</v>
      </c>
      <c r="R72">
        <v>-1.446645561</v>
      </c>
      <c r="S72">
        <v>-1.4789062319999999</v>
      </c>
      <c r="T72">
        <v>-0.64440549999999996</v>
      </c>
    </row>
    <row r="73" spans="1:20" x14ac:dyDescent="0.35">
      <c r="A73" t="str">
        <f>Levels!A73</f>
        <v>1988Q4</v>
      </c>
      <c r="B73">
        <f>Normalized!B73</f>
        <v>6.8690873791424769</v>
      </c>
      <c r="C73">
        <f>Normalized!C73</f>
        <v>1257.4498512185323</v>
      </c>
      <c r="D73">
        <f>Normalized!D73</f>
        <v>99844.317688843759</v>
      </c>
      <c r="E73">
        <f>Levels!E73/Levels!$Q73</f>
        <v>0.18199064938222501</v>
      </c>
      <c r="F73">
        <f>Levels!F73/Levels!$Q73</f>
        <v>0.63342631170057118</v>
      </c>
      <c r="G73" s="6">
        <v>2.9</v>
      </c>
      <c r="H73" s="4">
        <v>3.0790796721311473</v>
      </c>
      <c r="I73" s="4">
        <v>6.2592220374707264</v>
      </c>
      <c r="J73">
        <v>2.4373322132575601</v>
      </c>
      <c r="K73">
        <v>8.1356436429425E-2</v>
      </c>
      <c r="L73">
        <v>1.3882000000000001</v>
      </c>
      <c r="M73">
        <v>-8.6025839470045806</v>
      </c>
      <c r="N73" s="6">
        <v>4.5207699999999997</v>
      </c>
      <c r="O73">
        <v>0.71584072453527803</v>
      </c>
      <c r="P73">
        <v>0.81870617965996295</v>
      </c>
      <c r="Q73">
        <v>3.7989710436494795</v>
      </c>
      <c r="R73">
        <v>0.689641744</v>
      </c>
      <c r="S73">
        <v>-1.5112732680000001</v>
      </c>
      <c r="T73">
        <v>-0.439724899</v>
      </c>
    </row>
    <row r="74" spans="1:20" x14ac:dyDescent="0.35">
      <c r="A74" t="str">
        <f>Levels!A74</f>
        <v>1989Q1</v>
      </c>
      <c r="B74">
        <f>Normalized!B74</f>
        <v>6.9826369595191595</v>
      </c>
      <c r="C74">
        <f>Normalized!C74</f>
        <v>1258.8232559813007</v>
      </c>
      <c r="D74">
        <f>Normalized!D74</f>
        <v>101119.73526483699</v>
      </c>
      <c r="E74">
        <f>Levels!E74/Levels!$Q74</f>
        <v>0.18126705634614113</v>
      </c>
      <c r="F74">
        <f>Levels!F74/Levels!$Q74</f>
        <v>0.63008763821621083</v>
      </c>
      <c r="G74" s="6">
        <v>3.9</v>
      </c>
      <c r="H74" s="4">
        <v>4.2081073770491813</v>
      </c>
      <c r="I74" s="4">
        <v>6.5910224395003905</v>
      </c>
      <c r="J74">
        <v>2.4634080072081899</v>
      </c>
      <c r="K74">
        <v>-0.38600379202312601</v>
      </c>
      <c r="L74">
        <v>1.3069</v>
      </c>
      <c r="M74">
        <v>-8.7366373344420794</v>
      </c>
      <c r="N74" s="6">
        <v>4.6517400000000002</v>
      </c>
      <c r="O74">
        <v>0.75426092838730896</v>
      </c>
      <c r="P74">
        <v>0.81414100482676399</v>
      </c>
      <c r="Q74">
        <v>4.315239934533488</v>
      </c>
      <c r="R74">
        <v>-1.038837233</v>
      </c>
      <c r="S74">
        <v>-0.68886860299999997</v>
      </c>
      <c r="T74">
        <v>-0.30917723899999999</v>
      </c>
    </row>
    <row r="75" spans="1:20" x14ac:dyDescent="0.35">
      <c r="A75" t="str">
        <f>Levels!A75</f>
        <v>1989Q2</v>
      </c>
      <c r="B75">
        <f>Normalized!B75</f>
        <v>7.1440818259613215</v>
      </c>
      <c r="C75">
        <f>Normalized!C75</f>
        <v>1260.6107971185893</v>
      </c>
      <c r="D75">
        <f>Normalized!D75</f>
        <v>99443.471306448788</v>
      </c>
      <c r="E75">
        <f>Levels!E75/Levels!$Q75</f>
        <v>0.18029968310397484</v>
      </c>
      <c r="F75">
        <f>Levels!F75/Levels!$Q75</f>
        <v>0.62939620615640757</v>
      </c>
      <c r="G75" s="6">
        <v>2.8</v>
      </c>
      <c r="H75" s="4">
        <v>4.4846949999999994</v>
      </c>
      <c r="I75" s="4">
        <v>6.2173725595238096</v>
      </c>
      <c r="J75">
        <v>2.50209485367226</v>
      </c>
      <c r="K75">
        <v>-0.72284360446728502</v>
      </c>
      <c r="L75">
        <v>1.5618000000000001</v>
      </c>
      <c r="M75">
        <v>-6.5946350451356004</v>
      </c>
      <c r="N75" s="6">
        <v>4.3384499999999999</v>
      </c>
      <c r="O75">
        <v>0.76215679532646396</v>
      </c>
      <c r="P75">
        <v>0.82681951181143698</v>
      </c>
      <c r="Q75">
        <v>3.7482928748439726</v>
      </c>
      <c r="R75">
        <v>-1.4642382540000001</v>
      </c>
      <c r="S75">
        <v>-0.37080961099999998</v>
      </c>
      <c r="T75">
        <v>0.81217630299999999</v>
      </c>
    </row>
    <row r="76" spans="1:20" x14ac:dyDescent="0.35">
      <c r="A76" t="str">
        <f>Levels!A76</f>
        <v>1989Q3</v>
      </c>
      <c r="B76">
        <f>Normalized!B76</f>
        <v>7.2532002393543609</v>
      </c>
      <c r="C76">
        <f>Normalized!C76</f>
        <v>1271.8020760540553</v>
      </c>
      <c r="D76">
        <f>Normalized!D76</f>
        <v>99385.801563508183</v>
      </c>
      <c r="E76">
        <f>Levels!E76/Levels!$Q76</f>
        <v>0.18225565549384648</v>
      </c>
      <c r="F76">
        <f>Levels!F76/Levels!$Q76</f>
        <v>0.62773359798841233</v>
      </c>
      <c r="G76" s="6">
        <v>2.8</v>
      </c>
      <c r="H76" s="4">
        <v>4.1362841269841271</v>
      </c>
      <c r="I76" s="4">
        <v>5.6357653174603168</v>
      </c>
      <c r="J76">
        <v>2.54045438526658</v>
      </c>
      <c r="K76">
        <v>-0.11340807106432101</v>
      </c>
      <c r="L76">
        <v>1.5153000000000001</v>
      </c>
      <c r="M76">
        <v>-4.7403390835970498</v>
      </c>
      <c r="N76" s="6">
        <v>3.9184299999999999</v>
      </c>
      <c r="O76">
        <v>0.76494053209595503</v>
      </c>
      <c r="P76">
        <v>0.85485097027357504</v>
      </c>
      <c r="Q76">
        <v>3.9081130529283303</v>
      </c>
      <c r="R76">
        <v>-1.487008965</v>
      </c>
      <c r="S76">
        <v>0.51459534699999998</v>
      </c>
      <c r="T76">
        <v>1.2958202110000001</v>
      </c>
    </row>
    <row r="77" spans="1:20" x14ac:dyDescent="0.35">
      <c r="A77" t="str">
        <f>Levels!A77</f>
        <v>1989Q4</v>
      </c>
      <c r="B77">
        <f>Normalized!B77</f>
        <v>7.3932248680658867</v>
      </c>
      <c r="C77">
        <f>Normalized!C77</f>
        <v>1334.5327013505341</v>
      </c>
      <c r="D77">
        <f>Normalized!D77</f>
        <v>101270.52749655211</v>
      </c>
      <c r="E77">
        <f>Levels!E77/Levels!$Q77</f>
        <v>0.18006780284600088</v>
      </c>
      <c r="F77">
        <f>Levels!F77/Levels!$Q77</f>
        <v>0.62803612789828511</v>
      </c>
      <c r="G77" s="6">
        <v>1.6</v>
      </c>
      <c r="H77" s="4">
        <v>3.8786816129032258</v>
      </c>
      <c r="I77" s="4">
        <v>5.4877384408602143</v>
      </c>
      <c r="J77">
        <v>2.5370308460252602</v>
      </c>
      <c r="K77">
        <v>-0.19960146453671399</v>
      </c>
      <c r="L77">
        <v>1.2645</v>
      </c>
      <c r="M77">
        <v>-3.973056180111</v>
      </c>
      <c r="N77" s="6">
        <v>3.7107000000000001</v>
      </c>
      <c r="O77">
        <v>0.76523948788229501</v>
      </c>
      <c r="P77">
        <v>0.896060989483623</v>
      </c>
      <c r="Q77">
        <v>2.7438032552466129</v>
      </c>
      <c r="R77">
        <v>1.877640564</v>
      </c>
      <c r="S77">
        <v>-2.365621682</v>
      </c>
      <c r="T77">
        <v>0.72213269700000005</v>
      </c>
    </row>
    <row r="78" spans="1:20" x14ac:dyDescent="0.35">
      <c r="A78" t="str">
        <f>Levels!A78</f>
        <v>1990Q1</v>
      </c>
      <c r="B78">
        <f>Normalized!B78</f>
        <v>7.5200587721141465</v>
      </c>
      <c r="C78">
        <f>Normalized!C78</f>
        <v>1341.9592212189893</v>
      </c>
      <c r="D78">
        <f>Normalized!D78</f>
        <v>102152.86305298406</v>
      </c>
      <c r="E78">
        <f>Levels!E78/Levels!$Q78</f>
        <v>0.18104732045536118</v>
      </c>
      <c r="F78">
        <f>Levels!F78/Levels!$Q78</f>
        <v>0.62972773152519723</v>
      </c>
      <c r="G78" s="6">
        <v>0.9</v>
      </c>
      <c r="H78" s="4">
        <v>3.7773883870967744</v>
      </c>
      <c r="I78" s="4">
        <v>6.0518543010752683</v>
      </c>
      <c r="J78">
        <v>2.5266845671885698</v>
      </c>
      <c r="K78">
        <v>0.78628102068195194</v>
      </c>
      <c r="L78">
        <v>1.1297999999999999</v>
      </c>
      <c r="M78">
        <v>-4.5322635296794198</v>
      </c>
      <c r="N78" s="6">
        <v>3.77277</v>
      </c>
      <c r="O78">
        <v>0.80223205390863095</v>
      </c>
      <c r="P78">
        <v>0.94495807367117901</v>
      </c>
      <c r="Q78">
        <v>2.8213038443607008</v>
      </c>
      <c r="R78">
        <v>-0.21563012100000001</v>
      </c>
      <c r="S78">
        <v>1.678834441</v>
      </c>
      <c r="T78">
        <v>0.33174742600000001</v>
      </c>
    </row>
    <row r="79" spans="1:20" x14ac:dyDescent="0.35">
      <c r="A79" t="str">
        <f>Levels!A79</f>
        <v>1990Q2</v>
      </c>
      <c r="B79">
        <f>Normalized!B79</f>
        <v>7.6233537448635253</v>
      </c>
      <c r="C79">
        <f>Normalized!C79</f>
        <v>1364.477401177206</v>
      </c>
      <c r="D79">
        <f>Normalized!D79</f>
        <v>100235.56634561495</v>
      </c>
      <c r="E79">
        <f>Levels!E79/Levels!$Q79</f>
        <v>0.1775264802155041</v>
      </c>
      <c r="F79">
        <f>Levels!F79/Levels!$Q79</f>
        <v>0.62915414843134643</v>
      </c>
      <c r="G79" s="6">
        <v>0.1</v>
      </c>
      <c r="H79" s="4">
        <v>3.4853866666666669</v>
      </c>
      <c r="I79" s="4">
        <v>6.348189126984126</v>
      </c>
      <c r="J79">
        <v>2.5466593715045902</v>
      </c>
      <c r="K79">
        <v>0.32064364804969298</v>
      </c>
      <c r="L79">
        <v>0.82709999999999995</v>
      </c>
      <c r="M79">
        <v>-6.6762827883362901</v>
      </c>
      <c r="N79" s="6">
        <v>3.9861599999999999</v>
      </c>
      <c r="O79">
        <v>0.78316944787659004</v>
      </c>
      <c r="P79">
        <v>0.99157226848330704</v>
      </c>
      <c r="Q79">
        <v>2.4127729551837618</v>
      </c>
      <c r="R79">
        <v>-0.184271094</v>
      </c>
      <c r="S79">
        <v>0.73003185699999995</v>
      </c>
      <c r="T79">
        <v>1.472479179</v>
      </c>
    </row>
    <row r="80" spans="1:20" x14ac:dyDescent="0.35">
      <c r="A80" t="str">
        <f>Levels!A80</f>
        <v>1990Q3</v>
      </c>
      <c r="B80">
        <f>Normalized!B80</f>
        <v>7.7025015921203783</v>
      </c>
      <c r="C80">
        <f>Normalized!C80</f>
        <v>1389.2595003331076</v>
      </c>
      <c r="D80">
        <f>Normalized!D80</f>
        <v>105733.96693180669</v>
      </c>
      <c r="E80">
        <f>Levels!E80/Levels!$Q80</f>
        <v>0.17642023058337852</v>
      </c>
      <c r="F80">
        <f>Levels!F80/Levels!$Q80</f>
        <v>0.63294217731404856</v>
      </c>
      <c r="G80" s="6">
        <v>-0.6</v>
      </c>
      <c r="H80" s="4">
        <v>3.2940128571428566</v>
      </c>
      <c r="I80" s="4">
        <v>6.4258696031746023</v>
      </c>
      <c r="J80">
        <v>2.5018944701282102</v>
      </c>
      <c r="K80">
        <v>1.45196709666441</v>
      </c>
      <c r="L80">
        <v>0.79120000000000001</v>
      </c>
      <c r="M80">
        <v>-6.4373588167578601</v>
      </c>
      <c r="N80" s="6">
        <v>4.2612800000000002</v>
      </c>
      <c r="O80">
        <v>0.79792491503791396</v>
      </c>
      <c r="P80">
        <v>1.0665368511887601</v>
      </c>
      <c r="Q80">
        <v>1.7272166368697883</v>
      </c>
      <c r="R80">
        <v>5.87588E-4</v>
      </c>
      <c r="S80">
        <v>0.69674910800000001</v>
      </c>
      <c r="T80">
        <v>1.17805005</v>
      </c>
    </row>
    <row r="81" spans="1:20" x14ac:dyDescent="0.35">
      <c r="A81" t="str">
        <f>Levels!A81</f>
        <v>1990Q4</v>
      </c>
      <c r="B81">
        <f>Normalized!B81</f>
        <v>7.7648096673006828</v>
      </c>
      <c r="C81">
        <f>Normalized!C81</f>
        <v>1453.0873887393682</v>
      </c>
      <c r="D81">
        <f>Normalized!D81</f>
        <v>104860.65476210765</v>
      </c>
      <c r="E81">
        <f>Levels!E81/Levels!$Q81</f>
        <v>0.17474156754527048</v>
      </c>
      <c r="F81">
        <f>Levels!F81/Levels!$Q81</f>
        <v>0.63551300849579551</v>
      </c>
      <c r="G81" s="6">
        <v>-1.1000000000000001</v>
      </c>
      <c r="H81" s="4">
        <v>3.0842987096774195</v>
      </c>
      <c r="I81" s="4">
        <v>6.1846179800307217</v>
      </c>
      <c r="J81">
        <v>2.5077879790094899</v>
      </c>
      <c r="K81">
        <v>-0.140705304297917</v>
      </c>
      <c r="L81">
        <v>1.157</v>
      </c>
      <c r="M81">
        <v>-7.9560256817168504</v>
      </c>
      <c r="N81" s="6">
        <v>4.1831300000000002</v>
      </c>
      <c r="O81">
        <v>0.81619640845165098</v>
      </c>
      <c r="P81">
        <v>1.0265247827903401</v>
      </c>
      <c r="Q81">
        <v>0.60285869649823187</v>
      </c>
      <c r="R81">
        <v>-2.5627222789999999</v>
      </c>
      <c r="S81">
        <v>-2.9572710350000002</v>
      </c>
      <c r="T81">
        <v>-0.22201816099999999</v>
      </c>
    </row>
    <row r="82" spans="1:20" x14ac:dyDescent="0.35">
      <c r="A82" t="str">
        <f>Levels!A82</f>
        <v>1991Q1</v>
      </c>
      <c r="B82">
        <f>Normalized!B82</f>
        <v>7.7696145179693055</v>
      </c>
      <c r="C82">
        <f>Normalized!C82</f>
        <v>1498.8898290514392</v>
      </c>
      <c r="D82">
        <f>Normalized!D82</f>
        <v>104176.35452035361</v>
      </c>
      <c r="E82">
        <f>Levels!E82/Levels!$Q82</f>
        <v>0.1711440177090148</v>
      </c>
      <c r="F82">
        <f>Levels!F82/Levels!$Q82</f>
        <v>0.63281242732940557</v>
      </c>
      <c r="G82" s="6">
        <v>-2.2999999999999998</v>
      </c>
      <c r="H82" s="4">
        <v>2.4738966666666671</v>
      </c>
      <c r="I82" s="4">
        <v>5.8529795238095232</v>
      </c>
      <c r="J82">
        <v>2.5474759127810001</v>
      </c>
      <c r="K82">
        <v>-0.53857189309507802</v>
      </c>
      <c r="L82">
        <v>1.1186</v>
      </c>
      <c r="M82">
        <v>-7.74803441560669</v>
      </c>
      <c r="N82" s="6">
        <v>3.9105400000000001</v>
      </c>
      <c r="O82">
        <v>0.80304762761678505</v>
      </c>
      <c r="P82">
        <v>0.97944895477500504</v>
      </c>
      <c r="Q82">
        <v>-0.95024069710161196</v>
      </c>
      <c r="R82">
        <v>-2.6868604880000002</v>
      </c>
      <c r="S82">
        <v>0.48444735900000002</v>
      </c>
      <c r="T82">
        <v>0.37051224199999999</v>
      </c>
    </row>
    <row r="83" spans="1:20" x14ac:dyDescent="0.35">
      <c r="A83" t="str">
        <f>Levels!A83</f>
        <v>1991Q2</v>
      </c>
      <c r="B83">
        <f>Normalized!B83</f>
        <v>7.8365886019589235</v>
      </c>
      <c r="C83">
        <f>Normalized!C83</f>
        <v>1531.1854515991702</v>
      </c>
      <c r="D83">
        <f>Normalized!D83</f>
        <v>102948.94850941611</v>
      </c>
      <c r="E83">
        <f>Levels!E83/Levels!$Q83</f>
        <v>0.17079993927851189</v>
      </c>
      <c r="F83">
        <f>Levels!F83/Levels!$Q83</f>
        <v>0.63040428879314969</v>
      </c>
      <c r="G83" s="6">
        <v>-2.5</v>
      </c>
      <c r="H83" s="4">
        <v>2.1186125000000002</v>
      </c>
      <c r="I83" s="4">
        <v>6.0060187499999991</v>
      </c>
      <c r="J83">
        <v>2.57869231795368</v>
      </c>
      <c r="K83">
        <v>-0.14171652168249999</v>
      </c>
      <c r="L83">
        <v>1.0322</v>
      </c>
      <c r="M83">
        <v>-6.0521248041853299</v>
      </c>
      <c r="N83" s="6">
        <v>3.55477</v>
      </c>
      <c r="O83">
        <v>0.75619166549912498</v>
      </c>
      <c r="P83">
        <v>0.92436033850087296</v>
      </c>
      <c r="Q83">
        <v>-0.53888796022831809</v>
      </c>
      <c r="R83">
        <v>1.8805490330000001</v>
      </c>
      <c r="S83">
        <v>1.1631079989999999</v>
      </c>
      <c r="T83">
        <v>-0.231231985</v>
      </c>
    </row>
    <row r="84" spans="1:20" x14ac:dyDescent="0.35">
      <c r="A84" t="str">
        <f>Levels!A84</f>
        <v>1991Q3</v>
      </c>
      <c r="B84">
        <f>Normalized!B84</f>
        <v>7.8343851677169267</v>
      </c>
      <c r="C84">
        <f>Normalized!C84</f>
        <v>1620.4279259782068</v>
      </c>
      <c r="D84">
        <f>Normalized!D84</f>
        <v>104379.78667805565</v>
      </c>
      <c r="E84">
        <f>Levels!E84/Levels!$Q84</f>
        <v>0.16993211375528294</v>
      </c>
      <c r="F84">
        <f>Levels!F84/Levels!$Q84</f>
        <v>0.62904500841272892</v>
      </c>
      <c r="G84" s="6">
        <v>-2.1</v>
      </c>
      <c r="H84" s="4">
        <v>1.9921149999999996</v>
      </c>
      <c r="I84" s="4">
        <v>5.8728109523809522</v>
      </c>
      <c r="J84">
        <v>2.5886358583336802</v>
      </c>
      <c r="K84">
        <v>0.44156547014192798</v>
      </c>
      <c r="L84">
        <v>1.0841000000000001</v>
      </c>
      <c r="M84">
        <v>-4.8980617908222799</v>
      </c>
      <c r="N84" s="6">
        <v>3.4417</v>
      </c>
      <c r="O84">
        <v>0.71955926524340996</v>
      </c>
      <c r="P84">
        <v>0.89863002895966104</v>
      </c>
      <c r="Q84">
        <v>-0.10271685005062148</v>
      </c>
      <c r="R84">
        <v>-1.7941509689999999</v>
      </c>
      <c r="S84">
        <v>0.29606168300000002</v>
      </c>
      <c r="T84">
        <v>6.3685242000000003E-2</v>
      </c>
    </row>
    <row r="85" spans="1:20" x14ac:dyDescent="0.35">
      <c r="A85" t="str">
        <f>Levels!A85</f>
        <v>1991Q4</v>
      </c>
      <c r="B85">
        <f>Normalized!B85</f>
        <v>7.8702441973801074</v>
      </c>
      <c r="C85">
        <f>Normalized!C85</f>
        <v>1707.8445430753106</v>
      </c>
      <c r="D85">
        <f>Normalized!D85</f>
        <v>104949.30518293349</v>
      </c>
      <c r="E85">
        <f>Levels!E85/Levels!$Q85</f>
        <v>0.16947210530463752</v>
      </c>
      <c r="F85">
        <f>Levels!F85/Levels!$Q85</f>
        <v>0.62569928925478913</v>
      </c>
      <c r="G85" s="6">
        <v>-1.9</v>
      </c>
      <c r="H85" s="4">
        <v>1.286772258064516</v>
      </c>
      <c r="I85" s="4">
        <v>5.3156273809523809</v>
      </c>
      <c r="J85">
        <v>2.5879497439341201</v>
      </c>
      <c r="K85">
        <v>0.53753264471828599</v>
      </c>
      <c r="L85">
        <v>1.1255999999999999</v>
      </c>
      <c r="M85">
        <v>-4.7647919404854404</v>
      </c>
      <c r="N85" s="6">
        <v>3.3872599999999999</v>
      </c>
      <c r="O85">
        <v>0.71337125391967804</v>
      </c>
      <c r="P85">
        <v>0.92942747571198403</v>
      </c>
      <c r="Q85">
        <v>1.1665033422485704</v>
      </c>
      <c r="R85">
        <v>-2.2569065209999999</v>
      </c>
      <c r="S85">
        <v>-0.53090687199999997</v>
      </c>
      <c r="T85">
        <v>2.7945142970000001</v>
      </c>
    </row>
    <row r="86" spans="1:20" x14ac:dyDescent="0.35">
      <c r="A86" t="str">
        <f>Levels!A86</f>
        <v>1992Q1</v>
      </c>
      <c r="B86">
        <f>Normalized!B86</f>
        <v>7.9004608323731205</v>
      </c>
      <c r="C86">
        <f>Normalized!C86</f>
        <v>1708.8089153022383</v>
      </c>
      <c r="D86">
        <f>Normalized!D86</f>
        <v>103565.32743648053</v>
      </c>
      <c r="E86">
        <f>Levels!E86/Levels!$Q86</f>
        <v>0.16979943491099578</v>
      </c>
      <c r="F86">
        <f>Levels!F86/Levels!$Q86</f>
        <v>0.62848913643771298</v>
      </c>
      <c r="G86" s="6">
        <v>-1.5</v>
      </c>
      <c r="H86" s="4">
        <v>0.70234096774193544</v>
      </c>
      <c r="I86" s="4">
        <v>5.3199250076804905</v>
      </c>
      <c r="J86">
        <v>2.6148807803796701</v>
      </c>
      <c r="K86">
        <v>0.10271294420200301</v>
      </c>
      <c r="L86">
        <v>0.9819</v>
      </c>
      <c r="M86">
        <v>-4.75204703526079</v>
      </c>
      <c r="N86" s="6">
        <v>3.2622599999999999</v>
      </c>
      <c r="O86">
        <v>0.71735226985635603</v>
      </c>
      <c r="P86">
        <v>0.89365616769051603</v>
      </c>
      <c r="Q86">
        <v>2.8588691053506032</v>
      </c>
      <c r="R86">
        <v>-0.58691885700000002</v>
      </c>
      <c r="S86">
        <v>0.80247598899999995</v>
      </c>
      <c r="T86">
        <v>-2.691774396</v>
      </c>
    </row>
    <row r="87" spans="1:20" x14ac:dyDescent="0.35">
      <c r="A87" t="str">
        <f>Levels!A87</f>
        <v>1992Q2</v>
      </c>
      <c r="B87">
        <f>Normalized!B87</f>
        <v>7.9374083965609481</v>
      </c>
      <c r="C87">
        <f>Normalized!C87</f>
        <v>1763.2766946629483</v>
      </c>
      <c r="D87">
        <f>Normalized!D87</f>
        <v>105848.35106394203</v>
      </c>
      <c r="E87">
        <f>Levels!E87/Levels!$Q87</f>
        <v>0.17166190043792481</v>
      </c>
      <c r="F87">
        <f>Levels!F87/Levels!$Q87</f>
        <v>0.6250300104571086</v>
      </c>
      <c r="G87" s="6">
        <v>-0.5</v>
      </c>
      <c r="H87" s="4">
        <v>0.7986712698412699</v>
      </c>
      <c r="I87" s="4">
        <v>5.42179865079365</v>
      </c>
      <c r="J87">
        <v>2.61423219730978</v>
      </c>
      <c r="K87">
        <v>0.69660311781242201</v>
      </c>
      <c r="L87">
        <v>0.92810000000000004</v>
      </c>
      <c r="M87">
        <v>-4.1060181130064004</v>
      </c>
      <c r="N87" s="6">
        <v>3.1965300000000001</v>
      </c>
      <c r="O87">
        <v>0.70192694645061404</v>
      </c>
      <c r="P87">
        <v>0.83665197766486199</v>
      </c>
      <c r="Q87">
        <v>3.1697558206670751</v>
      </c>
      <c r="R87">
        <v>-0.56407801700000004</v>
      </c>
      <c r="S87">
        <v>-0.92166759600000003</v>
      </c>
      <c r="T87">
        <v>3.0354019999999999E-2</v>
      </c>
    </row>
    <row r="88" spans="1:20" x14ac:dyDescent="0.35">
      <c r="A88" t="str">
        <f>Levels!A88</f>
        <v>1992Q3</v>
      </c>
      <c r="B88">
        <f>Normalized!B88</f>
        <v>7.9901230358390576</v>
      </c>
      <c r="C88">
        <f>Normalized!C88</f>
        <v>1838.5646342699429</v>
      </c>
      <c r="D88">
        <f>Normalized!D88</f>
        <v>107699.33116312057</v>
      </c>
      <c r="E88">
        <f>Levels!E88/Levels!$Q88</f>
        <v>0.17094839044540175</v>
      </c>
      <c r="F88">
        <f>Levels!F88/Levels!$Q88</f>
        <v>0.62454737378459912</v>
      </c>
      <c r="G88" s="6">
        <v>-0.2</v>
      </c>
      <c r="H88" s="4">
        <v>0.25718374999999982</v>
      </c>
      <c r="I88" s="4">
        <v>4.6987878571428574</v>
      </c>
      <c r="J88">
        <v>2.61940073561632</v>
      </c>
      <c r="K88">
        <v>0.21910803829839198</v>
      </c>
      <c r="L88">
        <v>1.0963000000000001</v>
      </c>
      <c r="M88">
        <v>-4.18294901935736</v>
      </c>
      <c r="N88" s="6">
        <v>2.88117</v>
      </c>
      <c r="O88">
        <v>0.70144560090357799</v>
      </c>
      <c r="P88">
        <v>0.809170600825869</v>
      </c>
      <c r="Q88">
        <v>3.6653228785096026</v>
      </c>
      <c r="R88">
        <v>-0.98895645200000004</v>
      </c>
      <c r="S88">
        <v>-0.98893396099999997</v>
      </c>
      <c r="T88">
        <v>-1.1553935559999999</v>
      </c>
    </row>
    <row r="89" spans="1:20" x14ac:dyDescent="0.35">
      <c r="A89" t="str">
        <f>Levels!A89</f>
        <v>1992Q4</v>
      </c>
      <c r="B89">
        <f>Normalized!B89</f>
        <v>8.0513279231194161</v>
      </c>
      <c r="C89">
        <f>Normalized!C89</f>
        <v>1899.9121702489742</v>
      </c>
      <c r="D89">
        <f>Normalized!D89</f>
        <v>107720.93584721163</v>
      </c>
      <c r="E89">
        <f>Levels!E89/Levels!$Q89</f>
        <v>0.17268333022889609</v>
      </c>
      <c r="F89">
        <f>Levels!F89/Levels!$Q89</f>
        <v>0.62532455509332585</v>
      </c>
      <c r="G89" s="6">
        <v>0.6</v>
      </c>
      <c r="H89" s="4">
        <v>0.32200129032258085</v>
      </c>
      <c r="I89" s="4">
        <v>4.8470880568356369</v>
      </c>
      <c r="J89">
        <v>2.6326519067626299</v>
      </c>
      <c r="K89">
        <v>-0.42256077932727498</v>
      </c>
      <c r="L89">
        <v>1.1475</v>
      </c>
      <c r="M89">
        <v>-5.8226327961193096</v>
      </c>
      <c r="N89" s="6">
        <v>2.8264100000000001</v>
      </c>
      <c r="O89">
        <v>0.70407972210476799</v>
      </c>
      <c r="P89">
        <v>0.79611537796857201</v>
      </c>
      <c r="Q89">
        <v>4.3825876436383915</v>
      </c>
      <c r="R89">
        <v>0.44260923400000002</v>
      </c>
      <c r="S89">
        <v>-0.70919847700000005</v>
      </c>
      <c r="T89">
        <v>-0.47390219500000003</v>
      </c>
    </row>
    <row r="90" spans="1:20" x14ac:dyDescent="0.35">
      <c r="A90" t="str">
        <f>Levels!A90</f>
        <v>1993Q1</v>
      </c>
      <c r="B90">
        <f>Normalized!B90</f>
        <v>8.0884806618216931</v>
      </c>
      <c r="C90">
        <f>Normalized!C90</f>
        <v>1924.0460520292554</v>
      </c>
      <c r="D90">
        <f>Normalized!D90</f>
        <v>109527.43726383414</v>
      </c>
      <c r="E90">
        <f>Levels!E90/Levels!$Q90</f>
        <v>0.17247956693518485</v>
      </c>
      <c r="F90">
        <f>Levels!F90/Levels!$Q90</f>
        <v>0.62598980313528874</v>
      </c>
      <c r="G90" s="6">
        <v>2.1</v>
      </c>
      <c r="H90" s="4">
        <v>0.15836000000000006</v>
      </c>
      <c r="I90" s="4">
        <v>4.3945100546448082</v>
      </c>
      <c r="J90">
        <v>2.6457377082139399</v>
      </c>
      <c r="K90">
        <v>0.55369712651502201</v>
      </c>
      <c r="L90">
        <v>1.1976</v>
      </c>
      <c r="M90">
        <v>-4.4953145282916998</v>
      </c>
      <c r="N90" s="6">
        <v>2.7481599999999999</v>
      </c>
      <c r="O90">
        <v>0.69478880267039</v>
      </c>
      <c r="P90">
        <v>0.78491547451561305</v>
      </c>
      <c r="Q90">
        <v>3.3199817534697473</v>
      </c>
      <c r="R90">
        <v>-1.7393688860000001</v>
      </c>
      <c r="S90">
        <v>0.95150290400000004</v>
      </c>
      <c r="T90">
        <v>-6.2031981E-2</v>
      </c>
    </row>
    <row r="91" spans="1:20" x14ac:dyDescent="0.35">
      <c r="A91" t="str">
        <f>Levels!A91</f>
        <v>1993Q2</v>
      </c>
      <c r="B91">
        <f>Normalized!B91</f>
        <v>8.1926223909117404</v>
      </c>
      <c r="C91">
        <f>Normalized!C91</f>
        <v>1971.998909726844</v>
      </c>
      <c r="D91">
        <f>Normalized!D91</f>
        <v>112501.76064337877</v>
      </c>
      <c r="E91">
        <f>Levels!E91/Levels!$Q91</f>
        <v>0.17434289855379434</v>
      </c>
      <c r="F91">
        <f>Levels!F91/Levels!$Q91</f>
        <v>0.62794019206856944</v>
      </c>
      <c r="G91" s="6">
        <v>2.9</v>
      </c>
      <c r="H91" s="4">
        <v>0.19971904761904735</v>
      </c>
      <c r="I91" s="4">
        <v>4.1538940476190476</v>
      </c>
      <c r="J91">
        <v>2.6492528596345899</v>
      </c>
      <c r="K91">
        <v>0.36526989223324396</v>
      </c>
      <c r="L91">
        <v>1.1652</v>
      </c>
      <c r="M91">
        <v>-4.21908539323117</v>
      </c>
      <c r="N91" s="6">
        <v>2.8016399999999999</v>
      </c>
      <c r="O91">
        <v>0.67720633816841502</v>
      </c>
      <c r="P91">
        <v>0.77138888514672799</v>
      </c>
      <c r="Q91">
        <v>2.8066673904407757</v>
      </c>
      <c r="R91">
        <v>-2.7452693899999998</v>
      </c>
      <c r="S91">
        <v>0.52204810800000001</v>
      </c>
      <c r="T91">
        <v>-0.37167573100000001</v>
      </c>
    </row>
    <row r="92" spans="1:20" x14ac:dyDescent="0.35">
      <c r="A92" t="str">
        <f>Levels!A92</f>
        <v>1993Q3</v>
      </c>
      <c r="B92">
        <f>Normalized!B92</f>
        <v>8.2999437108840333</v>
      </c>
      <c r="C92">
        <f>Normalized!C92</f>
        <v>2026.5527922783058</v>
      </c>
      <c r="D92">
        <f>Normalized!D92</f>
        <v>115137.86310417192</v>
      </c>
      <c r="E92">
        <f>Levels!E92/Levels!$Q92</f>
        <v>0.17520389990918375</v>
      </c>
      <c r="F92">
        <f>Levels!F92/Levels!$Q92</f>
        <v>0.63024182183680766</v>
      </c>
      <c r="G92" s="6">
        <v>3.3</v>
      </c>
      <c r="H92" s="4">
        <v>0.45606999999999998</v>
      </c>
      <c r="I92" s="4">
        <v>3.8096472619047619</v>
      </c>
      <c r="J92">
        <v>2.6618814244325599</v>
      </c>
      <c r="K92">
        <v>-0.98455249400369105</v>
      </c>
      <c r="L92">
        <v>1.1485000000000001</v>
      </c>
      <c r="M92">
        <v>-5.8893659524998299</v>
      </c>
      <c r="N92" s="6">
        <v>2.7679</v>
      </c>
      <c r="O92">
        <v>0.66421728147375603</v>
      </c>
      <c r="P92">
        <v>0.75547423126138502</v>
      </c>
      <c r="Q92">
        <v>2.2865157608157105</v>
      </c>
      <c r="R92">
        <v>-0.93907281600000003</v>
      </c>
      <c r="S92">
        <v>-0.52372391200000001</v>
      </c>
      <c r="T92">
        <v>0.14643562299999999</v>
      </c>
    </row>
    <row r="93" spans="1:20" x14ac:dyDescent="0.35">
      <c r="A93" t="str">
        <f>Levels!A93</f>
        <v>1993Q4</v>
      </c>
      <c r="B93">
        <f>Normalized!B93</f>
        <v>8.4227701911752284</v>
      </c>
      <c r="C93">
        <f>Normalized!C93</f>
        <v>2059.3054106912841</v>
      </c>
      <c r="D93">
        <f>Normalized!D93</f>
        <v>119789.3261127794</v>
      </c>
      <c r="E93">
        <f>Levels!E93/Levels!$Q93</f>
        <v>0.17865280060277131</v>
      </c>
      <c r="F93">
        <f>Levels!F93/Levels!$Q93</f>
        <v>0.62652598332090181</v>
      </c>
      <c r="G93" s="6">
        <v>3.6</v>
      </c>
      <c r="H93" s="4">
        <v>0.75309483870967764</v>
      </c>
      <c r="I93" s="4">
        <v>3.8322153609831027</v>
      </c>
      <c r="J93">
        <v>2.6669085573571198</v>
      </c>
      <c r="K93">
        <v>1.3794086879923599</v>
      </c>
      <c r="L93">
        <v>1.0942000000000001</v>
      </c>
      <c r="M93">
        <v>-4.2521954055264803</v>
      </c>
      <c r="N93" s="6">
        <v>2.5451800000000002</v>
      </c>
      <c r="O93">
        <v>0.67881743578427201</v>
      </c>
      <c r="P93">
        <v>0.76638006556809402</v>
      </c>
      <c r="Q93">
        <v>2.6076154944646879</v>
      </c>
      <c r="R93">
        <v>0.91548311199999999</v>
      </c>
      <c r="S93">
        <v>-1.2975780100000001</v>
      </c>
      <c r="T93">
        <v>-0.24301767699999999</v>
      </c>
    </row>
    <row r="94" spans="1:20" x14ac:dyDescent="0.35">
      <c r="A94" t="str">
        <f>Levels!A94</f>
        <v>1994Q1</v>
      </c>
      <c r="B94">
        <f>Normalized!B94</f>
        <v>8.5297796247783406</v>
      </c>
      <c r="C94">
        <f>Normalized!C94</f>
        <v>2041.1062961026626</v>
      </c>
      <c r="D94">
        <f>Normalized!D94</f>
        <v>112969.31968043468</v>
      </c>
      <c r="E94">
        <f>Levels!E94/Levels!$Q94</f>
        <v>0.17703032503679625</v>
      </c>
      <c r="F94">
        <f>Levels!F94/Levels!$Q94</f>
        <v>0.62586806045970289</v>
      </c>
      <c r="G94" s="6">
        <v>3.3</v>
      </c>
      <c r="H94" s="4">
        <v>1.0374016129032255</v>
      </c>
      <c r="I94" s="4">
        <v>4.3185468663594477</v>
      </c>
      <c r="J94">
        <v>2.6715824816956002</v>
      </c>
      <c r="K94">
        <v>0.522912858766444</v>
      </c>
      <c r="L94">
        <v>0.97109999999999996</v>
      </c>
      <c r="M94">
        <v>-5.2127561639259596</v>
      </c>
      <c r="N94" s="6">
        <v>2.30626</v>
      </c>
      <c r="O94">
        <v>0.69857174664370703</v>
      </c>
      <c r="P94">
        <v>0.77997223412143102</v>
      </c>
      <c r="Q94">
        <v>3.4305230144305865</v>
      </c>
      <c r="R94">
        <v>-0.75062329100000003</v>
      </c>
      <c r="S94">
        <v>1.4023738189999999</v>
      </c>
      <c r="T94">
        <v>-0.20385415600000001</v>
      </c>
    </row>
    <row r="95" spans="1:20" x14ac:dyDescent="0.35">
      <c r="A95" t="str">
        <f>Levels!A95</f>
        <v>1994Q2</v>
      </c>
      <c r="B95">
        <f>Normalized!B95</f>
        <v>8.6638730196857683</v>
      </c>
      <c r="C95">
        <f>Normalized!C95</f>
        <v>2031.8984450173439</v>
      </c>
      <c r="D95">
        <f>Normalized!D95</f>
        <v>116063.57863635987</v>
      </c>
      <c r="E95">
        <f>Levels!E95/Levels!$Q95</f>
        <v>0.17802563411507916</v>
      </c>
      <c r="F95">
        <f>Levels!F95/Levels!$Q95</f>
        <v>0.62218867407997003</v>
      </c>
      <c r="G95" s="6">
        <v>3.8</v>
      </c>
      <c r="H95" s="4">
        <v>1.780672258064516</v>
      </c>
      <c r="I95" s="4">
        <v>5.3264242242703537</v>
      </c>
      <c r="J95">
        <v>2.6542554551647202</v>
      </c>
      <c r="K95">
        <v>0.47512304954417905</v>
      </c>
      <c r="L95">
        <v>1.0001</v>
      </c>
      <c r="M95">
        <v>-5.7610842319468203</v>
      </c>
      <c r="N95" s="6">
        <v>2.2190500000000002</v>
      </c>
      <c r="O95">
        <v>0.68383605661564495</v>
      </c>
      <c r="P95">
        <v>0.76846057621215003</v>
      </c>
      <c r="Q95">
        <v>4.2253997023570911</v>
      </c>
      <c r="R95">
        <v>-0.69524724699999996</v>
      </c>
      <c r="S95">
        <v>1.175708049</v>
      </c>
      <c r="T95">
        <v>-1.0484761170000001</v>
      </c>
    </row>
    <row r="96" spans="1:20" x14ac:dyDescent="0.35">
      <c r="A96" t="str">
        <f>Levels!A96</f>
        <v>1994Q3</v>
      </c>
      <c r="B96">
        <f>Normalized!B96</f>
        <v>8.7896238019068207</v>
      </c>
      <c r="C96">
        <f>Normalized!C96</f>
        <v>2036.0558720933111</v>
      </c>
      <c r="D96">
        <f>Normalized!D96</f>
        <v>116649.75593783245</v>
      </c>
      <c r="E96">
        <f>Levels!E96/Levels!$Q96</f>
        <v>0.17935532944425664</v>
      </c>
      <c r="F96">
        <f>Levels!F96/Levels!$Q96</f>
        <v>0.62429818649106983</v>
      </c>
      <c r="G96" s="6">
        <v>4.4000000000000004</v>
      </c>
      <c r="H96" s="4">
        <v>2.2692987499999999</v>
      </c>
      <c r="I96" s="4">
        <v>5.569209940476191</v>
      </c>
      <c r="J96">
        <v>2.66745411529687</v>
      </c>
      <c r="K96">
        <v>-0.61620419232952106</v>
      </c>
      <c r="L96">
        <v>0.95</v>
      </c>
      <c r="M96">
        <v>-6.6823757925570604</v>
      </c>
      <c r="N96" s="6">
        <v>2.2183600000000001</v>
      </c>
      <c r="O96">
        <v>0.67965558213416399</v>
      </c>
      <c r="P96">
        <v>0.76452369158573397</v>
      </c>
      <c r="Q96">
        <v>4.336784859634335</v>
      </c>
      <c r="R96">
        <v>-0.887198339</v>
      </c>
      <c r="S96">
        <v>-0.75180988800000004</v>
      </c>
      <c r="T96">
        <v>-0.36760087200000002</v>
      </c>
    </row>
    <row r="97" spans="1:20" x14ac:dyDescent="0.35">
      <c r="A97" t="str">
        <f>Levels!A97</f>
        <v>1994Q4</v>
      </c>
      <c r="B97">
        <f>Normalized!B97</f>
        <v>8.9577876620267993</v>
      </c>
      <c r="C97">
        <f>Normalized!C97</f>
        <v>2058.7568475126627</v>
      </c>
      <c r="D97">
        <f>Normalized!D97</f>
        <v>115541.48707652038</v>
      </c>
      <c r="E97">
        <f>Levels!E97/Levels!$Q97</f>
        <v>0.18027783226078437</v>
      </c>
      <c r="F97">
        <f>Levels!F97/Levels!$Q97</f>
        <v>0.62337644597024566</v>
      </c>
      <c r="G97" s="6">
        <v>3.9</v>
      </c>
      <c r="H97" s="4">
        <v>2.9998650819672128</v>
      </c>
      <c r="I97" s="4">
        <v>6.0788788290398124</v>
      </c>
      <c r="J97">
        <v>2.6609515292671699</v>
      </c>
      <c r="K97">
        <v>1.11761712308001</v>
      </c>
      <c r="L97">
        <v>0.97950000000000004</v>
      </c>
      <c r="M97">
        <v>-5.1978477292752698</v>
      </c>
      <c r="N97" s="6">
        <v>2.2111700000000001</v>
      </c>
      <c r="O97">
        <v>0.68245327869518202</v>
      </c>
      <c r="P97">
        <v>0.76412512712568204</v>
      </c>
      <c r="Q97">
        <v>4.1159265162524772</v>
      </c>
      <c r="R97">
        <v>1.118212429</v>
      </c>
      <c r="S97">
        <v>0.14686360200000001</v>
      </c>
      <c r="T97">
        <v>-1.5158609540000001</v>
      </c>
    </row>
    <row r="98" spans="1:20" x14ac:dyDescent="0.35">
      <c r="A98" t="str">
        <f>Levels!A98</f>
        <v>1995Q1</v>
      </c>
      <c r="B98">
        <f>Normalized!B98</f>
        <v>9.0680410438284813</v>
      </c>
      <c r="C98">
        <f>Normalized!C98</f>
        <v>2100.9373133818331</v>
      </c>
      <c r="D98">
        <f>Normalized!D98</f>
        <v>115731.96377298968</v>
      </c>
      <c r="E98">
        <f>Levels!E98/Levels!$Q98</f>
        <v>0.18306645026739174</v>
      </c>
      <c r="F98">
        <f>Levels!F98/Levels!$Q98</f>
        <v>0.6223359451324717</v>
      </c>
      <c r="G98" s="6">
        <v>3.7</v>
      </c>
      <c r="H98" s="4">
        <v>3.5337225806451613</v>
      </c>
      <c r="I98" s="4">
        <v>5.7150319892473123</v>
      </c>
      <c r="J98">
        <v>2.68121345648234</v>
      </c>
      <c r="K98">
        <v>-0.53262444948111498</v>
      </c>
      <c r="L98">
        <v>1.0136000000000001</v>
      </c>
      <c r="M98">
        <v>-5.6543509897042998</v>
      </c>
      <c r="N98" s="6">
        <v>2.2824300000000002</v>
      </c>
      <c r="O98">
        <v>0.692321770835299</v>
      </c>
      <c r="P98">
        <v>0.747637238227983</v>
      </c>
      <c r="Q98">
        <v>3.4811302970043867</v>
      </c>
      <c r="R98">
        <v>-1.987907482</v>
      </c>
      <c r="S98">
        <v>-0.86267848199999997</v>
      </c>
      <c r="T98">
        <v>-0.49292129200000001</v>
      </c>
    </row>
    <row r="99" spans="1:20" x14ac:dyDescent="0.35">
      <c r="A99" t="str">
        <f>Levels!A99</f>
        <v>1995Q2</v>
      </c>
      <c r="B99">
        <f>Normalized!B99</f>
        <v>9.2351129304870607</v>
      </c>
      <c r="C99">
        <f>Normalized!C99</f>
        <v>2115.526333024909</v>
      </c>
      <c r="D99">
        <f>Normalized!D99</f>
        <v>113858.90899324918</v>
      </c>
      <c r="E99">
        <f>Levels!E99/Levels!$Q99</f>
        <v>0.18255873830755162</v>
      </c>
      <c r="F99">
        <f>Levels!F99/Levels!$Q99</f>
        <v>0.62599017061529039</v>
      </c>
      <c r="G99" s="6">
        <v>1.9</v>
      </c>
      <c r="H99" s="4">
        <v>3.4751457142857145</v>
      </c>
      <c r="I99" s="4">
        <v>4.8469108730158732</v>
      </c>
      <c r="J99">
        <v>2.72574370532163</v>
      </c>
      <c r="K99">
        <v>-0.53704469696583301</v>
      </c>
      <c r="L99">
        <v>1.0550999999999999</v>
      </c>
      <c r="M99">
        <v>-4.6553393096539599</v>
      </c>
      <c r="N99" s="6">
        <v>2.2016</v>
      </c>
      <c r="O99">
        <v>0.69135043207751701</v>
      </c>
      <c r="P99">
        <v>0.74928917269819495</v>
      </c>
      <c r="Q99">
        <v>2.4021688692934973</v>
      </c>
      <c r="R99">
        <v>-0.94039405899999995</v>
      </c>
      <c r="S99">
        <v>0.81374468799999999</v>
      </c>
      <c r="T99">
        <v>0.42017692600000001</v>
      </c>
    </row>
    <row r="100" spans="1:20" x14ac:dyDescent="0.35">
      <c r="A100" t="str">
        <f>Levels!A100</f>
        <v>1995Q3</v>
      </c>
      <c r="B100">
        <f>Normalized!B100</f>
        <v>9.3794051895162998</v>
      </c>
      <c r="C100">
        <f>Normalized!C100</f>
        <v>2114.8392484448186</v>
      </c>
      <c r="D100">
        <f>Normalized!D100</f>
        <v>113510.44233004763</v>
      </c>
      <c r="E100">
        <f>Levels!E100/Levels!$Q100</f>
        <v>0.18247477589873368</v>
      </c>
      <c r="F100">
        <f>Levels!F100/Levels!$Q100</f>
        <v>0.62545373054337206</v>
      </c>
      <c r="G100" s="6">
        <v>1.9</v>
      </c>
      <c r="H100" s="4">
        <v>3.2547977777777777</v>
      </c>
      <c r="I100" s="4">
        <v>4.5740070634920631</v>
      </c>
      <c r="J100">
        <v>2.7585374093149402</v>
      </c>
      <c r="K100">
        <v>-0.695021453013274</v>
      </c>
      <c r="L100">
        <v>1.0417000000000001</v>
      </c>
      <c r="M100">
        <v>-4.8557683874901896</v>
      </c>
      <c r="N100" s="6">
        <v>2.1191399999999998</v>
      </c>
      <c r="O100">
        <v>0.68797938321694696</v>
      </c>
      <c r="P100">
        <v>0.76428001301675397</v>
      </c>
      <c r="Q100">
        <v>2.6731068555800652</v>
      </c>
      <c r="R100">
        <v>-0.61824621800000001</v>
      </c>
      <c r="S100">
        <v>0.56677300200000003</v>
      </c>
      <c r="T100">
        <v>-0.123132644</v>
      </c>
    </row>
    <row r="101" spans="1:20" x14ac:dyDescent="0.35">
      <c r="A101" t="str">
        <f>Levels!A101</f>
        <v>1995Q4</v>
      </c>
      <c r="B101">
        <f>Normalized!B101</f>
        <v>9.5332786414190096</v>
      </c>
      <c r="C101">
        <f>Normalized!C101</f>
        <v>2151.0814543302913</v>
      </c>
      <c r="D101">
        <f>Normalized!D101</f>
        <v>111888.90635708495</v>
      </c>
      <c r="E101">
        <f>Levels!E101/Levels!$Q101</f>
        <v>0.18383764714795506</v>
      </c>
      <c r="F101">
        <f>Levels!F101/Levels!$Q101</f>
        <v>0.62500808833558041</v>
      </c>
      <c r="G101" s="6">
        <v>1.7</v>
      </c>
      <c r="H101" s="4">
        <v>3.2821003225806455</v>
      </c>
      <c r="I101" s="4">
        <v>4.1426207680491549</v>
      </c>
      <c r="J101">
        <v>2.7817375003006499</v>
      </c>
      <c r="K101">
        <v>-0.98930969831655413</v>
      </c>
      <c r="L101">
        <v>1.1644000000000001</v>
      </c>
      <c r="M101">
        <v>-4.94279939646841</v>
      </c>
      <c r="N101" s="6">
        <v>2.1129799999999999</v>
      </c>
      <c r="O101">
        <v>0.69894249709347001</v>
      </c>
      <c r="P101">
        <v>0.77265703189059798</v>
      </c>
      <c r="Q101">
        <v>2.1995799090684498</v>
      </c>
      <c r="R101">
        <v>-0.68322606699999999</v>
      </c>
      <c r="S101">
        <v>-2.1615687399999999</v>
      </c>
      <c r="T101">
        <v>-0.66684257199999997</v>
      </c>
    </row>
    <row r="102" spans="1:20" x14ac:dyDescent="0.35">
      <c r="A102" t="str">
        <f>Levels!A102</f>
        <v>1996Q1</v>
      </c>
      <c r="B102">
        <f>Normalized!B102</f>
        <v>9.6649940990161713</v>
      </c>
      <c r="C102">
        <f>Normalized!C102</f>
        <v>2171.0316988225322</v>
      </c>
      <c r="D102">
        <f>Normalized!D102</f>
        <v>111561.66136603641</v>
      </c>
      <c r="E102">
        <f>Levels!E102/Levels!$Q102</f>
        <v>0.18714503549945244</v>
      </c>
      <c r="F102">
        <f>Levels!F102/Levels!$Q102</f>
        <v>0.62624841693161604</v>
      </c>
      <c r="G102" s="6">
        <v>1.5</v>
      </c>
      <c r="H102" s="4">
        <v>3.0703312903225801</v>
      </c>
      <c r="I102" s="4">
        <v>4.1464048233486936</v>
      </c>
      <c r="J102">
        <v>2.80400750337424</v>
      </c>
      <c r="K102">
        <v>-1.1078371012136898</v>
      </c>
      <c r="L102">
        <v>1.1097999999999999</v>
      </c>
      <c r="M102">
        <v>-5.86750025091031</v>
      </c>
      <c r="N102" s="6">
        <v>1.97919</v>
      </c>
      <c r="O102">
        <v>0.72915376477014404</v>
      </c>
      <c r="P102">
        <v>0.77005236095817398</v>
      </c>
      <c r="Q102">
        <v>2.6011039926917334</v>
      </c>
      <c r="R102">
        <v>-0.182575141</v>
      </c>
      <c r="S102">
        <v>0.29310753899999997</v>
      </c>
      <c r="T102">
        <v>0.23161847999999999</v>
      </c>
    </row>
    <row r="103" spans="1:20" x14ac:dyDescent="0.35">
      <c r="A103" t="str">
        <f>Levels!A103</f>
        <v>1996Q2</v>
      </c>
      <c r="B103">
        <f>Normalized!B103</f>
        <v>9.8361888953059342</v>
      </c>
      <c r="C103">
        <f>Normalized!C103</f>
        <v>2130.33978835581</v>
      </c>
      <c r="D103">
        <f>Normalized!D103</f>
        <v>111102.46730972113</v>
      </c>
      <c r="E103">
        <f>Levels!E103/Levels!$Q103</f>
        <v>0.18905751699398568</v>
      </c>
      <c r="F103">
        <f>Levels!F103/Levels!$Q103</f>
        <v>0.62368599701951655</v>
      </c>
      <c r="G103" s="6">
        <v>2.6</v>
      </c>
      <c r="H103" s="4">
        <v>3.1796350000000002</v>
      </c>
      <c r="I103" s="4">
        <v>4.9350294047619041</v>
      </c>
      <c r="J103">
        <v>2.8163513521641299</v>
      </c>
      <c r="K103">
        <v>9.2694295382170194E-2</v>
      </c>
      <c r="L103">
        <v>0.99470000000000003</v>
      </c>
      <c r="M103">
        <v>-5.5611409981837001</v>
      </c>
      <c r="N103" s="6">
        <v>1.8598300000000001</v>
      </c>
      <c r="O103">
        <v>0.69743032793811799</v>
      </c>
      <c r="P103">
        <v>0.81908060130673299</v>
      </c>
      <c r="Q103">
        <v>4.0021270638061601</v>
      </c>
      <c r="R103">
        <v>0.67824847600000004</v>
      </c>
      <c r="S103">
        <v>2.426356438</v>
      </c>
      <c r="T103">
        <v>0.58195806100000003</v>
      </c>
    </row>
    <row r="104" spans="1:20" x14ac:dyDescent="0.35">
      <c r="A104" t="str">
        <f>Levels!A104</f>
        <v>1996Q3</v>
      </c>
      <c r="B104">
        <f>Normalized!B104</f>
        <v>9.9810404742767602</v>
      </c>
      <c r="C104">
        <f>Normalized!C104</f>
        <v>2129.0042221016984</v>
      </c>
      <c r="D104">
        <f>Normalized!D104</f>
        <v>111417.02590602406</v>
      </c>
      <c r="E104">
        <f>Levels!E104/Levels!$Q104</f>
        <v>0.19111738316191515</v>
      </c>
      <c r="F104">
        <f>Levels!F104/Levels!$Q104</f>
        <v>0.62164080133797017</v>
      </c>
      <c r="G104" s="6">
        <v>2.2000000000000002</v>
      </c>
      <c r="H104" s="4">
        <v>3.1893362500000002</v>
      </c>
      <c r="I104" s="4">
        <v>4.9848608333333333</v>
      </c>
      <c r="J104">
        <v>2.83217777750956</v>
      </c>
      <c r="K104">
        <v>-1.26706178095885</v>
      </c>
      <c r="L104">
        <v>0.97850000000000004</v>
      </c>
      <c r="M104">
        <v>-7.6345279796011898</v>
      </c>
      <c r="N104" s="6">
        <v>1.83849</v>
      </c>
      <c r="O104">
        <v>0.68023159148199297</v>
      </c>
      <c r="P104">
        <v>0.86368306415057094</v>
      </c>
      <c r="Q104">
        <v>4.0499213904989118</v>
      </c>
      <c r="R104">
        <v>-1.5721951789999999</v>
      </c>
      <c r="S104">
        <v>0.88378279900000001</v>
      </c>
      <c r="T104">
        <v>-0.57673947999999997</v>
      </c>
    </row>
    <row r="105" spans="1:20" x14ac:dyDescent="0.35">
      <c r="A105" t="str">
        <f>Levels!A105</f>
        <v>1996Q4</v>
      </c>
      <c r="B105">
        <f>Normalized!B105</f>
        <v>10.113895641316388</v>
      </c>
      <c r="C105">
        <f>Normalized!C105</f>
        <v>2106.5520278721683</v>
      </c>
      <c r="D105">
        <f>Normalized!D105</f>
        <v>110694.95093614137</v>
      </c>
      <c r="E105">
        <f>Levels!E105/Levels!$Q105</f>
        <v>0.19190902269833299</v>
      </c>
      <c r="F105">
        <f>Levels!F105/Levels!$Q105</f>
        <v>0.62152490416705453</v>
      </c>
      <c r="G105" s="6">
        <v>3.1</v>
      </c>
      <c r="H105" s="4">
        <v>3.0659583870967744</v>
      </c>
      <c r="I105" s="4">
        <v>4.5478806912442398</v>
      </c>
      <c r="J105">
        <v>2.8689089820595699</v>
      </c>
      <c r="K105">
        <v>0.10177466936170899</v>
      </c>
      <c r="L105">
        <v>1.0214000000000001</v>
      </c>
      <c r="M105">
        <v>-5.5548244312842403</v>
      </c>
      <c r="N105" s="6">
        <v>1.90707</v>
      </c>
      <c r="O105">
        <v>0.67828777582256505</v>
      </c>
      <c r="P105">
        <v>0.85718108566838302</v>
      </c>
      <c r="Q105">
        <v>4.4213144520817371</v>
      </c>
      <c r="R105">
        <v>3.3499938999999999E-2</v>
      </c>
      <c r="S105">
        <v>0.244489334</v>
      </c>
      <c r="T105">
        <v>8.8911902000000001E-2</v>
      </c>
    </row>
    <row r="106" spans="1:20" x14ac:dyDescent="0.35">
      <c r="A106" t="str">
        <f>Levels!A106</f>
        <v>1997Q1</v>
      </c>
      <c r="B106">
        <f>Normalized!B106</f>
        <v>10.240450775276013</v>
      </c>
      <c r="C106">
        <f>Normalized!C106</f>
        <v>2069.8977308222802</v>
      </c>
      <c r="D106">
        <f>Normalized!D106</f>
        <v>112310.59046737029</v>
      </c>
      <c r="E106">
        <f>Levels!E106/Levels!$Q106</f>
        <v>0.19289502478155349</v>
      </c>
      <c r="F106">
        <f>Levels!F106/Levels!$Q106</f>
        <v>0.62383199182097215</v>
      </c>
      <c r="G106" s="6">
        <v>3.8</v>
      </c>
      <c r="H106" s="4">
        <v>3.1076066666666664</v>
      </c>
      <c r="I106" s="4">
        <v>4.756294761904762</v>
      </c>
      <c r="J106">
        <v>2.8951271604977502</v>
      </c>
      <c r="K106">
        <v>-0.39576782939918104</v>
      </c>
      <c r="L106">
        <v>0.96860000000000002</v>
      </c>
      <c r="M106">
        <v>-6.1576300197673897</v>
      </c>
      <c r="N106" s="6">
        <v>1.9075899999999999</v>
      </c>
      <c r="O106">
        <v>0.67902340252583004</v>
      </c>
      <c r="P106">
        <v>0.88148382362704503</v>
      </c>
      <c r="Q106">
        <v>4.3141345411418452</v>
      </c>
      <c r="R106">
        <v>0.81111497499999996</v>
      </c>
      <c r="S106">
        <v>1.269755161</v>
      </c>
      <c r="T106">
        <v>0.82396036100000003</v>
      </c>
    </row>
    <row r="107" spans="1:20" x14ac:dyDescent="0.35">
      <c r="A107" t="str">
        <f>Levels!A107</f>
        <v>1997Q2</v>
      </c>
      <c r="B107">
        <f>Normalized!B107</f>
        <v>10.427545006979734</v>
      </c>
      <c r="C107">
        <f>Normalized!C107</f>
        <v>2067.2763373272664</v>
      </c>
      <c r="D107">
        <f>Normalized!D107</f>
        <v>112168.93119201416</v>
      </c>
      <c r="E107">
        <f>Levels!E107/Levels!$Q107</f>
        <v>0.19300377286827716</v>
      </c>
      <c r="F107">
        <f>Levels!F107/Levels!$Q107</f>
        <v>0.61500749501126406</v>
      </c>
      <c r="G107" s="6">
        <v>3.3</v>
      </c>
      <c r="H107" s="4">
        <v>3.3212262499999996</v>
      </c>
      <c r="I107" s="4">
        <v>4.8857598809523806</v>
      </c>
      <c r="J107">
        <v>2.92816780276753</v>
      </c>
      <c r="K107">
        <v>-1.9960008760335097</v>
      </c>
      <c r="L107">
        <v>0.93830000000000002</v>
      </c>
      <c r="M107">
        <v>-7.6878530161903198</v>
      </c>
      <c r="N107" s="6">
        <v>1.9540599999999999</v>
      </c>
      <c r="O107">
        <v>0.67688741265795604</v>
      </c>
      <c r="P107">
        <v>0.92709206636101205</v>
      </c>
      <c r="Q107">
        <v>4.3080749793484197</v>
      </c>
      <c r="R107">
        <v>-0.71080252700000002</v>
      </c>
      <c r="S107">
        <v>1.012517941</v>
      </c>
      <c r="T107">
        <v>0.25995473200000002</v>
      </c>
    </row>
    <row r="108" spans="1:20" x14ac:dyDescent="0.35">
      <c r="A108" t="str">
        <f>Levels!A108</f>
        <v>1997Q3</v>
      </c>
      <c r="B108">
        <f>Normalized!B108</f>
        <v>10.656452802495801</v>
      </c>
      <c r="C108">
        <f>Normalized!C108</f>
        <v>2088.5793895119928</v>
      </c>
      <c r="D108">
        <f>Normalized!D108</f>
        <v>110573.76674005894</v>
      </c>
      <c r="E108">
        <f>Levels!E108/Levels!$Q108</f>
        <v>0.19689163928038339</v>
      </c>
      <c r="F108">
        <f>Levels!F108/Levels!$Q108</f>
        <v>0.61638165891984997</v>
      </c>
      <c r="G108" s="6">
        <v>3.1</v>
      </c>
      <c r="H108" s="4">
        <v>3.5766324999999997</v>
      </c>
      <c r="I108" s="4">
        <v>4.4198310714285718</v>
      </c>
      <c r="J108">
        <v>2.9723981990622099</v>
      </c>
      <c r="K108">
        <v>-0.54810179107829593</v>
      </c>
      <c r="L108">
        <v>0.96599999999999997</v>
      </c>
      <c r="M108">
        <v>-7.1323659198095397</v>
      </c>
      <c r="N108" s="6">
        <v>1.7276800000000001</v>
      </c>
      <c r="O108">
        <v>0.68357888273382095</v>
      </c>
      <c r="P108">
        <v>0.94204045119232305</v>
      </c>
      <c r="Q108">
        <v>4.6738025753933155</v>
      </c>
      <c r="R108">
        <v>1.84372716</v>
      </c>
      <c r="S108">
        <v>1.749399237</v>
      </c>
      <c r="T108">
        <v>-0.196302535</v>
      </c>
    </row>
    <row r="109" spans="1:20" x14ac:dyDescent="0.35">
      <c r="A109" t="str">
        <f>Levels!A109</f>
        <v>1997Q4</v>
      </c>
      <c r="B109">
        <f>Normalized!B109</f>
        <v>10.846748669426589</v>
      </c>
      <c r="C109">
        <f>Normalized!C109</f>
        <v>2187.8711692771053</v>
      </c>
      <c r="D109">
        <f>Normalized!D109</f>
        <v>111389.8408413705</v>
      </c>
      <c r="E109">
        <f>Levels!E109/Levels!$Q109</f>
        <v>0.19632070094300624</v>
      </c>
      <c r="F109">
        <f>Levels!F109/Levels!$Q109</f>
        <v>0.61771789402335053</v>
      </c>
      <c r="G109" s="6">
        <v>2.4</v>
      </c>
      <c r="H109" s="4">
        <v>3.7166561290322582</v>
      </c>
      <c r="I109" s="4">
        <v>4.074006513056835</v>
      </c>
      <c r="J109">
        <v>2.9779853331789399</v>
      </c>
      <c r="K109">
        <v>0.40380592955530603</v>
      </c>
      <c r="L109">
        <v>1.1092</v>
      </c>
      <c r="M109">
        <v>-5.5437047717040402</v>
      </c>
      <c r="N109" s="6">
        <v>1.4724299999999999</v>
      </c>
      <c r="O109">
        <v>0.68409971180823403</v>
      </c>
      <c r="P109">
        <v>0.93585973545346302</v>
      </c>
      <c r="Q109">
        <v>4.4876844577145025</v>
      </c>
      <c r="R109">
        <v>0.93443026299999998</v>
      </c>
      <c r="S109">
        <v>8.6475317999999995E-2</v>
      </c>
      <c r="T109">
        <v>-0.91300994800000002</v>
      </c>
    </row>
    <row r="110" spans="1:20" x14ac:dyDescent="0.35">
      <c r="A110" t="str">
        <f>Levels!A110</f>
        <v>1998Q1</v>
      </c>
      <c r="B110">
        <f>Normalized!B110</f>
        <v>11.06283948433698</v>
      </c>
      <c r="C110">
        <f>Normalized!C110</f>
        <v>2195.2324536446199</v>
      </c>
      <c r="D110">
        <f>Normalized!D110</f>
        <v>115292.29512498144</v>
      </c>
      <c r="E110">
        <f>Levels!E110/Levels!$Q110</f>
        <v>0.19911948402162322</v>
      </c>
      <c r="F110">
        <f>Levels!F110/Levels!$Q110</f>
        <v>0.6155706159661114</v>
      </c>
      <c r="G110" s="6">
        <v>2.2000000000000002</v>
      </c>
      <c r="H110" s="4">
        <v>3.8945778688524584</v>
      </c>
      <c r="I110" s="4">
        <v>3.7425883684621386</v>
      </c>
      <c r="J110">
        <v>3.0087084762385601</v>
      </c>
      <c r="K110">
        <v>-1.2150571483299601</v>
      </c>
      <c r="L110">
        <v>1.1778</v>
      </c>
      <c r="M110">
        <v>-6.7309741625094404</v>
      </c>
      <c r="N110" s="6">
        <v>1.37286</v>
      </c>
      <c r="O110">
        <v>0.69303898080433102</v>
      </c>
      <c r="P110">
        <v>0.96110029965277199</v>
      </c>
      <c r="Q110">
        <v>4.8550058826576814</v>
      </c>
      <c r="R110">
        <v>-0.67978734100000004</v>
      </c>
      <c r="S110">
        <v>0.74531894600000004</v>
      </c>
      <c r="T110">
        <v>1.309357678</v>
      </c>
    </row>
    <row r="111" spans="1:20" x14ac:dyDescent="0.35">
      <c r="A111" t="str">
        <f>Levels!A111</f>
        <v>1998Q2</v>
      </c>
      <c r="B111">
        <f>Normalized!B111</f>
        <v>11.377004893724319</v>
      </c>
      <c r="C111">
        <f>Normalized!C111</f>
        <v>2121.6310854534304</v>
      </c>
      <c r="D111">
        <f>Normalized!D111</f>
        <v>113291.50467876952</v>
      </c>
      <c r="E111">
        <f>Levels!E111/Levels!$Q111</f>
        <v>0.20379745013428185</v>
      </c>
      <c r="F111">
        <f>Levels!F111/Levels!$Q111</f>
        <v>0.61965511731167611</v>
      </c>
      <c r="G111" s="6">
        <v>2.2000000000000002</v>
      </c>
      <c r="H111" s="4">
        <v>3.6951969841269845</v>
      </c>
      <c r="I111" s="4">
        <v>3.7256696825396824</v>
      </c>
      <c r="J111">
        <v>3.0496888802847</v>
      </c>
      <c r="K111">
        <v>0.48558947074894598</v>
      </c>
      <c r="L111">
        <v>1.0786</v>
      </c>
      <c r="M111">
        <v>-5.2840407608830002</v>
      </c>
      <c r="N111" s="6">
        <v>1.1557500000000001</v>
      </c>
      <c r="O111">
        <v>0.71465048729345704</v>
      </c>
      <c r="P111">
        <v>1.03203041496791</v>
      </c>
      <c r="Q111">
        <v>4.0957268412006753</v>
      </c>
      <c r="R111">
        <v>1.0817925070000001</v>
      </c>
      <c r="S111">
        <v>0.14281203100000001</v>
      </c>
      <c r="T111">
        <v>3.5973865190000001</v>
      </c>
    </row>
    <row r="112" spans="1:20" x14ac:dyDescent="0.35">
      <c r="A112" t="str">
        <f>Levels!A112</f>
        <v>1998Q3</v>
      </c>
      <c r="B112">
        <f>Normalized!B112</f>
        <v>11.604657598862234</v>
      </c>
      <c r="C112">
        <f>Normalized!C112</f>
        <v>2145.5659066258404</v>
      </c>
      <c r="D112">
        <f>Normalized!D112</f>
        <v>116396.64209290939</v>
      </c>
      <c r="E112">
        <f>Levels!E112/Levels!$Q112</f>
        <v>0.20565788241544411</v>
      </c>
      <c r="F112">
        <f>Levels!F112/Levels!$Q112</f>
        <v>0.62009119740816521</v>
      </c>
      <c r="G112" s="6">
        <v>1.8</v>
      </c>
      <c r="H112" s="4">
        <v>3.5461999999999998</v>
      </c>
      <c r="I112" s="4">
        <v>3.3344963690476188</v>
      </c>
      <c r="J112">
        <v>3.0180016484293399</v>
      </c>
      <c r="K112">
        <v>1.06172892693266</v>
      </c>
      <c r="L112">
        <v>1.66</v>
      </c>
      <c r="M112">
        <v>-2.4144837551850702</v>
      </c>
      <c r="N112" s="6">
        <v>1.2789299999999999</v>
      </c>
      <c r="O112">
        <v>0.753603045665863</v>
      </c>
      <c r="P112">
        <v>1.1748019903873499</v>
      </c>
      <c r="Q112">
        <v>4.0977686226798093</v>
      </c>
      <c r="R112">
        <v>0.84226563799999998</v>
      </c>
      <c r="S112">
        <v>2.2284684600000002</v>
      </c>
      <c r="T112">
        <v>-0.31576303100000003</v>
      </c>
    </row>
    <row r="113" spans="1:20" x14ac:dyDescent="0.35">
      <c r="A113" t="str">
        <f>Levels!A113</f>
        <v>1998Q4</v>
      </c>
      <c r="B113">
        <f>Normalized!B113</f>
        <v>11.886999126832309</v>
      </c>
      <c r="C113">
        <f>Normalized!C113</f>
        <v>2168.1673834600574</v>
      </c>
      <c r="D113">
        <f>Normalized!D113</f>
        <v>119070.68039401219</v>
      </c>
      <c r="E113">
        <f>Levels!E113/Levels!$Q113</f>
        <v>0.20637375163047411</v>
      </c>
      <c r="F113">
        <f>Levels!F113/Levels!$Q113</f>
        <v>0.61868728010546126</v>
      </c>
      <c r="G113" s="6">
        <v>2.5</v>
      </c>
      <c r="H113" s="4">
        <v>3.0158719354838714</v>
      </c>
      <c r="I113" s="4">
        <v>2.7992569124423965</v>
      </c>
      <c r="J113">
        <v>3.0670772212605399</v>
      </c>
      <c r="K113">
        <v>-0.98115749933091501</v>
      </c>
      <c r="L113">
        <v>1.8667</v>
      </c>
      <c r="M113">
        <v>-4.3794152163767004</v>
      </c>
      <c r="N113" s="6">
        <v>1.2800499999999999</v>
      </c>
      <c r="O113">
        <v>0.73678652367957098</v>
      </c>
      <c r="P113">
        <v>1.08043663605827</v>
      </c>
      <c r="Q113">
        <v>4.8795407755980236</v>
      </c>
      <c r="R113">
        <v>0.87811569599999995</v>
      </c>
      <c r="S113">
        <v>0.71480065999999998</v>
      </c>
      <c r="T113">
        <v>-1.1551457650000001</v>
      </c>
    </row>
    <row r="114" spans="1:20" x14ac:dyDescent="0.35">
      <c r="A114" t="str">
        <f>Levels!A114</f>
        <v>1999Q1</v>
      </c>
      <c r="B114">
        <f>Normalized!B114</f>
        <v>12.156519272541349</v>
      </c>
      <c r="C114">
        <f>Normalized!C114</f>
        <v>2201.9907208437548</v>
      </c>
      <c r="D114">
        <f>Normalized!D114</f>
        <v>118436.04339003065</v>
      </c>
      <c r="E114">
        <f>Levels!E114/Levels!$Q114</f>
        <v>0.20801757955867067</v>
      </c>
      <c r="F114">
        <f>Levels!F114/Levels!$Q114</f>
        <v>0.61842689306460619</v>
      </c>
      <c r="G114" s="6">
        <v>1.8</v>
      </c>
      <c r="H114" s="4">
        <v>3.1292731147540982</v>
      </c>
      <c r="I114" s="4">
        <v>3.1490108626073376</v>
      </c>
      <c r="J114">
        <v>3.09999181402832</v>
      </c>
      <c r="K114">
        <v>-0.29277209313444896</v>
      </c>
      <c r="L114">
        <v>1.5718000000000001</v>
      </c>
      <c r="M114">
        <v>-4.3830184095916698</v>
      </c>
      <c r="N114" s="6">
        <v>1.2368699999999999</v>
      </c>
      <c r="O114">
        <v>0.73069147271632195</v>
      </c>
      <c r="P114">
        <v>1.0419974291340499</v>
      </c>
      <c r="Q114">
        <v>4.8218579316202215</v>
      </c>
      <c r="R114">
        <v>0.45142172400000002</v>
      </c>
      <c r="S114">
        <v>0.69246747099999995</v>
      </c>
      <c r="T114">
        <v>0.26738702600000003</v>
      </c>
    </row>
    <row r="115" spans="1:20" x14ac:dyDescent="0.35">
      <c r="A115" t="str">
        <f>Levels!A115</f>
        <v>1999Q2</v>
      </c>
      <c r="B115">
        <f>Normalized!B115</f>
        <v>12.430434804045726</v>
      </c>
      <c r="C115">
        <f>Normalized!C115</f>
        <v>2145.5710872628829</v>
      </c>
      <c r="D115">
        <f>Normalized!D115</f>
        <v>117872.50484822341</v>
      </c>
      <c r="E115">
        <f>Levels!E115/Levels!$Q115</f>
        <v>0.21070441366463361</v>
      </c>
      <c r="F115">
        <f>Levels!F115/Levels!$Q115</f>
        <v>0.6243007265253826</v>
      </c>
      <c r="G115" s="6">
        <v>1.8</v>
      </c>
      <c r="H115" s="4">
        <v>3.1592862500000001</v>
      </c>
      <c r="I115" s="4">
        <v>3.7030092857142853</v>
      </c>
      <c r="J115">
        <v>3.1278832161049999</v>
      </c>
      <c r="K115">
        <v>-0.44596148388328105</v>
      </c>
      <c r="L115">
        <v>1.5101</v>
      </c>
      <c r="M115">
        <v>-4.4350288261576898</v>
      </c>
      <c r="N115" s="6">
        <v>1.2779400000000001</v>
      </c>
      <c r="O115">
        <v>0.73153113668723702</v>
      </c>
      <c r="P115">
        <v>1.0294312512034101</v>
      </c>
      <c r="Q115">
        <v>4.7275315134735374</v>
      </c>
      <c r="R115">
        <v>-0.17896611300000001</v>
      </c>
      <c r="S115">
        <v>0.58594268999999999</v>
      </c>
      <c r="T115">
        <v>0.299838041</v>
      </c>
    </row>
    <row r="116" spans="1:20" x14ac:dyDescent="0.35">
      <c r="A116" t="str">
        <f>Levels!A116</f>
        <v>1999Q3</v>
      </c>
      <c r="B116">
        <f>Normalized!B116</f>
        <v>12.781160500019208</v>
      </c>
      <c r="C116">
        <f>Normalized!C116</f>
        <v>2143.3245981516393</v>
      </c>
      <c r="D116">
        <f>Normalized!D116</f>
        <v>118563.18721515154</v>
      </c>
      <c r="E116">
        <f>Levels!E116/Levels!$Q116</f>
        <v>0.21262120585865416</v>
      </c>
      <c r="F116">
        <f>Levels!F116/Levels!$Q116</f>
        <v>0.6245075116458686</v>
      </c>
      <c r="G116" s="6">
        <v>2.2999999999999998</v>
      </c>
      <c r="H116" s="4">
        <v>3.2060249999999995</v>
      </c>
      <c r="I116" s="4">
        <v>4.0424285119047614</v>
      </c>
      <c r="J116">
        <v>3.1189831248750202</v>
      </c>
      <c r="K116">
        <v>0.48723020607464801</v>
      </c>
      <c r="L116">
        <v>1.8267</v>
      </c>
      <c r="M116">
        <v>-4.7714824432477103</v>
      </c>
      <c r="N116" s="6">
        <v>1.29087</v>
      </c>
      <c r="O116">
        <v>0.72390308310265405</v>
      </c>
      <c r="P116">
        <v>1.02997947426856</v>
      </c>
      <c r="Q116">
        <v>4.8002052368625314</v>
      </c>
      <c r="R116">
        <v>0.23116740399999999</v>
      </c>
      <c r="S116">
        <v>0.21295291299999999</v>
      </c>
      <c r="T116">
        <v>1.304659886</v>
      </c>
    </row>
    <row r="117" spans="1:20" x14ac:dyDescent="0.35">
      <c r="A117" t="str">
        <f>Levels!A117</f>
        <v>1999Q4</v>
      </c>
      <c r="B117">
        <f>Normalized!B117</f>
        <v>13.061683743243355</v>
      </c>
      <c r="C117">
        <f>Normalized!C117</f>
        <v>2146.0122941250424</v>
      </c>
      <c r="D117">
        <f>Normalized!D117</f>
        <v>113508.15822438501</v>
      </c>
      <c r="E117">
        <f>Levels!E117/Levels!$Q117</f>
        <v>0.21113987195033998</v>
      </c>
      <c r="F117">
        <f>Levels!F117/Levels!$Q117</f>
        <v>0.62516906169387654</v>
      </c>
      <c r="G117" s="6">
        <v>1.5</v>
      </c>
      <c r="H117" s="4">
        <v>3.3272906451612903</v>
      </c>
      <c r="I117" s="4">
        <v>4.2940325192012283</v>
      </c>
      <c r="J117">
        <v>3.1491310475521201</v>
      </c>
      <c r="K117">
        <v>-0.19002459214196302</v>
      </c>
      <c r="L117">
        <v>1.8011999999999999</v>
      </c>
      <c r="M117">
        <v>-5.5666821687849399</v>
      </c>
      <c r="N117" s="6">
        <v>1.4446000000000001</v>
      </c>
      <c r="O117">
        <v>0.74369561191321698</v>
      </c>
      <c r="P117">
        <v>1.0917925473127501</v>
      </c>
      <c r="Q117">
        <v>4.8276266503301413</v>
      </c>
      <c r="R117">
        <v>3.942778192</v>
      </c>
      <c r="S117">
        <v>1.2169547169999999</v>
      </c>
      <c r="T117">
        <v>1.5440293949999999</v>
      </c>
    </row>
    <row r="118" spans="1:20" x14ac:dyDescent="0.35">
      <c r="A118" t="str">
        <f>Levels!A118</f>
        <v>2000Q1</v>
      </c>
      <c r="B118">
        <f>Normalized!B118</f>
        <v>13.369367446057444</v>
      </c>
      <c r="C118">
        <f>Normalized!C118</f>
        <v>2172.4007649394016</v>
      </c>
      <c r="D118">
        <f>Normalized!D118</f>
        <v>118022.47589860646</v>
      </c>
      <c r="E118">
        <f>Levels!E118/Levels!$Q118</f>
        <v>0.2155798742846293</v>
      </c>
      <c r="F118">
        <f>Levels!F118/Levels!$Q118</f>
        <v>0.63516846219187351</v>
      </c>
      <c r="G118" s="6">
        <v>2.1</v>
      </c>
      <c r="H118" s="4">
        <v>3.8063801587301582</v>
      </c>
      <c r="I118" s="4">
        <v>4.6139500793650789</v>
      </c>
      <c r="J118">
        <v>3.1518949133185199</v>
      </c>
      <c r="K118">
        <v>-6.6609881835988399E-2</v>
      </c>
      <c r="L118">
        <v>2.0045000000000002</v>
      </c>
      <c r="M118">
        <v>-5.7709986893198</v>
      </c>
      <c r="N118" s="6">
        <v>1.7202900000000001</v>
      </c>
      <c r="O118">
        <v>0.77679079680589003</v>
      </c>
      <c r="P118">
        <v>1.17992609736069</v>
      </c>
      <c r="Q118">
        <v>4.2259558586899226</v>
      </c>
      <c r="R118">
        <v>1.274594416</v>
      </c>
      <c r="S118">
        <v>0.765293942</v>
      </c>
      <c r="T118">
        <v>1.035957936</v>
      </c>
    </row>
    <row r="119" spans="1:20" x14ac:dyDescent="0.35">
      <c r="A119" t="str">
        <f>Levels!A119</f>
        <v>2000Q2</v>
      </c>
      <c r="B119">
        <f>Normalized!B119</f>
        <v>13.689738048121381</v>
      </c>
      <c r="C119">
        <f>Normalized!C119</f>
        <v>2119.1888610041374</v>
      </c>
      <c r="D119">
        <f>Normalized!D119</f>
        <v>116742.15650471763</v>
      </c>
      <c r="E119">
        <f>Levels!E119/Levels!$Q119</f>
        <v>0.21504570468999146</v>
      </c>
      <c r="F119">
        <f>Levels!F119/Levels!$Q119</f>
        <v>0.6299309882668036</v>
      </c>
      <c r="G119" s="6">
        <v>1.8</v>
      </c>
      <c r="H119" s="4">
        <v>3.8769844444444441</v>
      </c>
      <c r="I119" s="4">
        <v>4.3382011111111112</v>
      </c>
      <c r="J119">
        <v>3.1624296674157102</v>
      </c>
      <c r="K119">
        <v>1.19348766843858E-2</v>
      </c>
      <c r="L119">
        <v>2.5911</v>
      </c>
      <c r="M119">
        <v>-5.2285491918828804</v>
      </c>
      <c r="N119" s="6">
        <v>1.72235</v>
      </c>
      <c r="O119">
        <v>0.80708605189545102</v>
      </c>
      <c r="P119">
        <v>1.1582561177345001</v>
      </c>
      <c r="Q119">
        <v>5.2446827688533038</v>
      </c>
      <c r="R119">
        <v>2.296517675</v>
      </c>
      <c r="S119">
        <v>-5.0407955999999997E-2</v>
      </c>
      <c r="T119">
        <v>-1.5727623930000001</v>
      </c>
    </row>
    <row r="120" spans="1:20" x14ac:dyDescent="0.35">
      <c r="A120" t="str">
        <f>Levels!A120</f>
        <v>2000Q3</v>
      </c>
      <c r="B120">
        <f>Normalized!B120</f>
        <v>13.956304276002614</v>
      </c>
      <c r="C120">
        <f>Normalized!C120</f>
        <v>2172.5747924571224</v>
      </c>
      <c r="D120">
        <f>Normalized!D120</f>
        <v>121407.95195209635</v>
      </c>
      <c r="E120">
        <f>Levels!E120/Levels!$Q120</f>
        <v>0.21544604816939461</v>
      </c>
      <c r="F120">
        <f>Levels!F120/Levels!$Q120</f>
        <v>0.63669383849693373</v>
      </c>
      <c r="G120" s="6">
        <v>1.1000000000000001</v>
      </c>
      <c r="H120" s="4">
        <v>4.1557850793650797</v>
      </c>
      <c r="I120" s="4">
        <v>4.0582888888888888</v>
      </c>
      <c r="J120">
        <v>3.1605534496893499</v>
      </c>
      <c r="K120">
        <v>0.14769220825420901</v>
      </c>
      <c r="L120">
        <v>2.9022000000000001</v>
      </c>
      <c r="M120">
        <v>-4.0075689621591701</v>
      </c>
      <c r="N120" s="6">
        <v>1.8374600000000001</v>
      </c>
      <c r="O120">
        <v>0.80365560919717705</v>
      </c>
      <c r="P120">
        <v>1.1189115424945799</v>
      </c>
      <c r="Q120">
        <v>3.9740844955791221</v>
      </c>
      <c r="R120">
        <v>-3.1877009999999998E-3</v>
      </c>
      <c r="S120">
        <v>0.39305536299999999</v>
      </c>
      <c r="T120">
        <v>-5.6197249999999997E-2</v>
      </c>
    </row>
    <row r="121" spans="1:20" x14ac:dyDescent="0.35">
      <c r="A121" t="str">
        <f>Levels!A121</f>
        <v>2000Q4</v>
      </c>
      <c r="B121">
        <f>Normalized!B121</f>
        <v>14.191864850921126</v>
      </c>
      <c r="C121">
        <f>Normalized!C121</f>
        <v>2141.8390110871605</v>
      </c>
      <c r="D121">
        <f>Normalized!D121</f>
        <v>126610.53340463509</v>
      </c>
      <c r="E121">
        <f>Levels!E121/Levels!$Q121</f>
        <v>0.2152636995984844</v>
      </c>
      <c r="F121">
        <f>Levels!F121/Levels!$Q121</f>
        <v>0.63914964115249218</v>
      </c>
      <c r="G121" s="6">
        <v>0.4</v>
      </c>
      <c r="H121" s="4">
        <v>4.0286787096774193</v>
      </c>
      <c r="I121" s="4">
        <v>3.7546492089093699</v>
      </c>
      <c r="J121">
        <v>3.1317085191739</v>
      </c>
      <c r="K121">
        <v>1.14393365765876</v>
      </c>
      <c r="L121">
        <v>3.6057000000000001</v>
      </c>
      <c r="M121">
        <v>-2.2990781585026498</v>
      </c>
      <c r="N121" s="6">
        <v>1.86358</v>
      </c>
      <c r="O121">
        <v>0.81177684026520802</v>
      </c>
      <c r="P121">
        <v>1.1297077170621901</v>
      </c>
      <c r="Q121">
        <v>2.9016204721172612</v>
      </c>
      <c r="R121">
        <v>0.384376838</v>
      </c>
      <c r="S121">
        <v>-0.84351804699999999</v>
      </c>
      <c r="T121">
        <v>2.0419839849999999</v>
      </c>
    </row>
    <row r="122" spans="1:20" x14ac:dyDescent="0.35">
      <c r="A122" t="str">
        <f>Levels!A122</f>
        <v>2001Q1</v>
      </c>
      <c r="B122">
        <f>Normalized!B122</f>
        <v>14.296533903282803</v>
      </c>
      <c r="C122">
        <f>Normalized!C122</f>
        <v>2221.6263595075657</v>
      </c>
      <c r="D122">
        <f>Normalized!D122</f>
        <v>131124.73075752403</v>
      </c>
      <c r="E122">
        <f>Levels!E122/Levels!$Q122</f>
        <v>0.21542075265837679</v>
      </c>
      <c r="F122">
        <f>Levels!F122/Levels!$Q122</f>
        <v>0.64533077307648834</v>
      </c>
      <c r="G122" s="6">
        <v>-0.1</v>
      </c>
      <c r="H122" s="4">
        <v>2.788570967741935</v>
      </c>
      <c r="I122" s="4">
        <v>3.2368166436251915</v>
      </c>
      <c r="J122">
        <v>3.1051919859153001</v>
      </c>
      <c r="K122">
        <v>0.93394123931784101</v>
      </c>
      <c r="L122">
        <v>3.2012999999999998</v>
      </c>
      <c r="M122">
        <v>-1.7067083705311401</v>
      </c>
      <c r="N122" s="6">
        <v>1.99116</v>
      </c>
      <c r="O122">
        <v>0.82552284662965003</v>
      </c>
      <c r="P122">
        <v>1.1149339094103901</v>
      </c>
      <c r="Q122">
        <v>2.195542846787979</v>
      </c>
      <c r="R122">
        <v>-2.1607316079999999</v>
      </c>
      <c r="S122">
        <v>7.2060083999999996E-2</v>
      </c>
      <c r="T122">
        <v>-0.25804039400000001</v>
      </c>
    </row>
    <row r="123" spans="1:20" x14ac:dyDescent="0.35">
      <c r="A123" t="str">
        <f>Levels!A123</f>
        <v>2001Q2</v>
      </c>
      <c r="B123">
        <f>Normalized!B123</f>
        <v>14.623472685271157</v>
      </c>
      <c r="C123">
        <f>Normalized!C123</f>
        <v>2179.0364977092322</v>
      </c>
      <c r="D123">
        <f>Normalized!D123</f>
        <v>137149.16176026757</v>
      </c>
      <c r="E123">
        <f>Levels!E123/Levels!$Q123</f>
        <v>0.21354355791580942</v>
      </c>
      <c r="F123">
        <f>Levels!F123/Levels!$Q123</f>
        <v>0.64245042535272745</v>
      </c>
      <c r="G123" s="6">
        <v>-1.4</v>
      </c>
      <c r="H123" s="4">
        <v>1.8618168253968252</v>
      </c>
      <c r="I123" s="4">
        <v>3.4731723809523807</v>
      </c>
      <c r="J123">
        <v>3.0882943034477699</v>
      </c>
      <c r="K123">
        <v>-0.25176917624943101</v>
      </c>
      <c r="L123">
        <v>3.0325000000000002</v>
      </c>
      <c r="M123">
        <v>-2.23759575518452</v>
      </c>
      <c r="N123" s="6">
        <v>2.0203000000000002</v>
      </c>
      <c r="O123">
        <v>0.82222675497965303</v>
      </c>
      <c r="P123">
        <v>1.07838695071625</v>
      </c>
      <c r="Q123">
        <v>0.99193295688801975</v>
      </c>
      <c r="R123">
        <v>-0.58658512500000004</v>
      </c>
      <c r="S123">
        <v>-1.461465566</v>
      </c>
      <c r="T123">
        <v>1.284683751</v>
      </c>
    </row>
    <row r="124" spans="1:20" x14ac:dyDescent="0.35">
      <c r="A124" t="str">
        <f>Levels!A124</f>
        <v>2001Q3</v>
      </c>
      <c r="B124">
        <f>Normalized!B124</f>
        <v>14.929839970102073</v>
      </c>
      <c r="C124">
        <f>Normalized!C124</f>
        <v>2233.5324117271175</v>
      </c>
      <c r="D124">
        <f>Normalized!D124</f>
        <v>143524.33726287063</v>
      </c>
      <c r="E124">
        <f>Levels!E124/Levels!$Q124</f>
        <v>0.21171414074517014</v>
      </c>
      <c r="F124">
        <f>Levels!F124/Levels!$Q124</f>
        <v>0.64435216345078528</v>
      </c>
      <c r="G124" s="6">
        <v>-2.6</v>
      </c>
      <c r="H124" s="4">
        <v>1.4319932786885246</v>
      </c>
      <c r="I124" s="4">
        <v>3.1967869906323187</v>
      </c>
      <c r="J124">
        <v>3.04078219321234</v>
      </c>
      <c r="K124">
        <v>1.35959811334765</v>
      </c>
      <c r="L124">
        <v>3.0024000000000002</v>
      </c>
      <c r="M124">
        <v>-0.30090689046350699</v>
      </c>
      <c r="N124" s="6">
        <v>1.79358</v>
      </c>
      <c r="O124">
        <v>0.85835991654792798</v>
      </c>
      <c r="P124">
        <v>1.1224323321798699</v>
      </c>
      <c r="Q124">
        <v>0.48735236716932473</v>
      </c>
      <c r="R124">
        <v>3.0713691089999999</v>
      </c>
      <c r="S124">
        <v>-3.2060923080000001</v>
      </c>
      <c r="T124">
        <v>3.3289678540000001</v>
      </c>
    </row>
    <row r="125" spans="1:20" x14ac:dyDescent="0.35">
      <c r="A125" t="str">
        <f>Levels!A125</f>
        <v>2001Q4</v>
      </c>
      <c r="B125">
        <f>Normalized!B125</f>
        <v>15.107777955064376</v>
      </c>
      <c r="C125">
        <f>Normalized!C125</f>
        <v>2256.9286254571903</v>
      </c>
      <c r="D125">
        <f>Normalized!D125</f>
        <v>145539.20717876055</v>
      </c>
      <c r="E125">
        <f>Levels!E125/Levels!$Q125</f>
        <v>0.20891169442917856</v>
      </c>
      <c r="F125">
        <f>Levels!F125/Levels!$Q125</f>
        <v>0.65028461417631289</v>
      </c>
      <c r="G125" s="6">
        <v>-3.3</v>
      </c>
      <c r="H125" s="4">
        <v>0.4807835483870968</v>
      </c>
      <c r="I125" s="4">
        <v>2.9572027265745007</v>
      </c>
      <c r="J125">
        <v>3.0558671875640702</v>
      </c>
      <c r="K125">
        <v>-0.28300891728072497</v>
      </c>
      <c r="L125">
        <v>3.004</v>
      </c>
      <c r="M125">
        <v>-2.4777325316718199</v>
      </c>
      <c r="N125" s="6">
        <v>1.7798099999999999</v>
      </c>
      <c r="O125">
        <v>0.86189693188836103</v>
      </c>
      <c r="P125">
        <v>1.0964113971680101</v>
      </c>
      <c r="Q125">
        <v>0.17064223642293541</v>
      </c>
      <c r="R125">
        <v>-3.6373318979999998</v>
      </c>
      <c r="S125">
        <v>3.687135364</v>
      </c>
      <c r="T125">
        <v>-2.5450284939999999</v>
      </c>
    </row>
    <row r="126" spans="1:20" x14ac:dyDescent="0.35">
      <c r="A126" t="str">
        <f>Levels!A126</f>
        <v>2002Q1</v>
      </c>
      <c r="B126">
        <f>Normalized!B126</f>
        <v>15.293558363458112</v>
      </c>
      <c r="C126">
        <f>Normalized!C126</f>
        <v>2289.559560279954</v>
      </c>
      <c r="D126">
        <f>Normalized!D126</f>
        <v>153617.0836762106</v>
      </c>
      <c r="E126">
        <f>Levels!E126/Levels!$Q126</f>
        <v>0.20654069344250914</v>
      </c>
      <c r="F126">
        <f>Levels!F126/Levels!$Q126</f>
        <v>0.64480484089256396</v>
      </c>
      <c r="G126" s="6">
        <v>-4.0999999999999996</v>
      </c>
      <c r="H126" s="4">
        <v>0.11261666666666681</v>
      </c>
      <c r="I126" s="4">
        <v>3.2721304761904761</v>
      </c>
      <c r="J126">
        <v>3.0535895818685099</v>
      </c>
      <c r="K126">
        <v>-0.12175065955721801</v>
      </c>
      <c r="L126">
        <v>2.7704</v>
      </c>
      <c r="M126">
        <v>-2.3597356923307098</v>
      </c>
      <c r="N126" s="6">
        <v>1.4334100000000001</v>
      </c>
      <c r="O126">
        <v>0.78965800230669303</v>
      </c>
      <c r="P126">
        <v>1.0547395086340301</v>
      </c>
      <c r="Q126">
        <v>1.3288120484284516</v>
      </c>
      <c r="R126">
        <v>1.05467876</v>
      </c>
      <c r="S126">
        <v>2.4963258320000001</v>
      </c>
      <c r="T126">
        <v>1.0367595970000001</v>
      </c>
    </row>
    <row r="127" spans="1:20" x14ac:dyDescent="0.35">
      <c r="A127" t="str">
        <f>Levels!A127</f>
        <v>2002Q2</v>
      </c>
      <c r="B127">
        <f>Normalized!B127</f>
        <v>15.504692550510297</v>
      </c>
      <c r="C127">
        <f>Normalized!C127</f>
        <v>2318.9780993739309</v>
      </c>
      <c r="D127">
        <f>Normalized!D127</f>
        <v>161033.67257049403</v>
      </c>
      <c r="E127">
        <f>Levels!E127/Levels!$Q127</f>
        <v>0.20531460325007367</v>
      </c>
      <c r="F127">
        <f>Levels!F127/Levels!$Q127</f>
        <v>0.64655517319987199</v>
      </c>
      <c r="G127" s="6">
        <v>-2.9</v>
      </c>
      <c r="H127" s="4">
        <v>-0.17170375000000004</v>
      </c>
      <c r="I127" s="4">
        <v>3.2926985119047623</v>
      </c>
      <c r="J127">
        <v>3.0103043604659798</v>
      </c>
      <c r="K127">
        <v>1.5926103807065801</v>
      </c>
      <c r="L127">
        <v>2.7751999999999999</v>
      </c>
      <c r="M127">
        <v>2.1509914564549201E-2</v>
      </c>
      <c r="N127" s="6">
        <v>1.60805</v>
      </c>
      <c r="O127">
        <v>0.74245972311669095</v>
      </c>
      <c r="P127">
        <v>1.0932867722980699</v>
      </c>
      <c r="Q127">
        <v>1.3228839022436212</v>
      </c>
      <c r="R127">
        <v>0.57346645100000004</v>
      </c>
      <c r="S127">
        <v>2.3302913159999998</v>
      </c>
      <c r="T127">
        <v>2.6364372220000001</v>
      </c>
    </row>
    <row r="128" spans="1:20" x14ac:dyDescent="0.35">
      <c r="A128" t="str">
        <f>Levels!A128</f>
        <v>2002Q3</v>
      </c>
      <c r="B128">
        <f>Normalized!B128</f>
        <v>15.74049339228176</v>
      </c>
      <c r="C128">
        <f>Normalized!C128</f>
        <v>2380.4362436008541</v>
      </c>
      <c r="D128">
        <f>Normalized!D128</f>
        <v>172481.36726079969</v>
      </c>
      <c r="E128">
        <f>Levels!E128/Levels!$Q128</f>
        <v>0.20488878703782462</v>
      </c>
      <c r="F128">
        <f>Levels!F128/Levels!$Q128</f>
        <v>0.6492038483301249</v>
      </c>
      <c r="G128" s="6">
        <v>-2.1</v>
      </c>
      <c r="H128" s="4">
        <v>-0.11402500000000004</v>
      </c>
      <c r="I128" s="4">
        <v>2.4546827976190482</v>
      </c>
      <c r="J128">
        <v>2.9434864844978299</v>
      </c>
      <c r="K128">
        <v>0.48468035233635298</v>
      </c>
      <c r="L128">
        <v>3.8780000000000001</v>
      </c>
      <c r="M128">
        <v>-0.106789941573841</v>
      </c>
      <c r="N128" s="6">
        <v>1.88561</v>
      </c>
      <c r="O128">
        <v>0.73463521054403902</v>
      </c>
      <c r="P128">
        <v>1.1462534981222099</v>
      </c>
      <c r="Q128">
        <v>2.1406699897993153</v>
      </c>
      <c r="R128">
        <v>-1.6894145270000001</v>
      </c>
      <c r="S128">
        <v>0.71755078000000005</v>
      </c>
      <c r="T128">
        <v>0.83100891499999996</v>
      </c>
    </row>
    <row r="129" spans="1:20" x14ac:dyDescent="0.35">
      <c r="A129" t="str">
        <f>Levels!A129</f>
        <v>2002Q4</v>
      </c>
      <c r="B129">
        <f>Normalized!B129</f>
        <v>16.036520970522606</v>
      </c>
      <c r="C129">
        <f>Normalized!C129</f>
        <v>2469.716296491747</v>
      </c>
      <c r="D129">
        <f>Normalized!D129</f>
        <v>177687.6334184015</v>
      </c>
      <c r="E129">
        <f>Levels!E129/Levels!$Q129</f>
        <v>0.20451375745133316</v>
      </c>
      <c r="F129">
        <f>Levels!F129/Levels!$Q129</f>
        <v>0.65193028831442668</v>
      </c>
      <c r="G129" s="6">
        <v>-0.8</v>
      </c>
      <c r="H129" s="4">
        <v>-0.41602935483870973</v>
      </c>
      <c r="I129" s="4">
        <v>2.1950470430107529</v>
      </c>
      <c r="J129">
        <v>2.9564273111555401</v>
      </c>
      <c r="K129">
        <v>-0.96689472851158609</v>
      </c>
      <c r="L129">
        <v>3.7660999999999998</v>
      </c>
      <c r="M129">
        <v>-2.1807709037374101</v>
      </c>
      <c r="N129" s="6">
        <v>1.75715</v>
      </c>
      <c r="O129">
        <v>0.74521475476933097</v>
      </c>
      <c r="P129">
        <v>1.0734394833726499</v>
      </c>
      <c r="Q129">
        <v>1.9912861846485663</v>
      </c>
      <c r="R129">
        <v>-0.27951799399999999</v>
      </c>
      <c r="S129">
        <v>-1.6395007619999999</v>
      </c>
      <c r="T129">
        <v>-1.785563225</v>
      </c>
    </row>
    <row r="130" spans="1:20" x14ac:dyDescent="0.35">
      <c r="A130" t="str">
        <f>Levels!A130</f>
        <v>2003Q1</v>
      </c>
      <c r="B130">
        <f>Normalized!B130</f>
        <v>16.234643976430888</v>
      </c>
      <c r="C130">
        <f>Normalized!C130</f>
        <v>2379.5284971134138</v>
      </c>
      <c r="D130">
        <f>Normalized!D130</f>
        <v>187322.28329661125</v>
      </c>
      <c r="E130">
        <f>Levels!E130/Levels!$Q130</f>
        <v>0.20495293710443474</v>
      </c>
      <c r="F130">
        <f>Levels!F130/Levels!$Q130</f>
        <v>0.65387924772965744</v>
      </c>
      <c r="G130" s="6">
        <v>-0.5</v>
      </c>
      <c r="H130" s="4">
        <v>-0.43064590163934424</v>
      </c>
      <c r="I130" s="4">
        <v>2.1176276190476191</v>
      </c>
      <c r="J130">
        <v>2.93422170914664</v>
      </c>
      <c r="K130">
        <v>-0.35309219169815698</v>
      </c>
      <c r="L130">
        <v>3.2374999999999998</v>
      </c>
      <c r="M130">
        <v>-2.1497369200921899</v>
      </c>
      <c r="N130" s="6">
        <v>1.75861</v>
      </c>
      <c r="O130">
        <v>0.78105921668315703</v>
      </c>
      <c r="P130">
        <v>0.99542156483316402</v>
      </c>
      <c r="Q130">
        <v>1.6761889404258712</v>
      </c>
      <c r="R130">
        <v>1.2854469989999999</v>
      </c>
      <c r="S130">
        <v>-1.2101709709999999</v>
      </c>
      <c r="T130">
        <v>-0.88886669100000004</v>
      </c>
    </row>
    <row r="131" spans="1:20" x14ac:dyDescent="0.35">
      <c r="A131" t="str">
        <f>Levels!A131</f>
        <v>2003Q2</v>
      </c>
      <c r="B131">
        <f>Normalized!B131</f>
        <v>16.639540540515327</v>
      </c>
      <c r="C131">
        <f>Normalized!C131</f>
        <v>2423.2609002834747</v>
      </c>
      <c r="D131">
        <f>Normalized!D131</f>
        <v>185629.91880596639</v>
      </c>
      <c r="E131">
        <f>Levels!E131/Levels!$Q131</f>
        <v>0.207099180582758</v>
      </c>
      <c r="F131">
        <f>Levels!F131/Levels!$Q131</f>
        <v>0.65329633367562367</v>
      </c>
      <c r="G131" s="6">
        <v>-1.1000000000000001</v>
      </c>
      <c r="H131" s="4">
        <v>-0.47056365079365081</v>
      </c>
      <c r="I131" s="4">
        <v>1.8233430158730162</v>
      </c>
      <c r="J131">
        <v>2.9780417242521402</v>
      </c>
      <c r="K131">
        <v>-1.1669058539986499</v>
      </c>
      <c r="L131">
        <v>2.5516000000000001</v>
      </c>
      <c r="M131">
        <v>-1.75708670534345</v>
      </c>
      <c r="N131" s="6">
        <v>1.5853999999999999</v>
      </c>
      <c r="O131">
        <v>0.78595411434365403</v>
      </c>
      <c r="P131">
        <v>0.97265171606600198</v>
      </c>
      <c r="Q131">
        <v>1.9569936417795919</v>
      </c>
      <c r="R131">
        <v>-1.614398435</v>
      </c>
      <c r="S131">
        <v>-5.2889815E-2</v>
      </c>
      <c r="T131">
        <v>-0.79345316899999996</v>
      </c>
    </row>
    <row r="132" spans="1:20" x14ac:dyDescent="0.35">
      <c r="A132" t="str">
        <f>Levels!A132</f>
        <v>2003Q3</v>
      </c>
      <c r="B132">
        <f>Normalized!B132</f>
        <v>16.945488582976608</v>
      </c>
      <c r="C132">
        <f>Normalized!C132</f>
        <v>2432.6969108407407</v>
      </c>
      <c r="D132">
        <f>Normalized!D132</f>
        <v>185409.65582730976</v>
      </c>
      <c r="E132">
        <f>Levels!E132/Levels!$Q132</f>
        <v>0.20986972444189425</v>
      </c>
      <c r="F132">
        <f>Levels!F132/Levels!$Q132</f>
        <v>0.65337031510880739</v>
      </c>
      <c r="G132" s="6">
        <v>-0.5</v>
      </c>
      <c r="H132" s="4">
        <v>-0.67484875</v>
      </c>
      <c r="I132" s="4">
        <v>2.430196488095238</v>
      </c>
      <c r="J132">
        <v>3.00676443679161</v>
      </c>
      <c r="K132">
        <v>-1.8418294231005801</v>
      </c>
      <c r="L132">
        <v>2.2864</v>
      </c>
      <c r="M132">
        <v>-3.7608883557388801</v>
      </c>
      <c r="N132" s="6">
        <v>1.5097700000000001</v>
      </c>
      <c r="O132">
        <v>0.76478987525003905</v>
      </c>
      <c r="P132">
        <v>0.90903424110457798</v>
      </c>
      <c r="Q132">
        <v>3.2399083015260066</v>
      </c>
      <c r="R132">
        <v>0.83270075700000001</v>
      </c>
      <c r="S132">
        <v>-0.20867239900000001</v>
      </c>
      <c r="T132">
        <v>-0.68924224899999997</v>
      </c>
    </row>
    <row r="133" spans="1:20" x14ac:dyDescent="0.35">
      <c r="A133" t="str">
        <f>Levels!A133</f>
        <v>2003Q4</v>
      </c>
      <c r="B133">
        <f>Normalized!B133</f>
        <v>17.209525932898753</v>
      </c>
      <c r="C133">
        <f>Normalized!C133</f>
        <v>2463.224064254061</v>
      </c>
      <c r="D133">
        <f>Normalized!D133</f>
        <v>190739.69644260503</v>
      </c>
      <c r="E133">
        <f>Levels!E133/Levels!$Q133</f>
        <v>0.21070406504559816</v>
      </c>
      <c r="F133">
        <f>Levels!F133/Levels!$Q133</f>
        <v>0.65110077002583233</v>
      </c>
      <c r="G133" s="6">
        <v>-0.2</v>
      </c>
      <c r="H133" s="4">
        <v>-0.93191483870967751</v>
      </c>
      <c r="I133" s="4">
        <v>2.4870948617511521</v>
      </c>
      <c r="J133">
        <v>3.0274144873381599</v>
      </c>
      <c r="K133">
        <v>-1.09054396305859</v>
      </c>
      <c r="L133">
        <v>1.8816999999999999</v>
      </c>
      <c r="M133">
        <v>-4.9071510143334098</v>
      </c>
      <c r="N133" s="6">
        <v>1.6031299999999999</v>
      </c>
      <c r="O133">
        <v>0.73895487758858502</v>
      </c>
      <c r="P133">
        <v>0.86874326548016101</v>
      </c>
      <c r="Q133">
        <v>4.2950765202439234</v>
      </c>
      <c r="R133">
        <v>-1.6390452129999999</v>
      </c>
      <c r="S133">
        <v>1.057135398</v>
      </c>
      <c r="T133">
        <v>-0.83754119000000005</v>
      </c>
    </row>
    <row r="134" spans="1:20" x14ac:dyDescent="0.35">
      <c r="A134" t="str">
        <f>Levels!A134</f>
        <v>2004Q1</v>
      </c>
      <c r="B134">
        <f>Normalized!B134</f>
        <v>17.547825098021722</v>
      </c>
      <c r="C134">
        <f>Normalized!C134</f>
        <v>2445.6104083529808</v>
      </c>
      <c r="D134">
        <f>Normalized!D134</f>
        <v>195046.77452249944</v>
      </c>
      <c r="E134">
        <f>Levels!E134/Levels!$Q134</f>
        <v>0.20899190421844679</v>
      </c>
      <c r="F134">
        <f>Levels!F134/Levels!$Q134</f>
        <v>0.65583203584011873</v>
      </c>
      <c r="G134" s="6">
        <v>0.8</v>
      </c>
      <c r="H134" s="4">
        <v>-1.1260309677419356</v>
      </c>
      <c r="I134" s="4">
        <v>2.2089911904761905</v>
      </c>
      <c r="J134">
        <v>3.0543291527679002</v>
      </c>
      <c r="K134">
        <v>-1.1749238558166901</v>
      </c>
      <c r="L134">
        <v>1.7768999999999999</v>
      </c>
      <c r="M134">
        <v>-5.0094239452087903</v>
      </c>
      <c r="N134" s="6">
        <v>1.8475600000000001</v>
      </c>
      <c r="O134">
        <v>0.724453469940741</v>
      </c>
      <c r="P134">
        <v>0.82089809787779999</v>
      </c>
      <c r="Q134">
        <v>4.3533820862159178</v>
      </c>
      <c r="R134">
        <v>-1.0281483170000001</v>
      </c>
      <c r="S134">
        <v>-1.2018274739999999</v>
      </c>
      <c r="T134">
        <v>-0.23051722399999999</v>
      </c>
    </row>
    <row r="135" spans="1:20" x14ac:dyDescent="0.35">
      <c r="A135" t="str">
        <f>Levels!A135</f>
        <v>2004Q2</v>
      </c>
      <c r="B135">
        <f>Normalized!B135</f>
        <v>17.925922925271635</v>
      </c>
      <c r="C135">
        <f>Normalized!C135</f>
        <v>2379.0169662308222</v>
      </c>
      <c r="D135">
        <f>Normalized!D135</f>
        <v>203029.76057507945</v>
      </c>
      <c r="E135">
        <f>Levels!E135/Levels!$Q135</f>
        <v>0.2122448084785489</v>
      </c>
      <c r="F135">
        <f>Levels!F135/Levels!$Q135</f>
        <v>0.65568624558682898</v>
      </c>
      <c r="G135" s="6">
        <v>1.1000000000000001</v>
      </c>
      <c r="H135" s="4">
        <v>-0.86266903225806457</v>
      </c>
      <c r="I135" s="4">
        <v>2.7990070122887865</v>
      </c>
      <c r="J135">
        <v>3.04867272228433</v>
      </c>
      <c r="K135">
        <v>1.1631530050063199</v>
      </c>
      <c r="L135">
        <v>1.7346999999999999</v>
      </c>
      <c r="M135">
        <v>-2.4615043160950698</v>
      </c>
      <c r="N135" s="6">
        <v>2.04216</v>
      </c>
      <c r="O135">
        <v>0.73754885382134305</v>
      </c>
      <c r="P135">
        <v>0.82144189052148597</v>
      </c>
      <c r="Q135">
        <v>4.2348116494544508</v>
      </c>
      <c r="R135">
        <v>-0.39201555399999999</v>
      </c>
      <c r="S135">
        <v>-0.88251684900000005</v>
      </c>
      <c r="T135">
        <v>0.41778123</v>
      </c>
    </row>
    <row r="136" spans="1:20" x14ac:dyDescent="0.35">
      <c r="A136" t="str">
        <f>Levels!A136</f>
        <v>2004Q3</v>
      </c>
      <c r="B136">
        <f>Normalized!B136</f>
        <v>18.291235558527827</v>
      </c>
      <c r="C136">
        <f>Normalized!C136</f>
        <v>2468.2911254995875</v>
      </c>
      <c r="D136">
        <f>Normalized!D136</f>
        <v>213510.21955790144</v>
      </c>
      <c r="E136">
        <f>Levels!E136/Levels!$Q136</f>
        <v>0.21383420418773716</v>
      </c>
      <c r="F136">
        <f>Levels!F136/Levels!$Q136</f>
        <v>0.65707946071757972</v>
      </c>
      <c r="G136" s="6">
        <v>1.6</v>
      </c>
      <c r="H136" s="4">
        <v>-0.54877874999999987</v>
      </c>
      <c r="I136" s="4">
        <v>2.5157133928571431</v>
      </c>
      <c r="J136">
        <v>3.0444828245345299</v>
      </c>
      <c r="K136">
        <v>0.85318176675988799</v>
      </c>
      <c r="L136">
        <v>1.6914</v>
      </c>
      <c r="M136">
        <v>-1.86501748535738</v>
      </c>
      <c r="N136" s="6">
        <v>1.94154</v>
      </c>
      <c r="O136">
        <v>0.73449786980367804</v>
      </c>
      <c r="P136">
        <v>0.82952424617416798</v>
      </c>
      <c r="Q136">
        <v>3.4908340686507833</v>
      </c>
      <c r="R136">
        <v>-0.60181738600000001</v>
      </c>
      <c r="S136">
        <v>0.99512931199999999</v>
      </c>
      <c r="T136">
        <v>-0.46036522699999999</v>
      </c>
    </row>
    <row r="137" spans="1:20" x14ac:dyDescent="0.35">
      <c r="A137" t="str">
        <f>Levels!A137</f>
        <v>2004Q4</v>
      </c>
      <c r="B137">
        <f>Normalized!B137</f>
        <v>18.789815357032744</v>
      </c>
      <c r="C137">
        <f>Normalized!C137</f>
        <v>2491.3265020229765</v>
      </c>
      <c r="D137">
        <f>Normalized!D137</f>
        <v>216481.04960902515</v>
      </c>
      <c r="E137">
        <f>Levels!E137/Levels!$Q137</f>
        <v>0.21476050787386616</v>
      </c>
      <c r="F137">
        <f>Levels!F137/Levels!$Q137</f>
        <v>0.66020977285323434</v>
      </c>
      <c r="G137" s="6">
        <v>1.7</v>
      </c>
      <c r="H137" s="4">
        <v>-0.18891709677419355</v>
      </c>
      <c r="I137" s="4">
        <v>2.4036993087557601</v>
      </c>
      <c r="J137">
        <v>3.0733437306931402</v>
      </c>
      <c r="K137">
        <v>-0.32910329063069499</v>
      </c>
      <c r="L137">
        <v>1.554</v>
      </c>
      <c r="M137">
        <v>-3.0679123673385198</v>
      </c>
      <c r="N137" s="6">
        <v>2.0370599999999999</v>
      </c>
      <c r="O137">
        <v>0.75650587202483399</v>
      </c>
      <c r="P137">
        <v>0.83510101297968797</v>
      </c>
      <c r="Q137">
        <v>3.3557659164048959</v>
      </c>
      <c r="R137">
        <v>2.330880208</v>
      </c>
      <c r="S137">
        <v>-1.2895746050000001</v>
      </c>
      <c r="T137">
        <v>-1.631804649</v>
      </c>
    </row>
    <row r="138" spans="1:20" x14ac:dyDescent="0.35">
      <c r="A138" t="str">
        <f>Levels!A138</f>
        <v>2005Q1</v>
      </c>
      <c r="B138">
        <f>Normalized!B138</f>
        <v>19.119690523888377</v>
      </c>
      <c r="C138">
        <f>Normalized!C138</f>
        <v>2546.4352863278864</v>
      </c>
      <c r="D138">
        <f>Normalized!D138</f>
        <v>222447.2105508282</v>
      </c>
      <c r="E138">
        <f>Levels!E138/Levels!$Q138</f>
        <v>0.21552831739984288</v>
      </c>
      <c r="F138">
        <f>Levels!F138/Levels!$Q138</f>
        <v>0.65757292736418782</v>
      </c>
      <c r="G138" s="6">
        <v>1.5</v>
      </c>
      <c r="H138" s="4">
        <v>0.41962655737704901</v>
      </c>
      <c r="I138" s="4">
        <v>2.548944890710382</v>
      </c>
      <c r="J138">
        <v>3.0762598405564998</v>
      </c>
      <c r="K138">
        <v>0.33132686724089999</v>
      </c>
      <c r="L138">
        <v>1.5919000000000001</v>
      </c>
      <c r="M138">
        <v>-2.20003013937152</v>
      </c>
      <c r="N138" s="6">
        <v>2.2005300000000001</v>
      </c>
      <c r="O138">
        <v>0.76869239723369798</v>
      </c>
      <c r="P138">
        <v>0.82520634690498496</v>
      </c>
      <c r="Q138">
        <v>3.9086174408999419</v>
      </c>
      <c r="R138">
        <v>-0.33342692299999999</v>
      </c>
      <c r="S138">
        <v>1.101377611</v>
      </c>
      <c r="T138">
        <v>-0.15048141300000001</v>
      </c>
    </row>
    <row r="139" spans="1:20" x14ac:dyDescent="0.35">
      <c r="A139" t="str">
        <f>Levels!A139</f>
        <v>2005Q2</v>
      </c>
      <c r="B139">
        <f>Normalized!B139</f>
        <v>19.599245017129377</v>
      </c>
      <c r="C139">
        <f>Normalized!C139</f>
        <v>2500.028519716202</v>
      </c>
      <c r="D139">
        <f>Normalized!D139</f>
        <v>228187.14925441949</v>
      </c>
      <c r="E139">
        <f>Levels!E139/Levels!$Q139</f>
        <v>0.21766460752897615</v>
      </c>
      <c r="F139">
        <f>Levels!F139/Levels!$Q139</f>
        <v>0.6621780491111684</v>
      </c>
      <c r="G139" s="6">
        <v>2</v>
      </c>
      <c r="H139" s="4">
        <v>0.71072874999999991</v>
      </c>
      <c r="I139" s="4">
        <v>2.4272997023809522</v>
      </c>
      <c r="J139">
        <v>3.07612829260975</v>
      </c>
      <c r="K139">
        <v>-0.38098147787458397</v>
      </c>
      <c r="L139">
        <v>1.9970000000000001</v>
      </c>
      <c r="M139">
        <v>-3.4542708966673201</v>
      </c>
      <c r="N139" s="6">
        <v>2.12398</v>
      </c>
      <c r="O139">
        <v>0.77216402336853596</v>
      </c>
      <c r="P139">
        <v>0.82140675881406799</v>
      </c>
      <c r="Q139">
        <v>3.6074103661260848</v>
      </c>
      <c r="R139">
        <v>0.22155125000000001</v>
      </c>
      <c r="S139">
        <v>-0.95245603099999998</v>
      </c>
      <c r="T139">
        <v>-1.601898815</v>
      </c>
    </row>
    <row r="140" spans="1:20" x14ac:dyDescent="0.35">
      <c r="A140" t="str">
        <f>Levels!A140</f>
        <v>2005Q3</v>
      </c>
      <c r="B140">
        <f>Normalized!B140</f>
        <v>20.071773198752304</v>
      </c>
      <c r="C140">
        <f>Normalized!C140</f>
        <v>2518.5068460582324</v>
      </c>
      <c r="D140">
        <f>Normalized!D140</f>
        <v>229039.03484938902</v>
      </c>
      <c r="E140">
        <f>Levels!E140/Levels!$Q140</f>
        <v>0.21908733923403872</v>
      </c>
      <c r="F140">
        <f>Levels!F140/Levels!$Q140</f>
        <v>0.66608702930593022</v>
      </c>
      <c r="G140" s="6">
        <v>1.6</v>
      </c>
      <c r="H140" s="4">
        <v>1.0798774999999998</v>
      </c>
      <c r="I140" s="4">
        <v>2.5071048214285714</v>
      </c>
      <c r="J140">
        <v>3.0842003397735298</v>
      </c>
      <c r="K140">
        <v>0.82640993792337114</v>
      </c>
      <c r="L140">
        <v>1.6838</v>
      </c>
      <c r="M140">
        <v>-4.0429343563767004</v>
      </c>
      <c r="N140" s="6">
        <v>2.1559900000000001</v>
      </c>
      <c r="O140">
        <v>0.83002223813561204</v>
      </c>
      <c r="P140">
        <v>0.79765321159288005</v>
      </c>
      <c r="Q140">
        <v>3.447674589108507</v>
      </c>
      <c r="R140">
        <v>-0.47245991199999998</v>
      </c>
      <c r="S140">
        <v>-6.0333774529999999</v>
      </c>
      <c r="T140">
        <v>2.2548150999999999E-2</v>
      </c>
    </row>
    <row r="141" spans="1:20" x14ac:dyDescent="0.35">
      <c r="A141" t="str">
        <f>Levels!A141</f>
        <v>2005Q4</v>
      </c>
      <c r="B141">
        <f>Normalized!B141</f>
        <v>20.519796378349639</v>
      </c>
      <c r="C141">
        <f>Normalized!C141</f>
        <v>2589.628132189825</v>
      </c>
      <c r="D141">
        <f>Normalized!D141</f>
        <v>234619.63664407036</v>
      </c>
      <c r="E141">
        <f>Levels!E141/Levels!$Q141</f>
        <v>0.21875934099015293</v>
      </c>
      <c r="F141">
        <f>Levels!F141/Levels!$Q141</f>
        <v>0.66524997009604636</v>
      </c>
      <c r="G141" s="6">
        <v>1.7</v>
      </c>
      <c r="H141" s="4">
        <v>1.6764995081967213</v>
      </c>
      <c r="I141" s="4">
        <v>2.7988126736924284</v>
      </c>
      <c r="J141">
        <v>3.0967915129144101</v>
      </c>
      <c r="K141">
        <v>-0.132114856291521</v>
      </c>
      <c r="L141">
        <v>1.8593</v>
      </c>
      <c r="M141">
        <v>-4.39767728559994</v>
      </c>
      <c r="N141" s="6">
        <v>2.28356</v>
      </c>
      <c r="O141">
        <v>0.85244193066571805</v>
      </c>
      <c r="P141">
        <v>0.79290126226275603</v>
      </c>
      <c r="Q141">
        <v>2.9826720513611349</v>
      </c>
      <c r="R141">
        <v>1.4914216899999999</v>
      </c>
      <c r="S141">
        <v>5.1883554739999997</v>
      </c>
      <c r="T141">
        <v>-2.0310206370000001</v>
      </c>
    </row>
    <row r="142" spans="1:20" x14ac:dyDescent="0.35">
      <c r="A142" t="str">
        <f>Levels!A142</f>
        <v>2006Q1</v>
      </c>
      <c r="B142">
        <f>Normalized!B142</f>
        <v>21.078523857310891</v>
      </c>
      <c r="C142">
        <f>Normalized!C142</f>
        <v>2592.5665029606125</v>
      </c>
      <c r="D142">
        <f>Normalized!D142</f>
        <v>236923.95177575428</v>
      </c>
      <c r="E142">
        <f>Levels!E142/Levels!$Q142</f>
        <v>0.22012087571260414</v>
      </c>
      <c r="F142">
        <f>Levels!F142/Levels!$Q142</f>
        <v>0.66323182387362611</v>
      </c>
      <c r="G142" s="6">
        <v>2.5</v>
      </c>
      <c r="H142" s="4">
        <v>1.943530967741935</v>
      </c>
      <c r="I142" s="4">
        <v>2.9066598694316435</v>
      </c>
      <c r="J142">
        <v>3.1082325698920599</v>
      </c>
      <c r="K142">
        <v>0.13805087049766399</v>
      </c>
      <c r="L142">
        <v>1.7236</v>
      </c>
      <c r="M142">
        <v>-3.33752509900529</v>
      </c>
      <c r="N142" s="6">
        <v>2.1497299999999999</v>
      </c>
      <c r="O142">
        <v>0.81281303139036198</v>
      </c>
      <c r="P142">
        <v>0.78278353377298104</v>
      </c>
      <c r="Q142">
        <v>3.2248575723230033</v>
      </c>
      <c r="R142">
        <v>-1.1392052340000001</v>
      </c>
      <c r="S142">
        <v>-0.27009372300000001</v>
      </c>
      <c r="T142">
        <v>-1.1713850699999999</v>
      </c>
    </row>
    <row r="143" spans="1:20" x14ac:dyDescent="0.35">
      <c r="A143" t="str">
        <f>Levels!A143</f>
        <v>2006Q2</v>
      </c>
      <c r="B143">
        <f>Normalized!B143</f>
        <v>21.633057432400545</v>
      </c>
      <c r="C143">
        <f>Normalized!C143</f>
        <v>2550.7497140933747</v>
      </c>
      <c r="D143">
        <f>Normalized!D143</f>
        <v>241802.1199781239</v>
      </c>
      <c r="E143">
        <f>Levels!E143/Levels!$Q143</f>
        <v>0.21893593734918473</v>
      </c>
      <c r="F143">
        <f>Levels!F143/Levels!$Q143</f>
        <v>0.66729038822437481</v>
      </c>
      <c r="G143" s="6">
        <v>2.2000000000000002</v>
      </c>
      <c r="H143" s="4">
        <v>2.1009939682539684</v>
      </c>
      <c r="I143" s="4">
        <v>3.4140581746031744</v>
      </c>
      <c r="J143">
        <v>3.1059310030471399</v>
      </c>
      <c r="K143">
        <v>0.247648632828495</v>
      </c>
      <c r="L143">
        <v>1.6122000000000001</v>
      </c>
      <c r="M143">
        <v>-4.5094976478349098</v>
      </c>
      <c r="N143" s="6">
        <v>2.4553400000000001</v>
      </c>
      <c r="O143">
        <v>0.79159535224439403</v>
      </c>
      <c r="P143">
        <v>0.76788462717329198</v>
      </c>
      <c r="Q143">
        <v>2.977269025594631</v>
      </c>
      <c r="R143">
        <v>-0.36859059500000002</v>
      </c>
      <c r="S143">
        <v>-0.55148860499999997</v>
      </c>
      <c r="T143">
        <v>-1.173905907</v>
      </c>
    </row>
    <row r="144" spans="1:20" x14ac:dyDescent="0.35">
      <c r="A144" t="str">
        <f>Levels!A144</f>
        <v>2006Q3</v>
      </c>
      <c r="B144">
        <f>Normalized!B144</f>
        <v>22.090972435868707</v>
      </c>
      <c r="C144">
        <f>Normalized!C144</f>
        <v>2598.9457085615377</v>
      </c>
      <c r="D144">
        <f>Normalized!D144</f>
        <v>243146.8956706803</v>
      </c>
      <c r="E144">
        <f>Levels!E144/Levels!$Q144</f>
        <v>0.21697136864887667</v>
      </c>
      <c r="F144">
        <f>Levels!F144/Levels!$Q144</f>
        <v>0.67127491182840526</v>
      </c>
      <c r="G144" s="6">
        <v>2.2999999999999998</v>
      </c>
      <c r="H144" s="4">
        <v>2.5411653968253969</v>
      </c>
      <c r="I144" s="4">
        <v>3.2503720634920636</v>
      </c>
      <c r="J144">
        <v>3.12135860301116</v>
      </c>
      <c r="K144">
        <v>-1.19885177656602</v>
      </c>
      <c r="L144">
        <v>1.7337</v>
      </c>
      <c r="M144">
        <v>-7.1030957289453402</v>
      </c>
      <c r="N144" s="6">
        <v>2.6072600000000001</v>
      </c>
      <c r="O144">
        <v>0.79311213653387602</v>
      </c>
      <c r="P144">
        <v>0.74556562662223702</v>
      </c>
      <c r="Q144">
        <v>2.3282911518637928</v>
      </c>
      <c r="R144">
        <v>0.19327999400000001</v>
      </c>
      <c r="S144">
        <v>-2.618434385</v>
      </c>
      <c r="T144">
        <v>-1.14544862</v>
      </c>
    </row>
    <row r="145" spans="1:20" x14ac:dyDescent="0.35">
      <c r="A145" t="str">
        <f>Levels!A145</f>
        <v>2006Q4</v>
      </c>
      <c r="B145">
        <f>Normalized!B145</f>
        <v>22.629242388859623</v>
      </c>
      <c r="C145">
        <f>Normalized!C145</f>
        <v>2682.9819490873638</v>
      </c>
      <c r="D145">
        <f>Normalized!D145</f>
        <v>249324.37239888191</v>
      </c>
      <c r="E145">
        <f>Levels!E145/Levels!$Q145</f>
        <v>0.21416732264702507</v>
      </c>
      <c r="F145">
        <f>Levels!F145/Levels!$Q145</f>
        <v>0.66654933957926044</v>
      </c>
      <c r="G145" s="6">
        <v>2.1</v>
      </c>
      <c r="H145" s="4">
        <v>2.4251383870967742</v>
      </c>
      <c r="I145" s="4">
        <v>3.0052444470046087</v>
      </c>
      <c r="J145">
        <v>3.1468908607184498</v>
      </c>
      <c r="K145">
        <v>-4.7891233788904801E-2</v>
      </c>
      <c r="L145">
        <v>1.5774999999999999</v>
      </c>
      <c r="M145">
        <v>-5.7214970348817804</v>
      </c>
      <c r="N145" s="6">
        <v>2.3656600000000001</v>
      </c>
      <c r="O145">
        <v>0.78660432623930598</v>
      </c>
      <c r="P145">
        <v>0.72747030259686196</v>
      </c>
      <c r="Q145">
        <v>2.6089019835609184</v>
      </c>
      <c r="R145">
        <v>-0.93646935899999995</v>
      </c>
      <c r="S145">
        <v>1.174893499</v>
      </c>
      <c r="T145">
        <v>-1.0724309540000001</v>
      </c>
    </row>
    <row r="146" spans="1:20" x14ac:dyDescent="0.35">
      <c r="A146" t="str">
        <f>Levels!A146</f>
        <v>2007Q1</v>
      </c>
      <c r="B146">
        <f>Normalized!B146</f>
        <v>23.038021600205592</v>
      </c>
      <c r="C146">
        <f>Normalized!C146</f>
        <v>2690.3131976801951</v>
      </c>
      <c r="D146">
        <f>Normalized!D146</f>
        <v>252949.3022814735</v>
      </c>
      <c r="E146">
        <f>Levels!E146/Levels!$Q146</f>
        <v>0.21358268606745828</v>
      </c>
      <c r="F146">
        <f>Levels!F146/Levels!$Q146</f>
        <v>0.67083623099993872</v>
      </c>
      <c r="G146" s="6">
        <v>1.3</v>
      </c>
      <c r="H146" s="4">
        <v>2.8866758064516134</v>
      </c>
      <c r="I146" s="4">
        <v>3.0694715437788016</v>
      </c>
      <c r="J146">
        <v>3.1538817268239701</v>
      </c>
      <c r="K146">
        <v>0.79920564128500904</v>
      </c>
      <c r="L146">
        <v>1.4435</v>
      </c>
      <c r="M146">
        <v>-4.8845917378238797</v>
      </c>
      <c r="N146" s="6">
        <v>2.4784099999999998</v>
      </c>
      <c r="O146">
        <v>0.77333290675575606</v>
      </c>
      <c r="P146">
        <v>0.73196210699521702</v>
      </c>
      <c r="Q146">
        <v>1.5407153251804973</v>
      </c>
      <c r="R146">
        <v>-0.44205258600000003</v>
      </c>
      <c r="S146">
        <v>0.27277616199999999</v>
      </c>
      <c r="T146">
        <v>-9.5231854000000005E-2</v>
      </c>
    </row>
    <row r="147" spans="1:20" x14ac:dyDescent="0.35">
      <c r="A147" t="str">
        <f>Levels!A147</f>
        <v>2007Q2</v>
      </c>
      <c r="B147">
        <f>Normalized!B147</f>
        <v>23.632640951860559</v>
      </c>
      <c r="C147">
        <f>Normalized!C147</f>
        <v>2629.5284383653575</v>
      </c>
      <c r="D147">
        <f>Normalized!D147</f>
        <v>252925.84554406218</v>
      </c>
      <c r="E147">
        <f>Levels!E147/Levels!$Q147</f>
        <v>0.21377681632278903</v>
      </c>
      <c r="F147">
        <f>Levels!F147/Levels!$Q147</f>
        <v>0.66985349153804352</v>
      </c>
      <c r="G147" s="6">
        <v>1.5</v>
      </c>
      <c r="H147" s="4">
        <v>2.6945699999999997</v>
      </c>
      <c r="I147" s="4">
        <v>3.2587201785714286</v>
      </c>
      <c r="J147">
        <v>3.17674143672948</v>
      </c>
      <c r="K147">
        <v>-0.40987300972548901</v>
      </c>
      <c r="L147">
        <v>1.4481999999999999</v>
      </c>
      <c r="M147">
        <v>-7.0787306800753402</v>
      </c>
      <c r="N147" s="6">
        <v>2.0915499999999998</v>
      </c>
      <c r="O147">
        <v>0.74849075167825496</v>
      </c>
      <c r="P147">
        <v>0.78489141819516095</v>
      </c>
      <c r="Q147">
        <v>1.9386415949978808</v>
      </c>
      <c r="R147">
        <v>-0.55798038699999997</v>
      </c>
      <c r="S147">
        <v>0.58176146900000003</v>
      </c>
      <c r="T147">
        <v>1.114327192</v>
      </c>
    </row>
    <row r="148" spans="1:20" x14ac:dyDescent="0.35">
      <c r="A148" t="str">
        <f>Levels!A148</f>
        <v>2007Q3</v>
      </c>
      <c r="B148">
        <f>Normalized!B148</f>
        <v>24.16362666871197</v>
      </c>
      <c r="C148">
        <f>Normalized!C148</f>
        <v>2763.4468103538529</v>
      </c>
      <c r="D148">
        <f>Normalized!D148</f>
        <v>263069.46285208018</v>
      </c>
      <c r="E148">
        <f>Levels!E148/Levels!$Q148</f>
        <v>0.2116084472522119</v>
      </c>
      <c r="F148">
        <f>Levels!F148/Levels!$Q148</f>
        <v>0.67056687261895864</v>
      </c>
      <c r="G148" s="6">
        <v>0.7</v>
      </c>
      <c r="H148" s="4">
        <v>2.0068506349206352</v>
      </c>
      <c r="I148" s="4">
        <v>3.160954126984127</v>
      </c>
      <c r="J148">
        <v>3.1751436645684601</v>
      </c>
      <c r="K148">
        <v>0.25402028534335602</v>
      </c>
      <c r="L148">
        <v>2.2349999999999999</v>
      </c>
      <c r="M148">
        <v>-5.6940959901840102</v>
      </c>
      <c r="N148" s="6">
        <v>2.0429300000000001</v>
      </c>
      <c r="O148">
        <v>0.78006584586393501</v>
      </c>
      <c r="P148">
        <v>0.84998346739880604</v>
      </c>
      <c r="Q148">
        <v>2.3985598500102956</v>
      </c>
      <c r="R148">
        <v>1.2648060779999999</v>
      </c>
      <c r="S148">
        <v>-1.108663468</v>
      </c>
      <c r="T148">
        <v>-0.21925197399999999</v>
      </c>
    </row>
    <row r="149" spans="1:20" x14ac:dyDescent="0.35">
      <c r="A149" t="str">
        <f>Levels!A149</f>
        <v>2007Q4</v>
      </c>
      <c r="B149">
        <f>Normalized!B149</f>
        <v>24.65582644479781</v>
      </c>
      <c r="C149">
        <f>Normalized!C149</f>
        <v>2857.6047598557889</v>
      </c>
      <c r="D149">
        <f>Normalized!D149</f>
        <v>273301.45973777556</v>
      </c>
      <c r="E149">
        <f>Levels!E149/Levels!$Q149</f>
        <v>0.20914590376723852</v>
      </c>
      <c r="F149">
        <f>Levels!F149/Levels!$Q149</f>
        <v>0.67250802959942546</v>
      </c>
      <c r="G149" s="6">
        <v>-0.1</v>
      </c>
      <c r="H149" s="4">
        <v>1.2611764516129034</v>
      </c>
      <c r="I149" s="4">
        <v>2.6936493317972348</v>
      </c>
      <c r="J149">
        <v>3.1676964265542198</v>
      </c>
      <c r="K149">
        <v>0.42531233358666898</v>
      </c>
      <c r="L149">
        <v>2.6259000000000001</v>
      </c>
      <c r="M149">
        <v>-4.9777027447665203</v>
      </c>
      <c r="N149" s="6">
        <v>2.3080699999999998</v>
      </c>
      <c r="O149">
        <v>0.82503678395514402</v>
      </c>
      <c r="P149">
        <v>0.92715120588130595</v>
      </c>
      <c r="Q149">
        <v>2.1608832081965401</v>
      </c>
      <c r="R149">
        <v>1.2672689150000001</v>
      </c>
      <c r="S149">
        <v>-0.72412404799999996</v>
      </c>
      <c r="T149">
        <v>1.0950355810000001</v>
      </c>
    </row>
    <row r="150" spans="1:20" x14ac:dyDescent="0.35">
      <c r="A150" t="str">
        <f>Levels!A150</f>
        <v>2008Q1</v>
      </c>
      <c r="B150">
        <f>Normalized!B150</f>
        <v>24.949739042765383</v>
      </c>
      <c r="C150">
        <f>Normalized!C150</f>
        <v>2854.6093591057406</v>
      </c>
      <c r="D150">
        <f>Normalized!D150</f>
        <v>282377.20295884425</v>
      </c>
      <c r="E150">
        <f>Levels!E150/Levels!$Q150</f>
        <v>0.20724106735402986</v>
      </c>
      <c r="F150">
        <f>Levels!F150/Levels!$Q150</f>
        <v>0.67593448470343531</v>
      </c>
      <c r="G150" s="6">
        <v>-0.5</v>
      </c>
      <c r="H150" s="4">
        <v>-9.0749344262294862E-2</v>
      </c>
      <c r="I150" s="4">
        <v>2.098882806401249</v>
      </c>
      <c r="J150">
        <v>3.1303174302730699</v>
      </c>
      <c r="K150">
        <v>1.38189442001429</v>
      </c>
      <c r="L150">
        <v>3.5737000000000001</v>
      </c>
      <c r="M150">
        <v>-2.6664157743804102</v>
      </c>
      <c r="N150" s="6">
        <v>2.1446299999999998</v>
      </c>
      <c r="O150">
        <v>0.853202561396045</v>
      </c>
      <c r="P150">
        <v>0.99395178130416695</v>
      </c>
      <c r="Q150">
        <v>1.4468030014427313</v>
      </c>
      <c r="R150">
        <v>0.106650221</v>
      </c>
      <c r="S150">
        <v>1.9567424999999999E-2</v>
      </c>
      <c r="T150">
        <v>1.1452982540000001</v>
      </c>
    </row>
    <row r="151" spans="1:20" x14ac:dyDescent="0.35">
      <c r="A151" t="str">
        <f>Levels!A151</f>
        <v>2008Q2</v>
      </c>
      <c r="B151">
        <f>Normalized!B151</f>
        <v>25.06284048519419</v>
      </c>
      <c r="C151">
        <f>Normalized!C151</f>
        <v>2680.2325899160196</v>
      </c>
      <c r="D151">
        <f>Normalized!D151</f>
        <v>282775.05319613393</v>
      </c>
      <c r="E151">
        <f>Levels!E151/Levels!$Q151</f>
        <v>0.20543979198586595</v>
      </c>
      <c r="F151">
        <f>Levels!F151/Levels!$Q151</f>
        <v>0.67688544534051465</v>
      </c>
      <c r="G151" s="6">
        <v>-1.6</v>
      </c>
      <c r="H151" s="4">
        <v>-0.54614375000000015</v>
      </c>
      <c r="I151" s="4">
        <v>2.3169803571428567</v>
      </c>
      <c r="J151">
        <v>3.12773857803327</v>
      </c>
      <c r="K151">
        <v>0.73333982598384806</v>
      </c>
      <c r="L151">
        <v>3.2801999999999998</v>
      </c>
      <c r="M151">
        <v>-3.68930423565849</v>
      </c>
      <c r="N151" s="6">
        <v>2.1491099999999999</v>
      </c>
      <c r="O151">
        <v>0.91840631021671304</v>
      </c>
      <c r="P151">
        <v>1.0952449104214399</v>
      </c>
      <c r="Q151">
        <v>1.3801325593333802</v>
      </c>
      <c r="R151">
        <v>3.257049715</v>
      </c>
      <c r="S151">
        <v>-2.358565714</v>
      </c>
      <c r="T151">
        <v>4.1027953410000002</v>
      </c>
    </row>
    <row r="152" spans="1:20" x14ac:dyDescent="0.35">
      <c r="A152" t="str">
        <f>Levels!A152</f>
        <v>2008Q3</v>
      </c>
      <c r="B152">
        <f>Normalized!B152</f>
        <v>25.277008107894925</v>
      </c>
      <c r="C152">
        <f>Normalized!C152</f>
        <v>2950.7469837566359</v>
      </c>
      <c r="D152">
        <f>Normalized!D152</f>
        <v>290080.94844780641</v>
      </c>
      <c r="E152">
        <f>Levels!E152/Levels!$Q152</f>
        <v>0.20258674302950011</v>
      </c>
      <c r="F152">
        <f>Levels!F152/Levels!$Q152</f>
        <v>0.67878310454149593</v>
      </c>
      <c r="G152" s="6">
        <v>-2.2999999999999998</v>
      </c>
      <c r="H152" s="4">
        <v>0.10929374999999997</v>
      </c>
      <c r="I152" s="4">
        <v>2.3002308333333334</v>
      </c>
      <c r="J152">
        <v>3.0597384362357198</v>
      </c>
      <c r="K152">
        <v>1.8709350921163999</v>
      </c>
      <c r="L152">
        <v>4.1303999999999998</v>
      </c>
      <c r="M152">
        <v>-1.18143501180457</v>
      </c>
      <c r="N152" s="6">
        <v>2.1688000000000001</v>
      </c>
      <c r="O152">
        <v>1.0630212749210299</v>
      </c>
      <c r="P152">
        <v>1.25834720443848</v>
      </c>
      <c r="Q152">
        <v>0.2422023781227356</v>
      </c>
      <c r="R152">
        <v>1.529706287</v>
      </c>
      <c r="S152">
        <v>-8.9944368879999992</v>
      </c>
      <c r="T152">
        <v>6.4248306949999998</v>
      </c>
    </row>
    <row r="153" spans="1:20" x14ac:dyDescent="0.35">
      <c r="A153" t="str">
        <f>Levels!A153</f>
        <v>2008Q4</v>
      </c>
      <c r="B153">
        <f>Normalized!B153</f>
        <v>24.999276006871266</v>
      </c>
      <c r="C153">
        <f>Normalized!C153</f>
        <v>3235.0742358649259</v>
      </c>
      <c r="D153">
        <f>Normalized!D153</f>
        <v>332176.32289839111</v>
      </c>
      <c r="E153">
        <f>Levels!E153/Levels!$Q153</f>
        <v>0.19597943775096222</v>
      </c>
      <c r="F153">
        <f>Levels!F153/Levels!$Q153</f>
        <v>0.67306059071964675</v>
      </c>
      <c r="G153" s="6">
        <v>-4.7</v>
      </c>
      <c r="H153" s="4">
        <v>-0.54474322580645174</v>
      </c>
      <c r="I153" s="4">
        <v>1.6827007526881719</v>
      </c>
      <c r="J153">
        <v>2.9446285980965299</v>
      </c>
      <c r="K153">
        <v>1.20158610947468</v>
      </c>
      <c r="L153">
        <v>7.6555</v>
      </c>
      <c r="M153">
        <v>0.31366459875939401</v>
      </c>
      <c r="N153" s="6">
        <v>1.3868</v>
      </c>
      <c r="O153">
        <v>1.1972307047594</v>
      </c>
      <c r="P153">
        <v>1.3933090022393899</v>
      </c>
      <c r="Q153">
        <v>-2.5403392598762009</v>
      </c>
      <c r="R153">
        <v>0.89722970800000001</v>
      </c>
      <c r="S153">
        <v>2.6306926160000002</v>
      </c>
      <c r="T153">
        <v>-2.0537180949999998</v>
      </c>
    </row>
    <row r="154" spans="1:20" x14ac:dyDescent="0.35">
      <c r="A154" t="str">
        <f>Levels!A154</f>
        <v>2009Q1</v>
      </c>
      <c r="B154">
        <f>Normalized!B154</f>
        <v>24.875685509448246</v>
      </c>
      <c r="C154">
        <f>Normalized!C154</f>
        <v>3272.5041886428849</v>
      </c>
      <c r="D154">
        <f>Normalized!D154</f>
        <v>354622.92693884781</v>
      </c>
      <c r="E154">
        <f>Levels!E154/Levels!$Q154</f>
        <v>0.18572896416290396</v>
      </c>
      <c r="F154">
        <f>Levels!F154/Levels!$Q154</f>
        <v>0.67234636971924677</v>
      </c>
      <c r="G154" s="6">
        <v>-6.8</v>
      </c>
      <c r="H154" s="4">
        <v>-0.61171672131147548</v>
      </c>
      <c r="I154" s="4">
        <v>1.1765230796252923</v>
      </c>
      <c r="J154">
        <v>2.90746587153687</v>
      </c>
      <c r="K154">
        <v>1.15610705306581</v>
      </c>
      <c r="L154">
        <v>6.3636999999999997</v>
      </c>
      <c r="M154">
        <v>0.66955933759108199</v>
      </c>
      <c r="N154" s="6">
        <v>0.85184000000000004</v>
      </c>
      <c r="O154">
        <v>1.1204241779467301</v>
      </c>
      <c r="P154">
        <v>1.3421580254559</v>
      </c>
      <c r="Q154">
        <v>-3.2823924437935248</v>
      </c>
      <c r="R154">
        <v>-2.8895224690000001</v>
      </c>
      <c r="S154">
        <v>2.893567054</v>
      </c>
      <c r="T154">
        <v>0.99340765200000003</v>
      </c>
    </row>
    <row r="155" spans="1:20" x14ac:dyDescent="0.35">
      <c r="A155" t="str">
        <f>Levels!A155</f>
        <v>2009Q2</v>
      </c>
      <c r="B155">
        <f>Normalized!B155</f>
        <v>24.745205966755769</v>
      </c>
      <c r="C155">
        <f>Normalized!C155</f>
        <v>3459.9489821204761</v>
      </c>
      <c r="D155">
        <f>Normalized!D155</f>
        <v>351709.33464199892</v>
      </c>
      <c r="E155">
        <f>Levels!E155/Levels!$Q155</f>
        <v>0.18154645776232486</v>
      </c>
      <c r="F155">
        <f>Levels!F155/Levels!$Q155</f>
        <v>0.67140675093551383</v>
      </c>
      <c r="G155" s="6">
        <v>-8.5</v>
      </c>
      <c r="H155" s="4">
        <v>-0.49669253968253968</v>
      </c>
      <c r="I155" s="4">
        <v>1.739461269841269</v>
      </c>
      <c r="J155">
        <v>2.9554340378322799</v>
      </c>
      <c r="K155">
        <v>-0.76093273284104601</v>
      </c>
      <c r="L155">
        <v>4.8548</v>
      </c>
      <c r="M155">
        <v>-2.6128660793670102</v>
      </c>
      <c r="N155" s="6">
        <v>0.82352000000000003</v>
      </c>
      <c r="O155">
        <v>1.01625569520356</v>
      </c>
      <c r="P155">
        <v>1.21787166521074</v>
      </c>
      <c r="Q155">
        <v>-3.9955047793063247</v>
      </c>
      <c r="R155">
        <v>-1.4617979539999999</v>
      </c>
      <c r="S155">
        <v>-1.4446123040000001</v>
      </c>
      <c r="T155">
        <v>-2.0724753100000002</v>
      </c>
    </row>
    <row r="156" spans="1:20" x14ac:dyDescent="0.35">
      <c r="A156" t="str">
        <f>Levels!A156</f>
        <v>2009Q3</v>
      </c>
      <c r="B156">
        <f>Normalized!B156</f>
        <v>24.557855586898452</v>
      </c>
      <c r="C156">
        <f>Normalized!C156</f>
        <v>3577.3090394649807</v>
      </c>
      <c r="D156">
        <f>Normalized!D156</f>
        <v>341976.60968256422</v>
      </c>
      <c r="E156">
        <f>Levels!E156/Levels!$Q156</f>
        <v>0.18155800026116134</v>
      </c>
      <c r="F156">
        <f>Levels!F156/Levels!$Q156</f>
        <v>0.67672764418364628</v>
      </c>
      <c r="G156" s="6">
        <v>-8.5</v>
      </c>
      <c r="H156" s="4">
        <v>-1.2146762499999999</v>
      </c>
      <c r="I156" s="4">
        <v>1.9179455952380948</v>
      </c>
      <c r="J156">
        <v>3.0171891550935301</v>
      </c>
      <c r="K156">
        <v>-0.95234640236603696</v>
      </c>
      <c r="L156">
        <v>3.2679</v>
      </c>
      <c r="M156">
        <v>-3.3793939911041901</v>
      </c>
      <c r="N156" s="6">
        <v>0.66700999999999999</v>
      </c>
      <c r="O156">
        <v>0.94372588060304696</v>
      </c>
      <c r="P156">
        <v>1.1046224249385499</v>
      </c>
      <c r="Q156">
        <v>-3.1376750032877987</v>
      </c>
      <c r="R156">
        <v>1.5699967210000001</v>
      </c>
      <c r="S156">
        <v>3.9122566559999998</v>
      </c>
      <c r="T156">
        <v>-0.72521951900000003</v>
      </c>
    </row>
    <row r="157" spans="1:20" x14ac:dyDescent="0.35">
      <c r="A157" t="str">
        <f>Levels!A157</f>
        <v>2009Q4</v>
      </c>
      <c r="B157">
        <f>Normalized!B157</f>
        <v>24.343229808919901</v>
      </c>
      <c r="C157">
        <f>Normalized!C157</f>
        <v>3644.9319075721965</v>
      </c>
      <c r="D157">
        <f>Normalized!D157</f>
        <v>336175.79478146299</v>
      </c>
      <c r="E157">
        <f>Levels!E157/Levels!$Q157</f>
        <v>0.17994532209344402</v>
      </c>
      <c r="F157">
        <f>Levels!F157/Levels!$Q157</f>
        <v>0.67287398864657699</v>
      </c>
      <c r="G157" s="6">
        <v>-6</v>
      </c>
      <c r="H157" s="4">
        <v>-1.661556129032258</v>
      </c>
      <c r="I157" s="4">
        <v>1.8396184485407063</v>
      </c>
      <c r="J157">
        <v>3.04106423346864</v>
      </c>
      <c r="K157">
        <v>0.29393294536896902</v>
      </c>
      <c r="L157">
        <v>2.6856</v>
      </c>
      <c r="M157">
        <v>-2.62648540962517</v>
      </c>
      <c r="N157" s="6">
        <v>1.37452</v>
      </c>
      <c r="O157">
        <v>0.874515517066346</v>
      </c>
      <c r="P157">
        <v>1.05158792263747</v>
      </c>
      <c r="Q157">
        <v>8.1657583876526552E-2</v>
      </c>
      <c r="R157">
        <v>-0.226162433</v>
      </c>
      <c r="S157">
        <v>-0.40575211999999999</v>
      </c>
      <c r="T157">
        <v>-0.40133716200000003</v>
      </c>
    </row>
    <row r="158" spans="1:20" x14ac:dyDescent="0.35">
      <c r="A158" t="str">
        <f>Levels!A158</f>
        <v>2010Q1</v>
      </c>
      <c r="B158">
        <f>Normalized!B158</f>
        <v>24.202179430603987</v>
      </c>
      <c r="C158">
        <f>Normalized!C158</f>
        <v>3805.1315479634331</v>
      </c>
      <c r="D158">
        <f>Normalized!D158</f>
        <v>339410.17128588201</v>
      </c>
      <c r="E158">
        <f>Levels!E158/Levels!$Q158</f>
        <v>0.17839275846449601</v>
      </c>
      <c r="F158">
        <f>Levels!F158/Levels!$Q158</f>
        <v>0.6736909996264242</v>
      </c>
      <c r="G158" s="6">
        <v>-3.2</v>
      </c>
      <c r="H158" s="4">
        <v>-1.4883339344262296</v>
      </c>
      <c r="I158" s="4">
        <v>2.1040702810304452</v>
      </c>
      <c r="J158">
        <v>3.0497223371906701</v>
      </c>
      <c r="K158">
        <v>-0.143765879149231</v>
      </c>
      <c r="L158">
        <v>2.2808999999999999</v>
      </c>
      <c r="M158">
        <v>-4.0770590839303802</v>
      </c>
      <c r="N158" s="6">
        <v>1.72204</v>
      </c>
      <c r="O158">
        <v>0.85467470015616498</v>
      </c>
      <c r="P158">
        <v>1.04223400481838</v>
      </c>
      <c r="Q158">
        <v>1.7684572320283642</v>
      </c>
      <c r="R158">
        <v>1.6073191739999999</v>
      </c>
      <c r="S158">
        <v>2.1623357740000002</v>
      </c>
      <c r="T158">
        <v>0.25509826099999999</v>
      </c>
    </row>
    <row r="159" spans="1:20" x14ac:dyDescent="0.35">
      <c r="A159" t="str">
        <f>Levels!A159</f>
        <v>2010Q2</v>
      </c>
      <c r="B159">
        <f>Normalized!B159</f>
        <v>24.057291546259194</v>
      </c>
      <c r="C159">
        <f>Normalized!C159</f>
        <v>3870.0413133882453</v>
      </c>
      <c r="D159">
        <f>Normalized!D159</f>
        <v>338482.37564087712</v>
      </c>
      <c r="E159">
        <f>Levels!E159/Levels!$Q159</f>
        <v>0.18234613820091061</v>
      </c>
      <c r="F159">
        <f>Levels!F159/Levels!$Q159</f>
        <v>0.67136504991668811</v>
      </c>
      <c r="G159" s="6">
        <v>-0.1</v>
      </c>
      <c r="H159" s="4">
        <v>-1.2467987500000002</v>
      </c>
      <c r="I159" s="4">
        <v>1.8884528571428574</v>
      </c>
      <c r="J159">
        <v>3.0493755101994799</v>
      </c>
      <c r="K159">
        <v>0.31631503045871395</v>
      </c>
      <c r="L159">
        <v>2.3883000000000001</v>
      </c>
      <c r="M159">
        <v>-2.3149407131872701</v>
      </c>
      <c r="N159" s="6">
        <v>1.5981700000000001</v>
      </c>
      <c r="O159">
        <v>0.80457871550753801</v>
      </c>
      <c r="P159">
        <v>1.08610246724661</v>
      </c>
      <c r="Q159">
        <v>2.9274678447875235</v>
      </c>
      <c r="R159">
        <v>0.18932289399999999</v>
      </c>
      <c r="S159">
        <v>4.1456408050000002</v>
      </c>
      <c r="T159">
        <v>0.86377692800000005</v>
      </c>
    </row>
    <row r="160" spans="1:20" x14ac:dyDescent="0.35">
      <c r="A160" t="str">
        <f>Levels!A160</f>
        <v>2010Q3</v>
      </c>
      <c r="B160">
        <f>Normalized!B160</f>
        <v>24.040903388650889</v>
      </c>
      <c r="C160">
        <f>Normalized!C160</f>
        <v>3976.0388281856931</v>
      </c>
      <c r="D160">
        <f>Normalized!D160</f>
        <v>350068.14699059492</v>
      </c>
      <c r="E160">
        <f>Levels!E160/Levels!$Q160</f>
        <v>0.18163250538175521</v>
      </c>
      <c r="F160">
        <f>Levels!F160/Levels!$Q160</f>
        <v>0.66958451560023879</v>
      </c>
      <c r="G160" s="6">
        <v>1.4</v>
      </c>
      <c r="H160" s="4">
        <v>-0.93048624999999996</v>
      </c>
      <c r="I160" s="4">
        <v>1.1854426785714283</v>
      </c>
      <c r="J160">
        <v>3.0517123900887801</v>
      </c>
      <c r="K160">
        <v>-0.71723057148561598</v>
      </c>
      <c r="L160">
        <v>2.5011999999999999</v>
      </c>
      <c r="M160">
        <v>-2.1674698365396301</v>
      </c>
      <c r="N160" s="6">
        <v>1.3950800000000001</v>
      </c>
      <c r="O160">
        <v>0.75654171889618205</v>
      </c>
      <c r="P160">
        <v>1.0855742190692099</v>
      </c>
      <c r="Q160">
        <v>3.3491938138539901</v>
      </c>
      <c r="R160">
        <v>1.9147688999999999E-2</v>
      </c>
      <c r="S160">
        <v>0.60358028900000005</v>
      </c>
      <c r="T160">
        <v>-0.48659861999999998</v>
      </c>
    </row>
    <row r="161" spans="1:20" x14ac:dyDescent="0.35">
      <c r="A161" t="str">
        <f>Levels!A161</f>
        <v>2010Q4</v>
      </c>
      <c r="B161">
        <f>Normalized!B161</f>
        <v>23.996035734578495</v>
      </c>
      <c r="C161">
        <f>Normalized!C161</f>
        <v>4306.8391313778693</v>
      </c>
      <c r="D161">
        <f>Normalized!D161</f>
        <v>335925.19115822029</v>
      </c>
      <c r="E161">
        <f>Levels!E161/Levels!$Q161</f>
        <v>0.18294603458566377</v>
      </c>
      <c r="F161">
        <f>Levels!F161/Levels!$Q161</f>
        <v>0.67215782006430802</v>
      </c>
      <c r="G161" s="6">
        <v>2</v>
      </c>
      <c r="H161" s="4">
        <v>-1.0445738709677421</v>
      </c>
      <c r="I161" s="4">
        <v>1.2714216205837172</v>
      </c>
      <c r="J161">
        <v>3.0863682779670398</v>
      </c>
      <c r="K161">
        <v>-0.35392614666830402</v>
      </c>
      <c r="M161">
        <v>-2.4165292454657799</v>
      </c>
      <c r="N161" s="6">
        <v>1.0853299999999999</v>
      </c>
      <c r="O161">
        <v>0.74815231358801304</v>
      </c>
      <c r="P161">
        <v>0.99033145495145902</v>
      </c>
      <c r="Q161">
        <v>2.7884496905064005</v>
      </c>
      <c r="R161">
        <v>1.1490886789999999</v>
      </c>
      <c r="S161">
        <v>-2.1975646659999999</v>
      </c>
      <c r="T161">
        <v>-2.6184162710000001</v>
      </c>
    </row>
    <row r="162" spans="1:20" x14ac:dyDescent="0.35">
      <c r="A162" t="str">
        <f>Levels!A162</f>
        <v>2011Q1</v>
      </c>
      <c r="B162">
        <f>Normalized!B162</f>
        <v>23.964220129606502</v>
      </c>
      <c r="C162">
        <f>Normalized!C162</f>
        <v>4590.1814414274249</v>
      </c>
      <c r="D162">
        <f>Normalized!D162</f>
        <v>333646.64615426399</v>
      </c>
      <c r="E162">
        <f>Levels!E162/Levels!$Q162</f>
        <v>0.18231466239727034</v>
      </c>
      <c r="F162">
        <f>Levels!F162/Levels!$Q162</f>
        <v>0.68019543592192344</v>
      </c>
      <c r="G162" s="6">
        <v>1.9</v>
      </c>
      <c r="H162" s="4">
        <v>-1.3748058064516129</v>
      </c>
      <c r="I162" s="4">
        <v>1.7934176881720427</v>
      </c>
      <c r="J162">
        <v>3.1148270096988599</v>
      </c>
      <c r="K162">
        <v>-0.33205916234370403</v>
      </c>
      <c r="M162">
        <v>-3.9249335795389801</v>
      </c>
      <c r="N162" s="6">
        <v>1.1840900000000001</v>
      </c>
      <c r="O162">
        <v>0.75664863915027203</v>
      </c>
      <c r="P162">
        <v>0.92122099808387303</v>
      </c>
      <c r="Q162">
        <v>2.030608190613159</v>
      </c>
      <c r="R162">
        <v>-1.0833278340000001</v>
      </c>
      <c r="S162">
        <v>0.34972921400000001</v>
      </c>
      <c r="T162">
        <v>-1.0523798900000001</v>
      </c>
    </row>
    <row r="163" spans="1:20" x14ac:dyDescent="0.35">
      <c r="A163" t="str">
        <f>Levels!A163</f>
        <v>2011Q2</v>
      </c>
      <c r="B163">
        <f>Normalized!B163</f>
        <v>23.939169865891074</v>
      </c>
      <c r="C163">
        <f>Normalized!C163</f>
        <v>4654.3399812610714</v>
      </c>
      <c r="D163">
        <f>Normalized!D163</f>
        <v>334718.06641351513</v>
      </c>
      <c r="E163">
        <f>Levels!E163/Levels!$Q163</f>
        <v>0.18388502900356929</v>
      </c>
      <c r="F163">
        <f>Levels!F163/Levels!$Q163</f>
        <v>0.6809468043633784</v>
      </c>
      <c r="G163" s="6">
        <v>2.2000000000000002</v>
      </c>
      <c r="H163" s="4">
        <v>-1.7628519047619047</v>
      </c>
      <c r="I163" s="4">
        <v>1.4730154761904759</v>
      </c>
      <c r="J163">
        <v>3.1207139252695</v>
      </c>
      <c r="K163">
        <v>0.23406256231000799</v>
      </c>
      <c r="M163">
        <v>-3.2850058120846501</v>
      </c>
      <c r="N163" s="6">
        <v>1.5015799999999999</v>
      </c>
      <c r="O163">
        <v>0.75238606470499803</v>
      </c>
      <c r="P163">
        <v>0.93018128720699</v>
      </c>
      <c r="Q163">
        <v>1.7379050686072928</v>
      </c>
      <c r="R163">
        <v>8.1994043000000003E-2</v>
      </c>
      <c r="S163">
        <v>0.39988548000000002</v>
      </c>
      <c r="T163">
        <v>2.3896843259999998</v>
      </c>
    </row>
    <row r="164" spans="1:20" x14ac:dyDescent="0.35">
      <c r="A164" t="str">
        <f>Levels!A164</f>
        <v>2011Q3</v>
      </c>
      <c r="B164">
        <f>Normalized!B164</f>
        <v>23.943621043302809</v>
      </c>
      <c r="C164">
        <f>Normalized!C164</f>
        <v>5013.7920141072291</v>
      </c>
      <c r="D164">
        <f>Normalized!D164</f>
        <v>348669.65539185837</v>
      </c>
      <c r="E164">
        <f>Levels!E164/Levels!$Q164</f>
        <v>0.18959163952857988</v>
      </c>
      <c r="F164">
        <f>Levels!F164/Levels!$Q164</f>
        <v>0.68387733404424711</v>
      </c>
      <c r="G164" s="6">
        <v>2.1</v>
      </c>
      <c r="H164" s="4">
        <v>-1.82447</v>
      </c>
      <c r="I164" s="4">
        <v>0.60908898809523726</v>
      </c>
      <c r="J164">
        <v>3.0750806911844002</v>
      </c>
      <c r="K164">
        <v>0.59824903288347309</v>
      </c>
      <c r="M164">
        <v>-1.13419927659359</v>
      </c>
      <c r="N164" s="6">
        <v>1.80809</v>
      </c>
      <c r="O164">
        <v>0.75982319564826295</v>
      </c>
      <c r="P164">
        <v>1.044697822252</v>
      </c>
      <c r="Q164">
        <v>0.91822084838615314</v>
      </c>
      <c r="R164">
        <v>0.64616230399999997</v>
      </c>
      <c r="S164">
        <v>2.9440564949999999</v>
      </c>
      <c r="T164">
        <v>3.380963371</v>
      </c>
    </row>
    <row r="165" spans="1:20" x14ac:dyDescent="0.35">
      <c r="A165" t="str">
        <f>Levels!A165</f>
        <v>2011Q4</v>
      </c>
      <c r="B165">
        <f>Normalized!B165</f>
        <v>24.026772673771507</v>
      </c>
      <c r="C165">
        <f>Normalized!C165</f>
        <v>5341.3054659426371</v>
      </c>
      <c r="D165">
        <f>Normalized!D165</f>
        <v>348677.58814094099</v>
      </c>
      <c r="E165">
        <f>Levels!E165/Levels!$Q165</f>
        <v>0.19112025383735085</v>
      </c>
      <c r="F165">
        <f>Levels!F165/Levels!$Q165</f>
        <v>0.67663694798209639</v>
      </c>
      <c r="G165" s="6">
        <v>2.4</v>
      </c>
      <c r="H165" s="4">
        <v>-2.0284459016393446</v>
      </c>
      <c r="I165" s="4">
        <v>0.15771512099921869</v>
      </c>
      <c r="J165">
        <v>3.0916110719835501</v>
      </c>
      <c r="K165">
        <v>0.15617172011273001</v>
      </c>
      <c r="M165">
        <v>-2.07676305901849E-2</v>
      </c>
      <c r="N165" s="6">
        <v>1.8494699999999999</v>
      </c>
      <c r="O165">
        <v>0.73770689326590699</v>
      </c>
      <c r="P165">
        <v>1.0180618726724</v>
      </c>
      <c r="Q165">
        <v>1.5226915241306704</v>
      </c>
      <c r="R165">
        <v>-0.60875249099999995</v>
      </c>
      <c r="S165">
        <v>0.32447595899999998</v>
      </c>
      <c r="T165">
        <v>-4.6667843659999999</v>
      </c>
    </row>
    <row r="166" spans="1:20" x14ac:dyDescent="0.35">
      <c r="A166" t="str">
        <f>Levels!A166</f>
        <v>2012Q1</v>
      </c>
      <c r="B166">
        <f>Normalized!B166</f>
        <v>24.068553000000001</v>
      </c>
      <c r="C166">
        <f>Normalized!C166</f>
        <v>5735.451</v>
      </c>
      <c r="D166">
        <f>Normalized!D166</f>
        <v>369777.52615651465</v>
      </c>
      <c r="E166">
        <f>Levels!E166/Levels!$Q166</f>
        <v>0.19344599445437716</v>
      </c>
      <c r="F166">
        <f>Levels!F166/Levels!$Q166</f>
        <v>0.67733755715709687</v>
      </c>
      <c r="G166" s="6">
        <v>3.1</v>
      </c>
      <c r="H166" s="4">
        <v>-1.7991348387096775</v>
      </c>
      <c r="I166" s="4">
        <v>7.6403333333333157E-2</v>
      </c>
      <c r="J166">
        <v>3.1293494711016399</v>
      </c>
      <c r="K166">
        <v>-0.34792049740444503</v>
      </c>
      <c r="M166">
        <v>-0.39181073231373897</v>
      </c>
      <c r="N166" s="6">
        <v>2.0432000000000001</v>
      </c>
      <c r="O166">
        <v>0.71559723165546996</v>
      </c>
      <c r="P166">
        <v>0.912069944057188</v>
      </c>
      <c r="Q166">
        <v>2.6002492975388369</v>
      </c>
      <c r="R166">
        <v>-0.83450165200000004</v>
      </c>
      <c r="S166">
        <v>0.10112816600000001</v>
      </c>
      <c r="T166">
        <v>-0.32687476599999998</v>
      </c>
    </row>
    <row r="167" spans="1:20" x14ac:dyDescent="0.35">
      <c r="A167" t="str">
        <f>Levels!A167</f>
        <v>2012Q2</v>
      </c>
      <c r="B167">
        <f>Normalized!B167</f>
        <v>24.133180463312812</v>
      </c>
      <c r="C167">
        <f>Normalized!C167</f>
        <v>5789.2431175959609</v>
      </c>
      <c r="D167">
        <f>Normalized!D167</f>
        <v>374552.9397469539</v>
      </c>
      <c r="E167">
        <f>Levels!E167/Levels!$Q167</f>
        <v>0.19547628648348075</v>
      </c>
      <c r="F167">
        <f>Levels!F167/Levels!$Q167</f>
        <v>0.6739273322158118</v>
      </c>
      <c r="G167" s="6">
        <v>2.2000000000000002</v>
      </c>
      <c r="H167" s="4">
        <v>-1.61220875</v>
      </c>
      <c r="I167" s="4">
        <v>-0.20694732142857175</v>
      </c>
      <c r="J167">
        <v>3.1311500475088399</v>
      </c>
      <c r="K167">
        <v>0.261244857703263</v>
      </c>
      <c r="M167">
        <v>0.37744621468580603</v>
      </c>
      <c r="N167" s="6">
        <v>1.86978</v>
      </c>
      <c r="O167">
        <v>0.70555584675247196</v>
      </c>
      <c r="P167">
        <v>0.88215007984380001</v>
      </c>
      <c r="Q167">
        <v>2.3738163497154519</v>
      </c>
      <c r="R167">
        <v>-0.217619439</v>
      </c>
      <c r="S167">
        <v>-0.17054582800000001</v>
      </c>
      <c r="T167">
        <v>-0.90206171400000001</v>
      </c>
    </row>
    <row r="168" spans="1:20" x14ac:dyDescent="0.35">
      <c r="A168" t="str">
        <f>Levels!A168</f>
        <v>2012Q3</v>
      </c>
      <c r="B168">
        <f>Normalized!B168</f>
        <v>24.322303199086317</v>
      </c>
      <c r="C168">
        <f>Normalized!C168</f>
        <v>5910.0063356137071</v>
      </c>
      <c r="D168">
        <f>Normalized!D168</f>
        <v>368955.65238778677</v>
      </c>
      <c r="E168">
        <f>Levels!E168/Levels!$Q168</f>
        <v>0.19474982144558173</v>
      </c>
      <c r="F168">
        <f>Levels!F168/Levels!$Q168</f>
        <v>0.67321029855525749</v>
      </c>
      <c r="G168" s="6">
        <v>2.4</v>
      </c>
      <c r="H168" s="4">
        <v>-1.6856226984126983</v>
      </c>
      <c r="I168" s="4">
        <v>-0.46215587301587391</v>
      </c>
      <c r="J168">
        <v>3.1547647279225002</v>
      </c>
      <c r="K168">
        <v>-8.6295486303777896E-2</v>
      </c>
      <c r="M168">
        <v>2.3707248629870999E-2</v>
      </c>
      <c r="N168" s="6">
        <v>1.7004900000000001</v>
      </c>
      <c r="O168">
        <v>0.71137390567288095</v>
      </c>
      <c r="P168">
        <v>0.82532662331989004</v>
      </c>
      <c r="Q168">
        <v>2.5926229770563136</v>
      </c>
      <c r="R168">
        <v>-0.73819541499999997</v>
      </c>
      <c r="S168">
        <v>-1.173894478</v>
      </c>
      <c r="T168">
        <v>-1.116435316</v>
      </c>
    </row>
    <row r="169" spans="1:20" x14ac:dyDescent="0.35">
      <c r="A169" t="str">
        <f>Levels!A169</f>
        <v>2012Q4</v>
      </c>
      <c r="B169">
        <f>Normalized!B169</f>
        <v>24.51411374751272</v>
      </c>
      <c r="C169">
        <f>Normalized!C169</f>
        <v>5977.2402042976228</v>
      </c>
      <c r="D169">
        <f>Normalized!D169</f>
        <v>375241.91097713012</v>
      </c>
      <c r="E169">
        <f>Levels!E169/Levels!$Q169</f>
        <v>0.19682031357601379</v>
      </c>
      <c r="F169">
        <f>Levels!F169/Levels!$Q169</f>
        <v>0.67591529982717391</v>
      </c>
      <c r="G169" s="6">
        <v>2.1</v>
      </c>
      <c r="H169" s="4">
        <v>-1.4654278688524589</v>
      </c>
      <c r="I169" s="4">
        <v>-0.46660820062451269</v>
      </c>
      <c r="J169">
        <v>3.1487048947455198</v>
      </c>
      <c r="K169">
        <v>0.44689914601649899</v>
      </c>
      <c r="M169">
        <v>0.91764785255060699</v>
      </c>
      <c r="N169" s="6">
        <v>1.78721</v>
      </c>
      <c r="O169">
        <v>0.71528796146653395</v>
      </c>
      <c r="P169">
        <v>0.80250873881961504</v>
      </c>
      <c r="Q169">
        <v>1.566064345889151</v>
      </c>
      <c r="R169">
        <v>1.2729780530000001</v>
      </c>
      <c r="S169">
        <v>-0.80718583099999996</v>
      </c>
      <c r="T169">
        <v>-0.16894062600000001</v>
      </c>
    </row>
    <row r="170" spans="1:20" x14ac:dyDescent="0.35">
      <c r="A170" t="str">
        <f>Levels!A170</f>
        <v>2013Q1</v>
      </c>
      <c r="B170">
        <f>Normalized!B170</f>
        <v>24.509098384291089</v>
      </c>
      <c r="C170">
        <f>Normalized!C170</f>
        <v>6103.3671648368481</v>
      </c>
      <c r="D170">
        <f>Normalized!D170</f>
        <v>370346.20515128475</v>
      </c>
      <c r="E170">
        <f>Levels!E170/Levels!$Q170</f>
        <v>0.19701559804360735</v>
      </c>
      <c r="F170">
        <f>Levels!F170/Levels!$Q170</f>
        <v>0.67347935478069787</v>
      </c>
      <c r="G170" s="6">
        <v>1.7</v>
      </c>
      <c r="H170" s="4">
        <v>-1.3592066666666667</v>
      </c>
      <c r="I170" s="4">
        <v>-0.28504690476190486</v>
      </c>
      <c r="J170">
        <v>3.1801946979789899</v>
      </c>
      <c r="K170">
        <v>-0.474012990427297</v>
      </c>
      <c r="M170">
        <v>0.17898354063196401</v>
      </c>
      <c r="N170" s="6">
        <v>1.5550999999999999</v>
      </c>
      <c r="O170">
        <v>0.71595231831453998</v>
      </c>
      <c r="P170">
        <v>0.809772130158813</v>
      </c>
      <c r="Q170">
        <v>1.6163010952802814</v>
      </c>
      <c r="R170">
        <v>-1.1628730549999999</v>
      </c>
      <c r="S170">
        <v>1.925884699</v>
      </c>
      <c r="T170">
        <v>-0.22683251500000001</v>
      </c>
    </row>
    <row r="171" spans="1:20" x14ac:dyDescent="0.35">
      <c r="A171" t="str">
        <f>Levels!A171</f>
        <v>2013Q2</v>
      </c>
      <c r="B171">
        <f>Normalized!B171</f>
        <v>24.671405757396041</v>
      </c>
      <c r="C171">
        <f>Normalized!C171</f>
        <v>5903.3895571496878</v>
      </c>
      <c r="D171">
        <f>Normalized!D171</f>
        <v>347447.83241941896</v>
      </c>
      <c r="E171">
        <f>Levels!E171/Levels!$Q171</f>
        <v>0.19786640292189175</v>
      </c>
      <c r="F171">
        <f>Levels!F171/Levels!$Q171</f>
        <v>0.67162912143183806</v>
      </c>
      <c r="G171" s="6">
        <v>2</v>
      </c>
      <c r="H171" s="4">
        <v>-1.4936675000000001</v>
      </c>
      <c r="I171" s="4">
        <v>-0.26640536585365915</v>
      </c>
      <c r="J171">
        <v>3.2106132318619802</v>
      </c>
      <c r="K171">
        <v>-0.23323790687276297</v>
      </c>
      <c r="M171">
        <v>0.37915556275501</v>
      </c>
      <c r="N171" s="6">
        <v>1.44554</v>
      </c>
      <c r="O171">
        <v>0.68643444906954598</v>
      </c>
      <c r="P171">
        <v>0.817410851927591</v>
      </c>
      <c r="Q171">
        <v>1.2961704903847737</v>
      </c>
      <c r="R171">
        <v>-2.616339354</v>
      </c>
      <c r="S171">
        <v>1.3218151659999999</v>
      </c>
      <c r="T171">
        <v>0.76916278299999996</v>
      </c>
    </row>
    <row r="172" spans="1:20" x14ac:dyDescent="0.35">
      <c r="A172" t="str">
        <f>Levels!A172</f>
        <v>2013Q3</v>
      </c>
      <c r="B172">
        <f>Normalized!B172</f>
        <v>24.925900622490197</v>
      </c>
      <c r="C172">
        <f>Normalized!C172</f>
        <v>5901.0627884348341</v>
      </c>
      <c r="D172">
        <f>Normalized!D172</f>
        <v>349835.90751590213</v>
      </c>
      <c r="E172">
        <f>Levels!E172/Levels!$Q172</f>
        <v>0.19921013540251875</v>
      </c>
      <c r="F172">
        <f>Levels!F172/Levels!$Q172</f>
        <v>0.66897682733391772</v>
      </c>
      <c r="G172" s="6">
        <v>2</v>
      </c>
      <c r="H172" s="4">
        <v>-1.5602624999999999</v>
      </c>
      <c r="I172" s="4">
        <v>0.43372924999999984</v>
      </c>
      <c r="J172">
        <v>3.2284782472843898</v>
      </c>
      <c r="K172">
        <v>-0.24630715273315701</v>
      </c>
      <c r="M172">
        <v>-0.50150809140455999</v>
      </c>
      <c r="N172" s="6">
        <v>1.5452300000000001</v>
      </c>
      <c r="O172">
        <v>0.67632809113370695</v>
      </c>
      <c r="P172">
        <v>0.84172166091746603</v>
      </c>
      <c r="Q172">
        <v>1.9198446200382246</v>
      </c>
      <c r="R172">
        <v>-0.70887009300000003</v>
      </c>
      <c r="S172">
        <v>1.183553195</v>
      </c>
      <c r="T172">
        <v>3.0942278E-2</v>
      </c>
    </row>
    <row r="173" spans="1:20" x14ac:dyDescent="0.35">
      <c r="A173" t="str">
        <f>Levels!A173</f>
        <v>2013Q4</v>
      </c>
      <c r="B173">
        <f>Normalized!B173</f>
        <v>25.228798702230502</v>
      </c>
      <c r="C173">
        <f>Normalized!C173</f>
        <v>6257.5849684168388</v>
      </c>
      <c r="D173">
        <f>Normalized!D173</f>
        <v>340522.84114215785</v>
      </c>
      <c r="E173">
        <f>Levels!E173/Levels!$Q173</f>
        <v>0.19961813608284928</v>
      </c>
      <c r="F173">
        <f>Levels!F173/Levels!$Q173</f>
        <v>0.66971040979005347</v>
      </c>
      <c r="G173" s="6">
        <v>1.6</v>
      </c>
      <c r="H173" s="4">
        <v>-1.4750887096774195</v>
      </c>
      <c r="I173" s="4">
        <v>0.45270380479735239</v>
      </c>
      <c r="J173">
        <v>3.2542142155979601</v>
      </c>
      <c r="K173">
        <v>-1.2594556481645001</v>
      </c>
      <c r="M173">
        <v>-1.7458556123622</v>
      </c>
      <c r="N173" s="6">
        <v>1.5924499999999999</v>
      </c>
      <c r="O173">
        <v>0.67288638287505997</v>
      </c>
      <c r="P173">
        <v>0.82150993236291803</v>
      </c>
      <c r="Q173">
        <v>2.5320497778072104</v>
      </c>
      <c r="R173">
        <v>-6.2481050000000003E-2</v>
      </c>
      <c r="S173">
        <v>-1.3005294489999999</v>
      </c>
      <c r="T173">
        <v>-0.37181786</v>
      </c>
    </row>
    <row r="174" spans="1:20" x14ac:dyDescent="0.35">
      <c r="A174" t="str">
        <f>Levels!A174</f>
        <v>2014Q1</v>
      </c>
      <c r="B174">
        <f>Normalized!B174</f>
        <v>25.360333058840972</v>
      </c>
      <c r="C174">
        <f>Normalized!C174</f>
        <v>6525.1855063195562</v>
      </c>
      <c r="D174">
        <f>Normalized!D174</f>
        <v>346879.17847912328</v>
      </c>
      <c r="E174">
        <f>Levels!E174/Levels!$Q174</f>
        <v>0.20105736392645071</v>
      </c>
      <c r="F174">
        <f>Levels!F174/Levels!$Q174</f>
        <v>0.67529067051898217</v>
      </c>
      <c r="G174" s="6">
        <v>1.7</v>
      </c>
      <c r="H174" s="4">
        <v>-1.677365737704918</v>
      </c>
      <c r="I174" s="4">
        <v>0.45552430974978364</v>
      </c>
      <c r="J174">
        <v>3.2634442400966401</v>
      </c>
      <c r="K174">
        <v>0.40243126004655</v>
      </c>
      <c r="M174">
        <v>-0.62577627561708105</v>
      </c>
      <c r="N174" s="6">
        <v>1.53525</v>
      </c>
      <c r="O174">
        <v>0.68000562257298203</v>
      </c>
      <c r="P174">
        <v>0.822618586838614</v>
      </c>
      <c r="Q174">
        <v>1.2940558593095286</v>
      </c>
      <c r="R174">
        <v>-0.52100155299999995</v>
      </c>
      <c r="S174">
        <v>1.8241382079999999</v>
      </c>
      <c r="T174">
        <v>-0.79833556699999997</v>
      </c>
    </row>
    <row r="175" spans="1:20" x14ac:dyDescent="0.35">
      <c r="A175" t="str">
        <f>Levels!A175</f>
        <v>2014Q2</v>
      </c>
      <c r="B175">
        <f>Normalized!B175</f>
        <v>25.601298601489088</v>
      </c>
      <c r="C175">
        <f>Normalized!C175</f>
        <v>6622.7656813698059</v>
      </c>
      <c r="D175">
        <f>Normalized!D175</f>
        <v>353647.78127594391</v>
      </c>
      <c r="E175">
        <f>Levels!E175/Levels!$Q175</f>
        <v>0.20380518053327731</v>
      </c>
      <c r="F175">
        <f>Levels!F175/Levels!$Q175</f>
        <v>0.67338095365016304</v>
      </c>
      <c r="G175" s="6">
        <v>2.1</v>
      </c>
      <c r="H175" s="4">
        <v>-1.6919441269841271</v>
      </c>
      <c r="I175" s="4">
        <v>0.29013075933075871</v>
      </c>
      <c r="J175">
        <v>3.2828626386341599</v>
      </c>
      <c r="K175">
        <v>4.1536338618516896E-2</v>
      </c>
      <c r="M175">
        <v>-1.57947625827603</v>
      </c>
      <c r="N175" s="6">
        <v>1.72671</v>
      </c>
      <c r="O175">
        <v>0.66512900265762798</v>
      </c>
      <c r="P175">
        <v>0.82088490807357695</v>
      </c>
      <c r="Q175">
        <v>2.4519991676588138</v>
      </c>
      <c r="R175">
        <v>-0.370779054</v>
      </c>
      <c r="S175">
        <v>-0.10704255</v>
      </c>
      <c r="T175">
        <v>0.63173997299999995</v>
      </c>
    </row>
    <row r="176" spans="1:20" x14ac:dyDescent="0.35">
      <c r="A176" t="str">
        <f>Levels!A176</f>
        <v>2014Q3</v>
      </c>
      <c r="B176">
        <f>Normalized!B176</f>
        <v>25.779285366272507</v>
      </c>
      <c r="C176">
        <f>Normalized!C176</f>
        <v>6849.405312899421</v>
      </c>
      <c r="D176">
        <f>Normalized!D176</f>
        <v>352961.21601463726</v>
      </c>
      <c r="E176">
        <f>Levels!E176/Levels!$Q176</f>
        <v>0.20475983754923052</v>
      </c>
      <c r="F176">
        <f>Levels!F176/Levels!$Q176</f>
        <v>0.67118389982399984</v>
      </c>
      <c r="G176" s="6">
        <v>2.2999999999999998</v>
      </c>
      <c r="H176" s="4">
        <v>-1.49508375</v>
      </c>
      <c r="I176" s="4">
        <v>0.15192874999999928</v>
      </c>
      <c r="J176">
        <v>3.29311417431592</v>
      </c>
      <c r="K176">
        <v>3.8669428036245804E-2</v>
      </c>
      <c r="M176">
        <v>-1.9982546313273</v>
      </c>
      <c r="N176" s="6">
        <v>1.72496</v>
      </c>
      <c r="O176">
        <v>0.69241830137203597</v>
      </c>
      <c r="P176">
        <v>0.85801742550714699</v>
      </c>
      <c r="Q176">
        <v>2.8314569258469646</v>
      </c>
      <c r="R176">
        <v>0.75233947899999998</v>
      </c>
      <c r="S176">
        <v>-0.89984993400000002</v>
      </c>
      <c r="T176">
        <v>-0.27432499900000001</v>
      </c>
    </row>
    <row r="177" spans="1:20" x14ac:dyDescent="0.35">
      <c r="A177" t="str">
        <f>Levels!A177</f>
        <v>2014Q4</v>
      </c>
      <c r="B177">
        <f>Normalized!B177</f>
        <v>26.099001302143524</v>
      </c>
      <c r="C177">
        <f>Normalized!C177</f>
        <v>7129.3317795618659</v>
      </c>
      <c r="D177">
        <f>Normalized!D177</f>
        <v>356565.57975247822</v>
      </c>
      <c r="E177">
        <f>Levels!E177/Levels!$Q177</f>
        <v>0.20611449525077974</v>
      </c>
      <c r="F177">
        <f>Levels!F177/Levels!$Q177</f>
        <v>0.67231897662043771</v>
      </c>
      <c r="G177" s="6">
        <v>3.2</v>
      </c>
      <c r="H177" s="4">
        <v>-1.3483593548387098</v>
      </c>
      <c r="I177" s="4">
        <v>-8.9424543778802157E-2</v>
      </c>
      <c r="J177">
        <v>3.3116297539878401</v>
      </c>
      <c r="K177">
        <v>-3.6465358027420999E-2</v>
      </c>
      <c r="M177">
        <v>-1.2843556014237101</v>
      </c>
      <c r="N177" s="6">
        <v>1.52149</v>
      </c>
      <c r="O177">
        <v>0.74473787427930505</v>
      </c>
      <c r="P177">
        <v>0.84661246742168506</v>
      </c>
      <c r="Q177">
        <v>2.5637596662669848</v>
      </c>
      <c r="R177">
        <v>2.1928863879999998</v>
      </c>
      <c r="S177">
        <v>-2.9063466509999998</v>
      </c>
      <c r="T177">
        <v>-2.442410067</v>
      </c>
    </row>
    <row r="178" spans="1:20" x14ac:dyDescent="0.35">
      <c r="A178" t="str">
        <f>Levels!A178</f>
        <v>2015Q1</v>
      </c>
      <c r="B178">
        <f>Normalized!B178</f>
        <v>26.268386008693106</v>
      </c>
      <c r="C178">
        <f>Normalized!C178</f>
        <v>7111.9919451306114</v>
      </c>
      <c r="D178">
        <f>Normalized!D178</f>
        <v>360030.1024869731</v>
      </c>
      <c r="E178">
        <f>Levels!E178/Levels!$Q178</f>
        <v>0.20466189720789968</v>
      </c>
      <c r="F178">
        <f>Levels!F178/Levels!$Q178</f>
        <v>0.66627678892741227</v>
      </c>
      <c r="G178" s="6">
        <v>3</v>
      </c>
      <c r="H178" s="4">
        <v>-1.2797598360655738</v>
      </c>
      <c r="I178" s="4">
        <v>-0.4213604821600776</v>
      </c>
      <c r="J178">
        <v>3.3145633949810001</v>
      </c>
      <c r="K178">
        <v>-0.37689431163172199</v>
      </c>
      <c r="M178">
        <v>-1.7728536906296899</v>
      </c>
      <c r="N178" s="6">
        <v>1.37094</v>
      </c>
      <c r="O178">
        <v>0.80369404808188205</v>
      </c>
      <c r="P178">
        <v>0.85171872199571497</v>
      </c>
      <c r="Q178">
        <v>3.7612027730824504</v>
      </c>
      <c r="R178">
        <v>-1.150652389</v>
      </c>
      <c r="S178">
        <v>-1.0551957759999999</v>
      </c>
      <c r="T178">
        <v>-0.64654783599999999</v>
      </c>
    </row>
    <row r="179" spans="1:20" x14ac:dyDescent="0.35">
      <c r="A179" t="str">
        <f>Levels!A179</f>
        <v>2015Q2</v>
      </c>
      <c r="B179">
        <f>Normalized!B179</f>
        <v>26.649832936902712</v>
      </c>
      <c r="C179">
        <f>Normalized!C179</f>
        <v>6826.466480013808</v>
      </c>
      <c r="D179">
        <f>Normalized!D179</f>
        <v>354734.13846412377</v>
      </c>
      <c r="E179">
        <f>Levels!E179/Levels!$Q179</f>
        <v>0.2059234071932512</v>
      </c>
      <c r="F179">
        <f>Levels!F179/Levels!$Q179</f>
        <v>0.66797505475154129</v>
      </c>
      <c r="G179" s="6">
        <v>2.6</v>
      </c>
      <c r="H179" s="4">
        <v>-1.20080875</v>
      </c>
      <c r="I179" s="4">
        <v>-0.25672500000000076</v>
      </c>
      <c r="J179">
        <v>3.3222286823374598</v>
      </c>
      <c r="K179">
        <v>-0.53872107720424101</v>
      </c>
      <c r="M179">
        <v>-3.9824469824765498</v>
      </c>
      <c r="N179" s="6">
        <v>1.3043499999999999</v>
      </c>
      <c r="O179">
        <v>0.78124466625646605</v>
      </c>
      <c r="P179">
        <v>0.84736692979958494</v>
      </c>
      <c r="Q179">
        <v>3.0398546748779065</v>
      </c>
      <c r="R179">
        <v>-0.39101440100000001</v>
      </c>
      <c r="S179">
        <v>0.53039319699999998</v>
      </c>
      <c r="T179">
        <v>0.12045721400000001</v>
      </c>
    </row>
    <row r="180" spans="1:20" x14ac:dyDescent="0.35">
      <c r="A180" t="str">
        <f>Levels!A180</f>
        <v>2015Q3</v>
      </c>
      <c r="B180">
        <f>Normalized!B180</f>
        <v>26.869948710519171</v>
      </c>
      <c r="C180">
        <f>Normalized!C180</f>
        <v>6856.412089255673</v>
      </c>
      <c r="D180">
        <f>Normalized!D180</f>
        <v>358715.64694473572</v>
      </c>
      <c r="E180">
        <f>Levels!E180/Levels!$Q180</f>
        <v>0.20686152727406193</v>
      </c>
      <c r="F180">
        <f>Levels!F180/Levels!$Q180</f>
        <v>0.67047775044529634</v>
      </c>
      <c r="G180" s="6">
        <v>2.6</v>
      </c>
      <c r="H180" s="4">
        <v>-1.20080875</v>
      </c>
      <c r="I180" s="4">
        <v>-0.25672500000000076</v>
      </c>
      <c r="J180">
        <v>3.3222286823374598</v>
      </c>
      <c r="K180">
        <v>-0.53872107720424101</v>
      </c>
      <c r="M180">
        <v>-3.9824469824765498</v>
      </c>
      <c r="N180" s="6">
        <v>1.3043499999999999</v>
      </c>
      <c r="O180">
        <v>0.78124466625646605</v>
      </c>
      <c r="P180">
        <v>0.84736692979958494</v>
      </c>
      <c r="Q180">
        <v>3.0398546748779065</v>
      </c>
      <c r="R180">
        <v>-0.39101440100000001</v>
      </c>
      <c r="S180">
        <v>0.53039319699999998</v>
      </c>
      <c r="T180">
        <v>0.12045721400000001</v>
      </c>
    </row>
    <row r="181" spans="1:20" x14ac:dyDescent="0.35">
      <c r="A181" t="str">
        <f>Levels!A181</f>
        <v>2015Q4</v>
      </c>
      <c r="B181">
        <f>Normalized!B181</f>
        <v>27.065332657176178</v>
      </c>
      <c r="C181">
        <f>Normalized!C181</f>
        <v>7385.4827241994144</v>
      </c>
      <c r="D181">
        <f>Normalized!D181</f>
        <v>352899.85998848337</v>
      </c>
      <c r="E181">
        <f>Levels!E181/Levels!$Q181</f>
        <v>0.20586781597380319</v>
      </c>
      <c r="F181">
        <f>Levels!F181/Levels!$Q181</f>
        <v>0.67027554904631759</v>
      </c>
      <c r="G181" s="6">
        <v>2.6</v>
      </c>
      <c r="H181" s="4">
        <v>-1.20080875</v>
      </c>
      <c r="I181" s="4">
        <v>-0.25672500000000076</v>
      </c>
      <c r="J181">
        <v>3.3222286823374598</v>
      </c>
      <c r="K181">
        <v>-0.53872107720424101</v>
      </c>
      <c r="M181">
        <v>-3.9824469824765498</v>
      </c>
      <c r="N181" s="6">
        <v>1.3043499999999999</v>
      </c>
      <c r="O181">
        <v>0.78124466625646605</v>
      </c>
      <c r="P181">
        <v>0.84736692979958494</v>
      </c>
      <c r="Q181">
        <v>3.0398546748779065</v>
      </c>
      <c r="R181">
        <v>-0.39101440100000001</v>
      </c>
      <c r="S181">
        <v>0.53039319699999998</v>
      </c>
      <c r="T181">
        <v>0.12045721400000001</v>
      </c>
    </row>
    <row r="182" spans="1:20" x14ac:dyDescent="0.35">
      <c r="A182" t="str">
        <f>Levels!A182</f>
        <v>2016Q1</v>
      </c>
      <c r="B182">
        <f>Normalized!B182</f>
        <v>27.304281313498809</v>
      </c>
      <c r="C182">
        <f>Normalized!C182</f>
        <v>7621.2885520588625</v>
      </c>
      <c r="D182">
        <f>Normalized!D182</f>
        <v>378004.32813576021</v>
      </c>
      <c r="E182">
        <f>Levels!E182/Levels!$Q182</f>
        <v>0.20653202178251473</v>
      </c>
      <c r="F182">
        <f>Levels!F182/Levels!$Q182</f>
        <v>0.66929620868731121</v>
      </c>
      <c r="G182" s="6">
        <v>2.6</v>
      </c>
      <c r="H182" s="4">
        <v>-1.20080875</v>
      </c>
      <c r="I182" s="4">
        <v>-0.25672500000000076</v>
      </c>
      <c r="J182">
        <v>3.3222286823374598</v>
      </c>
      <c r="K182">
        <v>-0.53872107720424101</v>
      </c>
      <c r="M182">
        <v>-3.9824469824765498</v>
      </c>
      <c r="N182" s="6">
        <v>1.3043499999999999</v>
      </c>
      <c r="O182">
        <v>0.78124466625646605</v>
      </c>
      <c r="P182">
        <v>0.84736692979958494</v>
      </c>
      <c r="Q182">
        <v>3.0398546748779065</v>
      </c>
      <c r="R182">
        <v>-0.39101440100000001</v>
      </c>
      <c r="S182">
        <v>0.53039319699999998</v>
      </c>
      <c r="T182">
        <v>0.12045721400000001</v>
      </c>
    </row>
    <row r="183" spans="1:20" x14ac:dyDescent="0.35">
      <c r="A183" t="str">
        <f>Levels!A183</f>
        <v>2016Q2</v>
      </c>
      <c r="B183">
        <f>Normalized!B183</f>
        <v>27.55849114743468</v>
      </c>
      <c r="C183">
        <f>Normalized!C183</f>
        <v>7747.1916483700425</v>
      </c>
      <c r="D183">
        <f>Normalized!D183</f>
        <v>378503.68314343248</v>
      </c>
      <c r="E183">
        <f>Levels!E183/Levels!$Q183</f>
        <v>0.2064628246735648</v>
      </c>
      <c r="F183">
        <f>Levels!F183/Levels!$Q183</f>
        <v>0.67237685816522019</v>
      </c>
      <c r="G183" s="6">
        <v>2.6</v>
      </c>
      <c r="H183" s="4">
        <v>-1.20080875</v>
      </c>
      <c r="I183" s="4">
        <v>-0.25672500000000076</v>
      </c>
      <c r="J183">
        <v>3.3222286823374598</v>
      </c>
      <c r="K183">
        <v>-0.53872107720424101</v>
      </c>
      <c r="M183">
        <v>-3.9824469824765498</v>
      </c>
      <c r="N183" s="6">
        <v>1.3043499999999999</v>
      </c>
      <c r="O183">
        <v>0.78124466625646605</v>
      </c>
      <c r="P183">
        <v>0.84736692979958494</v>
      </c>
      <c r="Q183">
        <v>3.0398546748779065</v>
      </c>
      <c r="R183">
        <v>-0.39101440100000001</v>
      </c>
      <c r="S183">
        <v>0.53039319699999998</v>
      </c>
      <c r="T183">
        <v>0.12045721400000001</v>
      </c>
    </row>
    <row r="184" spans="1:20" x14ac:dyDescent="0.35">
      <c r="A184" t="str">
        <f>Levels!A184</f>
        <v>2016Q3</v>
      </c>
      <c r="B184">
        <f>Normalized!B184</f>
        <v>27.927327216098515</v>
      </c>
      <c r="C184">
        <f>Normalized!C184</f>
        <v>8015.4128237895666</v>
      </c>
      <c r="D184">
        <f>Normalized!D184</f>
        <v>385504.03473920241</v>
      </c>
      <c r="E184">
        <f>Levels!E184/Levels!$Q184</f>
        <v>0.20671608642708963</v>
      </c>
      <c r="F184">
        <f>Levels!F184/Levels!$Q184</f>
        <v>0.67201642017044927</v>
      </c>
      <c r="G184" s="6">
        <v>2.6</v>
      </c>
      <c r="H184" s="4">
        <v>-1.20080875</v>
      </c>
      <c r="I184" s="4">
        <v>-0.25672500000000076</v>
      </c>
      <c r="J184">
        <v>3.3222286823374598</v>
      </c>
      <c r="K184">
        <v>-0.53872107720424101</v>
      </c>
      <c r="M184">
        <v>-3.9824469824765498</v>
      </c>
      <c r="N184" s="6">
        <v>1.3043499999999999</v>
      </c>
      <c r="O184">
        <v>0.78124466625646605</v>
      </c>
      <c r="P184">
        <v>0.84736692979958494</v>
      </c>
      <c r="Q184">
        <v>3.0398546748779065</v>
      </c>
      <c r="R184">
        <v>-0.39101440100000001</v>
      </c>
      <c r="S184">
        <v>0.53039319699999998</v>
      </c>
      <c r="T184">
        <v>0.12045721400000001</v>
      </c>
    </row>
    <row r="185" spans="1:20" x14ac:dyDescent="0.35">
      <c r="A185" t="str">
        <f>Levels!A185</f>
        <v>2016Q4</v>
      </c>
      <c r="B185">
        <f>Normalized!B185</f>
        <v>28.078492815243436</v>
      </c>
      <c r="C185">
        <f>Normalized!C185</f>
        <v>8075.8608560342318</v>
      </c>
      <c r="D185">
        <f>Normalized!D185</f>
        <v>368603.95943927759</v>
      </c>
      <c r="E185">
        <f>Levels!E185/Levels!$Q185</f>
        <v>0.2073374068634716</v>
      </c>
      <c r="F185">
        <f>Levels!F185/Levels!$Q185</f>
        <v>0.67208191558668728</v>
      </c>
      <c r="G185" s="6">
        <v>2.6</v>
      </c>
      <c r="H185" s="4">
        <v>-1.20080875</v>
      </c>
      <c r="I185" s="4">
        <v>-0.25672500000000076</v>
      </c>
      <c r="J185">
        <v>3.3222286823374598</v>
      </c>
      <c r="K185">
        <v>-0.53872107720424101</v>
      </c>
      <c r="M185">
        <v>-3.9824469824765498</v>
      </c>
      <c r="N185" s="6">
        <v>1.3043499999999999</v>
      </c>
      <c r="O185">
        <v>0.78124466625646605</v>
      </c>
      <c r="P185">
        <v>0.84736692979958494</v>
      </c>
      <c r="Q185">
        <v>3.0398546748779065</v>
      </c>
      <c r="R185">
        <v>-0.39101440100000001</v>
      </c>
      <c r="S185">
        <v>0.53039319699999998</v>
      </c>
      <c r="T185">
        <v>0.12045721400000001</v>
      </c>
    </row>
    <row r="186" spans="1:20" x14ac:dyDescent="0.35">
      <c r="A186" t="str">
        <f>Levels!A186</f>
        <v>2017Q1</v>
      </c>
      <c r="B186">
        <f>Normalized!B186</f>
        <v>28.365626247088333</v>
      </c>
      <c r="C186">
        <f>Normalized!C186</f>
        <v>7908.3366263417574</v>
      </c>
      <c r="D186">
        <f>Normalized!D186</f>
        <v>372878.9668542947</v>
      </c>
      <c r="E186">
        <f>Levels!E186/Levels!$Q186</f>
        <v>0.20894356080861334</v>
      </c>
      <c r="F186">
        <f>Levels!F186/Levels!$Q186</f>
        <v>0.67478622794203635</v>
      </c>
      <c r="G186" s="6">
        <v>2.6</v>
      </c>
      <c r="H186" s="4">
        <v>-1.20080875</v>
      </c>
      <c r="I186" s="4">
        <v>-0.25672500000000076</v>
      </c>
      <c r="J186">
        <v>3.3222286823374598</v>
      </c>
      <c r="K186">
        <v>-0.53872107720424101</v>
      </c>
      <c r="M186">
        <v>-3.9824469824765498</v>
      </c>
      <c r="N186" s="6">
        <v>1.3043499999999999</v>
      </c>
      <c r="O186">
        <v>0.78124466625646605</v>
      </c>
      <c r="P186">
        <v>0.84736692979958494</v>
      </c>
      <c r="Q186">
        <v>3.0398546748779065</v>
      </c>
      <c r="R186">
        <v>-0.39101440100000001</v>
      </c>
      <c r="S186">
        <v>0.53039319699999998</v>
      </c>
      <c r="T186">
        <v>0.12045721400000001</v>
      </c>
    </row>
    <row r="187" spans="1:20" x14ac:dyDescent="0.35">
      <c r="A187" t="str">
        <f>Levels!A187</f>
        <v>2017Q2</v>
      </c>
      <c r="B187">
        <f>Normalized!B187</f>
        <v>28.746102019656302</v>
      </c>
      <c r="C187">
        <f>Normalized!C187</f>
        <v>7780.1253833304763</v>
      </c>
      <c r="D187">
        <f>Normalized!D187</f>
        <v>375959.30562549864</v>
      </c>
      <c r="E187">
        <f>Levels!E187/Levels!$Q187</f>
        <v>0.2099490089057266</v>
      </c>
      <c r="F187">
        <f>Levels!F187/Levels!$Q187</f>
        <v>0.67289432526038462</v>
      </c>
      <c r="G187" s="6">
        <v>2.6</v>
      </c>
      <c r="H187" s="4">
        <v>-1.20080875</v>
      </c>
      <c r="I187" s="4">
        <v>-0.25672500000000076</v>
      </c>
      <c r="J187">
        <v>3.3222286823374598</v>
      </c>
      <c r="K187">
        <v>-0.53872107720424101</v>
      </c>
      <c r="M187">
        <v>-3.9824469824765498</v>
      </c>
      <c r="N187" s="6">
        <v>1.3043499999999999</v>
      </c>
      <c r="O187">
        <v>0.78124466625646605</v>
      </c>
      <c r="P187">
        <v>0.84736692979958494</v>
      </c>
      <c r="Q187">
        <v>3.0398546748779065</v>
      </c>
      <c r="R187">
        <v>-0.39101440100000001</v>
      </c>
      <c r="S187">
        <v>0.53039319699999998</v>
      </c>
      <c r="T187">
        <v>0.12045721400000001</v>
      </c>
    </row>
    <row r="188" spans="1:20" x14ac:dyDescent="0.35">
      <c r="A188" t="str">
        <f>Levels!A188</f>
        <v>2017Q3</v>
      </c>
      <c r="B188">
        <f>Normalized!B188</f>
        <v>29.030627978979684</v>
      </c>
      <c r="C188">
        <f>Normalized!C188</f>
        <v>8122.0035374389627</v>
      </c>
      <c r="D188">
        <f>Normalized!D188</f>
        <v>379360.63715238433</v>
      </c>
      <c r="E188">
        <f>Levels!E188/Levels!$Q188</f>
        <v>0.20926507367555397</v>
      </c>
      <c r="F188">
        <f>Levels!F188/Levels!$Q188</f>
        <v>0.67119611975046578</v>
      </c>
      <c r="G188" s="6">
        <v>2.6</v>
      </c>
      <c r="H188" s="4">
        <v>-1.20080875</v>
      </c>
      <c r="I188" s="4">
        <v>-0.25672500000000076</v>
      </c>
      <c r="J188">
        <v>3.3222286823374598</v>
      </c>
      <c r="K188">
        <v>-0.53872107720424101</v>
      </c>
      <c r="M188">
        <v>-3.9824469824765498</v>
      </c>
      <c r="N188" s="6">
        <v>1.3043499999999999</v>
      </c>
      <c r="O188">
        <v>0.78124466625646605</v>
      </c>
      <c r="P188">
        <v>0.84736692979958494</v>
      </c>
      <c r="Q188">
        <v>3.0398546748779065</v>
      </c>
      <c r="R188">
        <v>-0.39101440100000001</v>
      </c>
      <c r="S188">
        <v>0.53039319699999998</v>
      </c>
      <c r="T188">
        <v>0.12045721400000001</v>
      </c>
    </row>
    <row r="189" spans="1:20" x14ac:dyDescent="0.35">
      <c r="A189" t="str">
        <f>Levels!A189</f>
        <v>2017Q4</v>
      </c>
      <c r="B189">
        <f>Normalized!B189</f>
        <v>29.529797946316691</v>
      </c>
      <c r="C189">
        <f>Normalized!C189</f>
        <v>8207.5198171794054</v>
      </c>
      <c r="D189">
        <f>Normalized!D189</f>
        <v>381612.70625837444</v>
      </c>
      <c r="E189">
        <f>Levels!E189/Levels!$Q189</f>
        <v>0.21180357503700104</v>
      </c>
      <c r="F189">
        <f>Levels!F189/Levels!$Q189</f>
        <v>0.67323998505706528</v>
      </c>
      <c r="G189" s="6">
        <v>2.6</v>
      </c>
      <c r="H189" s="4">
        <v>-1.20080875</v>
      </c>
      <c r="I189" s="4">
        <v>-0.25672500000000076</v>
      </c>
      <c r="J189">
        <v>3.3222286823374598</v>
      </c>
      <c r="K189">
        <v>-0.53872107720424101</v>
      </c>
      <c r="M189">
        <v>-3.9824469824765498</v>
      </c>
      <c r="N189" s="6">
        <v>1.3043499999999999</v>
      </c>
      <c r="O189">
        <v>0.78124466625646605</v>
      </c>
      <c r="P189">
        <v>0.84736692979958494</v>
      </c>
      <c r="Q189">
        <v>3.0398546748779065</v>
      </c>
      <c r="R189">
        <v>-0.39101440100000001</v>
      </c>
      <c r="S189">
        <v>0.53039319699999998</v>
      </c>
      <c r="T189">
        <v>0.12045721400000001</v>
      </c>
    </row>
    <row r="190" spans="1:20" x14ac:dyDescent="0.35">
      <c r="A190" t="str">
        <f>Levels!A190</f>
        <v>2018Q1</v>
      </c>
      <c r="B190">
        <f>Normalized!B190</f>
        <v>29.711711425408865</v>
      </c>
      <c r="C190">
        <f>Normalized!C190</f>
        <v>8477.7136368602078</v>
      </c>
      <c r="D190">
        <f>Normalized!D190</f>
        <v>369794.62094279123</v>
      </c>
      <c r="E190">
        <f>Levels!E190/Levels!$Q190</f>
        <v>0.2126708244728151</v>
      </c>
      <c r="F190">
        <f>Levels!F190/Levels!$Q190</f>
        <v>0.67473088629708522</v>
      </c>
      <c r="G190" s="6">
        <v>2.6</v>
      </c>
      <c r="H190" s="4">
        <v>-1.20080875</v>
      </c>
      <c r="I190" s="4">
        <v>-0.25672500000000076</v>
      </c>
      <c r="J190">
        <v>3.3222286823374598</v>
      </c>
      <c r="K190">
        <v>-0.53872107720424101</v>
      </c>
      <c r="M190">
        <v>-3.9824469824765498</v>
      </c>
      <c r="N190" s="6">
        <v>1.3043499999999999</v>
      </c>
      <c r="O190">
        <v>0.78124466625646605</v>
      </c>
      <c r="P190">
        <v>0.84736692979958494</v>
      </c>
      <c r="Q190">
        <v>3.0398546748779065</v>
      </c>
      <c r="R190">
        <v>-0.39101440100000001</v>
      </c>
      <c r="S190">
        <v>0.53039319699999998</v>
      </c>
      <c r="T190">
        <v>0.12045721400000001</v>
      </c>
    </row>
    <row r="191" spans="1:20" x14ac:dyDescent="0.35">
      <c r="A191" t="str">
        <f>Levels!A191</f>
        <v>2018Q2</v>
      </c>
      <c r="B191">
        <f>Normalized!B191</f>
        <v>30.260609902506442</v>
      </c>
      <c r="C191">
        <f>Normalized!C191</f>
        <v>8387.3422920758585</v>
      </c>
      <c r="D191">
        <f>Normalized!D191</f>
        <v>369420.12023789209</v>
      </c>
      <c r="E191">
        <f>Levels!E191/Levels!$Q191</f>
        <v>0.21436663541368794</v>
      </c>
      <c r="F191">
        <f>Levels!F191/Levels!$Q191</f>
        <v>0.67512875309084597</v>
      </c>
      <c r="G191" s="6">
        <v>2.6</v>
      </c>
      <c r="H191" s="4">
        <v>-1.20080875</v>
      </c>
      <c r="I191" s="4">
        <v>-0.25672500000000076</v>
      </c>
      <c r="J191">
        <v>3.3222286823374598</v>
      </c>
      <c r="K191">
        <v>-0.53872107720424101</v>
      </c>
      <c r="M191">
        <v>-3.9824469824765498</v>
      </c>
      <c r="N191" s="6">
        <v>1.3043499999999999</v>
      </c>
      <c r="O191">
        <v>0.78124466625646605</v>
      </c>
      <c r="P191">
        <v>0.84736692979958494</v>
      </c>
      <c r="Q191">
        <v>3.0398546748779065</v>
      </c>
      <c r="R191">
        <v>-0.39101440100000001</v>
      </c>
      <c r="S191">
        <v>0.53039319699999998</v>
      </c>
      <c r="T191">
        <v>0.12045721400000001</v>
      </c>
    </row>
    <row r="192" spans="1:20" x14ac:dyDescent="0.35">
      <c r="A192" t="str">
        <f>Levels!A192</f>
        <v>2018Q3</v>
      </c>
      <c r="B192">
        <f>Normalized!B192</f>
        <v>30.569307053405844</v>
      </c>
      <c r="C192">
        <f>Normalized!C192</f>
        <v>8396.7908747788388</v>
      </c>
      <c r="D192">
        <f>Normalized!D192</f>
        <v>367551.54073754093</v>
      </c>
      <c r="E192">
        <f>Levels!E192/Levels!$Q192</f>
        <v>0.2136473176002158</v>
      </c>
      <c r="F192">
        <f>Levels!F192/Levels!$Q192</f>
        <v>0.67348072623047783</v>
      </c>
      <c r="G192" s="6">
        <v>2.6</v>
      </c>
      <c r="H192" s="4">
        <v>-1.20080875</v>
      </c>
      <c r="I192" s="4">
        <v>-0.25672500000000076</v>
      </c>
      <c r="J192">
        <v>3.3222286823374598</v>
      </c>
      <c r="K192">
        <v>-0.53872107720424101</v>
      </c>
      <c r="M192">
        <v>-3.9824469824765498</v>
      </c>
      <c r="N192" s="6">
        <v>1.3043499999999999</v>
      </c>
      <c r="O192">
        <v>0.78124466625646605</v>
      </c>
      <c r="P192">
        <v>0.84736692979958494</v>
      </c>
      <c r="Q192">
        <v>3.0398546748779065</v>
      </c>
      <c r="R192">
        <v>-0.39101440100000001</v>
      </c>
      <c r="S192">
        <v>0.53039319699999998</v>
      </c>
      <c r="T192">
        <v>0.12045721400000001</v>
      </c>
    </row>
    <row r="193" spans="1:20" x14ac:dyDescent="0.35">
      <c r="A193" t="str">
        <f>Levels!A193</f>
        <v>2018Q4</v>
      </c>
      <c r="B193">
        <f>Normalized!B193</f>
        <v>30.912642199597574</v>
      </c>
      <c r="C193">
        <f>Normalized!C193</f>
        <v>8880.7327744361737</v>
      </c>
      <c r="D193">
        <f>Normalized!D193</f>
        <v>370797.00838024449</v>
      </c>
      <c r="E193">
        <f>Levels!E193/Levels!$Q193</f>
        <v>0.21325366887478586</v>
      </c>
      <c r="F193">
        <f>Levels!F193/Levels!$Q193</f>
        <v>0.67430656165568326</v>
      </c>
      <c r="G193" s="6">
        <v>2.6</v>
      </c>
      <c r="H193" s="4">
        <v>-1.20080875</v>
      </c>
      <c r="I193" s="4">
        <v>-0.25672500000000076</v>
      </c>
      <c r="J193">
        <v>3.3222286823374598</v>
      </c>
      <c r="K193">
        <v>-0.53872107720424101</v>
      </c>
      <c r="M193">
        <v>-3.9824469824765498</v>
      </c>
      <c r="N193" s="6">
        <v>1.3043499999999999</v>
      </c>
      <c r="O193">
        <v>0.78124466625646605</v>
      </c>
      <c r="P193">
        <v>0.84736692979958494</v>
      </c>
      <c r="Q193">
        <v>3.0398546748779065</v>
      </c>
      <c r="R193">
        <v>-0.39101440100000001</v>
      </c>
      <c r="S193">
        <v>0.53039319699999998</v>
      </c>
      <c r="T193">
        <v>0.12045721400000001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E1DE-6552-4283-AEFE-7D33A2672BD5}">
  <dimension ref="A1:T211"/>
  <sheetViews>
    <sheetView workbookViewId="0">
      <selection activeCell="C2" sqref="C2"/>
    </sheetView>
  </sheetViews>
  <sheetFormatPr defaultRowHeight="14.5" x14ac:dyDescent="0.35"/>
  <cols>
    <col min="2" max="2" width="11.81640625" bestFit="1" customWidth="1"/>
  </cols>
  <sheetData>
    <row r="1" spans="1:20" x14ac:dyDescent="0.35">
      <c r="A1" t="str">
        <f>Levels!A1</f>
        <v>date</v>
      </c>
      <c r="B1" t="str">
        <f>Levels!B1</f>
        <v>credit</v>
      </c>
      <c r="C1" t="str">
        <f>Levels!C1</f>
        <v>trsry security</v>
      </c>
      <c r="D1" t="str">
        <f>Levels!D1</f>
        <v>net worth</v>
      </c>
      <c r="E1" t="str">
        <f>Levels!E1</f>
        <v>GFCF</v>
      </c>
      <c r="F1" t="str">
        <f>Levels!F1</f>
        <v>cons</v>
      </c>
      <c r="G1" t="str">
        <f>Levels!G1</f>
        <v>hours</v>
      </c>
      <c r="H1" t="str">
        <f>Levels!H1</f>
        <v>Real 3m r</v>
      </c>
      <c r="I1" t="str">
        <f>Levels!I1</f>
        <v>Real 10y r</v>
      </c>
      <c r="J1" t="str">
        <f>Levels!J1</f>
        <v>logQ</v>
      </c>
      <c r="K1" t="str">
        <f>Levels!K1</f>
        <v>ret</v>
      </c>
      <c r="L1" t="str">
        <f>Levels!L1</f>
        <v>gz_spr</v>
      </c>
      <c r="M1" t="str">
        <f>Levels!M1</f>
        <v>ExcR</v>
      </c>
      <c r="N1" t="str">
        <f>Levels!N1</f>
        <v>infl</v>
      </c>
      <c r="O1" t="str">
        <f>Levels!O1</f>
        <v>JLN</v>
      </c>
      <c r="P1" t="str">
        <f>Levels!P1</f>
        <v>JLN_F</v>
      </c>
      <c r="Q1" t="str">
        <f>Levels!Q1</f>
        <v>GDP</v>
      </c>
      <c r="R1" t="s">
        <v>227</v>
      </c>
      <c r="S1" t="s">
        <v>228</v>
      </c>
      <c r="T1" t="s">
        <v>229</v>
      </c>
    </row>
    <row r="2" spans="1:20" x14ac:dyDescent="0.35">
      <c r="A2" t="s">
        <v>1</v>
      </c>
      <c r="B2">
        <f>Levels!B2/(Levels!$R2*1000)</f>
        <v>1.1469861056754895</v>
      </c>
      <c r="C2">
        <f>Levels!C2/(Levels!$R2*1000)</f>
        <v>216.2952296511844</v>
      </c>
      <c r="D2">
        <f>Levels!D2/EXP(Levels!$J2)</f>
        <v>21804.202101156126</v>
      </c>
      <c r="F2">
        <f>Levels!F2/Levels!$Q2</f>
        <v>0.6125077074527232</v>
      </c>
      <c r="G2" s="6">
        <v>-2.1</v>
      </c>
      <c r="H2" s="4">
        <v>-1.1999911475409832</v>
      </c>
      <c r="I2" s="4">
        <v>-0.49996227946916427</v>
      </c>
      <c r="J2">
        <v>1.9854294841089</v>
      </c>
      <c r="K2">
        <v>0.19569738980662199</v>
      </c>
      <c r="M2">
        <v>2.4406014718644999</v>
      </c>
      <c r="N2" s="6">
        <v>5.0037700000000003</v>
      </c>
      <c r="O2">
        <v>0.79096955613266395</v>
      </c>
      <c r="P2">
        <v>0.97779341102097905</v>
      </c>
      <c r="Q2" s="1">
        <v>5072.9960000000001</v>
      </c>
      <c r="R2">
        <v>-4.2005675519999999</v>
      </c>
      <c r="S2">
        <v>3.5197163480000002</v>
      </c>
      <c r="T2">
        <v>4.7928510000000001E-2</v>
      </c>
    </row>
    <row r="3" spans="1:20" x14ac:dyDescent="0.35">
      <c r="A3" t="s">
        <v>2</v>
      </c>
      <c r="B3">
        <f>Levels!B3/(Levels!$R3*1000)</f>
        <v>1.1817508852124836</v>
      </c>
      <c r="C3">
        <f>Levels!C3/(Levels!$R3*1000)</f>
        <v>215.13126349103032</v>
      </c>
      <c r="D3">
        <f>Levels!D3/EXP(Levels!$J3)</f>
        <v>21916.490825591365</v>
      </c>
      <c r="E3" s="2"/>
      <c r="F3">
        <f>Levels!F3/Levels!$Q3</f>
        <v>0.61414629847406599</v>
      </c>
      <c r="G3" s="6">
        <v>-0.5</v>
      </c>
      <c r="H3" s="4">
        <v>-0.57537904761904812</v>
      </c>
      <c r="I3" s="4">
        <v>-0.33476317460317428</v>
      </c>
      <c r="J3">
        <v>2.0035370992705901</v>
      </c>
      <c r="K3">
        <v>0.17269642418539802</v>
      </c>
      <c r="M3">
        <v>1.89722219049529</v>
      </c>
      <c r="N3" s="6">
        <v>5.0178599999999998</v>
      </c>
      <c r="O3">
        <v>0.75466324140772201</v>
      </c>
      <c r="P3">
        <v>0.93890474327853302</v>
      </c>
      <c r="Q3" s="1">
        <v>5100.4470000000001</v>
      </c>
      <c r="R3">
        <v>1.0692357020000001</v>
      </c>
      <c r="S3">
        <v>-1.3260016530000001</v>
      </c>
      <c r="T3">
        <v>-0.20350855100000001</v>
      </c>
    </row>
    <row r="4" spans="1:20" x14ac:dyDescent="0.35">
      <c r="A4" t="s">
        <v>3</v>
      </c>
      <c r="B4">
        <f>Levels!B4/(Levels!$R4*1000)</f>
        <v>1.2083142998695851</v>
      </c>
      <c r="C4">
        <f>Levels!C4/(Levels!$R4*1000)</f>
        <v>212.95609288493259</v>
      </c>
      <c r="D4">
        <f>Levels!D4/EXP(Levels!$J4)</f>
        <v>22827.07436656595</v>
      </c>
      <c r="E4" s="2"/>
      <c r="F4">
        <f>Levels!F4/Levels!$Q4</f>
        <v>0.61231840888952904</v>
      </c>
      <c r="G4" s="6">
        <v>0</v>
      </c>
      <c r="H4" s="4">
        <v>1.0299225000000001</v>
      </c>
      <c r="I4" s="4">
        <v>-0.17078910714285733</v>
      </c>
      <c r="J4">
        <v>1.9910998459870799</v>
      </c>
      <c r="K4">
        <v>-8.2923813247211695E-2</v>
      </c>
      <c r="M4">
        <v>1.6608248586976599</v>
      </c>
      <c r="N4" s="6">
        <v>4.8377600000000003</v>
      </c>
      <c r="O4">
        <v>0.76033864456955003</v>
      </c>
      <c r="P4">
        <v>0.94071233916643904</v>
      </c>
      <c r="Q4" s="1">
        <v>5142.4219999999996</v>
      </c>
      <c r="R4">
        <v>-1.079585612</v>
      </c>
      <c r="S4">
        <v>0.29892607999999998</v>
      </c>
      <c r="T4">
        <v>0.40864257500000001</v>
      </c>
    </row>
    <row r="5" spans="1:20" x14ac:dyDescent="0.35">
      <c r="A5" t="s">
        <v>4</v>
      </c>
      <c r="B5">
        <f>Levels!B5/(Levels!$R5*1000)</f>
        <v>1.2398682973364867</v>
      </c>
      <c r="C5">
        <f>Levels!C5/(Levels!$R5*1000)</f>
        <v>222.96120156502673</v>
      </c>
      <c r="D5">
        <f>Levels!D5/EXP(Levels!$J5)</f>
        <v>23906.508465466271</v>
      </c>
      <c r="E5" s="2"/>
      <c r="F5">
        <f>Levels!F5/Levels!$Q5</f>
        <v>0.61735026197537479</v>
      </c>
      <c r="G5" s="6">
        <v>1.9</v>
      </c>
      <c r="H5" s="4">
        <v>0.55639672131147533</v>
      </c>
      <c r="I5" s="4">
        <v>-0.8234862607338016</v>
      </c>
      <c r="J5">
        <v>1.9819173407080799</v>
      </c>
      <c r="K5">
        <v>9.0832647667238295E-2</v>
      </c>
      <c r="M5">
        <v>1.65537770934155</v>
      </c>
      <c r="N5" s="6">
        <v>3.9778899999999999</v>
      </c>
      <c r="O5">
        <v>0.75628188058049906</v>
      </c>
      <c r="P5">
        <v>0.94820076038364898</v>
      </c>
      <c r="Q5" s="1">
        <v>5154.5469999999996</v>
      </c>
      <c r="R5">
        <v>2.398831258</v>
      </c>
      <c r="S5">
        <v>-0.26675264500000001</v>
      </c>
      <c r="T5">
        <v>0.47947587699999999</v>
      </c>
    </row>
    <row r="6" spans="1:20" x14ac:dyDescent="0.35">
      <c r="A6" t="s">
        <v>5</v>
      </c>
      <c r="B6">
        <f>Levels!B6/(Levels!$R6*1000)</f>
        <v>1.2631117338904718</v>
      </c>
      <c r="C6">
        <f>Levels!C6/(Levels!$R6*1000)</f>
        <v>222.28529747102596</v>
      </c>
      <c r="D6">
        <f>Levels!D6/EXP(Levels!$J6)</f>
        <v>23872.215883725577</v>
      </c>
      <c r="E6">
        <f>Levels!E6/Levels!$Q6</f>
        <v>0.17307652375909566</v>
      </c>
      <c r="F6">
        <f>Levels!F6/Levels!$Q6</f>
        <v>0.6145938698486304</v>
      </c>
      <c r="G6" s="6">
        <v>2.6</v>
      </c>
      <c r="H6" s="4">
        <v>0.26047682539682526</v>
      </c>
      <c r="I6" s="4">
        <v>-0.74157349206349199</v>
      </c>
      <c r="J6">
        <v>2.0227772548784402</v>
      </c>
      <c r="K6">
        <v>-0.89174984140168601</v>
      </c>
      <c r="M6">
        <v>0.95439693102841205</v>
      </c>
      <c r="N6" s="6">
        <v>3.6617999999999999</v>
      </c>
      <c r="O6">
        <v>0.74905766918581196</v>
      </c>
      <c r="P6">
        <v>0.89377226659146602</v>
      </c>
      <c r="Q6" s="1">
        <v>5249.3370000000004</v>
      </c>
      <c r="R6">
        <v>0.55881061499999996</v>
      </c>
      <c r="S6">
        <v>2.9088960180000001</v>
      </c>
      <c r="T6">
        <v>-3.6705216630000002</v>
      </c>
    </row>
    <row r="7" spans="1:20" x14ac:dyDescent="0.35">
      <c r="A7" t="s">
        <v>6</v>
      </c>
      <c r="B7">
        <f>Levels!B7/(Levels!$R7*1000)</f>
        <v>1.3085801232577472</v>
      </c>
      <c r="C7">
        <f>Levels!C7/(Levels!$R7*1000)</f>
        <v>221.31268432494383</v>
      </c>
      <c r="D7">
        <f>Levels!D7/EXP(Levels!$J7)</f>
        <v>23928.732133326561</v>
      </c>
      <c r="E7">
        <f>Levels!E7/Levels!$Q7</f>
        <v>0.17124849934385586</v>
      </c>
      <c r="F7">
        <f>Levels!F7/Levels!$Q7</f>
        <v>0.61032985159590802</v>
      </c>
      <c r="G7" s="6">
        <v>3</v>
      </c>
      <c r="H7" s="4">
        <v>0.78059749999999983</v>
      </c>
      <c r="I7" s="4">
        <v>-0.69670607142857222</v>
      </c>
      <c r="J7">
        <v>2.0331157848759598</v>
      </c>
      <c r="K7">
        <v>-3.5339051920940702E-2</v>
      </c>
      <c r="M7">
        <v>1.8877983893396499</v>
      </c>
      <c r="N7" s="6">
        <v>3.18492</v>
      </c>
      <c r="O7">
        <v>0.72086478063553305</v>
      </c>
      <c r="P7">
        <v>0.86197467630532798</v>
      </c>
      <c r="Q7" s="1">
        <v>5368.4849999999997</v>
      </c>
      <c r="R7">
        <v>-0.61409979999999997</v>
      </c>
      <c r="S7">
        <v>-1.3445919980000001</v>
      </c>
      <c r="T7">
        <v>0.183849386</v>
      </c>
    </row>
    <row r="8" spans="1:20" x14ac:dyDescent="0.35">
      <c r="A8" t="s">
        <v>7</v>
      </c>
      <c r="B8">
        <f>Levels!B8/(Levels!$R8*1000)</f>
        <v>1.3403831707313376</v>
      </c>
      <c r="C8">
        <f>Levels!C8/(Levels!$R8*1000)</f>
        <v>218.85209917052958</v>
      </c>
      <c r="D8">
        <f>Levels!D8/EXP(Levels!$J8)</f>
        <v>24589.231263334379</v>
      </c>
      <c r="E8">
        <f>Levels!E8/Levels!$Q8</f>
        <v>0.1693225400724537</v>
      </c>
      <c r="F8">
        <f>Levels!F8/Levels!$Q8</f>
        <v>0.61441682246859342</v>
      </c>
      <c r="G8" s="6">
        <v>3.5</v>
      </c>
      <c r="H8" s="4">
        <v>1.1635023809523806</v>
      </c>
      <c r="I8" s="4">
        <v>-0.61610666666666525</v>
      </c>
      <c r="J8">
        <v>2.0413836183108098</v>
      </c>
      <c r="K8">
        <v>-0.55965761187401708</v>
      </c>
      <c r="M8">
        <v>1.0524892457719399</v>
      </c>
      <c r="N8" s="6">
        <v>2.9903400000000002</v>
      </c>
      <c r="O8">
        <v>0.75740919806524198</v>
      </c>
      <c r="P8">
        <v>0.88100813043735604</v>
      </c>
      <c r="Q8" s="1">
        <v>5419.1840000000002</v>
      </c>
      <c r="R8">
        <v>1.5322160600000001</v>
      </c>
      <c r="S8">
        <v>-4.5506628E-2</v>
      </c>
      <c r="T8">
        <v>-2.9725927999999999E-2</v>
      </c>
    </row>
    <row r="9" spans="1:20" x14ac:dyDescent="0.35">
      <c r="A9" t="s">
        <v>8</v>
      </c>
      <c r="B9">
        <f>Levels!B9/(Levels!$R9*1000)</f>
        <v>1.3872765632804163</v>
      </c>
      <c r="C9">
        <f>Levels!C9/(Levels!$R9*1000)</f>
        <v>228.73921788568208</v>
      </c>
      <c r="D9">
        <f>Levels!D9/EXP(Levels!$J9)</f>
        <v>25220.008579687139</v>
      </c>
      <c r="E9">
        <f>Levels!E9/Levels!$Q9</f>
        <v>0.17364570776449628</v>
      </c>
      <c r="F9">
        <f>Levels!F9/Levels!$Q9</f>
        <v>0.61893751336122915</v>
      </c>
      <c r="G9" s="6">
        <v>3.5</v>
      </c>
      <c r="H9" s="4">
        <v>2.0814833333333334</v>
      </c>
      <c r="I9" s="4">
        <v>-0.59691595238095108</v>
      </c>
      <c r="J9">
        <v>2.0655565951187702</v>
      </c>
      <c r="K9">
        <v>-0.681468118916423</v>
      </c>
      <c r="M9">
        <v>1.35687421896618</v>
      </c>
      <c r="N9" s="6">
        <v>3.04745</v>
      </c>
      <c r="O9">
        <v>0.78272068928217198</v>
      </c>
      <c r="P9">
        <v>0.92604829909453401</v>
      </c>
      <c r="Q9" s="1">
        <v>5509.9260000000004</v>
      </c>
      <c r="R9">
        <v>4.0139768059999996</v>
      </c>
      <c r="S9">
        <v>0.10468662300000001</v>
      </c>
      <c r="T9">
        <v>-0.211610944</v>
      </c>
    </row>
    <row r="10" spans="1:20" x14ac:dyDescent="0.35">
      <c r="A10" t="s">
        <v>9</v>
      </c>
      <c r="B10">
        <f>Levels!B10/(Levels!$R10*1000)</f>
        <v>1.4264018748255689</v>
      </c>
      <c r="C10">
        <f>Levels!C10/(Levels!$R10*1000)</f>
        <v>224.99799348254871</v>
      </c>
      <c r="D10">
        <f>Levels!D10/EXP(Levels!$J10)</f>
        <v>26285.509524262376</v>
      </c>
      <c r="E10">
        <f>Levels!E10/Levels!$Q10</f>
        <v>0.17642765527640647</v>
      </c>
      <c r="F10">
        <f>Levels!F10/Levels!$Q10</f>
        <v>0.61779398002017683</v>
      </c>
      <c r="G10" s="6">
        <v>3.9</v>
      </c>
      <c r="H10" s="4">
        <v>2.2260941935483873</v>
      </c>
      <c r="I10" s="4">
        <v>-0.4193127342549916</v>
      </c>
      <c r="J10">
        <v>2.0605947058432599</v>
      </c>
      <c r="K10">
        <v>-3.8180952976452097E-2</v>
      </c>
      <c r="L10">
        <v>0.88959999999999995</v>
      </c>
      <c r="M10">
        <v>2.1151618073140801</v>
      </c>
      <c r="N10" s="6">
        <v>2.7813500000000002</v>
      </c>
      <c r="O10">
        <v>0.82162466755668295</v>
      </c>
      <c r="P10">
        <v>1.0025216840570099</v>
      </c>
      <c r="Q10" s="1">
        <v>5646.2860000000001</v>
      </c>
      <c r="R10">
        <v>1.68865036</v>
      </c>
      <c r="S10">
        <v>0.692187102</v>
      </c>
      <c r="T10">
        <v>0.30885107499999997</v>
      </c>
    </row>
    <row r="11" spans="1:20" x14ac:dyDescent="0.35">
      <c r="A11" t="s">
        <v>10</v>
      </c>
      <c r="B11">
        <f>Levels!B11/(Levels!$R11*1000)</f>
        <v>1.4787258029966106</v>
      </c>
      <c r="C11">
        <f>Levels!C11/(Levels!$R11*1000)</f>
        <v>223.23326536704499</v>
      </c>
      <c r="D11">
        <f>Levels!D11/EXP(Levels!$J11)</f>
        <v>27740.003289084441</v>
      </c>
      <c r="E11">
        <f>Levels!E11/Levels!$Q11</f>
        <v>0.17466692245900534</v>
      </c>
      <c r="F11">
        <f>Levels!F11/Levels!$Q11</f>
        <v>0.61832286312729068</v>
      </c>
      <c r="G11" s="6">
        <v>4.2</v>
      </c>
      <c r="H11" s="4">
        <v>2.5281507936507941</v>
      </c>
      <c r="I11" s="4">
        <v>-0.26696047619047381</v>
      </c>
      <c r="J11">
        <v>2.02940431203595</v>
      </c>
      <c r="K11">
        <v>0.72880494832131004</v>
      </c>
      <c r="L11">
        <v>0.84709999999999996</v>
      </c>
      <c r="M11">
        <v>3.0131481310085202</v>
      </c>
      <c r="N11" s="6">
        <v>3.48068</v>
      </c>
      <c r="O11">
        <v>0.85461161731455704</v>
      </c>
      <c r="P11">
        <v>1.06804088277295</v>
      </c>
      <c r="Q11" s="1">
        <v>5707.7550000000001</v>
      </c>
      <c r="R11">
        <v>1.8592563150000001</v>
      </c>
      <c r="S11">
        <v>-1.252370848</v>
      </c>
      <c r="T11">
        <v>1.312444078</v>
      </c>
    </row>
    <row r="12" spans="1:20" x14ac:dyDescent="0.35">
      <c r="A12" t="s">
        <v>11</v>
      </c>
      <c r="B12">
        <f>Levels!B12/(Levels!$R12*1000)</f>
        <v>1.5224616319024202</v>
      </c>
      <c r="C12">
        <f>Levels!C12/(Levels!$R12*1000)</f>
        <v>219.70759614926533</v>
      </c>
      <c r="D12">
        <f>Levels!D12/EXP(Levels!$J12)</f>
        <v>29927.056582721194</v>
      </c>
      <c r="E12">
        <f>Levels!E12/Levels!$Q12</f>
        <v>0.17410296142583542</v>
      </c>
      <c r="F12">
        <f>Levels!F12/Levels!$Q12</f>
        <v>0.62967048134299752</v>
      </c>
      <c r="G12" s="6">
        <v>4.3</v>
      </c>
      <c r="H12" s="4">
        <v>3.4716693650793644</v>
      </c>
      <c r="I12" s="4">
        <v>0.12014968253968394</v>
      </c>
      <c r="J12">
        <v>2.0268212039414402</v>
      </c>
      <c r="K12">
        <v>7.4922403621902098E-2</v>
      </c>
      <c r="L12">
        <v>0.69550000000000001</v>
      </c>
      <c r="M12">
        <v>2.0486348456980101</v>
      </c>
      <c r="N12" s="6">
        <v>4.0754999999999999</v>
      </c>
      <c r="O12">
        <v>0.94089069224208299</v>
      </c>
      <c r="P12">
        <v>1.1392991253110301</v>
      </c>
      <c r="Q12" s="1">
        <v>5677.7380000000003</v>
      </c>
      <c r="R12">
        <v>3.5375631790000002</v>
      </c>
      <c r="S12">
        <v>0.26813095100000001</v>
      </c>
      <c r="T12">
        <v>1.2148524089999999</v>
      </c>
    </row>
    <row r="13" spans="1:20" x14ac:dyDescent="0.35">
      <c r="A13" t="s">
        <v>12</v>
      </c>
      <c r="B13">
        <f>Levels!B13/(Levels!$R13*1000)</f>
        <v>1.5604965358405294</v>
      </c>
      <c r="C13">
        <f>Levels!C13/(Levels!$R13*1000)</f>
        <v>228.41444835605901</v>
      </c>
      <c r="D13">
        <f>Levels!D13/EXP(Levels!$J13)</f>
        <v>30873.860606168077</v>
      </c>
      <c r="E13">
        <f>Levels!E13/Levels!$Q13</f>
        <v>0.17143947831961301</v>
      </c>
      <c r="F13">
        <f>Levels!F13/Levels!$Q13</f>
        <v>0.62826641956076035</v>
      </c>
      <c r="G13" s="6">
        <v>3.8</v>
      </c>
      <c r="H13" s="4">
        <v>1.5712566666666667</v>
      </c>
      <c r="I13" s="4">
        <v>-0.34416785714285592</v>
      </c>
      <c r="J13">
        <v>1.99265843806265</v>
      </c>
      <c r="K13">
        <v>1.0961418735848101</v>
      </c>
      <c r="L13">
        <v>1.0661</v>
      </c>
      <c r="M13">
        <v>4.0151528543903598</v>
      </c>
      <c r="N13" s="6">
        <v>4.86341</v>
      </c>
      <c r="O13">
        <v>0.94060057207050796</v>
      </c>
      <c r="P13">
        <v>1.19641641544229</v>
      </c>
      <c r="Q13" s="1">
        <v>5731.6319999999996</v>
      </c>
      <c r="R13">
        <v>1.707309907</v>
      </c>
      <c r="S13">
        <v>0.11346682</v>
      </c>
      <c r="T13">
        <v>-1.917343633</v>
      </c>
    </row>
    <row r="14" spans="1:20" x14ac:dyDescent="0.35">
      <c r="A14" t="s">
        <v>13</v>
      </c>
      <c r="B14">
        <f>Levels!B14/(Levels!$R14*1000)</f>
        <v>1.5866711715830588</v>
      </c>
      <c r="C14">
        <f>Levels!C14/(Levels!$R14*1000)</f>
        <v>224.96348500444697</v>
      </c>
      <c r="D14">
        <f>Levels!D14/EXP(Levels!$J14)</f>
        <v>32325.489740500758</v>
      </c>
      <c r="E14">
        <f>Levels!E14/Levels!$Q14</f>
        <v>0.17138639574134165</v>
      </c>
      <c r="F14">
        <f>Levels!F14/Levels!$Q14</f>
        <v>0.63897459680411539</v>
      </c>
      <c r="G14" s="6">
        <v>1.8</v>
      </c>
      <c r="H14" s="4">
        <v>0.54385196721311502</v>
      </c>
      <c r="I14" s="4">
        <v>-3.8360526932081029E-2</v>
      </c>
      <c r="J14">
        <v>1.9806950527515499</v>
      </c>
      <c r="K14">
        <v>0.13757707837368899</v>
      </c>
      <c r="L14">
        <v>0.98280000000000001</v>
      </c>
      <c r="M14">
        <v>2.7278288044483001</v>
      </c>
      <c r="N14" s="6">
        <v>5.92591</v>
      </c>
      <c r="O14">
        <v>0.92797056191534899</v>
      </c>
      <c r="P14">
        <v>1.11474869908889</v>
      </c>
      <c r="Q14" s="1">
        <v>5682.3530000000001</v>
      </c>
      <c r="R14">
        <v>-0.36504645800000002</v>
      </c>
      <c r="S14">
        <v>-0.73052763300000001</v>
      </c>
      <c r="T14">
        <v>-0.10677294499999999</v>
      </c>
    </row>
    <row r="15" spans="1:20" x14ac:dyDescent="0.35">
      <c r="A15" t="s">
        <v>14</v>
      </c>
      <c r="B15">
        <f>Levels!B15/(Levels!$R15*1000)</f>
        <v>1.6406855109159393</v>
      </c>
      <c r="C15">
        <f>Levels!C15/(Levels!$R15*1000)</f>
        <v>224.40984116918065</v>
      </c>
      <c r="D15">
        <f>Levels!D15/EXP(Levels!$J15)</f>
        <v>34346.310157003303</v>
      </c>
      <c r="E15">
        <f>Levels!E15/Levels!$Q15</f>
        <v>0.17037447731764427</v>
      </c>
      <c r="F15">
        <f>Levels!F15/Levels!$Q15</f>
        <v>0.64824991437379698</v>
      </c>
      <c r="G15" s="6">
        <v>1</v>
      </c>
      <c r="H15" s="4">
        <v>-0.55646492063492126</v>
      </c>
      <c r="I15" s="4">
        <v>0.49468238095238348</v>
      </c>
      <c r="J15">
        <v>1.94278924507463</v>
      </c>
      <c r="K15">
        <v>1.12301306209976</v>
      </c>
      <c r="L15">
        <v>1.1518999999999999</v>
      </c>
      <c r="M15">
        <v>2.9483717369566902</v>
      </c>
      <c r="N15" s="6">
        <v>7.1012300000000002</v>
      </c>
      <c r="O15">
        <v>0.93079600840638499</v>
      </c>
      <c r="P15">
        <v>1.1263068837869601</v>
      </c>
      <c r="Q15" s="1">
        <v>5695.8590000000004</v>
      </c>
      <c r="R15">
        <v>1.475847162</v>
      </c>
      <c r="S15">
        <v>0.14781981899999999</v>
      </c>
      <c r="T15">
        <v>1.8949369039999999</v>
      </c>
    </row>
    <row r="16" spans="1:20" x14ac:dyDescent="0.35">
      <c r="A16" t="s">
        <v>15</v>
      </c>
      <c r="B16">
        <f>Levels!B16/(Levels!$R16*1000)</f>
        <v>1.6798144271406121</v>
      </c>
      <c r="C16">
        <f>Levels!C16/(Levels!$R16*1000)</f>
        <v>222.84509323105081</v>
      </c>
      <c r="D16">
        <f>Levels!D16/EXP(Levels!$J16)</f>
        <v>36061.849699427388</v>
      </c>
      <c r="E16">
        <f>Levels!E16/Levels!$Q16</f>
        <v>0.16905933596536704</v>
      </c>
      <c r="F16">
        <f>Levels!F16/Levels!$Q16</f>
        <v>0.66318682448699062</v>
      </c>
      <c r="G16" s="6">
        <v>0</v>
      </c>
      <c r="H16" s="4">
        <v>-1.6525712499999994</v>
      </c>
      <c r="I16" s="4">
        <v>0.98917160714285846</v>
      </c>
      <c r="J16">
        <v>1.8519564473152501</v>
      </c>
      <c r="K16">
        <v>1.05794560886983</v>
      </c>
      <c r="L16">
        <v>1.9156</v>
      </c>
      <c r="M16">
        <v>2.88961191468908</v>
      </c>
      <c r="N16" s="6">
        <v>8.7158300000000004</v>
      </c>
      <c r="O16">
        <v>0.959433592484772</v>
      </c>
      <c r="P16">
        <v>1.20853578899459</v>
      </c>
      <c r="Q16" s="1">
        <v>5642.0249999999996</v>
      </c>
      <c r="R16">
        <v>0.85070264399999995</v>
      </c>
      <c r="S16">
        <v>-0.83917507599999996</v>
      </c>
      <c r="T16">
        <v>3.4635749009999999</v>
      </c>
    </row>
    <row r="17" spans="1:20" x14ac:dyDescent="0.35">
      <c r="A17" t="s">
        <v>16</v>
      </c>
      <c r="B17">
        <f>Levels!B17/(Levels!$R17*1000)</f>
        <v>1.7130008020670364</v>
      </c>
      <c r="C17">
        <f>Levels!C17/(Levels!$R17*1000)</f>
        <v>229.07815198430251</v>
      </c>
      <c r="D17">
        <f>Levels!D17/EXP(Levels!$J17)</f>
        <v>38346.851471878719</v>
      </c>
      <c r="E17">
        <f>Levels!E17/Levels!$Q17</f>
        <v>0.16216344615761283</v>
      </c>
      <c r="F17">
        <f>Levels!F17/Levels!$Q17</f>
        <v>0.6583001316477527</v>
      </c>
      <c r="G17" s="6">
        <v>-2.1</v>
      </c>
      <c r="H17" s="4">
        <v>-2.7436993442622946</v>
      </c>
      <c r="I17" s="4">
        <v>0.80944858704137435</v>
      </c>
      <c r="J17">
        <v>1.8411448393403</v>
      </c>
      <c r="K17">
        <v>0.63063488942456403</v>
      </c>
      <c r="L17">
        <v>2.0764</v>
      </c>
      <c r="M17">
        <v>4.1781395457674</v>
      </c>
      <c r="N17" s="6">
        <v>9.8455399999999997</v>
      </c>
      <c r="O17">
        <v>0.99742135048234004</v>
      </c>
      <c r="P17">
        <v>1.2550740304563901</v>
      </c>
      <c r="Q17" s="1">
        <v>5620.1260000000002</v>
      </c>
      <c r="R17">
        <v>-5.7580010330000002</v>
      </c>
      <c r="S17">
        <v>-5.0263148429999998</v>
      </c>
      <c r="T17">
        <v>3.9206876290000001</v>
      </c>
    </row>
    <row r="18" spans="1:20" x14ac:dyDescent="0.35">
      <c r="A18" t="s">
        <v>17</v>
      </c>
      <c r="B18">
        <f>Levels!B18/(Levels!$R18*1000)</f>
        <v>1.7188820625498575</v>
      </c>
      <c r="C18">
        <f>Levels!C18/(Levels!$R18*1000)</f>
        <v>241.84912747355224</v>
      </c>
      <c r="D18">
        <f>Levels!D18/EXP(Levels!$J18)</f>
        <v>38222.126802624414</v>
      </c>
      <c r="E18">
        <f>Levels!E18/Levels!$Q18</f>
        <v>0.15792603111868356</v>
      </c>
      <c r="F18">
        <f>Levels!F18/Levels!$Q18</f>
        <v>0.66812599850932108</v>
      </c>
      <c r="G18" s="6">
        <v>-4.7</v>
      </c>
      <c r="H18" s="4">
        <v>-3.2911799999999989</v>
      </c>
      <c r="I18" s="4">
        <v>0.82049095238095315</v>
      </c>
      <c r="J18">
        <v>1.8958233820538299</v>
      </c>
      <c r="K18">
        <v>-1.8346177511902901</v>
      </c>
      <c r="L18">
        <v>1.415</v>
      </c>
      <c r="M18">
        <v>3.632641970321</v>
      </c>
      <c r="N18" s="6">
        <v>10.10206</v>
      </c>
      <c r="O18">
        <v>0.95919583724984903</v>
      </c>
      <c r="P18">
        <v>1.2120658438782701</v>
      </c>
      <c r="Q18" s="1">
        <v>5551.7129999999997</v>
      </c>
      <c r="R18">
        <v>-4.787174802</v>
      </c>
      <c r="S18">
        <v>1.5937692080000001</v>
      </c>
      <c r="T18">
        <v>-0.98702403699999997</v>
      </c>
    </row>
    <row r="19" spans="1:20" x14ac:dyDescent="0.35">
      <c r="A19" t="s">
        <v>18</v>
      </c>
      <c r="B19">
        <f>Levels!B19/(Levels!$R19*1000)</f>
        <v>1.7469322445242994</v>
      </c>
      <c r="C19">
        <f>Levels!C19/(Levels!$R19*1000)</f>
        <v>261.14868702602064</v>
      </c>
      <c r="D19">
        <f>Levels!D19/EXP(Levels!$J19)</f>
        <v>37696.126230076865</v>
      </c>
      <c r="E19">
        <f>Levels!E19/Levels!$Q19</f>
        <v>0.15323689205995944</v>
      </c>
      <c r="F19">
        <f>Levels!F19/Levels!$Q19</f>
        <v>0.66567488384113083</v>
      </c>
      <c r="G19" s="6">
        <v>-5.9</v>
      </c>
      <c r="H19" s="4">
        <v>-2.231465</v>
      </c>
      <c r="I19" s="4">
        <v>1.4727935714285723</v>
      </c>
      <c r="J19">
        <v>1.9536193721861901</v>
      </c>
      <c r="K19">
        <v>0.18272603894092801</v>
      </c>
      <c r="L19">
        <v>1.2315</v>
      </c>
      <c r="M19">
        <v>3.4027599919949201</v>
      </c>
      <c r="N19" s="6">
        <v>9.0661799999999992</v>
      </c>
      <c r="O19">
        <v>0.89676814656029402</v>
      </c>
      <c r="P19">
        <v>1.07600057617251</v>
      </c>
      <c r="Q19" s="1">
        <v>5591.3819999999996</v>
      </c>
      <c r="R19">
        <v>2.1712544110000001</v>
      </c>
      <c r="S19">
        <v>-1.2464273699999999</v>
      </c>
      <c r="T19">
        <v>-0.406702067</v>
      </c>
    </row>
    <row r="20" spans="1:20" x14ac:dyDescent="0.35">
      <c r="A20" t="s">
        <v>19</v>
      </c>
      <c r="B20">
        <f>Levels!B20/(Levels!$R20*1000)</f>
        <v>1.7739547102293205</v>
      </c>
      <c r="C20">
        <f>Levels!C20/(Levels!$R20*1000)</f>
        <v>275.08840931307316</v>
      </c>
      <c r="D20">
        <f>Levels!D20/EXP(Levels!$J20)</f>
        <v>37539.738936236245</v>
      </c>
      <c r="E20">
        <f>Levels!E20/Levels!$Q20</f>
        <v>0.15613511803142802</v>
      </c>
      <c r="F20">
        <f>Levels!F20/Levels!$Q20</f>
        <v>0.6612035755318556</v>
      </c>
      <c r="G20" s="6">
        <v>-4.7</v>
      </c>
      <c r="H20" s="4">
        <v>-0.44310250000000018</v>
      </c>
      <c r="I20" s="4">
        <v>1.8322875000000005</v>
      </c>
      <c r="J20">
        <v>1.9360158998506201</v>
      </c>
      <c r="K20">
        <v>0.77819691263503199</v>
      </c>
      <c r="L20">
        <v>1.1962999999999999</v>
      </c>
      <c r="M20">
        <v>4.7881682993969603</v>
      </c>
      <c r="N20" s="6">
        <v>7.6283399999999997</v>
      </c>
      <c r="O20">
        <v>0.84630792691854895</v>
      </c>
      <c r="P20">
        <v>1.0188284435445301</v>
      </c>
      <c r="Q20" s="1">
        <v>5687.0870000000004</v>
      </c>
      <c r="R20">
        <v>0.745475891</v>
      </c>
      <c r="S20">
        <v>2.921434079</v>
      </c>
      <c r="T20">
        <v>-0.756122293</v>
      </c>
    </row>
    <row r="21" spans="1:20" x14ac:dyDescent="0.35">
      <c r="A21" t="s">
        <v>20</v>
      </c>
      <c r="B21">
        <f>Levels!B21/(Levels!$R21*1000)</f>
        <v>1.8101814353612982</v>
      </c>
      <c r="C21">
        <f>Levels!C21/(Levels!$R21*1000)</f>
        <v>288.63160436660269</v>
      </c>
      <c r="D21">
        <f>Levels!D21/EXP(Levels!$J21)</f>
        <v>38279.544855149972</v>
      </c>
      <c r="E21">
        <f>Levels!E21/Levels!$Q21</f>
        <v>0.15786882131421587</v>
      </c>
      <c r="F21">
        <f>Levels!F21/Levels!$Q21</f>
        <v>0.65797927170679482</v>
      </c>
      <c r="G21" s="6">
        <v>-1.5</v>
      </c>
      <c r="H21" s="4">
        <v>-0.67907901639344281</v>
      </c>
      <c r="I21" s="4">
        <v>1.696495593286496</v>
      </c>
      <c r="J21">
        <v>1.9512518912877399</v>
      </c>
      <c r="K21">
        <v>0.176958310516312</v>
      </c>
      <c r="L21">
        <v>1.0724</v>
      </c>
      <c r="M21">
        <v>5.99811574479528</v>
      </c>
      <c r="N21" s="6">
        <v>6.7715399999999999</v>
      </c>
      <c r="O21">
        <v>0.79199990539623599</v>
      </c>
      <c r="P21">
        <v>1.00045912120836</v>
      </c>
      <c r="Q21" s="1">
        <v>5763.665</v>
      </c>
      <c r="R21">
        <v>0.72190290800000001</v>
      </c>
      <c r="S21">
        <v>-0.28344698000000002</v>
      </c>
      <c r="T21">
        <v>0.83826267499999996</v>
      </c>
    </row>
    <row r="22" spans="1:20" x14ac:dyDescent="0.35">
      <c r="A22" t="s">
        <v>21</v>
      </c>
      <c r="B22">
        <f>Levels!B22/(Levels!$R22*1000)</f>
        <v>1.8308926381966215</v>
      </c>
      <c r="C22">
        <f>Levels!C22/(Levels!$R22*1000)</f>
        <v>302.6545271847599</v>
      </c>
      <c r="D22">
        <f>Levels!D22/EXP(Levels!$J22)</f>
        <v>38197.635071669778</v>
      </c>
      <c r="E22">
        <f>Levels!E22/Levels!$Q22</f>
        <v>0.15998334372936207</v>
      </c>
      <c r="F22">
        <f>Levels!F22/Levels!$Q22</f>
        <v>0.65257067706995353</v>
      </c>
      <c r="G22" s="6">
        <v>3.4</v>
      </c>
      <c r="H22" s="4">
        <v>-1.0558496774193555</v>
      </c>
      <c r="I22" s="4">
        <v>1.4638217818740396</v>
      </c>
      <c r="J22">
        <v>1.9978312003404799</v>
      </c>
      <c r="K22">
        <v>-0.97911005633227688</v>
      </c>
      <c r="L22">
        <v>0.86140000000000005</v>
      </c>
      <c r="M22">
        <v>5.4951176736538798</v>
      </c>
      <c r="N22" s="6">
        <v>6.3166200000000003</v>
      </c>
      <c r="O22">
        <v>0.77115583158966405</v>
      </c>
      <c r="P22">
        <v>0.98979670141818499</v>
      </c>
      <c r="Q22" s="1">
        <v>5893.2759999999998</v>
      </c>
      <c r="R22">
        <v>-0.88467790099999999</v>
      </c>
      <c r="S22">
        <v>1.5373063220000001</v>
      </c>
      <c r="T22">
        <v>-3.3945029949999999</v>
      </c>
    </row>
    <row r="23" spans="1:20" x14ac:dyDescent="0.35">
      <c r="A23" t="s">
        <v>22</v>
      </c>
      <c r="B23">
        <f>Levels!B23/(Levels!$R23*1000)</f>
        <v>1.8835080979357046</v>
      </c>
      <c r="C23">
        <f>Levels!C23/(Levels!$R23*1000)</f>
        <v>318.36358023000923</v>
      </c>
      <c r="D23">
        <f>Levels!D23/EXP(Levels!$J23)</f>
        <v>38288.0085982284</v>
      </c>
      <c r="E23">
        <f>Levels!E23/Levels!$Q23</f>
        <v>0.15885043666191359</v>
      </c>
      <c r="F23">
        <f>Levels!F23/Levels!$Q23</f>
        <v>0.64902790709056202</v>
      </c>
      <c r="G23" s="6">
        <v>4.4000000000000004</v>
      </c>
      <c r="H23" s="4">
        <v>-0.8862123809523812</v>
      </c>
      <c r="I23" s="4">
        <v>1.5568477777777767</v>
      </c>
      <c r="J23">
        <v>2.0097425483686102</v>
      </c>
      <c r="K23">
        <v>-0.352425408923279</v>
      </c>
      <c r="L23">
        <v>0.89349999999999996</v>
      </c>
      <c r="M23">
        <v>6.9427187215877204</v>
      </c>
      <c r="N23" s="6">
        <v>5.9771400000000003</v>
      </c>
      <c r="O23">
        <v>0.73877531665098295</v>
      </c>
      <c r="P23">
        <v>0.87362976742421194</v>
      </c>
      <c r="Q23" s="1">
        <v>5936.5150000000003</v>
      </c>
      <c r="R23">
        <v>-1.0698054100000001</v>
      </c>
      <c r="S23">
        <v>-0.33983404699999997</v>
      </c>
      <c r="T23">
        <v>-0.71612103400000005</v>
      </c>
    </row>
    <row r="24" spans="1:20" x14ac:dyDescent="0.35">
      <c r="A24" t="s">
        <v>23</v>
      </c>
      <c r="B24">
        <f>Levels!B24/(Levels!$R24*1000)</f>
        <v>1.9266083111827952</v>
      </c>
      <c r="C24">
        <f>Levels!C24/(Levels!$R24*1000)</f>
        <v>330.54718838865233</v>
      </c>
      <c r="D24">
        <f>Levels!D24/EXP(Levels!$J24)</f>
        <v>38998.966086432047</v>
      </c>
      <c r="E24">
        <f>Levels!E24/Levels!$Q24</f>
        <v>0.1590192406244906</v>
      </c>
      <c r="F24">
        <f>Levels!F24/Levels!$Q24</f>
        <v>0.65246126319583275</v>
      </c>
      <c r="G24" s="6">
        <v>3.8</v>
      </c>
      <c r="H24" s="4">
        <v>-0.82693499999999975</v>
      </c>
      <c r="I24" s="4">
        <v>1.5796575000000006</v>
      </c>
      <c r="J24">
        <v>2.01517565505325</v>
      </c>
      <c r="K24">
        <v>-0.34915898148820301</v>
      </c>
      <c r="L24">
        <v>0.8266</v>
      </c>
      <c r="M24">
        <v>8.2744872761208992</v>
      </c>
      <c r="N24" s="6">
        <v>6.0452599999999999</v>
      </c>
      <c r="O24">
        <v>0.72467702988030203</v>
      </c>
      <c r="P24">
        <v>0.82499208489428</v>
      </c>
      <c r="Q24" s="1">
        <v>5969.0889999999999</v>
      </c>
      <c r="R24">
        <v>0.47204128499999998</v>
      </c>
      <c r="S24">
        <v>-1.2983942820000001</v>
      </c>
      <c r="T24">
        <v>-0.62702346200000003</v>
      </c>
    </row>
    <row r="25" spans="1:20" x14ac:dyDescent="0.35">
      <c r="A25" t="s">
        <v>24</v>
      </c>
      <c r="B25">
        <f>Levels!B25/(Levels!$R25*1000)</f>
        <v>1.9813980103288098</v>
      </c>
      <c r="C25">
        <f>Levels!C25/(Levels!$R25*1000)</f>
        <v>343.75009032673586</v>
      </c>
      <c r="D25">
        <f>Levels!D25/EXP(Levels!$J25)</f>
        <v>40794.390475560809</v>
      </c>
      <c r="E25">
        <f>Levels!E25/Levels!$Q25</f>
        <v>0.16300249020517082</v>
      </c>
      <c r="F25">
        <f>Levels!F25/Levels!$Q25</f>
        <v>0.65664292088370724</v>
      </c>
      <c r="G25" s="6">
        <v>2.7</v>
      </c>
      <c r="H25" s="4">
        <v>-1.4868981967213113</v>
      </c>
      <c r="I25" s="4">
        <v>1.1019398165495708</v>
      </c>
      <c r="J25">
        <v>2.0125635970913098</v>
      </c>
      <c r="K25">
        <v>7.0886869173297798E-2</v>
      </c>
      <c r="L25">
        <v>0.88339999999999996</v>
      </c>
      <c r="M25">
        <v>7.6010786638386403</v>
      </c>
      <c r="N25" s="6">
        <v>5.9788100000000002</v>
      </c>
      <c r="O25">
        <v>0.75037320212113201</v>
      </c>
      <c r="P25">
        <v>0.83759722049949703</v>
      </c>
      <c r="Q25" s="1">
        <v>6012.3559999999998</v>
      </c>
      <c r="R25">
        <v>1.796614409</v>
      </c>
      <c r="S25">
        <v>0.22468131299999999</v>
      </c>
      <c r="T25">
        <v>-0.229351523</v>
      </c>
    </row>
    <row r="26" spans="1:20" x14ac:dyDescent="0.35">
      <c r="A26" t="s">
        <v>25</v>
      </c>
      <c r="B26">
        <f>Levels!B26/(Levels!$R26*1000)</f>
        <v>2.0281151484972306</v>
      </c>
      <c r="C26">
        <f>Levels!C26/(Levels!$R26*1000)</f>
        <v>345.25262176672175</v>
      </c>
      <c r="D26">
        <f>Levels!D26/EXP(Levels!$J26)</f>
        <v>41428.173435108329</v>
      </c>
      <c r="E26">
        <f>Levels!E26/Levels!$Q26</f>
        <v>0.16625283497312601</v>
      </c>
      <c r="F26">
        <f>Levels!F26/Levels!$Q26</f>
        <v>0.6585971300212643</v>
      </c>
      <c r="G26" s="6">
        <v>2.1</v>
      </c>
      <c r="H26" s="4">
        <v>-1.8696020634920636</v>
      </c>
      <c r="I26" s="4">
        <v>1.3484905555555562</v>
      </c>
      <c r="J26">
        <v>2.0077055693383299</v>
      </c>
      <c r="K26">
        <v>-0.33015541494136097</v>
      </c>
      <c r="L26">
        <v>0.86860000000000004</v>
      </c>
      <c r="M26">
        <v>7.1324565826948199</v>
      </c>
      <c r="N26" s="6">
        <v>6.1473899999999997</v>
      </c>
      <c r="O26">
        <v>0.74841477249351296</v>
      </c>
      <c r="P26">
        <v>0.81014341717159299</v>
      </c>
      <c r="Q26" s="1">
        <v>6083.3909999999996</v>
      </c>
      <c r="R26">
        <v>-0.13239819999999999</v>
      </c>
      <c r="S26">
        <v>0.93436585100000003</v>
      </c>
      <c r="T26">
        <v>-2.5948205340000001</v>
      </c>
    </row>
    <row r="27" spans="1:20" x14ac:dyDescent="0.35">
      <c r="A27" t="s">
        <v>26</v>
      </c>
      <c r="B27">
        <f>Levels!B27/(Levels!$R27*1000)</f>
        <v>2.1032543885176058</v>
      </c>
      <c r="C27">
        <f>Levels!C27/(Levels!$R27*1000)</f>
        <v>347.90331172636803</v>
      </c>
      <c r="D27">
        <f>Levels!D27/EXP(Levels!$J27)</f>
        <v>43377.181518734164</v>
      </c>
      <c r="E27">
        <f>Levels!E27/Levels!$Q27</f>
        <v>0.17044390863799511</v>
      </c>
      <c r="F27">
        <f>Levels!F27/Levels!$Q27</f>
        <v>0.65066066543819312</v>
      </c>
      <c r="G27" s="6">
        <v>3.9</v>
      </c>
      <c r="H27" s="4">
        <v>-1.7526692063492071</v>
      </c>
      <c r="I27" s="4">
        <v>1.4242612698412707</v>
      </c>
      <c r="J27">
        <v>1.99705219834034</v>
      </c>
      <c r="K27">
        <v>-4.30470490187684E-2</v>
      </c>
      <c r="L27">
        <v>0.83819999999999995</v>
      </c>
      <c r="M27">
        <v>6.6085719512263399</v>
      </c>
      <c r="N27" s="6">
        <v>6.4961099999999998</v>
      </c>
      <c r="O27">
        <v>0.70522258750894595</v>
      </c>
      <c r="P27">
        <v>0.79946099923358604</v>
      </c>
      <c r="Q27" s="1">
        <v>6201.6589999999997</v>
      </c>
      <c r="R27">
        <v>-0.27064297300000001</v>
      </c>
      <c r="S27">
        <v>1.3373658230000001</v>
      </c>
      <c r="T27">
        <v>0.31314730699999999</v>
      </c>
    </row>
    <row r="28" spans="1:20" x14ac:dyDescent="0.35">
      <c r="A28" t="s">
        <v>27</v>
      </c>
      <c r="B28">
        <f>Levels!B28/(Levels!$R28*1000)</f>
        <v>2.1687561427151305</v>
      </c>
      <c r="C28">
        <f>Levels!C28/(Levels!$R28*1000)</f>
        <v>356.11632695624877</v>
      </c>
      <c r="D28">
        <f>Levels!D28/EXP(Levels!$J28)</f>
        <v>44810.710598325633</v>
      </c>
      <c r="E28">
        <f>Levels!E28/Levels!$Q28</f>
        <v>0.16861915759399729</v>
      </c>
      <c r="F28">
        <f>Levels!F28/Levels!$Q28</f>
        <v>0.64438726864334961</v>
      </c>
      <c r="G28" s="6">
        <v>4.5999999999999996</v>
      </c>
      <c r="H28" s="4">
        <v>-0.9751280952380954</v>
      </c>
      <c r="I28" s="4">
        <v>1.4871407936507941</v>
      </c>
      <c r="J28">
        <v>1.9817840670154001</v>
      </c>
      <c r="K28">
        <v>1.7843415405349199</v>
      </c>
      <c r="L28">
        <v>0.7833</v>
      </c>
      <c r="M28">
        <v>6.1455681216793003</v>
      </c>
      <c r="N28" s="6">
        <v>6.5963200000000004</v>
      </c>
      <c r="O28">
        <v>0.70069420469052901</v>
      </c>
      <c r="P28">
        <v>0.81352943947031497</v>
      </c>
      <c r="Q28" s="1">
        <v>6313.5590000000002</v>
      </c>
      <c r="R28">
        <v>-1.2588391800000001</v>
      </c>
      <c r="S28">
        <v>-1.090057979</v>
      </c>
      <c r="T28">
        <v>5.2617617999999998E-2</v>
      </c>
    </row>
    <row r="29" spans="1:20" x14ac:dyDescent="0.35">
      <c r="A29" t="s">
        <v>28</v>
      </c>
      <c r="B29">
        <f>Levels!B29/(Levels!$R29*1000)</f>
        <v>2.2484173407720758</v>
      </c>
      <c r="C29">
        <f>Levels!C29/(Levels!$R29*1000)</f>
        <v>357.50830460005784</v>
      </c>
      <c r="D29">
        <f>Levels!D29/EXP(Levels!$J29)</f>
        <v>47250.841457178547</v>
      </c>
      <c r="E29">
        <f>Levels!E29/Levels!$Q29</f>
        <v>0.17044276910976247</v>
      </c>
      <c r="F29">
        <f>Levels!F29/Levels!$Q29</f>
        <v>0.65258866332849319</v>
      </c>
      <c r="G29" s="6">
        <v>5.0999999999999996</v>
      </c>
      <c r="H29" s="4">
        <v>-0.2424866666666663</v>
      </c>
      <c r="I29" s="4">
        <v>1.7895842857142856</v>
      </c>
      <c r="J29">
        <v>1.9733575012317099</v>
      </c>
      <c r="K29">
        <v>0.62854812546586603</v>
      </c>
      <c r="L29">
        <v>0.7198</v>
      </c>
      <c r="M29">
        <v>2.5887028483464101</v>
      </c>
      <c r="N29" s="6">
        <v>6.4798900000000001</v>
      </c>
      <c r="O29">
        <v>0.73018895282826801</v>
      </c>
      <c r="P29">
        <v>0.85918999907315596</v>
      </c>
      <c r="Q29" s="1">
        <v>6313.6970000000001</v>
      </c>
      <c r="R29">
        <v>0.32604997800000002</v>
      </c>
      <c r="S29">
        <v>-2.0194581359999999</v>
      </c>
      <c r="T29">
        <v>0.48723441699999998</v>
      </c>
    </row>
    <row r="30" spans="1:20" x14ac:dyDescent="0.35">
      <c r="A30" t="s">
        <v>29</v>
      </c>
      <c r="B30">
        <f>Levels!B30/(Levels!$R30*1000)</f>
        <v>2.3046839108557973</v>
      </c>
      <c r="C30">
        <f>Levels!C30/(Levels!$R30*1000)</f>
        <v>352.66793796607965</v>
      </c>
      <c r="D30">
        <f>Levels!D30/EXP(Levels!$J30)</f>
        <v>49085.692174197422</v>
      </c>
      <c r="E30">
        <f>Levels!E30/Levels!$Q30</f>
        <v>0.1707331783143517</v>
      </c>
      <c r="F30">
        <f>Levels!F30/Levels!$Q30</f>
        <v>0.65426786092564104</v>
      </c>
      <c r="G30" s="6">
        <v>4.5</v>
      </c>
      <c r="H30" s="4">
        <v>-0.1672436065573768</v>
      </c>
      <c r="I30" s="4">
        <v>2.2555634894613572</v>
      </c>
      <c r="J30">
        <v>1.95108346027579</v>
      </c>
      <c r="K30">
        <v>1.05057638472332</v>
      </c>
      <c r="L30">
        <v>0.62680000000000002</v>
      </c>
      <c r="M30">
        <v>2.13362296721581</v>
      </c>
      <c r="N30" s="6">
        <v>6.35182</v>
      </c>
      <c r="O30">
        <v>0.77014287453955099</v>
      </c>
      <c r="P30">
        <v>0.89178767565910899</v>
      </c>
      <c r="Q30" s="1">
        <v>6333.848</v>
      </c>
      <c r="R30">
        <v>1.319162476</v>
      </c>
      <c r="S30">
        <v>0.88049275699999996</v>
      </c>
      <c r="T30">
        <v>0.58052211799999998</v>
      </c>
    </row>
    <row r="31" spans="1:20" x14ac:dyDescent="0.35">
      <c r="A31" t="s">
        <v>30</v>
      </c>
      <c r="B31">
        <f>Levels!B31/(Levels!$R31*1000)</f>
        <v>2.4013916752825071</v>
      </c>
      <c r="C31">
        <f>Levels!C31/(Levels!$R31*1000)</f>
        <v>362.77941408205157</v>
      </c>
      <c r="D31">
        <f>Levels!D31/EXP(Levels!$J31)</f>
        <v>49499.036321079366</v>
      </c>
      <c r="E31">
        <f>Levels!E31/Levels!$Q31</f>
        <v>0.17663471207041614</v>
      </c>
      <c r="F31">
        <f>Levels!F31/Levels!$Q31</f>
        <v>0.64635029714841441</v>
      </c>
      <c r="G31" s="6">
        <v>5.5</v>
      </c>
      <c r="H31" s="4">
        <v>-0.12760539682539651</v>
      </c>
      <c r="I31" s="4">
        <v>2.6194862698412686</v>
      </c>
      <c r="J31">
        <v>1.98326710662392</v>
      </c>
      <c r="K31">
        <v>8.6848259122135299E-2</v>
      </c>
      <c r="L31">
        <v>0.62849999999999995</v>
      </c>
      <c r="M31">
        <v>0.43887761452107699</v>
      </c>
      <c r="N31" s="6">
        <v>6.55626</v>
      </c>
      <c r="O31">
        <v>0.75305974414652499</v>
      </c>
      <c r="P31">
        <v>0.93583454594996496</v>
      </c>
      <c r="Q31" s="1">
        <v>6578.6049999999996</v>
      </c>
      <c r="R31">
        <v>0.84999904299999995</v>
      </c>
      <c r="S31">
        <v>2.9257259150000001</v>
      </c>
      <c r="T31">
        <v>0.132911046</v>
      </c>
    </row>
    <row r="32" spans="1:20" x14ac:dyDescent="0.35">
      <c r="A32" t="s">
        <v>31</v>
      </c>
      <c r="B32">
        <f>Levels!B32/(Levels!$R32*1000)</f>
        <v>2.4789859468081574</v>
      </c>
      <c r="C32">
        <f>Levels!C32/(Levels!$R32*1000)</f>
        <v>370.71041987682753</v>
      </c>
      <c r="D32">
        <f>Levels!D32/EXP(Levels!$J32)</f>
        <v>50433.595817149195</v>
      </c>
      <c r="E32">
        <f>Levels!E32/Levels!$Q32</f>
        <v>0.17964051039361276</v>
      </c>
      <c r="F32">
        <f>Levels!F32/Levels!$Q32</f>
        <v>0.64335045269209823</v>
      </c>
      <c r="G32" s="6">
        <v>5.3</v>
      </c>
      <c r="H32" s="4">
        <v>0.3274676190476189</v>
      </c>
      <c r="I32" s="4">
        <v>2.8277915873015873</v>
      </c>
      <c r="J32">
        <v>2.0119430252780899</v>
      </c>
      <c r="K32">
        <v>-0.13773596991095</v>
      </c>
      <c r="L32">
        <v>0.56210000000000004</v>
      </c>
      <c r="M32">
        <v>0.784645067382435</v>
      </c>
      <c r="N32" s="6">
        <v>6.6107800000000001</v>
      </c>
      <c r="O32">
        <v>0.74728546585998201</v>
      </c>
      <c r="P32">
        <v>1.01759882547518</v>
      </c>
      <c r="Q32" s="1">
        <v>6644.7539999999999</v>
      </c>
      <c r="R32">
        <v>-0.183940836</v>
      </c>
      <c r="S32">
        <v>0.95938441399999996</v>
      </c>
      <c r="T32">
        <v>3.6304600580000002</v>
      </c>
    </row>
    <row r="33" spans="1:20" x14ac:dyDescent="0.35">
      <c r="A33" t="s">
        <v>32</v>
      </c>
      <c r="B33">
        <f>Levels!B33/(Levels!$R33*1000)</f>
        <v>2.5609069734309551</v>
      </c>
      <c r="C33">
        <f>Levels!C33/(Levels!$R33*1000)</f>
        <v>365.46112548349123</v>
      </c>
      <c r="D33">
        <f>Levels!D33/EXP(Levels!$J33)</f>
        <v>53857.210858753984</v>
      </c>
      <c r="E33">
        <f>Levels!E33/Levels!$Q33</f>
        <v>0.18123604020095427</v>
      </c>
      <c r="F33">
        <f>Levels!F33/Levels!$Q33</f>
        <v>0.64142713099098914</v>
      </c>
      <c r="G33" s="6">
        <v>5.5</v>
      </c>
      <c r="H33" s="4">
        <v>1.7934696721311472</v>
      </c>
      <c r="I33" s="4">
        <v>3.2041205386416864</v>
      </c>
      <c r="J33">
        <v>1.9795822069314499</v>
      </c>
      <c r="K33">
        <v>0.302897817266018</v>
      </c>
      <c r="L33">
        <v>0.56830000000000003</v>
      </c>
      <c r="M33">
        <v>0.46184151340388202</v>
      </c>
      <c r="N33" s="6">
        <v>6.9715800000000003</v>
      </c>
      <c r="O33">
        <v>0.76429366246036201</v>
      </c>
      <c r="P33">
        <v>1.0817196421156401</v>
      </c>
      <c r="Q33" s="1">
        <v>6734.0690000000004</v>
      </c>
      <c r="R33">
        <v>1.646186524</v>
      </c>
      <c r="S33">
        <v>-7.2811729000000006E-2</v>
      </c>
      <c r="T33">
        <v>-2.8780008110000002</v>
      </c>
    </row>
    <row r="34" spans="1:20" x14ac:dyDescent="0.35">
      <c r="A34" t="s">
        <v>33</v>
      </c>
      <c r="B34">
        <f>Levels!B34/(Levels!$R34*1000)</f>
        <v>2.6265150923544271</v>
      </c>
      <c r="C34">
        <f>Levels!C34/(Levels!$R34*1000)</f>
        <v>368.23525486078279</v>
      </c>
      <c r="D34">
        <f>Levels!D34/EXP(Levels!$J34)</f>
        <v>54471.76136437081</v>
      </c>
      <c r="E34">
        <f>Levels!E34/Levels!$Q34</f>
        <v>0.18028139200637516</v>
      </c>
      <c r="F34">
        <f>Levels!F34/Levels!$Q34</f>
        <v>0.64451656597042928</v>
      </c>
      <c r="G34" s="6">
        <v>5.8</v>
      </c>
      <c r="H34" s="4">
        <v>2.1245019354838721</v>
      </c>
      <c r="I34" s="4">
        <v>3.5572160138248856</v>
      </c>
      <c r="J34">
        <v>1.99713897926064</v>
      </c>
      <c r="K34">
        <v>-0.45348246448304197</v>
      </c>
      <c r="L34">
        <v>0.60919999999999996</v>
      </c>
      <c r="M34">
        <v>-0.69080903715067499</v>
      </c>
      <c r="N34" s="6">
        <v>6.7673500000000004</v>
      </c>
      <c r="O34">
        <v>0.80498175069301603</v>
      </c>
      <c r="P34">
        <v>1.00766326124951</v>
      </c>
      <c r="Q34" s="1">
        <v>6746.1760000000004</v>
      </c>
      <c r="R34">
        <v>1.635708766</v>
      </c>
      <c r="S34">
        <v>-2.785396027</v>
      </c>
      <c r="T34">
        <v>-0.115757311</v>
      </c>
    </row>
    <row r="35" spans="1:20" x14ac:dyDescent="0.35">
      <c r="A35" t="s">
        <v>34</v>
      </c>
      <c r="B35">
        <f>Levels!B35/(Levels!$R35*1000)</f>
        <v>2.7281062561307223</v>
      </c>
      <c r="C35">
        <f>Levels!C35/(Levels!$R35*1000)</f>
        <v>371.57081447680321</v>
      </c>
      <c r="D35">
        <f>Levels!D35/EXP(Levels!$J35)</f>
        <v>55948.258817796326</v>
      </c>
      <c r="E35">
        <f>Levels!E35/Levels!$Q35</f>
        <v>0.18062694152521053</v>
      </c>
      <c r="F35">
        <f>Levels!F35/Levels!$Q35</f>
        <v>0.6500179846917834</v>
      </c>
      <c r="G35" s="6">
        <v>3.1</v>
      </c>
      <c r="H35" s="4">
        <v>1.972774838709678</v>
      </c>
      <c r="I35" s="4">
        <v>3.634563571428572</v>
      </c>
      <c r="J35">
        <v>2.0066857394117998</v>
      </c>
      <c r="K35">
        <v>-0.181626329284298</v>
      </c>
      <c r="L35">
        <v>0.62690000000000001</v>
      </c>
      <c r="M35">
        <v>0.33721415626773998</v>
      </c>
      <c r="N35" s="6">
        <v>7.2632399999999997</v>
      </c>
      <c r="O35">
        <v>0.85457157194875799</v>
      </c>
      <c r="P35">
        <v>0.96130465522050002</v>
      </c>
      <c r="Q35" s="1">
        <v>6753.3890000000001</v>
      </c>
      <c r="R35">
        <v>-4.6451747000000002E-2</v>
      </c>
      <c r="S35">
        <v>-0.71977859899999996</v>
      </c>
      <c r="T35">
        <v>-0.19744320100000001</v>
      </c>
    </row>
    <row r="36" spans="1:20" x14ac:dyDescent="0.35">
      <c r="A36" t="s">
        <v>35</v>
      </c>
      <c r="B36">
        <f>Levels!B36/(Levels!$R36*1000)</f>
        <v>2.8190469853338711</v>
      </c>
      <c r="C36">
        <f>Levels!C36/(Levels!$R36*1000)</f>
        <v>380.79850147955943</v>
      </c>
      <c r="D36">
        <f>Levels!D36/EXP(Levels!$J36)</f>
        <v>57536.247748092537</v>
      </c>
      <c r="E36">
        <f>Levels!E36/Levels!$Q36</f>
        <v>0.1834404880505171</v>
      </c>
      <c r="F36">
        <f>Levels!F36/Levels!$Q36</f>
        <v>0.65578232706768602</v>
      </c>
      <c r="G36" s="6">
        <v>3.2</v>
      </c>
      <c r="H36" s="4">
        <v>1.9430223809523808</v>
      </c>
      <c r="I36" s="4">
        <v>3.6992272222222233</v>
      </c>
      <c r="J36">
        <v>2.0286501323544801</v>
      </c>
      <c r="K36">
        <v>0.56606228686411808</v>
      </c>
      <c r="L36">
        <v>0.61060000000000003</v>
      </c>
      <c r="M36">
        <v>-1.0999117597524199</v>
      </c>
      <c r="N36" s="6">
        <v>7.40158</v>
      </c>
      <c r="O36">
        <v>0.86954149731573305</v>
      </c>
      <c r="P36">
        <v>0.997747828227737</v>
      </c>
      <c r="Q36" s="1">
        <v>6803.558</v>
      </c>
      <c r="R36">
        <v>1.1634772950000001</v>
      </c>
      <c r="S36">
        <v>-2.6091098160000001</v>
      </c>
      <c r="T36">
        <v>1.4592137919999999</v>
      </c>
    </row>
    <row r="37" spans="1:20" x14ac:dyDescent="0.35">
      <c r="A37" t="s">
        <v>36</v>
      </c>
      <c r="B37">
        <f>Levels!B37/(Levels!$R37*1000)</f>
        <v>2.8966439795928487</v>
      </c>
      <c r="C37">
        <f>Levels!C37/(Levels!$R37*1000)</f>
        <v>380.34619514993562</v>
      </c>
      <c r="D37">
        <f>Levels!D37/EXP(Levels!$J37)</f>
        <v>59316.439169399528</v>
      </c>
      <c r="E37">
        <f>Levels!E37/Levels!$Q37</f>
        <v>0.1816352059621979</v>
      </c>
      <c r="F37">
        <f>Levels!F37/Levels!$Q37</f>
        <v>0.65947549471669908</v>
      </c>
      <c r="G37" s="6">
        <v>2.2000000000000002</v>
      </c>
      <c r="H37" s="4">
        <v>2.9843242622950825</v>
      </c>
      <c r="I37" s="4">
        <v>5.1284169476971124</v>
      </c>
      <c r="J37">
        <v>2.02419875861988</v>
      </c>
      <c r="K37">
        <v>-0.142431637874668</v>
      </c>
      <c r="L37">
        <v>0.7137</v>
      </c>
      <c r="M37">
        <v>-4.6619633851289999</v>
      </c>
      <c r="N37" s="6">
        <v>7.7079300000000002</v>
      </c>
      <c r="O37">
        <v>0.92560484589340597</v>
      </c>
      <c r="P37">
        <v>1.0682760337696899</v>
      </c>
      <c r="Q37" s="1">
        <v>6820.5720000000001</v>
      </c>
      <c r="R37">
        <v>2.6794027250000001</v>
      </c>
      <c r="S37">
        <v>-1.039458561</v>
      </c>
      <c r="T37">
        <v>-0.17342022400000001</v>
      </c>
    </row>
    <row r="38" spans="1:20" x14ac:dyDescent="0.35">
      <c r="A38" t="s">
        <v>37</v>
      </c>
      <c r="B38">
        <f>Levels!B38/(Levels!$R38*1000)</f>
        <v>2.9659742925279464</v>
      </c>
      <c r="C38">
        <f>Levels!C38/(Levels!$R38*1000)</f>
        <v>394.80631920372912</v>
      </c>
      <c r="D38">
        <f>Levels!D38/EXP(Levels!$J38)</f>
        <v>59391.734020228709</v>
      </c>
      <c r="E38">
        <f>Levels!E38/Levels!$Q38</f>
        <v>0.18032529555581797</v>
      </c>
      <c r="F38">
        <f>Levels!F38/Levels!$Q38</f>
        <v>0.66338600727719366</v>
      </c>
      <c r="G38" s="6">
        <v>1.2</v>
      </c>
      <c r="H38" s="4">
        <v>4.449327741935484</v>
      </c>
      <c r="I38" s="4">
        <v>6.7349681182795678</v>
      </c>
      <c r="J38">
        <v>2.0422358450409002</v>
      </c>
      <c r="K38">
        <v>0.98438341068524493</v>
      </c>
      <c r="L38">
        <v>0.84409999999999996</v>
      </c>
      <c r="M38">
        <v>-5.92970853359801</v>
      </c>
      <c r="N38" s="6">
        <v>8.8550199999999997</v>
      </c>
      <c r="O38">
        <v>1.0363934626323399</v>
      </c>
      <c r="P38">
        <v>1.11833617644162</v>
      </c>
      <c r="Q38" s="1">
        <v>6842.0240000000003</v>
      </c>
      <c r="R38">
        <v>6.8982784419999996</v>
      </c>
      <c r="S38">
        <v>-5.7902288940000002</v>
      </c>
      <c r="T38">
        <v>1.2245496570000001</v>
      </c>
    </row>
    <row r="39" spans="1:20" x14ac:dyDescent="0.35">
      <c r="A39" t="s">
        <v>38</v>
      </c>
      <c r="B39">
        <f>Levels!B39/(Levels!$R39*1000)</f>
        <v>2.9982894278358452</v>
      </c>
      <c r="C39">
        <f>Levels!C39/(Levels!$R39*1000)</f>
        <v>408.51664831001318</v>
      </c>
      <c r="D39">
        <f>Levels!D39/EXP(Levels!$J39)</f>
        <v>62132.948426528317</v>
      </c>
      <c r="E39">
        <f>Levels!E39/Levels!$Q39</f>
        <v>0.17072573445996339</v>
      </c>
      <c r="F39">
        <f>Levels!F39/Levels!$Q39</f>
        <v>0.66360678785849558</v>
      </c>
      <c r="G39" s="6">
        <v>-0.9</v>
      </c>
      <c r="H39" s="4">
        <v>0.315083968253969</v>
      </c>
      <c r="I39" s="4">
        <v>5.3661554761904764</v>
      </c>
      <c r="J39">
        <v>2.0456735909219499</v>
      </c>
      <c r="K39">
        <v>-0.245154753208288</v>
      </c>
      <c r="L39">
        <v>1.0052000000000001</v>
      </c>
      <c r="M39">
        <v>-6.8848127541550497</v>
      </c>
      <c r="N39" s="6">
        <v>8.8966399999999997</v>
      </c>
      <c r="O39">
        <v>1.12931719917518</v>
      </c>
      <c r="P39">
        <v>1.06166976704935</v>
      </c>
      <c r="Q39" s="1">
        <v>6701.0460000000003</v>
      </c>
      <c r="R39">
        <v>-6.1779234540000001</v>
      </c>
      <c r="S39">
        <v>-1.802748574</v>
      </c>
      <c r="T39">
        <v>-3.2536660290000001</v>
      </c>
    </row>
    <row r="40" spans="1:20" x14ac:dyDescent="0.35">
      <c r="A40" t="s">
        <v>39</v>
      </c>
      <c r="B40">
        <f>Levels!B40/(Levels!$R40*1000)</f>
        <v>3.0580759728032083</v>
      </c>
      <c r="C40">
        <f>Levels!C40/(Levels!$R40*1000)</f>
        <v>430.1397916443936</v>
      </c>
      <c r="D40">
        <f>Levels!D40/EXP(Levels!$J40)</f>
        <v>61154.249897297093</v>
      </c>
      <c r="E40">
        <f>Levels!E40/Levels!$Q40</f>
        <v>0.17164887565997247</v>
      </c>
      <c r="F40">
        <f>Levels!F40/Levels!$Q40</f>
        <v>0.67247338353469122</v>
      </c>
      <c r="G40" s="6">
        <v>-2.2999999999999998</v>
      </c>
      <c r="H40" s="4">
        <v>-0.54240125000000106</v>
      </c>
      <c r="I40" s="4">
        <v>5.942481607142855</v>
      </c>
      <c r="J40">
        <v>2.1027894891132299</v>
      </c>
      <c r="K40">
        <v>-0.67194131393811796</v>
      </c>
      <c r="L40">
        <v>0.92469999999999997</v>
      </c>
      <c r="M40">
        <v>-9.4775608677496006</v>
      </c>
      <c r="N40" s="6">
        <v>9.3031699999999997</v>
      </c>
      <c r="O40">
        <v>1.07347731849768</v>
      </c>
      <c r="P40">
        <v>0.97575651342307801</v>
      </c>
      <c r="Q40" s="1">
        <v>6693.0820000000003</v>
      </c>
      <c r="R40">
        <v>4.8543295830000002</v>
      </c>
      <c r="S40">
        <v>0.40998356200000002</v>
      </c>
      <c r="T40">
        <v>-3.1589248560000001</v>
      </c>
    </row>
    <row r="41" spans="1:20" x14ac:dyDescent="0.35">
      <c r="A41" t="s">
        <v>40</v>
      </c>
      <c r="B41">
        <f>Levels!B41/(Levels!$R41*1000)</f>
        <v>3.1440726900582949</v>
      </c>
      <c r="C41">
        <f>Levels!C41/(Levels!$R41*1000)</f>
        <v>430.40249484710449</v>
      </c>
      <c r="D41">
        <f>Levels!D41/EXP(Levels!$J41)</f>
        <v>61544.743858650741</v>
      </c>
      <c r="E41">
        <f>Levels!E41/Levels!$Q41</f>
        <v>0.17379992059141938</v>
      </c>
      <c r="F41">
        <f>Levels!F41/Levels!$Q41</f>
        <v>0.67005404346741648</v>
      </c>
      <c r="G41" s="6">
        <v>-1.2</v>
      </c>
      <c r="H41" s="4">
        <v>4.1707280327868865</v>
      </c>
      <c r="I41" s="4">
        <v>7.5347325800156124</v>
      </c>
      <c r="J41">
        <v>2.1290305566801702</v>
      </c>
      <c r="K41">
        <v>0.93793092137525202</v>
      </c>
      <c r="L41">
        <v>0.91510000000000002</v>
      </c>
      <c r="M41">
        <v>-10.8606025708833</v>
      </c>
      <c r="N41" s="6">
        <v>9.6778700000000004</v>
      </c>
      <c r="O41">
        <v>1.02693307752508</v>
      </c>
      <c r="P41">
        <v>0.94474727243432199</v>
      </c>
      <c r="Q41" s="1">
        <v>6817.9030000000002</v>
      </c>
      <c r="R41">
        <v>3.7112981299999999</v>
      </c>
      <c r="S41">
        <v>-0.66733788999999999</v>
      </c>
      <c r="T41">
        <v>-1.7492747609999999</v>
      </c>
    </row>
    <row r="42" spans="1:20" x14ac:dyDescent="0.35">
      <c r="A42" t="s">
        <v>41</v>
      </c>
      <c r="B42">
        <f>Levels!B42/(Levels!$R42*1000)</f>
        <v>3.1847011990140852</v>
      </c>
      <c r="C42">
        <f>Levels!C42/(Levels!$R42*1000)</f>
        <v>459.36568384704617</v>
      </c>
      <c r="D42">
        <f>Levels!D42/EXP(Levels!$J42)</f>
        <v>63908.943407402359</v>
      </c>
      <c r="E42">
        <f>Levels!E42/Levels!$Q42</f>
        <v>0.17280354801377257</v>
      </c>
      <c r="F42">
        <f>Levels!F42/Levels!$Q42</f>
        <v>0.66050888363283844</v>
      </c>
      <c r="G42" s="6">
        <v>-0.4</v>
      </c>
      <c r="H42" s="4">
        <v>5.2895208196721306</v>
      </c>
      <c r="I42" s="4">
        <v>8.2256026424668214</v>
      </c>
      <c r="J42">
        <v>2.1189736298447301</v>
      </c>
      <c r="K42">
        <v>0.96141700148294107</v>
      </c>
      <c r="L42">
        <v>0.91869999999999996</v>
      </c>
      <c r="M42">
        <v>-12.815564396374601</v>
      </c>
      <c r="N42" s="6">
        <v>9.4341899999999992</v>
      </c>
      <c r="O42">
        <v>1.0163666765080199</v>
      </c>
      <c r="P42">
        <v>0.92260367522692699</v>
      </c>
      <c r="Q42" s="1">
        <v>6951.4949999999999</v>
      </c>
      <c r="R42">
        <v>-1.9293083900000001</v>
      </c>
      <c r="S42">
        <v>-0.22506820599999999</v>
      </c>
      <c r="T42">
        <v>-0.57680167900000001</v>
      </c>
    </row>
    <row r="43" spans="1:20" x14ac:dyDescent="0.35">
      <c r="A43" t="s">
        <v>42</v>
      </c>
      <c r="B43">
        <f>Levels!B43/(Levels!$R43*1000)</f>
        <v>3.281214396274605</v>
      </c>
      <c r="C43">
        <f>Levels!C43/(Levels!$R43*1000)</f>
        <v>453.08289502473809</v>
      </c>
      <c r="D43">
        <f>Levels!D43/EXP(Levels!$J43)</f>
        <v>65135.052980968198</v>
      </c>
      <c r="E43">
        <f>Levels!E43/Levels!$Q43</f>
        <v>0.17413528734865899</v>
      </c>
      <c r="F43">
        <f>Levels!F43/Levels!$Q43</f>
        <v>0.66109337052880046</v>
      </c>
      <c r="G43" s="6">
        <v>1.5</v>
      </c>
      <c r="H43" s="4">
        <v>6.2326668253968247</v>
      </c>
      <c r="I43" s="4">
        <v>9.1581014285714275</v>
      </c>
      <c r="J43">
        <v>2.1201177825333799</v>
      </c>
      <c r="K43">
        <v>0.44022107694533502</v>
      </c>
      <c r="L43">
        <v>1.0609</v>
      </c>
      <c r="M43">
        <v>-16.371065464707399</v>
      </c>
      <c r="N43" s="6">
        <v>9.0634300000000003</v>
      </c>
      <c r="O43">
        <v>1.00949608929618</v>
      </c>
      <c r="P43">
        <v>0.91077230648030705</v>
      </c>
      <c r="Q43" s="1">
        <v>6899.98</v>
      </c>
      <c r="R43">
        <v>1.6972630959999999</v>
      </c>
      <c r="S43">
        <v>-0.72447344300000005</v>
      </c>
      <c r="T43">
        <v>-1.201745375</v>
      </c>
    </row>
    <row r="44" spans="1:20" x14ac:dyDescent="0.35">
      <c r="A44" t="s">
        <v>43</v>
      </c>
      <c r="B44">
        <f>Levels!B44/(Levels!$R44*1000)</f>
        <v>3.3621176299064341</v>
      </c>
      <c r="C44">
        <f>Levels!C44/(Levels!$R44*1000)</f>
        <v>471.30138009084584</v>
      </c>
      <c r="D44">
        <f>Levels!D44/EXP(Levels!$J44)</f>
        <v>67211.130602961741</v>
      </c>
      <c r="E44">
        <f>Levels!E44/Levels!$Q44</f>
        <v>0.17153531008252071</v>
      </c>
      <c r="F44">
        <f>Levels!F44/Levels!$Q44</f>
        <v>0.65228778884337302</v>
      </c>
      <c r="G44" s="6">
        <v>1.9</v>
      </c>
      <c r="H44" s="4">
        <v>7.09681125</v>
      </c>
      <c r="I44" s="4">
        <v>10.391209642857142</v>
      </c>
      <c r="J44">
        <v>2.08801552140527</v>
      </c>
      <c r="K44">
        <v>0.47330165497133303</v>
      </c>
      <c r="L44">
        <v>1.0024999999999999</v>
      </c>
      <c r="M44">
        <v>-18.189857599539799</v>
      </c>
      <c r="N44" s="6">
        <v>8.65273</v>
      </c>
      <c r="O44">
        <v>1.0058699565634099</v>
      </c>
      <c r="P44">
        <v>0.95476982843289604</v>
      </c>
      <c r="Q44" s="1">
        <v>6982.6090000000004</v>
      </c>
      <c r="R44">
        <v>0.40799322900000001</v>
      </c>
      <c r="S44">
        <v>-1.867434394</v>
      </c>
      <c r="T44">
        <v>0.35005574</v>
      </c>
    </row>
    <row r="45" spans="1:20" x14ac:dyDescent="0.35">
      <c r="A45" t="s">
        <v>44</v>
      </c>
      <c r="B45">
        <f>Levels!B45/(Levels!$R45*1000)</f>
        <v>3.4292686935170869</v>
      </c>
      <c r="C45">
        <f>Levels!C45/(Levels!$R45*1000)</f>
        <v>504.51429994779636</v>
      </c>
      <c r="D45">
        <f>Levels!D45/EXP(Levels!$J45)</f>
        <v>69037.387479216442</v>
      </c>
      <c r="E45">
        <f>Levels!E45/Levels!$Q45</f>
        <v>0.17389284834683238</v>
      </c>
      <c r="F45">
        <f>Levels!F45/Levels!$Q45</f>
        <v>0.65090516756901129</v>
      </c>
      <c r="G45" s="6">
        <v>0.2</v>
      </c>
      <c r="H45" s="4">
        <v>4.6191388524590167</v>
      </c>
      <c r="I45" s="4">
        <v>9.7978379781420752</v>
      </c>
      <c r="J45">
        <v>2.0911362637852799</v>
      </c>
      <c r="K45">
        <v>0.14521066511901098</v>
      </c>
      <c r="L45">
        <v>1.2755000000000001</v>
      </c>
      <c r="M45">
        <v>-16.662218342191402</v>
      </c>
      <c r="N45" s="6">
        <v>7.95397</v>
      </c>
      <c r="O45">
        <v>1.0118918579884699</v>
      </c>
      <c r="P45">
        <v>0.93622252010145501</v>
      </c>
      <c r="Q45" s="1">
        <v>6906.5290000000005</v>
      </c>
      <c r="R45">
        <v>-3.0255949530000001</v>
      </c>
      <c r="S45">
        <v>-2.2739213839999999</v>
      </c>
      <c r="T45">
        <v>-0.88778327099999998</v>
      </c>
    </row>
    <row r="46" spans="1:20" x14ac:dyDescent="0.35">
      <c r="A46" t="s">
        <v>45</v>
      </c>
      <c r="B46">
        <f>Levels!B46/(Levels!$R46*1000)</f>
        <v>3.4765973714779146</v>
      </c>
      <c r="C46">
        <f>Levels!C46/(Levels!$R46*1000)</f>
        <v>525.97322459043176</v>
      </c>
      <c r="D46">
        <f>Levels!D46/EXP(Levels!$J46)</f>
        <v>72095.029813518748</v>
      </c>
      <c r="E46">
        <f>Levels!E46/Levels!$Q46</f>
        <v>0.17191895026983189</v>
      </c>
      <c r="F46">
        <f>Levels!F46/Levels!$Q46</f>
        <v>0.66132083462532765</v>
      </c>
      <c r="G46" s="6">
        <v>-2.1</v>
      </c>
      <c r="H46" s="4">
        <v>6.1897686885245893</v>
      </c>
      <c r="I46" s="4">
        <v>10.062421834504294</v>
      </c>
      <c r="J46">
        <v>2.05754775306128</v>
      </c>
      <c r="K46">
        <v>1.7309915200413399</v>
      </c>
      <c r="L46">
        <v>1.3647</v>
      </c>
      <c r="M46">
        <v>-15.552288291759</v>
      </c>
      <c r="N46" s="6">
        <v>7.1587300000000003</v>
      </c>
      <c r="O46">
        <v>1.01880701677344</v>
      </c>
      <c r="P46">
        <v>0.91682961604842494</v>
      </c>
      <c r="Q46" s="1">
        <v>6799.2330000000002</v>
      </c>
      <c r="R46">
        <v>-0.47249076200000001</v>
      </c>
      <c r="S46">
        <v>1.533854303</v>
      </c>
      <c r="T46">
        <v>0.128164318</v>
      </c>
    </row>
    <row r="47" spans="1:20" x14ac:dyDescent="0.35">
      <c r="A47" t="s">
        <v>46</v>
      </c>
      <c r="B47">
        <f>Levels!B47/(Levels!$R47*1000)</f>
        <v>3.5529576004185479</v>
      </c>
      <c r="C47">
        <f>Levels!C47/(Levels!$R47*1000)</f>
        <v>526.89320617009309</v>
      </c>
      <c r="D47">
        <f>Levels!D47/EXP(Levels!$J47)</f>
        <v>72925.182485967991</v>
      </c>
      <c r="E47">
        <f>Levels!E47/Levels!$Q47</f>
        <v>0.16736442042905891</v>
      </c>
      <c r="F47">
        <f>Levels!F47/Levels!$Q47</f>
        <v>0.65493106406161294</v>
      </c>
      <c r="G47" s="6">
        <v>-1.7</v>
      </c>
      <c r="H47" s="4">
        <v>6.0816693650793638</v>
      </c>
      <c r="I47" s="4">
        <v>9.8382992063492054</v>
      </c>
      <c r="J47">
        <v>2.05268916115361</v>
      </c>
      <c r="K47">
        <v>0.39242882584925898</v>
      </c>
      <c r="L47">
        <v>1.3167</v>
      </c>
      <c r="M47">
        <v>-14.2511945380068</v>
      </c>
      <c r="N47" s="6">
        <v>6.5935100000000002</v>
      </c>
      <c r="O47">
        <v>0.97206958113393804</v>
      </c>
      <c r="P47">
        <v>0.94059797474454199</v>
      </c>
      <c r="Q47" s="1">
        <v>6830.2510000000002</v>
      </c>
      <c r="R47">
        <v>-1.4216616959999999</v>
      </c>
      <c r="S47">
        <v>-2.3032457829999999</v>
      </c>
      <c r="T47">
        <v>1.6264403080000001</v>
      </c>
    </row>
    <row r="48" spans="1:20" x14ac:dyDescent="0.35">
      <c r="A48" t="s">
        <v>47</v>
      </c>
      <c r="B48">
        <f>Levels!B48/(Levels!$R48*1000)</f>
        <v>3.5959813595323507</v>
      </c>
      <c r="C48">
        <f>Levels!C48/(Levels!$R48*1000)</f>
        <v>575.00817587660129</v>
      </c>
      <c r="D48">
        <f>Levels!D48/EXP(Levels!$J48)</f>
        <v>72754.263456154556</v>
      </c>
      <c r="E48">
        <f>Levels!E48/Levels!$Q48</f>
        <v>0.16485495078804238</v>
      </c>
      <c r="F48">
        <f>Levels!F48/Levels!$Q48</f>
        <v>0.66136998869948693</v>
      </c>
      <c r="G48" s="6">
        <v>-2.4</v>
      </c>
      <c r="H48" s="4">
        <v>3.3660362500000005</v>
      </c>
      <c r="I48" s="4">
        <v>9.0984285714285704</v>
      </c>
      <c r="J48">
        <v>2.0836196560829001</v>
      </c>
      <c r="K48">
        <v>-2.0046390410935597</v>
      </c>
      <c r="L48">
        <v>1.4722999999999999</v>
      </c>
      <c r="M48">
        <v>-12.839160978707</v>
      </c>
      <c r="N48" s="6">
        <v>6.3434100000000004</v>
      </c>
      <c r="O48">
        <v>0.945753447216932</v>
      </c>
      <c r="P48">
        <v>1.00682411895251</v>
      </c>
      <c r="Q48" s="1">
        <v>6804.1390000000001</v>
      </c>
      <c r="R48">
        <v>-2.37466534</v>
      </c>
      <c r="S48">
        <v>1.1564377210000001</v>
      </c>
      <c r="T48">
        <v>2.2141463560000001</v>
      </c>
    </row>
    <row r="49" spans="1:20" x14ac:dyDescent="0.35">
      <c r="A49" t="s">
        <v>48</v>
      </c>
      <c r="B49">
        <f>Levels!B49/(Levels!$R49*1000)</f>
        <v>3.6516042621972078</v>
      </c>
      <c r="C49">
        <f>Levels!C49/(Levels!$R49*1000)</f>
        <v>633.73181206020911</v>
      </c>
      <c r="D49">
        <f>Levels!D49/EXP(Levels!$J49)</f>
        <v>73881.972093084216</v>
      </c>
      <c r="E49">
        <f>Levels!E49/Levels!$Q49</f>
        <v>0.16591416567146924</v>
      </c>
      <c r="F49">
        <f>Levels!F49/Levels!$Q49</f>
        <v>0.66948655337261398</v>
      </c>
      <c r="G49" s="6">
        <v>-2.8</v>
      </c>
      <c r="H49" s="4">
        <v>2.1196208196721305</v>
      </c>
      <c r="I49" s="4">
        <v>6.7349723848555811</v>
      </c>
      <c r="J49">
        <v>2.1422282261703098</v>
      </c>
      <c r="K49">
        <v>-2.0593973074668401</v>
      </c>
      <c r="L49">
        <v>1.4575</v>
      </c>
      <c r="M49">
        <v>-11.1027024516829</v>
      </c>
      <c r="N49" s="6">
        <v>5.9403699999999997</v>
      </c>
      <c r="O49">
        <v>0.91078784078036601</v>
      </c>
      <c r="P49">
        <v>1.00694621668957</v>
      </c>
      <c r="Q49" s="1">
        <v>6806.857</v>
      </c>
      <c r="R49">
        <v>-1.6930450880000001</v>
      </c>
      <c r="S49">
        <v>-2.6836456829999999</v>
      </c>
      <c r="T49">
        <v>-0.92759025399999995</v>
      </c>
    </row>
    <row r="50" spans="1:20" x14ac:dyDescent="0.35">
      <c r="A50" t="s">
        <v>49</v>
      </c>
      <c r="B50">
        <f>Levels!B50/(Levels!$R50*1000)</f>
        <v>3.6968308266928651</v>
      </c>
      <c r="C50">
        <f>Levels!C50/(Levels!$R50*1000)</f>
        <v>665.17057307408425</v>
      </c>
      <c r="D50">
        <f>Levels!D50/EXP(Levels!$J50)</f>
        <v>73153.826608543182</v>
      </c>
      <c r="E50">
        <f>Levels!E50/Levels!$Q50</f>
        <v>0.16681966562754974</v>
      </c>
      <c r="F50">
        <f>Levels!F50/Levels!$Q50</f>
        <v>0.66295426316165096</v>
      </c>
      <c r="G50" s="6">
        <v>-0.6</v>
      </c>
      <c r="H50" s="4">
        <v>2.9438907936507928</v>
      </c>
      <c r="I50" s="4">
        <v>6.7021344444444457</v>
      </c>
      <c r="J50">
        <v>2.16918338684544</v>
      </c>
      <c r="K50">
        <v>1.50477835068867E-2</v>
      </c>
      <c r="L50">
        <v>1.0813999999999999</v>
      </c>
      <c r="M50">
        <v>-9.5917731944106208</v>
      </c>
      <c r="N50" s="6">
        <v>5.7833300000000003</v>
      </c>
      <c r="O50">
        <v>0.87690195617554101</v>
      </c>
      <c r="P50">
        <v>0.94020378769990498</v>
      </c>
      <c r="Q50" s="1">
        <v>6896.5609999999997</v>
      </c>
      <c r="R50">
        <v>1.1467868059999999</v>
      </c>
      <c r="S50">
        <v>2.6345384090000001</v>
      </c>
      <c r="T50">
        <v>-1.0335218500000001</v>
      </c>
    </row>
    <row r="51" spans="1:20" x14ac:dyDescent="0.35">
      <c r="A51" t="s">
        <v>50</v>
      </c>
      <c r="B51">
        <f>Levels!B51/(Levels!$R51*1000)</f>
        <v>3.7938824278091894</v>
      </c>
      <c r="C51">
        <f>Levels!C51/(Levels!$R51*1000)</f>
        <v>682.287430676334</v>
      </c>
      <c r="D51">
        <f>Levels!D51/EXP(Levels!$J51)</f>
        <v>70000.282185886157</v>
      </c>
      <c r="E51">
        <f>Levels!E51/Levels!$Q51</f>
        <v>0.16827248883533</v>
      </c>
      <c r="F51">
        <f>Levels!F51/Levels!$Q51</f>
        <v>0.65792814569299518</v>
      </c>
      <c r="G51" s="6">
        <v>0.1</v>
      </c>
      <c r="H51" s="4">
        <v>3.3260265079365086</v>
      </c>
      <c r="I51" s="4">
        <v>6.7680573809523814</v>
      </c>
      <c r="J51">
        <v>2.2142025168710702</v>
      </c>
      <c r="K51">
        <v>-0.403074019521377</v>
      </c>
      <c r="L51">
        <v>0.84619999999999995</v>
      </c>
      <c r="M51">
        <v>-9.3645191255575195</v>
      </c>
      <c r="N51" s="6">
        <v>5.1697600000000001</v>
      </c>
      <c r="O51">
        <v>0.82073507797682799</v>
      </c>
      <c r="P51">
        <v>0.90969026004082298</v>
      </c>
      <c r="Q51" s="1">
        <v>7053.5</v>
      </c>
      <c r="R51">
        <v>0.97786839299999995</v>
      </c>
      <c r="S51">
        <v>0.83570919300000002</v>
      </c>
      <c r="T51">
        <v>-1.4650980440000001</v>
      </c>
    </row>
    <row r="52" spans="1:20" x14ac:dyDescent="0.35">
      <c r="A52" t="s">
        <v>51</v>
      </c>
      <c r="B52">
        <f>Levels!B52/(Levels!$R52*1000)</f>
        <v>3.8934199663170719</v>
      </c>
      <c r="C52">
        <f>Levels!C52/(Levels!$R52*1000)</f>
        <v>724.59517311142213</v>
      </c>
      <c r="D52">
        <f>Levels!D52/EXP(Levels!$J52)</f>
        <v>72380.503746466828</v>
      </c>
      <c r="E52">
        <f>Levels!E52/Levels!$Q52</f>
        <v>0.17353691095313867</v>
      </c>
      <c r="F52">
        <f>Levels!F52/Levels!$Q52</f>
        <v>0.65675196896612986</v>
      </c>
      <c r="G52" s="6">
        <v>2.8</v>
      </c>
      <c r="H52" s="4">
        <v>4.6783112499999993</v>
      </c>
      <c r="I52" s="4">
        <v>7.9169536309523814</v>
      </c>
      <c r="J52">
        <v>2.2194517868714101</v>
      </c>
      <c r="K52">
        <v>0.14159179099084299</v>
      </c>
      <c r="L52">
        <v>0.78220000000000001</v>
      </c>
      <c r="M52">
        <v>-9.7433002300290799</v>
      </c>
      <c r="N52" s="6">
        <v>5.0819099999999997</v>
      </c>
      <c r="O52">
        <v>0.79068312417304198</v>
      </c>
      <c r="P52">
        <v>0.88129830024198097</v>
      </c>
      <c r="Q52" s="1">
        <v>7194.5039999999999</v>
      </c>
      <c r="R52">
        <v>2.4339858219999999</v>
      </c>
      <c r="S52">
        <v>1.493213466</v>
      </c>
      <c r="T52">
        <v>-1.7133385590000001</v>
      </c>
    </row>
    <row r="53" spans="1:20" x14ac:dyDescent="0.35">
      <c r="A53" t="s">
        <v>52</v>
      </c>
      <c r="B53">
        <f>Levels!B53/(Levels!$R53*1000)</f>
        <v>4.0177800085241602</v>
      </c>
      <c r="C53">
        <f>Levels!C53/(Levels!$R53*1000)</f>
        <v>746.24956842478264</v>
      </c>
      <c r="D53">
        <f>Levels!D53/EXP(Levels!$J53)</f>
        <v>72004.69633274118</v>
      </c>
      <c r="E53">
        <f>Levels!E53/Levels!$Q53</f>
        <v>0.17815177606068788</v>
      </c>
      <c r="F53">
        <f>Levels!F53/Levels!$Q53</f>
        <v>0.64966335327267577</v>
      </c>
      <c r="G53" s="6">
        <v>5.8</v>
      </c>
      <c r="H53" s="4">
        <v>4.646163333333333</v>
      </c>
      <c r="I53" s="4">
        <v>8.0358009523809528</v>
      </c>
      <c r="J53">
        <v>2.2169559280942002</v>
      </c>
      <c r="K53">
        <v>0.159112798243916</v>
      </c>
      <c r="L53">
        <v>0.78539999999999999</v>
      </c>
      <c r="M53">
        <v>-9.6727087027686505</v>
      </c>
      <c r="N53" s="6">
        <v>4.4687200000000002</v>
      </c>
      <c r="O53">
        <v>0.76173375826497203</v>
      </c>
      <c r="P53">
        <v>0.88130841918701397</v>
      </c>
      <c r="Q53" s="1">
        <v>7344.5969999999998</v>
      </c>
      <c r="R53">
        <v>-1.192113725</v>
      </c>
      <c r="S53">
        <v>0.44673631600000002</v>
      </c>
      <c r="T53">
        <v>-0.195272484</v>
      </c>
    </row>
    <row r="54" spans="1:20" x14ac:dyDescent="0.35">
      <c r="A54" t="s">
        <v>53</v>
      </c>
      <c r="B54">
        <f>Levels!B54/(Levels!$R54*1000)</f>
        <v>4.1256835734324975</v>
      </c>
      <c r="C54">
        <f>Levels!C54/(Levels!$R54*1000)</f>
        <v>763.58288021713997</v>
      </c>
      <c r="D54">
        <f>Levels!D54/EXP(Levels!$J54)</f>
        <v>80153.613526977031</v>
      </c>
      <c r="E54">
        <f>Levels!E54/Levels!$Q54</f>
        <v>0.17998703821642864</v>
      </c>
      <c r="F54">
        <f>Levels!F54/Levels!$Q54</f>
        <v>0.64229697827151222</v>
      </c>
      <c r="G54" s="6">
        <v>7.1</v>
      </c>
      <c r="H54" s="4">
        <v>4.6037506451612904</v>
      </c>
      <c r="I54" s="4">
        <v>8.354713986175117</v>
      </c>
      <c r="J54">
        <v>2.2049622575336798</v>
      </c>
      <c r="K54">
        <v>0.64357286088340904</v>
      </c>
      <c r="L54">
        <v>0.76639999999999997</v>
      </c>
      <c r="M54">
        <v>-9.0514768426840106</v>
      </c>
      <c r="N54" s="6">
        <v>4.1561700000000004</v>
      </c>
      <c r="O54">
        <v>0.76683499309916403</v>
      </c>
      <c r="P54">
        <v>0.88976134297007703</v>
      </c>
      <c r="Q54" s="1">
        <v>7488.1670000000004</v>
      </c>
      <c r="R54">
        <v>0.89383706699999999</v>
      </c>
      <c r="S54">
        <v>2.2793956519999998</v>
      </c>
      <c r="T54">
        <v>-1.0147785540000001</v>
      </c>
    </row>
    <row r="55" spans="1:20" x14ac:dyDescent="0.35">
      <c r="A55" t="s">
        <v>54</v>
      </c>
      <c r="B55">
        <f>Levels!B55/(Levels!$R55*1000)</f>
        <v>4.2881804216132897</v>
      </c>
      <c r="C55">
        <f>Levels!C55/(Levels!$R55*1000)</f>
        <v>759.43153714124423</v>
      </c>
      <c r="D55">
        <f>Levels!D55/EXP(Levels!$J55)</f>
        <v>81088.478800324112</v>
      </c>
      <c r="E55">
        <f>Levels!E55/Levels!$Q55</f>
        <v>0.18338252458435766</v>
      </c>
      <c r="F55">
        <f>Levels!F55/Levels!$Q55</f>
        <v>0.63980563142597913</v>
      </c>
      <c r="G55" s="6">
        <v>7.3</v>
      </c>
      <c r="H55" s="4">
        <v>5.8231723809523812</v>
      </c>
      <c r="I55" s="4">
        <v>9.6603044444444439</v>
      </c>
      <c r="J55">
        <v>2.1891469064781899</v>
      </c>
      <c r="K55">
        <v>0.79883671940796896</v>
      </c>
      <c r="L55">
        <v>0.72289999999999999</v>
      </c>
      <c r="M55">
        <v>-11.0772405944106</v>
      </c>
      <c r="N55" s="6">
        <v>4.5738300000000001</v>
      </c>
      <c r="O55">
        <v>0.75153060824074203</v>
      </c>
      <c r="P55">
        <v>0.912624292406365</v>
      </c>
      <c r="Q55" s="1">
        <v>7617.5469999999996</v>
      </c>
      <c r="R55">
        <v>0.55836621500000005</v>
      </c>
      <c r="S55">
        <v>5.1271254000000002E-2</v>
      </c>
      <c r="T55">
        <v>0.65010290900000001</v>
      </c>
    </row>
    <row r="56" spans="1:20" x14ac:dyDescent="0.35">
      <c r="A56" t="s">
        <v>55</v>
      </c>
      <c r="B56">
        <f>Levels!B56/(Levels!$R56*1000)</f>
        <v>4.4157141178552504</v>
      </c>
      <c r="C56">
        <f>Levels!C56/(Levels!$R56*1000)</f>
        <v>808.12658444848091</v>
      </c>
      <c r="D56">
        <f>Levels!D56/EXP(Levels!$J56)</f>
        <v>81698.154241345037</v>
      </c>
      <c r="E56">
        <f>Levels!E56/Levels!$Q56</f>
        <v>0.18510749923449341</v>
      </c>
      <c r="F56">
        <f>Levels!F56/Levels!$Q56</f>
        <v>0.63606403090121566</v>
      </c>
      <c r="G56" s="6">
        <v>5.6</v>
      </c>
      <c r="H56" s="4">
        <v>6.4338800000000003</v>
      </c>
      <c r="I56" s="4">
        <v>9.375764603174602</v>
      </c>
      <c r="J56">
        <v>2.2177428843388398</v>
      </c>
      <c r="K56">
        <v>-0.28397094674404999</v>
      </c>
      <c r="L56">
        <v>0.80030000000000001</v>
      </c>
      <c r="M56">
        <v>-11.6773705878099</v>
      </c>
      <c r="N56" s="6">
        <v>3.9777800000000001</v>
      </c>
      <c r="O56">
        <v>0.76024757975316104</v>
      </c>
      <c r="P56">
        <v>0.94269758624599298</v>
      </c>
      <c r="Q56" s="1">
        <v>7690.9849999999997</v>
      </c>
      <c r="R56">
        <v>-1.105684332</v>
      </c>
      <c r="S56">
        <v>-1.0603413900000001</v>
      </c>
      <c r="T56">
        <v>-0.68734995499999996</v>
      </c>
    </row>
    <row r="57" spans="1:20" x14ac:dyDescent="0.35">
      <c r="A57" t="s">
        <v>56</v>
      </c>
      <c r="B57">
        <f>Levels!B57/(Levels!$R57*1000)</f>
        <v>4.5820576669173043</v>
      </c>
      <c r="C57">
        <f>Levels!C57/(Levels!$R57*1000)</f>
        <v>860.64516041830041</v>
      </c>
      <c r="D57">
        <f>Levels!D57/EXP(Levels!$J57)</f>
        <v>83534.795828049493</v>
      </c>
      <c r="E57">
        <f>Levels!E57/Levels!$Q57</f>
        <v>0.18836483896232156</v>
      </c>
      <c r="F57">
        <f>Levels!F57/Levels!$Q57</f>
        <v>0.63666047101354828</v>
      </c>
      <c r="G57" s="6">
        <v>4.4000000000000004</v>
      </c>
      <c r="H57" s="4">
        <v>4.5853062295081966</v>
      </c>
      <c r="I57" s="4">
        <v>8.3036112138953939</v>
      </c>
      <c r="J57">
        <v>2.2185290757527598</v>
      </c>
      <c r="K57" s="5">
        <v>-7.2099733932462495E-3</v>
      </c>
      <c r="L57">
        <v>0.88980000000000004</v>
      </c>
      <c r="M57">
        <v>-10.3184054196846</v>
      </c>
      <c r="N57" s="6">
        <v>3.88612</v>
      </c>
      <c r="O57">
        <v>0.76475655211965099</v>
      </c>
      <c r="P57">
        <v>0.89401877656456297</v>
      </c>
      <c r="Q57" s="1">
        <v>7754.1170000000002</v>
      </c>
      <c r="R57">
        <v>-8.6505598000000003E-2</v>
      </c>
      <c r="S57">
        <v>-0.16070679399999999</v>
      </c>
      <c r="T57">
        <v>-5.6017300000000001E-3</v>
      </c>
    </row>
    <row r="58" spans="1:20" x14ac:dyDescent="0.35">
      <c r="A58" t="s">
        <v>57</v>
      </c>
      <c r="B58">
        <f>Levels!B58/(Levels!$R58*1000)</f>
        <v>4.7154631786521275</v>
      </c>
      <c r="C58">
        <f>Levels!C58/(Levels!$R58*1000)</f>
        <v>893.56956728818807</v>
      </c>
      <c r="D58">
        <f>Levels!D58/EXP(Levels!$J58)</f>
        <v>82844.562097126051</v>
      </c>
      <c r="E58">
        <f>Levels!E58/Levels!$Q58</f>
        <v>0.18834206553365196</v>
      </c>
      <c r="F58">
        <f>Levels!F58/Levels!$Q58</f>
        <v>0.64258696341370225</v>
      </c>
      <c r="G58" s="6">
        <v>3.2</v>
      </c>
      <c r="H58" s="4">
        <v>4.236600000000001</v>
      </c>
      <c r="I58" s="4">
        <v>8.1695630952380949</v>
      </c>
      <c r="J58">
        <v>2.2485927630268598</v>
      </c>
      <c r="K58">
        <v>-0.84860944343617994</v>
      </c>
      <c r="L58">
        <v>0.92559999999999998</v>
      </c>
      <c r="M58">
        <v>-10.0080241477248</v>
      </c>
      <c r="N58" s="6">
        <v>4.2491199999999996</v>
      </c>
      <c r="O58">
        <v>0.76873270540252703</v>
      </c>
      <c r="P58">
        <v>0.87606994294729601</v>
      </c>
      <c r="Q58" s="1">
        <v>7829.26</v>
      </c>
      <c r="R58">
        <v>-0.43405108799999997</v>
      </c>
      <c r="S58">
        <v>-1.436270728</v>
      </c>
      <c r="T58">
        <v>-1.150457686</v>
      </c>
    </row>
    <row r="59" spans="1:20" x14ac:dyDescent="0.35">
      <c r="A59" t="s">
        <v>58</v>
      </c>
      <c r="B59">
        <f>Levels!B59/(Levels!$R59*1000)</f>
        <v>4.8654255833304356</v>
      </c>
      <c r="C59">
        <f>Levels!C59/(Levels!$R59*1000)</f>
        <v>919.87271720471881</v>
      </c>
      <c r="D59">
        <f>Levels!D59/EXP(Levels!$J59)</f>
        <v>82430.139521194666</v>
      </c>
      <c r="E59">
        <f>Levels!E59/Levels!$Q59</f>
        <v>0.19057090772903271</v>
      </c>
      <c r="F59">
        <f>Levels!F59/Levels!$Q59</f>
        <v>0.64121818138616349</v>
      </c>
      <c r="G59" s="6">
        <v>2.6</v>
      </c>
      <c r="H59" s="4">
        <v>3.4393126984126985</v>
      </c>
      <c r="I59" s="4">
        <v>7.4572689682539677</v>
      </c>
      <c r="J59">
        <v>2.2710793372257498</v>
      </c>
      <c r="K59">
        <v>-5.7470942563445107E-2</v>
      </c>
      <c r="L59">
        <v>1.1348</v>
      </c>
      <c r="M59">
        <v>-7.6300222154733097</v>
      </c>
      <c r="N59" s="6">
        <v>3.9384000000000001</v>
      </c>
      <c r="O59">
        <v>0.76351854432845301</v>
      </c>
      <c r="P59">
        <v>0.83759755783131196</v>
      </c>
      <c r="Q59" s="1">
        <v>7898.1940000000004</v>
      </c>
      <c r="R59">
        <v>-1.8248063450000001</v>
      </c>
      <c r="S59">
        <v>0.12627075500000001</v>
      </c>
      <c r="T59">
        <v>0.26111475299999998</v>
      </c>
    </row>
    <row r="60" spans="1:20" x14ac:dyDescent="0.35">
      <c r="A60" t="s">
        <v>59</v>
      </c>
      <c r="B60">
        <f>Levels!B60/(Levels!$R60*1000)</f>
        <v>5.0047256959294426</v>
      </c>
      <c r="C60">
        <f>Levels!C60/(Levels!$R60*1000)</f>
        <v>959.0456494477761</v>
      </c>
      <c r="D60">
        <f>Levels!D60/EXP(Levels!$J60)</f>
        <v>84810.084407427697</v>
      </c>
      <c r="E60">
        <f>Levels!E60/Levels!$Q60</f>
        <v>0.18833781924472823</v>
      </c>
      <c r="F60">
        <f>Levels!F60/Levels!$Q60</f>
        <v>0.64229987228443663</v>
      </c>
      <c r="G60" s="6">
        <v>2.4</v>
      </c>
      <c r="H60" s="4">
        <v>3.0717217460317467</v>
      </c>
      <c r="I60" s="4">
        <v>7.0127948412698409</v>
      </c>
      <c r="J60">
        <v>2.269961261722</v>
      </c>
      <c r="K60">
        <v>-0.94191077155577996</v>
      </c>
      <c r="L60">
        <v>1.1496999999999999</v>
      </c>
      <c r="M60">
        <v>-7.3892327184050801</v>
      </c>
      <c r="N60" s="6">
        <v>4.0290999999999997</v>
      </c>
      <c r="O60">
        <v>0.74925467128533596</v>
      </c>
      <c r="P60">
        <v>0.85238991056100299</v>
      </c>
      <c r="Q60" s="1">
        <v>8018.8090000000002</v>
      </c>
      <c r="R60">
        <v>-0.101789252</v>
      </c>
      <c r="S60">
        <v>-0.71081351500000001</v>
      </c>
      <c r="T60">
        <v>1.5480411270000001</v>
      </c>
    </row>
    <row r="61" spans="1:20" x14ac:dyDescent="0.35">
      <c r="A61" t="s">
        <v>60</v>
      </c>
      <c r="B61">
        <f>Levels!B61/(Levels!$R61*1000)</f>
        <v>5.2119025343650804</v>
      </c>
      <c r="C61">
        <f>Levels!C61/(Levels!$R61*1000)</f>
        <v>1005.459779556174</v>
      </c>
      <c r="D61">
        <f>Levels!D61/EXP(Levels!$J61)</f>
        <v>84956.492607928245</v>
      </c>
      <c r="E61">
        <f>Levels!E61/Levels!$Q61</f>
        <v>0.18979737980779646</v>
      </c>
      <c r="F61">
        <f>Levels!F61/Levels!$Q61</f>
        <v>0.63698576297659137</v>
      </c>
      <c r="G61" s="6">
        <v>2.2999999999999998</v>
      </c>
      <c r="H61" s="4">
        <v>3.4200296774193553</v>
      </c>
      <c r="I61" s="4">
        <v>6.4921756989247319</v>
      </c>
      <c r="J61">
        <v>2.3060832010281702</v>
      </c>
      <c r="K61">
        <v>-0.36180971345440299</v>
      </c>
      <c r="L61">
        <v>1.3325</v>
      </c>
      <c r="M61">
        <v>-6.4370741303313697</v>
      </c>
      <c r="N61" s="6">
        <v>4.0343099999999996</v>
      </c>
      <c r="O61">
        <v>0.76969274795438403</v>
      </c>
      <c r="P61">
        <v>0.89121446248342495</v>
      </c>
      <c r="Q61" s="1">
        <v>8078.415</v>
      </c>
      <c r="R61">
        <v>0.73162774799999997</v>
      </c>
      <c r="S61">
        <v>-1.1122958519999999</v>
      </c>
      <c r="T61">
        <v>-0.71882701999999998</v>
      </c>
    </row>
    <row r="62" spans="1:20" x14ac:dyDescent="0.35">
      <c r="A62" t="s">
        <v>61</v>
      </c>
      <c r="B62">
        <f>Levels!B62/(Levels!$R62*1000)</f>
        <v>5.2989309492314778</v>
      </c>
      <c r="C62">
        <f>Levels!C62/(Levels!$R62*1000)</f>
        <v>1060.871592429568</v>
      </c>
      <c r="D62">
        <f>Levels!D62/EXP(Levels!$J62)</f>
        <v>83599.981612796822</v>
      </c>
      <c r="E62">
        <f>Levels!E62/Levels!$Q62</f>
        <v>0.18896802962142081</v>
      </c>
      <c r="F62">
        <f>Levels!F62/Levels!$Q62</f>
        <v>0.63473621550074144</v>
      </c>
      <c r="G62" s="6">
        <v>1.3</v>
      </c>
      <c r="H62" s="4">
        <v>3.3441766666666668</v>
      </c>
      <c r="I62" s="4">
        <v>5.3448200000000003</v>
      </c>
      <c r="J62">
        <v>2.3419221860711499</v>
      </c>
      <c r="K62">
        <v>-2.0680591358986603E-2</v>
      </c>
      <c r="L62">
        <v>1.6753</v>
      </c>
      <c r="M62">
        <v>-4.9003657696485199</v>
      </c>
      <c r="N62" s="6">
        <v>3.7436799999999999</v>
      </c>
      <c r="O62">
        <v>0.812280405658246</v>
      </c>
      <c r="P62">
        <v>0.918582171876825</v>
      </c>
      <c r="Q62" s="1">
        <v>8153.8289999999997</v>
      </c>
      <c r="R62">
        <v>-1.5626075340000001</v>
      </c>
      <c r="S62">
        <v>-1.223521955</v>
      </c>
      <c r="T62">
        <v>1.2651667120000001</v>
      </c>
    </row>
    <row r="63" spans="1:20" x14ac:dyDescent="0.35">
      <c r="A63" t="s">
        <v>62</v>
      </c>
      <c r="B63">
        <f>Levels!B63/(Levels!$R63*1000)</f>
        <v>5.4560640613451667</v>
      </c>
      <c r="C63">
        <f>Levels!C63/(Levels!$R63*1000)</f>
        <v>1083.1353033069399</v>
      </c>
      <c r="D63">
        <f>Levels!D63/EXP(Levels!$J63)</f>
        <v>83010.670687731952</v>
      </c>
      <c r="E63">
        <f>Levels!E63/Levels!$Q63</f>
        <v>0.1890888428521057</v>
      </c>
      <c r="F63">
        <f>Levels!F63/Levels!$Q63</f>
        <v>0.63220213567958938</v>
      </c>
      <c r="G63" s="6">
        <v>0.4</v>
      </c>
      <c r="H63" s="4">
        <v>2.9303474999999994</v>
      </c>
      <c r="I63" s="4">
        <v>4.4211504166666673</v>
      </c>
      <c r="J63">
        <v>2.3810839729264801</v>
      </c>
      <c r="K63">
        <v>-7.5708988762951401E-2</v>
      </c>
      <c r="L63">
        <v>1.7927999999999999</v>
      </c>
      <c r="M63">
        <v>-3.1568093886062001</v>
      </c>
      <c r="N63" s="6">
        <v>3.5554899999999998</v>
      </c>
      <c r="O63">
        <v>0.80352349923611399</v>
      </c>
      <c r="P63">
        <v>0.951811806276321</v>
      </c>
      <c r="Q63" s="1">
        <v>8190.5519999999997</v>
      </c>
      <c r="R63">
        <v>-0.23514148000000001</v>
      </c>
      <c r="S63">
        <v>1.7729811150000001</v>
      </c>
      <c r="T63">
        <v>1.7968777549999999</v>
      </c>
    </row>
    <row r="64" spans="1:20" x14ac:dyDescent="0.35">
      <c r="A64" t="s">
        <v>63</v>
      </c>
      <c r="B64">
        <f>Levels!B64/(Levels!$R64*1000)</f>
        <v>5.6106872952497424</v>
      </c>
      <c r="C64">
        <f>Levels!C64/(Levels!$R64*1000)</f>
        <v>1120.85888855452</v>
      </c>
      <c r="D64">
        <f>Levels!D64/EXP(Levels!$J64)</f>
        <v>85811.187104957397</v>
      </c>
      <c r="E64">
        <f>Levels!E64/Levels!$Q64</f>
        <v>0.1885162962340374</v>
      </c>
      <c r="F64">
        <f>Levels!F64/Levels!$Q64</f>
        <v>0.63500067906564128</v>
      </c>
      <c r="G64" s="6">
        <v>0.6</v>
      </c>
      <c r="H64" s="4">
        <v>2.2222225</v>
      </c>
      <c r="I64" s="4">
        <v>4.1678985119047613</v>
      </c>
      <c r="J64">
        <v>2.3805902804431902</v>
      </c>
      <c r="K64">
        <v>0.17977388821371498</v>
      </c>
      <c r="L64">
        <v>2.0034999999999998</v>
      </c>
      <c r="M64">
        <v>-3.33000492472117</v>
      </c>
      <c r="N64" s="6">
        <v>3.2068400000000001</v>
      </c>
      <c r="O64">
        <v>0.78593577623472899</v>
      </c>
      <c r="P64">
        <v>1.0276505214376599</v>
      </c>
      <c r="Q64" s="1">
        <v>8268.9349999999995</v>
      </c>
      <c r="R64">
        <v>0.170981781</v>
      </c>
      <c r="S64">
        <v>0.687721209</v>
      </c>
      <c r="T64">
        <v>1.6942304450000001</v>
      </c>
    </row>
    <row r="65" spans="1:20" x14ac:dyDescent="0.35">
      <c r="A65" t="s">
        <v>64</v>
      </c>
      <c r="B65">
        <f>Levels!B65/(Levels!$R65*1000)</f>
        <v>5.793798503611181</v>
      </c>
      <c r="C65">
        <f>Levels!C65/(Levels!$R65*1000)</f>
        <v>1164.1513459016044</v>
      </c>
      <c r="D65">
        <f>Levels!D65/EXP(Levels!$J65)</f>
        <v>87069.507252358846</v>
      </c>
      <c r="E65">
        <f>Levels!E65/Levels!$Q65</f>
        <v>0.18817399220385361</v>
      </c>
      <c r="F65">
        <f>Levels!F65/Levels!$Q65</f>
        <v>0.63423215608135197</v>
      </c>
      <c r="G65" s="6">
        <v>0.8</v>
      </c>
      <c r="H65" s="4">
        <v>2.5107906451612902</v>
      </c>
      <c r="I65" s="4">
        <v>4.1573965437788019</v>
      </c>
      <c r="J65">
        <v>2.3924222177788499</v>
      </c>
      <c r="K65">
        <v>-0.43903318139711406</v>
      </c>
      <c r="L65">
        <v>1.9392</v>
      </c>
      <c r="M65">
        <v>-4.29586969488353</v>
      </c>
      <c r="N65" s="6">
        <v>3.3043399999999998</v>
      </c>
      <c r="O65">
        <v>0.79289806667180696</v>
      </c>
      <c r="P65">
        <v>1.0254392282170799</v>
      </c>
      <c r="Q65" s="1">
        <v>8313.3379999999997</v>
      </c>
      <c r="R65">
        <v>2.3625475520000001</v>
      </c>
      <c r="S65">
        <v>-0.277478799</v>
      </c>
      <c r="T65">
        <v>-1.0091628749999999</v>
      </c>
    </row>
    <row r="66" spans="1:20" x14ac:dyDescent="0.35">
      <c r="A66" t="s">
        <v>65</v>
      </c>
      <c r="B66">
        <f>Levels!B66/(Levels!$R66*1000)</f>
        <v>5.8604237115522544</v>
      </c>
      <c r="C66">
        <f>Levels!C66/(Levels!$R66*1000)</f>
        <v>1171.4431819324125</v>
      </c>
      <c r="D66">
        <f>Levels!D66/EXP(Levels!$J66)</f>
        <v>86601.307227194295</v>
      </c>
      <c r="E66">
        <f>Levels!E66/Levels!$Q66</f>
        <v>0.18489293604006271</v>
      </c>
      <c r="F66">
        <f>Levels!F66/Levels!$Q66</f>
        <v>0.63087566758273239</v>
      </c>
      <c r="G66" s="6">
        <v>2.2000000000000002</v>
      </c>
      <c r="H66" s="4">
        <v>2.4056106557377048</v>
      </c>
      <c r="I66" s="4">
        <v>4.1209236455893841</v>
      </c>
      <c r="J66">
        <v>2.44570109533033</v>
      </c>
      <c r="K66">
        <v>-0.734702948671762</v>
      </c>
      <c r="L66">
        <v>1.8607</v>
      </c>
      <c r="M66">
        <v>-4.6389603102951797</v>
      </c>
      <c r="N66" s="6">
        <v>2.84179</v>
      </c>
      <c r="O66">
        <v>0.79788138410486498</v>
      </c>
      <c r="P66">
        <v>1.0318213902600499</v>
      </c>
      <c r="Q66" s="1">
        <v>8375.2739999999994</v>
      </c>
      <c r="R66">
        <v>-1.3678983600000001</v>
      </c>
      <c r="S66">
        <v>2.4009960210000001</v>
      </c>
      <c r="T66">
        <v>-0.66723307099999996</v>
      </c>
    </row>
    <row r="67" spans="1:20" x14ac:dyDescent="0.35">
      <c r="A67" t="s">
        <v>66</v>
      </c>
      <c r="B67">
        <f>Levels!B67/(Levels!$R67*1000)</f>
        <v>6.0164104549574144</v>
      </c>
      <c r="C67">
        <f>Levels!C67/(Levels!$R67*1000)</f>
        <v>1180.703652041924</v>
      </c>
      <c r="D67">
        <f>Levels!D67/EXP(Levels!$J67)</f>
        <v>83864.374578311166</v>
      </c>
      <c r="E67">
        <f>Levels!E67/Levels!$Q67</f>
        <v>0.18591410208100287</v>
      </c>
      <c r="F67">
        <f>Levels!F67/Levels!$Q67</f>
        <v>0.63424517081930243</v>
      </c>
      <c r="G67" s="6">
        <v>3.1</v>
      </c>
      <c r="H67" s="4">
        <v>2.309900634920635</v>
      </c>
      <c r="I67" s="4">
        <v>5.2947386507936516</v>
      </c>
      <c r="J67">
        <v>2.4732603848836501</v>
      </c>
      <c r="K67">
        <v>-0.16188126537921799</v>
      </c>
      <c r="L67">
        <v>1.6099000000000001</v>
      </c>
      <c r="M67">
        <v>-5.9534696940123197</v>
      </c>
      <c r="N67" s="6">
        <v>3.1327500000000001</v>
      </c>
      <c r="O67">
        <v>0.74747068382203097</v>
      </c>
      <c r="P67">
        <v>1.02045390445622</v>
      </c>
      <c r="Q67" s="1">
        <v>8465.6299999999992</v>
      </c>
      <c r="R67">
        <v>0.95513394200000001</v>
      </c>
      <c r="S67">
        <v>1.696428491</v>
      </c>
      <c r="T67">
        <v>1.687710877</v>
      </c>
    </row>
    <row r="68" spans="1:20" x14ac:dyDescent="0.35">
      <c r="A68" t="s">
        <v>67</v>
      </c>
      <c r="B68">
        <f>Levels!B68/(Levels!$R68*1000)</f>
        <v>6.1472224243458689</v>
      </c>
      <c r="C68">
        <f>Levels!C68/(Levels!$R68*1000)</f>
        <v>1198.9613363428336</v>
      </c>
      <c r="D68">
        <f>Levels!D68/EXP(Levels!$J68)</f>
        <v>84160.867505757997</v>
      </c>
      <c r="E68">
        <f>Levels!E68/Levels!$Q68</f>
        <v>0.18734136894218634</v>
      </c>
      <c r="F68">
        <f>Levels!F68/Levels!$Q68</f>
        <v>0.63698111838625204</v>
      </c>
      <c r="G68" s="6">
        <v>3.3</v>
      </c>
      <c r="H68" s="4">
        <v>2.4815487500000004</v>
      </c>
      <c r="I68" s="4">
        <v>5.8612591666666667</v>
      </c>
      <c r="J68">
        <v>2.48952459641907</v>
      </c>
      <c r="K68">
        <v>0.67469191350707902</v>
      </c>
      <c r="L68">
        <v>1.6453</v>
      </c>
      <c r="M68">
        <v>-7.4056155197273403</v>
      </c>
      <c r="N68" s="6">
        <v>3.3450199999999999</v>
      </c>
      <c r="O68">
        <v>0.74380298983835003</v>
      </c>
      <c r="P68">
        <v>1.1545048148841699</v>
      </c>
      <c r="Q68" s="1">
        <v>8539.0750000000007</v>
      </c>
      <c r="R68">
        <v>2.3867561909999999</v>
      </c>
      <c r="S68">
        <v>2.128821716</v>
      </c>
      <c r="T68">
        <v>6.6214788249999996</v>
      </c>
    </row>
    <row r="69" spans="1:20" x14ac:dyDescent="0.35">
      <c r="A69" t="s">
        <v>68</v>
      </c>
      <c r="B69">
        <f>Levels!B69/(Levels!$R69*1000)</f>
        <v>6.277776461464919</v>
      </c>
      <c r="C69">
        <f>Levels!C69/(Levels!$R69*1000)</f>
        <v>1235.9298649438474</v>
      </c>
      <c r="D69">
        <f>Levels!D69/EXP(Levels!$J69)</f>
        <v>94624.738721699759</v>
      </c>
      <c r="E69">
        <f>Levels!E69/Levels!$Q69</f>
        <v>0.18426276587685453</v>
      </c>
      <c r="F69">
        <f>Levels!F69/Levels!$Q69</f>
        <v>0.6277289026198366</v>
      </c>
      <c r="G69" s="6">
        <v>3.6</v>
      </c>
      <c r="H69" s="4">
        <v>1.9678335483870968</v>
      </c>
      <c r="I69" s="4">
        <v>6.1675601152073742</v>
      </c>
      <c r="J69">
        <v>2.3855915634697</v>
      </c>
      <c r="K69">
        <v>2.0697219030251901</v>
      </c>
      <c r="L69">
        <v>1.4029</v>
      </c>
      <c r="M69">
        <v>-5.0273567422500802</v>
      </c>
      <c r="N69" s="6">
        <v>3.5551699999999999</v>
      </c>
      <c r="O69">
        <v>0.770002976001813</v>
      </c>
      <c r="P69">
        <v>1.2604395483189501</v>
      </c>
      <c r="Q69" s="1">
        <v>8685.6939999999995</v>
      </c>
      <c r="R69">
        <v>1.120384496</v>
      </c>
      <c r="S69">
        <v>0.92682936100000002</v>
      </c>
      <c r="T69">
        <v>-6.3787586210000002</v>
      </c>
    </row>
    <row r="70" spans="1:20" x14ac:dyDescent="0.35">
      <c r="A70" t="s">
        <v>69</v>
      </c>
      <c r="B70">
        <f>Levels!B70/(Levels!$R70*1000)</f>
        <v>6.3999938839159833</v>
      </c>
      <c r="C70">
        <f>Levels!C70/(Levels!$R70*1000)</f>
        <v>1229.239838436303</v>
      </c>
      <c r="D70">
        <f>Levels!D70/EXP(Levels!$J70)</f>
        <v>93913.949151556168</v>
      </c>
      <c r="E70">
        <f>Levels!E70/Levels!$Q70</f>
        <v>0.18202765478401237</v>
      </c>
      <c r="F70">
        <f>Levels!F70/Levels!$Q70</f>
        <v>0.63490010350798631</v>
      </c>
      <c r="G70" s="6">
        <v>2.4</v>
      </c>
      <c r="H70" s="4">
        <v>1.5718558064516133</v>
      </c>
      <c r="I70" s="4">
        <v>5.5066246466973876</v>
      </c>
      <c r="J70">
        <v>2.41166242971914</v>
      </c>
      <c r="K70">
        <v>-0.45718533658320998</v>
      </c>
      <c r="L70">
        <v>1.552</v>
      </c>
      <c r="M70">
        <v>-7.5345230239547103</v>
      </c>
      <c r="N70" s="6">
        <v>3.9013599999999999</v>
      </c>
      <c r="O70">
        <v>0.74899058778389505</v>
      </c>
      <c r="P70">
        <v>1.0292293298575299</v>
      </c>
      <c r="Q70" s="1">
        <v>8730.5689999999995</v>
      </c>
      <c r="R70">
        <v>-1.556987122</v>
      </c>
      <c r="S70">
        <v>0.83486693599999995</v>
      </c>
      <c r="T70">
        <v>-2.409299115</v>
      </c>
    </row>
    <row r="71" spans="1:20" x14ac:dyDescent="0.35">
      <c r="A71" t="s">
        <v>70</v>
      </c>
      <c r="B71">
        <f>Levels!B71/(Levels!$R71*1000)</f>
        <v>6.5737575212473072</v>
      </c>
      <c r="C71">
        <f>Levels!C71/(Levels!$R71*1000)</f>
        <v>1219.1923481890376</v>
      </c>
      <c r="D71">
        <f>Levels!D71/EXP(Levels!$J71)</f>
        <v>95462.705220965261</v>
      </c>
      <c r="E71">
        <f>Levels!E71/Levels!$Q71</f>
        <v>0.18285899372320605</v>
      </c>
      <c r="F71">
        <f>Levels!F71/Levels!$Q71</f>
        <v>0.63210299738286813</v>
      </c>
      <c r="G71" s="6">
        <v>3.3</v>
      </c>
      <c r="H71" s="4">
        <v>1.799876666666667</v>
      </c>
      <c r="I71" s="4">
        <v>6.0709528571428582</v>
      </c>
      <c r="J71">
        <v>2.4225265634390398</v>
      </c>
      <c r="K71">
        <v>-4.76516959399736E-2</v>
      </c>
      <c r="L71">
        <v>1.4227000000000001</v>
      </c>
      <c r="M71">
        <v>-8.3996380917753992</v>
      </c>
      <c r="N71" s="6">
        <v>4.15137</v>
      </c>
      <c r="O71">
        <v>0.71734420713290503</v>
      </c>
      <c r="P71">
        <v>0.90733743917406096</v>
      </c>
      <c r="Q71" s="1">
        <v>8845.2800000000007</v>
      </c>
      <c r="R71">
        <v>-0.65367258299999997</v>
      </c>
      <c r="S71">
        <v>-1.338368665</v>
      </c>
      <c r="T71">
        <v>0.1097364</v>
      </c>
    </row>
    <row r="72" spans="1:20" x14ac:dyDescent="0.35">
      <c r="A72" t="s">
        <v>71</v>
      </c>
      <c r="B72">
        <f>Levels!B72/(Levels!$R72*1000)</f>
        <v>6.7109166188708045</v>
      </c>
      <c r="C72">
        <f>Levels!C72/(Levels!$R72*1000)</f>
        <v>1248.8732020683508</v>
      </c>
      <c r="D72">
        <f>Levels!D72/EXP(Levels!$J72)</f>
        <v>99006.591411615664</v>
      </c>
      <c r="E72">
        <f>Levels!E72/Levels!$Q72</f>
        <v>0.18223361818622616</v>
      </c>
      <c r="F72">
        <f>Levels!F72/Levels!$Q72</f>
        <v>0.63523014729038829</v>
      </c>
      <c r="G72" s="6">
        <v>2.8</v>
      </c>
      <c r="H72" s="4">
        <v>2.4954800000000006</v>
      </c>
      <c r="I72" s="4">
        <v>6.3300542261904766</v>
      </c>
      <c r="J72">
        <v>2.4307837935198302</v>
      </c>
      <c r="K72">
        <v>6.4101970035990191E-2</v>
      </c>
      <c r="L72">
        <v>1.3593</v>
      </c>
      <c r="M72">
        <v>-9.1814682681160793</v>
      </c>
      <c r="N72" s="6">
        <v>4.4167899999999998</v>
      </c>
      <c r="O72">
        <v>0.70612418119825304</v>
      </c>
      <c r="P72">
        <v>0.84500575044892401</v>
      </c>
      <c r="Q72" s="1">
        <v>8897.107</v>
      </c>
      <c r="R72">
        <v>-1.446645561</v>
      </c>
      <c r="S72">
        <v>-1.4789062319999999</v>
      </c>
      <c r="T72">
        <v>-0.64440549999999996</v>
      </c>
    </row>
    <row r="73" spans="1:20" x14ac:dyDescent="0.35">
      <c r="A73" t="s">
        <v>72</v>
      </c>
      <c r="B73">
        <f>Levels!B73/(Levels!$R73*1000)</f>
        <v>6.8690873791424769</v>
      </c>
      <c r="C73">
        <f>Levels!C73/(Levels!$R73*1000)</f>
        <v>1257.4498512185323</v>
      </c>
      <c r="D73">
        <f>Levels!D73/EXP(Levels!$J73)</f>
        <v>99844.317688843759</v>
      </c>
      <c r="E73">
        <f>Levels!E73/Levels!$Q73</f>
        <v>0.18199064938222501</v>
      </c>
      <c r="F73">
        <f>Levels!F73/Levels!$Q73</f>
        <v>0.63342631170057118</v>
      </c>
      <c r="G73" s="6">
        <v>2.9</v>
      </c>
      <c r="H73" s="4">
        <v>3.0790796721311473</v>
      </c>
      <c r="I73" s="4">
        <v>6.2592220374707264</v>
      </c>
      <c r="J73">
        <v>2.4373322132575601</v>
      </c>
      <c r="K73">
        <v>8.1356436429425E-2</v>
      </c>
      <c r="L73">
        <v>1.3882000000000001</v>
      </c>
      <c r="M73">
        <v>-8.6025839470045806</v>
      </c>
      <c r="N73" s="6">
        <v>4.5207699999999997</v>
      </c>
      <c r="O73">
        <v>0.71584072453527803</v>
      </c>
      <c r="P73">
        <v>0.81870617965996295</v>
      </c>
      <c r="Q73" s="1">
        <v>9015.6610000000001</v>
      </c>
      <c r="R73">
        <v>0.689641744</v>
      </c>
      <c r="S73">
        <v>-1.5112732680000001</v>
      </c>
      <c r="T73">
        <v>-0.439724899</v>
      </c>
    </row>
    <row r="74" spans="1:20" x14ac:dyDescent="0.35">
      <c r="A74" t="s">
        <v>73</v>
      </c>
      <c r="B74">
        <f>Levels!B74/(Levels!$R74*1000)</f>
        <v>6.9826369595191595</v>
      </c>
      <c r="C74">
        <f>Levels!C74/(Levels!$R74*1000)</f>
        <v>1258.8232559813007</v>
      </c>
      <c r="D74">
        <f>Levels!D74/EXP(Levels!$J74)</f>
        <v>101119.73526483699</v>
      </c>
      <c r="E74">
        <f>Levels!E74/Levels!$Q74</f>
        <v>0.18126705634614113</v>
      </c>
      <c r="F74">
        <f>Levels!F74/Levels!$Q74</f>
        <v>0.63008763821621083</v>
      </c>
      <c r="G74" s="6">
        <v>3.9</v>
      </c>
      <c r="H74" s="4">
        <v>4.2081073770491813</v>
      </c>
      <c r="I74" s="4">
        <v>6.5910224395003905</v>
      </c>
      <c r="J74">
        <v>2.4634080072081899</v>
      </c>
      <c r="K74">
        <v>-0.38600379202312601</v>
      </c>
      <c r="L74">
        <v>1.3069</v>
      </c>
      <c r="M74">
        <v>-8.7366373344420794</v>
      </c>
      <c r="N74" s="6">
        <v>4.6517400000000002</v>
      </c>
      <c r="O74">
        <v>0.75426092838730896</v>
      </c>
      <c r="P74">
        <v>0.81414100482676399</v>
      </c>
      <c r="Q74" s="1">
        <v>9107.3140000000003</v>
      </c>
      <c r="R74">
        <v>-1.038837233</v>
      </c>
      <c r="S74">
        <v>-0.68886860299999997</v>
      </c>
      <c r="T74">
        <v>-0.30917723899999999</v>
      </c>
    </row>
    <row r="75" spans="1:20" x14ac:dyDescent="0.35">
      <c r="A75" t="s">
        <v>74</v>
      </c>
      <c r="B75">
        <f>Levels!B75/(Levels!$R75*1000)</f>
        <v>7.1440818259613215</v>
      </c>
      <c r="C75">
        <f>Levels!C75/(Levels!$R75*1000)</f>
        <v>1260.6107971185893</v>
      </c>
      <c r="D75">
        <f>Levels!D75/EXP(Levels!$J75)</f>
        <v>99443.471306448788</v>
      </c>
      <c r="E75">
        <f>Levels!E75/Levels!$Q75</f>
        <v>0.18029968310397484</v>
      </c>
      <c r="F75">
        <f>Levels!F75/Levels!$Q75</f>
        <v>0.62939620615640757</v>
      </c>
      <c r="G75" s="6">
        <v>2.8</v>
      </c>
      <c r="H75" s="4">
        <v>4.4846949999999994</v>
      </c>
      <c r="I75" s="4">
        <v>6.2173725595238096</v>
      </c>
      <c r="J75">
        <v>2.50209485367226</v>
      </c>
      <c r="K75">
        <v>-0.72284360446728502</v>
      </c>
      <c r="L75">
        <v>1.5618000000000001</v>
      </c>
      <c r="M75">
        <v>-6.5946350451356004</v>
      </c>
      <c r="N75" s="6">
        <v>4.3384499999999999</v>
      </c>
      <c r="O75">
        <v>0.76215679532646396</v>
      </c>
      <c r="P75">
        <v>0.82681951181143698</v>
      </c>
      <c r="Q75" s="1">
        <v>9176.8269999999993</v>
      </c>
      <c r="R75">
        <v>-1.4642382540000001</v>
      </c>
      <c r="S75">
        <v>-0.37080961099999998</v>
      </c>
      <c r="T75">
        <v>0.81217630299999999</v>
      </c>
    </row>
    <row r="76" spans="1:20" x14ac:dyDescent="0.35">
      <c r="A76" t="s">
        <v>75</v>
      </c>
      <c r="B76">
        <f>Levels!B76/(Levels!$R76*1000)</f>
        <v>7.2532002393543609</v>
      </c>
      <c r="C76">
        <f>Levels!C76/(Levels!$R76*1000)</f>
        <v>1271.8020760540553</v>
      </c>
      <c r="D76">
        <f>Levels!D76/EXP(Levels!$J76)</f>
        <v>99385.801563508183</v>
      </c>
      <c r="E76">
        <f>Levels!E76/Levels!$Q76</f>
        <v>0.18225565549384648</v>
      </c>
      <c r="F76">
        <f>Levels!F76/Levels!$Q76</f>
        <v>0.62773359798841233</v>
      </c>
      <c r="G76" s="6">
        <v>2.8</v>
      </c>
      <c r="H76" s="4">
        <v>4.1362841269841271</v>
      </c>
      <c r="I76" s="4">
        <v>5.6357653174603168</v>
      </c>
      <c r="J76">
        <v>2.54045438526658</v>
      </c>
      <c r="K76">
        <v>-0.11340807106432101</v>
      </c>
      <c r="L76">
        <v>1.5153000000000001</v>
      </c>
      <c r="M76">
        <v>-4.7403390835970498</v>
      </c>
      <c r="N76" s="6">
        <v>3.9184299999999999</v>
      </c>
      <c r="O76">
        <v>0.76494053209595503</v>
      </c>
      <c r="P76">
        <v>0.85485097027357504</v>
      </c>
      <c r="Q76" s="1">
        <v>9244.8160000000007</v>
      </c>
      <c r="R76">
        <v>-1.487008965</v>
      </c>
      <c r="S76">
        <v>0.51459534699999998</v>
      </c>
      <c r="T76">
        <v>1.2958202110000001</v>
      </c>
    </row>
    <row r="77" spans="1:20" x14ac:dyDescent="0.35">
      <c r="A77" t="s">
        <v>76</v>
      </c>
      <c r="B77">
        <f>Levels!B77/(Levels!$R77*1000)</f>
        <v>7.3932248680658867</v>
      </c>
      <c r="C77">
        <f>Levels!C77/(Levels!$R77*1000)</f>
        <v>1334.5327013505341</v>
      </c>
      <c r="D77">
        <f>Levels!D77/EXP(Levels!$J77)</f>
        <v>101270.52749655211</v>
      </c>
      <c r="E77">
        <f>Levels!E77/Levels!$Q77</f>
        <v>0.18006780284600088</v>
      </c>
      <c r="F77">
        <f>Levels!F77/Levels!$Q77</f>
        <v>0.62803612789828511</v>
      </c>
      <c r="G77" s="6">
        <v>1.6</v>
      </c>
      <c r="H77" s="4">
        <v>3.8786816129032258</v>
      </c>
      <c r="I77" s="4">
        <v>5.4877384408602143</v>
      </c>
      <c r="J77">
        <v>2.5370308460252602</v>
      </c>
      <c r="K77">
        <v>-0.19960146453671399</v>
      </c>
      <c r="L77">
        <v>1.2645</v>
      </c>
      <c r="M77">
        <v>-3.973056180111</v>
      </c>
      <c r="N77" s="6">
        <v>3.7107000000000001</v>
      </c>
      <c r="O77">
        <v>0.76523948788229501</v>
      </c>
      <c r="P77">
        <v>0.896060989483623</v>
      </c>
      <c r="Q77" s="1">
        <v>9263.0329999999994</v>
      </c>
      <c r="R77">
        <v>1.877640564</v>
      </c>
      <c r="S77">
        <v>-2.365621682</v>
      </c>
      <c r="T77">
        <v>0.72213269700000005</v>
      </c>
    </row>
    <row r="78" spans="1:20" x14ac:dyDescent="0.35">
      <c r="A78" t="s">
        <v>77</v>
      </c>
      <c r="B78">
        <f>Levels!B78/(Levels!$R78*1000)</f>
        <v>7.5200587721141465</v>
      </c>
      <c r="C78">
        <f>Levels!C78/(Levels!$R78*1000)</f>
        <v>1341.9592212189893</v>
      </c>
      <c r="D78">
        <f>Levels!D78/EXP(Levels!$J78)</f>
        <v>102152.86305298406</v>
      </c>
      <c r="E78">
        <f>Levels!E78/Levels!$Q78</f>
        <v>0.18104732045536118</v>
      </c>
      <c r="F78">
        <f>Levels!F78/Levels!$Q78</f>
        <v>0.62972773152519723</v>
      </c>
      <c r="G78" s="6">
        <v>0.9</v>
      </c>
      <c r="H78" s="4">
        <v>3.7773883870967744</v>
      </c>
      <c r="I78" s="4">
        <v>6.0518543010752683</v>
      </c>
      <c r="J78">
        <v>2.5266845671885698</v>
      </c>
      <c r="K78">
        <v>0.78628102068195194</v>
      </c>
      <c r="L78">
        <v>1.1297999999999999</v>
      </c>
      <c r="M78">
        <v>-4.5322635296794198</v>
      </c>
      <c r="N78" s="6">
        <v>3.77277</v>
      </c>
      <c r="O78">
        <v>0.80223205390863095</v>
      </c>
      <c r="P78">
        <v>0.94495807367117901</v>
      </c>
      <c r="Q78" s="1">
        <v>9364.259</v>
      </c>
      <c r="R78">
        <v>-0.21563012100000001</v>
      </c>
      <c r="S78">
        <v>1.678834441</v>
      </c>
      <c r="T78">
        <v>0.33174742600000001</v>
      </c>
    </row>
    <row r="79" spans="1:20" x14ac:dyDescent="0.35">
      <c r="A79" t="s">
        <v>78</v>
      </c>
      <c r="B79">
        <f>Levels!B79/(Levels!$R79*1000)</f>
        <v>7.6233537448635253</v>
      </c>
      <c r="C79">
        <f>Levels!C79/(Levels!$R79*1000)</f>
        <v>1364.477401177206</v>
      </c>
      <c r="D79">
        <f>Levels!D79/EXP(Levels!$J79)</f>
        <v>100235.56634561495</v>
      </c>
      <c r="E79">
        <f>Levels!E79/Levels!$Q79</f>
        <v>0.1775264802155041</v>
      </c>
      <c r="F79">
        <f>Levels!F79/Levels!$Q79</f>
        <v>0.62915414843134643</v>
      </c>
      <c r="G79" s="6">
        <v>0.1</v>
      </c>
      <c r="H79" s="4">
        <v>3.4853866666666669</v>
      </c>
      <c r="I79" s="4">
        <v>6.348189126984126</v>
      </c>
      <c r="J79">
        <v>2.5466593715045902</v>
      </c>
      <c r="K79">
        <v>0.32064364804969298</v>
      </c>
      <c r="L79">
        <v>0.82709999999999995</v>
      </c>
      <c r="M79">
        <v>-6.6762827883362901</v>
      </c>
      <c r="N79" s="6">
        <v>3.9861599999999999</v>
      </c>
      <c r="O79">
        <v>0.78316944787659004</v>
      </c>
      <c r="P79">
        <v>0.99157226848330704</v>
      </c>
      <c r="Q79" s="1">
        <v>9398.2430000000004</v>
      </c>
      <c r="R79">
        <v>-0.184271094</v>
      </c>
      <c r="S79">
        <v>0.73003185699999995</v>
      </c>
      <c r="T79">
        <v>1.472479179</v>
      </c>
    </row>
    <row r="80" spans="1:20" x14ac:dyDescent="0.35">
      <c r="A80" t="s">
        <v>79</v>
      </c>
      <c r="B80">
        <f>Levels!B80/(Levels!$R80*1000)</f>
        <v>7.7025015921203783</v>
      </c>
      <c r="C80">
        <f>Levels!C80/(Levels!$R80*1000)</f>
        <v>1389.2595003331076</v>
      </c>
      <c r="D80">
        <f>Levels!D80/EXP(Levels!$J80)</f>
        <v>105733.96693180669</v>
      </c>
      <c r="E80">
        <f>Levels!E80/Levels!$Q80</f>
        <v>0.17642023058337852</v>
      </c>
      <c r="F80">
        <f>Levels!F80/Levels!$Q80</f>
        <v>0.63294217731404856</v>
      </c>
      <c r="G80" s="6">
        <v>-0.6</v>
      </c>
      <c r="H80" s="4">
        <v>3.2940128571428566</v>
      </c>
      <c r="I80" s="4">
        <v>6.4258696031746023</v>
      </c>
      <c r="J80">
        <v>2.5018944701282102</v>
      </c>
      <c r="K80">
        <v>1.45196709666441</v>
      </c>
      <c r="L80">
        <v>0.79120000000000001</v>
      </c>
      <c r="M80">
        <v>-6.4373588167578601</v>
      </c>
      <c r="N80" s="6">
        <v>4.2612800000000002</v>
      </c>
      <c r="O80">
        <v>0.79792491503791396</v>
      </c>
      <c r="P80">
        <v>1.0665368511887601</v>
      </c>
      <c r="Q80" s="1">
        <v>9404.4940000000006</v>
      </c>
      <c r="R80">
        <v>5.87588E-4</v>
      </c>
      <c r="S80">
        <v>0.69674910800000001</v>
      </c>
      <c r="T80">
        <v>1.17805005</v>
      </c>
    </row>
    <row r="81" spans="1:20" x14ac:dyDescent="0.35">
      <c r="A81" t="s">
        <v>80</v>
      </c>
      <c r="B81">
        <f>Levels!B81/(Levels!$R81*1000)</f>
        <v>7.7648096673006828</v>
      </c>
      <c r="C81">
        <f>Levels!C81/(Levels!$R81*1000)</f>
        <v>1453.0873887393682</v>
      </c>
      <c r="D81">
        <f>Levels!D81/EXP(Levels!$J81)</f>
        <v>104860.65476210765</v>
      </c>
      <c r="E81">
        <f>Levels!E81/Levels!$Q81</f>
        <v>0.17474156754527048</v>
      </c>
      <c r="F81">
        <f>Levels!F81/Levels!$Q81</f>
        <v>0.63551300849579551</v>
      </c>
      <c r="G81" s="6">
        <v>-1.1000000000000001</v>
      </c>
      <c r="H81" s="4">
        <v>3.0842987096774195</v>
      </c>
      <c r="I81" s="4">
        <v>6.1846179800307217</v>
      </c>
      <c r="J81">
        <v>2.5077879790094899</v>
      </c>
      <c r="K81">
        <v>-0.140705304297917</v>
      </c>
      <c r="L81">
        <v>1.157</v>
      </c>
      <c r="M81">
        <v>-7.9560256817168504</v>
      </c>
      <c r="N81" s="6">
        <v>4.1831300000000002</v>
      </c>
      <c r="O81">
        <v>0.81619640845165098</v>
      </c>
      <c r="P81">
        <v>1.0265247827903401</v>
      </c>
      <c r="Q81" s="1">
        <v>9318.8760000000002</v>
      </c>
      <c r="R81">
        <v>-2.5627222789999999</v>
      </c>
      <c r="S81">
        <v>-2.9572710350000002</v>
      </c>
      <c r="T81">
        <v>-0.22201816099999999</v>
      </c>
    </row>
    <row r="82" spans="1:20" x14ac:dyDescent="0.35">
      <c r="A82" t="s">
        <v>81</v>
      </c>
      <c r="B82">
        <f>Levels!B82/(Levels!$R82*1000)</f>
        <v>7.7696145179693055</v>
      </c>
      <c r="C82">
        <f>Levels!C82/(Levels!$R82*1000)</f>
        <v>1498.8898290514392</v>
      </c>
      <c r="D82">
        <f>Levels!D82/EXP(Levels!$J82)</f>
        <v>104176.35452035361</v>
      </c>
      <c r="E82">
        <f>Levels!E82/Levels!$Q82</f>
        <v>0.1711440177090148</v>
      </c>
      <c r="F82">
        <f>Levels!F82/Levels!$Q82</f>
        <v>0.63281242732940557</v>
      </c>
      <c r="G82" s="6">
        <v>-2.2999999999999998</v>
      </c>
      <c r="H82" s="4">
        <v>2.4738966666666671</v>
      </c>
      <c r="I82" s="4">
        <v>5.8529795238095232</v>
      </c>
      <c r="J82">
        <v>2.5474759127810001</v>
      </c>
      <c r="K82">
        <v>-0.53857189309507802</v>
      </c>
      <c r="L82">
        <v>1.1186</v>
      </c>
      <c r="M82">
        <v>-7.74803441560669</v>
      </c>
      <c r="N82" s="6">
        <v>3.9105400000000001</v>
      </c>
      <c r="O82">
        <v>0.80304762761678505</v>
      </c>
      <c r="P82">
        <v>0.97944895477500504</v>
      </c>
      <c r="Q82" s="1">
        <v>9275.2759999999998</v>
      </c>
      <c r="R82">
        <v>-2.6868604880000002</v>
      </c>
      <c r="S82">
        <v>0.48444735900000002</v>
      </c>
      <c r="T82">
        <v>0.37051224199999999</v>
      </c>
    </row>
    <row r="83" spans="1:20" x14ac:dyDescent="0.35">
      <c r="A83" t="s">
        <v>82</v>
      </c>
      <c r="B83">
        <f>Levels!B83/(Levels!$R83*1000)</f>
        <v>7.8365886019589235</v>
      </c>
      <c r="C83">
        <f>Levels!C83/(Levels!$R83*1000)</f>
        <v>1531.1854515991702</v>
      </c>
      <c r="D83">
        <f>Levels!D83/EXP(Levels!$J83)</f>
        <v>102948.94850941611</v>
      </c>
      <c r="E83">
        <f>Levels!E83/Levels!$Q83</f>
        <v>0.17079993927851189</v>
      </c>
      <c r="F83">
        <f>Levels!F83/Levels!$Q83</f>
        <v>0.63040428879314969</v>
      </c>
      <c r="G83" s="6">
        <v>-2.5</v>
      </c>
      <c r="H83" s="4">
        <v>2.1186125000000002</v>
      </c>
      <c r="I83" s="4">
        <v>6.0060187499999991</v>
      </c>
      <c r="J83">
        <v>2.57869231795368</v>
      </c>
      <c r="K83">
        <v>-0.14171652168249999</v>
      </c>
      <c r="L83">
        <v>1.0322</v>
      </c>
      <c r="M83">
        <v>-6.0521248041853299</v>
      </c>
      <c r="N83" s="6">
        <v>3.55477</v>
      </c>
      <c r="O83">
        <v>0.75619166549912498</v>
      </c>
      <c r="P83">
        <v>0.92436033850087296</v>
      </c>
      <c r="Q83" s="1">
        <v>9347.5969999999998</v>
      </c>
      <c r="R83">
        <v>1.8805490330000001</v>
      </c>
      <c r="S83">
        <v>1.1631079989999999</v>
      </c>
      <c r="T83">
        <v>-0.231231985</v>
      </c>
    </row>
    <row r="84" spans="1:20" x14ac:dyDescent="0.35">
      <c r="A84" t="s">
        <v>83</v>
      </c>
      <c r="B84">
        <f>Levels!B84/(Levels!$R84*1000)</f>
        <v>7.8343851677169267</v>
      </c>
      <c r="C84">
        <f>Levels!C84/(Levels!$R84*1000)</f>
        <v>1620.4279259782068</v>
      </c>
      <c r="D84">
        <f>Levels!D84/EXP(Levels!$J84)</f>
        <v>104379.78667805565</v>
      </c>
      <c r="E84">
        <f>Levels!E84/Levels!$Q84</f>
        <v>0.16993211375528294</v>
      </c>
      <c r="F84">
        <f>Levels!F84/Levels!$Q84</f>
        <v>0.62904500841272892</v>
      </c>
      <c r="G84" s="6">
        <v>-2.1</v>
      </c>
      <c r="H84" s="4">
        <v>1.9921149999999996</v>
      </c>
      <c r="I84" s="4">
        <v>5.8728109523809522</v>
      </c>
      <c r="J84">
        <v>2.5886358583336802</v>
      </c>
      <c r="K84">
        <v>0.44156547014192798</v>
      </c>
      <c r="L84">
        <v>1.0841000000000001</v>
      </c>
      <c r="M84">
        <v>-4.8980617908222799</v>
      </c>
      <c r="N84" s="6">
        <v>3.4417</v>
      </c>
      <c r="O84">
        <v>0.71955926524340996</v>
      </c>
      <c r="P84">
        <v>0.89863002895966104</v>
      </c>
      <c r="Q84" s="1">
        <v>9394.8340000000007</v>
      </c>
      <c r="R84">
        <v>-1.7941509689999999</v>
      </c>
      <c r="S84">
        <v>0.29606168300000002</v>
      </c>
      <c r="T84">
        <v>6.3685242000000003E-2</v>
      </c>
    </row>
    <row r="85" spans="1:20" x14ac:dyDescent="0.35">
      <c r="A85" t="s">
        <v>84</v>
      </c>
      <c r="B85">
        <f>Levels!B85/(Levels!$R85*1000)</f>
        <v>7.8702441973801074</v>
      </c>
      <c r="C85">
        <f>Levels!C85/(Levels!$R85*1000)</f>
        <v>1707.8445430753106</v>
      </c>
      <c r="D85">
        <f>Levels!D85/EXP(Levels!$J85)</f>
        <v>104949.30518293349</v>
      </c>
      <c r="E85">
        <f>Levels!E85/Levels!$Q85</f>
        <v>0.16947210530463752</v>
      </c>
      <c r="F85">
        <f>Levels!F85/Levels!$Q85</f>
        <v>0.62569928925478913</v>
      </c>
      <c r="G85" s="6">
        <v>-1.9</v>
      </c>
      <c r="H85" s="4">
        <v>1.286772258064516</v>
      </c>
      <c r="I85" s="4">
        <v>5.3156273809523809</v>
      </c>
      <c r="J85">
        <v>2.5879497439341201</v>
      </c>
      <c r="K85">
        <v>0.53753264471828599</v>
      </c>
      <c r="L85">
        <v>1.1255999999999999</v>
      </c>
      <c r="M85">
        <v>-4.7647919404854404</v>
      </c>
      <c r="N85" s="6">
        <v>3.3872599999999999</v>
      </c>
      <c r="O85">
        <v>0.71337125391967804</v>
      </c>
      <c r="P85">
        <v>0.92942747571198403</v>
      </c>
      <c r="Q85" s="1">
        <v>9427.5810000000001</v>
      </c>
      <c r="R85">
        <v>-2.2569065209999999</v>
      </c>
      <c r="S85">
        <v>-0.53090687199999997</v>
      </c>
      <c r="T85">
        <v>2.7945142970000001</v>
      </c>
    </row>
    <row r="86" spans="1:20" x14ac:dyDescent="0.35">
      <c r="A86" t="s">
        <v>85</v>
      </c>
      <c r="B86">
        <f>Levels!B86/(Levels!$R86*1000)</f>
        <v>7.9004608323731205</v>
      </c>
      <c r="C86">
        <f>Levels!C86/(Levels!$R86*1000)</f>
        <v>1708.8089153022383</v>
      </c>
      <c r="D86">
        <f>Levels!D86/EXP(Levels!$J86)</f>
        <v>103565.32743648053</v>
      </c>
      <c r="E86">
        <f>Levels!E86/Levels!$Q86</f>
        <v>0.16979943491099578</v>
      </c>
      <c r="F86">
        <f>Levels!F86/Levels!$Q86</f>
        <v>0.62848913643771298</v>
      </c>
      <c r="G86" s="6">
        <v>-1.5</v>
      </c>
      <c r="H86" s="4">
        <v>0.70234096774193544</v>
      </c>
      <c r="I86" s="4">
        <v>5.3199250076804905</v>
      </c>
      <c r="J86">
        <v>2.6148807803796701</v>
      </c>
      <c r="K86">
        <v>0.10271294420200301</v>
      </c>
      <c r="L86">
        <v>0.9819</v>
      </c>
      <c r="M86">
        <v>-4.75204703526079</v>
      </c>
      <c r="N86" s="6">
        <v>3.2622599999999999</v>
      </c>
      <c r="O86">
        <v>0.71735226985635603</v>
      </c>
      <c r="P86">
        <v>0.89365616769051603</v>
      </c>
      <c r="Q86" s="1">
        <v>9540.4439999999995</v>
      </c>
      <c r="R86">
        <v>-0.58691885700000002</v>
      </c>
      <c r="S86">
        <v>0.80247598899999995</v>
      </c>
      <c r="T86">
        <v>-2.691774396</v>
      </c>
    </row>
    <row r="87" spans="1:20" x14ac:dyDescent="0.35">
      <c r="A87" t="s">
        <v>86</v>
      </c>
      <c r="B87">
        <f>Levels!B87/(Levels!$R87*1000)</f>
        <v>7.9374083965609481</v>
      </c>
      <c r="C87">
        <f>Levels!C87/(Levels!$R87*1000)</f>
        <v>1763.2766946629483</v>
      </c>
      <c r="D87">
        <f>Levels!D87/EXP(Levels!$J87)</f>
        <v>105848.35106394203</v>
      </c>
      <c r="E87">
        <f>Levels!E87/Levels!$Q87</f>
        <v>0.17166190043792481</v>
      </c>
      <c r="F87">
        <f>Levels!F87/Levels!$Q87</f>
        <v>0.6250300104571086</v>
      </c>
      <c r="G87" s="6">
        <v>-0.5</v>
      </c>
      <c r="H87" s="4">
        <v>0.7986712698412699</v>
      </c>
      <c r="I87" s="4">
        <v>5.42179865079365</v>
      </c>
      <c r="J87">
        <v>2.61423219730978</v>
      </c>
      <c r="K87">
        <v>0.69660311781242201</v>
      </c>
      <c r="L87">
        <v>0.92810000000000004</v>
      </c>
      <c r="M87">
        <v>-4.1060181130064004</v>
      </c>
      <c r="N87" s="6">
        <v>3.1965300000000001</v>
      </c>
      <c r="O87">
        <v>0.70192694645061404</v>
      </c>
      <c r="P87">
        <v>0.83665197766486199</v>
      </c>
      <c r="Q87" s="1">
        <v>9643.893</v>
      </c>
      <c r="R87">
        <v>-0.56407801700000004</v>
      </c>
      <c r="S87">
        <v>-0.92166759600000003</v>
      </c>
      <c r="T87">
        <v>3.0354019999999999E-2</v>
      </c>
    </row>
    <row r="88" spans="1:20" x14ac:dyDescent="0.35">
      <c r="A88" t="s">
        <v>87</v>
      </c>
      <c r="B88">
        <f>Levels!B88/(Levels!$R88*1000)</f>
        <v>7.9901230358390576</v>
      </c>
      <c r="C88">
        <f>Levels!C88/(Levels!$R88*1000)</f>
        <v>1838.5646342699429</v>
      </c>
      <c r="D88">
        <f>Levels!D88/EXP(Levels!$J88)</f>
        <v>107699.33116312057</v>
      </c>
      <c r="E88">
        <f>Levels!E88/Levels!$Q88</f>
        <v>0.17094839044540175</v>
      </c>
      <c r="F88">
        <f>Levels!F88/Levels!$Q88</f>
        <v>0.62454737378459912</v>
      </c>
      <c r="G88" s="6">
        <v>-0.2</v>
      </c>
      <c r="H88" s="4">
        <v>0.25718374999999982</v>
      </c>
      <c r="I88" s="4">
        <v>4.6987878571428574</v>
      </c>
      <c r="J88">
        <v>2.61940073561632</v>
      </c>
      <c r="K88">
        <v>0.21910803829839198</v>
      </c>
      <c r="L88">
        <v>1.0963000000000001</v>
      </c>
      <c r="M88">
        <v>-4.18294901935736</v>
      </c>
      <c r="N88" s="6">
        <v>2.88117</v>
      </c>
      <c r="O88">
        <v>0.70144560090357799</v>
      </c>
      <c r="P88">
        <v>0.809170600825869</v>
      </c>
      <c r="Q88" s="1">
        <v>9739.1849999999995</v>
      </c>
      <c r="R88">
        <v>-0.98895645200000004</v>
      </c>
      <c r="S88">
        <v>-0.98893396099999997</v>
      </c>
      <c r="T88">
        <v>-1.1553935559999999</v>
      </c>
    </row>
    <row r="89" spans="1:20" x14ac:dyDescent="0.35">
      <c r="A89" t="s">
        <v>88</v>
      </c>
      <c r="B89">
        <f>Levels!B89/(Levels!$R89*1000)</f>
        <v>8.0513279231194161</v>
      </c>
      <c r="C89">
        <f>Levels!C89/(Levels!$R89*1000)</f>
        <v>1899.9121702489742</v>
      </c>
      <c r="D89">
        <f>Levels!D89/EXP(Levels!$J89)</f>
        <v>107720.93584721163</v>
      </c>
      <c r="E89">
        <f>Levels!E89/Levels!$Q89</f>
        <v>0.17268333022889609</v>
      </c>
      <c r="F89">
        <f>Levels!F89/Levels!$Q89</f>
        <v>0.62532455509332585</v>
      </c>
      <c r="G89" s="6">
        <v>0.6</v>
      </c>
      <c r="H89" s="4">
        <v>0.32200129032258085</v>
      </c>
      <c r="I89" s="4">
        <v>4.8470880568356369</v>
      </c>
      <c r="J89">
        <v>2.6326519067626299</v>
      </c>
      <c r="K89">
        <v>-0.42256077932727498</v>
      </c>
      <c r="L89">
        <v>1.1475</v>
      </c>
      <c r="M89">
        <v>-5.8226327961193096</v>
      </c>
      <c r="N89" s="6">
        <v>2.8264100000000001</v>
      </c>
      <c r="O89">
        <v>0.70407972210476799</v>
      </c>
      <c r="P89">
        <v>0.79611537796857201</v>
      </c>
      <c r="Q89" s="1">
        <v>9840.7530000000006</v>
      </c>
      <c r="R89">
        <v>0.44260923400000002</v>
      </c>
      <c r="S89">
        <v>-0.70919847700000005</v>
      </c>
      <c r="T89">
        <v>-0.47390219500000003</v>
      </c>
    </row>
    <row r="90" spans="1:20" x14ac:dyDescent="0.35">
      <c r="A90" t="s">
        <v>89</v>
      </c>
      <c r="B90">
        <f>Levels!B90/(Levels!$R90*1000)</f>
        <v>8.0884806618216931</v>
      </c>
      <c r="C90">
        <f>Levels!C90/(Levels!$R90*1000)</f>
        <v>1924.0460520292554</v>
      </c>
      <c r="D90">
        <f>Levels!D90/EXP(Levels!$J90)</f>
        <v>109527.43726383414</v>
      </c>
      <c r="E90">
        <f>Levels!E90/Levels!$Q90</f>
        <v>0.17247956693518485</v>
      </c>
      <c r="F90">
        <f>Levels!F90/Levels!$Q90</f>
        <v>0.62598980313528874</v>
      </c>
      <c r="G90" s="6">
        <v>2.1</v>
      </c>
      <c r="H90" s="4">
        <v>0.15836000000000006</v>
      </c>
      <c r="I90" s="4">
        <v>4.3945100546448082</v>
      </c>
      <c r="J90">
        <v>2.6457377082139399</v>
      </c>
      <c r="K90">
        <v>0.55369712651502201</v>
      </c>
      <c r="L90">
        <v>1.1976</v>
      </c>
      <c r="M90">
        <v>-4.4953145282916998</v>
      </c>
      <c r="N90" s="6">
        <v>2.7481599999999999</v>
      </c>
      <c r="O90">
        <v>0.69478880267039</v>
      </c>
      <c r="P90">
        <v>0.78491547451561305</v>
      </c>
      <c r="Q90" s="1">
        <v>9857.1849999999995</v>
      </c>
      <c r="R90">
        <v>-1.7393688860000001</v>
      </c>
      <c r="S90">
        <v>0.95150290400000004</v>
      </c>
      <c r="T90">
        <v>-6.2031981E-2</v>
      </c>
    </row>
    <row r="91" spans="1:20" x14ac:dyDescent="0.35">
      <c r="A91" t="s">
        <v>90</v>
      </c>
      <c r="B91">
        <f>Levels!B91/(Levels!$R91*1000)</f>
        <v>8.1926223909117404</v>
      </c>
      <c r="C91">
        <f>Levels!C91/(Levels!$R91*1000)</f>
        <v>1971.998909726844</v>
      </c>
      <c r="D91">
        <f>Levels!D91/EXP(Levels!$J91)</f>
        <v>112501.76064337877</v>
      </c>
      <c r="E91">
        <f>Levels!E91/Levels!$Q91</f>
        <v>0.17434289855379434</v>
      </c>
      <c r="F91">
        <f>Levels!F91/Levels!$Q91</f>
        <v>0.62794019206856944</v>
      </c>
      <c r="G91" s="6">
        <v>2.9</v>
      </c>
      <c r="H91" s="4">
        <v>0.19971904761904735</v>
      </c>
      <c r="I91" s="4">
        <v>4.1538940476190476</v>
      </c>
      <c r="J91">
        <v>2.6492528596345899</v>
      </c>
      <c r="K91">
        <v>0.36526989223324396</v>
      </c>
      <c r="L91">
        <v>1.1652</v>
      </c>
      <c r="M91">
        <v>-4.21908539323117</v>
      </c>
      <c r="N91" s="6">
        <v>2.8016399999999999</v>
      </c>
      <c r="O91">
        <v>0.67720633816841502</v>
      </c>
      <c r="P91">
        <v>0.77138888514672799</v>
      </c>
      <c r="Q91" s="1">
        <v>9914.5650000000005</v>
      </c>
      <c r="R91">
        <v>-2.7452693899999998</v>
      </c>
      <c r="S91">
        <v>0.52204810800000001</v>
      </c>
      <c r="T91">
        <v>-0.37167573100000001</v>
      </c>
    </row>
    <row r="92" spans="1:20" x14ac:dyDescent="0.35">
      <c r="A92" t="s">
        <v>91</v>
      </c>
      <c r="B92">
        <f>Levels!B92/(Levels!$R92*1000)</f>
        <v>8.2999437108840333</v>
      </c>
      <c r="C92">
        <f>Levels!C92/(Levels!$R92*1000)</f>
        <v>2026.5527922783058</v>
      </c>
      <c r="D92">
        <f>Levels!D92/EXP(Levels!$J92)</f>
        <v>115137.86310417192</v>
      </c>
      <c r="E92">
        <f>Levels!E92/Levels!$Q92</f>
        <v>0.17520389990918375</v>
      </c>
      <c r="F92">
        <f>Levels!F92/Levels!$Q92</f>
        <v>0.63024182183680766</v>
      </c>
      <c r="G92" s="6">
        <v>3.3</v>
      </c>
      <c r="H92" s="4">
        <v>0.45606999999999998</v>
      </c>
      <c r="I92" s="4">
        <v>3.8096472619047619</v>
      </c>
      <c r="J92">
        <v>2.6618814244325599</v>
      </c>
      <c r="K92">
        <v>-0.98455249400369105</v>
      </c>
      <c r="L92">
        <v>1.1485000000000001</v>
      </c>
      <c r="M92">
        <v>-5.8893659524998299</v>
      </c>
      <c r="N92" s="6">
        <v>2.7679</v>
      </c>
      <c r="O92">
        <v>0.66421728147375603</v>
      </c>
      <c r="P92">
        <v>0.75547423126138502</v>
      </c>
      <c r="Q92" s="1">
        <v>9961.8729999999996</v>
      </c>
      <c r="R92">
        <v>-0.93907281600000003</v>
      </c>
      <c r="S92">
        <v>-0.52372391200000001</v>
      </c>
      <c r="T92">
        <v>0.14643562299999999</v>
      </c>
    </row>
    <row r="93" spans="1:20" x14ac:dyDescent="0.35">
      <c r="A93" t="s">
        <v>92</v>
      </c>
      <c r="B93">
        <f>Levels!B93/(Levels!$R93*1000)</f>
        <v>8.4227701911752284</v>
      </c>
      <c r="C93">
        <f>Levels!C93/(Levels!$R93*1000)</f>
        <v>2059.3054106912841</v>
      </c>
      <c r="D93">
        <f>Levels!D93/EXP(Levels!$J93)</f>
        <v>119789.3261127794</v>
      </c>
      <c r="E93">
        <f>Levels!E93/Levels!$Q93</f>
        <v>0.17865280060277131</v>
      </c>
      <c r="F93">
        <f>Levels!F93/Levels!$Q93</f>
        <v>0.62652598332090181</v>
      </c>
      <c r="G93" s="6">
        <v>3.6</v>
      </c>
      <c r="H93" s="4">
        <v>0.75309483870967764</v>
      </c>
      <c r="I93" s="4">
        <v>3.8322153609831027</v>
      </c>
      <c r="J93">
        <v>2.6669085573571198</v>
      </c>
      <c r="K93">
        <v>1.3794086879923599</v>
      </c>
      <c r="L93">
        <v>1.0942000000000001</v>
      </c>
      <c r="M93">
        <v>-4.2521954055264803</v>
      </c>
      <c r="N93" s="6">
        <v>2.5451800000000002</v>
      </c>
      <c r="O93">
        <v>0.67881743578427201</v>
      </c>
      <c r="P93">
        <v>0.76638006556809402</v>
      </c>
      <c r="Q93" s="1">
        <v>10097.361999999999</v>
      </c>
      <c r="R93">
        <v>0.91548311199999999</v>
      </c>
      <c r="S93">
        <v>-1.2975780100000001</v>
      </c>
      <c r="T93">
        <v>-0.24301767699999999</v>
      </c>
    </row>
    <row r="94" spans="1:20" x14ac:dyDescent="0.35">
      <c r="A94" t="s">
        <v>93</v>
      </c>
      <c r="B94">
        <f>Levels!B94/(Levels!$R94*1000)</f>
        <v>8.5297796247783406</v>
      </c>
      <c r="C94">
        <f>Levels!C94/(Levels!$R94*1000)</f>
        <v>2041.1062961026626</v>
      </c>
      <c r="D94">
        <f>Levels!D94/EXP(Levels!$J94)</f>
        <v>112969.31968043468</v>
      </c>
      <c r="E94">
        <f>Levels!E94/Levels!$Q94</f>
        <v>0.17703032503679625</v>
      </c>
      <c r="F94">
        <f>Levels!F94/Levels!$Q94</f>
        <v>0.62586806045970289</v>
      </c>
      <c r="G94" s="6">
        <v>3.3</v>
      </c>
      <c r="H94" s="4">
        <v>1.0374016129032255</v>
      </c>
      <c r="I94" s="4">
        <v>4.3185468663594477</v>
      </c>
      <c r="J94">
        <v>2.6715824816956002</v>
      </c>
      <c r="K94">
        <v>0.522912858766444</v>
      </c>
      <c r="L94">
        <v>0.97109999999999996</v>
      </c>
      <c r="M94">
        <v>-5.2127561639259596</v>
      </c>
      <c r="N94" s="6">
        <v>2.30626</v>
      </c>
      <c r="O94">
        <v>0.69857174664370703</v>
      </c>
      <c r="P94">
        <v>0.77997223412143102</v>
      </c>
      <c r="Q94" s="1">
        <v>10195.338</v>
      </c>
      <c r="R94">
        <v>-0.75062329100000003</v>
      </c>
      <c r="S94">
        <v>1.4023738189999999</v>
      </c>
      <c r="T94">
        <v>-0.20385415600000001</v>
      </c>
    </row>
    <row r="95" spans="1:20" x14ac:dyDescent="0.35">
      <c r="A95" t="s">
        <v>94</v>
      </c>
      <c r="B95">
        <f>Levels!B95/(Levels!$R95*1000)</f>
        <v>8.6638730196857683</v>
      </c>
      <c r="C95">
        <f>Levels!C95/(Levels!$R95*1000)</f>
        <v>2031.8984450173439</v>
      </c>
      <c r="D95">
        <f>Levels!D95/EXP(Levels!$J95)</f>
        <v>116063.57863635987</v>
      </c>
      <c r="E95">
        <f>Levels!E95/Levels!$Q95</f>
        <v>0.17802563411507916</v>
      </c>
      <c r="F95">
        <f>Levels!F95/Levels!$Q95</f>
        <v>0.62218867407997003</v>
      </c>
      <c r="G95" s="6">
        <v>3.8</v>
      </c>
      <c r="H95" s="4">
        <v>1.780672258064516</v>
      </c>
      <c r="I95" s="4">
        <v>5.3264242242703537</v>
      </c>
      <c r="J95">
        <v>2.6542554551647202</v>
      </c>
      <c r="K95">
        <v>0.47512304954417905</v>
      </c>
      <c r="L95">
        <v>1.0001</v>
      </c>
      <c r="M95">
        <v>-5.7610842319468203</v>
      </c>
      <c r="N95" s="6">
        <v>2.2190500000000002</v>
      </c>
      <c r="O95">
        <v>0.68383605661564495</v>
      </c>
      <c r="P95">
        <v>0.76846057621215003</v>
      </c>
      <c r="Q95" s="1">
        <v>10333.495000000001</v>
      </c>
      <c r="R95">
        <v>-0.69524724699999996</v>
      </c>
      <c r="S95">
        <v>1.175708049</v>
      </c>
      <c r="T95">
        <v>-1.0484761170000001</v>
      </c>
    </row>
    <row r="96" spans="1:20" x14ac:dyDescent="0.35">
      <c r="A96" t="s">
        <v>95</v>
      </c>
      <c r="B96">
        <f>Levels!B96/(Levels!$R96*1000)</f>
        <v>8.7896238019068207</v>
      </c>
      <c r="C96">
        <f>Levels!C96/(Levels!$R96*1000)</f>
        <v>2036.0558720933111</v>
      </c>
      <c r="D96">
        <f>Levels!D96/EXP(Levels!$J96)</f>
        <v>116649.75593783245</v>
      </c>
      <c r="E96">
        <f>Levels!E96/Levels!$Q96</f>
        <v>0.17935532944425664</v>
      </c>
      <c r="F96">
        <f>Levels!F96/Levels!$Q96</f>
        <v>0.62429818649106983</v>
      </c>
      <c r="G96" s="6">
        <v>4.4000000000000004</v>
      </c>
      <c r="H96" s="4">
        <v>2.2692987499999999</v>
      </c>
      <c r="I96" s="4">
        <v>5.569209940476191</v>
      </c>
      <c r="J96">
        <v>2.66745411529687</v>
      </c>
      <c r="K96">
        <v>-0.61620419232952106</v>
      </c>
      <c r="L96">
        <v>0.95</v>
      </c>
      <c r="M96">
        <v>-6.6823757925570604</v>
      </c>
      <c r="N96" s="6">
        <v>2.2183600000000001</v>
      </c>
      <c r="O96">
        <v>0.67965558213416399</v>
      </c>
      <c r="P96">
        <v>0.76452369158573397</v>
      </c>
      <c r="Q96" s="1">
        <v>10393.897999999999</v>
      </c>
      <c r="R96">
        <v>-0.887198339</v>
      </c>
      <c r="S96">
        <v>-0.75180988800000004</v>
      </c>
      <c r="T96">
        <v>-0.36760087200000002</v>
      </c>
    </row>
    <row r="97" spans="1:20" x14ac:dyDescent="0.35">
      <c r="A97" t="s">
        <v>96</v>
      </c>
      <c r="B97">
        <f>Levels!B97/(Levels!$R97*1000)</f>
        <v>8.9577876620267993</v>
      </c>
      <c r="C97">
        <f>Levels!C97/(Levels!$R97*1000)</f>
        <v>2058.7568475126627</v>
      </c>
      <c r="D97">
        <f>Levels!D97/EXP(Levels!$J97)</f>
        <v>115541.48707652038</v>
      </c>
      <c r="E97">
        <f>Levels!E97/Levels!$Q97</f>
        <v>0.18027783226078437</v>
      </c>
      <c r="F97">
        <f>Levels!F97/Levels!$Q97</f>
        <v>0.62337644597024566</v>
      </c>
      <c r="G97" s="6">
        <v>3.9</v>
      </c>
      <c r="H97" s="4">
        <v>2.9998650819672128</v>
      </c>
      <c r="I97" s="4">
        <v>6.0788788290398124</v>
      </c>
      <c r="J97">
        <v>2.6609515292671699</v>
      </c>
      <c r="K97">
        <v>1.11761712308001</v>
      </c>
      <c r="L97">
        <v>0.97950000000000004</v>
      </c>
      <c r="M97">
        <v>-5.1978477292752698</v>
      </c>
      <c r="N97" s="6">
        <v>2.2111700000000001</v>
      </c>
      <c r="O97">
        <v>0.68245327869518202</v>
      </c>
      <c r="P97">
        <v>0.76412512712568204</v>
      </c>
      <c r="Q97" s="1">
        <v>10512.962</v>
      </c>
      <c r="R97">
        <v>1.118212429</v>
      </c>
      <c r="S97">
        <v>0.14686360200000001</v>
      </c>
      <c r="T97">
        <v>-1.5158609540000001</v>
      </c>
    </row>
    <row r="98" spans="1:20" x14ac:dyDescent="0.35">
      <c r="A98" t="s">
        <v>97</v>
      </c>
      <c r="B98">
        <f>Levels!B98/(Levels!$R98*1000)</f>
        <v>9.0680410438284813</v>
      </c>
      <c r="C98">
        <f>Levels!C98/(Levels!$R98*1000)</f>
        <v>2100.9373133818331</v>
      </c>
      <c r="D98">
        <f>Levels!D98/EXP(Levels!$J98)</f>
        <v>115731.96377298968</v>
      </c>
      <c r="E98">
        <f>Levels!E98/Levels!$Q98</f>
        <v>0.18306645026739174</v>
      </c>
      <c r="F98">
        <f>Levels!F98/Levels!$Q98</f>
        <v>0.6223359451324717</v>
      </c>
      <c r="G98" s="6">
        <v>3.7</v>
      </c>
      <c r="H98" s="4">
        <v>3.5337225806451613</v>
      </c>
      <c r="I98" s="4">
        <v>5.7150319892473123</v>
      </c>
      <c r="J98">
        <v>2.68121345648234</v>
      </c>
      <c r="K98">
        <v>-0.53262444948111498</v>
      </c>
      <c r="L98">
        <v>1.0136000000000001</v>
      </c>
      <c r="M98">
        <v>-5.6543509897042998</v>
      </c>
      <c r="N98" s="6">
        <v>2.2824300000000002</v>
      </c>
      <c r="O98">
        <v>0.692321770835299</v>
      </c>
      <c r="P98">
        <v>0.747637238227983</v>
      </c>
      <c r="Q98" s="1">
        <v>10550.251</v>
      </c>
      <c r="R98">
        <v>-1.987907482</v>
      </c>
      <c r="S98">
        <v>-0.86267848199999997</v>
      </c>
      <c r="T98">
        <v>-0.49292129200000001</v>
      </c>
    </row>
    <row r="99" spans="1:20" x14ac:dyDescent="0.35">
      <c r="A99" t="s">
        <v>98</v>
      </c>
      <c r="B99">
        <f>Levels!B99/(Levels!$R99*1000)</f>
        <v>9.2351129304870607</v>
      </c>
      <c r="C99">
        <f>Levels!C99/(Levels!$R99*1000)</f>
        <v>2115.526333024909</v>
      </c>
      <c r="D99">
        <f>Levels!D99/EXP(Levels!$J99)</f>
        <v>113858.90899324918</v>
      </c>
      <c r="E99">
        <f>Levels!E99/Levels!$Q99</f>
        <v>0.18255873830755162</v>
      </c>
      <c r="F99">
        <f>Levels!F99/Levels!$Q99</f>
        <v>0.62599017061529039</v>
      </c>
      <c r="G99" s="6">
        <v>1.9</v>
      </c>
      <c r="H99" s="4">
        <v>3.4751457142857145</v>
      </c>
      <c r="I99" s="4">
        <v>4.8469108730158732</v>
      </c>
      <c r="J99">
        <v>2.72574370532163</v>
      </c>
      <c r="K99">
        <v>-0.53704469696583301</v>
      </c>
      <c r="L99">
        <v>1.0550999999999999</v>
      </c>
      <c r="M99">
        <v>-4.6553393096539599</v>
      </c>
      <c r="N99" s="6">
        <v>2.2016</v>
      </c>
      <c r="O99">
        <v>0.69135043207751701</v>
      </c>
      <c r="P99">
        <v>0.74928917269819495</v>
      </c>
      <c r="Q99" s="1">
        <v>10581.723</v>
      </c>
      <c r="R99">
        <v>-0.94039405899999995</v>
      </c>
      <c r="S99">
        <v>0.81374468799999999</v>
      </c>
      <c r="T99">
        <v>0.42017692600000001</v>
      </c>
    </row>
    <row r="100" spans="1:20" x14ac:dyDescent="0.35">
      <c r="A100" t="s">
        <v>99</v>
      </c>
      <c r="B100">
        <f>Levels!B100/(Levels!$R100*1000)</f>
        <v>9.3794051895162998</v>
      </c>
      <c r="C100">
        <f>Levels!C100/(Levels!$R100*1000)</f>
        <v>2114.8392484448186</v>
      </c>
      <c r="D100">
        <f>Levels!D100/EXP(Levels!$J100)</f>
        <v>113510.44233004763</v>
      </c>
      <c r="E100">
        <f>Levels!E100/Levels!$Q100</f>
        <v>0.18247477589873368</v>
      </c>
      <c r="F100">
        <f>Levels!F100/Levels!$Q100</f>
        <v>0.62545373054337206</v>
      </c>
      <c r="G100" s="6">
        <v>1.9</v>
      </c>
      <c r="H100" s="4">
        <v>3.2547977777777777</v>
      </c>
      <c r="I100" s="4">
        <v>4.5740070634920631</v>
      </c>
      <c r="J100">
        <v>2.7585374093149402</v>
      </c>
      <c r="K100">
        <v>-0.695021453013274</v>
      </c>
      <c r="L100">
        <v>1.0417000000000001</v>
      </c>
      <c r="M100">
        <v>-4.8557683874901896</v>
      </c>
      <c r="N100" s="6">
        <v>2.1191399999999998</v>
      </c>
      <c r="O100">
        <v>0.68797938321694696</v>
      </c>
      <c r="P100">
        <v>0.76428001301675397</v>
      </c>
      <c r="Q100" s="1">
        <v>10671.737999999999</v>
      </c>
      <c r="R100">
        <v>-0.61824621800000001</v>
      </c>
      <c r="S100">
        <v>0.56677300200000003</v>
      </c>
      <c r="T100">
        <v>-0.123132644</v>
      </c>
    </row>
    <row r="101" spans="1:20" x14ac:dyDescent="0.35">
      <c r="A101" t="s">
        <v>100</v>
      </c>
      <c r="B101">
        <f>Levels!B101/(Levels!$R101*1000)</f>
        <v>9.5332786414190096</v>
      </c>
      <c r="C101">
        <f>Levels!C101/(Levels!$R101*1000)</f>
        <v>2151.0814543302913</v>
      </c>
      <c r="D101">
        <f>Levels!D101/EXP(Levels!$J101)</f>
        <v>111888.90635708495</v>
      </c>
      <c r="E101">
        <f>Levels!E101/Levels!$Q101</f>
        <v>0.18383764714795506</v>
      </c>
      <c r="F101">
        <f>Levels!F101/Levels!$Q101</f>
        <v>0.62500808833558041</v>
      </c>
      <c r="G101" s="6">
        <v>1.7</v>
      </c>
      <c r="H101" s="4">
        <v>3.2821003225806455</v>
      </c>
      <c r="I101" s="4">
        <v>4.1426207680491549</v>
      </c>
      <c r="J101">
        <v>2.7817375003006499</v>
      </c>
      <c r="K101">
        <v>-0.98930969831655413</v>
      </c>
      <c r="L101">
        <v>1.1644000000000001</v>
      </c>
      <c r="M101">
        <v>-4.94279939646841</v>
      </c>
      <c r="N101" s="6">
        <v>2.1129799999999999</v>
      </c>
      <c r="O101">
        <v>0.69894249709347001</v>
      </c>
      <c r="P101">
        <v>0.77265703189059798</v>
      </c>
      <c r="Q101" s="1">
        <v>10744.203</v>
      </c>
      <c r="R101">
        <v>-0.68322606699999999</v>
      </c>
      <c r="S101">
        <v>-2.1615687399999999</v>
      </c>
      <c r="T101">
        <v>-0.66684257199999997</v>
      </c>
    </row>
    <row r="102" spans="1:20" x14ac:dyDescent="0.35">
      <c r="A102" t="s">
        <v>101</v>
      </c>
      <c r="B102">
        <f>Levels!B102/(Levels!$R102*1000)</f>
        <v>9.6649940990161713</v>
      </c>
      <c r="C102">
        <f>Levels!C102/(Levels!$R102*1000)</f>
        <v>2171.0316988225322</v>
      </c>
      <c r="D102">
        <f>Levels!D102/EXP(Levels!$J102)</f>
        <v>111561.66136603641</v>
      </c>
      <c r="E102">
        <f>Levels!E102/Levels!$Q102</f>
        <v>0.18714503549945244</v>
      </c>
      <c r="F102">
        <f>Levels!F102/Levels!$Q102</f>
        <v>0.62624841693161604</v>
      </c>
      <c r="G102" s="6">
        <v>1.5</v>
      </c>
      <c r="H102" s="4">
        <v>3.0703312903225801</v>
      </c>
      <c r="I102" s="4">
        <v>4.1464048233486936</v>
      </c>
      <c r="J102">
        <v>2.80400750337424</v>
      </c>
      <c r="K102">
        <v>-1.1078371012136898</v>
      </c>
      <c r="L102">
        <v>1.1097999999999999</v>
      </c>
      <c r="M102">
        <v>-5.86750025091031</v>
      </c>
      <c r="N102" s="6">
        <v>1.97919</v>
      </c>
      <c r="O102">
        <v>0.72915376477014404</v>
      </c>
      <c r="P102">
        <v>0.77005236095817398</v>
      </c>
      <c r="Q102" s="1">
        <v>10824.674000000001</v>
      </c>
      <c r="R102">
        <v>-0.182575141</v>
      </c>
      <c r="S102">
        <v>0.29310753899999997</v>
      </c>
      <c r="T102">
        <v>0.23161847999999999</v>
      </c>
    </row>
    <row r="103" spans="1:20" x14ac:dyDescent="0.35">
      <c r="A103" t="s">
        <v>102</v>
      </c>
      <c r="B103">
        <f>Levels!B103/(Levels!$R103*1000)</f>
        <v>9.8361888953059342</v>
      </c>
      <c r="C103">
        <f>Levels!C103/(Levels!$R103*1000)</f>
        <v>2130.33978835581</v>
      </c>
      <c r="D103">
        <f>Levels!D103/EXP(Levels!$J103)</f>
        <v>111102.46730972113</v>
      </c>
      <c r="E103">
        <f>Levels!E103/Levels!$Q103</f>
        <v>0.18905751699398568</v>
      </c>
      <c r="F103">
        <f>Levels!F103/Levels!$Q103</f>
        <v>0.62368599701951655</v>
      </c>
      <c r="G103" s="6">
        <v>2.6</v>
      </c>
      <c r="H103" s="4">
        <v>3.1796350000000002</v>
      </c>
      <c r="I103" s="4">
        <v>4.9350294047619041</v>
      </c>
      <c r="J103">
        <v>2.8163513521641299</v>
      </c>
      <c r="K103">
        <v>9.2694295382170194E-2</v>
      </c>
      <c r="L103">
        <v>0.99470000000000003</v>
      </c>
      <c r="M103">
        <v>-5.5611409981837001</v>
      </c>
      <c r="N103" s="6">
        <v>1.8598300000000001</v>
      </c>
      <c r="O103">
        <v>0.69743032793811799</v>
      </c>
      <c r="P103">
        <v>0.81908060130673299</v>
      </c>
      <c r="Q103" s="1">
        <v>11005.217000000001</v>
      </c>
      <c r="R103">
        <v>0.67824847600000004</v>
      </c>
      <c r="S103">
        <v>2.426356438</v>
      </c>
      <c r="T103">
        <v>0.58195806100000003</v>
      </c>
    </row>
    <row r="104" spans="1:20" x14ac:dyDescent="0.35">
      <c r="A104" t="s">
        <v>103</v>
      </c>
      <c r="B104">
        <f>Levels!B104/(Levels!$R104*1000)</f>
        <v>9.9810404742767602</v>
      </c>
      <c r="C104">
        <f>Levels!C104/(Levels!$R104*1000)</f>
        <v>2129.0042221016984</v>
      </c>
      <c r="D104">
        <f>Levels!D104/EXP(Levels!$J104)</f>
        <v>111417.02590602406</v>
      </c>
      <c r="E104">
        <f>Levels!E104/Levels!$Q104</f>
        <v>0.19111738316191515</v>
      </c>
      <c r="F104">
        <f>Levels!F104/Levels!$Q104</f>
        <v>0.62164080133797017</v>
      </c>
      <c r="G104" s="6">
        <v>2.2000000000000002</v>
      </c>
      <c r="H104" s="4">
        <v>3.1893362500000002</v>
      </c>
      <c r="I104" s="4">
        <v>4.9848608333333333</v>
      </c>
      <c r="J104">
        <v>2.83217777750956</v>
      </c>
      <c r="K104">
        <v>-1.26706178095885</v>
      </c>
      <c r="L104">
        <v>0.97850000000000004</v>
      </c>
      <c r="M104">
        <v>-7.6345279796011898</v>
      </c>
      <c r="N104" s="6">
        <v>1.83849</v>
      </c>
      <c r="O104">
        <v>0.68023159148199297</v>
      </c>
      <c r="P104">
        <v>0.86368306415057094</v>
      </c>
      <c r="Q104" s="1">
        <v>11103.934999999999</v>
      </c>
      <c r="R104">
        <v>-1.5721951789999999</v>
      </c>
      <c r="S104">
        <v>0.88378279900000001</v>
      </c>
      <c r="T104">
        <v>-0.57673947999999997</v>
      </c>
    </row>
    <row r="105" spans="1:20" x14ac:dyDescent="0.35">
      <c r="A105" t="s">
        <v>104</v>
      </c>
      <c r="B105">
        <f>Levels!B105/(Levels!$R105*1000)</f>
        <v>10.113895641316388</v>
      </c>
      <c r="C105">
        <f>Levels!C105/(Levels!$R105*1000)</f>
        <v>2106.5520278721683</v>
      </c>
      <c r="D105">
        <f>Levels!D105/EXP(Levels!$J105)</f>
        <v>110694.95093614137</v>
      </c>
      <c r="E105">
        <f>Levels!E105/Levels!$Q105</f>
        <v>0.19190902269833299</v>
      </c>
      <c r="F105">
        <f>Levels!F105/Levels!$Q105</f>
        <v>0.62152490416705453</v>
      </c>
      <c r="G105" s="6">
        <v>3.1</v>
      </c>
      <c r="H105" s="4">
        <v>3.0659583870967744</v>
      </c>
      <c r="I105" s="4">
        <v>4.5478806912442398</v>
      </c>
      <c r="J105">
        <v>2.8689089820595699</v>
      </c>
      <c r="K105">
        <v>0.10177466936170899</v>
      </c>
      <c r="L105">
        <v>1.0214000000000001</v>
      </c>
      <c r="M105">
        <v>-5.5548244312842403</v>
      </c>
      <c r="N105" s="6">
        <v>1.90707</v>
      </c>
      <c r="O105">
        <v>0.67828777582256505</v>
      </c>
      <c r="P105">
        <v>0.85718108566838302</v>
      </c>
      <c r="Q105" s="1">
        <v>11219.237999999999</v>
      </c>
      <c r="R105">
        <v>3.3499938999999999E-2</v>
      </c>
      <c r="S105">
        <v>0.244489334</v>
      </c>
      <c r="T105">
        <v>8.8911902000000001E-2</v>
      </c>
    </row>
    <row r="106" spans="1:20" x14ac:dyDescent="0.35">
      <c r="A106" t="s">
        <v>105</v>
      </c>
      <c r="B106">
        <f>Levels!B106/(Levels!$R106*1000)</f>
        <v>10.240450775276013</v>
      </c>
      <c r="C106">
        <f>Levels!C106/(Levels!$R106*1000)</f>
        <v>2069.8977308222802</v>
      </c>
      <c r="D106">
        <f>Levels!D106/EXP(Levels!$J106)</f>
        <v>112310.59046737029</v>
      </c>
      <c r="E106">
        <f>Levels!E106/Levels!$Q106</f>
        <v>0.19289502478155349</v>
      </c>
      <c r="F106">
        <f>Levels!F106/Levels!$Q106</f>
        <v>0.62383199182097215</v>
      </c>
      <c r="G106" s="6">
        <v>3.8</v>
      </c>
      <c r="H106" s="4">
        <v>3.1076066666666664</v>
      </c>
      <c r="I106" s="4">
        <v>4.756294761904762</v>
      </c>
      <c r="J106">
        <v>2.8951271604977502</v>
      </c>
      <c r="K106">
        <v>-0.39576782939918104</v>
      </c>
      <c r="L106">
        <v>0.96860000000000002</v>
      </c>
      <c r="M106">
        <v>-6.1576300197673897</v>
      </c>
      <c r="N106" s="6">
        <v>1.9075899999999999</v>
      </c>
      <c r="O106">
        <v>0.67902340252583004</v>
      </c>
      <c r="P106">
        <v>0.88148382362704503</v>
      </c>
      <c r="Q106" s="1">
        <v>11291.665000000001</v>
      </c>
      <c r="R106">
        <v>0.81111497499999996</v>
      </c>
      <c r="S106">
        <v>1.269755161</v>
      </c>
      <c r="T106">
        <v>0.82396036100000003</v>
      </c>
    </row>
    <row r="107" spans="1:20" x14ac:dyDescent="0.35">
      <c r="A107" t="s">
        <v>106</v>
      </c>
      <c r="B107">
        <f>Levels!B107/(Levels!$R107*1000)</f>
        <v>10.427545006979734</v>
      </c>
      <c r="C107">
        <f>Levels!C107/(Levels!$R107*1000)</f>
        <v>2067.2763373272664</v>
      </c>
      <c r="D107">
        <f>Levels!D107/EXP(Levels!$J107)</f>
        <v>112168.93119201416</v>
      </c>
      <c r="E107">
        <f>Levels!E107/Levels!$Q107</f>
        <v>0.19300377286827716</v>
      </c>
      <c r="F107">
        <f>Levels!F107/Levels!$Q107</f>
        <v>0.61500749501126406</v>
      </c>
      <c r="G107" s="6">
        <v>3.3</v>
      </c>
      <c r="H107" s="4">
        <v>3.3212262499999996</v>
      </c>
      <c r="I107" s="4">
        <v>4.8857598809523806</v>
      </c>
      <c r="J107">
        <v>2.92816780276753</v>
      </c>
      <c r="K107">
        <v>-1.9960008760335097</v>
      </c>
      <c r="L107">
        <v>0.93830000000000002</v>
      </c>
      <c r="M107">
        <v>-7.6878530161903198</v>
      </c>
      <c r="N107" s="6">
        <v>1.9540599999999999</v>
      </c>
      <c r="O107">
        <v>0.67688741265795604</v>
      </c>
      <c r="P107">
        <v>0.92709206636101205</v>
      </c>
      <c r="Q107" s="1">
        <v>11479.33</v>
      </c>
      <c r="R107">
        <v>-0.71080252700000002</v>
      </c>
      <c r="S107">
        <v>1.012517941</v>
      </c>
      <c r="T107">
        <v>0.25995473200000002</v>
      </c>
    </row>
    <row r="108" spans="1:20" x14ac:dyDescent="0.35">
      <c r="A108" t="s">
        <v>107</v>
      </c>
      <c r="B108">
        <f>Levels!B108/(Levels!$R108*1000)</f>
        <v>10.656452802495801</v>
      </c>
      <c r="C108">
        <f>Levels!C108/(Levels!$R108*1000)</f>
        <v>2088.5793895119928</v>
      </c>
      <c r="D108">
        <f>Levels!D108/EXP(Levels!$J108)</f>
        <v>110573.76674005894</v>
      </c>
      <c r="E108">
        <f>Levels!E108/Levels!$Q108</f>
        <v>0.19689163928038339</v>
      </c>
      <c r="F108">
        <f>Levels!F108/Levels!$Q108</f>
        <v>0.61638165891984997</v>
      </c>
      <c r="G108" s="6">
        <v>3.1</v>
      </c>
      <c r="H108" s="4">
        <v>3.5766324999999997</v>
      </c>
      <c r="I108" s="4">
        <v>4.4198310714285718</v>
      </c>
      <c r="J108">
        <v>2.9723981990622099</v>
      </c>
      <c r="K108">
        <v>-0.54810179107829593</v>
      </c>
      <c r="L108">
        <v>0.96599999999999997</v>
      </c>
      <c r="M108">
        <v>-7.1323659198095397</v>
      </c>
      <c r="N108" s="6">
        <v>1.7276800000000001</v>
      </c>
      <c r="O108">
        <v>0.68357888273382095</v>
      </c>
      <c r="P108">
        <v>0.94204045119232305</v>
      </c>
      <c r="Q108" s="1">
        <v>11622.911</v>
      </c>
      <c r="R108">
        <v>1.84372716</v>
      </c>
      <c r="S108">
        <v>1.749399237</v>
      </c>
      <c r="T108">
        <v>-0.196302535</v>
      </c>
    </row>
    <row r="109" spans="1:20" x14ac:dyDescent="0.35">
      <c r="A109" t="s">
        <v>108</v>
      </c>
      <c r="B109">
        <f>Levels!B109/(Levels!$R109*1000)</f>
        <v>10.846748669426589</v>
      </c>
      <c r="C109">
        <f>Levels!C109/(Levels!$R109*1000)</f>
        <v>2187.8711692771053</v>
      </c>
      <c r="D109">
        <f>Levels!D109/EXP(Levels!$J109)</f>
        <v>111389.8408413705</v>
      </c>
      <c r="E109">
        <f>Levels!E109/Levels!$Q109</f>
        <v>0.19632070094300624</v>
      </c>
      <c r="F109">
        <f>Levels!F109/Levels!$Q109</f>
        <v>0.61771789402335053</v>
      </c>
      <c r="G109" s="6">
        <v>2.4</v>
      </c>
      <c r="H109" s="4">
        <v>3.7166561290322582</v>
      </c>
      <c r="I109" s="4">
        <v>4.074006513056835</v>
      </c>
      <c r="J109">
        <v>2.9779853331789399</v>
      </c>
      <c r="K109">
        <v>0.40380592955530603</v>
      </c>
      <c r="L109">
        <v>1.1092</v>
      </c>
      <c r="M109">
        <v>-5.5437047717040402</v>
      </c>
      <c r="N109" s="6">
        <v>1.4724299999999999</v>
      </c>
      <c r="O109">
        <v>0.68409971180823403</v>
      </c>
      <c r="P109">
        <v>0.93585973545346302</v>
      </c>
      <c r="Q109" s="1">
        <v>11722.722</v>
      </c>
      <c r="R109">
        <v>0.93443026299999998</v>
      </c>
      <c r="S109">
        <v>8.6475317999999995E-2</v>
      </c>
      <c r="T109">
        <v>-0.91300994800000002</v>
      </c>
    </row>
    <row r="110" spans="1:20" x14ac:dyDescent="0.35">
      <c r="A110" t="s">
        <v>109</v>
      </c>
      <c r="B110">
        <f>Levels!B110/(Levels!$R110*1000)</f>
        <v>11.06283948433698</v>
      </c>
      <c r="C110">
        <f>Levels!C110/(Levels!$R110*1000)</f>
        <v>2195.2324536446199</v>
      </c>
      <c r="D110">
        <f>Levels!D110/EXP(Levels!$J110)</f>
        <v>115292.29512498144</v>
      </c>
      <c r="E110">
        <f>Levels!E110/Levels!$Q110</f>
        <v>0.19911948402162322</v>
      </c>
      <c r="F110">
        <f>Levels!F110/Levels!$Q110</f>
        <v>0.6155706159661114</v>
      </c>
      <c r="G110" s="6">
        <v>2.2000000000000002</v>
      </c>
      <c r="H110" s="4">
        <v>3.8945778688524584</v>
      </c>
      <c r="I110" s="4">
        <v>3.7425883684621386</v>
      </c>
      <c r="J110">
        <v>3.0087084762385601</v>
      </c>
      <c r="K110">
        <v>-1.2150571483299601</v>
      </c>
      <c r="L110">
        <v>1.1778</v>
      </c>
      <c r="M110">
        <v>-6.7309741625094404</v>
      </c>
      <c r="N110" s="6">
        <v>1.37286</v>
      </c>
      <c r="O110">
        <v>0.69303898080433102</v>
      </c>
      <c r="P110">
        <v>0.96110029965277199</v>
      </c>
      <c r="Q110" s="1">
        <v>11839.876</v>
      </c>
      <c r="R110">
        <v>-0.67978734100000004</v>
      </c>
      <c r="S110">
        <v>0.74531894600000004</v>
      </c>
      <c r="T110">
        <v>1.309357678</v>
      </c>
    </row>
    <row r="111" spans="1:20" x14ac:dyDescent="0.35">
      <c r="A111" t="s">
        <v>110</v>
      </c>
      <c r="B111">
        <f>Levels!B111/(Levels!$R111*1000)</f>
        <v>11.377004893724319</v>
      </c>
      <c r="C111">
        <f>Levels!C111/(Levels!$R111*1000)</f>
        <v>2121.6310854534304</v>
      </c>
      <c r="D111">
        <f>Levels!D111/EXP(Levels!$J111)</f>
        <v>113291.50467876952</v>
      </c>
      <c r="E111">
        <f>Levels!E111/Levels!$Q111</f>
        <v>0.20379745013428185</v>
      </c>
      <c r="F111">
        <f>Levels!F111/Levels!$Q111</f>
        <v>0.61965511731167611</v>
      </c>
      <c r="G111" s="6">
        <v>2.2000000000000002</v>
      </c>
      <c r="H111" s="4">
        <v>3.6951969841269845</v>
      </c>
      <c r="I111" s="4">
        <v>3.7256696825396824</v>
      </c>
      <c r="J111">
        <v>3.0496888802847</v>
      </c>
      <c r="K111">
        <v>0.48558947074894598</v>
      </c>
      <c r="L111">
        <v>1.0786</v>
      </c>
      <c r="M111">
        <v>-5.2840407608830002</v>
      </c>
      <c r="N111" s="6">
        <v>1.1557500000000001</v>
      </c>
      <c r="O111">
        <v>0.71465048729345704</v>
      </c>
      <c r="P111">
        <v>1.03203041496791</v>
      </c>
      <c r="Q111" s="1">
        <v>11949.492</v>
      </c>
      <c r="R111">
        <v>1.0817925070000001</v>
      </c>
      <c r="S111">
        <v>0.14281203100000001</v>
      </c>
      <c r="T111">
        <v>3.5973865190000001</v>
      </c>
    </row>
    <row r="112" spans="1:20" x14ac:dyDescent="0.35">
      <c r="A112" t="s">
        <v>111</v>
      </c>
      <c r="B112">
        <f>Levels!B112/(Levels!$R112*1000)</f>
        <v>11.604657598862234</v>
      </c>
      <c r="C112">
        <f>Levels!C112/(Levels!$R112*1000)</f>
        <v>2145.5659066258404</v>
      </c>
      <c r="D112">
        <f>Levels!D112/EXP(Levels!$J112)</f>
        <v>116396.64209290939</v>
      </c>
      <c r="E112">
        <f>Levels!E112/Levels!$Q112</f>
        <v>0.20565788241544411</v>
      </c>
      <c r="F112">
        <f>Levels!F112/Levels!$Q112</f>
        <v>0.62009119740816521</v>
      </c>
      <c r="G112" s="6">
        <v>1.8</v>
      </c>
      <c r="H112" s="4">
        <v>3.5461999999999998</v>
      </c>
      <c r="I112" s="4">
        <v>3.3344963690476188</v>
      </c>
      <c r="J112">
        <v>3.0180016484293399</v>
      </c>
      <c r="K112">
        <v>1.06172892693266</v>
      </c>
      <c r="L112">
        <v>1.66</v>
      </c>
      <c r="M112">
        <v>-2.4144837551850702</v>
      </c>
      <c r="N112" s="6">
        <v>1.2789299999999999</v>
      </c>
      <c r="O112">
        <v>0.753603045665863</v>
      </c>
      <c r="P112">
        <v>1.1748019903873499</v>
      </c>
      <c r="Q112" s="1">
        <v>12099.191000000001</v>
      </c>
      <c r="R112">
        <v>0.84226563799999998</v>
      </c>
      <c r="S112">
        <v>2.2284684600000002</v>
      </c>
      <c r="T112">
        <v>-0.31576303100000003</v>
      </c>
    </row>
    <row r="113" spans="1:20" x14ac:dyDescent="0.35">
      <c r="A113" t="s">
        <v>112</v>
      </c>
      <c r="B113">
        <f>Levels!B113/(Levels!$R113*1000)</f>
        <v>11.886999126832309</v>
      </c>
      <c r="C113">
        <f>Levels!C113/(Levels!$R113*1000)</f>
        <v>2168.1673834600574</v>
      </c>
      <c r="D113">
        <f>Levels!D113/EXP(Levels!$J113)</f>
        <v>119070.68039401219</v>
      </c>
      <c r="E113">
        <f>Levels!E113/Levels!$Q113</f>
        <v>0.20637375163047411</v>
      </c>
      <c r="F113">
        <f>Levels!F113/Levels!$Q113</f>
        <v>0.61868728010546126</v>
      </c>
      <c r="G113" s="6">
        <v>2.5</v>
      </c>
      <c r="H113" s="4">
        <v>3.0158719354838714</v>
      </c>
      <c r="I113" s="4">
        <v>2.7992569124423965</v>
      </c>
      <c r="J113">
        <v>3.0670772212605399</v>
      </c>
      <c r="K113">
        <v>-0.98115749933091501</v>
      </c>
      <c r="L113">
        <v>1.8667</v>
      </c>
      <c r="M113">
        <v>-4.3794152163767004</v>
      </c>
      <c r="N113" s="6">
        <v>1.2800499999999999</v>
      </c>
      <c r="O113">
        <v>0.73678652367957098</v>
      </c>
      <c r="P113">
        <v>1.08043663605827</v>
      </c>
      <c r="Q113" s="1">
        <v>12294.736999999999</v>
      </c>
      <c r="R113">
        <v>0.87811569599999995</v>
      </c>
      <c r="S113">
        <v>0.71480065999999998</v>
      </c>
      <c r="T113">
        <v>-1.1551457650000001</v>
      </c>
    </row>
    <row r="114" spans="1:20" x14ac:dyDescent="0.35">
      <c r="A114" t="s">
        <v>113</v>
      </c>
      <c r="B114">
        <f>Levels!B114/(Levels!$R114*1000)</f>
        <v>12.156519272541349</v>
      </c>
      <c r="C114">
        <f>Levels!C114/(Levels!$R114*1000)</f>
        <v>2201.9907208437548</v>
      </c>
      <c r="D114">
        <f>Levels!D114/EXP(Levels!$J114)</f>
        <v>118436.04339003065</v>
      </c>
      <c r="E114">
        <f>Levels!E114/Levels!$Q114</f>
        <v>0.20801757955867067</v>
      </c>
      <c r="F114">
        <f>Levels!F114/Levels!$Q114</f>
        <v>0.61842689306460619</v>
      </c>
      <c r="G114" s="6">
        <v>1.8</v>
      </c>
      <c r="H114" s="4">
        <v>3.1292731147540982</v>
      </c>
      <c r="I114" s="4">
        <v>3.1490108626073376</v>
      </c>
      <c r="J114">
        <v>3.09999181402832</v>
      </c>
      <c r="K114">
        <v>-0.29277209313444896</v>
      </c>
      <c r="L114">
        <v>1.5718000000000001</v>
      </c>
      <c r="M114">
        <v>-4.3830184095916698</v>
      </c>
      <c r="N114" s="6">
        <v>1.2368699999999999</v>
      </c>
      <c r="O114">
        <v>0.73069147271632195</v>
      </c>
      <c r="P114">
        <v>1.0419974291340499</v>
      </c>
      <c r="Q114" s="1">
        <v>12410.778</v>
      </c>
      <c r="R114">
        <v>0.45142172400000002</v>
      </c>
      <c r="S114">
        <v>0.69246747099999995</v>
      </c>
      <c r="T114">
        <v>0.26738702600000003</v>
      </c>
    </row>
    <row r="115" spans="1:20" x14ac:dyDescent="0.35">
      <c r="A115" t="s">
        <v>114</v>
      </c>
      <c r="B115">
        <f>Levels!B115/(Levels!$R115*1000)</f>
        <v>12.430434804045726</v>
      </c>
      <c r="C115">
        <f>Levels!C115/(Levels!$R115*1000)</f>
        <v>2145.5710872628829</v>
      </c>
      <c r="D115">
        <f>Levels!D115/EXP(Levels!$J115)</f>
        <v>117872.50484822341</v>
      </c>
      <c r="E115">
        <f>Levels!E115/Levels!$Q115</f>
        <v>0.21070441366463361</v>
      </c>
      <c r="F115">
        <f>Levels!F115/Levels!$Q115</f>
        <v>0.6243007265253826</v>
      </c>
      <c r="G115" s="6">
        <v>1.8</v>
      </c>
      <c r="H115" s="4">
        <v>3.1592862500000001</v>
      </c>
      <c r="I115" s="4">
        <v>3.7030092857142853</v>
      </c>
      <c r="J115">
        <v>3.1278832161049999</v>
      </c>
      <c r="K115">
        <v>-0.44596148388328105</v>
      </c>
      <c r="L115">
        <v>1.5101</v>
      </c>
      <c r="M115">
        <v>-4.4350288261576898</v>
      </c>
      <c r="N115" s="6">
        <v>1.2779400000000001</v>
      </c>
      <c r="O115">
        <v>0.73153113668723702</v>
      </c>
      <c r="P115">
        <v>1.0294312512034101</v>
      </c>
      <c r="Q115" s="1">
        <v>12514.407999999999</v>
      </c>
      <c r="R115">
        <v>-0.17896611300000001</v>
      </c>
      <c r="S115">
        <v>0.58594268999999999</v>
      </c>
      <c r="T115">
        <v>0.299838041</v>
      </c>
    </row>
    <row r="116" spans="1:20" x14ac:dyDescent="0.35">
      <c r="A116" t="s">
        <v>115</v>
      </c>
      <c r="B116">
        <f>Levels!B116/(Levels!$R116*1000)</f>
        <v>12.781160500019208</v>
      </c>
      <c r="C116">
        <f>Levels!C116/(Levels!$R116*1000)</f>
        <v>2143.3245981516393</v>
      </c>
      <c r="D116">
        <f>Levels!D116/EXP(Levels!$J116)</f>
        <v>118563.18721515154</v>
      </c>
      <c r="E116">
        <f>Levels!E116/Levels!$Q116</f>
        <v>0.21262120585865416</v>
      </c>
      <c r="F116">
        <f>Levels!F116/Levels!$Q116</f>
        <v>0.6245075116458686</v>
      </c>
      <c r="G116" s="6">
        <v>2.2999999999999998</v>
      </c>
      <c r="H116" s="4">
        <v>3.2060249999999995</v>
      </c>
      <c r="I116" s="4">
        <v>4.0424285119047614</v>
      </c>
      <c r="J116">
        <v>3.1189831248750202</v>
      </c>
      <c r="K116">
        <v>0.48723020607464801</v>
      </c>
      <c r="L116">
        <v>1.8267</v>
      </c>
      <c r="M116">
        <v>-4.7714824432477103</v>
      </c>
      <c r="N116" s="6">
        <v>1.29087</v>
      </c>
      <c r="O116">
        <v>0.72390308310265405</v>
      </c>
      <c r="P116">
        <v>1.02997947426856</v>
      </c>
      <c r="Q116" s="1">
        <v>12679.977000000001</v>
      </c>
      <c r="R116">
        <v>0.23116740399999999</v>
      </c>
      <c r="S116">
        <v>0.21295291299999999</v>
      </c>
      <c r="T116">
        <v>1.304659886</v>
      </c>
    </row>
    <row r="117" spans="1:20" x14ac:dyDescent="0.35">
      <c r="A117" t="s">
        <v>116</v>
      </c>
      <c r="B117">
        <f>Levels!B117/(Levels!$R117*1000)</f>
        <v>13.061683743243355</v>
      </c>
      <c r="C117">
        <f>Levels!C117/(Levels!$R117*1000)</f>
        <v>2146.0122941250424</v>
      </c>
      <c r="D117">
        <f>Levels!D117/EXP(Levels!$J117)</f>
        <v>113508.15822438501</v>
      </c>
      <c r="E117">
        <f>Levels!E117/Levels!$Q117</f>
        <v>0.21113987195033998</v>
      </c>
      <c r="F117">
        <f>Levels!F117/Levels!$Q117</f>
        <v>0.62516906169387654</v>
      </c>
      <c r="G117" s="6">
        <v>1.5</v>
      </c>
      <c r="H117" s="4">
        <v>3.3272906451612903</v>
      </c>
      <c r="I117" s="4">
        <v>4.2940325192012283</v>
      </c>
      <c r="J117">
        <v>3.1491310475521201</v>
      </c>
      <c r="K117">
        <v>-0.19002459214196302</v>
      </c>
      <c r="L117">
        <v>1.8011999999999999</v>
      </c>
      <c r="M117">
        <v>-5.5666821687849399</v>
      </c>
      <c r="N117" s="6">
        <v>1.4446000000000001</v>
      </c>
      <c r="O117">
        <v>0.74369561191321698</v>
      </c>
      <c r="P117">
        <v>1.0917925473127501</v>
      </c>
      <c r="Q117" s="1">
        <v>12888.281000000001</v>
      </c>
      <c r="R117">
        <v>3.942778192</v>
      </c>
      <c r="S117">
        <v>1.2169547169999999</v>
      </c>
      <c r="T117">
        <v>1.5440293949999999</v>
      </c>
    </row>
    <row r="118" spans="1:20" x14ac:dyDescent="0.35">
      <c r="A118" t="s">
        <v>117</v>
      </c>
      <c r="B118">
        <f>Levels!B118/(Levels!$R118*1000)</f>
        <v>13.369367446057444</v>
      </c>
      <c r="C118">
        <f>Levels!C118/(Levels!$R118*1000)</f>
        <v>2172.4007649394016</v>
      </c>
      <c r="D118">
        <f>Levels!D118/EXP(Levels!$J118)</f>
        <v>118022.47589860646</v>
      </c>
      <c r="E118">
        <f>Levels!E118/Levels!$Q118</f>
        <v>0.2155798742846293</v>
      </c>
      <c r="F118">
        <f>Levels!F118/Levels!$Q118</f>
        <v>0.63516846219187351</v>
      </c>
      <c r="G118" s="6">
        <v>2.1</v>
      </c>
      <c r="H118" s="4">
        <v>3.8063801587301582</v>
      </c>
      <c r="I118" s="4">
        <v>4.6139500793650789</v>
      </c>
      <c r="J118">
        <v>3.1518949133185199</v>
      </c>
      <c r="K118">
        <v>-6.6609881835988399E-2</v>
      </c>
      <c r="L118">
        <v>2.0045000000000002</v>
      </c>
      <c r="M118">
        <v>-5.7709986893198</v>
      </c>
      <c r="N118" s="6">
        <v>1.7202900000000001</v>
      </c>
      <c r="O118">
        <v>0.77679079680589003</v>
      </c>
      <c r="P118">
        <v>1.17992609736069</v>
      </c>
      <c r="Q118" s="1">
        <v>12935.252</v>
      </c>
      <c r="R118">
        <v>1.274594416</v>
      </c>
      <c r="S118">
        <v>0.765293942</v>
      </c>
      <c r="T118">
        <v>1.035957936</v>
      </c>
    </row>
    <row r="119" spans="1:20" x14ac:dyDescent="0.35">
      <c r="A119" t="s">
        <v>118</v>
      </c>
      <c r="B119">
        <f>Levels!B119/(Levels!$R119*1000)</f>
        <v>13.689738048121381</v>
      </c>
      <c r="C119">
        <f>Levels!C119/(Levels!$R119*1000)</f>
        <v>2119.1888610041374</v>
      </c>
      <c r="D119">
        <f>Levels!D119/EXP(Levels!$J119)</f>
        <v>116742.15650471763</v>
      </c>
      <c r="E119">
        <f>Levels!E119/Levels!$Q119</f>
        <v>0.21504570468999146</v>
      </c>
      <c r="F119">
        <f>Levels!F119/Levels!$Q119</f>
        <v>0.6299309882668036</v>
      </c>
      <c r="G119" s="6">
        <v>1.8</v>
      </c>
      <c r="H119" s="4">
        <v>3.8769844444444441</v>
      </c>
      <c r="I119" s="4">
        <v>4.3382011111111112</v>
      </c>
      <c r="J119">
        <v>3.1624296674157102</v>
      </c>
      <c r="K119">
        <v>1.19348766843858E-2</v>
      </c>
      <c r="L119">
        <v>2.5911</v>
      </c>
      <c r="M119">
        <v>-5.2285491918828804</v>
      </c>
      <c r="N119" s="6">
        <v>1.72235</v>
      </c>
      <c r="O119">
        <v>0.80708605189545102</v>
      </c>
      <c r="P119">
        <v>1.1582561177345001</v>
      </c>
      <c r="Q119" s="1">
        <v>13170.749</v>
      </c>
      <c r="R119">
        <v>2.296517675</v>
      </c>
      <c r="S119">
        <v>-5.0407955999999997E-2</v>
      </c>
      <c r="T119">
        <v>-1.5727623930000001</v>
      </c>
    </row>
    <row r="120" spans="1:20" x14ac:dyDescent="0.35">
      <c r="A120" t="s">
        <v>119</v>
      </c>
      <c r="B120">
        <f>Levels!B120/(Levels!$R120*1000)</f>
        <v>13.956304276002614</v>
      </c>
      <c r="C120">
        <f>Levels!C120/(Levels!$R120*1000)</f>
        <v>2172.5747924571224</v>
      </c>
      <c r="D120">
        <f>Levels!D120/EXP(Levels!$J120)</f>
        <v>121407.95195209635</v>
      </c>
      <c r="E120">
        <f>Levels!E120/Levels!$Q120</f>
        <v>0.21544604816939461</v>
      </c>
      <c r="F120">
        <f>Levels!F120/Levels!$Q120</f>
        <v>0.63669383849693373</v>
      </c>
      <c r="G120" s="6">
        <v>1.1000000000000001</v>
      </c>
      <c r="H120" s="4">
        <v>4.1557850793650797</v>
      </c>
      <c r="I120" s="4">
        <v>4.0582888888888888</v>
      </c>
      <c r="J120">
        <v>3.1605534496893499</v>
      </c>
      <c r="K120">
        <v>0.14769220825420901</v>
      </c>
      <c r="L120">
        <v>2.9022000000000001</v>
      </c>
      <c r="M120">
        <v>-4.0075689621591701</v>
      </c>
      <c r="N120" s="6">
        <v>1.8374600000000001</v>
      </c>
      <c r="O120">
        <v>0.80365560919717705</v>
      </c>
      <c r="P120">
        <v>1.1189115424945799</v>
      </c>
      <c r="Q120" s="1">
        <v>13183.89</v>
      </c>
      <c r="R120">
        <v>-3.1877009999999998E-3</v>
      </c>
      <c r="S120">
        <v>0.39305536299999999</v>
      </c>
      <c r="T120">
        <v>-5.6197249999999997E-2</v>
      </c>
    </row>
    <row r="121" spans="1:20" x14ac:dyDescent="0.35">
      <c r="A121" t="s">
        <v>120</v>
      </c>
      <c r="B121">
        <f>Levels!B121/(Levels!$R121*1000)</f>
        <v>14.191864850921126</v>
      </c>
      <c r="C121">
        <f>Levels!C121/(Levels!$R121*1000)</f>
        <v>2141.8390110871605</v>
      </c>
      <c r="D121">
        <f>Levels!D121/EXP(Levels!$J121)</f>
        <v>126610.53340463509</v>
      </c>
      <c r="E121">
        <f>Levels!E121/Levels!$Q121</f>
        <v>0.2152636995984844</v>
      </c>
      <c r="F121">
        <f>Levels!F121/Levels!$Q121</f>
        <v>0.63914964115249218</v>
      </c>
      <c r="G121" s="6">
        <v>0.4</v>
      </c>
      <c r="H121" s="4">
        <v>4.0286787096774193</v>
      </c>
      <c r="I121" s="4">
        <v>3.7546492089093699</v>
      </c>
      <c r="J121">
        <v>3.1317085191739</v>
      </c>
      <c r="K121">
        <v>1.14393365765876</v>
      </c>
      <c r="L121">
        <v>3.6057000000000001</v>
      </c>
      <c r="M121">
        <v>-2.2990781585026498</v>
      </c>
      <c r="N121" s="6">
        <v>1.86358</v>
      </c>
      <c r="O121">
        <v>0.81177684026520802</v>
      </c>
      <c r="P121">
        <v>1.1297077170621901</v>
      </c>
      <c r="Q121" s="1">
        <v>13262.25</v>
      </c>
      <c r="R121">
        <v>0.384376838</v>
      </c>
      <c r="S121">
        <v>-0.84351804699999999</v>
      </c>
      <c r="T121">
        <v>2.0419839849999999</v>
      </c>
    </row>
    <row r="122" spans="1:20" x14ac:dyDescent="0.35">
      <c r="A122" t="s">
        <v>121</v>
      </c>
      <c r="B122">
        <f>Levels!B122/(Levels!$R122*1000)</f>
        <v>14.296533903282803</v>
      </c>
      <c r="C122">
        <f>Levels!C122/(Levels!$R122*1000)</f>
        <v>2221.6263595075657</v>
      </c>
      <c r="D122">
        <f>Levels!D122/EXP(Levels!$J122)</f>
        <v>131124.73075752403</v>
      </c>
      <c r="E122">
        <f>Levels!E122/Levels!$Q122</f>
        <v>0.21542075265837679</v>
      </c>
      <c r="F122">
        <f>Levels!F122/Levels!$Q122</f>
        <v>0.64533077307648834</v>
      </c>
      <c r="G122" s="6">
        <v>-0.1</v>
      </c>
      <c r="H122" s="4">
        <v>2.788570967741935</v>
      </c>
      <c r="I122" s="4">
        <v>3.2368166436251915</v>
      </c>
      <c r="J122">
        <v>3.1051919859153001</v>
      </c>
      <c r="K122">
        <v>0.93394123931784101</v>
      </c>
      <c r="L122">
        <v>3.2012999999999998</v>
      </c>
      <c r="M122">
        <v>-1.7067083705311401</v>
      </c>
      <c r="N122" s="6">
        <v>1.99116</v>
      </c>
      <c r="O122">
        <v>0.82552284662965003</v>
      </c>
      <c r="P122">
        <v>1.1149339094103901</v>
      </c>
      <c r="Q122" s="1">
        <v>13219.251</v>
      </c>
      <c r="R122">
        <v>-2.1607316079999999</v>
      </c>
      <c r="S122">
        <v>7.2060083999999996E-2</v>
      </c>
      <c r="T122">
        <v>-0.25804039400000001</v>
      </c>
    </row>
    <row r="123" spans="1:20" x14ac:dyDescent="0.35">
      <c r="A123" t="s">
        <v>122</v>
      </c>
      <c r="B123">
        <f>Levels!B123/(Levels!$R123*1000)</f>
        <v>14.623472685271157</v>
      </c>
      <c r="C123">
        <f>Levels!C123/(Levels!$R123*1000)</f>
        <v>2179.0364977092322</v>
      </c>
      <c r="D123">
        <f>Levels!D123/EXP(Levels!$J123)</f>
        <v>137149.16176026757</v>
      </c>
      <c r="E123">
        <f>Levels!E123/Levels!$Q123</f>
        <v>0.21354355791580942</v>
      </c>
      <c r="F123">
        <f>Levels!F123/Levels!$Q123</f>
        <v>0.64245042535272745</v>
      </c>
      <c r="G123" s="6">
        <v>-1.4</v>
      </c>
      <c r="H123" s="4">
        <v>1.8618168253968252</v>
      </c>
      <c r="I123" s="4">
        <v>3.4731723809523807</v>
      </c>
      <c r="J123">
        <v>3.0882943034477699</v>
      </c>
      <c r="K123">
        <v>-0.25176917624943101</v>
      </c>
      <c r="L123">
        <v>3.0325000000000002</v>
      </c>
      <c r="M123">
        <v>-2.23759575518452</v>
      </c>
      <c r="N123" s="6">
        <v>2.0203000000000002</v>
      </c>
      <c r="O123">
        <v>0.82222675497965303</v>
      </c>
      <c r="P123">
        <v>1.07838695071625</v>
      </c>
      <c r="Q123" s="1">
        <v>13301.394</v>
      </c>
      <c r="R123">
        <v>-0.58658512500000004</v>
      </c>
      <c r="S123">
        <v>-1.461465566</v>
      </c>
      <c r="T123">
        <v>1.284683751</v>
      </c>
    </row>
    <row r="124" spans="1:20" x14ac:dyDescent="0.35">
      <c r="A124" t="s">
        <v>123</v>
      </c>
      <c r="B124">
        <f>Levels!B124/(Levels!$R124*1000)</f>
        <v>14.929839970102073</v>
      </c>
      <c r="C124">
        <f>Levels!C124/(Levels!$R124*1000)</f>
        <v>2233.5324117271175</v>
      </c>
      <c r="D124">
        <f>Levels!D124/EXP(Levels!$J124)</f>
        <v>143524.33726287063</v>
      </c>
      <c r="E124">
        <f>Levels!E124/Levels!$Q124</f>
        <v>0.21171414074517014</v>
      </c>
      <c r="F124">
        <f>Levels!F124/Levels!$Q124</f>
        <v>0.64435216345078528</v>
      </c>
      <c r="G124" s="6">
        <v>-2.6</v>
      </c>
      <c r="H124" s="4">
        <v>1.4319932786885246</v>
      </c>
      <c r="I124" s="4">
        <v>3.1967869906323187</v>
      </c>
      <c r="J124">
        <v>3.04078219321234</v>
      </c>
      <c r="K124">
        <v>1.35959811334765</v>
      </c>
      <c r="L124">
        <v>3.0024000000000002</v>
      </c>
      <c r="M124">
        <v>-0.30090689046350699</v>
      </c>
      <c r="N124" s="6">
        <v>1.79358</v>
      </c>
      <c r="O124">
        <v>0.85835991654792798</v>
      </c>
      <c r="P124">
        <v>1.1224323321798699</v>
      </c>
      <c r="Q124" s="1">
        <v>13248.142</v>
      </c>
      <c r="R124">
        <v>3.0713691089999999</v>
      </c>
      <c r="S124">
        <v>-3.2060923080000001</v>
      </c>
      <c r="T124">
        <v>3.3289678540000001</v>
      </c>
    </row>
    <row r="125" spans="1:20" x14ac:dyDescent="0.35">
      <c r="A125" t="s">
        <v>124</v>
      </c>
      <c r="B125">
        <f>Levels!B125/(Levels!$R125*1000)</f>
        <v>15.107777955064376</v>
      </c>
      <c r="C125">
        <f>Levels!C125/(Levels!$R125*1000)</f>
        <v>2256.9286254571903</v>
      </c>
      <c r="D125">
        <f>Levels!D125/EXP(Levels!$J125)</f>
        <v>145539.20717876055</v>
      </c>
      <c r="E125">
        <f>Levels!E125/Levels!$Q125</f>
        <v>0.20891169442917856</v>
      </c>
      <c r="F125">
        <f>Levels!F125/Levels!$Q125</f>
        <v>0.65028461417631289</v>
      </c>
      <c r="G125" s="6">
        <v>-3.3</v>
      </c>
      <c r="H125" s="4">
        <v>0.4807835483870968</v>
      </c>
      <c r="I125" s="4">
        <v>2.9572027265745007</v>
      </c>
      <c r="J125">
        <v>3.0558671875640702</v>
      </c>
      <c r="K125">
        <v>-0.28300891728072497</v>
      </c>
      <c r="L125">
        <v>3.004</v>
      </c>
      <c r="M125">
        <v>-2.4777325316718199</v>
      </c>
      <c r="N125" s="6">
        <v>1.7798099999999999</v>
      </c>
      <c r="O125">
        <v>0.86189693188836103</v>
      </c>
      <c r="P125">
        <v>1.0964113971680101</v>
      </c>
      <c r="Q125" s="1">
        <v>13284.880999999999</v>
      </c>
      <c r="R125">
        <v>-3.6373318979999998</v>
      </c>
      <c r="S125">
        <v>3.687135364</v>
      </c>
      <c r="T125">
        <v>-2.5450284939999999</v>
      </c>
    </row>
    <row r="126" spans="1:20" x14ac:dyDescent="0.35">
      <c r="A126" t="s">
        <v>125</v>
      </c>
      <c r="B126">
        <f>Levels!B126/(Levels!$R126*1000)</f>
        <v>15.293558363458112</v>
      </c>
      <c r="C126">
        <f>Levels!C126/(Levels!$R126*1000)</f>
        <v>2289.559560279954</v>
      </c>
      <c r="D126">
        <f>Levels!D126/EXP(Levels!$J126)</f>
        <v>153617.0836762106</v>
      </c>
      <c r="E126">
        <f>Levels!E126/Levels!$Q126</f>
        <v>0.20654069344250914</v>
      </c>
      <c r="F126">
        <f>Levels!F126/Levels!$Q126</f>
        <v>0.64480484089256396</v>
      </c>
      <c r="G126" s="6">
        <v>-4.0999999999999996</v>
      </c>
      <c r="H126" s="4">
        <v>0.11261666666666681</v>
      </c>
      <c r="I126" s="4">
        <v>3.2721304761904761</v>
      </c>
      <c r="J126">
        <v>3.0535895818685099</v>
      </c>
      <c r="K126">
        <v>-0.12175065955721801</v>
      </c>
      <c r="L126">
        <v>2.7704</v>
      </c>
      <c r="M126">
        <v>-2.3597356923307098</v>
      </c>
      <c r="N126" s="6">
        <v>1.4334100000000001</v>
      </c>
      <c r="O126">
        <v>0.78965800230669303</v>
      </c>
      <c r="P126">
        <v>1.0547395086340301</v>
      </c>
      <c r="Q126" s="1">
        <v>13394.91</v>
      </c>
      <c r="R126">
        <v>1.05467876</v>
      </c>
      <c r="S126">
        <v>2.4963258320000001</v>
      </c>
      <c r="T126">
        <v>1.0367595970000001</v>
      </c>
    </row>
    <row r="127" spans="1:20" x14ac:dyDescent="0.35">
      <c r="A127" t="s">
        <v>126</v>
      </c>
      <c r="B127">
        <f>Levels!B127/(Levels!$R127*1000)</f>
        <v>15.504692550510297</v>
      </c>
      <c r="C127">
        <f>Levels!C127/(Levels!$R127*1000)</f>
        <v>2318.9780993739309</v>
      </c>
      <c r="D127">
        <f>Levels!D127/EXP(Levels!$J127)</f>
        <v>161033.67257049403</v>
      </c>
      <c r="E127">
        <f>Levels!E127/Levels!$Q127</f>
        <v>0.20531460325007367</v>
      </c>
      <c r="F127">
        <f>Levels!F127/Levels!$Q127</f>
        <v>0.64655517319987199</v>
      </c>
      <c r="G127" s="6">
        <v>-2.9</v>
      </c>
      <c r="H127" s="4">
        <v>-0.17170375000000004</v>
      </c>
      <c r="I127" s="4">
        <v>3.2926985119047623</v>
      </c>
      <c r="J127">
        <v>3.0103043604659798</v>
      </c>
      <c r="K127">
        <v>1.5926103807065801</v>
      </c>
      <c r="L127">
        <v>2.7751999999999999</v>
      </c>
      <c r="M127">
        <v>2.1509914564549201E-2</v>
      </c>
      <c r="N127" s="6">
        <v>1.60805</v>
      </c>
      <c r="O127">
        <v>0.74245972311669095</v>
      </c>
      <c r="P127">
        <v>1.0932867722980699</v>
      </c>
      <c r="Q127" s="1">
        <v>13477.356</v>
      </c>
      <c r="R127">
        <v>0.57346645100000004</v>
      </c>
      <c r="S127">
        <v>2.3302913159999998</v>
      </c>
      <c r="T127">
        <v>2.6364372220000001</v>
      </c>
    </row>
    <row r="128" spans="1:20" x14ac:dyDescent="0.35">
      <c r="A128" t="s">
        <v>127</v>
      </c>
      <c r="B128">
        <f>Levels!B128/(Levels!$R128*1000)</f>
        <v>15.74049339228176</v>
      </c>
      <c r="C128">
        <f>Levels!C128/(Levels!$R128*1000)</f>
        <v>2380.4362436008541</v>
      </c>
      <c r="D128">
        <f>Levels!D128/EXP(Levels!$J128)</f>
        <v>172481.36726079969</v>
      </c>
      <c r="E128">
        <f>Levels!E128/Levels!$Q128</f>
        <v>0.20488878703782462</v>
      </c>
      <c r="F128">
        <f>Levels!F128/Levels!$Q128</f>
        <v>0.6492038483301249</v>
      </c>
      <c r="G128" s="6">
        <v>-2.1</v>
      </c>
      <c r="H128" s="4">
        <v>-0.11402500000000004</v>
      </c>
      <c r="I128" s="4">
        <v>2.4546827976190482</v>
      </c>
      <c r="J128">
        <v>2.9434864844978299</v>
      </c>
      <c r="K128">
        <v>0.48468035233635298</v>
      </c>
      <c r="L128">
        <v>3.8780000000000001</v>
      </c>
      <c r="M128">
        <v>-0.106789941573841</v>
      </c>
      <c r="N128" s="6">
        <v>1.88561</v>
      </c>
      <c r="O128">
        <v>0.73463521054403902</v>
      </c>
      <c r="P128">
        <v>1.1462534981222099</v>
      </c>
      <c r="Q128" s="1">
        <v>13531.741</v>
      </c>
      <c r="R128">
        <v>-1.6894145270000001</v>
      </c>
      <c r="S128">
        <v>0.71755078000000005</v>
      </c>
      <c r="T128">
        <v>0.83100891499999996</v>
      </c>
    </row>
    <row r="129" spans="1:20" x14ac:dyDescent="0.35">
      <c r="A129" t="s">
        <v>128</v>
      </c>
      <c r="B129">
        <f>Levels!B129/(Levels!$R129*1000)</f>
        <v>16.036520970522606</v>
      </c>
      <c r="C129">
        <f>Levels!C129/(Levels!$R129*1000)</f>
        <v>2469.716296491747</v>
      </c>
      <c r="D129">
        <f>Levels!D129/EXP(Levels!$J129)</f>
        <v>177687.6334184015</v>
      </c>
      <c r="E129">
        <f>Levels!E129/Levels!$Q129</f>
        <v>0.20451375745133316</v>
      </c>
      <c r="F129">
        <f>Levels!F129/Levels!$Q129</f>
        <v>0.65193028831442668</v>
      </c>
      <c r="G129" s="6">
        <v>-0.8</v>
      </c>
      <c r="H129" s="4">
        <v>-0.41602935483870973</v>
      </c>
      <c r="I129" s="4">
        <v>2.1950470430107529</v>
      </c>
      <c r="J129">
        <v>2.9564273111555401</v>
      </c>
      <c r="K129">
        <v>-0.96689472851158609</v>
      </c>
      <c r="L129">
        <v>3.7660999999999998</v>
      </c>
      <c r="M129">
        <v>-2.1807709037374101</v>
      </c>
      <c r="N129" s="6">
        <v>1.75715</v>
      </c>
      <c r="O129">
        <v>0.74521475476933097</v>
      </c>
      <c r="P129">
        <v>1.0734394833726499</v>
      </c>
      <c r="Q129" s="1">
        <v>13549.421</v>
      </c>
      <c r="R129">
        <v>-0.27951799399999999</v>
      </c>
      <c r="S129">
        <v>-1.6395007619999999</v>
      </c>
      <c r="T129">
        <v>-1.785563225</v>
      </c>
    </row>
    <row r="130" spans="1:20" x14ac:dyDescent="0.35">
      <c r="A130" t="s">
        <v>129</v>
      </c>
      <c r="B130">
        <f>Levels!B130/(Levels!$R130*1000)</f>
        <v>16.234643976430888</v>
      </c>
      <c r="C130">
        <f>Levels!C130/(Levels!$R130*1000)</f>
        <v>2379.5284971134138</v>
      </c>
      <c r="D130">
        <f>Levels!D130/EXP(Levels!$J130)</f>
        <v>187322.28329661125</v>
      </c>
      <c r="E130">
        <f>Levels!E130/Levels!$Q130</f>
        <v>0.20495293710443474</v>
      </c>
      <c r="F130">
        <f>Levels!F130/Levels!$Q130</f>
        <v>0.65387924772965744</v>
      </c>
      <c r="G130" s="6">
        <v>-0.5</v>
      </c>
      <c r="H130" s="4">
        <v>-0.43064590163934424</v>
      </c>
      <c r="I130" s="4">
        <v>2.1176276190476191</v>
      </c>
      <c r="J130">
        <v>2.93422170914664</v>
      </c>
      <c r="K130">
        <v>-0.35309219169815698</v>
      </c>
      <c r="L130">
        <v>3.2374999999999998</v>
      </c>
      <c r="M130">
        <v>-2.1497369200921899</v>
      </c>
      <c r="N130" s="6">
        <v>1.75861</v>
      </c>
      <c r="O130">
        <v>0.78105921668315703</v>
      </c>
      <c r="P130">
        <v>0.99542156483316402</v>
      </c>
      <c r="Q130" s="1">
        <v>13619.433999999999</v>
      </c>
      <c r="R130">
        <v>1.2854469989999999</v>
      </c>
      <c r="S130">
        <v>-1.2101709709999999</v>
      </c>
      <c r="T130">
        <v>-0.88886669100000004</v>
      </c>
    </row>
    <row r="131" spans="1:20" x14ac:dyDescent="0.35">
      <c r="A131" t="s">
        <v>130</v>
      </c>
      <c r="B131">
        <f>Levels!B131/(Levels!$R131*1000)</f>
        <v>16.639540540515327</v>
      </c>
      <c r="C131">
        <f>Levels!C131/(Levels!$R131*1000)</f>
        <v>2423.2609002834747</v>
      </c>
      <c r="D131">
        <f>Levels!D131/EXP(Levels!$J131)</f>
        <v>185629.91880596639</v>
      </c>
      <c r="E131">
        <f>Levels!E131/Levels!$Q131</f>
        <v>0.207099180582758</v>
      </c>
      <c r="F131">
        <f>Levels!F131/Levels!$Q131</f>
        <v>0.65329633367562367</v>
      </c>
      <c r="G131" s="6">
        <v>-1.1000000000000001</v>
      </c>
      <c r="H131" s="4">
        <v>-0.47056365079365081</v>
      </c>
      <c r="I131" s="4">
        <v>1.8233430158730162</v>
      </c>
      <c r="J131">
        <v>2.9780417242521402</v>
      </c>
      <c r="K131">
        <v>-1.1669058539986499</v>
      </c>
      <c r="L131">
        <v>2.5516000000000001</v>
      </c>
      <c r="M131">
        <v>-1.75708670534345</v>
      </c>
      <c r="N131" s="6">
        <v>1.5853999999999999</v>
      </c>
      <c r="O131">
        <v>0.78595411434365403</v>
      </c>
      <c r="P131">
        <v>0.97265171606600198</v>
      </c>
      <c r="Q131" s="1">
        <v>13741.107</v>
      </c>
      <c r="R131">
        <v>-1.614398435</v>
      </c>
      <c r="S131">
        <v>-5.2889815E-2</v>
      </c>
      <c r="T131">
        <v>-0.79345316899999996</v>
      </c>
    </row>
    <row r="132" spans="1:20" x14ac:dyDescent="0.35">
      <c r="A132" t="s">
        <v>131</v>
      </c>
      <c r="B132">
        <f>Levels!B132/(Levels!$R132*1000)</f>
        <v>16.945488582976608</v>
      </c>
      <c r="C132">
        <f>Levels!C132/(Levels!$R132*1000)</f>
        <v>2432.6969108407407</v>
      </c>
      <c r="D132">
        <f>Levels!D132/EXP(Levels!$J132)</f>
        <v>185409.65582730976</v>
      </c>
      <c r="E132">
        <f>Levels!E132/Levels!$Q132</f>
        <v>0.20986972444189425</v>
      </c>
      <c r="F132">
        <f>Levels!F132/Levels!$Q132</f>
        <v>0.65337031510880739</v>
      </c>
      <c r="G132" s="6">
        <v>-0.5</v>
      </c>
      <c r="H132" s="4">
        <v>-0.67484875</v>
      </c>
      <c r="I132" s="4">
        <v>2.430196488095238</v>
      </c>
      <c r="J132">
        <v>3.00676443679161</v>
      </c>
      <c r="K132">
        <v>-1.8418294231005801</v>
      </c>
      <c r="L132">
        <v>2.2864</v>
      </c>
      <c r="M132">
        <v>-3.7608883557388801</v>
      </c>
      <c r="N132" s="6">
        <v>1.5097700000000001</v>
      </c>
      <c r="O132">
        <v>0.76478987525003905</v>
      </c>
      <c r="P132">
        <v>0.90903424110457798</v>
      </c>
      <c r="Q132" s="1">
        <v>13970.156999999999</v>
      </c>
      <c r="R132">
        <v>0.83270075700000001</v>
      </c>
      <c r="S132">
        <v>-0.20867239900000001</v>
      </c>
      <c r="T132">
        <v>-0.68924224899999997</v>
      </c>
    </row>
    <row r="133" spans="1:20" x14ac:dyDescent="0.35">
      <c r="A133" t="s">
        <v>132</v>
      </c>
      <c r="B133">
        <f>Levels!B133/(Levels!$R133*1000)</f>
        <v>17.209525932898753</v>
      </c>
      <c r="C133">
        <f>Levels!C133/(Levels!$R133*1000)</f>
        <v>2463.224064254061</v>
      </c>
      <c r="D133">
        <f>Levels!D133/EXP(Levels!$J133)</f>
        <v>190739.69644260503</v>
      </c>
      <c r="E133">
        <f>Levels!E133/Levels!$Q133</f>
        <v>0.21070406504559816</v>
      </c>
      <c r="F133">
        <f>Levels!F133/Levels!$Q133</f>
        <v>0.65110077002583233</v>
      </c>
      <c r="G133" s="6">
        <v>-0.2</v>
      </c>
      <c r="H133" s="4">
        <v>-0.93191483870967751</v>
      </c>
      <c r="I133" s="4">
        <v>2.4870948617511521</v>
      </c>
      <c r="J133">
        <v>3.0274144873381599</v>
      </c>
      <c r="K133">
        <v>-1.09054396305859</v>
      </c>
      <c r="L133">
        <v>1.8816999999999999</v>
      </c>
      <c r="M133">
        <v>-4.9071510143334098</v>
      </c>
      <c r="N133" s="6">
        <v>1.6031299999999999</v>
      </c>
      <c r="O133">
        <v>0.73895487758858502</v>
      </c>
      <c r="P133">
        <v>0.86874326548016101</v>
      </c>
      <c r="Q133" s="1">
        <v>14131.379000000001</v>
      </c>
      <c r="R133">
        <v>-1.6390452129999999</v>
      </c>
      <c r="S133">
        <v>1.057135398</v>
      </c>
      <c r="T133">
        <v>-0.83754119000000005</v>
      </c>
    </row>
    <row r="134" spans="1:20" x14ac:dyDescent="0.35">
      <c r="A134" t="s">
        <v>133</v>
      </c>
      <c r="B134">
        <f>Levels!B134/(Levels!$R134*1000)</f>
        <v>17.547825098021722</v>
      </c>
      <c r="C134">
        <f>Levels!C134/(Levels!$R134*1000)</f>
        <v>2445.6104083529808</v>
      </c>
      <c r="D134">
        <f>Levels!D134/EXP(Levels!$J134)</f>
        <v>195046.77452249944</v>
      </c>
      <c r="E134">
        <f>Levels!E134/Levels!$Q134</f>
        <v>0.20899190421844679</v>
      </c>
      <c r="F134">
        <f>Levels!F134/Levels!$Q134</f>
        <v>0.65583203584011873</v>
      </c>
      <c r="G134" s="6">
        <v>0.8</v>
      </c>
      <c r="H134" s="4">
        <v>-1.1260309677419356</v>
      </c>
      <c r="I134" s="4">
        <v>2.2089911904761905</v>
      </c>
      <c r="J134">
        <v>3.0543291527679002</v>
      </c>
      <c r="K134">
        <v>-1.1749238558166901</v>
      </c>
      <c r="L134">
        <v>1.7768999999999999</v>
      </c>
      <c r="M134">
        <v>-5.0094239452087903</v>
      </c>
      <c r="N134" s="6">
        <v>1.8475600000000001</v>
      </c>
      <c r="O134">
        <v>0.724453469940741</v>
      </c>
      <c r="P134">
        <v>0.82089809787779999</v>
      </c>
      <c r="Q134" s="1">
        <v>14212.34</v>
      </c>
      <c r="R134">
        <v>-1.0281483170000001</v>
      </c>
      <c r="S134">
        <v>-1.2018274739999999</v>
      </c>
      <c r="T134">
        <v>-0.23051722399999999</v>
      </c>
    </row>
    <row r="135" spans="1:20" x14ac:dyDescent="0.35">
      <c r="A135" t="s">
        <v>134</v>
      </c>
      <c r="B135">
        <f>Levels!B135/(Levels!$R135*1000)</f>
        <v>17.925922925271635</v>
      </c>
      <c r="C135">
        <f>Levels!C135/(Levels!$R135*1000)</f>
        <v>2379.0169662308222</v>
      </c>
      <c r="D135">
        <f>Levels!D135/EXP(Levels!$J135)</f>
        <v>203029.76057507945</v>
      </c>
      <c r="E135">
        <f>Levels!E135/Levels!$Q135</f>
        <v>0.2122448084785489</v>
      </c>
      <c r="F135">
        <f>Levels!F135/Levels!$Q135</f>
        <v>0.65568624558682898</v>
      </c>
      <c r="G135" s="6">
        <v>1.1000000000000001</v>
      </c>
      <c r="H135" s="4">
        <v>-0.86266903225806457</v>
      </c>
      <c r="I135" s="4">
        <v>2.7990070122887865</v>
      </c>
      <c r="J135">
        <v>3.04867272228433</v>
      </c>
      <c r="K135">
        <v>1.1631530050063199</v>
      </c>
      <c r="L135">
        <v>1.7346999999999999</v>
      </c>
      <c r="M135">
        <v>-2.4615043160950698</v>
      </c>
      <c r="N135" s="6">
        <v>2.04216</v>
      </c>
      <c r="O135">
        <v>0.73754885382134305</v>
      </c>
      <c r="P135">
        <v>0.82144189052148597</v>
      </c>
      <c r="Q135" s="1">
        <v>14323.017</v>
      </c>
      <c r="R135">
        <v>-0.39201555399999999</v>
      </c>
      <c r="S135">
        <v>-0.88251684900000005</v>
      </c>
      <c r="T135">
        <v>0.41778123</v>
      </c>
    </row>
    <row r="136" spans="1:20" x14ac:dyDescent="0.35">
      <c r="A136" t="s">
        <v>135</v>
      </c>
      <c r="B136">
        <f>Levels!B136/(Levels!$R136*1000)</f>
        <v>18.291235558527827</v>
      </c>
      <c r="C136">
        <f>Levels!C136/(Levels!$R136*1000)</f>
        <v>2468.2911254995875</v>
      </c>
      <c r="D136">
        <f>Levels!D136/EXP(Levels!$J136)</f>
        <v>213510.21955790144</v>
      </c>
      <c r="E136">
        <f>Levels!E136/Levels!$Q136</f>
        <v>0.21383420418773716</v>
      </c>
      <c r="F136">
        <f>Levels!F136/Levels!$Q136</f>
        <v>0.65707946071757972</v>
      </c>
      <c r="G136" s="6">
        <v>1.6</v>
      </c>
      <c r="H136" s="4">
        <v>-0.54877874999999987</v>
      </c>
      <c r="I136" s="4">
        <v>2.5157133928571431</v>
      </c>
      <c r="J136">
        <v>3.0444828245345299</v>
      </c>
      <c r="K136">
        <v>0.85318176675988799</v>
      </c>
      <c r="L136">
        <v>1.6914</v>
      </c>
      <c r="M136">
        <v>-1.86501748535738</v>
      </c>
      <c r="N136" s="6">
        <v>1.94154</v>
      </c>
      <c r="O136">
        <v>0.73449786980367804</v>
      </c>
      <c r="P136">
        <v>0.82952424617416798</v>
      </c>
      <c r="Q136" s="1">
        <v>14457.832</v>
      </c>
      <c r="R136">
        <v>-0.60181738600000001</v>
      </c>
      <c r="S136">
        <v>0.99512931199999999</v>
      </c>
      <c r="T136">
        <v>-0.46036522699999999</v>
      </c>
    </row>
    <row r="137" spans="1:20" x14ac:dyDescent="0.35">
      <c r="A137" t="s">
        <v>136</v>
      </c>
      <c r="B137">
        <f>Levels!B137/(Levels!$R137*1000)</f>
        <v>18.789815357032744</v>
      </c>
      <c r="C137">
        <f>Levels!C137/(Levels!$R137*1000)</f>
        <v>2491.3265020229765</v>
      </c>
      <c r="D137">
        <f>Levels!D137/EXP(Levels!$J137)</f>
        <v>216481.04960902515</v>
      </c>
      <c r="E137">
        <f>Levels!E137/Levels!$Q137</f>
        <v>0.21476050787386616</v>
      </c>
      <c r="F137">
        <f>Levels!F137/Levels!$Q137</f>
        <v>0.66020977285323434</v>
      </c>
      <c r="G137" s="6">
        <v>1.7</v>
      </c>
      <c r="H137" s="4">
        <v>-0.18891709677419355</v>
      </c>
      <c r="I137" s="4">
        <v>2.4036993087557601</v>
      </c>
      <c r="J137">
        <v>3.0733437306931402</v>
      </c>
      <c r="K137">
        <v>-0.32910329063069499</v>
      </c>
      <c r="L137">
        <v>1.554</v>
      </c>
      <c r="M137">
        <v>-3.0679123673385198</v>
      </c>
      <c r="N137" s="6">
        <v>2.0370599999999999</v>
      </c>
      <c r="O137">
        <v>0.75650587202483399</v>
      </c>
      <c r="P137">
        <v>0.83510101297968797</v>
      </c>
      <c r="Q137" s="1">
        <v>14605.594999999999</v>
      </c>
      <c r="R137">
        <v>2.330880208</v>
      </c>
      <c r="S137">
        <v>-1.2895746050000001</v>
      </c>
      <c r="T137">
        <v>-1.631804649</v>
      </c>
    </row>
    <row r="138" spans="1:20" x14ac:dyDescent="0.35">
      <c r="A138" t="s">
        <v>137</v>
      </c>
      <c r="B138">
        <f>Levels!B138/(Levels!$R138*1000)</f>
        <v>19.119690523888377</v>
      </c>
      <c r="C138">
        <f>Levels!C138/(Levels!$R138*1000)</f>
        <v>2546.4352863278864</v>
      </c>
      <c r="D138">
        <f>Levels!D138/EXP(Levels!$J138)</f>
        <v>222447.2105508282</v>
      </c>
      <c r="E138">
        <f>Levels!E138/Levels!$Q138</f>
        <v>0.21552831739984288</v>
      </c>
      <c r="F138">
        <f>Levels!F138/Levels!$Q138</f>
        <v>0.65757292736418782</v>
      </c>
      <c r="G138" s="6">
        <v>1.5</v>
      </c>
      <c r="H138" s="4">
        <v>0.41962655737704901</v>
      </c>
      <c r="I138" s="4">
        <v>2.548944890710382</v>
      </c>
      <c r="J138">
        <v>3.0762598405564998</v>
      </c>
      <c r="K138">
        <v>0.33132686724089999</v>
      </c>
      <c r="L138">
        <v>1.5919000000000001</v>
      </c>
      <c r="M138">
        <v>-2.20003013937152</v>
      </c>
      <c r="N138" s="6">
        <v>2.2005300000000001</v>
      </c>
      <c r="O138">
        <v>0.76869239723369798</v>
      </c>
      <c r="P138">
        <v>0.82520634690498496</v>
      </c>
      <c r="Q138" s="1">
        <v>14767.846</v>
      </c>
      <c r="R138">
        <v>-0.33342692299999999</v>
      </c>
      <c r="S138">
        <v>1.101377611</v>
      </c>
      <c r="T138">
        <v>-0.15048141300000001</v>
      </c>
    </row>
    <row r="139" spans="1:20" x14ac:dyDescent="0.35">
      <c r="A139" t="s">
        <v>138</v>
      </c>
      <c r="B139">
        <f>Levels!B139/(Levels!$R139*1000)</f>
        <v>19.599245017129377</v>
      </c>
      <c r="C139">
        <f>Levels!C139/(Levels!$R139*1000)</f>
        <v>2500.028519716202</v>
      </c>
      <c r="D139">
        <f>Levels!D139/EXP(Levels!$J139)</f>
        <v>228187.14925441949</v>
      </c>
      <c r="E139">
        <f>Levels!E139/Levels!$Q139</f>
        <v>0.21766460752897615</v>
      </c>
      <c r="F139">
        <f>Levels!F139/Levels!$Q139</f>
        <v>0.6621780491111684</v>
      </c>
      <c r="G139" s="6">
        <v>2</v>
      </c>
      <c r="H139" s="4">
        <v>0.71072874999999991</v>
      </c>
      <c r="I139" s="4">
        <v>2.4272997023809522</v>
      </c>
      <c r="J139">
        <v>3.07612829260975</v>
      </c>
      <c r="K139">
        <v>-0.38098147787458397</v>
      </c>
      <c r="L139">
        <v>1.9970000000000001</v>
      </c>
      <c r="M139">
        <v>-3.4542708966673201</v>
      </c>
      <c r="N139" s="6">
        <v>2.12398</v>
      </c>
      <c r="O139">
        <v>0.77216402336853596</v>
      </c>
      <c r="P139">
        <v>0.82140675881406799</v>
      </c>
      <c r="Q139" s="1">
        <v>14839.707</v>
      </c>
      <c r="R139">
        <v>0.22155125000000001</v>
      </c>
      <c r="S139">
        <v>-0.95245603099999998</v>
      </c>
      <c r="T139">
        <v>-1.601898815</v>
      </c>
    </row>
    <row r="140" spans="1:20" x14ac:dyDescent="0.35">
      <c r="A140" t="s">
        <v>139</v>
      </c>
      <c r="B140">
        <f>Levels!B140/(Levels!$R140*1000)</f>
        <v>20.071773198752304</v>
      </c>
      <c r="C140">
        <f>Levels!C140/(Levels!$R140*1000)</f>
        <v>2518.5068460582324</v>
      </c>
      <c r="D140">
        <f>Levels!D140/EXP(Levels!$J140)</f>
        <v>229039.03484938902</v>
      </c>
      <c r="E140">
        <f>Levels!E140/Levels!$Q140</f>
        <v>0.21908733923403872</v>
      </c>
      <c r="F140">
        <f>Levels!F140/Levels!$Q140</f>
        <v>0.66608702930593022</v>
      </c>
      <c r="G140" s="6">
        <v>1.6</v>
      </c>
      <c r="H140" s="4">
        <v>1.0798774999999998</v>
      </c>
      <c r="I140" s="4">
        <v>2.5071048214285714</v>
      </c>
      <c r="J140">
        <v>3.0842003397735298</v>
      </c>
      <c r="K140">
        <v>0.82640993792337114</v>
      </c>
      <c r="L140">
        <v>1.6838</v>
      </c>
      <c r="M140">
        <v>-4.0429343563767004</v>
      </c>
      <c r="N140" s="6">
        <v>2.1559900000000001</v>
      </c>
      <c r="O140">
        <v>0.83002223813561204</v>
      </c>
      <c r="P140">
        <v>0.79765321159288005</v>
      </c>
      <c r="Q140" s="1">
        <v>14956.290999999999</v>
      </c>
      <c r="R140">
        <v>-0.47245991199999998</v>
      </c>
      <c r="S140">
        <v>-6.0333774529999999</v>
      </c>
      <c r="T140">
        <v>2.2548150999999999E-2</v>
      </c>
    </row>
    <row r="141" spans="1:20" x14ac:dyDescent="0.35">
      <c r="A141" t="s">
        <v>140</v>
      </c>
      <c r="B141">
        <f>Levels!B141/(Levels!$R141*1000)</f>
        <v>20.519796378349639</v>
      </c>
      <c r="C141">
        <f>Levels!C141/(Levels!$R141*1000)</f>
        <v>2589.628132189825</v>
      </c>
      <c r="D141">
        <f>Levels!D141/EXP(Levels!$J141)</f>
        <v>234619.63664407036</v>
      </c>
      <c r="E141">
        <f>Levels!E141/Levels!$Q141</f>
        <v>0.21875934099015293</v>
      </c>
      <c r="F141">
        <f>Levels!F141/Levels!$Q141</f>
        <v>0.66524997009604636</v>
      </c>
      <c r="G141" s="6">
        <v>1.7</v>
      </c>
      <c r="H141" s="4">
        <v>1.6764995081967213</v>
      </c>
      <c r="I141" s="4">
        <v>2.7988126736924284</v>
      </c>
      <c r="J141">
        <v>3.0967915129144101</v>
      </c>
      <c r="K141">
        <v>-0.132114856291521</v>
      </c>
      <c r="L141">
        <v>1.8593</v>
      </c>
      <c r="M141">
        <v>-4.39767728559994</v>
      </c>
      <c r="N141" s="6">
        <v>2.28356</v>
      </c>
      <c r="O141">
        <v>0.85244193066571805</v>
      </c>
      <c r="P141">
        <v>0.79290126226275603</v>
      </c>
      <c r="Q141" s="1">
        <v>15041.232</v>
      </c>
      <c r="R141">
        <v>1.4914216899999999</v>
      </c>
      <c r="S141">
        <v>5.1883554739999997</v>
      </c>
      <c r="T141">
        <v>-2.0310206370000001</v>
      </c>
    </row>
    <row r="142" spans="1:20" x14ac:dyDescent="0.35">
      <c r="A142" t="s">
        <v>141</v>
      </c>
      <c r="B142">
        <f>Levels!B142/(Levels!$R142*1000)</f>
        <v>21.078523857310891</v>
      </c>
      <c r="C142">
        <f>Levels!C142/(Levels!$R142*1000)</f>
        <v>2592.5665029606125</v>
      </c>
      <c r="D142">
        <f>Levels!D142/EXP(Levels!$J142)</f>
        <v>236923.95177575428</v>
      </c>
      <c r="E142">
        <f>Levels!E142/Levels!$Q142</f>
        <v>0.22012087571260414</v>
      </c>
      <c r="F142">
        <f>Levels!F142/Levels!$Q142</f>
        <v>0.66323182387362611</v>
      </c>
      <c r="G142" s="6">
        <v>2.5</v>
      </c>
      <c r="H142" s="4">
        <v>1.943530967741935</v>
      </c>
      <c r="I142" s="4">
        <v>2.9066598694316435</v>
      </c>
      <c r="J142">
        <v>3.1082325698920599</v>
      </c>
      <c r="K142">
        <v>0.13805087049766399</v>
      </c>
      <c r="L142">
        <v>1.7236</v>
      </c>
      <c r="M142">
        <v>-3.33752509900529</v>
      </c>
      <c r="N142" s="6">
        <v>2.1497299999999999</v>
      </c>
      <c r="O142">
        <v>0.81281303139036198</v>
      </c>
      <c r="P142">
        <v>0.78278353377298104</v>
      </c>
      <c r="Q142" s="1">
        <v>15244.088</v>
      </c>
      <c r="R142">
        <v>-1.1392052340000001</v>
      </c>
      <c r="S142">
        <v>-0.27009372300000001</v>
      </c>
      <c r="T142">
        <v>-1.1713850699999999</v>
      </c>
    </row>
    <row r="143" spans="1:20" x14ac:dyDescent="0.35">
      <c r="A143" t="s">
        <v>142</v>
      </c>
      <c r="B143">
        <f>Levels!B143/(Levels!$R143*1000)</f>
        <v>21.633057432400545</v>
      </c>
      <c r="C143">
        <f>Levels!C143/(Levels!$R143*1000)</f>
        <v>2550.7497140933747</v>
      </c>
      <c r="D143">
        <f>Levels!D143/EXP(Levels!$J143)</f>
        <v>241802.1199781239</v>
      </c>
      <c r="E143">
        <f>Levels!E143/Levels!$Q143</f>
        <v>0.21893593734918473</v>
      </c>
      <c r="F143">
        <f>Levels!F143/Levels!$Q143</f>
        <v>0.66729038822437481</v>
      </c>
      <c r="G143" s="6">
        <v>2.2000000000000002</v>
      </c>
      <c r="H143" s="4">
        <v>2.1009939682539684</v>
      </c>
      <c r="I143" s="4">
        <v>3.4140581746031744</v>
      </c>
      <c r="J143">
        <v>3.1059310030471399</v>
      </c>
      <c r="K143">
        <v>0.247648632828495</v>
      </c>
      <c r="L143">
        <v>1.6122000000000001</v>
      </c>
      <c r="M143">
        <v>-4.5094976478349098</v>
      </c>
      <c r="N143" s="6">
        <v>2.4553400000000001</v>
      </c>
      <c r="O143">
        <v>0.79159535224439403</v>
      </c>
      <c r="P143">
        <v>0.76788462717329198</v>
      </c>
      <c r="Q143" s="1">
        <v>15281.525</v>
      </c>
      <c r="R143">
        <v>-0.36859059500000002</v>
      </c>
      <c r="S143">
        <v>-0.55148860499999997</v>
      </c>
      <c r="T143">
        <v>-1.173905907</v>
      </c>
    </row>
    <row r="144" spans="1:20" x14ac:dyDescent="0.35">
      <c r="A144" t="s">
        <v>143</v>
      </c>
      <c r="B144">
        <f>Levels!B144/(Levels!$R144*1000)</f>
        <v>22.090972435868707</v>
      </c>
      <c r="C144">
        <f>Levels!C144/(Levels!$R144*1000)</f>
        <v>2598.9457085615377</v>
      </c>
      <c r="D144">
        <f>Levels!D144/EXP(Levels!$J144)</f>
        <v>243146.8956706803</v>
      </c>
      <c r="E144">
        <f>Levels!E144/Levels!$Q144</f>
        <v>0.21697136864887667</v>
      </c>
      <c r="F144">
        <f>Levels!F144/Levels!$Q144</f>
        <v>0.67127491182840526</v>
      </c>
      <c r="G144" s="6">
        <v>2.2999999999999998</v>
      </c>
      <c r="H144" s="4">
        <v>2.5411653968253969</v>
      </c>
      <c r="I144" s="4">
        <v>3.2503720634920636</v>
      </c>
      <c r="J144">
        <v>3.12135860301116</v>
      </c>
      <c r="K144">
        <v>-1.19885177656602</v>
      </c>
      <c r="L144">
        <v>1.7337</v>
      </c>
      <c r="M144">
        <v>-7.1030957289453402</v>
      </c>
      <c r="N144" s="6">
        <v>2.6072600000000001</v>
      </c>
      <c r="O144">
        <v>0.79311213653387602</v>
      </c>
      <c r="P144">
        <v>0.74556562662223702</v>
      </c>
      <c r="Q144" s="1">
        <v>15304.517</v>
      </c>
      <c r="R144">
        <v>0.19327999400000001</v>
      </c>
      <c r="S144">
        <v>-2.618434385</v>
      </c>
      <c r="T144">
        <v>-1.14544862</v>
      </c>
    </row>
    <row r="145" spans="1:20" x14ac:dyDescent="0.35">
      <c r="A145" t="s">
        <v>144</v>
      </c>
      <c r="B145">
        <f>Levels!B145/(Levels!$R145*1000)</f>
        <v>22.629242388859623</v>
      </c>
      <c r="C145">
        <f>Levels!C145/(Levels!$R145*1000)</f>
        <v>2682.9819490873638</v>
      </c>
      <c r="D145">
        <f>Levels!D145/EXP(Levels!$J145)</f>
        <v>249324.37239888191</v>
      </c>
      <c r="E145">
        <f>Levels!E145/Levels!$Q145</f>
        <v>0.21416732264702507</v>
      </c>
      <c r="F145">
        <f>Levels!F145/Levels!$Q145</f>
        <v>0.66654933957926044</v>
      </c>
      <c r="G145" s="6">
        <v>2.1</v>
      </c>
      <c r="H145" s="4">
        <v>2.4251383870967742</v>
      </c>
      <c r="I145" s="4">
        <v>3.0052444470046087</v>
      </c>
      <c r="J145">
        <v>3.1468908607184498</v>
      </c>
      <c r="K145">
        <v>-4.7891233788904801E-2</v>
      </c>
      <c r="L145">
        <v>1.5774999999999999</v>
      </c>
      <c r="M145">
        <v>-5.7214970348817804</v>
      </c>
      <c r="N145" s="6">
        <v>2.3656600000000001</v>
      </c>
      <c r="O145">
        <v>0.78660432623930598</v>
      </c>
      <c r="P145">
        <v>0.72747030259686196</v>
      </c>
      <c r="Q145" s="1">
        <v>15433.643</v>
      </c>
      <c r="R145">
        <v>-0.93646935899999995</v>
      </c>
      <c r="S145">
        <v>1.174893499</v>
      </c>
      <c r="T145">
        <v>-1.0724309540000001</v>
      </c>
    </row>
    <row r="146" spans="1:20" x14ac:dyDescent="0.35">
      <c r="A146" t="s">
        <v>145</v>
      </c>
      <c r="B146">
        <f>Levels!B146/(Levels!$R146*1000)</f>
        <v>23.038021600205592</v>
      </c>
      <c r="C146">
        <f>Levels!C146/(Levels!$R146*1000)</f>
        <v>2690.3131976801951</v>
      </c>
      <c r="D146">
        <f>Levels!D146/EXP(Levels!$J146)</f>
        <v>252949.3022814735</v>
      </c>
      <c r="E146">
        <f>Levels!E146/Levels!$Q146</f>
        <v>0.21358268606745828</v>
      </c>
      <c r="F146">
        <f>Levels!F146/Levels!$Q146</f>
        <v>0.67083623099993872</v>
      </c>
      <c r="G146" s="6">
        <v>1.3</v>
      </c>
      <c r="H146" s="4">
        <v>2.8866758064516134</v>
      </c>
      <c r="I146" s="4">
        <v>3.0694715437788016</v>
      </c>
      <c r="J146">
        <v>3.1538817268239701</v>
      </c>
      <c r="K146">
        <v>0.79920564128500904</v>
      </c>
      <c r="L146">
        <v>1.4435</v>
      </c>
      <c r="M146">
        <v>-4.8845917378238797</v>
      </c>
      <c r="N146" s="6">
        <v>2.4784099999999998</v>
      </c>
      <c r="O146">
        <v>0.77333290675575606</v>
      </c>
      <c r="P146">
        <v>0.73196210699521702</v>
      </c>
      <c r="Q146" s="1">
        <v>15478.956</v>
      </c>
      <c r="R146">
        <v>-0.44205258600000003</v>
      </c>
      <c r="S146">
        <v>0.27277616199999999</v>
      </c>
      <c r="T146">
        <v>-9.5231854000000005E-2</v>
      </c>
    </row>
    <row r="147" spans="1:20" x14ac:dyDescent="0.35">
      <c r="A147" t="s">
        <v>146</v>
      </c>
      <c r="B147">
        <f>Levels!B147/(Levels!$R147*1000)</f>
        <v>23.632640951860559</v>
      </c>
      <c r="C147">
        <f>Levels!C147/(Levels!$R147*1000)</f>
        <v>2629.5284383653575</v>
      </c>
      <c r="D147">
        <f>Levels!D147/EXP(Levels!$J147)</f>
        <v>252925.84554406218</v>
      </c>
      <c r="E147">
        <f>Levels!E147/Levels!$Q147</f>
        <v>0.21377681632278903</v>
      </c>
      <c r="F147">
        <f>Levels!F147/Levels!$Q147</f>
        <v>0.66985349153804352</v>
      </c>
      <c r="G147" s="6">
        <v>1.5</v>
      </c>
      <c r="H147" s="4">
        <v>2.6945699999999997</v>
      </c>
      <c r="I147" s="4">
        <v>3.2587201785714286</v>
      </c>
      <c r="J147">
        <v>3.17674143672948</v>
      </c>
      <c r="K147">
        <v>-0.40987300972548901</v>
      </c>
      <c r="L147">
        <v>1.4481999999999999</v>
      </c>
      <c r="M147">
        <v>-7.0787306800753402</v>
      </c>
      <c r="N147" s="6">
        <v>2.0915499999999998</v>
      </c>
      <c r="O147">
        <v>0.74849075167825496</v>
      </c>
      <c r="P147">
        <v>0.78489141819516095</v>
      </c>
      <c r="Q147" s="1">
        <v>15577.779</v>
      </c>
      <c r="R147">
        <v>-0.55798038699999997</v>
      </c>
      <c r="S147">
        <v>0.58176146900000003</v>
      </c>
      <c r="T147">
        <v>1.114327192</v>
      </c>
    </row>
    <row r="148" spans="1:20" x14ac:dyDescent="0.35">
      <c r="A148" t="s">
        <v>147</v>
      </c>
      <c r="B148">
        <f>Levels!B148/(Levels!$R148*1000)</f>
        <v>24.16362666871197</v>
      </c>
      <c r="C148">
        <f>Levels!C148/(Levels!$R148*1000)</f>
        <v>2763.4468103538529</v>
      </c>
      <c r="D148">
        <f>Levels!D148/EXP(Levels!$J148)</f>
        <v>263069.46285208018</v>
      </c>
      <c r="E148">
        <f>Levels!E148/Levels!$Q148</f>
        <v>0.2116084472522119</v>
      </c>
      <c r="F148">
        <f>Levels!F148/Levels!$Q148</f>
        <v>0.67056687261895864</v>
      </c>
      <c r="G148" s="6">
        <v>0.7</v>
      </c>
      <c r="H148" s="4">
        <v>2.0068506349206352</v>
      </c>
      <c r="I148" s="4">
        <v>3.160954126984127</v>
      </c>
      <c r="J148">
        <v>3.1751436645684601</v>
      </c>
      <c r="K148">
        <v>0.25402028534335602</v>
      </c>
      <c r="L148">
        <v>2.2349999999999999</v>
      </c>
      <c r="M148">
        <v>-5.6940959901840102</v>
      </c>
      <c r="N148" s="6">
        <v>2.0429300000000001</v>
      </c>
      <c r="O148">
        <v>0.78006584586393501</v>
      </c>
      <c r="P148">
        <v>0.84998346739880604</v>
      </c>
      <c r="Q148" s="1">
        <v>15671.605</v>
      </c>
      <c r="R148">
        <v>1.2648060779999999</v>
      </c>
      <c r="S148">
        <v>-1.108663468</v>
      </c>
      <c r="T148">
        <v>-0.21925197399999999</v>
      </c>
    </row>
    <row r="149" spans="1:20" x14ac:dyDescent="0.35">
      <c r="A149" t="s">
        <v>148</v>
      </c>
      <c r="B149">
        <f>Levels!B149/(Levels!$R149*1000)</f>
        <v>24.65582644479781</v>
      </c>
      <c r="C149">
        <f>Levels!C149/(Levels!$R149*1000)</f>
        <v>2857.6047598557889</v>
      </c>
      <c r="D149">
        <f>Levels!D149/EXP(Levels!$J149)</f>
        <v>273301.45973777556</v>
      </c>
      <c r="E149">
        <f>Levels!E149/Levels!$Q149</f>
        <v>0.20914590376723852</v>
      </c>
      <c r="F149">
        <f>Levels!F149/Levels!$Q149</f>
        <v>0.67250802959942546</v>
      </c>
      <c r="G149" s="6">
        <v>-0.1</v>
      </c>
      <c r="H149" s="4">
        <v>1.2611764516129034</v>
      </c>
      <c r="I149" s="4">
        <v>2.6936493317972348</v>
      </c>
      <c r="J149">
        <v>3.1676964265542198</v>
      </c>
      <c r="K149">
        <v>0.42531233358666898</v>
      </c>
      <c r="L149">
        <v>2.6259000000000001</v>
      </c>
      <c r="M149">
        <v>-4.9777027447665203</v>
      </c>
      <c r="N149" s="6">
        <v>2.3080699999999998</v>
      </c>
      <c r="O149">
        <v>0.82503678395514402</v>
      </c>
      <c r="P149">
        <v>0.92715120588130595</v>
      </c>
      <c r="Q149" s="1">
        <v>15767.146000000001</v>
      </c>
      <c r="R149">
        <v>1.2672689150000001</v>
      </c>
      <c r="S149">
        <v>-0.72412404799999996</v>
      </c>
      <c r="T149">
        <v>1.0950355810000001</v>
      </c>
    </row>
    <row r="150" spans="1:20" x14ac:dyDescent="0.35">
      <c r="A150" t="s">
        <v>149</v>
      </c>
      <c r="B150">
        <f>Levels!B150/(Levels!$R150*1000)</f>
        <v>24.949739042765383</v>
      </c>
      <c r="C150">
        <f>Levels!C150/(Levels!$R150*1000)</f>
        <v>2854.6093591057406</v>
      </c>
      <c r="D150">
        <f>Levels!D150/EXP(Levels!$J150)</f>
        <v>282377.20295884425</v>
      </c>
      <c r="E150">
        <f>Levels!E150/Levels!$Q150</f>
        <v>0.20724106735402986</v>
      </c>
      <c r="F150">
        <f>Levels!F150/Levels!$Q150</f>
        <v>0.67593448470343531</v>
      </c>
      <c r="G150" s="6">
        <v>-0.5</v>
      </c>
      <c r="H150" s="4">
        <v>-9.0749344262294862E-2</v>
      </c>
      <c r="I150" s="4">
        <v>2.098882806401249</v>
      </c>
      <c r="J150">
        <v>3.1303174302730699</v>
      </c>
      <c r="K150">
        <v>1.38189442001429</v>
      </c>
      <c r="L150">
        <v>3.5737000000000001</v>
      </c>
      <c r="M150">
        <v>-2.6664157743804102</v>
      </c>
      <c r="N150" s="6">
        <v>2.1446299999999998</v>
      </c>
      <c r="O150">
        <v>0.853202561396045</v>
      </c>
      <c r="P150">
        <v>0.99395178130416695</v>
      </c>
      <c r="Q150" s="1">
        <v>15702.906000000001</v>
      </c>
      <c r="R150">
        <v>0.106650221</v>
      </c>
      <c r="S150">
        <v>1.9567424999999999E-2</v>
      </c>
      <c r="T150">
        <v>1.1452982540000001</v>
      </c>
    </row>
    <row r="151" spans="1:20" x14ac:dyDescent="0.35">
      <c r="A151" t="s">
        <v>150</v>
      </c>
      <c r="B151">
        <f>Levels!B151/(Levels!$R151*1000)</f>
        <v>25.06284048519419</v>
      </c>
      <c r="C151">
        <f>Levels!C151/(Levels!$R151*1000)</f>
        <v>2680.2325899160196</v>
      </c>
      <c r="D151">
        <f>Levels!D151/EXP(Levels!$J151)</f>
        <v>282775.05319613393</v>
      </c>
      <c r="E151">
        <f>Levels!E151/Levels!$Q151</f>
        <v>0.20543979198586595</v>
      </c>
      <c r="F151">
        <f>Levels!F151/Levels!$Q151</f>
        <v>0.67688544534051465</v>
      </c>
      <c r="G151" s="6">
        <v>-1.6</v>
      </c>
      <c r="H151" s="4">
        <v>-0.54614375000000015</v>
      </c>
      <c r="I151" s="4">
        <v>2.3169803571428567</v>
      </c>
      <c r="J151">
        <v>3.12773857803327</v>
      </c>
      <c r="K151">
        <v>0.73333982598384806</v>
      </c>
      <c r="L151">
        <v>3.2801999999999998</v>
      </c>
      <c r="M151">
        <v>-3.68930423565849</v>
      </c>
      <c r="N151" s="6">
        <v>2.1491099999999999</v>
      </c>
      <c r="O151">
        <v>0.91840631021671304</v>
      </c>
      <c r="P151">
        <v>1.0952449104214399</v>
      </c>
      <c r="Q151" s="1">
        <v>15792.772999999999</v>
      </c>
      <c r="R151">
        <v>3.257049715</v>
      </c>
      <c r="S151">
        <v>-2.358565714</v>
      </c>
      <c r="T151">
        <v>4.1027953410000002</v>
      </c>
    </row>
    <row r="152" spans="1:20" x14ac:dyDescent="0.35">
      <c r="A152" t="s">
        <v>151</v>
      </c>
      <c r="B152">
        <f>Levels!B152/(Levels!$R152*1000)</f>
        <v>25.277008107894925</v>
      </c>
      <c r="C152">
        <f>Levels!C152/(Levels!$R152*1000)</f>
        <v>2950.7469837566359</v>
      </c>
      <c r="D152">
        <f>Levels!D152/EXP(Levels!$J152)</f>
        <v>290080.94844780641</v>
      </c>
      <c r="E152">
        <f>Levels!E152/Levels!$Q152</f>
        <v>0.20258674302950011</v>
      </c>
      <c r="F152">
        <f>Levels!F152/Levels!$Q152</f>
        <v>0.67878310454149593</v>
      </c>
      <c r="G152" s="6">
        <v>-2.2999999999999998</v>
      </c>
      <c r="H152" s="4">
        <v>0.10929374999999997</v>
      </c>
      <c r="I152" s="4">
        <v>2.3002308333333334</v>
      </c>
      <c r="J152">
        <v>3.0597384362357198</v>
      </c>
      <c r="K152">
        <v>1.8709350921163999</v>
      </c>
      <c r="L152">
        <v>4.1303999999999998</v>
      </c>
      <c r="M152">
        <v>-1.18143501180457</v>
      </c>
      <c r="N152" s="6">
        <v>2.1688000000000001</v>
      </c>
      <c r="O152">
        <v>1.0630212749210299</v>
      </c>
      <c r="P152">
        <v>1.25834720443848</v>
      </c>
      <c r="Q152" s="1">
        <v>15709.562</v>
      </c>
      <c r="R152">
        <v>1.529706287</v>
      </c>
      <c r="S152">
        <v>-8.9944368879999992</v>
      </c>
      <c r="T152">
        <v>6.4248306949999998</v>
      </c>
    </row>
    <row r="153" spans="1:20" x14ac:dyDescent="0.35">
      <c r="A153" t="s">
        <v>152</v>
      </c>
      <c r="B153">
        <f>Levels!B153/(Levels!$R153*1000)</f>
        <v>24.999276006871266</v>
      </c>
      <c r="C153">
        <f>Levels!C153/(Levels!$R153*1000)</f>
        <v>3235.0742358649259</v>
      </c>
      <c r="D153">
        <f>Levels!D153/EXP(Levels!$J153)</f>
        <v>332176.32289839111</v>
      </c>
      <c r="E153">
        <f>Levels!E153/Levels!$Q153</f>
        <v>0.19597943775096222</v>
      </c>
      <c r="F153">
        <f>Levels!F153/Levels!$Q153</f>
        <v>0.67306059071964675</v>
      </c>
      <c r="G153" s="6">
        <v>-4.7</v>
      </c>
      <c r="H153" s="4">
        <v>-0.54474322580645174</v>
      </c>
      <c r="I153" s="4">
        <v>1.6827007526881719</v>
      </c>
      <c r="J153">
        <v>2.9446285980965299</v>
      </c>
      <c r="K153">
        <v>1.20158610947468</v>
      </c>
      <c r="L153">
        <v>7.6555</v>
      </c>
      <c r="M153">
        <v>0.31366459875939401</v>
      </c>
      <c r="N153" s="6">
        <v>1.3868</v>
      </c>
      <c r="O153">
        <v>1.1972307047594</v>
      </c>
      <c r="P153">
        <v>1.3933090022393899</v>
      </c>
      <c r="Q153" s="1">
        <v>15366.607</v>
      </c>
      <c r="R153">
        <v>0.89722970800000001</v>
      </c>
      <c r="S153">
        <v>2.6306926160000002</v>
      </c>
      <c r="T153">
        <v>-2.0537180949999998</v>
      </c>
    </row>
    <row r="154" spans="1:20" x14ac:dyDescent="0.35">
      <c r="A154" t="s">
        <v>153</v>
      </c>
      <c r="B154">
        <f>Levels!B154/(Levels!$R154*1000)</f>
        <v>24.875685509448246</v>
      </c>
      <c r="C154">
        <f>Levels!C154/(Levels!$R154*1000)</f>
        <v>3272.5041886428849</v>
      </c>
      <c r="D154">
        <f>Levels!D154/EXP(Levels!$J154)</f>
        <v>354622.92693884781</v>
      </c>
      <c r="E154">
        <f>Levels!E154/Levels!$Q154</f>
        <v>0.18572896416290396</v>
      </c>
      <c r="F154">
        <f>Levels!F154/Levels!$Q154</f>
        <v>0.67234636971924677</v>
      </c>
      <c r="G154" s="6">
        <v>-6.8</v>
      </c>
      <c r="H154" s="4">
        <v>-0.61171672131147548</v>
      </c>
      <c r="I154" s="4">
        <v>1.1765230796252923</v>
      </c>
      <c r="J154">
        <v>2.90746587153687</v>
      </c>
      <c r="K154">
        <v>1.15610705306581</v>
      </c>
      <c r="L154">
        <v>6.3636999999999997</v>
      </c>
      <c r="M154">
        <v>0.66955933759108199</v>
      </c>
      <c r="N154" s="6">
        <v>0.85184000000000004</v>
      </c>
      <c r="O154">
        <v>1.1204241779467301</v>
      </c>
      <c r="P154">
        <v>1.3421580254559</v>
      </c>
      <c r="Q154" s="1">
        <v>15187.475</v>
      </c>
      <c r="R154">
        <v>-2.8895224690000001</v>
      </c>
      <c r="S154">
        <v>2.893567054</v>
      </c>
      <c r="T154">
        <v>0.99340765200000003</v>
      </c>
    </row>
    <row r="155" spans="1:20" x14ac:dyDescent="0.35">
      <c r="A155" t="s">
        <v>154</v>
      </c>
      <c r="B155">
        <f>Levels!B155/(Levels!$R155*1000)</f>
        <v>24.745205966755769</v>
      </c>
      <c r="C155">
        <f>Levels!C155/(Levels!$R155*1000)</f>
        <v>3459.9489821204761</v>
      </c>
      <c r="D155">
        <f>Levels!D155/EXP(Levels!$J155)</f>
        <v>351709.33464199892</v>
      </c>
      <c r="E155">
        <f>Levels!E155/Levels!$Q155</f>
        <v>0.18154645776232486</v>
      </c>
      <c r="F155">
        <f>Levels!F155/Levels!$Q155</f>
        <v>0.67140675093551383</v>
      </c>
      <c r="G155" s="6">
        <v>-8.5</v>
      </c>
      <c r="H155" s="4">
        <v>-0.49669253968253968</v>
      </c>
      <c r="I155" s="4">
        <v>1.739461269841269</v>
      </c>
      <c r="J155">
        <v>2.9554340378322799</v>
      </c>
      <c r="K155">
        <v>-0.76093273284104601</v>
      </c>
      <c r="L155">
        <v>4.8548</v>
      </c>
      <c r="M155">
        <v>-2.6128660793670102</v>
      </c>
      <c r="N155" s="6">
        <v>0.82352000000000003</v>
      </c>
      <c r="O155">
        <v>1.01625569520356</v>
      </c>
      <c r="P155">
        <v>1.21787166521074</v>
      </c>
      <c r="Q155" s="1">
        <v>15161.772000000001</v>
      </c>
      <c r="R155">
        <v>-1.4617979539999999</v>
      </c>
      <c r="S155">
        <v>-1.4446123040000001</v>
      </c>
      <c r="T155">
        <v>-2.0724753100000002</v>
      </c>
    </row>
    <row r="156" spans="1:20" x14ac:dyDescent="0.35">
      <c r="A156" t="s">
        <v>155</v>
      </c>
      <c r="B156">
        <f>Levels!B156/(Levels!$R156*1000)</f>
        <v>24.557855586898452</v>
      </c>
      <c r="C156">
        <f>Levels!C156/(Levels!$R156*1000)</f>
        <v>3577.3090394649807</v>
      </c>
      <c r="D156">
        <f>Levels!D156/EXP(Levels!$J156)</f>
        <v>341976.60968256422</v>
      </c>
      <c r="E156">
        <f>Levels!E156/Levels!$Q156</f>
        <v>0.18155800026116134</v>
      </c>
      <c r="F156">
        <f>Levels!F156/Levels!$Q156</f>
        <v>0.67672764418364628</v>
      </c>
      <c r="G156" s="6">
        <v>-8.5</v>
      </c>
      <c r="H156" s="4">
        <v>-1.2146762499999999</v>
      </c>
      <c r="I156" s="4">
        <v>1.9179455952380948</v>
      </c>
      <c r="J156">
        <v>3.0171891550935301</v>
      </c>
      <c r="K156">
        <v>-0.95234640236603696</v>
      </c>
      <c r="L156">
        <v>3.2679</v>
      </c>
      <c r="M156">
        <v>-3.3793939911041901</v>
      </c>
      <c r="N156" s="6">
        <v>0.66700999999999999</v>
      </c>
      <c r="O156">
        <v>0.94372588060304696</v>
      </c>
      <c r="P156">
        <v>1.1046224249385499</v>
      </c>
      <c r="Q156" s="1">
        <v>15216.647000000001</v>
      </c>
      <c r="R156">
        <v>1.5699967210000001</v>
      </c>
      <c r="S156">
        <v>3.9122566559999998</v>
      </c>
      <c r="T156">
        <v>-0.72521951900000003</v>
      </c>
    </row>
    <row r="157" spans="1:20" x14ac:dyDescent="0.35">
      <c r="A157" t="s">
        <v>156</v>
      </c>
      <c r="B157">
        <f>Levels!B157/(Levels!$R157*1000)</f>
        <v>24.343229808919901</v>
      </c>
      <c r="C157">
        <f>Levels!C157/(Levels!$R157*1000)</f>
        <v>3644.9319075721965</v>
      </c>
      <c r="D157">
        <f>Levels!D157/EXP(Levels!$J157)</f>
        <v>336175.79478146299</v>
      </c>
      <c r="E157">
        <f>Levels!E157/Levels!$Q157</f>
        <v>0.17994532209344402</v>
      </c>
      <c r="F157">
        <f>Levels!F157/Levels!$Q157</f>
        <v>0.67287398864657699</v>
      </c>
      <c r="G157" s="6">
        <v>-6</v>
      </c>
      <c r="H157" s="4">
        <v>-1.661556129032258</v>
      </c>
      <c r="I157" s="4">
        <v>1.8396184485407063</v>
      </c>
      <c r="J157">
        <v>3.04106423346864</v>
      </c>
      <c r="K157">
        <v>0.29393294536896902</v>
      </c>
      <c r="L157">
        <v>2.6856</v>
      </c>
      <c r="M157">
        <v>-2.62648540962517</v>
      </c>
      <c r="N157" s="6">
        <v>1.37452</v>
      </c>
      <c r="O157">
        <v>0.874515517066346</v>
      </c>
      <c r="P157">
        <v>1.05158792263747</v>
      </c>
      <c r="Q157" s="1">
        <v>15379.155000000001</v>
      </c>
      <c r="R157">
        <v>-0.226162433</v>
      </c>
      <c r="S157">
        <v>-0.40575211999999999</v>
      </c>
      <c r="T157">
        <v>-0.40133716200000003</v>
      </c>
    </row>
    <row r="158" spans="1:20" x14ac:dyDescent="0.35">
      <c r="A158" t="s">
        <v>157</v>
      </c>
      <c r="B158">
        <f>Levels!B158/(Levels!$R158*1000)</f>
        <v>24.202179430603987</v>
      </c>
      <c r="C158">
        <f>Levels!C158/(Levels!$R158*1000)</f>
        <v>3805.1315479634331</v>
      </c>
      <c r="D158">
        <f>Levels!D158/EXP(Levels!$J158)</f>
        <v>339410.17128588201</v>
      </c>
      <c r="E158">
        <f>Levels!E158/Levels!$Q158</f>
        <v>0.17839275846449601</v>
      </c>
      <c r="F158">
        <f>Levels!F158/Levels!$Q158</f>
        <v>0.6736909996264242</v>
      </c>
      <c r="G158" s="6">
        <v>-3.2</v>
      </c>
      <c r="H158" s="4">
        <v>-1.4883339344262296</v>
      </c>
      <c r="I158" s="4">
        <v>2.1040702810304452</v>
      </c>
      <c r="J158">
        <v>3.0497223371906701</v>
      </c>
      <c r="K158">
        <v>-0.143765879149231</v>
      </c>
      <c r="L158">
        <v>2.2808999999999999</v>
      </c>
      <c r="M158">
        <v>-4.0770590839303802</v>
      </c>
      <c r="N158" s="6">
        <v>1.72204</v>
      </c>
      <c r="O158">
        <v>0.85467470015616498</v>
      </c>
      <c r="P158">
        <v>1.04223400481838</v>
      </c>
      <c r="Q158" s="1">
        <v>15456.058999999999</v>
      </c>
      <c r="R158">
        <v>1.6073191739999999</v>
      </c>
      <c r="S158">
        <v>2.1623357740000002</v>
      </c>
      <c r="T158">
        <v>0.25509826099999999</v>
      </c>
    </row>
    <row r="159" spans="1:20" x14ac:dyDescent="0.35">
      <c r="A159" t="s">
        <v>158</v>
      </c>
      <c r="B159">
        <f>Levels!B159/(Levels!$R159*1000)</f>
        <v>24.057291546259194</v>
      </c>
      <c r="C159">
        <f>Levels!C159/(Levels!$R159*1000)</f>
        <v>3870.0413133882453</v>
      </c>
      <c r="D159">
        <f>Levels!D159/EXP(Levels!$J159)</f>
        <v>338482.37564087712</v>
      </c>
      <c r="E159">
        <f>Levels!E159/Levels!$Q159</f>
        <v>0.18234613820091061</v>
      </c>
      <c r="F159">
        <f>Levels!F159/Levels!$Q159</f>
        <v>0.67136504991668811</v>
      </c>
      <c r="G159" s="6">
        <v>-0.1</v>
      </c>
      <c r="H159" s="4">
        <v>-1.2467987500000002</v>
      </c>
      <c r="I159" s="4">
        <v>1.8884528571428574</v>
      </c>
      <c r="J159">
        <v>3.0493755101994799</v>
      </c>
      <c r="K159">
        <v>0.31631503045871395</v>
      </c>
      <c r="L159">
        <v>2.3883000000000001</v>
      </c>
      <c r="M159">
        <v>-2.3149407131872701</v>
      </c>
      <c r="N159" s="6">
        <v>1.5981700000000001</v>
      </c>
      <c r="O159">
        <v>0.80457871550753801</v>
      </c>
      <c r="P159">
        <v>1.08610246724661</v>
      </c>
      <c r="Q159" s="1">
        <v>15605.628000000001</v>
      </c>
      <c r="R159">
        <v>0.18932289399999999</v>
      </c>
      <c r="S159">
        <v>4.1456408050000002</v>
      </c>
      <c r="T159">
        <v>0.86377692800000005</v>
      </c>
    </row>
    <row r="160" spans="1:20" x14ac:dyDescent="0.35">
      <c r="A160" t="s">
        <v>159</v>
      </c>
      <c r="B160">
        <f>Levels!B160/(Levels!$R160*1000)</f>
        <v>24.040903388650889</v>
      </c>
      <c r="C160">
        <f>Levels!C160/(Levels!$R160*1000)</f>
        <v>3976.0388281856931</v>
      </c>
      <c r="D160">
        <f>Levels!D160/EXP(Levels!$J160)</f>
        <v>350068.14699059492</v>
      </c>
      <c r="E160">
        <f>Levels!E160/Levels!$Q160</f>
        <v>0.18163250538175521</v>
      </c>
      <c r="F160">
        <f>Levels!F160/Levels!$Q160</f>
        <v>0.66958451560023879</v>
      </c>
      <c r="G160" s="6">
        <v>1.4</v>
      </c>
      <c r="H160" s="4">
        <v>-0.93048624999999996</v>
      </c>
      <c r="I160" s="4">
        <v>1.1854426785714283</v>
      </c>
      <c r="J160">
        <v>3.0517123900887801</v>
      </c>
      <c r="K160">
        <v>-0.71723057148561598</v>
      </c>
      <c r="L160">
        <v>2.5011999999999999</v>
      </c>
      <c r="M160">
        <v>-2.1674698365396301</v>
      </c>
      <c r="N160" s="6">
        <v>1.3950800000000001</v>
      </c>
      <c r="O160">
        <v>0.75654171889618205</v>
      </c>
      <c r="P160">
        <v>1.0855742190692099</v>
      </c>
      <c r="Q160" s="1">
        <v>15726.281999999999</v>
      </c>
      <c r="R160">
        <v>1.9147688999999999E-2</v>
      </c>
      <c r="S160">
        <v>0.60358028900000005</v>
      </c>
      <c r="T160">
        <v>-0.48659861999999998</v>
      </c>
    </row>
    <row r="161" spans="1:20" x14ac:dyDescent="0.35">
      <c r="A161" t="s">
        <v>171</v>
      </c>
      <c r="B161">
        <f>Levels!B161/(Levels!$R161*1000)</f>
        <v>23.996035734578495</v>
      </c>
      <c r="C161">
        <f>Levels!C161/(Levels!$R161*1000)</f>
        <v>4306.8391313778693</v>
      </c>
      <c r="D161">
        <f>Levels!D161/EXP(Levels!$J161)</f>
        <v>335925.19115822029</v>
      </c>
      <c r="E161">
        <f>Levels!E161/Levels!$Q161</f>
        <v>0.18294603458566377</v>
      </c>
      <c r="F161">
        <f>Levels!F161/Levels!$Q161</f>
        <v>0.67215782006430802</v>
      </c>
      <c r="G161" s="6">
        <v>2</v>
      </c>
      <c r="H161" s="4">
        <v>-1.0445738709677421</v>
      </c>
      <c r="I161" s="4">
        <v>1.2714216205837172</v>
      </c>
      <c r="J161">
        <v>3.0863682779670398</v>
      </c>
      <c r="K161">
        <v>-0.35392614666830402</v>
      </c>
      <c r="M161">
        <v>-2.4165292454657799</v>
      </c>
      <c r="N161" s="6">
        <v>1.0853299999999999</v>
      </c>
      <c r="O161">
        <v>0.74815231358801304</v>
      </c>
      <c r="P161">
        <v>0.99033145495145902</v>
      </c>
      <c r="Q161" s="1">
        <v>15807.995000000001</v>
      </c>
      <c r="R161">
        <v>1.1490886789999999</v>
      </c>
      <c r="S161">
        <v>-2.1975646659999999</v>
      </c>
      <c r="T161">
        <v>-2.6184162710000001</v>
      </c>
    </row>
    <row r="162" spans="1:20" x14ac:dyDescent="0.35">
      <c r="A162" t="s">
        <v>172</v>
      </c>
      <c r="B162">
        <f>Levels!B162/(Levels!$R162*1000)</f>
        <v>23.964220129606502</v>
      </c>
      <c r="C162">
        <f>Levels!C162/(Levels!$R162*1000)</f>
        <v>4590.1814414274249</v>
      </c>
      <c r="D162">
        <f>Levels!D162/EXP(Levels!$J162)</f>
        <v>333646.64615426399</v>
      </c>
      <c r="E162">
        <f>Levels!E162/Levels!$Q162</f>
        <v>0.18231466239727034</v>
      </c>
      <c r="F162">
        <f>Levels!F162/Levels!$Q162</f>
        <v>0.68019543592192344</v>
      </c>
      <c r="G162" s="6">
        <v>1.9</v>
      </c>
      <c r="H162" s="4">
        <v>-1.3748058064516129</v>
      </c>
      <c r="I162" s="4">
        <v>1.7934176881720427</v>
      </c>
      <c r="J162">
        <v>3.1148270096988599</v>
      </c>
      <c r="K162">
        <v>-0.33205916234370403</v>
      </c>
      <c r="M162">
        <v>-3.9249335795389801</v>
      </c>
      <c r="N162" s="6">
        <v>1.1840900000000001</v>
      </c>
      <c r="O162">
        <v>0.75664863915027203</v>
      </c>
      <c r="P162">
        <v>0.92122099808387303</v>
      </c>
      <c r="Q162" s="1">
        <v>15769.911</v>
      </c>
      <c r="R162">
        <v>-1.0833278340000001</v>
      </c>
      <c r="S162">
        <v>0.34972921400000001</v>
      </c>
      <c r="T162">
        <v>-1.0523798900000001</v>
      </c>
    </row>
    <row r="163" spans="1:20" x14ac:dyDescent="0.35">
      <c r="A163" t="s">
        <v>173</v>
      </c>
      <c r="B163">
        <f>Levels!B163/(Levels!$R163*1000)</f>
        <v>23.939169865891074</v>
      </c>
      <c r="C163">
        <f>Levels!C163/(Levels!$R163*1000)</f>
        <v>4654.3399812610714</v>
      </c>
      <c r="D163">
        <f>Levels!D163/EXP(Levels!$J163)</f>
        <v>334718.06641351513</v>
      </c>
      <c r="E163">
        <f>Levels!E163/Levels!$Q163</f>
        <v>0.18388502900356929</v>
      </c>
      <c r="F163">
        <f>Levels!F163/Levels!$Q163</f>
        <v>0.6809468043633784</v>
      </c>
      <c r="G163" s="6">
        <v>2.2000000000000002</v>
      </c>
      <c r="H163" s="4">
        <v>-1.7628519047619047</v>
      </c>
      <c r="I163" s="4">
        <v>1.4730154761904759</v>
      </c>
      <c r="J163">
        <v>3.1207139252695</v>
      </c>
      <c r="K163">
        <v>0.23406256231000799</v>
      </c>
      <c r="M163">
        <v>-3.2850058120846501</v>
      </c>
      <c r="N163" s="6">
        <v>1.5015799999999999</v>
      </c>
      <c r="O163">
        <v>0.75238606470499803</v>
      </c>
      <c r="P163">
        <v>0.93018128720699</v>
      </c>
      <c r="Q163" s="1">
        <v>15876.839</v>
      </c>
      <c r="R163">
        <v>8.1994043000000003E-2</v>
      </c>
      <c r="S163">
        <v>0.39988548000000002</v>
      </c>
      <c r="T163">
        <v>2.3896843259999998</v>
      </c>
    </row>
    <row r="164" spans="1:20" x14ac:dyDescent="0.35">
      <c r="A164" t="s">
        <v>174</v>
      </c>
      <c r="B164">
        <f>Levels!B164/(Levels!$R164*1000)</f>
        <v>23.943621043302809</v>
      </c>
      <c r="C164">
        <f>Levels!C164/(Levels!$R164*1000)</f>
        <v>5013.7920141072291</v>
      </c>
      <c r="D164">
        <f>Levels!D164/EXP(Levels!$J164)</f>
        <v>348669.65539185837</v>
      </c>
      <c r="E164">
        <f>Levels!E164/Levels!$Q164</f>
        <v>0.18959163952857988</v>
      </c>
      <c r="F164">
        <f>Levels!F164/Levels!$Q164</f>
        <v>0.68387733404424711</v>
      </c>
      <c r="G164" s="6">
        <v>2.1</v>
      </c>
      <c r="H164" s="4">
        <v>-1.82447</v>
      </c>
      <c r="I164" s="4">
        <v>0.60908898809523726</v>
      </c>
      <c r="J164">
        <v>3.0750806911844002</v>
      </c>
      <c r="K164">
        <v>0.59824903288347309</v>
      </c>
      <c r="M164">
        <v>-1.13419927659359</v>
      </c>
      <c r="N164" s="6">
        <v>1.80809</v>
      </c>
      <c r="O164">
        <v>0.75982319564826295</v>
      </c>
      <c r="P164">
        <v>1.044697822252</v>
      </c>
      <c r="Q164" s="1">
        <v>15870.683999999999</v>
      </c>
      <c r="R164">
        <v>0.64616230399999997</v>
      </c>
      <c r="S164">
        <v>2.9440564949999999</v>
      </c>
      <c r="T164">
        <v>3.380963371</v>
      </c>
    </row>
    <row r="165" spans="1:20" x14ac:dyDescent="0.35">
      <c r="A165" t="s">
        <v>175</v>
      </c>
      <c r="B165">
        <f>Levels!B165/(Levels!$R165*1000)</f>
        <v>24.026772673771507</v>
      </c>
      <c r="C165">
        <f>Levels!C165/(Levels!$R165*1000)</f>
        <v>5341.3054659426371</v>
      </c>
      <c r="D165">
        <f>Levels!D165/EXP(Levels!$J165)</f>
        <v>348677.58814094099</v>
      </c>
      <c r="E165">
        <f>Levels!E165/Levels!$Q165</f>
        <v>0.19112025383735085</v>
      </c>
      <c r="F165">
        <f>Levels!F165/Levels!$Q165</f>
        <v>0.67663694798209639</v>
      </c>
      <c r="G165" s="6">
        <v>2.4</v>
      </c>
      <c r="H165" s="4">
        <v>-2.0284459016393446</v>
      </c>
      <c r="I165" s="4">
        <v>0.15771512099921869</v>
      </c>
      <c r="J165">
        <v>3.0916110719835501</v>
      </c>
      <c r="K165">
        <v>0.15617172011273001</v>
      </c>
      <c r="M165">
        <v>-2.07676305901849E-2</v>
      </c>
      <c r="N165" s="6">
        <v>1.8494699999999999</v>
      </c>
      <c r="O165">
        <v>0.73770689326590699</v>
      </c>
      <c r="P165">
        <v>1.0180618726724</v>
      </c>
      <c r="Q165" s="1">
        <v>16048.701999999999</v>
      </c>
      <c r="R165">
        <v>-0.60875249099999995</v>
      </c>
      <c r="S165">
        <v>0.32447595899999998</v>
      </c>
      <c r="T165">
        <v>-4.6667843659999999</v>
      </c>
    </row>
    <row r="166" spans="1:20" x14ac:dyDescent="0.35">
      <c r="A166" t="s">
        <v>176</v>
      </c>
      <c r="B166">
        <f>Levels!B166/(Levels!$R166*1000)</f>
        <v>24.068553000000001</v>
      </c>
      <c r="C166">
        <f>Levels!C166/(Levels!$R166*1000)</f>
        <v>5735.451</v>
      </c>
      <c r="D166">
        <f>Levels!D166/EXP(Levels!$J166)</f>
        <v>369777.52615651465</v>
      </c>
      <c r="E166">
        <f>Levels!E166/Levels!$Q166</f>
        <v>0.19344599445437716</v>
      </c>
      <c r="F166">
        <f>Levels!F166/Levels!$Q166</f>
        <v>0.67733755715709687</v>
      </c>
      <c r="G166" s="6">
        <v>3.1</v>
      </c>
      <c r="H166" s="4">
        <v>-1.7991348387096775</v>
      </c>
      <c r="I166" s="4">
        <v>7.6403333333333157E-2</v>
      </c>
      <c r="J166">
        <v>3.1293494711016399</v>
      </c>
      <c r="K166">
        <v>-0.34792049740444503</v>
      </c>
      <c r="M166">
        <v>-0.39181073231373897</v>
      </c>
      <c r="N166" s="6">
        <v>2.0432000000000001</v>
      </c>
      <c r="O166">
        <v>0.71559723165546996</v>
      </c>
      <c r="P166">
        <v>0.912069944057188</v>
      </c>
      <c r="Q166" s="1">
        <v>16179.968000000001</v>
      </c>
      <c r="R166">
        <v>-0.83450165200000004</v>
      </c>
      <c r="S166">
        <v>0.10112816600000001</v>
      </c>
      <c r="T166">
        <v>-0.32687476599999998</v>
      </c>
    </row>
    <row r="167" spans="1:20" x14ac:dyDescent="0.35">
      <c r="A167" t="s">
        <v>177</v>
      </c>
      <c r="B167">
        <f>Levels!B167/(Levels!$R167*1000)</f>
        <v>24.133180463312812</v>
      </c>
      <c r="C167">
        <f>Levels!C167/(Levels!$R167*1000)</f>
        <v>5789.2431175959609</v>
      </c>
      <c r="D167">
        <f>Levels!D167/EXP(Levels!$J167)</f>
        <v>374552.9397469539</v>
      </c>
      <c r="E167">
        <f>Levels!E167/Levels!$Q167</f>
        <v>0.19547628648348075</v>
      </c>
      <c r="F167">
        <f>Levels!F167/Levels!$Q167</f>
        <v>0.6739273322158118</v>
      </c>
      <c r="G167" s="6">
        <v>2.2000000000000002</v>
      </c>
      <c r="H167" s="4">
        <v>-1.61220875</v>
      </c>
      <c r="I167" s="4">
        <v>-0.20694732142857175</v>
      </c>
      <c r="J167">
        <v>3.1311500475088399</v>
      </c>
      <c r="K167">
        <v>0.261244857703263</v>
      </c>
      <c r="M167">
        <v>0.37744621468580603</v>
      </c>
      <c r="N167" s="6">
        <v>1.86978</v>
      </c>
      <c r="O167">
        <v>0.70555584675247196</v>
      </c>
      <c r="P167">
        <v>0.88215007984380001</v>
      </c>
      <c r="Q167" s="1">
        <v>16253.726000000001</v>
      </c>
      <c r="R167">
        <v>-0.217619439</v>
      </c>
      <c r="S167">
        <v>-0.17054582800000001</v>
      </c>
      <c r="T167">
        <v>-0.90206171400000001</v>
      </c>
    </row>
    <row r="168" spans="1:20" x14ac:dyDescent="0.35">
      <c r="A168" t="s">
        <v>178</v>
      </c>
      <c r="B168">
        <f>Levels!B168/(Levels!$R168*1000)</f>
        <v>24.322303199086317</v>
      </c>
      <c r="C168">
        <f>Levels!C168/(Levels!$R168*1000)</f>
        <v>5910.0063356137071</v>
      </c>
      <c r="D168">
        <f>Levels!D168/EXP(Levels!$J168)</f>
        <v>368955.65238778677</v>
      </c>
      <c r="E168">
        <f>Levels!E168/Levels!$Q168</f>
        <v>0.19474982144558173</v>
      </c>
      <c r="F168">
        <f>Levels!F168/Levels!$Q168</f>
        <v>0.67321029855525749</v>
      </c>
      <c r="G168" s="6">
        <v>2.4</v>
      </c>
      <c r="H168" s="4">
        <v>-1.6856226984126983</v>
      </c>
      <c r="I168" s="4">
        <v>-0.46215587301587391</v>
      </c>
      <c r="J168">
        <v>3.1547647279225002</v>
      </c>
      <c r="K168">
        <v>-8.6295486303777896E-2</v>
      </c>
      <c r="M168">
        <v>2.3707248629870999E-2</v>
      </c>
      <c r="N168" s="6">
        <v>1.7004900000000001</v>
      </c>
      <c r="O168">
        <v>0.71137390567288095</v>
      </c>
      <c r="P168">
        <v>0.82532662331989004</v>
      </c>
      <c r="Q168" s="1">
        <v>16282.151</v>
      </c>
      <c r="R168">
        <v>-0.73819541499999997</v>
      </c>
      <c r="S168">
        <v>-1.173894478</v>
      </c>
      <c r="T168">
        <v>-1.116435316</v>
      </c>
    </row>
    <row r="169" spans="1:20" x14ac:dyDescent="0.35">
      <c r="A169" t="s">
        <v>179</v>
      </c>
      <c r="B169">
        <f>Levels!B169/(Levels!$R169*1000)</f>
        <v>24.51411374751272</v>
      </c>
      <c r="C169">
        <f>Levels!C169/(Levels!$R169*1000)</f>
        <v>5977.2402042976228</v>
      </c>
      <c r="D169">
        <f>Levels!D169/EXP(Levels!$J169)</f>
        <v>375241.91097713012</v>
      </c>
      <c r="E169">
        <f>Levels!E169/Levels!$Q169</f>
        <v>0.19682031357601379</v>
      </c>
      <c r="F169">
        <f>Levels!F169/Levels!$Q169</f>
        <v>0.67591529982717391</v>
      </c>
      <c r="G169" s="6">
        <v>2.1</v>
      </c>
      <c r="H169" s="4">
        <v>-1.4654278688524589</v>
      </c>
      <c r="I169" s="4">
        <v>-0.46660820062451269</v>
      </c>
      <c r="J169">
        <v>3.1487048947455198</v>
      </c>
      <c r="K169">
        <v>0.44689914601649899</v>
      </c>
      <c r="M169">
        <v>0.91764785255060699</v>
      </c>
      <c r="N169" s="6">
        <v>1.78721</v>
      </c>
      <c r="O169">
        <v>0.71528796146653395</v>
      </c>
      <c r="P169">
        <v>0.80250873881961504</v>
      </c>
      <c r="Q169" s="1">
        <v>16300.035</v>
      </c>
      <c r="R169">
        <v>1.2729780530000001</v>
      </c>
      <c r="S169">
        <v>-0.80718583099999996</v>
      </c>
      <c r="T169">
        <v>-0.16894062600000001</v>
      </c>
    </row>
    <row r="170" spans="1:20" x14ac:dyDescent="0.35">
      <c r="A170" t="s">
        <v>180</v>
      </c>
      <c r="B170">
        <f>Levels!B170/(Levels!$R170*1000)</f>
        <v>24.509098384291089</v>
      </c>
      <c r="C170">
        <f>Levels!C170/(Levels!$R170*1000)</f>
        <v>6103.3671648368481</v>
      </c>
      <c r="D170">
        <f>Levels!D170/EXP(Levels!$J170)</f>
        <v>370346.20515128475</v>
      </c>
      <c r="E170">
        <f>Levels!E170/Levels!$Q170</f>
        <v>0.19701559804360735</v>
      </c>
      <c r="F170">
        <f>Levels!F170/Levels!$Q170</f>
        <v>0.67347935478069787</v>
      </c>
      <c r="G170" s="6">
        <v>1.7</v>
      </c>
      <c r="H170" s="4">
        <v>-1.3592066666666667</v>
      </c>
      <c r="I170" s="4">
        <v>-0.28504690476190486</v>
      </c>
      <c r="J170">
        <v>3.1801946979789899</v>
      </c>
      <c r="K170">
        <v>-0.474012990427297</v>
      </c>
      <c r="M170">
        <v>0.17898354063196401</v>
      </c>
      <c r="N170" s="6">
        <v>1.5550999999999999</v>
      </c>
      <c r="O170">
        <v>0.71595231831453998</v>
      </c>
      <c r="P170">
        <v>0.809772130158813</v>
      </c>
      <c r="Q170" s="1">
        <v>16441.485000000001</v>
      </c>
      <c r="R170">
        <v>-1.1628730549999999</v>
      </c>
      <c r="S170">
        <v>1.925884699</v>
      </c>
      <c r="T170">
        <v>-0.22683251500000001</v>
      </c>
    </row>
    <row r="171" spans="1:20" x14ac:dyDescent="0.35">
      <c r="A171" t="s">
        <v>181</v>
      </c>
      <c r="B171">
        <f>Levels!B171/(Levels!$R171*1000)</f>
        <v>24.671405757396041</v>
      </c>
      <c r="C171">
        <f>Levels!C171/(Levels!$R171*1000)</f>
        <v>5903.3895571496878</v>
      </c>
      <c r="D171">
        <f>Levels!D171/EXP(Levels!$J171)</f>
        <v>347447.83241941896</v>
      </c>
      <c r="E171">
        <f>Levels!E171/Levels!$Q171</f>
        <v>0.19786640292189175</v>
      </c>
      <c r="F171">
        <f>Levels!F171/Levels!$Q171</f>
        <v>0.67162912143183806</v>
      </c>
      <c r="G171" s="6">
        <v>2</v>
      </c>
      <c r="H171" s="4">
        <v>-1.4936675000000001</v>
      </c>
      <c r="I171" s="4">
        <v>-0.26640536585365915</v>
      </c>
      <c r="J171">
        <v>3.2106132318619802</v>
      </c>
      <c r="K171">
        <v>-0.23323790687276297</v>
      </c>
      <c r="M171">
        <v>0.37915556275501</v>
      </c>
      <c r="N171" s="6">
        <v>1.44554</v>
      </c>
      <c r="O171">
        <v>0.68643444906954598</v>
      </c>
      <c r="P171">
        <v>0.817410851927591</v>
      </c>
      <c r="Q171" s="1">
        <v>16464.401999999998</v>
      </c>
      <c r="R171">
        <v>-2.616339354</v>
      </c>
      <c r="S171">
        <v>1.3218151659999999</v>
      </c>
      <c r="T171">
        <v>0.76916278299999996</v>
      </c>
    </row>
    <row r="172" spans="1:20" x14ac:dyDescent="0.35">
      <c r="A172" t="s">
        <v>182</v>
      </c>
      <c r="B172">
        <f>Levels!B172/(Levels!$R172*1000)</f>
        <v>24.925900622490197</v>
      </c>
      <c r="C172">
        <f>Levels!C172/(Levels!$R172*1000)</f>
        <v>5901.0627884348341</v>
      </c>
      <c r="D172">
        <f>Levels!D172/EXP(Levels!$J172)</f>
        <v>349835.90751590213</v>
      </c>
      <c r="E172">
        <f>Levels!E172/Levels!$Q172</f>
        <v>0.19921013540251875</v>
      </c>
      <c r="F172">
        <f>Levels!F172/Levels!$Q172</f>
        <v>0.66897682733391772</v>
      </c>
      <c r="G172" s="6">
        <v>2</v>
      </c>
      <c r="H172" s="4">
        <v>-1.5602624999999999</v>
      </c>
      <c r="I172" s="4">
        <v>0.43372924999999984</v>
      </c>
      <c r="J172">
        <v>3.2284782472843898</v>
      </c>
      <c r="K172">
        <v>-0.24630715273315701</v>
      </c>
      <c r="M172">
        <v>-0.50150809140455999</v>
      </c>
      <c r="N172" s="6">
        <v>1.5452300000000001</v>
      </c>
      <c r="O172">
        <v>0.67632809113370695</v>
      </c>
      <c r="P172">
        <v>0.84172166091746603</v>
      </c>
      <c r="Q172" s="1">
        <v>16594.742999999999</v>
      </c>
      <c r="R172">
        <v>-0.70887009300000003</v>
      </c>
      <c r="S172">
        <v>1.183553195</v>
      </c>
      <c r="T172">
        <v>3.0942278E-2</v>
      </c>
    </row>
    <row r="173" spans="1:20" x14ac:dyDescent="0.35">
      <c r="A173" t="s">
        <v>183</v>
      </c>
      <c r="B173">
        <f>Levels!B173/(Levels!$R173*1000)</f>
        <v>25.228798702230502</v>
      </c>
      <c r="C173">
        <f>Levels!C173/(Levels!$R173*1000)</f>
        <v>6257.5849684168388</v>
      </c>
      <c r="D173">
        <f>Levels!D173/EXP(Levels!$J173)</f>
        <v>340522.84114215785</v>
      </c>
      <c r="E173">
        <f>Levels!E173/Levels!$Q173</f>
        <v>0.19961813608284928</v>
      </c>
      <c r="F173">
        <f>Levels!F173/Levels!$Q173</f>
        <v>0.66971040979005347</v>
      </c>
      <c r="G173" s="6">
        <v>1.6</v>
      </c>
      <c r="H173" s="4">
        <v>-1.4750887096774195</v>
      </c>
      <c r="I173" s="4">
        <v>0.45270380479735239</v>
      </c>
      <c r="J173">
        <v>3.2542142155979601</v>
      </c>
      <c r="K173">
        <v>-1.2594556481645001</v>
      </c>
      <c r="M173">
        <v>-1.7458556123622</v>
      </c>
      <c r="N173" s="6">
        <v>1.5924499999999999</v>
      </c>
      <c r="O173">
        <v>0.67288638287505997</v>
      </c>
      <c r="P173">
        <v>0.82150993236291803</v>
      </c>
      <c r="Q173" s="1">
        <v>16712.759999999998</v>
      </c>
      <c r="R173">
        <v>-6.2481050000000003E-2</v>
      </c>
      <c r="S173">
        <v>-1.3005294489999999</v>
      </c>
      <c r="T173">
        <v>-0.37181786</v>
      </c>
    </row>
    <row r="174" spans="1:20" x14ac:dyDescent="0.35">
      <c r="A174" t="s">
        <v>184</v>
      </c>
      <c r="B174">
        <f>Levels!B174/(Levels!$R174*1000)</f>
        <v>25.360333058840972</v>
      </c>
      <c r="C174">
        <f>Levels!C174/(Levels!$R174*1000)</f>
        <v>6525.1855063195562</v>
      </c>
      <c r="D174">
        <f>Levels!D174/EXP(Levels!$J174)</f>
        <v>346879.17847912328</v>
      </c>
      <c r="E174">
        <f>Levels!E174/Levels!$Q174</f>
        <v>0.20105736392645071</v>
      </c>
      <c r="F174">
        <f>Levels!F174/Levels!$Q174</f>
        <v>0.67529067051898217</v>
      </c>
      <c r="G174" s="6">
        <v>1.7</v>
      </c>
      <c r="H174" s="4">
        <v>-1.677365737704918</v>
      </c>
      <c r="I174" s="4">
        <v>0.45552430974978364</v>
      </c>
      <c r="J174">
        <v>3.2634442400966401</v>
      </c>
      <c r="K174">
        <v>0.40243126004655</v>
      </c>
      <c r="M174">
        <v>-0.62577627561708105</v>
      </c>
      <c r="N174" s="6">
        <v>1.53525</v>
      </c>
      <c r="O174">
        <v>0.68000562257298203</v>
      </c>
      <c r="P174">
        <v>0.822618586838614</v>
      </c>
      <c r="Q174" s="1">
        <v>16654.246999999999</v>
      </c>
      <c r="R174">
        <v>-0.52100155299999995</v>
      </c>
      <c r="S174">
        <v>1.8241382079999999</v>
      </c>
      <c r="T174">
        <v>-0.79833556699999997</v>
      </c>
    </row>
    <row r="175" spans="1:20" x14ac:dyDescent="0.35">
      <c r="A175" t="s">
        <v>185</v>
      </c>
      <c r="B175">
        <f>Levels!B175/(Levels!$R175*1000)</f>
        <v>25.601298601489088</v>
      </c>
      <c r="C175">
        <f>Levels!C175/(Levels!$R175*1000)</f>
        <v>6622.7656813698059</v>
      </c>
      <c r="D175">
        <f>Levels!D175/EXP(Levels!$J175)</f>
        <v>353647.78127594391</v>
      </c>
      <c r="E175">
        <f>Levels!E175/Levels!$Q175</f>
        <v>0.20380518053327731</v>
      </c>
      <c r="F175">
        <f>Levels!F175/Levels!$Q175</f>
        <v>0.67338095365016304</v>
      </c>
      <c r="G175" s="6">
        <v>2.1</v>
      </c>
      <c r="H175" s="4">
        <v>-1.6919441269841271</v>
      </c>
      <c r="I175" s="4">
        <v>0.29013075933075871</v>
      </c>
      <c r="J175">
        <v>3.2828626386341599</v>
      </c>
      <c r="K175">
        <v>4.1536338618516896E-2</v>
      </c>
      <c r="M175">
        <v>-1.57947625827603</v>
      </c>
      <c r="N175" s="6">
        <v>1.72671</v>
      </c>
      <c r="O175">
        <v>0.66512900265762798</v>
      </c>
      <c r="P175">
        <v>0.82088490807357695</v>
      </c>
      <c r="Q175" s="1">
        <v>16868.109</v>
      </c>
      <c r="R175">
        <v>-0.370779054</v>
      </c>
      <c r="S175">
        <v>-0.10704255</v>
      </c>
      <c r="T175">
        <v>0.63173997299999995</v>
      </c>
    </row>
    <row r="176" spans="1:20" x14ac:dyDescent="0.35">
      <c r="A176" t="s">
        <v>186</v>
      </c>
      <c r="B176">
        <f>Levels!B176/(Levels!$R176*1000)</f>
        <v>25.779285366272507</v>
      </c>
      <c r="C176">
        <f>Levels!C176/(Levels!$R176*1000)</f>
        <v>6849.405312899421</v>
      </c>
      <c r="D176">
        <f>Levels!D176/EXP(Levels!$J176)</f>
        <v>352961.21601463726</v>
      </c>
      <c r="E176">
        <f>Levels!E176/Levels!$Q176</f>
        <v>0.20475983754923052</v>
      </c>
      <c r="F176">
        <f>Levels!F176/Levels!$Q176</f>
        <v>0.67118389982399984</v>
      </c>
      <c r="G176" s="6">
        <v>2.2999999999999998</v>
      </c>
      <c r="H176" s="4">
        <v>-1.49508375</v>
      </c>
      <c r="I176" s="4">
        <v>0.15192874999999928</v>
      </c>
      <c r="J176">
        <v>3.29311417431592</v>
      </c>
      <c r="K176">
        <v>3.8669428036245804E-2</v>
      </c>
      <c r="M176">
        <v>-1.9982546313273</v>
      </c>
      <c r="N176" s="6">
        <v>1.72496</v>
      </c>
      <c r="O176">
        <v>0.69241830137203597</v>
      </c>
      <c r="P176">
        <v>0.85801742550714699</v>
      </c>
      <c r="Q176" s="1">
        <v>17064.616000000002</v>
      </c>
      <c r="R176">
        <v>0.75233947899999998</v>
      </c>
      <c r="S176">
        <v>-0.89984993400000002</v>
      </c>
      <c r="T176">
        <v>-0.27432499900000001</v>
      </c>
    </row>
    <row r="177" spans="1:20" x14ac:dyDescent="0.35">
      <c r="A177" t="s">
        <v>187</v>
      </c>
      <c r="B177">
        <f>Levels!B177/(Levels!$R177*1000)</f>
        <v>26.099001302143524</v>
      </c>
      <c r="C177">
        <f>Levels!C177/(Levels!$R177*1000)</f>
        <v>7129.3317795618659</v>
      </c>
      <c r="D177">
        <f>Levels!D177/EXP(Levels!$J177)</f>
        <v>356565.57975247822</v>
      </c>
      <c r="E177">
        <f>Levels!E177/Levels!$Q177</f>
        <v>0.20611449525077974</v>
      </c>
      <c r="F177">
        <f>Levels!F177/Levels!$Q177</f>
        <v>0.67231897662043771</v>
      </c>
      <c r="G177" s="6">
        <v>3.2</v>
      </c>
      <c r="H177" s="4">
        <v>-1.3483593548387098</v>
      </c>
      <c r="I177" s="4">
        <v>-8.9424543778802157E-2</v>
      </c>
      <c r="J177">
        <v>3.3116297539878401</v>
      </c>
      <c r="K177">
        <v>-3.6465358027420999E-2</v>
      </c>
      <c r="M177">
        <v>-1.2843556014237101</v>
      </c>
      <c r="N177" s="6">
        <v>1.52149</v>
      </c>
      <c r="O177">
        <v>0.74473787427930505</v>
      </c>
      <c r="P177">
        <v>0.84661246742168506</v>
      </c>
      <c r="Q177" s="1">
        <v>17141.235000000001</v>
      </c>
      <c r="R177">
        <v>2.1928863879999998</v>
      </c>
      <c r="S177">
        <v>-2.9063466509999998</v>
      </c>
      <c r="T177">
        <v>-2.442410067</v>
      </c>
    </row>
    <row r="178" spans="1:20" x14ac:dyDescent="0.35">
      <c r="A178" t="s">
        <v>188</v>
      </c>
      <c r="B178">
        <f>Levels!B178/(Levels!$R178*1000)</f>
        <v>26.268386008693106</v>
      </c>
      <c r="C178">
        <f>Levels!C178/(Levels!$R178*1000)</f>
        <v>7111.9919451306114</v>
      </c>
      <c r="D178">
        <f>Levels!D178/EXP(Levels!$J178)</f>
        <v>360030.1024869731</v>
      </c>
      <c r="E178">
        <f>Levels!E178/Levels!$Q178</f>
        <v>0.20466189720789968</v>
      </c>
      <c r="F178">
        <f>Levels!F178/Levels!$Q178</f>
        <v>0.66627678892741227</v>
      </c>
      <c r="G178" s="6">
        <v>3</v>
      </c>
      <c r="H178" s="4">
        <v>-1.2797598360655738</v>
      </c>
      <c r="I178" s="4">
        <v>-0.4213604821600776</v>
      </c>
      <c r="J178">
        <v>3.3145633949810001</v>
      </c>
      <c r="K178">
        <v>-0.37689431163172199</v>
      </c>
      <c r="M178">
        <v>-1.7728536906296899</v>
      </c>
      <c r="N178" s="6">
        <v>1.37094</v>
      </c>
      <c r="O178">
        <v>0.80369404808188205</v>
      </c>
      <c r="P178">
        <v>0.85171872199571497</v>
      </c>
      <c r="Q178" s="1">
        <v>17280.647000000001</v>
      </c>
      <c r="R178">
        <v>-1.150652389</v>
      </c>
      <c r="S178">
        <v>-1.0551957759999999</v>
      </c>
      <c r="T178">
        <v>-0.64654783599999999</v>
      </c>
    </row>
    <row r="179" spans="1:20" x14ac:dyDescent="0.35">
      <c r="A179" t="s">
        <v>189</v>
      </c>
      <c r="B179">
        <f>Levels!B179/(Levels!$R179*1000)</f>
        <v>26.649832936902712</v>
      </c>
      <c r="C179">
        <f>Levels!C179/(Levels!$R179*1000)</f>
        <v>6826.466480013808</v>
      </c>
      <c r="D179">
        <f>Levels!D179/EXP(Levels!$J179)</f>
        <v>354734.13846412377</v>
      </c>
      <c r="E179">
        <f>Levels!E179/Levels!$Q179</f>
        <v>0.2059234071932512</v>
      </c>
      <c r="F179">
        <f>Levels!F179/Levels!$Q179</f>
        <v>0.66797505475154129</v>
      </c>
      <c r="G179" s="6">
        <v>2.6</v>
      </c>
      <c r="H179" s="4">
        <v>-1.20080875</v>
      </c>
      <c r="I179" s="4">
        <v>-0.25672500000000076</v>
      </c>
      <c r="J179">
        <v>3.3222286823374598</v>
      </c>
      <c r="K179">
        <v>-0.53872107720424101</v>
      </c>
      <c r="M179">
        <v>-3.9824469824765498</v>
      </c>
      <c r="N179" s="6">
        <v>1.3043499999999999</v>
      </c>
      <c r="O179">
        <v>0.78124466625646605</v>
      </c>
      <c r="P179">
        <v>0.84736692979958494</v>
      </c>
      <c r="Q179" s="1">
        <v>17380.875</v>
      </c>
      <c r="R179">
        <v>-0.39101440100000001</v>
      </c>
      <c r="S179">
        <v>0.53039319699999998</v>
      </c>
      <c r="T179">
        <v>0.12045721400000001</v>
      </c>
    </row>
    <row r="180" spans="1:20" x14ac:dyDescent="0.35">
      <c r="A180" t="s">
        <v>190</v>
      </c>
      <c r="B180">
        <f>Levels!B180/(Levels!$R180*1000)</f>
        <v>26.869948710519171</v>
      </c>
      <c r="C180">
        <f>Levels!C180/(Levels!$R180*1000)</f>
        <v>6856.412089255673</v>
      </c>
      <c r="D180">
        <f>Levels!D180/EXP(Levels!$J180)</f>
        <v>358715.64694473572</v>
      </c>
      <c r="E180">
        <f>Levels!E180/Levels!$Q180</f>
        <v>0.20686152727406193</v>
      </c>
      <c r="F180">
        <f>Levels!F180/Levels!$Q180</f>
        <v>0.67047775044529634</v>
      </c>
      <c r="G180" s="6">
        <v>1.8</v>
      </c>
      <c r="H180" s="4">
        <v>-1.1057587500000001</v>
      </c>
      <c r="I180" s="4">
        <v>-0.23287343750000078</v>
      </c>
      <c r="J180">
        <v>3.3015915379661398</v>
      </c>
      <c r="K180">
        <v>2.0445608222493399</v>
      </c>
      <c r="M180">
        <v>-0.89705248885378197</v>
      </c>
      <c r="N180" s="6">
        <v>1.21909</v>
      </c>
      <c r="O180">
        <v>0.76161739001631501</v>
      </c>
      <c r="P180">
        <v>0.90505959838462202</v>
      </c>
      <c r="Q180" s="1">
        <v>17437.080000000002</v>
      </c>
    </row>
    <row r="181" spans="1:20" x14ac:dyDescent="0.35">
      <c r="A181" t="s">
        <v>191</v>
      </c>
      <c r="B181">
        <f>Levels!B181/(Levels!$R181*1000)</f>
        <v>27.065332657176178</v>
      </c>
      <c r="C181">
        <f>Levels!C181/(Levels!$R181*1000)</f>
        <v>7385.4827241994144</v>
      </c>
      <c r="D181">
        <f>Levels!D181/EXP(Levels!$J181)</f>
        <v>352899.85998848337</v>
      </c>
      <c r="E181">
        <f>Levels!E181/Levels!$Q181</f>
        <v>0.20586781597380319</v>
      </c>
      <c r="F181">
        <f>Levels!F181/Levels!$Q181</f>
        <v>0.67027554904631759</v>
      </c>
      <c r="G181" s="6">
        <v>1.3</v>
      </c>
      <c r="H181" s="4">
        <v>-1.2477664516129032</v>
      </c>
      <c r="I181" s="4">
        <v>-0.30541483870967756</v>
      </c>
      <c r="J181">
        <v>3.3154050614200798</v>
      </c>
      <c r="K181">
        <v>3.0372486078485297</v>
      </c>
      <c r="M181">
        <v>0.43358785418544699</v>
      </c>
      <c r="N181" s="6">
        <v>1.1477900000000001</v>
      </c>
      <c r="O181">
        <v>0.76860372241617203</v>
      </c>
      <c r="P181">
        <v>0.92470981993605195</v>
      </c>
      <c r="Q181" s="1">
        <v>17462.579000000002</v>
      </c>
    </row>
    <row r="182" spans="1:20" x14ac:dyDescent="0.35">
      <c r="A182" t="s">
        <v>192</v>
      </c>
      <c r="B182">
        <f>Levels!B182/(Levels!$R182*1000)</f>
        <v>27.304281313498809</v>
      </c>
      <c r="C182">
        <f>Levels!C182/(Levels!$R182*1000)</f>
        <v>7621.2885520588625</v>
      </c>
      <c r="D182">
        <f>Levels!D182/EXP(Levels!$J182)</f>
        <v>378004.32813576021</v>
      </c>
      <c r="E182">
        <f>Levels!E182/Levels!$Q182</f>
        <v>0.20653202178251473</v>
      </c>
      <c r="F182">
        <f>Levels!F182/Levels!$Q182</f>
        <v>0.66929620868731121</v>
      </c>
      <c r="G182" s="6">
        <v>1.4</v>
      </c>
      <c r="H182" s="4">
        <v>-1.1997472131147542</v>
      </c>
      <c r="I182" s="4">
        <v>-0.62657337158469906</v>
      </c>
      <c r="J182">
        <v>3.2895058619209401</v>
      </c>
      <c r="K182">
        <v>4.5777233128597796</v>
      </c>
      <c r="M182">
        <v>3.5940073986378098</v>
      </c>
      <c r="N182" s="6">
        <v>1.3719600000000001</v>
      </c>
      <c r="O182">
        <v>0.76788576777389805</v>
      </c>
      <c r="P182">
        <v>0.91674089613859999</v>
      </c>
      <c r="Q182" s="1">
        <v>17565.465</v>
      </c>
    </row>
    <row r="183" spans="1:20" x14ac:dyDescent="0.35">
      <c r="A183" t="s">
        <v>193</v>
      </c>
      <c r="B183">
        <f>Levels!B183/(Levels!$R183*1000)</f>
        <v>27.55849114743468</v>
      </c>
      <c r="C183">
        <f>Levels!C183/(Levels!$R183*1000)</f>
        <v>7747.1916483700425</v>
      </c>
      <c r="D183">
        <f>Levels!D183/EXP(Levels!$J183)</f>
        <v>378503.68314343248</v>
      </c>
      <c r="E183">
        <f>Levels!E183/Levels!$Q183</f>
        <v>0.2064628246735648</v>
      </c>
      <c r="F183">
        <f>Levels!F183/Levels!$Q183</f>
        <v>0.67237685816522019</v>
      </c>
      <c r="G183" s="6">
        <v>1.4</v>
      </c>
      <c r="H183" s="4">
        <v>-1.3967699999999998</v>
      </c>
      <c r="I183" s="4">
        <v>-0.83098547413793145</v>
      </c>
      <c r="J183">
        <v>3.3208144540728002</v>
      </c>
      <c r="K183">
        <v>5.5783749818699802</v>
      </c>
      <c r="M183">
        <v>5.7143292213565404</v>
      </c>
      <c r="N183" s="6">
        <v>1.4877800000000001</v>
      </c>
      <c r="O183">
        <v>0.73209930081408703</v>
      </c>
      <c r="P183">
        <v>0.85099407473771504</v>
      </c>
      <c r="Q183" s="1">
        <v>17618.580999999998</v>
      </c>
    </row>
    <row r="184" spans="1:20" x14ac:dyDescent="0.35">
      <c r="A184" t="s">
        <v>194</v>
      </c>
      <c r="B184">
        <f>Levels!B184/(Levels!$R184*1000)</f>
        <v>27.927327216098515</v>
      </c>
      <c r="C184">
        <f>Levels!C184/(Levels!$R184*1000)</f>
        <v>8015.4128237895666</v>
      </c>
      <c r="D184">
        <f>Levels!D184/EXP(Levels!$J184)</f>
        <v>385504.03473920241</v>
      </c>
      <c r="E184">
        <f>Levels!E184/Levels!$Q184</f>
        <v>0.20671608642708963</v>
      </c>
      <c r="F184">
        <f>Levels!F184/Levels!$Q184</f>
        <v>0.67201642017044927</v>
      </c>
      <c r="G184" s="6">
        <v>1.6</v>
      </c>
      <c r="H184" s="4">
        <v>-1.507865</v>
      </c>
      <c r="I184" s="4">
        <v>-1.055815357142857</v>
      </c>
      <c r="J184">
        <v>3.3338883647100399</v>
      </c>
      <c r="K184">
        <v>6.7318530894557398</v>
      </c>
      <c r="M184">
        <v>6.9898062489958397</v>
      </c>
      <c r="N184" s="6">
        <v>1.6542699999999999</v>
      </c>
      <c r="O184">
        <v>0.71788091405388799</v>
      </c>
      <c r="P184">
        <v>0.838693600836249</v>
      </c>
      <c r="Q184" s="1">
        <v>17724.489000000001</v>
      </c>
    </row>
    <row r="185" spans="1:20" x14ac:dyDescent="0.35">
      <c r="A185" t="s">
        <v>195</v>
      </c>
      <c r="B185">
        <f>Levels!B185/(Levels!$R185*1000)</f>
        <v>28.078492815243436</v>
      </c>
      <c r="C185">
        <f>Levels!C185/(Levels!$R185*1000)</f>
        <v>8075.8608560342318</v>
      </c>
      <c r="D185">
        <f>Levels!D185/EXP(Levels!$J185)</f>
        <v>368603.95943927759</v>
      </c>
      <c r="E185">
        <f>Levels!E185/Levels!$Q185</f>
        <v>0.2073374068634716</v>
      </c>
      <c r="F185">
        <f>Levels!F185/Levels!$Q185</f>
        <v>0.67208191558668728</v>
      </c>
      <c r="G185" s="6">
        <v>1</v>
      </c>
      <c r="H185" s="4">
        <v>-1.4358368852459018</v>
      </c>
      <c r="I185" s="4">
        <v>-0.5172766605950212</v>
      </c>
      <c r="J185">
        <v>3.3434937242856502</v>
      </c>
      <c r="K185">
        <v>6.9656845668374503</v>
      </c>
      <c r="M185">
        <v>6.4805793703237597</v>
      </c>
      <c r="N185" s="6">
        <v>1.80349</v>
      </c>
      <c r="O185">
        <v>0.72581891448163505</v>
      </c>
      <c r="P185">
        <v>0.85131169973973297</v>
      </c>
      <c r="Q185" s="1">
        <v>17812.560000000001</v>
      </c>
    </row>
    <row r="186" spans="1:20" x14ac:dyDescent="0.35">
      <c r="A186" t="s">
        <v>196</v>
      </c>
      <c r="B186">
        <f>Levels!B186/(Levels!$R186*1000)</f>
        <v>28.365626247088333</v>
      </c>
      <c r="C186">
        <f>Levels!C186/(Levels!$R186*1000)</f>
        <v>7908.3366263417574</v>
      </c>
      <c r="D186">
        <f>Levels!D186/EXP(Levels!$J186)</f>
        <v>372878.9668542947</v>
      </c>
      <c r="E186">
        <f>Levels!E186/Levels!$Q186</f>
        <v>0.20894356080861334</v>
      </c>
      <c r="F186">
        <f>Levels!F186/Levels!$Q186</f>
        <v>0.67478622794203635</v>
      </c>
      <c r="G186" s="6">
        <v>1</v>
      </c>
      <c r="H186" s="4">
        <v>-1.1021541935483872</v>
      </c>
      <c r="I186" s="4">
        <v>-0.24213978908188549</v>
      </c>
      <c r="J186">
        <v>3.3661695613617999</v>
      </c>
      <c r="K186">
        <v>5.8555420541955501</v>
      </c>
      <c r="M186">
        <v>6.19115391140455</v>
      </c>
      <c r="N186" s="6">
        <v>1.8630500000000001</v>
      </c>
      <c r="O186">
        <v>0.72266049556758505</v>
      </c>
      <c r="P186">
        <v>0.776246316578035</v>
      </c>
      <c r="Q186" s="1">
        <v>17889.094000000001</v>
      </c>
    </row>
    <row r="187" spans="1:20" x14ac:dyDescent="0.35">
      <c r="A187" t="s">
        <v>197</v>
      </c>
      <c r="B187">
        <f>Levels!B187/(Levels!$R187*1000)</f>
        <v>28.746102019656302</v>
      </c>
      <c r="C187">
        <f>Levels!C187/(Levels!$R187*1000)</f>
        <v>7780.1253833304763</v>
      </c>
      <c r="D187">
        <f>Levels!D187/EXP(Levels!$J187)</f>
        <v>375959.30562549864</v>
      </c>
      <c r="E187">
        <f>Levels!E187/Levels!$Q187</f>
        <v>0.2099490089057266</v>
      </c>
      <c r="F187">
        <f>Levels!F187/Levels!$Q187</f>
        <v>0.67289432526038462</v>
      </c>
      <c r="G187" s="6">
        <v>1.4</v>
      </c>
      <c r="H187" s="4">
        <v>-0.6521055555555556</v>
      </c>
      <c r="I187" s="4">
        <v>-0.46082841904761951</v>
      </c>
      <c r="J187">
        <v>3.3820912583682099</v>
      </c>
      <c r="K187">
        <v>3.3850323531872402</v>
      </c>
      <c r="M187">
        <v>6.2542484436488301</v>
      </c>
      <c r="N187" s="6">
        <v>1.70038</v>
      </c>
      <c r="O187">
        <v>0.71809776911487999</v>
      </c>
      <c r="P187">
        <v>0.75387528771849899</v>
      </c>
      <c r="Q187" s="1">
        <v>17979.218000000001</v>
      </c>
    </row>
    <row r="188" spans="1:20" x14ac:dyDescent="0.35">
      <c r="A188" t="s">
        <v>198</v>
      </c>
      <c r="B188">
        <f>Levels!B188/(Levels!$R188*1000)</f>
        <v>29.030627978979684</v>
      </c>
      <c r="C188">
        <f>Levels!C188/(Levels!$R188*1000)</f>
        <v>8122.0035374389627</v>
      </c>
      <c r="D188">
        <f>Levels!D188/EXP(Levels!$J188)</f>
        <v>379360.63715238433</v>
      </c>
      <c r="E188">
        <f>Levels!E188/Levels!$Q188</f>
        <v>0.20926507367555397</v>
      </c>
      <c r="F188">
        <f>Levels!F188/Levels!$Q188</f>
        <v>0.67119611975046578</v>
      </c>
      <c r="G188" s="6">
        <v>1.3</v>
      </c>
      <c r="H188" s="4">
        <v>-0.63924698412698411</v>
      </c>
      <c r="I188" s="4">
        <v>-0.5229105952380948</v>
      </c>
      <c r="J188">
        <v>3.39823079869057</v>
      </c>
      <c r="K188">
        <v>2.4068972137009497</v>
      </c>
      <c r="M188">
        <v>6.2695230391336203</v>
      </c>
      <c r="N188" s="6">
        <v>1.5465500000000001</v>
      </c>
      <c r="O188">
        <v>0.71934323765885699</v>
      </c>
      <c r="P188">
        <v>0.76923520866970696</v>
      </c>
      <c r="Q188" s="1">
        <v>18127.993999999999</v>
      </c>
    </row>
    <row r="189" spans="1:20" x14ac:dyDescent="0.35">
      <c r="A189" t="s">
        <v>199</v>
      </c>
      <c r="B189">
        <f>Levels!B189/(Levels!$R189*1000)</f>
        <v>29.529797946316691</v>
      </c>
      <c r="C189">
        <f>Levels!C189/(Levels!$R189*1000)</f>
        <v>8207.5198171794054</v>
      </c>
      <c r="D189">
        <f>Levels!D189/EXP(Levels!$J189)</f>
        <v>381612.70625837444</v>
      </c>
      <c r="E189">
        <f>Levels!E189/Levels!$Q189</f>
        <v>0.21180357503700104</v>
      </c>
      <c r="F189">
        <f>Levels!F189/Levels!$Q189</f>
        <v>0.67323998505706528</v>
      </c>
      <c r="G189" s="6">
        <v>2</v>
      </c>
      <c r="H189" s="4">
        <v>-0.64720451612903229</v>
      </c>
      <c r="I189" s="4">
        <v>-0.44583490883590438</v>
      </c>
      <c r="J189">
        <v>3.4197471584611598</v>
      </c>
      <c r="K189">
        <v>2.2967446623905499</v>
      </c>
      <c r="M189">
        <v>6.3754759936955496</v>
      </c>
      <c r="N189" s="6">
        <v>1.6751199999999999</v>
      </c>
      <c r="O189">
        <v>0.71569155738279799</v>
      </c>
      <c r="P189">
        <v>0.78531874937815904</v>
      </c>
      <c r="Q189" s="1">
        <v>18310.3</v>
      </c>
    </row>
    <row r="190" spans="1:20" x14ac:dyDescent="0.35">
      <c r="A190" t="s">
        <v>200</v>
      </c>
      <c r="B190">
        <f>Levels!B190/(Levels!$R190*1000)</f>
        <v>29.711711425408865</v>
      </c>
      <c r="C190">
        <f>Levels!C190/(Levels!$R190*1000)</f>
        <v>8477.7136368602078</v>
      </c>
      <c r="D190">
        <f>Levels!D190/EXP(Levels!$J190)</f>
        <v>369794.62094279123</v>
      </c>
      <c r="E190">
        <f>Levels!E190/Levels!$Q190</f>
        <v>0.2126708244728151</v>
      </c>
      <c r="F190">
        <f>Levels!F190/Levels!$Q190</f>
        <v>0.67473088629708522</v>
      </c>
      <c r="G190" s="6">
        <v>2.1</v>
      </c>
      <c r="H190" s="4">
        <v>-0.47183360655737694</v>
      </c>
      <c r="I190" s="4">
        <v>-0.11067859165424698</v>
      </c>
      <c r="J190">
        <v>3.4365250389162698</v>
      </c>
      <c r="K190">
        <v>3.5606526451819804</v>
      </c>
      <c r="M190">
        <v>6.3347518206387496</v>
      </c>
      <c r="N190" s="6">
        <v>1.8541399999999999</v>
      </c>
      <c r="O190">
        <v>0.71560118254059302</v>
      </c>
      <c r="P190">
        <v>0.82071331560723604</v>
      </c>
      <c r="Q190" s="1">
        <v>18437.127</v>
      </c>
    </row>
    <row r="191" spans="1:20" x14ac:dyDescent="0.35">
      <c r="A191" t="s">
        <v>201</v>
      </c>
      <c r="B191">
        <f>Levels!B191/(Levels!$R191*1000)</f>
        <v>30.260609902506442</v>
      </c>
      <c r="C191">
        <f>Levels!C191/(Levels!$R191*1000)</f>
        <v>8387.3422920758585</v>
      </c>
      <c r="D191">
        <f>Levels!D191/EXP(Levels!$J191)</f>
        <v>369420.12023789209</v>
      </c>
      <c r="E191">
        <f>Levels!E191/Levels!$Q191</f>
        <v>0.21436663541368794</v>
      </c>
      <c r="F191">
        <f>Levels!F191/Levels!$Q191</f>
        <v>0.67512875309084597</v>
      </c>
      <c r="G191" s="6">
        <v>1.8</v>
      </c>
      <c r="H191" s="4">
        <v>-0.2292050000000001</v>
      </c>
      <c r="I191" s="4">
        <v>3.0854761904763883E-3</v>
      </c>
      <c r="J191">
        <v>3.4354083247498002</v>
      </c>
      <c r="N191" s="6">
        <v>2.03085</v>
      </c>
      <c r="O191">
        <v>0.71233969445858902</v>
      </c>
      <c r="P191">
        <v>0.84990220302765496</v>
      </c>
      <c r="Q191" s="1">
        <v>18565.697</v>
      </c>
    </row>
    <row r="192" spans="1:20" x14ac:dyDescent="0.35">
      <c r="A192" t="s">
        <v>202</v>
      </c>
      <c r="B192">
        <f>Levels!B192/(Levels!$R192*1000)</f>
        <v>30.569307053405844</v>
      </c>
      <c r="C192">
        <f>Levels!C192/(Levels!$R192*1000)</f>
        <v>8396.7908747788388</v>
      </c>
      <c r="D192">
        <f>Levels!D192/EXP(Levels!$J192)</f>
        <v>367551.54073754093</v>
      </c>
      <c r="E192">
        <f>Levels!E192/Levels!$Q192</f>
        <v>0.2136473176002158</v>
      </c>
      <c r="F192">
        <f>Levels!F192/Levels!$Q192</f>
        <v>0.67348072623047783</v>
      </c>
      <c r="G192" s="6">
        <v>2.2000000000000002</v>
      </c>
      <c r="H192" s="4">
        <v>-2.6495238095236573E-3</v>
      </c>
      <c r="I192" s="4">
        <v>-3.8064476190475816E-2</v>
      </c>
      <c r="J192">
        <v>3.4545181241316998</v>
      </c>
      <c r="N192" s="6">
        <v>2.0698300000000001</v>
      </c>
      <c r="O192">
        <v>0.70364242546232403</v>
      </c>
      <c r="P192">
        <v>0.93235576146033305</v>
      </c>
      <c r="Q192" s="1">
        <v>18699.748</v>
      </c>
    </row>
    <row r="193" spans="1:17" x14ac:dyDescent="0.35">
      <c r="A193" t="s">
        <v>203</v>
      </c>
      <c r="B193">
        <f>Levels!B193/(Levels!$R193*1000)</f>
        <v>30.912642199597574</v>
      </c>
      <c r="C193">
        <f>Levels!C193/(Levels!$R193*1000)</f>
        <v>8880.7327744361737</v>
      </c>
      <c r="D193">
        <f>Levels!D193/EXP(Levels!$J193)</f>
        <v>370797.00838024449</v>
      </c>
      <c r="E193">
        <f>Levels!E193/Levels!$Q193</f>
        <v>0.21325366887478586</v>
      </c>
      <c r="F193">
        <f>Levels!F193/Levels!$Q193</f>
        <v>0.67430656165568326</v>
      </c>
      <c r="G193" s="6">
        <v>1.8</v>
      </c>
      <c r="H193" s="4">
        <v>0.5611796721311475</v>
      </c>
      <c r="I193" s="4">
        <v>3.2323856773080362E-2</v>
      </c>
      <c r="J193">
        <v>3.4222813176023998</v>
      </c>
      <c r="N193" s="6">
        <v>2.03884</v>
      </c>
      <c r="O193">
        <v>0.73203883655954505</v>
      </c>
      <c r="P193">
        <v>1.08048856681965</v>
      </c>
      <c r="Q193" s="1">
        <v>18733.741000000002</v>
      </c>
    </row>
    <row r="194" spans="1:17" x14ac:dyDescent="0.35">
      <c r="A194" t="s">
        <v>204</v>
      </c>
      <c r="B194">
        <f>Levels!B194/(Levels!$R194*1000)</f>
        <v>31.156130563805366</v>
      </c>
      <c r="C194">
        <f>Levels!C194/(Levels!$R194*1000)</f>
        <v>8724.8276155347921</v>
      </c>
      <c r="D194">
        <f>Levels!D194/EXP(Levels!$J194)</f>
        <v>388480.2708675256</v>
      </c>
      <c r="E194">
        <f>Levels!E194/Levels!$Q194</f>
        <v>0.21366212821159039</v>
      </c>
      <c r="F194">
        <f>Levels!F194/Levels!$Q194</f>
        <v>0.66978038078945656</v>
      </c>
      <c r="G194" s="6">
        <v>1.2</v>
      </c>
      <c r="H194" s="4">
        <v>0.67691065573770515</v>
      </c>
      <c r="I194" s="4">
        <v>-0.40976084699453574</v>
      </c>
      <c r="J194">
        <v>3.4346934801285398</v>
      </c>
      <c r="N194" s="6">
        <v>1.7496400000000001</v>
      </c>
      <c r="O194">
        <v>0.74840093188263501</v>
      </c>
      <c r="P194">
        <v>1.0750189932790799</v>
      </c>
      <c r="Q194" s="1">
        <v>18835.411</v>
      </c>
    </row>
    <row r="195" spans="1:17" x14ac:dyDescent="0.35">
      <c r="A195" t="s">
        <v>205</v>
      </c>
      <c r="B195">
        <f>Levels!B195/(Levels!$R195*1000)</f>
        <v>31.485740267801834</v>
      </c>
      <c r="C195">
        <f>Levels!C195/(Levels!$R195*1000)</f>
        <v>8633.7889304752571</v>
      </c>
      <c r="D195">
        <f>Levels!D195/EXP(Levels!$J195)</f>
        <v>395271.34724272339</v>
      </c>
      <c r="E195">
        <f>Levels!E195/Levels!$Q195</f>
        <v>0.21465923608446816</v>
      </c>
      <c r="F195">
        <f>Levels!F195/Levels!$Q195</f>
        <v>0.67079807517241385</v>
      </c>
      <c r="G195" s="6">
        <v>0.9</v>
      </c>
      <c r="H195" s="4">
        <v>0.54479063492063484</v>
      </c>
      <c r="I195" s="4">
        <v>-0.80106228758169928</v>
      </c>
      <c r="J195">
        <v>3.4640025918105</v>
      </c>
      <c r="N195" s="6">
        <v>1.7114499999999999</v>
      </c>
      <c r="O195">
        <v>0.75787995955204202</v>
      </c>
      <c r="P195">
        <v>1.0566544799414099</v>
      </c>
      <c r="Q195" s="1">
        <v>18962.174999999999</v>
      </c>
    </row>
    <row r="196" spans="1:17" x14ac:dyDescent="0.35">
      <c r="A196" t="s">
        <v>206</v>
      </c>
      <c r="B196">
        <f>Levels!B196/(Levels!$R196*1000)</f>
        <v>31.827006019786669</v>
      </c>
      <c r="C196">
        <f>Levels!C196/(Levels!$R196*1000)</f>
        <v>9363.6842605095098</v>
      </c>
      <c r="D196">
        <f>Levels!D196/EXP(Levels!$J196)</f>
        <v>402130.61024071003</v>
      </c>
      <c r="E196">
        <f>Levels!E196/Levels!$Q196</f>
        <v>0.21491953450046239</v>
      </c>
      <c r="F196">
        <f>Levels!F196/Levels!$Q196</f>
        <v>0.66928838607670482</v>
      </c>
      <c r="G196" s="6">
        <v>0.9</v>
      </c>
      <c r="H196" s="4">
        <v>0.38162375000000015</v>
      </c>
      <c r="I196" s="4">
        <v>-1.4312637500000003</v>
      </c>
      <c r="J196">
        <v>3.4701438514029199</v>
      </c>
      <c r="N196" s="6">
        <v>1.76013</v>
      </c>
      <c r="O196">
        <v>0.77991414458141095</v>
      </c>
      <c r="P196">
        <v>1.0321903984246801</v>
      </c>
      <c r="Q196" s="1">
        <v>19130.932000000001</v>
      </c>
    </row>
    <row r="197" spans="1:17" x14ac:dyDescent="0.35">
      <c r="A197" t="s">
        <v>207</v>
      </c>
      <c r="B197">
        <f>Levels!B197/(Levels!$R197*1000)</f>
        <v>32.093642362473652</v>
      </c>
      <c r="C197">
        <f>Levels!C197/(Levels!$R197*1000)</f>
        <v>9782.7087688292304</v>
      </c>
      <c r="D197">
        <f>Levels!D197/EXP(Levels!$J197)</f>
        <v>404794.26226002135</v>
      </c>
      <c r="E197">
        <f>Levels!E197/Levels!$Q197</f>
        <v>0.21353840462984131</v>
      </c>
      <c r="F197">
        <f>Levels!F197/Levels!$Q197</f>
        <v>0.66995197655163508</v>
      </c>
      <c r="G197" s="6">
        <v>0.3</v>
      </c>
      <c r="H197" s="4">
        <v>-0.12104451612903233</v>
      </c>
      <c r="I197" s="4">
        <v>-1.535237182795699</v>
      </c>
      <c r="J197">
        <v>3.49701561013676</v>
      </c>
      <c r="N197" s="6">
        <v>1.6019699999999999</v>
      </c>
      <c r="O197">
        <v>0.86146368421474495</v>
      </c>
      <c r="P197">
        <v>1.0617333590698701</v>
      </c>
      <c r="Q197" s="1">
        <v>19215.690999999999</v>
      </c>
    </row>
    <row r="198" spans="1:17" x14ac:dyDescent="0.35">
      <c r="A198" t="s">
        <v>208</v>
      </c>
      <c r="B198">
        <f>Levels!B198/(Levels!$R198*1000)</f>
        <v>32.963339440513721</v>
      </c>
      <c r="C198">
        <f>Levels!C198/(Levels!$R198*1000)</f>
        <v>11224.97673247459</v>
      </c>
      <c r="D198">
        <f>Levels!D198/EXP(Levels!$J198)</f>
        <v>12464788</v>
      </c>
      <c r="E198">
        <f>Levels!E198/Levels!$Q198</f>
        <v>0.21567801623991562</v>
      </c>
      <c r="F198">
        <f>Levels!F198/Levels!$Q198</f>
        <v>0.66679207599570889</v>
      </c>
      <c r="G198" s="6">
        <v>-1.2</v>
      </c>
      <c r="H198" s="4">
        <v>0.15293290322580666</v>
      </c>
      <c r="I198" s="4">
        <v>-2.0854014285714282</v>
      </c>
      <c r="N198" s="6">
        <v>1.69798</v>
      </c>
      <c r="O198">
        <v>1.10213111402396</v>
      </c>
      <c r="P198">
        <v>1.2553310412943</v>
      </c>
      <c r="Q198" s="1">
        <v>18989.877</v>
      </c>
    </row>
    <row r="199" spans="1:17" x14ac:dyDescent="0.35">
      <c r="A199" t="s">
        <v>209</v>
      </c>
      <c r="B199">
        <f>Levels!B199/(Levels!$R199*1000)</f>
        <v>33.623064881165305</v>
      </c>
      <c r="C199">
        <f>Levels!C199/(Levels!$R199*1000)</f>
        <v>13829.671474390971</v>
      </c>
      <c r="D199">
        <f>Levels!D199/EXP(Levels!$J199)</f>
        <v>13819702</v>
      </c>
      <c r="E199">
        <f>Levels!E199/Levels!$Q199</f>
        <v>0.21986888326361587</v>
      </c>
      <c r="F199">
        <f>Levels!F199/Levels!$Q199</f>
        <v>0.65692895370079907</v>
      </c>
      <c r="G199" s="6">
        <v>-14.8</v>
      </c>
      <c r="H199" s="4">
        <v>-1.1702577777777778</v>
      </c>
      <c r="I199" s="4">
        <v>-2.8975840293040287</v>
      </c>
      <c r="N199" s="6">
        <v>0.92867999999999995</v>
      </c>
      <c r="O199">
        <v>1.26224448907781</v>
      </c>
      <c r="P199">
        <v>1.20739052688563</v>
      </c>
      <c r="Q199" s="1">
        <v>17378.712</v>
      </c>
    </row>
    <row r="200" spans="1:17" x14ac:dyDescent="0.35">
      <c r="A200" t="s">
        <v>210</v>
      </c>
      <c r="B200">
        <f>Levels!B200/(Levels!$R200*1000)</f>
        <v>33.820465331986227</v>
      </c>
      <c r="C200">
        <f>Levels!C200/(Levels!$R200*1000)</f>
        <v>14220.051641728895</v>
      </c>
      <c r="D200">
        <f>Levels!D200/EXP(Levels!$J200)</f>
        <v>14408631</v>
      </c>
      <c r="E200">
        <f>Levels!E200/Levels!$Q200</f>
        <v>0.21476169084898833</v>
      </c>
      <c r="F200">
        <f>Levels!F200/Levels!$Q200</f>
        <v>0.66938710950383162</v>
      </c>
      <c r="G200" s="6">
        <v>-8.1</v>
      </c>
      <c r="H200" s="4">
        <v>-1.2764724999999999</v>
      </c>
      <c r="I200" s="4">
        <v>-3.1559549999999987</v>
      </c>
      <c r="N200" s="6">
        <v>1.3124800000000001</v>
      </c>
      <c r="O200">
        <v>1.1058603290181299</v>
      </c>
      <c r="P200">
        <v>1.10918844576511</v>
      </c>
      <c r="Q200" s="1">
        <v>18743.72</v>
      </c>
    </row>
    <row r="201" spans="1:17" x14ac:dyDescent="0.35">
      <c r="A201" t="s">
        <v>211</v>
      </c>
      <c r="B201">
        <f>Levels!B201/(Levels!$R201*1000)</f>
        <v>34.149431964452788</v>
      </c>
      <c r="C201">
        <f>Levels!C201/(Levels!$R201*1000)</f>
        <v>14578.281755496049</v>
      </c>
      <c r="D201">
        <f>Levels!D201/EXP(Levels!$J201)</f>
        <v>15469163</v>
      </c>
      <c r="E201">
        <f>Levels!E201/Levels!$Q201</f>
        <v>0.22015278587878356</v>
      </c>
      <c r="F201">
        <f>Levels!F201/Levels!$Q201</f>
        <v>0.6697663917440011</v>
      </c>
      <c r="G201" s="6">
        <v>-5.9</v>
      </c>
      <c r="H201" s="4">
        <v>-1.6330067741935483</v>
      </c>
      <c r="I201" s="4">
        <v>-3.1688002346041051</v>
      </c>
      <c r="N201" s="6">
        <v>1.38991</v>
      </c>
      <c r="O201">
        <v>0.98202025530743298</v>
      </c>
      <c r="P201">
        <v>1.1207164974395101</v>
      </c>
      <c r="Q201" s="1">
        <v>18924.261999999999</v>
      </c>
    </row>
    <row r="202" spans="1:17" x14ac:dyDescent="0.35">
      <c r="A202" t="s">
        <v>212</v>
      </c>
      <c r="B202">
        <f>Levels!B202/(Levels!$R202*1000)</f>
        <v>34.570284557433666</v>
      </c>
      <c r="C202">
        <f>Levels!C202/(Levels!$R202*1000)</f>
        <v>14597.986697393095</v>
      </c>
      <c r="D202">
        <f>Levels!D202/EXP(Levels!$J202)</f>
        <v>15545879</v>
      </c>
      <c r="E202">
        <f>Levels!E202/Levels!$Q202</f>
        <v>0.22032949865696821</v>
      </c>
      <c r="F202">
        <f>Levels!F202/Levels!$Q202</f>
        <v>0.68131537067236891</v>
      </c>
      <c r="G202" s="6">
        <v>-3.2</v>
      </c>
      <c r="H202" s="4">
        <v>-3.4297024590163936</v>
      </c>
      <c r="I202" s="4">
        <v>-2.961755360655737</v>
      </c>
      <c r="N202" s="6">
        <v>1.7259100000000001</v>
      </c>
      <c r="O202">
        <v>0.98388547378546598</v>
      </c>
      <c r="P202">
        <v>1.0654354578207501</v>
      </c>
      <c r="Q202" s="1">
        <v>19216.223999999998</v>
      </c>
    </row>
    <row r="203" spans="1:17" x14ac:dyDescent="0.35">
      <c r="A203" t="s">
        <v>213</v>
      </c>
      <c r="B203">
        <f>Levels!B203/(Levels!$R203*1000)</f>
        <v>34.888396672039207</v>
      </c>
      <c r="C203">
        <f>Levels!C203/(Levels!$R203*1000)</f>
        <v>14917.529951117793</v>
      </c>
      <c r="D203">
        <f>Levels!D203/EXP(Levels!$J203)</f>
        <v>16665376</v>
      </c>
      <c r="E203">
        <f>Levels!E203/Levels!$Q203</f>
        <v>0.21853017829081989</v>
      </c>
      <c r="F203">
        <f>Levels!F203/Levels!$Q203</f>
        <v>0.69403484448411057</v>
      </c>
      <c r="G203" s="6">
        <v>13.9</v>
      </c>
      <c r="H203" s="4">
        <v>-3.8642137499999998</v>
      </c>
      <c r="I203" s="4">
        <v>-2.9926254166666659</v>
      </c>
      <c r="N203" s="6">
        <v>3.4808500000000002</v>
      </c>
      <c r="O203">
        <v>0.93676371899269295</v>
      </c>
      <c r="P203">
        <v>0.99641867032258502</v>
      </c>
      <c r="Q203" s="1">
        <v>19544.248</v>
      </c>
    </row>
    <row r="204" spans="1:17" x14ac:dyDescent="0.35">
      <c r="A204" t="s">
        <v>214</v>
      </c>
      <c r="B204">
        <f>Levels!B204/(Levels!$R204*1000)</f>
        <v>35.355617317670209</v>
      </c>
      <c r="C204">
        <f>Levels!C204/(Levels!$R204*1000)</f>
        <v>14511.031106287273</v>
      </c>
      <c r="D204">
        <f>Levels!D204/EXP(Levels!$J204)</f>
        <v>16900965</v>
      </c>
      <c r="E204">
        <f>Levels!E204/Levels!$Q204</f>
        <v>0.2166353862637535</v>
      </c>
      <c r="F204">
        <f>Levels!F204/Levels!$Q204</f>
        <v>0.697279945630635</v>
      </c>
      <c r="G204" s="6">
        <v>6.6</v>
      </c>
      <c r="H204" s="4">
        <v>-4.6739924999999998</v>
      </c>
      <c r="I204" s="4">
        <v>-3.3963824999999996</v>
      </c>
      <c r="N204" s="6">
        <v>3.88937</v>
      </c>
      <c r="O204">
        <v>0.907454500971693</v>
      </c>
      <c r="P204">
        <v>0.99550190199815802</v>
      </c>
      <c r="Q204" s="1">
        <v>19672.594000000001</v>
      </c>
    </row>
    <row r="205" spans="1:17" x14ac:dyDescent="0.35">
      <c r="A205" t="s">
        <v>215</v>
      </c>
      <c r="B205">
        <f>Levels!B205/(Levels!$R205*1000)</f>
        <v>36.020309294446086</v>
      </c>
      <c r="C205">
        <f>Levels!C205/(Levels!$R205*1000)</f>
        <v>15467.56304636574</v>
      </c>
      <c r="D205">
        <f>Levels!D205/EXP(Levels!$J205)</f>
        <v>17618092</v>
      </c>
      <c r="E205">
        <f>Levels!E205/Levels!$Q205</f>
        <v>0.21308079737956984</v>
      </c>
      <c r="F205">
        <f>Levels!F205/Levels!$Q205</f>
        <v>0.69320794870052238</v>
      </c>
      <c r="G205" s="6">
        <v>5.8</v>
      </c>
      <c r="H205" s="4">
        <v>-5.276222580645161</v>
      </c>
      <c r="I205" s="4">
        <v>-3.3066757603686634</v>
      </c>
      <c r="N205" s="6">
        <v>4.7236799999999999</v>
      </c>
      <c r="O205">
        <v>0.89672797761457101</v>
      </c>
      <c r="P205">
        <v>1.03239439777322</v>
      </c>
      <c r="Q205" s="1">
        <v>20006.181</v>
      </c>
    </row>
    <row r="206" spans="1:17" x14ac:dyDescent="0.35">
      <c r="A206" t="s">
        <v>216</v>
      </c>
      <c r="B206">
        <f>Levels!B206/(Levels!$R206*1000)</f>
        <v>36.613913655791187</v>
      </c>
      <c r="C206">
        <f>Levels!C206/(Levels!$R206*1000)</f>
        <v>15058.591379337175</v>
      </c>
      <c r="D206">
        <f>Levels!D206/EXP(Levels!$J206)</f>
        <v>16226574</v>
      </c>
      <c r="E206">
        <f>Levels!E206/Levels!$Q206</f>
        <v>0.21554401887805355</v>
      </c>
      <c r="F206">
        <f>Levels!F206/Levels!$Q206</f>
        <v>0.70174587632211494</v>
      </c>
      <c r="G206" s="6">
        <v>5.5</v>
      </c>
      <c r="H206" s="4">
        <v>-4.6696893548387095</v>
      </c>
      <c r="I206" s="4">
        <v>-2.9083309677419358</v>
      </c>
      <c r="N206" s="6">
        <v>5.3308999999999997</v>
      </c>
      <c r="O206">
        <v>0.93410943521316303</v>
      </c>
      <c r="P206">
        <v>1.0684087970806</v>
      </c>
      <c r="Q206" s="1">
        <v>19924.088</v>
      </c>
    </row>
    <row r="207" spans="1:17" x14ac:dyDescent="0.35">
      <c r="A207" t="s">
        <v>217</v>
      </c>
      <c r="B207">
        <f>Levels!B207/(Levels!$R207*1000)</f>
        <v>37.17333006672758</v>
      </c>
      <c r="C207">
        <f>Levels!C207/(Levels!$R207*1000)</f>
        <v>14378.983767489113</v>
      </c>
      <c r="D207">
        <f>Levels!D207/EXP(Levels!$J207)</f>
        <v>14336837</v>
      </c>
      <c r="E207">
        <f>Levels!E207/Levels!$Q207</f>
        <v>0.21303967158828849</v>
      </c>
      <c r="F207">
        <f>Levels!F207/Levels!$Q207</f>
        <v>0.71001879288675207</v>
      </c>
      <c r="G207" s="6">
        <v>4.5</v>
      </c>
      <c r="H207" s="4">
        <v>-3.8612561290322582</v>
      </c>
      <c r="I207" s="4">
        <v>-1.8325913548387094</v>
      </c>
      <c r="N207" s="6">
        <v>4.9822699999999998</v>
      </c>
      <c r="O207">
        <v>0.96737090103154</v>
      </c>
      <c r="P207">
        <v>1.10323761407635</v>
      </c>
      <c r="Q207" s="1">
        <v>19895.271000000001</v>
      </c>
    </row>
    <row r="208" spans="1:17" x14ac:dyDescent="0.35">
      <c r="A208" t="s">
        <v>218</v>
      </c>
      <c r="B208">
        <f>Levels!B208/(Levels!$R208*1000)</f>
        <v>37.68596984847381</v>
      </c>
      <c r="C208">
        <f>Levels!C208/(Levels!$R208*1000)</f>
        <v>13720.296629673279</v>
      </c>
      <c r="D208">
        <f>Levels!D208/EXP(Levels!$J208)</f>
        <v>13230809</v>
      </c>
      <c r="E208">
        <f>Levels!E208/Levels!$Q208</f>
        <v>0.21041535327719046</v>
      </c>
      <c r="F208">
        <f>Levels!F208/Levels!$Q208</f>
        <v>0.70710979334842738</v>
      </c>
      <c r="G208" s="6">
        <v>3.7</v>
      </c>
      <c r="H208" s="4">
        <v>-2.1699975</v>
      </c>
      <c r="I208" s="4">
        <v>-1.6098037499999998</v>
      </c>
      <c r="N208" s="6">
        <v>4.9467400000000001</v>
      </c>
      <c r="O208">
        <v>0.96987189329525103</v>
      </c>
      <c r="P208">
        <v>1.1487215931424299</v>
      </c>
      <c r="Q208" s="1">
        <v>20054.663</v>
      </c>
    </row>
    <row r="209" spans="1:17" x14ac:dyDescent="0.35">
      <c r="A209" t="s">
        <v>219</v>
      </c>
      <c r="C209">
        <f>Levels!C209/(Levels!$R209*1000)</f>
        <v>13633.805585041366</v>
      </c>
      <c r="D209">
        <f>Levels!D209/EXP(Levels!$J209)</f>
        <v>14223485</v>
      </c>
      <c r="E209">
        <f>Levels!E209/Levels!$Q209</f>
        <v>0.20789916368598899</v>
      </c>
      <c r="F209">
        <f>Levels!F209/Levels!$Q209</f>
        <v>0.70243369501325803</v>
      </c>
      <c r="G209" s="6">
        <v>2.5</v>
      </c>
      <c r="H209" s="4">
        <v>-0.60644950819672161</v>
      </c>
      <c r="I209" s="4">
        <v>-0.80556202185792358</v>
      </c>
      <c r="N209" s="6">
        <v>4.8390599999999999</v>
      </c>
      <c r="O209">
        <v>0.93875822280298504</v>
      </c>
      <c r="P209">
        <v>1.1276439359758199</v>
      </c>
      <c r="Q209" s="1">
        <v>20182.491000000002</v>
      </c>
    </row>
    <row r="210" spans="1:17" x14ac:dyDescent="0.35">
      <c r="A210" t="s">
        <v>220</v>
      </c>
      <c r="C210">
        <f>Levels!C210/(Levels!$R210*1000)</f>
        <v>13361.978205528141</v>
      </c>
      <c r="D210">
        <f>Levels!D210/EXP(Levels!$J210)</f>
        <v>15394878</v>
      </c>
      <c r="E210">
        <f>Levels!E210/Levels!$Q210</f>
        <v>0.20711121168913899</v>
      </c>
      <c r="F210">
        <f>Levels!F210/Levels!$Q210</f>
        <v>0.7050652933008279</v>
      </c>
      <c r="G210" s="6">
        <v>2.2000000000000002</v>
      </c>
      <c r="H210" s="4">
        <v>0.22307516129032301</v>
      </c>
      <c r="I210" s="4">
        <v>-0.882604677419355</v>
      </c>
      <c r="N210" s="6">
        <v>4.65022</v>
      </c>
      <c r="O210">
        <v>0.91198059963795097</v>
      </c>
      <c r="P210">
        <v>1.0728558158558801</v>
      </c>
      <c r="Q210" s="1">
        <v>20282.759999999998</v>
      </c>
    </row>
    <row r="211" spans="1:17" x14ac:dyDescent="0.35">
      <c r="A211" t="s">
        <v>221</v>
      </c>
      <c r="C211">
        <f>Levels!C211/(Levels!$R211*1000)</f>
        <v>13583.963465052808</v>
      </c>
      <c r="D211">
        <f>Levels!D211/EXP(Levels!$J211)</f>
        <v>15704378</v>
      </c>
      <c r="E211">
        <f>Levels!E211/Levels!$Q211</f>
        <v>0.2087051179588891</v>
      </c>
      <c r="F211">
        <f>Levels!F211/Levels!$Q211</f>
        <v>0.70105391332248568</v>
      </c>
      <c r="G211" s="6">
        <v>1.2</v>
      </c>
      <c r="H211" s="4">
        <v>5.0760317460317461</v>
      </c>
      <c r="I211" s="4">
        <v>-0.81185571428571413</v>
      </c>
      <c r="N211" s="6">
        <v>4.4075699999999998</v>
      </c>
      <c r="O211">
        <v>0.87383605181950497</v>
      </c>
      <c r="P211">
        <v>1.0272408523779999</v>
      </c>
      <c r="Q211" s="1">
        <v>20386.467000000001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6AA6-5CCF-4773-AA11-2A592D8EF7D8}">
  <dimension ref="A1:AH215"/>
  <sheetViews>
    <sheetView tabSelected="1" topLeftCell="G1" workbookViewId="0">
      <selection activeCell="AH3" sqref="AH3"/>
    </sheetView>
  </sheetViews>
  <sheetFormatPr defaultRowHeight="14.5" x14ac:dyDescent="0.35"/>
  <cols>
    <col min="3" max="3" width="13.08984375" bestFit="1" customWidth="1"/>
    <col min="4" max="7" width="13.08984375" customWidth="1"/>
  </cols>
  <sheetData>
    <row r="1" spans="1:34" x14ac:dyDescent="0.35">
      <c r="A1" t="s">
        <v>0</v>
      </c>
      <c r="B1" t="s">
        <v>166</v>
      </c>
      <c r="C1" t="s">
        <v>226</v>
      </c>
      <c r="D1" t="s">
        <v>232</v>
      </c>
      <c r="E1" t="s">
        <v>167</v>
      </c>
      <c r="F1" t="s">
        <v>222</v>
      </c>
      <c r="G1" s="6" t="s">
        <v>225</v>
      </c>
      <c r="H1" t="s">
        <v>168</v>
      </c>
      <c r="I1" t="s">
        <v>169</v>
      </c>
      <c r="J1" t="s">
        <v>170</v>
      </c>
      <c r="K1" t="s">
        <v>160</v>
      </c>
      <c r="L1" t="s">
        <v>161</v>
      </c>
      <c r="M1" t="s">
        <v>162</v>
      </c>
      <c r="N1" t="s">
        <v>223</v>
      </c>
      <c r="O1" t="s">
        <v>163</v>
      </c>
      <c r="P1" t="s">
        <v>164</v>
      </c>
      <c r="Q1" t="s">
        <v>165</v>
      </c>
      <c r="R1" t="s">
        <v>224</v>
      </c>
      <c r="S1" t="s">
        <v>227</v>
      </c>
      <c r="T1" t="s">
        <v>228</v>
      </c>
      <c r="U1" t="s">
        <v>229</v>
      </c>
      <c r="V1" t="s">
        <v>231</v>
      </c>
      <c r="W1" t="s">
        <v>233</v>
      </c>
      <c r="X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</row>
    <row r="2" spans="1:34" x14ac:dyDescent="0.35">
      <c r="A2" t="s">
        <v>1</v>
      </c>
      <c r="B2">
        <v>992.14099999999996</v>
      </c>
      <c r="C2">
        <v>187095</v>
      </c>
      <c r="D2" s="7">
        <v>158782</v>
      </c>
      <c r="E2" s="2"/>
      <c r="F2" s="6">
        <v>3107.249149876835</v>
      </c>
      <c r="G2" s="6">
        <v>-2.1</v>
      </c>
      <c r="H2">
        <v>-0.29790802256458598</v>
      </c>
      <c r="I2" s="4">
        <v>-0.49996227946916427</v>
      </c>
      <c r="J2">
        <v>1.9854294841089</v>
      </c>
      <c r="K2">
        <v>-0.15297860068392799</v>
      </c>
      <c r="M2">
        <v>0.14492942188065799</v>
      </c>
      <c r="N2" s="8">
        <v>0.16729428260769233</v>
      </c>
      <c r="O2">
        <v>0.79096955613266395</v>
      </c>
      <c r="P2">
        <v>0.97779341102097905</v>
      </c>
      <c r="Q2" s="1">
        <v>5072.9960000000001</v>
      </c>
      <c r="R2">
        <f t="shared" ref="R2:R65" si="0">R3/(1+N2/400)</f>
        <v>0.86499827250802008</v>
      </c>
      <c r="S2">
        <v>-4.2005675519999999</v>
      </c>
      <c r="T2">
        <v>3.5197163480000002</v>
      </c>
      <c r="U2">
        <v>4.7928510000000001E-2</v>
      </c>
      <c r="V2">
        <v>889757</v>
      </c>
      <c r="X2">
        <v>1.0810484406104843</v>
      </c>
      <c r="Z2">
        <v>0.73199999999999998</v>
      </c>
      <c r="AA2">
        <v>-6.3651029999999276E-3</v>
      </c>
      <c r="AB2">
        <v>-0.99253556539002696</v>
      </c>
      <c r="AC2" s="4">
        <v>3.8566666666666669</v>
      </c>
      <c r="AD2">
        <v>-1.1871577556454627E-2</v>
      </c>
    </row>
    <row r="3" spans="1:34" x14ac:dyDescent="0.35">
      <c r="A3" t="s">
        <v>2</v>
      </c>
      <c r="B3">
        <v>1022.64</v>
      </c>
      <c r="C3">
        <v>186166</v>
      </c>
      <c r="D3" s="7">
        <v>162516</v>
      </c>
      <c r="E3" s="2"/>
      <c r="F3" s="6">
        <v>3132.4206456131546</v>
      </c>
      <c r="G3" s="6">
        <v>-0.5</v>
      </c>
      <c r="H3">
        <v>-0.26339286943638501</v>
      </c>
      <c r="I3" s="4">
        <v>-0.33476317460317428</v>
      </c>
      <c r="J3">
        <v>2.0035370992705901</v>
      </c>
      <c r="K3">
        <v>-0.25304609672788297</v>
      </c>
      <c r="M3">
        <v>1.0346772708502039E-2</v>
      </c>
      <c r="N3" s="8">
        <v>0.49772333021870668</v>
      </c>
      <c r="O3">
        <v>0.75466324140772201</v>
      </c>
      <c r="P3">
        <v>0.93890474327853302</v>
      </c>
      <c r="Q3" s="1">
        <v>5100.4470000000001</v>
      </c>
      <c r="R3">
        <f t="shared" si="0"/>
        <v>0.86536004567166036</v>
      </c>
      <c r="S3">
        <v>1.0692357020000001</v>
      </c>
      <c r="T3">
        <v>-1.3260016530000001</v>
      </c>
      <c r="U3">
        <v>-0.20350855100000001</v>
      </c>
      <c r="V3">
        <v>920044</v>
      </c>
      <c r="X3">
        <v>1.0808628233821316</v>
      </c>
      <c r="Z3">
        <v>0.72099999999999997</v>
      </c>
      <c r="AA3">
        <v>-1.3500000000000068E-2</v>
      </c>
      <c r="AB3">
        <v>0.11138772535651401</v>
      </c>
      <c r="AC3" s="4">
        <v>4.5666666666666664</v>
      </c>
      <c r="AD3">
        <v>-1.1629499452408765E-2</v>
      </c>
      <c r="AH3">
        <f>_xlfn.VAR.P(G7:G197)/_xlfn.VAR.P((AF7:AF197))</f>
        <v>0.14895882765512239</v>
      </c>
    </row>
    <row r="4" spans="1:34" x14ac:dyDescent="0.35">
      <c r="A4" t="s">
        <v>3</v>
      </c>
      <c r="B4">
        <v>1046.9280000000001</v>
      </c>
      <c r="C4">
        <v>184513</v>
      </c>
      <c r="D4" s="7">
        <v>167176</v>
      </c>
      <c r="E4" s="2"/>
      <c r="F4" s="6">
        <v>3148.7996568785097</v>
      </c>
      <c r="G4" s="6">
        <v>0</v>
      </c>
      <c r="H4">
        <v>-0.24268534738118899</v>
      </c>
      <c r="I4" s="4">
        <v>-0.17078910714285733</v>
      </c>
      <c r="J4">
        <v>1.9910998459870799</v>
      </c>
      <c r="K4">
        <v>-0.37432899080373</v>
      </c>
      <c r="M4">
        <v>-0.13164364342254101</v>
      </c>
      <c r="N4" s="8">
        <v>0.16400188813981464</v>
      </c>
      <c r="O4">
        <v>0.76033864456955003</v>
      </c>
      <c r="P4">
        <v>0.94071233916643904</v>
      </c>
      <c r="Q4" s="1">
        <v>5142.4219999999996</v>
      </c>
      <c r="R4">
        <f t="shared" si="0"/>
        <v>0.86643682038108505</v>
      </c>
      <c r="S4">
        <v>-1.079585612</v>
      </c>
      <c r="T4">
        <v>0.29892607999999998</v>
      </c>
      <c r="U4">
        <v>0.40864257500000001</v>
      </c>
      <c r="V4">
        <v>945526</v>
      </c>
      <c r="X4">
        <v>1.0811185485847099</v>
      </c>
      <c r="Z4">
        <v>0.72099999999999997</v>
      </c>
      <c r="AA4">
        <v>9.0909100000002852E-4</v>
      </c>
      <c r="AB4">
        <v>0.30780087654652699</v>
      </c>
      <c r="AC4" s="4">
        <v>5.4766666666666666</v>
      </c>
      <c r="AD4">
        <v>-3.640672704525505E-3</v>
      </c>
      <c r="AH4">
        <f>AVERAGE(AG7:AG198)</f>
        <v>0.19241418910139149</v>
      </c>
    </row>
    <row r="5" spans="1:34" x14ac:dyDescent="0.35">
      <c r="A5" t="s">
        <v>4</v>
      </c>
      <c r="B5">
        <v>1074.7080000000001</v>
      </c>
      <c r="C5">
        <v>193261</v>
      </c>
      <c r="D5" s="7">
        <v>173481</v>
      </c>
      <c r="E5" s="2"/>
      <c r="F5" s="6">
        <v>3182.1609408143822</v>
      </c>
      <c r="G5" s="6">
        <v>1.9</v>
      </c>
      <c r="H5">
        <v>-0.20713731986809999</v>
      </c>
      <c r="I5" s="4">
        <v>-0.8234862607338016</v>
      </c>
      <c r="J5">
        <v>1.9819173407080799</v>
      </c>
      <c r="K5">
        <v>-0.35322285081190702</v>
      </c>
      <c r="M5">
        <v>-0.14608553094380702</v>
      </c>
      <c r="N5" s="8">
        <v>0.2446985314093047</v>
      </c>
      <c r="O5">
        <v>0.75628188058049906</v>
      </c>
      <c r="P5">
        <v>0.94820076038364898</v>
      </c>
      <c r="Q5" s="1">
        <v>5154.5469999999996</v>
      </c>
      <c r="R5">
        <f t="shared" si="0"/>
        <v>0.86679206356732585</v>
      </c>
      <c r="S5">
        <v>2.398831258</v>
      </c>
      <c r="T5">
        <v>-0.26675264500000001</v>
      </c>
      <c r="U5">
        <v>0.47947587699999999</v>
      </c>
      <c r="V5">
        <v>985069</v>
      </c>
      <c r="X5">
        <v>1.0810909730019287</v>
      </c>
      <c r="Z5">
        <v>0.72399999999999998</v>
      </c>
      <c r="AA5">
        <v>3.1181817999999972E-2</v>
      </c>
      <c r="AB5">
        <v>-7.1932089241717095E-2</v>
      </c>
      <c r="AC5" s="4">
        <v>4.75</v>
      </c>
      <c r="AD5">
        <v>2.8613195352631182E-2</v>
      </c>
    </row>
    <row r="6" spans="1:34" x14ac:dyDescent="0.35">
      <c r="A6" t="s">
        <v>5</v>
      </c>
      <c r="B6">
        <v>1095.5250000000001</v>
      </c>
      <c r="C6">
        <v>192793</v>
      </c>
      <c r="D6" s="7">
        <v>180457</v>
      </c>
      <c r="E6" s="3">
        <v>908.53700000000003</v>
      </c>
      <c r="F6" s="6">
        <v>3226.2103409696001</v>
      </c>
      <c r="G6" s="6">
        <v>2.6</v>
      </c>
      <c r="H6">
        <v>-0.1653665341385</v>
      </c>
      <c r="I6" s="4">
        <v>-0.74157349206349199</v>
      </c>
      <c r="J6">
        <v>2.0227772548784402</v>
      </c>
      <c r="K6">
        <v>-0.73939461011942598</v>
      </c>
      <c r="M6">
        <v>-0.57402807598092598</v>
      </c>
      <c r="N6" s="8">
        <v>0.24291625182383667</v>
      </c>
      <c r="O6">
        <v>0.74905766918581196</v>
      </c>
      <c r="P6">
        <v>0.89377226659146602</v>
      </c>
      <c r="Q6" s="1">
        <v>5249.3370000000004</v>
      </c>
      <c r="R6">
        <f t="shared" si="0"/>
        <v>0.86732232042980639</v>
      </c>
      <c r="S6">
        <v>0.55881061499999996</v>
      </c>
      <c r="T6">
        <v>2.9088960180000001</v>
      </c>
      <c r="U6">
        <v>-3.6705216630000002</v>
      </c>
      <c r="V6">
        <v>1010651</v>
      </c>
      <c r="X6">
        <v>1.0822554766484644</v>
      </c>
      <c r="Z6">
        <v>0.72299999999999998</v>
      </c>
      <c r="AA6">
        <v>-3.0136363999999971E-2</v>
      </c>
      <c r="AB6">
        <v>-0.50540096441740701</v>
      </c>
      <c r="AC6" s="4">
        <v>3.5466666666666669</v>
      </c>
      <c r="AD6">
        <v>2.3036362135946398E-3</v>
      </c>
      <c r="AF6">
        <f>(J6-J2)*100</f>
        <v>3.7347770769540212</v>
      </c>
      <c r="AG6">
        <f>G6/AF6</f>
        <v>0.69615935474266288</v>
      </c>
      <c r="AH6">
        <f>(LOG(Q6)-LOG(Q2))*100</f>
        <v>1.4839934872476146</v>
      </c>
    </row>
    <row r="7" spans="1:34" x14ac:dyDescent="0.35">
      <c r="A7" t="s">
        <v>6</v>
      </c>
      <c r="B7">
        <v>1135.6500000000001</v>
      </c>
      <c r="C7">
        <v>192066</v>
      </c>
      <c r="D7" s="7">
        <v>182764</v>
      </c>
      <c r="E7" s="3">
        <v>919.34500000000003</v>
      </c>
      <c r="F7" s="6">
        <v>3276.546653344858</v>
      </c>
      <c r="G7" s="6">
        <v>3</v>
      </c>
      <c r="H7">
        <v>-0.12881941353867199</v>
      </c>
      <c r="I7" s="4">
        <v>-0.69670607142857222</v>
      </c>
      <c r="J7">
        <v>2.0331157848759598</v>
      </c>
      <c r="K7">
        <v>-0.84409952672258604</v>
      </c>
      <c r="M7">
        <v>-0.71528011318391405</v>
      </c>
      <c r="N7" s="8">
        <v>0.24096478817537068</v>
      </c>
      <c r="O7">
        <v>0.72086478063553305</v>
      </c>
      <c r="P7">
        <v>0.86197467630532798</v>
      </c>
      <c r="Q7" s="1">
        <v>5368.4849999999997</v>
      </c>
      <c r="R7">
        <f t="shared" si="0"/>
        <v>0.86784903714781125</v>
      </c>
      <c r="S7">
        <v>-0.61409979999999997</v>
      </c>
      <c r="T7">
        <v>-1.3445919980000001</v>
      </c>
      <c r="U7">
        <v>0.183849386</v>
      </c>
      <c r="V7">
        <v>1045746</v>
      </c>
      <c r="X7">
        <v>1.0807860956893809</v>
      </c>
      <c r="Z7">
        <v>0.73499999999999999</v>
      </c>
      <c r="AA7">
        <v>5.5922459999999674E-3</v>
      </c>
      <c r="AB7">
        <v>1.3378271273554E-2</v>
      </c>
      <c r="AC7" s="4">
        <v>4.3</v>
      </c>
      <c r="AD7">
        <v>-2.3576010988009766E-2</v>
      </c>
      <c r="AF7">
        <f t="shared" ref="AF7:AF70" si="1">(J7-J3)*100</f>
        <v>2.9578685605369692</v>
      </c>
      <c r="AG7">
        <f t="shared" ref="AG7:AG70" si="2">G7/AF7</f>
        <v>1.0142438511383285</v>
      </c>
      <c r="AH7">
        <f t="shared" ref="AH7:AH70" si="3">(LOG(Q7)-LOG(Q3))*100</f>
        <v>2.2243504928050051</v>
      </c>
    </row>
    <row r="8" spans="1:34" x14ac:dyDescent="0.35">
      <c r="A8" t="s">
        <v>7</v>
      </c>
      <c r="B8">
        <v>1163.951</v>
      </c>
      <c r="C8">
        <v>190045</v>
      </c>
      <c r="D8" s="7">
        <v>189368</v>
      </c>
      <c r="E8" s="3">
        <v>917.59</v>
      </c>
      <c r="F8" s="6">
        <v>3329.6378136526419</v>
      </c>
      <c r="G8" s="6">
        <v>3.5</v>
      </c>
      <c r="H8">
        <v>-0.107067637377101</v>
      </c>
      <c r="I8" s="4">
        <v>-0.61610666666666525</v>
      </c>
      <c r="J8">
        <v>2.0413836183108098</v>
      </c>
      <c r="K8">
        <v>-0.815470678542496</v>
      </c>
      <c r="M8">
        <v>-0.70840304116539499</v>
      </c>
      <c r="N8" s="8">
        <v>0.31879167651217866</v>
      </c>
      <c r="O8">
        <v>0.75740919806524198</v>
      </c>
      <c r="P8">
        <v>0.88100813043735604</v>
      </c>
      <c r="Q8" s="1">
        <v>5419.1840000000002</v>
      </c>
      <c r="R8">
        <f t="shared" si="0"/>
        <v>0.8683718397963226</v>
      </c>
      <c r="S8">
        <v>1.5322160600000001</v>
      </c>
      <c r="T8">
        <v>-4.5506628E-2</v>
      </c>
      <c r="U8">
        <v>-2.9725927999999999E-2</v>
      </c>
      <c r="V8">
        <v>1071183</v>
      </c>
      <c r="X8">
        <v>1.0816099968884703</v>
      </c>
      <c r="Z8">
        <v>0.73799999999999999</v>
      </c>
      <c r="AA8">
        <v>8.0498800000006199E-4</v>
      </c>
      <c r="AB8">
        <v>-7.6880758742980402E-3</v>
      </c>
      <c r="AC8" s="4">
        <v>4.7433333333333332</v>
      </c>
      <c r="AD8">
        <v>-1.9333254369501396E-2</v>
      </c>
      <c r="AF8">
        <f t="shared" si="1"/>
        <v>5.0283772323729936</v>
      </c>
      <c r="AG8">
        <f t="shared" si="2"/>
        <v>0.69604960770778901</v>
      </c>
      <c r="AH8">
        <f t="shared" si="3"/>
        <v>2.276618399955721</v>
      </c>
    </row>
    <row r="9" spans="1:34" x14ac:dyDescent="0.35">
      <c r="A9" t="s">
        <v>8</v>
      </c>
      <c r="B9">
        <v>1205.6320000000001</v>
      </c>
      <c r="C9">
        <v>198789</v>
      </c>
      <c r="D9" s="7">
        <v>198978</v>
      </c>
      <c r="E9" s="3">
        <v>956.77499999999998</v>
      </c>
      <c r="F9" s="6">
        <v>3410.2998972443843</v>
      </c>
      <c r="G9" s="6">
        <v>3.5</v>
      </c>
      <c r="H9">
        <v>-7.0822022542482696E-2</v>
      </c>
      <c r="I9" s="4">
        <v>-0.59691595238095108</v>
      </c>
      <c r="J9">
        <v>2.0655565951187702</v>
      </c>
      <c r="K9">
        <v>-0.47116966650174702</v>
      </c>
      <c r="M9">
        <v>-0.40034764395926431</v>
      </c>
      <c r="N9" s="8">
        <v>0.31577168613730799</v>
      </c>
      <c r="O9">
        <v>0.78272068928217198</v>
      </c>
      <c r="P9">
        <v>0.92604829909453401</v>
      </c>
      <c r="Q9" s="1">
        <v>5509.9260000000004</v>
      </c>
      <c r="R9">
        <f t="shared" si="0"/>
        <v>0.86906391408293426</v>
      </c>
      <c r="S9">
        <v>4.0139768059999996</v>
      </c>
      <c r="T9">
        <v>0.10468662300000001</v>
      </c>
      <c r="U9">
        <v>-0.211610944</v>
      </c>
      <c r="V9">
        <v>1125463</v>
      </c>
      <c r="X9">
        <v>1.082208318253256</v>
      </c>
      <c r="Z9">
        <v>0.72499999999999998</v>
      </c>
      <c r="AA9">
        <v>2.0000000000000018E-2</v>
      </c>
      <c r="AB9">
        <v>-0.79853770106557398</v>
      </c>
      <c r="AC9" s="4">
        <v>5.1466666666666665</v>
      </c>
      <c r="AD9">
        <v>-1.0324680174159107E-2</v>
      </c>
      <c r="AF9">
        <f t="shared" si="1"/>
        <v>8.363925441069032</v>
      </c>
      <c r="AG9">
        <f t="shared" si="2"/>
        <v>0.41846379725171828</v>
      </c>
      <c r="AH9">
        <f t="shared" si="3"/>
        <v>2.8955262236141532</v>
      </c>
    </row>
    <row r="10" spans="1:34" x14ac:dyDescent="0.35">
      <c r="A10" t="s">
        <v>9</v>
      </c>
      <c r="B10">
        <v>1240.6130000000001</v>
      </c>
      <c r="C10">
        <v>195692</v>
      </c>
      <c r="D10" s="7">
        <v>206358</v>
      </c>
      <c r="E10" s="3">
        <v>996.16099999999994</v>
      </c>
      <c r="F10" s="6">
        <v>3488.2415002722041</v>
      </c>
      <c r="G10" s="6">
        <v>3.9</v>
      </c>
      <c r="H10">
        <v>-1.5325943500710299E-2</v>
      </c>
      <c r="I10" s="4">
        <v>-0.4193127342549916</v>
      </c>
      <c r="J10">
        <v>2.0605947058432599</v>
      </c>
      <c r="K10">
        <v>-0.174663821029786</v>
      </c>
      <c r="L10">
        <v>0.88959999999999995</v>
      </c>
      <c r="M10">
        <v>-0.15933787752907572</v>
      </c>
      <c r="N10" s="8">
        <v>0.62397346738689163</v>
      </c>
      <c r="O10">
        <v>0.82162466755668295</v>
      </c>
      <c r="P10">
        <v>1.0025216840570099</v>
      </c>
      <c r="Q10" s="1">
        <v>5646.2860000000001</v>
      </c>
      <c r="R10">
        <f t="shared" si="0"/>
        <v>0.86974997852671188</v>
      </c>
      <c r="S10">
        <v>1.68865036</v>
      </c>
      <c r="T10">
        <v>0.692187102</v>
      </c>
      <c r="U10">
        <v>0.30885107499999997</v>
      </c>
      <c r="V10">
        <v>1154730</v>
      </c>
      <c r="X10">
        <v>1.0839078777232916</v>
      </c>
      <c r="Z10">
        <v>0.71399999999999997</v>
      </c>
      <c r="AA10">
        <v>-2.0186796000000062E-2</v>
      </c>
      <c r="AB10">
        <v>1.4915650291787499</v>
      </c>
      <c r="AC10" s="4">
        <v>6.5366666666666671</v>
      </c>
      <c r="AD10">
        <v>3.3388640893944332E-2</v>
      </c>
      <c r="AF10">
        <f t="shared" si="1"/>
        <v>3.7817450964819699</v>
      </c>
      <c r="AG10">
        <f t="shared" si="2"/>
        <v>1.0312699297549268</v>
      </c>
      <c r="AH10">
        <f t="shared" si="3"/>
        <v>3.1658417830824348</v>
      </c>
    </row>
    <row r="11" spans="1:34" x14ac:dyDescent="0.35">
      <c r="A11" t="s">
        <v>10</v>
      </c>
      <c r="B11">
        <v>1288.1279999999999</v>
      </c>
      <c r="C11">
        <v>194460</v>
      </c>
      <c r="D11" s="7">
        <v>211089</v>
      </c>
      <c r="E11" s="3">
        <v>996.95600000000002</v>
      </c>
      <c r="F11" s="6">
        <v>3529.2354136291092</v>
      </c>
      <c r="G11" s="6">
        <v>4.2</v>
      </c>
      <c r="H11">
        <v>2.1298078977038899E-2</v>
      </c>
      <c r="I11" s="4">
        <v>-0.26696047619047381</v>
      </c>
      <c r="J11">
        <v>2.02940431203595</v>
      </c>
      <c r="K11">
        <v>0.29158209081325798</v>
      </c>
      <c r="L11">
        <v>0.84709999999999996</v>
      </c>
      <c r="M11">
        <v>0.27028401183621908</v>
      </c>
      <c r="N11" s="8">
        <v>0.68809511318404792</v>
      </c>
      <c r="O11">
        <v>0.85461161731455704</v>
      </c>
      <c r="P11">
        <v>1.06804088277295</v>
      </c>
      <c r="Q11" s="1">
        <v>5707.7550000000001</v>
      </c>
      <c r="R11">
        <f t="shared" si="0"/>
        <v>0.87110673080136436</v>
      </c>
      <c r="S11">
        <v>1.8592563150000001</v>
      </c>
      <c r="T11">
        <v>-1.252370848</v>
      </c>
      <c r="U11">
        <v>1.312444078</v>
      </c>
      <c r="V11">
        <v>1198098</v>
      </c>
      <c r="X11">
        <v>1.0837054872579412</v>
      </c>
      <c r="Z11">
        <v>0.71099999999999997</v>
      </c>
      <c r="AA11">
        <v>-1.7608957999999952E-2</v>
      </c>
      <c r="AB11">
        <v>0.95301058772896097</v>
      </c>
      <c r="AC11" s="4">
        <v>7.8166666666666664</v>
      </c>
      <c r="AD11">
        <v>2.1323124234942981E-2</v>
      </c>
      <c r="AF11">
        <f t="shared" si="1"/>
        <v>-0.37114728400098329</v>
      </c>
      <c r="AG11">
        <f t="shared" si="2"/>
        <v>-11.316262252343124</v>
      </c>
      <c r="AH11">
        <f t="shared" si="3"/>
        <v>2.6613579169704416</v>
      </c>
    </row>
    <row r="12" spans="1:34" x14ac:dyDescent="0.35">
      <c r="A12" t="s">
        <v>11</v>
      </c>
      <c r="B12">
        <v>1328.508</v>
      </c>
      <c r="C12">
        <v>191718</v>
      </c>
      <c r="D12" s="7">
        <v>227144</v>
      </c>
      <c r="E12" s="3">
        <v>988.51099999999997</v>
      </c>
      <c r="F12" s="6">
        <v>3575.1040193994281</v>
      </c>
      <c r="G12" s="6">
        <v>4.3</v>
      </c>
      <c r="H12">
        <v>5.4077372275052098E-2</v>
      </c>
      <c r="I12" s="4">
        <v>0.12014968253968394</v>
      </c>
      <c r="J12">
        <v>2.0268212039414402</v>
      </c>
      <c r="K12">
        <v>0.27369989030185998</v>
      </c>
      <c r="L12">
        <v>0.69550000000000001</v>
      </c>
      <c r="M12">
        <v>0.21962251802680788</v>
      </c>
      <c r="N12" s="8">
        <v>0.7512809694685626</v>
      </c>
      <c r="O12">
        <v>0.94089069224208299</v>
      </c>
      <c r="P12">
        <v>1.1392991253110301</v>
      </c>
      <c r="Q12" s="1">
        <v>5677.7380000000003</v>
      </c>
      <c r="R12">
        <f t="shared" si="0"/>
        <v>0.87260524151267982</v>
      </c>
      <c r="S12">
        <v>3.5375631790000002</v>
      </c>
      <c r="T12">
        <v>0.26813095100000001</v>
      </c>
      <c r="U12">
        <v>1.2148524089999999</v>
      </c>
      <c r="V12">
        <v>1215757</v>
      </c>
      <c r="X12">
        <v>1.0876951040786733</v>
      </c>
      <c r="Z12">
        <v>0.72599999999999998</v>
      </c>
      <c r="AA12">
        <v>6.9141939999999291E-3</v>
      </c>
      <c r="AB12">
        <v>-0.52173464665715896</v>
      </c>
      <c r="AC12" s="4">
        <v>10.56</v>
      </c>
      <c r="AD12">
        <v>2.5083577054625605E-2</v>
      </c>
      <c r="AF12">
        <f t="shared" si="1"/>
        <v>-1.4562414369369669</v>
      </c>
      <c r="AG12">
        <f t="shared" si="2"/>
        <v>-2.9528070627110745</v>
      </c>
      <c r="AH12">
        <f t="shared" si="3"/>
        <v>2.0241451014411549</v>
      </c>
    </row>
    <row r="13" spans="1:34" x14ac:dyDescent="0.35">
      <c r="A13" t="s">
        <v>12</v>
      </c>
      <c r="B13">
        <v>1364.2550000000001</v>
      </c>
      <c r="C13">
        <v>199690</v>
      </c>
      <c r="D13" s="7">
        <v>226460</v>
      </c>
      <c r="E13" s="3">
        <v>982.62800000000004</v>
      </c>
      <c r="F13" s="6">
        <v>3600.9919148798799</v>
      </c>
      <c r="G13" s="6">
        <v>3.8</v>
      </c>
      <c r="H13">
        <v>9.9400786718817399E-2</v>
      </c>
      <c r="I13" s="4">
        <v>-0.34416785714285592</v>
      </c>
      <c r="J13">
        <v>1.99265843806265</v>
      </c>
      <c r="K13">
        <v>0.48129294679297702</v>
      </c>
      <c r="L13">
        <v>1.0661</v>
      </c>
      <c r="M13">
        <v>0.3818921600741596</v>
      </c>
      <c r="N13" s="8">
        <v>0.73214842009877301</v>
      </c>
      <c r="O13">
        <v>0.94060057207050796</v>
      </c>
      <c r="P13">
        <v>1.19641641544229</v>
      </c>
      <c r="Q13" s="1">
        <v>5731.6319999999996</v>
      </c>
      <c r="R13">
        <f t="shared" si="0"/>
        <v>0.87424417079219729</v>
      </c>
      <c r="S13">
        <v>1.707309907</v>
      </c>
      <c r="T13">
        <v>0.11346682</v>
      </c>
      <c r="U13">
        <v>-1.917343633</v>
      </c>
      <c r="V13">
        <v>1272268</v>
      </c>
      <c r="X13">
        <v>1.0851957440501048</v>
      </c>
      <c r="Z13">
        <v>0.73599999999999999</v>
      </c>
      <c r="AA13">
        <v>1.1951125000000062E-2</v>
      </c>
      <c r="AB13">
        <v>3.2358202813405899</v>
      </c>
      <c r="AC13" s="4">
        <v>9.9966666666666661</v>
      </c>
      <c r="AD13">
        <v>-2.3258883884308856E-2</v>
      </c>
      <c r="AF13">
        <f t="shared" si="1"/>
        <v>-7.2898157056120239</v>
      </c>
      <c r="AG13">
        <f t="shared" si="2"/>
        <v>-0.52127518080801294</v>
      </c>
      <c r="AH13">
        <f t="shared" si="3"/>
        <v>1.713253251765412</v>
      </c>
    </row>
    <row r="14" spans="1:34" x14ac:dyDescent="0.35">
      <c r="A14" t="s">
        <v>13</v>
      </c>
      <c r="B14">
        <v>1389.6769999999999</v>
      </c>
      <c r="C14">
        <v>197033</v>
      </c>
      <c r="D14" s="7">
        <v>234288</v>
      </c>
      <c r="E14" s="3">
        <v>973.87800000000004</v>
      </c>
      <c r="F14" s="6">
        <v>3630.8792170736556</v>
      </c>
      <c r="G14" s="6">
        <v>1.8</v>
      </c>
      <c r="H14">
        <v>0.14696107469014399</v>
      </c>
      <c r="I14" s="4">
        <v>-3.8360526932081029E-2</v>
      </c>
      <c r="J14">
        <v>1.9806950527515499</v>
      </c>
      <c r="K14">
        <v>0.57698053759631696</v>
      </c>
      <c r="L14">
        <v>0.98280000000000001</v>
      </c>
      <c r="M14">
        <v>0.43001946290617299</v>
      </c>
      <c r="N14" s="8">
        <v>1.1415136515158328</v>
      </c>
      <c r="O14">
        <v>0.92797056191534899</v>
      </c>
      <c r="P14">
        <v>1.11474869908889</v>
      </c>
      <c r="Q14" s="1">
        <v>5682.3530000000001</v>
      </c>
      <c r="R14">
        <f t="shared" si="0"/>
        <v>0.87584436201326255</v>
      </c>
      <c r="S14">
        <v>-0.36504645800000002</v>
      </c>
      <c r="T14">
        <v>-0.73052763300000001</v>
      </c>
      <c r="U14">
        <v>-0.10677294499999999</v>
      </c>
      <c r="V14">
        <v>1292853</v>
      </c>
      <c r="X14">
        <v>1.0866321229728875</v>
      </c>
      <c r="Z14">
        <v>0.71199999999999997</v>
      </c>
      <c r="AA14">
        <v>3.9284949999999985E-2</v>
      </c>
      <c r="AB14">
        <v>-1.01697094176159</v>
      </c>
      <c r="AC14" s="4">
        <v>9.3233333333333341</v>
      </c>
      <c r="AD14">
        <v>-8.0833952636307771E-3</v>
      </c>
      <c r="AF14">
        <f t="shared" si="1"/>
        <v>-7.9899653091709988</v>
      </c>
      <c r="AG14">
        <f t="shared" si="2"/>
        <v>-0.22528258013009567</v>
      </c>
      <c r="AH14">
        <f t="shared" si="3"/>
        <v>0.27653369484714752</v>
      </c>
    </row>
    <row r="15" spans="1:34" x14ac:dyDescent="0.35">
      <c r="A15" t="s">
        <v>14</v>
      </c>
      <c r="B15">
        <v>1441.086</v>
      </c>
      <c r="C15">
        <v>197109</v>
      </c>
      <c r="D15" s="7">
        <v>239675</v>
      </c>
      <c r="E15" s="3">
        <v>970.42899999999997</v>
      </c>
      <c r="F15" s="6">
        <v>3692.3401090352208</v>
      </c>
      <c r="G15" s="6">
        <v>1</v>
      </c>
      <c r="H15">
        <v>0.19678439434136499</v>
      </c>
      <c r="I15" s="4">
        <v>0.49468238095238348</v>
      </c>
      <c r="J15">
        <v>1.94278924507463</v>
      </c>
      <c r="K15">
        <v>0.75252262109275503</v>
      </c>
      <c r="L15">
        <v>1.1518999999999999</v>
      </c>
      <c r="M15">
        <v>0.55573822675139006</v>
      </c>
      <c r="N15" s="8">
        <v>0.83048510311023738</v>
      </c>
      <c r="O15">
        <v>0.93079600840638499</v>
      </c>
      <c r="P15">
        <v>1.1263068837869601</v>
      </c>
      <c r="Q15" s="1">
        <v>5695.8590000000004</v>
      </c>
      <c r="R15">
        <f t="shared" si="0"/>
        <v>0.87834383275286587</v>
      </c>
      <c r="S15">
        <v>1.475847162</v>
      </c>
      <c r="T15">
        <v>0.14781981899999999</v>
      </c>
      <c r="U15">
        <v>1.8949369039999999</v>
      </c>
      <c r="V15">
        <v>1335614</v>
      </c>
      <c r="X15">
        <v>1.0862854470552785</v>
      </c>
      <c r="Z15">
        <v>0.71299999999999997</v>
      </c>
      <c r="AA15">
        <v>-1.1692307999999985E-2</v>
      </c>
      <c r="AB15">
        <v>2.76187879058363</v>
      </c>
      <c r="AC15" s="4">
        <v>11.25</v>
      </c>
      <c r="AD15">
        <v>-1.045556385362223E-2</v>
      </c>
      <c r="AF15">
        <f t="shared" si="1"/>
        <v>-8.661506696131994</v>
      </c>
      <c r="AG15">
        <f t="shared" si="2"/>
        <v>-0.11545335414294308</v>
      </c>
      <c r="AH15">
        <f t="shared" si="3"/>
        <v>-9.0609328424706703E-2</v>
      </c>
    </row>
    <row r="16" spans="1:34" x14ac:dyDescent="0.35">
      <c r="A16" t="s">
        <v>15</v>
      </c>
      <c r="B16">
        <v>1478.518</v>
      </c>
      <c r="C16">
        <v>196141</v>
      </c>
      <c r="D16" s="7">
        <v>229796</v>
      </c>
      <c r="E16" s="3">
        <v>953.83699999999999</v>
      </c>
      <c r="F16" s="6">
        <v>3741.7166434262131</v>
      </c>
      <c r="G16" s="6">
        <v>0</v>
      </c>
      <c r="H16">
        <v>0.254509896849897</v>
      </c>
      <c r="I16" s="4">
        <v>0.98917160714285846</v>
      </c>
      <c r="J16">
        <v>1.8519564473152501</v>
      </c>
      <c r="K16">
        <v>1.4335446451101399</v>
      </c>
      <c r="L16">
        <v>1.9156</v>
      </c>
      <c r="M16">
        <v>1.1790347482602428</v>
      </c>
      <c r="N16" s="8">
        <v>1.076967143132556</v>
      </c>
      <c r="O16">
        <v>0.959433592484772</v>
      </c>
      <c r="P16">
        <v>1.20853578899459</v>
      </c>
      <c r="Q16" s="1">
        <v>5642.0249999999996</v>
      </c>
      <c r="R16">
        <f t="shared" si="0"/>
        <v>0.88016746142414093</v>
      </c>
      <c r="S16">
        <v>0.85070264399999995</v>
      </c>
      <c r="T16">
        <v>-0.83917507599999996</v>
      </c>
      <c r="U16">
        <v>3.4635749009999999</v>
      </c>
      <c r="V16">
        <v>1352022</v>
      </c>
      <c r="X16">
        <v>1.0811934299309349</v>
      </c>
      <c r="Z16">
        <v>0.71299999999999997</v>
      </c>
      <c r="AA16">
        <v>-4.1247580000000061E-3</v>
      </c>
      <c r="AB16">
        <v>3.8256053041765199</v>
      </c>
      <c r="AC16" s="4">
        <v>12.09</v>
      </c>
      <c r="AD16">
        <v>-1.2828438948995324E-2</v>
      </c>
      <c r="AF16">
        <f t="shared" si="1"/>
        <v>-17.486475662619007</v>
      </c>
      <c r="AG16">
        <f t="shared" si="2"/>
        <v>0</v>
      </c>
      <c r="AH16">
        <f t="shared" si="3"/>
        <v>-0.27403418768106036</v>
      </c>
    </row>
    <row r="17" spans="1:34" x14ac:dyDescent="0.35">
      <c r="A17" t="s">
        <v>16</v>
      </c>
      <c r="B17">
        <v>1511.787</v>
      </c>
      <c r="C17">
        <v>202170</v>
      </c>
      <c r="D17" s="7">
        <v>241729</v>
      </c>
      <c r="E17" s="3">
        <v>911.37900000000002</v>
      </c>
      <c r="F17" s="6">
        <v>3699.7296856769576</v>
      </c>
      <c r="G17" s="6">
        <v>-2.1</v>
      </c>
      <c r="H17">
        <v>0.32648418248439898</v>
      </c>
      <c r="I17" s="4">
        <v>0.80944858704137435</v>
      </c>
      <c r="J17">
        <v>1.8411448393403</v>
      </c>
      <c r="K17">
        <v>1.5758591530499599</v>
      </c>
      <c r="L17">
        <v>2.0764</v>
      </c>
      <c r="M17">
        <v>1.249374970565561</v>
      </c>
      <c r="N17" s="8">
        <v>0.84920672886232962</v>
      </c>
      <c r="O17">
        <v>0.99742135048234004</v>
      </c>
      <c r="P17">
        <v>1.2550740304563901</v>
      </c>
      <c r="Q17" s="1">
        <v>5620.1260000000002</v>
      </c>
      <c r="R17">
        <f t="shared" si="0"/>
        <v>0.88253724001516143</v>
      </c>
      <c r="S17">
        <v>-5.7580010330000002</v>
      </c>
      <c r="T17">
        <v>-5.0263148429999998</v>
      </c>
      <c r="U17">
        <v>3.9206876290000001</v>
      </c>
      <c r="V17">
        <v>1384273</v>
      </c>
      <c r="X17">
        <v>1.0837451086702339</v>
      </c>
      <c r="Z17">
        <v>0.71550000000000002</v>
      </c>
      <c r="AA17">
        <v>-5.089831899999997E-2</v>
      </c>
      <c r="AB17">
        <v>-1.56373002428977</v>
      </c>
      <c r="AC17" s="4">
        <v>9.3466666666666676</v>
      </c>
      <c r="AD17">
        <v>-2.2248579424328785E-3</v>
      </c>
      <c r="AF17">
        <f t="shared" si="1"/>
        <v>-15.151359872234993</v>
      </c>
      <c r="AG17">
        <f t="shared" si="2"/>
        <v>0.13860142044730053</v>
      </c>
      <c r="AH17">
        <f t="shared" si="3"/>
        <v>-0.85322463889205835</v>
      </c>
    </row>
    <row r="18" spans="1:34" x14ac:dyDescent="0.35">
      <c r="A18" t="s">
        <v>17</v>
      </c>
      <c r="B18">
        <v>1520.1980000000001</v>
      </c>
      <c r="C18">
        <v>213894</v>
      </c>
      <c r="D18" s="7">
        <v>254484</v>
      </c>
      <c r="E18" s="3">
        <v>876.76</v>
      </c>
      <c r="F18" s="6">
        <v>3709.2437915621781</v>
      </c>
      <c r="G18" s="6">
        <v>-4.7</v>
      </c>
      <c r="H18">
        <v>0.36324663246816202</v>
      </c>
      <c r="I18" s="4">
        <v>0.82049095238095315</v>
      </c>
      <c r="J18">
        <v>1.8958233820538299</v>
      </c>
      <c r="K18">
        <v>1.49594577879077</v>
      </c>
      <c r="L18">
        <v>1.415</v>
      </c>
      <c r="M18">
        <v>1.1326991463226079</v>
      </c>
      <c r="N18" s="8">
        <v>0.511354384763678</v>
      </c>
      <c r="O18">
        <v>0.95919583724984903</v>
      </c>
      <c r="P18">
        <v>1.2120658438782701</v>
      </c>
      <c r="Q18" s="1">
        <v>5551.7129999999997</v>
      </c>
      <c r="R18">
        <f t="shared" si="0"/>
        <v>0.8844108814218925</v>
      </c>
      <c r="S18">
        <v>-4.787174802</v>
      </c>
      <c r="T18">
        <v>1.5937692080000001</v>
      </c>
      <c r="U18">
        <v>-0.98702403699999997</v>
      </c>
      <c r="V18">
        <v>1408752</v>
      </c>
      <c r="X18">
        <v>1.0863418020344697</v>
      </c>
      <c r="Z18">
        <v>0.68</v>
      </c>
      <c r="AA18">
        <v>-5.6000000000000494E-3</v>
      </c>
      <c r="AB18">
        <v>-0.42944658634869098</v>
      </c>
      <c r="AC18" s="4">
        <v>6.3033333333333337</v>
      </c>
      <c r="AD18">
        <v>4.4844085897228769E-3</v>
      </c>
      <c r="AF18">
        <f t="shared" si="1"/>
        <v>-8.4871670697719956</v>
      </c>
      <c r="AG18">
        <f t="shared" si="2"/>
        <v>0.55377724526474581</v>
      </c>
      <c r="AH18">
        <f t="shared" si="3"/>
        <v>-1.0101202687446964</v>
      </c>
    </row>
    <row r="19" spans="1:34" x14ac:dyDescent="0.35">
      <c r="A19" t="s">
        <v>18</v>
      </c>
      <c r="B19">
        <v>1546.981</v>
      </c>
      <c r="C19">
        <v>231258</v>
      </c>
      <c r="D19" s="7">
        <v>265915</v>
      </c>
      <c r="E19" s="3">
        <v>856.80600000000004</v>
      </c>
      <c r="F19" s="6">
        <v>3722.0425633613895</v>
      </c>
      <c r="G19" s="6">
        <v>-5.9</v>
      </c>
      <c r="H19">
        <v>0.387111455780076</v>
      </c>
      <c r="I19" s="4">
        <v>1.4727935714285723</v>
      </c>
      <c r="J19">
        <v>1.9536193721861901</v>
      </c>
      <c r="K19">
        <v>1.2809491452966599</v>
      </c>
      <c r="L19">
        <v>1.2315</v>
      </c>
      <c r="M19">
        <v>0.89383768951658393</v>
      </c>
      <c r="N19" s="8">
        <v>0.56616469702898065</v>
      </c>
      <c r="O19">
        <v>0.89676814656029402</v>
      </c>
      <c r="P19">
        <v>1.07600057617251</v>
      </c>
      <c r="Q19" s="1">
        <v>5591.3819999999996</v>
      </c>
      <c r="R19">
        <f t="shared" si="0"/>
        <v>0.88554149987726205</v>
      </c>
      <c r="S19">
        <v>2.1712544110000001</v>
      </c>
      <c r="T19">
        <v>-1.2464273699999999</v>
      </c>
      <c r="U19">
        <v>-0.406702067</v>
      </c>
      <c r="V19">
        <v>1448180</v>
      </c>
      <c r="X19">
        <v>1.0882971824527301</v>
      </c>
      <c r="Z19">
        <v>0.70899999999999996</v>
      </c>
      <c r="AA19">
        <v>-1.5674999999999994E-2</v>
      </c>
      <c r="AB19">
        <v>-0.87082343689506903</v>
      </c>
      <c r="AC19" s="4">
        <v>5.42</v>
      </c>
      <c r="AD19">
        <v>-7.3048032527047724E-3</v>
      </c>
      <c r="AF19">
        <f t="shared" si="1"/>
        <v>1.0830127111560062</v>
      </c>
      <c r="AG19">
        <f t="shared" si="2"/>
        <v>-5.4477661612137025</v>
      </c>
      <c r="AH19">
        <f t="shared" si="3"/>
        <v>-0.80400658561172733</v>
      </c>
    </row>
    <row r="20" spans="1:34" x14ac:dyDescent="0.35">
      <c r="A20" t="s">
        <v>19</v>
      </c>
      <c r="B20">
        <v>1573.134</v>
      </c>
      <c r="C20">
        <v>243947</v>
      </c>
      <c r="D20" s="7">
        <v>260191</v>
      </c>
      <c r="E20" s="3">
        <v>887.95399999999995</v>
      </c>
      <c r="F20" s="6">
        <v>3760.3222587607343</v>
      </c>
      <c r="G20" s="6">
        <v>-4.7</v>
      </c>
      <c r="H20">
        <v>0.43078399609319801</v>
      </c>
      <c r="I20" s="4">
        <v>1.8322875000000005</v>
      </c>
      <c r="J20">
        <v>1.9360158998506201</v>
      </c>
      <c r="K20">
        <v>1.4534451881306001</v>
      </c>
      <c r="L20">
        <v>1.1962999999999999</v>
      </c>
      <c r="M20">
        <v>1.022661192037402</v>
      </c>
      <c r="N20" s="8">
        <v>0.6187970059794583</v>
      </c>
      <c r="O20">
        <v>0.84630792691854895</v>
      </c>
      <c r="P20">
        <v>1.0188284435445301</v>
      </c>
      <c r="Q20" s="1">
        <v>5687.0870000000004</v>
      </c>
      <c r="R20">
        <f t="shared" si="0"/>
        <v>0.88679490571472352</v>
      </c>
      <c r="S20">
        <v>0.745475891</v>
      </c>
      <c r="T20">
        <v>2.921434079</v>
      </c>
      <c r="U20">
        <v>-0.756122293</v>
      </c>
      <c r="V20">
        <v>1463536</v>
      </c>
      <c r="X20">
        <v>1.0850389094248727</v>
      </c>
      <c r="Z20">
        <v>0.690499999999999</v>
      </c>
      <c r="AA20">
        <v>-3.9249999999999563E-3</v>
      </c>
      <c r="AB20">
        <v>1.618526836339</v>
      </c>
      <c r="AC20" s="4">
        <v>6.16</v>
      </c>
      <c r="AD20">
        <v>6.3287292397924411E-3</v>
      </c>
      <c r="AF20">
        <f t="shared" si="1"/>
        <v>8.405945253536995</v>
      </c>
      <c r="AG20">
        <f t="shared" si="2"/>
        <v>-0.55912807640786943</v>
      </c>
      <c r="AH20">
        <f t="shared" si="3"/>
        <v>0.34548658623858586</v>
      </c>
    </row>
    <row r="21" spans="1:34" x14ac:dyDescent="0.35">
      <c r="A21" t="s">
        <v>20</v>
      </c>
      <c r="B21">
        <v>1607.7429999999999</v>
      </c>
      <c r="C21">
        <v>256353</v>
      </c>
      <c r="D21" s="7">
        <v>269392</v>
      </c>
      <c r="E21" s="3">
        <v>909.90300000000002</v>
      </c>
      <c r="F21" s="6">
        <v>3792.3720990619436</v>
      </c>
      <c r="G21" s="6">
        <v>-1.5</v>
      </c>
      <c r="H21">
        <v>0.459914538966544</v>
      </c>
      <c r="I21" s="4">
        <v>1.696495593286496</v>
      </c>
      <c r="J21">
        <v>1.9512518912877399</v>
      </c>
      <c r="K21">
        <v>1.548580156324</v>
      </c>
      <c r="L21">
        <v>1.0724</v>
      </c>
      <c r="M21">
        <v>1.088665617357456</v>
      </c>
      <c r="N21" s="8">
        <v>0.54657055072079164</v>
      </c>
      <c r="O21">
        <v>0.79199990539623599</v>
      </c>
      <c r="P21">
        <v>1.00045912120836</v>
      </c>
      <c r="Q21" s="1">
        <v>5763.665</v>
      </c>
      <c r="R21">
        <f t="shared" si="0"/>
        <v>0.88816677079615891</v>
      </c>
      <c r="S21">
        <v>0.72190290800000001</v>
      </c>
      <c r="T21">
        <v>-0.28344698000000002</v>
      </c>
      <c r="U21">
        <v>0.83826267499999996</v>
      </c>
      <c r="V21">
        <v>1512822</v>
      </c>
      <c r="X21">
        <v>1.0856769026148452</v>
      </c>
      <c r="Z21">
        <v>0.69449999999999901</v>
      </c>
      <c r="AA21">
        <v>4.8499999999999099E-3</v>
      </c>
      <c r="AB21">
        <v>-0.24768794087520199</v>
      </c>
      <c r="AC21" s="4">
        <v>5.4133333333333331</v>
      </c>
      <c r="AD21">
        <v>-3.7410724407663798E-3</v>
      </c>
      <c r="AF21">
        <f t="shared" si="1"/>
        <v>11.010705194743986</v>
      </c>
      <c r="AG21">
        <f t="shared" si="2"/>
        <v>-0.13623105636467611</v>
      </c>
      <c r="AH21">
        <f t="shared" si="3"/>
        <v>1.0952678179128927</v>
      </c>
    </row>
    <row r="22" spans="1:34" x14ac:dyDescent="0.35">
      <c r="A22" t="s">
        <v>21</v>
      </c>
      <c r="B22">
        <v>1628.36</v>
      </c>
      <c r="C22">
        <v>269175</v>
      </c>
      <c r="D22" s="7">
        <v>281633</v>
      </c>
      <c r="E22" s="3">
        <v>942.82600000000002</v>
      </c>
      <c r="F22" s="6">
        <v>3845.7791094801073</v>
      </c>
      <c r="G22" s="6">
        <v>3.4</v>
      </c>
      <c r="H22">
        <v>0.487116466789139</v>
      </c>
      <c r="I22" s="4">
        <v>1.4638217818740396</v>
      </c>
      <c r="J22">
        <v>1.9978312003404799</v>
      </c>
      <c r="K22">
        <v>1.5727236830262099</v>
      </c>
      <c r="L22">
        <v>0.86140000000000005</v>
      </c>
      <c r="M22">
        <v>1.0856072162370709</v>
      </c>
      <c r="N22" s="8">
        <v>0.23970129331002035</v>
      </c>
      <c r="O22">
        <v>0.77115583158966405</v>
      </c>
      <c r="P22">
        <v>0.98979670141818499</v>
      </c>
      <c r="Q22" s="1">
        <v>5893.2759999999998</v>
      </c>
      <c r="R22">
        <f t="shared" si="0"/>
        <v>0.88938038529877395</v>
      </c>
      <c r="S22">
        <v>-0.88467790099999999</v>
      </c>
      <c r="T22">
        <v>1.5373063220000001</v>
      </c>
      <c r="U22">
        <v>-3.3945029949999999</v>
      </c>
      <c r="V22">
        <v>1543968</v>
      </c>
      <c r="X22">
        <v>1.087880249730399</v>
      </c>
      <c r="Z22">
        <v>0.70849999999999902</v>
      </c>
      <c r="AA22">
        <v>8.2750000000000323E-3</v>
      </c>
      <c r="AB22">
        <v>-0.26766813387741401</v>
      </c>
      <c r="AC22" s="4">
        <v>4.8266666666666671</v>
      </c>
      <c r="AD22">
        <v>3.0430448436880031E-3</v>
      </c>
      <c r="AF22">
        <f t="shared" si="1"/>
        <v>10.200781828664995</v>
      </c>
      <c r="AG22">
        <f t="shared" si="2"/>
        <v>0.33330778533521166</v>
      </c>
      <c r="AH22">
        <f t="shared" si="3"/>
        <v>2.5929774054450405</v>
      </c>
    </row>
    <row r="23" spans="1:34" x14ac:dyDescent="0.35">
      <c r="A23" t="s">
        <v>22</v>
      </c>
      <c r="B23">
        <v>1676.1590000000001</v>
      </c>
      <c r="C23">
        <v>283316</v>
      </c>
      <c r="D23" s="7">
        <v>285682</v>
      </c>
      <c r="E23" s="3">
        <v>943.01800000000003</v>
      </c>
      <c r="F23" s="6">
        <v>3852.9639058617281</v>
      </c>
      <c r="G23" s="6">
        <v>4.4000000000000004</v>
      </c>
      <c r="H23">
        <v>0.53189940266000801</v>
      </c>
      <c r="I23" s="4">
        <v>1.5568477777777767</v>
      </c>
      <c r="J23">
        <v>2.0097425483686102</v>
      </c>
      <c r="K23">
        <v>1.7849868295417299</v>
      </c>
      <c r="L23">
        <v>0.89349999999999996</v>
      </c>
      <c r="M23">
        <v>1.2530874268817218</v>
      </c>
      <c r="N23" s="8">
        <v>0.53392256072545574</v>
      </c>
      <c r="O23">
        <v>0.73877531665098295</v>
      </c>
      <c r="P23">
        <v>0.87362976742421194</v>
      </c>
      <c r="Q23" s="1">
        <v>5936.5150000000003</v>
      </c>
      <c r="R23">
        <f t="shared" si="0"/>
        <v>0.88991334937027566</v>
      </c>
      <c r="S23">
        <v>-1.0698054100000001</v>
      </c>
      <c r="T23">
        <v>-0.33983404699999997</v>
      </c>
      <c r="U23">
        <v>-0.71612103400000005</v>
      </c>
      <c r="V23">
        <v>1597020</v>
      </c>
      <c r="X23">
        <v>1.0870693157481042</v>
      </c>
      <c r="Z23">
        <v>0.69699999999999995</v>
      </c>
      <c r="AA23">
        <v>-3.5999999999999366E-3</v>
      </c>
      <c r="AB23">
        <v>-0.98277565406954703</v>
      </c>
      <c r="AC23" s="4">
        <v>5.1966666666666663</v>
      </c>
      <c r="AD23">
        <v>-4.3248281574241876E-3</v>
      </c>
      <c r="AF23">
        <f t="shared" si="1"/>
        <v>5.6123176182420131</v>
      </c>
      <c r="AG23">
        <f t="shared" si="2"/>
        <v>0.78398984150477291</v>
      </c>
      <c r="AH23">
        <f t="shared" si="3"/>
        <v>2.6012405466052435</v>
      </c>
    </row>
    <row r="24" spans="1:34" x14ac:dyDescent="0.35">
      <c r="A24" t="s">
        <v>23</v>
      </c>
      <c r="B24">
        <v>1716.8030000000001</v>
      </c>
      <c r="C24">
        <v>294551</v>
      </c>
      <c r="D24" s="7">
        <v>292572</v>
      </c>
      <c r="E24" s="3">
        <v>949.2</v>
      </c>
      <c r="F24" s="6">
        <v>3894.5993490683504</v>
      </c>
      <c r="G24" s="6">
        <v>3.8</v>
      </c>
      <c r="H24">
        <v>0.56087232202355297</v>
      </c>
      <c r="I24" s="4">
        <v>1.5796575000000006</v>
      </c>
      <c r="J24">
        <v>2.01517565505325</v>
      </c>
      <c r="K24">
        <v>1.70835528515347</v>
      </c>
      <c r="L24">
        <v>0.8266</v>
      </c>
      <c r="M24">
        <v>1.147482963129917</v>
      </c>
      <c r="N24" s="8">
        <v>0.46733170512259331</v>
      </c>
      <c r="O24">
        <v>0.72467702988030203</v>
      </c>
      <c r="P24">
        <v>0.82499208489428</v>
      </c>
      <c r="Q24" s="1">
        <v>5969.0889999999999</v>
      </c>
      <c r="R24">
        <f t="shared" si="0"/>
        <v>0.89110121140607457</v>
      </c>
      <c r="S24">
        <v>0.47204128499999998</v>
      </c>
      <c r="T24">
        <v>-1.2983942820000001</v>
      </c>
      <c r="U24">
        <v>-0.62702346200000003</v>
      </c>
      <c r="V24">
        <v>1633142</v>
      </c>
      <c r="X24">
        <v>1.0873335176089698</v>
      </c>
      <c r="Z24">
        <v>0.69899999999999995</v>
      </c>
      <c r="AA24">
        <v>1.4049999999999896E-2</v>
      </c>
      <c r="AB24">
        <v>0.937984785231746</v>
      </c>
      <c r="AC24" s="4">
        <v>5.2833333333333332</v>
      </c>
      <c r="AD24">
        <v>-3.0354556211714678E-3</v>
      </c>
      <c r="AF24">
        <f t="shared" si="1"/>
        <v>7.9159755202629967</v>
      </c>
      <c r="AG24">
        <f t="shared" si="2"/>
        <v>0.4800419089565035</v>
      </c>
      <c r="AH24">
        <f t="shared" si="3"/>
        <v>2.1018182275662323</v>
      </c>
    </row>
    <row r="25" spans="1:34" x14ac:dyDescent="0.35">
      <c r="A25" t="s">
        <v>24</v>
      </c>
      <c r="B25">
        <v>1767.6890000000001</v>
      </c>
      <c r="C25">
        <v>306674</v>
      </c>
      <c r="D25" s="7">
        <v>305243</v>
      </c>
      <c r="E25" s="3">
        <v>980.029</v>
      </c>
      <c r="F25" s="6">
        <v>3947.9710052326823</v>
      </c>
      <c r="G25" s="6">
        <v>2.7</v>
      </c>
      <c r="H25">
        <v>0.582009613070267</v>
      </c>
      <c r="I25" s="4">
        <v>1.1019398165495708</v>
      </c>
      <c r="J25">
        <v>2.0125635970913098</v>
      </c>
      <c r="K25">
        <v>1.7657757769265601</v>
      </c>
      <c r="L25">
        <v>0.88339999999999996</v>
      </c>
      <c r="M25">
        <v>1.1837661638562931</v>
      </c>
      <c r="N25" s="8">
        <v>0.34612416373851229</v>
      </c>
      <c r="O25">
        <v>0.75037320212113201</v>
      </c>
      <c r="P25">
        <v>0.83759722049949703</v>
      </c>
      <c r="Q25" s="1">
        <v>6012.3559999999998</v>
      </c>
      <c r="R25">
        <f t="shared" si="0"/>
        <v>0.89214231102748254</v>
      </c>
      <c r="S25">
        <v>1.796614409</v>
      </c>
      <c r="T25">
        <v>0.22468131299999999</v>
      </c>
      <c r="U25">
        <v>-0.229351523</v>
      </c>
      <c r="V25">
        <v>1699624</v>
      </c>
      <c r="X25">
        <v>1.0886830304289277</v>
      </c>
      <c r="Z25">
        <v>0.69249999999999901</v>
      </c>
      <c r="AA25">
        <v>-3.1749999999999279E-3</v>
      </c>
      <c r="AB25">
        <v>-1.1224234608412</v>
      </c>
      <c r="AC25" s="4">
        <v>4.8733333333333331</v>
      </c>
      <c r="AD25">
        <v>7.470753986467793E-3</v>
      </c>
      <c r="AF25">
        <f t="shared" si="1"/>
        <v>6.1311705803569927</v>
      </c>
      <c r="AG25">
        <f t="shared" si="2"/>
        <v>0.44037267673651814</v>
      </c>
      <c r="AH25">
        <f t="shared" si="3"/>
        <v>1.8345957368926857</v>
      </c>
    </row>
    <row r="26" spans="1:34" x14ac:dyDescent="0.35">
      <c r="A26" t="s">
        <v>25</v>
      </c>
      <c r="B26">
        <v>1810.933</v>
      </c>
      <c r="C26">
        <v>308281</v>
      </c>
      <c r="D26" s="7">
        <v>308483</v>
      </c>
      <c r="E26" s="3">
        <v>1011.381</v>
      </c>
      <c r="F26" s="6">
        <v>4006.5038533971888</v>
      </c>
      <c r="G26" s="6">
        <v>2.1</v>
      </c>
      <c r="H26">
        <v>0.60254132979684605</v>
      </c>
      <c r="I26" s="4">
        <v>1.3484905555555562</v>
      </c>
      <c r="J26">
        <v>2.0077055693383299</v>
      </c>
      <c r="K26">
        <v>2.2492067577430301</v>
      </c>
      <c r="L26">
        <v>0.86860000000000004</v>
      </c>
      <c r="M26">
        <v>1.6466654279461841</v>
      </c>
      <c r="N26" s="8">
        <v>0.73930796469914095</v>
      </c>
      <c r="O26">
        <v>0.74841477249351296</v>
      </c>
      <c r="P26">
        <v>0.81014341717159299</v>
      </c>
      <c r="Q26" s="1">
        <v>6083.3909999999996</v>
      </c>
      <c r="R26">
        <f t="shared" si="0"/>
        <v>0.89291429105583298</v>
      </c>
      <c r="S26">
        <v>-0.13239819999999999</v>
      </c>
      <c r="T26">
        <v>0.93436585100000003</v>
      </c>
      <c r="U26">
        <v>-2.5948205340000001</v>
      </c>
      <c r="V26">
        <v>1746878</v>
      </c>
      <c r="X26">
        <v>1.087832068358469</v>
      </c>
      <c r="Z26">
        <v>0.70350000000000001</v>
      </c>
      <c r="AA26">
        <v>1.0024999999999951E-2</v>
      </c>
      <c r="AB26">
        <v>0.38890054433425397</v>
      </c>
      <c r="AC26" s="4">
        <v>4.66</v>
      </c>
      <c r="AD26">
        <v>4.0309503559867732E-3</v>
      </c>
      <c r="AF26">
        <f t="shared" si="1"/>
        <v>0.98743689978499916</v>
      </c>
      <c r="AG26">
        <f t="shared" si="2"/>
        <v>2.1267181735432881</v>
      </c>
      <c r="AH26">
        <f t="shared" si="3"/>
        <v>1.3788950027012081</v>
      </c>
    </row>
    <row r="27" spans="1:34" x14ac:dyDescent="0.35">
      <c r="A27" t="s">
        <v>26</v>
      </c>
      <c r="B27">
        <v>1881.4970000000001</v>
      </c>
      <c r="C27">
        <v>311222</v>
      </c>
      <c r="D27" s="7">
        <v>319573</v>
      </c>
      <c r="E27" s="3">
        <v>1057.0350000000001</v>
      </c>
      <c r="F27" s="6">
        <v>4035.1755717607589</v>
      </c>
      <c r="G27" s="6">
        <v>3.9</v>
      </c>
      <c r="H27">
        <v>0.62227406429224996</v>
      </c>
      <c r="I27" s="4">
        <v>1.4242612698412707</v>
      </c>
      <c r="J27">
        <v>1.99705219834034</v>
      </c>
      <c r="K27">
        <v>2.3972369805474099</v>
      </c>
      <c r="L27">
        <v>0.83819999999999995</v>
      </c>
      <c r="M27">
        <v>1.7749629162551599</v>
      </c>
      <c r="N27" s="8">
        <v>0.66789535051168325</v>
      </c>
      <c r="O27">
        <v>0.70522258750894595</v>
      </c>
      <c r="P27">
        <v>0.79946099923358604</v>
      </c>
      <c r="Q27" s="1">
        <v>6201.6589999999997</v>
      </c>
      <c r="R27">
        <f t="shared" si="0"/>
        <v>0.89456463767376115</v>
      </c>
      <c r="S27">
        <v>-0.27064297300000001</v>
      </c>
      <c r="T27">
        <v>1.3373658230000001</v>
      </c>
      <c r="U27">
        <v>0.31314730699999999</v>
      </c>
      <c r="V27">
        <v>1814881</v>
      </c>
      <c r="X27">
        <v>1.088132395087114</v>
      </c>
      <c r="Z27">
        <v>0.69849999999999901</v>
      </c>
      <c r="AA27">
        <v>2.5000000000052758E-5</v>
      </c>
      <c r="AB27">
        <v>-0.93037774632372305</v>
      </c>
      <c r="AC27" s="4">
        <v>5.1566666666666663</v>
      </c>
      <c r="AD27">
        <v>8.6495133500033017E-3</v>
      </c>
      <c r="AF27">
        <f t="shared" si="1"/>
        <v>-1.2690350028270236</v>
      </c>
      <c r="AG27">
        <f t="shared" si="2"/>
        <v>-3.0732012838983853</v>
      </c>
      <c r="AH27">
        <f t="shared" si="3"/>
        <v>1.8976313263720179</v>
      </c>
    </row>
    <row r="28" spans="1:34" x14ac:dyDescent="0.35">
      <c r="A28" t="s">
        <v>27</v>
      </c>
      <c r="B28">
        <v>1943.3320000000001</v>
      </c>
      <c r="C28">
        <v>319101</v>
      </c>
      <c r="D28" s="7">
        <v>325132</v>
      </c>
      <c r="E28" s="3">
        <v>1064.587</v>
      </c>
      <c r="F28" s="6">
        <v>4068.3770394286375</v>
      </c>
      <c r="G28" s="6">
        <v>4.5999999999999996</v>
      </c>
      <c r="H28">
        <v>0.63337326733363697</v>
      </c>
      <c r="I28" s="4">
        <v>1.4871407936507941</v>
      </c>
      <c r="J28">
        <v>1.9817840670154001</v>
      </c>
      <c r="K28">
        <v>2.6630519616202402</v>
      </c>
      <c r="L28">
        <v>0.7833</v>
      </c>
      <c r="M28">
        <v>2.029678694286603</v>
      </c>
      <c r="N28" s="8">
        <v>0.38296672515899038</v>
      </c>
      <c r="O28">
        <v>0.70069420469052901</v>
      </c>
      <c r="P28">
        <v>0.81352943947031497</v>
      </c>
      <c r="Q28" s="1">
        <v>6313.5590000000002</v>
      </c>
      <c r="R28">
        <f t="shared" si="0"/>
        <v>0.89605832657934725</v>
      </c>
      <c r="S28">
        <v>-1.2588391800000001</v>
      </c>
      <c r="T28">
        <v>-1.090057979</v>
      </c>
      <c r="U28">
        <v>5.2617617999999998E-2</v>
      </c>
      <c r="V28">
        <v>1866538</v>
      </c>
      <c r="X28">
        <v>1.0874655693701027</v>
      </c>
      <c r="Z28">
        <v>0.69799999999999995</v>
      </c>
      <c r="AA28">
        <v>6.6749999999999865E-3</v>
      </c>
      <c r="AB28">
        <v>-0.50580696423191396</v>
      </c>
      <c r="AC28" s="4">
        <v>5.82</v>
      </c>
      <c r="AD28">
        <v>6.8984512886047789E-3</v>
      </c>
      <c r="AF28">
        <f t="shared" si="1"/>
        <v>-3.3391588037849917</v>
      </c>
      <c r="AG28">
        <f t="shared" si="2"/>
        <v>-1.3775924627441569</v>
      </c>
      <c r="AH28">
        <f t="shared" si="3"/>
        <v>2.4366188955313728</v>
      </c>
    </row>
    <row r="29" spans="1:34" x14ac:dyDescent="0.35">
      <c r="A29" t="s">
        <v>28</v>
      </c>
      <c r="B29">
        <v>2016.6420000000001</v>
      </c>
      <c r="C29">
        <v>320655</v>
      </c>
      <c r="D29" s="7">
        <v>339960</v>
      </c>
      <c r="E29" s="3">
        <v>1076.124</v>
      </c>
      <c r="F29" s="6">
        <v>4120.2470858911174</v>
      </c>
      <c r="G29" s="6">
        <v>5.0999999999999996</v>
      </c>
      <c r="H29">
        <v>0.64678266794275796</v>
      </c>
      <c r="I29" s="4">
        <v>1.7895842857142856</v>
      </c>
      <c r="J29">
        <v>1.9733575012317099</v>
      </c>
      <c r="K29">
        <v>2.02015951639327</v>
      </c>
      <c r="L29">
        <v>0.7198</v>
      </c>
      <c r="M29">
        <v>1.373376848450512</v>
      </c>
      <c r="N29" s="8">
        <v>0.37861588769852234</v>
      </c>
      <c r="O29">
        <v>0.73018895282826801</v>
      </c>
      <c r="P29">
        <v>0.85918999907315596</v>
      </c>
      <c r="Q29" s="1">
        <v>6313.6970000000001</v>
      </c>
      <c r="R29">
        <f t="shared" si="0"/>
        <v>0.89691622788655101</v>
      </c>
      <c r="S29">
        <v>0.32604997800000002</v>
      </c>
      <c r="T29">
        <v>-2.0194581359999999</v>
      </c>
      <c r="U29">
        <v>0.48723441699999998</v>
      </c>
      <c r="V29">
        <v>1929899</v>
      </c>
      <c r="X29">
        <v>1.088712162746476</v>
      </c>
      <c r="Z29">
        <v>0.70099999999999996</v>
      </c>
      <c r="AA29">
        <v>1.1257645000000038E-2</v>
      </c>
      <c r="AB29">
        <v>-0.119083210053225</v>
      </c>
      <c r="AC29" s="4">
        <v>6.5133333333333336</v>
      </c>
      <c r="AD29">
        <v>-1.7208947764392302E-2</v>
      </c>
      <c r="AF29">
        <f t="shared" si="1"/>
        <v>-3.9206095859599888</v>
      </c>
      <c r="AG29">
        <f t="shared" si="2"/>
        <v>-1.300818122330645</v>
      </c>
      <c r="AH29">
        <f t="shared" si="3"/>
        <v>2.1239048013999895</v>
      </c>
    </row>
    <row r="30" spans="1:34" x14ac:dyDescent="0.35">
      <c r="A30" t="s">
        <v>29</v>
      </c>
      <c r="B30">
        <v>2069.0650000000001</v>
      </c>
      <c r="C30">
        <v>316613</v>
      </c>
      <c r="D30" s="7">
        <v>345382</v>
      </c>
      <c r="E30" s="3">
        <v>1081.3979999999999</v>
      </c>
      <c r="F30" s="6">
        <v>4144.0331823881497</v>
      </c>
      <c r="G30" s="6">
        <v>4.5</v>
      </c>
      <c r="H30">
        <v>0.66148089239079799</v>
      </c>
      <c r="I30" s="4">
        <v>2.2555634894613572</v>
      </c>
      <c r="J30">
        <v>1.95108346027579</v>
      </c>
      <c r="K30">
        <v>2.3766955281720601</v>
      </c>
      <c r="L30">
        <v>0.62680000000000002</v>
      </c>
      <c r="M30">
        <v>1.7152146357812621</v>
      </c>
      <c r="N30" s="8">
        <v>0.69301164762374923</v>
      </c>
      <c r="O30">
        <v>0.77014287453955099</v>
      </c>
      <c r="P30">
        <v>0.89178767565910899</v>
      </c>
      <c r="Q30" s="1">
        <v>6333.848</v>
      </c>
      <c r="R30">
        <f t="shared" si="0"/>
        <v>0.89776519472108218</v>
      </c>
      <c r="S30">
        <v>1.319162476</v>
      </c>
      <c r="T30">
        <v>0.88049275699999996</v>
      </c>
      <c r="U30">
        <v>0.58052211799999998</v>
      </c>
      <c r="V30">
        <v>1974292</v>
      </c>
      <c r="X30">
        <v>1.0882917593982964</v>
      </c>
      <c r="Z30">
        <v>0.72599999999999998</v>
      </c>
      <c r="AA30">
        <v>1.1481239999999726E-3</v>
      </c>
      <c r="AB30">
        <v>0.68407808800258196</v>
      </c>
      <c r="AC30" s="4">
        <v>6.7566666666666668</v>
      </c>
      <c r="AD30">
        <v>6.8757084756232434E-3</v>
      </c>
      <c r="AF30">
        <f t="shared" si="1"/>
        <v>-5.6622109062539838</v>
      </c>
      <c r="AG30">
        <f t="shared" si="2"/>
        <v>-0.7947425616078152</v>
      </c>
      <c r="AH30">
        <f t="shared" si="3"/>
        <v>1.7521906013287403</v>
      </c>
    </row>
    <row r="31" spans="1:34" x14ac:dyDescent="0.35">
      <c r="A31" t="s">
        <v>30</v>
      </c>
      <c r="B31">
        <v>2159.6210000000001</v>
      </c>
      <c r="C31">
        <v>326255</v>
      </c>
      <c r="D31" s="7">
        <v>359682</v>
      </c>
      <c r="E31" s="3">
        <v>1162.01</v>
      </c>
      <c r="F31" s="6">
        <v>4252.0832965720447</v>
      </c>
      <c r="G31" s="6">
        <v>5.5</v>
      </c>
      <c r="H31">
        <v>0.68541137534732199</v>
      </c>
      <c r="I31" s="4">
        <v>2.6194862698412686</v>
      </c>
      <c r="J31">
        <v>1.98326710662392</v>
      </c>
      <c r="K31">
        <v>2.2128946053033398</v>
      </c>
      <c r="L31">
        <v>0.62849999999999995</v>
      </c>
      <c r="M31">
        <v>1.5274832299560179</v>
      </c>
      <c r="N31" s="8">
        <v>0.93762732903424362</v>
      </c>
      <c r="O31">
        <v>0.75305974414652499</v>
      </c>
      <c r="P31">
        <v>0.93583454594996496</v>
      </c>
      <c r="Q31" s="1">
        <v>6578.6049999999996</v>
      </c>
      <c r="R31">
        <f t="shared" si="0"/>
        <v>0.89932059906301443</v>
      </c>
      <c r="S31">
        <v>0.84999904299999995</v>
      </c>
      <c r="T31">
        <v>2.9257259150000001</v>
      </c>
      <c r="U31">
        <v>0.132911046</v>
      </c>
      <c r="V31">
        <v>2053754</v>
      </c>
      <c r="X31">
        <v>1.0885543063009653</v>
      </c>
      <c r="Z31">
        <v>0.72750000000000004</v>
      </c>
      <c r="AA31">
        <v>1.4192309999999653E-3</v>
      </c>
      <c r="AB31">
        <v>-0.99431064805687297</v>
      </c>
      <c r="AC31" s="4">
        <v>7.2833333333333332</v>
      </c>
      <c r="AD31">
        <v>1.3171014722323404E-2</v>
      </c>
      <c r="AF31">
        <f t="shared" si="1"/>
        <v>-1.378509171641995</v>
      </c>
      <c r="AG31">
        <f t="shared" si="2"/>
        <v>-3.9898174877202592</v>
      </c>
      <c r="AH31">
        <f t="shared" si="3"/>
        <v>2.5625928031227208</v>
      </c>
    </row>
    <row r="32" spans="1:34" x14ac:dyDescent="0.35">
      <c r="A32" t="s">
        <v>31</v>
      </c>
      <c r="B32">
        <v>2234.6289999999999</v>
      </c>
      <c r="C32">
        <v>334169</v>
      </c>
      <c r="D32" s="7">
        <v>377134</v>
      </c>
      <c r="E32" s="3">
        <v>1193.6669999999999</v>
      </c>
      <c r="F32" s="6">
        <v>4274.9054939276302</v>
      </c>
      <c r="G32" s="6">
        <v>5.3</v>
      </c>
      <c r="H32">
        <v>0.71124079999846901</v>
      </c>
      <c r="I32" s="4">
        <v>2.8277915873015873</v>
      </c>
      <c r="J32">
        <v>2.0119430252780899</v>
      </c>
      <c r="K32">
        <v>2.1181963352114601</v>
      </c>
      <c r="L32">
        <v>0.56210000000000004</v>
      </c>
      <c r="M32">
        <v>1.4069555352129912</v>
      </c>
      <c r="N32" s="8">
        <v>0.66035597592870932</v>
      </c>
      <c r="O32">
        <v>0.74728546585998201</v>
      </c>
      <c r="P32">
        <v>1.01759882547518</v>
      </c>
      <c r="Q32" s="1">
        <v>6644.7539999999999</v>
      </c>
      <c r="R32">
        <f t="shared" si="0"/>
        <v>0.90142866799112686</v>
      </c>
      <c r="S32">
        <v>-0.183940836</v>
      </c>
      <c r="T32">
        <v>0.95938441399999996</v>
      </c>
      <c r="U32">
        <v>3.6304600580000002</v>
      </c>
      <c r="V32">
        <v>2111129</v>
      </c>
      <c r="X32">
        <v>1.0901263973888404</v>
      </c>
      <c r="Z32">
        <v>0.70599999999999996</v>
      </c>
      <c r="AA32">
        <v>-3.0999999999999917E-3</v>
      </c>
      <c r="AB32">
        <v>0.92999772370935097</v>
      </c>
      <c r="AC32" s="4">
        <v>8.1</v>
      </c>
      <c r="AD32">
        <v>-2.9543716864255387E-5</v>
      </c>
      <c r="AF32">
        <f t="shared" si="1"/>
        <v>3.0158958262689772</v>
      </c>
      <c r="AG32">
        <f t="shared" si="2"/>
        <v>1.7573551293901062</v>
      </c>
      <c r="AH32">
        <f t="shared" si="3"/>
        <v>2.2204663971939986</v>
      </c>
    </row>
    <row r="33" spans="1:34" x14ac:dyDescent="0.35">
      <c r="A33" t="s">
        <v>32</v>
      </c>
      <c r="B33">
        <v>2312.2860000000001</v>
      </c>
      <c r="C33">
        <v>329981</v>
      </c>
      <c r="D33" s="7">
        <v>389911</v>
      </c>
      <c r="E33" s="3">
        <v>1220.4559999999999</v>
      </c>
      <c r="F33" s="6">
        <v>4319.4145585653596</v>
      </c>
      <c r="G33" s="6">
        <v>5.5</v>
      </c>
      <c r="H33">
        <v>0.73683629368479497</v>
      </c>
      <c r="I33" s="4">
        <v>3.2041205386416864</v>
      </c>
      <c r="J33">
        <v>1.9795822069314499</v>
      </c>
      <c r="K33">
        <v>2.41268114009898</v>
      </c>
      <c r="L33">
        <v>0.56830000000000003</v>
      </c>
      <c r="M33">
        <v>1.6758448464141851</v>
      </c>
      <c r="N33" s="8">
        <v>0.59815112879378574</v>
      </c>
      <c r="O33">
        <v>0.76429366246036201</v>
      </c>
      <c r="P33">
        <v>1.0817196421156401</v>
      </c>
      <c r="Q33" s="1">
        <v>6734.0690000000004</v>
      </c>
      <c r="R33">
        <f t="shared" si="0"/>
        <v>0.90291682751058033</v>
      </c>
      <c r="S33">
        <v>1.646186524</v>
      </c>
      <c r="T33">
        <v>-7.2811729000000006E-2</v>
      </c>
      <c r="U33">
        <v>-2.8780008110000002</v>
      </c>
      <c r="V33">
        <v>2190742</v>
      </c>
      <c r="X33">
        <v>1.0902456863130852</v>
      </c>
      <c r="Z33">
        <v>0.67800000000000005</v>
      </c>
      <c r="AA33">
        <v>-1.9383332999999947E-2</v>
      </c>
      <c r="AB33">
        <v>-0.400907649905829</v>
      </c>
      <c r="AC33" s="4">
        <v>9.5833333333333339</v>
      </c>
      <c r="AD33">
        <v>-1.6657112909832295E-2</v>
      </c>
      <c r="AF33">
        <f t="shared" si="1"/>
        <v>0.62247056997399852</v>
      </c>
      <c r="AG33">
        <f t="shared" si="2"/>
        <v>8.8357590949717402</v>
      </c>
      <c r="AH33">
        <f t="shared" si="3"/>
        <v>2.7993826158787982</v>
      </c>
    </row>
    <row r="34" spans="1:34" x14ac:dyDescent="0.35">
      <c r="A34" t="s">
        <v>33</v>
      </c>
      <c r="B34">
        <v>2375.0709999999999</v>
      </c>
      <c r="C34">
        <v>332983</v>
      </c>
      <c r="D34" s="7">
        <v>401345</v>
      </c>
      <c r="E34" s="3">
        <v>1216.21</v>
      </c>
      <c r="F34" s="6">
        <v>4348.0221889521272</v>
      </c>
      <c r="G34" s="6">
        <v>5.8</v>
      </c>
      <c r="H34">
        <v>0.75872209988705497</v>
      </c>
      <c r="I34" s="4">
        <v>3.5572160138248856</v>
      </c>
      <c r="J34">
        <v>1.99713897926064</v>
      </c>
      <c r="K34">
        <v>2.4656139495585299</v>
      </c>
      <c r="L34">
        <v>0.60919999999999996</v>
      </c>
      <c r="M34">
        <v>1.7068918496714749</v>
      </c>
      <c r="N34" s="8">
        <v>1.0235302004547551</v>
      </c>
      <c r="O34">
        <v>0.80498175069301603</v>
      </c>
      <c r="P34">
        <v>1.00766326124951</v>
      </c>
      <c r="Q34" s="1">
        <v>6746.1760000000004</v>
      </c>
      <c r="R34">
        <f t="shared" si="0"/>
        <v>0.90426702930953617</v>
      </c>
      <c r="S34">
        <v>1.635708766</v>
      </c>
      <c r="T34">
        <v>-2.785396027</v>
      </c>
      <c r="U34">
        <v>-0.115757311</v>
      </c>
      <c r="V34">
        <v>2239352</v>
      </c>
      <c r="X34">
        <v>1.0906142269382395</v>
      </c>
      <c r="Z34">
        <v>0.68</v>
      </c>
      <c r="AA34">
        <v>1.0467479000000002E-2</v>
      </c>
      <c r="AB34">
        <v>-0.72686372349608497</v>
      </c>
      <c r="AC34" s="4">
        <v>10.073333333333334</v>
      </c>
      <c r="AD34">
        <v>-5.106742497399952E-3</v>
      </c>
      <c r="AF34">
        <f t="shared" si="1"/>
        <v>4.6055518984849941</v>
      </c>
      <c r="AG34">
        <f t="shared" si="2"/>
        <v>1.2593496127810266</v>
      </c>
      <c r="AH34">
        <f t="shared" si="3"/>
        <v>2.7390030305942226</v>
      </c>
    </row>
    <row r="35" spans="1:34" x14ac:dyDescent="0.35">
      <c r="A35" t="s">
        <v>34</v>
      </c>
      <c r="B35">
        <v>2473.2489999999998</v>
      </c>
      <c r="C35">
        <v>336859</v>
      </c>
      <c r="D35" s="7">
        <v>416178</v>
      </c>
      <c r="E35" s="3">
        <v>1219.8440000000001</v>
      </c>
      <c r="F35" s="6">
        <v>4389.8243076196586</v>
      </c>
      <c r="G35" s="6">
        <v>3.1</v>
      </c>
      <c r="H35">
        <v>0.78923245483668603</v>
      </c>
      <c r="I35" s="4">
        <v>3.634563571428572</v>
      </c>
      <c r="J35">
        <v>2.0066857394117998</v>
      </c>
      <c r="K35">
        <v>2.6291516323601698</v>
      </c>
      <c r="L35">
        <v>0.62690000000000001</v>
      </c>
      <c r="M35">
        <v>1.8399191775234838</v>
      </c>
      <c r="N35" s="8">
        <v>1.1799334864831568</v>
      </c>
      <c r="O35">
        <v>0.85457157194875799</v>
      </c>
      <c r="P35">
        <v>0.96130465522050002</v>
      </c>
      <c r="Q35" s="1">
        <v>6753.3890000000001</v>
      </c>
      <c r="R35">
        <f t="shared" si="0"/>
        <v>0.90658089084397064</v>
      </c>
      <c r="S35">
        <v>-4.6451747000000002E-2</v>
      </c>
      <c r="T35">
        <v>-0.71977859899999996</v>
      </c>
      <c r="U35">
        <v>-0.19744320100000001</v>
      </c>
      <c r="V35">
        <v>2326003</v>
      </c>
      <c r="X35">
        <v>1.0908003793657994</v>
      </c>
      <c r="Z35">
        <v>0.68700000000000006</v>
      </c>
      <c r="AA35">
        <v>-4.3902440000000986E-3</v>
      </c>
      <c r="AB35">
        <v>-0.44725818121154698</v>
      </c>
      <c r="AC35" s="4">
        <v>10.18</v>
      </c>
      <c r="AD35">
        <v>4.897628967884371E-3</v>
      </c>
      <c r="AF35">
        <f t="shared" si="1"/>
        <v>2.3418632787879812</v>
      </c>
      <c r="AG35">
        <f t="shared" si="2"/>
        <v>1.3237322725365883</v>
      </c>
      <c r="AH35">
        <f t="shared" si="3"/>
        <v>1.1387955328793886</v>
      </c>
    </row>
    <row r="36" spans="1:34" x14ac:dyDescent="0.35">
      <c r="A36" t="s">
        <v>35</v>
      </c>
      <c r="B36">
        <v>2563.2330000000002</v>
      </c>
      <c r="C36">
        <v>346243</v>
      </c>
      <c r="D36" s="7">
        <v>437495</v>
      </c>
      <c r="E36" s="3">
        <v>1248.048</v>
      </c>
      <c r="F36" s="6">
        <v>4461.6530975799715</v>
      </c>
      <c r="G36" s="6">
        <v>3.2</v>
      </c>
      <c r="H36">
        <v>0.84385885734765698</v>
      </c>
      <c r="I36" s="4">
        <v>3.6992272222222233</v>
      </c>
      <c r="J36">
        <v>2.0286501323544801</v>
      </c>
      <c r="K36">
        <v>2.7790950175674101</v>
      </c>
      <c r="L36">
        <v>0.61060000000000003</v>
      </c>
      <c r="M36">
        <v>1.9352361602197532</v>
      </c>
      <c r="N36" s="8">
        <v>1.0493679569775465</v>
      </c>
      <c r="O36">
        <v>0.86954149731573305</v>
      </c>
      <c r="P36">
        <v>0.997747828227737</v>
      </c>
      <c r="Q36" s="1">
        <v>6803.558</v>
      </c>
      <c r="R36">
        <f t="shared" si="0"/>
        <v>0.90925515372225196</v>
      </c>
      <c r="S36">
        <v>1.1634772950000001</v>
      </c>
      <c r="T36">
        <v>-2.6091098160000001</v>
      </c>
      <c r="U36">
        <v>1.4592137919999999</v>
      </c>
      <c r="V36">
        <v>2405771</v>
      </c>
      <c r="X36">
        <v>1.0925702187517456</v>
      </c>
      <c r="Z36">
        <v>0.67200000000000004</v>
      </c>
      <c r="AA36">
        <v>-1.2804877999999964E-2</v>
      </c>
      <c r="AB36">
        <v>1.2913580300819201</v>
      </c>
      <c r="AC36" s="4">
        <v>10.946666666666667</v>
      </c>
      <c r="AD36">
        <v>2.8634354183758592E-3</v>
      </c>
      <c r="AF36">
        <f t="shared" si="1"/>
        <v>1.6707107076390226</v>
      </c>
      <c r="AG36">
        <f t="shared" si="2"/>
        <v>1.9153525415073829</v>
      </c>
      <c r="AH36">
        <f t="shared" si="3"/>
        <v>1.0257184216240667</v>
      </c>
    </row>
    <row r="37" spans="1:34" x14ac:dyDescent="0.35">
      <c r="A37" t="s">
        <v>36</v>
      </c>
      <c r="B37">
        <v>2640.6979999999999</v>
      </c>
      <c r="C37">
        <v>346739</v>
      </c>
      <c r="D37" s="7">
        <v>449028</v>
      </c>
      <c r="E37" s="3">
        <v>1238.856</v>
      </c>
      <c r="F37" s="6">
        <v>4498.0000939508654</v>
      </c>
      <c r="G37" s="6">
        <v>2.2000000000000002</v>
      </c>
      <c r="H37">
        <v>0.88108414156204995</v>
      </c>
      <c r="I37" s="4">
        <v>5.1284169476971124</v>
      </c>
      <c r="J37">
        <v>2.02419875861988</v>
      </c>
      <c r="K37">
        <v>2.8523373193716699</v>
      </c>
      <c r="L37">
        <v>0.7137</v>
      </c>
      <c r="M37">
        <v>1.9712531778096198</v>
      </c>
      <c r="N37" s="8">
        <v>0.92971968446283393</v>
      </c>
      <c r="O37">
        <v>0.92560484589340597</v>
      </c>
      <c r="P37">
        <v>1.0682760337696899</v>
      </c>
      <c r="Q37" s="1">
        <v>6820.5720000000001</v>
      </c>
      <c r="R37">
        <f t="shared" si="0"/>
        <v>0.91164051177983407</v>
      </c>
      <c r="S37">
        <v>2.6794027250000001</v>
      </c>
      <c r="T37">
        <v>-1.039458561</v>
      </c>
      <c r="U37">
        <v>-0.17342022400000001</v>
      </c>
      <c r="V37">
        <v>2457773</v>
      </c>
      <c r="X37">
        <v>1.0923212241072076</v>
      </c>
      <c r="Z37">
        <v>0.66200000000000003</v>
      </c>
      <c r="AA37">
        <v>-1.6463413999999954E-2</v>
      </c>
      <c r="AB37">
        <v>-0.43797138161982502</v>
      </c>
      <c r="AC37" s="4">
        <v>13.576666666666666</v>
      </c>
      <c r="AD37">
        <v>-1.1101083531804057E-2</v>
      </c>
      <c r="AF37">
        <f t="shared" si="1"/>
        <v>4.4616551688430039</v>
      </c>
      <c r="AG37">
        <f t="shared" si="2"/>
        <v>0.4930905497500615</v>
      </c>
      <c r="AH37">
        <f t="shared" si="3"/>
        <v>0.55432357954292577</v>
      </c>
    </row>
    <row r="38" spans="1:34" x14ac:dyDescent="0.35">
      <c r="A38" t="s">
        <v>37</v>
      </c>
      <c r="B38">
        <v>2710.1869999999999</v>
      </c>
      <c r="C38">
        <v>360758</v>
      </c>
      <c r="D38" s="7">
        <v>457781</v>
      </c>
      <c r="E38" s="3">
        <v>1233.79</v>
      </c>
      <c r="F38" s="6">
        <v>4538.9029830547342</v>
      </c>
      <c r="G38" s="6">
        <v>1.2</v>
      </c>
      <c r="H38">
        <v>0.91157871055536099</v>
      </c>
      <c r="I38" s="4">
        <v>6.7349681182795678</v>
      </c>
      <c r="J38">
        <v>2.0422358450409002</v>
      </c>
      <c r="K38">
        <v>2.6842087619947299</v>
      </c>
      <c r="L38">
        <v>0.84409999999999996</v>
      </c>
      <c r="M38">
        <v>1.7726300514393689</v>
      </c>
      <c r="N38" s="8">
        <v>1.4563177856260701</v>
      </c>
      <c r="O38">
        <v>1.0363934626323399</v>
      </c>
      <c r="P38">
        <v>1.11833617644162</v>
      </c>
      <c r="Q38" s="1">
        <v>6842.0240000000003</v>
      </c>
      <c r="R38">
        <f t="shared" si="0"/>
        <v>0.91375943710222285</v>
      </c>
      <c r="S38">
        <v>6.8982784419999996</v>
      </c>
      <c r="T38">
        <v>-5.7902288940000002</v>
      </c>
      <c r="U38">
        <v>1.2245496570000001</v>
      </c>
      <c r="V38">
        <v>2492555</v>
      </c>
      <c r="X38">
        <v>1.0923201678530172</v>
      </c>
      <c r="Z38">
        <v>0.66900000000000004</v>
      </c>
      <c r="AA38">
        <v>3.0243899999999879E-3</v>
      </c>
      <c r="AB38">
        <v>1.51100521073645</v>
      </c>
      <c r="AC38" s="4">
        <v>15.046666666666667</v>
      </c>
      <c r="AD38">
        <v>1.0948072150632315E-2</v>
      </c>
      <c r="AF38">
        <f t="shared" si="1"/>
        <v>4.5096865780260176</v>
      </c>
      <c r="AG38">
        <f t="shared" si="2"/>
        <v>0.26609388019272606</v>
      </c>
      <c r="AH38">
        <f t="shared" si="3"/>
        <v>0.61269259949554566</v>
      </c>
    </row>
    <row r="39" spans="1:34" x14ac:dyDescent="0.35">
      <c r="A39" t="s">
        <v>38</v>
      </c>
      <c r="B39">
        <v>2749.69</v>
      </c>
      <c r="C39">
        <v>374645</v>
      </c>
      <c r="D39" s="7">
        <v>480559</v>
      </c>
      <c r="E39" s="3">
        <v>1144.0409999999999</v>
      </c>
      <c r="F39" s="6">
        <v>4446.8596113520207</v>
      </c>
      <c r="G39" s="6">
        <v>-0.9</v>
      </c>
      <c r="H39">
        <v>0.94211631531331297</v>
      </c>
      <c r="I39" s="4">
        <v>5.3661554761904764</v>
      </c>
      <c r="J39">
        <v>2.0456735909219499</v>
      </c>
      <c r="K39">
        <v>2.8393814781446198</v>
      </c>
      <c r="L39">
        <v>1.0052000000000001</v>
      </c>
      <c r="M39">
        <v>1.8972651628313069</v>
      </c>
      <c r="N39" s="8">
        <v>1.0704981084610441</v>
      </c>
      <c r="O39">
        <v>1.12931719917518</v>
      </c>
      <c r="P39">
        <v>1.06166976704935</v>
      </c>
      <c r="Q39" s="1">
        <v>6701.0460000000003</v>
      </c>
      <c r="R39">
        <f t="shared" si="0"/>
        <v>0.91708624740231182</v>
      </c>
      <c r="S39">
        <v>-6.1779234540000001</v>
      </c>
      <c r="T39">
        <v>-1.802748574</v>
      </c>
      <c r="U39">
        <v>-3.2536660290000001</v>
      </c>
      <c r="V39">
        <v>2573087</v>
      </c>
      <c r="X39">
        <v>1.0941873453228936</v>
      </c>
      <c r="Z39">
        <v>0.66200000000000003</v>
      </c>
      <c r="AA39">
        <v>2.7619049999999534E-3</v>
      </c>
      <c r="AB39">
        <v>-1.5765633984819101</v>
      </c>
      <c r="AC39" s="4">
        <v>12.686666666666667</v>
      </c>
      <c r="AD39">
        <v>1.2162566562781807E-2</v>
      </c>
      <c r="AF39">
        <f t="shared" si="1"/>
        <v>3.8987851510150051</v>
      </c>
      <c r="AG39">
        <f t="shared" si="2"/>
        <v>-0.23084113772355347</v>
      </c>
      <c r="AH39">
        <f t="shared" si="3"/>
        <v>-0.33791669070692976</v>
      </c>
    </row>
    <row r="40" spans="1:34" x14ac:dyDescent="0.35">
      <c r="A40" t="s">
        <v>39</v>
      </c>
      <c r="B40">
        <v>2812.0250000000001</v>
      </c>
      <c r="C40">
        <v>395531</v>
      </c>
      <c r="D40" s="7">
        <v>500791</v>
      </c>
      <c r="E40" s="3">
        <v>1148.8599999999999</v>
      </c>
      <c r="F40" s="6">
        <v>4500.9194988151385</v>
      </c>
      <c r="G40" s="6">
        <v>-2.2999999999999998</v>
      </c>
      <c r="H40">
        <v>0.94797981325527303</v>
      </c>
      <c r="I40" s="4">
        <v>5.942481607142855</v>
      </c>
      <c r="J40">
        <v>2.1027894891132299</v>
      </c>
      <c r="K40">
        <v>2.3819633691084499</v>
      </c>
      <c r="L40">
        <v>0.92469999999999997</v>
      </c>
      <c r="M40">
        <v>1.4339835558531768</v>
      </c>
      <c r="N40" s="8">
        <v>0.52195001337898805</v>
      </c>
      <c r="O40">
        <v>1.07347731849768</v>
      </c>
      <c r="P40">
        <v>0.97575651342307801</v>
      </c>
      <c r="Q40" s="1">
        <v>6693.0820000000003</v>
      </c>
      <c r="R40">
        <f t="shared" si="0"/>
        <v>0.9195405951351614</v>
      </c>
      <c r="S40">
        <v>4.8543295830000002</v>
      </c>
      <c r="T40">
        <v>0.40998356200000002</v>
      </c>
      <c r="U40">
        <v>-3.1589248560000001</v>
      </c>
      <c r="V40">
        <v>2631280</v>
      </c>
      <c r="X40">
        <v>1.095786412353762</v>
      </c>
      <c r="Z40">
        <v>0.65500000000000003</v>
      </c>
      <c r="AA40">
        <v>6.6666599999998244E-4</v>
      </c>
      <c r="AB40">
        <v>1.34628033715756</v>
      </c>
      <c r="AC40" s="4">
        <v>9.836666666666666</v>
      </c>
      <c r="AD40">
        <v>-1.4538256839751185E-3</v>
      </c>
      <c r="AF40">
        <f t="shared" si="1"/>
        <v>7.413935675874983</v>
      </c>
      <c r="AG40">
        <f t="shared" si="2"/>
        <v>-0.31022659226518806</v>
      </c>
      <c r="AH40">
        <f t="shared" si="3"/>
        <v>-0.71099457025600721</v>
      </c>
    </row>
    <row r="41" spans="1:34" x14ac:dyDescent="0.35">
      <c r="A41" t="s">
        <v>40</v>
      </c>
      <c r="B41">
        <v>2894.875</v>
      </c>
      <c r="C41">
        <v>396289</v>
      </c>
      <c r="D41" s="7">
        <v>517389</v>
      </c>
      <c r="E41" s="3">
        <v>1184.951</v>
      </c>
      <c r="F41" s="6">
        <v>4568.3634731186294</v>
      </c>
      <c r="G41" s="6">
        <v>-1.2</v>
      </c>
      <c r="H41">
        <v>0.95366469751263505</v>
      </c>
      <c r="I41" s="4">
        <v>7.5347325800156124</v>
      </c>
      <c r="J41">
        <v>2.1290305566801702</v>
      </c>
      <c r="K41">
        <v>2.1091440358216098</v>
      </c>
      <c r="L41">
        <v>0.91510000000000002</v>
      </c>
      <c r="M41">
        <v>1.1554793383089748</v>
      </c>
      <c r="N41" s="8">
        <v>0.90450838837135128</v>
      </c>
      <c r="O41">
        <v>1.02693307752508</v>
      </c>
      <c r="P41">
        <v>0.94474727243432199</v>
      </c>
      <c r="Q41" s="1">
        <v>6817.9030000000002</v>
      </c>
      <c r="R41">
        <f t="shared" si="0"/>
        <v>0.9207404806999947</v>
      </c>
      <c r="S41">
        <v>3.7112981299999999</v>
      </c>
      <c r="T41">
        <v>-0.66733788999999999</v>
      </c>
      <c r="U41">
        <v>-1.7492747609999999</v>
      </c>
      <c r="V41">
        <v>2726792</v>
      </c>
      <c r="W41">
        <v>22.358616652846202</v>
      </c>
      <c r="X41">
        <v>1.0956618446451154</v>
      </c>
      <c r="Y41">
        <f>_xlfn.STDEV.P(W41:W44)</f>
        <v>0.87731508560555971</v>
      </c>
      <c r="Z41">
        <v>0.65300000000000002</v>
      </c>
      <c r="AA41">
        <v>-8.6190469999999353E-3</v>
      </c>
      <c r="AB41">
        <v>0.140236501468258</v>
      </c>
      <c r="AC41" s="4">
        <v>15.853333333333333</v>
      </c>
      <c r="AD41">
        <v>-1.6952831419898784E-2</v>
      </c>
      <c r="AF41">
        <f t="shared" si="1"/>
        <v>10.483179806029019</v>
      </c>
      <c r="AG41">
        <f t="shared" si="2"/>
        <v>-0.11446908497265912</v>
      </c>
      <c r="AH41">
        <f t="shared" si="3"/>
        <v>-1.6997970623533476E-2</v>
      </c>
    </row>
    <row r="42" spans="1:34" x14ac:dyDescent="0.35">
      <c r="A42" t="s">
        <v>41</v>
      </c>
      <c r="B42">
        <v>2938.9140000000002</v>
      </c>
      <c r="C42">
        <v>423913</v>
      </c>
      <c r="D42" s="7">
        <v>531888</v>
      </c>
      <c r="E42" s="3">
        <v>1201.2429999999999</v>
      </c>
      <c r="F42" s="6">
        <v>4591.524202029258</v>
      </c>
      <c r="G42" s="6">
        <v>-0.4</v>
      </c>
      <c r="H42">
        <v>0.95936037980730604</v>
      </c>
      <c r="I42" s="4">
        <v>8.2256026424668214</v>
      </c>
      <c r="J42">
        <v>2.1189736298447301</v>
      </c>
      <c r="K42">
        <v>2.5209273881866299</v>
      </c>
      <c r="L42">
        <v>0.91869999999999996</v>
      </c>
      <c r="M42">
        <v>1.5615670083793238</v>
      </c>
      <c r="N42" s="8">
        <v>0.84273353379032967</v>
      </c>
      <c r="O42">
        <v>1.0163666765080199</v>
      </c>
      <c r="P42">
        <v>0.92260367522692699</v>
      </c>
      <c r="Q42" s="1">
        <v>6951.4949999999999</v>
      </c>
      <c r="R42">
        <f t="shared" si="0"/>
        <v>0.92282252442076029</v>
      </c>
      <c r="S42">
        <v>-1.9293083900000001</v>
      </c>
      <c r="T42">
        <v>-0.22506820599999999</v>
      </c>
      <c r="U42">
        <v>-0.57680167900000001</v>
      </c>
      <c r="V42">
        <v>2804729</v>
      </c>
      <c r="W42">
        <v>22.360953516090586</v>
      </c>
      <c r="X42">
        <v>1.0962151447393151</v>
      </c>
      <c r="Y42">
        <f t="shared" ref="Y42:Y105" si="4">_xlfn.STDEV.P(W42:W45)</f>
        <v>0.88892154863003392</v>
      </c>
      <c r="Z42">
        <v>0.67200000000000004</v>
      </c>
      <c r="AA42">
        <v>1.2047618999999954E-2</v>
      </c>
      <c r="AB42">
        <v>-0.70313636241992095</v>
      </c>
      <c r="AC42" s="4">
        <v>16.57</v>
      </c>
      <c r="AD42">
        <v>3.0625663338481601E-3</v>
      </c>
      <c r="AF42">
        <f t="shared" si="1"/>
        <v>7.6737784803829978</v>
      </c>
      <c r="AG42">
        <f t="shared" si="2"/>
        <v>-5.2125559921041148E-2</v>
      </c>
      <c r="AH42">
        <f t="shared" si="3"/>
        <v>0.68936214825425779</v>
      </c>
    </row>
    <row r="43" spans="1:34" x14ac:dyDescent="0.35">
      <c r="A43" t="s">
        <v>42</v>
      </c>
      <c r="B43">
        <v>3034.3580000000002</v>
      </c>
      <c r="C43">
        <v>418996</v>
      </c>
      <c r="D43" s="7">
        <v>542713</v>
      </c>
      <c r="E43" s="3">
        <v>1201.53</v>
      </c>
      <c r="F43" s="6">
        <v>4561.531034781312</v>
      </c>
      <c r="G43" s="6">
        <v>1.5</v>
      </c>
      <c r="H43">
        <v>0.94586274926360403</v>
      </c>
      <c r="I43" s="4">
        <v>9.1581014285714275</v>
      </c>
      <c r="J43">
        <v>2.1201177825333799</v>
      </c>
      <c r="K43">
        <v>2.6629970145695601</v>
      </c>
      <c r="L43">
        <v>1.0609</v>
      </c>
      <c r="M43">
        <v>1.717134265305956</v>
      </c>
      <c r="N43" s="8">
        <v>0.78482293918144597</v>
      </c>
      <c r="O43">
        <v>1.00949608929618</v>
      </c>
      <c r="P43">
        <v>0.91077230648030705</v>
      </c>
      <c r="Q43" s="1">
        <v>6899.98</v>
      </c>
      <c r="R43">
        <f t="shared" si="0"/>
        <v>0.92476675813842635</v>
      </c>
      <c r="S43">
        <v>1.6972630959999999</v>
      </c>
      <c r="T43">
        <v>-0.72447344300000005</v>
      </c>
      <c r="U43">
        <v>-1.201745375</v>
      </c>
      <c r="V43">
        <v>2880892</v>
      </c>
      <c r="W43">
        <v>22.403535022912184</v>
      </c>
      <c r="X43">
        <v>1.0954336438178873</v>
      </c>
      <c r="Y43">
        <f t="shared" si="4"/>
        <v>1.7287282392994763</v>
      </c>
      <c r="Z43">
        <v>0.68700000000000006</v>
      </c>
      <c r="AA43">
        <v>-4.6428570000000002E-3</v>
      </c>
      <c r="AB43">
        <v>4.6531181130074303E-2</v>
      </c>
      <c r="AC43" s="4">
        <v>17.78</v>
      </c>
      <c r="AD43">
        <v>9.7319220752667412E-4</v>
      </c>
      <c r="AF43">
        <f t="shared" si="1"/>
        <v>7.4444191611430011</v>
      </c>
      <c r="AG43">
        <f t="shared" si="2"/>
        <v>0.20149322163768288</v>
      </c>
      <c r="AH43">
        <f t="shared" si="3"/>
        <v>1.2705232706822223</v>
      </c>
    </row>
    <row r="44" spans="1:34" x14ac:dyDescent="0.35">
      <c r="A44" t="s">
        <v>43</v>
      </c>
      <c r="B44">
        <v>3115.2750000000001</v>
      </c>
      <c r="C44">
        <v>436699</v>
      </c>
      <c r="D44" s="7">
        <v>542319</v>
      </c>
      <c r="E44" s="3">
        <v>1197.7639999999999</v>
      </c>
      <c r="F44" s="6">
        <v>4554.6705849678365</v>
      </c>
      <c r="G44" s="6">
        <v>1.9</v>
      </c>
      <c r="H44">
        <v>0.93587644641262002</v>
      </c>
      <c r="I44" s="4">
        <v>10.391209642857142</v>
      </c>
      <c r="J44">
        <v>2.08801552140527</v>
      </c>
      <c r="K44">
        <v>2.9623773758299801</v>
      </c>
      <c r="L44">
        <v>1.0024999999999999</v>
      </c>
      <c r="M44">
        <v>2.0265009294173599</v>
      </c>
      <c r="N44" s="8">
        <v>0.94767538529709394</v>
      </c>
      <c r="O44">
        <v>1.0058699565634099</v>
      </c>
      <c r="P44">
        <v>0.95476982843289604</v>
      </c>
      <c r="Q44" s="1">
        <v>6982.6090000000004</v>
      </c>
      <c r="R44">
        <f t="shared" si="0"/>
        <v>0.92658120355137497</v>
      </c>
      <c r="S44">
        <v>0.40799322900000001</v>
      </c>
      <c r="T44">
        <v>-1.867434394</v>
      </c>
      <c r="U44">
        <v>0.35005574</v>
      </c>
      <c r="V44">
        <v>2967854</v>
      </c>
      <c r="W44">
        <v>24.400019986009791</v>
      </c>
      <c r="X44">
        <v>1.092641897884634</v>
      </c>
      <c r="Y44">
        <f t="shared" si="4"/>
        <v>2.0917107700013564</v>
      </c>
      <c r="Z44">
        <v>0.65500000000000003</v>
      </c>
      <c r="AA44">
        <v>-1.0642857000000006E-2</v>
      </c>
      <c r="AB44">
        <v>1.3330722566608699</v>
      </c>
      <c r="AC44" s="4">
        <v>17.576666666666668</v>
      </c>
      <c r="AD44">
        <v>7.6998274984974024E-4</v>
      </c>
      <c r="AF44">
        <f t="shared" si="1"/>
        <v>-1.4773967707959912</v>
      </c>
      <c r="AG44">
        <f t="shared" si="2"/>
        <v>-1.2860458595535704</v>
      </c>
      <c r="AH44">
        <f t="shared" si="3"/>
        <v>1.8391578078612802</v>
      </c>
    </row>
    <row r="45" spans="1:34" x14ac:dyDescent="0.35">
      <c r="A45" t="s">
        <v>44</v>
      </c>
      <c r="B45">
        <v>3185.0239999999999</v>
      </c>
      <c r="C45">
        <v>468581</v>
      </c>
      <c r="D45" s="7">
        <v>558796</v>
      </c>
      <c r="E45" s="3">
        <v>1200.9960000000001</v>
      </c>
      <c r="F45" s="6">
        <v>4495.495416065236</v>
      </c>
      <c r="G45" s="6">
        <v>0.2</v>
      </c>
      <c r="H45">
        <v>0.90070704023197401</v>
      </c>
      <c r="I45" s="4">
        <v>9.7978379781420752</v>
      </c>
      <c r="J45">
        <v>2.0911362637852799</v>
      </c>
      <c r="K45">
        <v>2.9874789548919098</v>
      </c>
      <c r="L45">
        <v>1.2755000000000001</v>
      </c>
      <c r="M45">
        <v>2.0867719146599359</v>
      </c>
      <c r="N45" s="8">
        <v>0.28532072529483699</v>
      </c>
      <c r="O45">
        <v>1.0118918579884699</v>
      </c>
      <c r="P45">
        <v>0.93622252010145501</v>
      </c>
      <c r="Q45" s="1">
        <v>6906.5290000000005</v>
      </c>
      <c r="R45">
        <f t="shared" si="0"/>
        <v>0.92877644904908641</v>
      </c>
      <c r="S45">
        <v>-3.0255949530000001</v>
      </c>
      <c r="T45">
        <v>-2.2739213839999999</v>
      </c>
      <c r="U45">
        <v>-0.88778327099999998</v>
      </c>
      <c r="V45">
        <v>3122261</v>
      </c>
      <c r="W45">
        <v>22.284087397925404</v>
      </c>
      <c r="X45">
        <v>1.0921865560420077</v>
      </c>
      <c r="Y45">
        <f t="shared" si="4"/>
        <v>2.0845536409209955</v>
      </c>
      <c r="Z45">
        <v>0.66200000000000003</v>
      </c>
      <c r="AA45">
        <v>-1.4958525999999917E-2</v>
      </c>
      <c r="AB45">
        <v>0.51262903842140695</v>
      </c>
      <c r="AC45" s="4">
        <v>13.586666666666666</v>
      </c>
      <c r="AD45">
        <v>-5.1487745927289996E-3</v>
      </c>
      <c r="AF45">
        <f t="shared" si="1"/>
        <v>-3.7894292894890214</v>
      </c>
      <c r="AG45">
        <f t="shared" si="2"/>
        <v>-5.2778396091135042E-2</v>
      </c>
      <c r="AH45">
        <f t="shared" si="3"/>
        <v>0.56090216005184601</v>
      </c>
    </row>
    <row r="46" spans="1:34" x14ac:dyDescent="0.35">
      <c r="A46" t="s">
        <v>45</v>
      </c>
      <c r="B46">
        <v>3231.2849999999999</v>
      </c>
      <c r="C46">
        <v>488860</v>
      </c>
      <c r="D46" s="7">
        <v>564270</v>
      </c>
      <c r="E46" s="3">
        <v>1168.9169999999999</v>
      </c>
      <c r="F46" s="6">
        <v>4496.4744423720704</v>
      </c>
      <c r="G46" s="6">
        <v>-2.1</v>
      </c>
      <c r="H46">
        <v>0.86455400335636601</v>
      </c>
      <c r="I46" s="4">
        <v>10.062421834504294</v>
      </c>
      <c r="J46">
        <v>2.05754775306128</v>
      </c>
      <c r="K46">
        <v>3.2456478185322699</v>
      </c>
      <c r="L46">
        <v>1.3647</v>
      </c>
      <c r="M46">
        <v>2.381093815175904</v>
      </c>
      <c r="N46" s="8">
        <v>0.177191435681952</v>
      </c>
      <c r="O46">
        <v>1.01880701677344</v>
      </c>
      <c r="P46">
        <v>0.91682961604842494</v>
      </c>
      <c r="Q46" s="1">
        <v>6799.2330000000002</v>
      </c>
      <c r="R46">
        <f t="shared" si="0"/>
        <v>0.92943894697428497</v>
      </c>
      <c r="S46">
        <v>-0.47249076200000001</v>
      </c>
      <c r="T46">
        <v>1.533854303</v>
      </c>
      <c r="U46">
        <v>0.128164318</v>
      </c>
      <c r="V46">
        <v>3174601</v>
      </c>
      <c r="W46">
        <v>26.5179022203905</v>
      </c>
      <c r="X46">
        <v>1.0916850273948564</v>
      </c>
      <c r="Y46">
        <f t="shared" si="4"/>
        <v>1.5797079719113936</v>
      </c>
      <c r="Z46">
        <v>0.65749999999999997</v>
      </c>
      <c r="AA46">
        <v>8.637096999999927E-3</v>
      </c>
      <c r="AB46">
        <v>-1.1371214557834901</v>
      </c>
      <c r="AC46" s="4">
        <v>14.226666666666667</v>
      </c>
      <c r="AD46">
        <v>3.0904094384198721E-4</v>
      </c>
      <c r="AF46">
        <f t="shared" si="1"/>
        <v>-6.1425876783450128</v>
      </c>
      <c r="AG46">
        <f t="shared" si="2"/>
        <v>0.34187546193330032</v>
      </c>
      <c r="AH46">
        <f t="shared" si="3"/>
        <v>-0.96182906432802362</v>
      </c>
    </row>
    <row r="47" spans="1:34" x14ac:dyDescent="0.35">
      <c r="A47" t="s">
        <v>46</v>
      </c>
      <c r="B47">
        <v>3303.72</v>
      </c>
      <c r="C47">
        <v>489932</v>
      </c>
      <c r="D47" s="7">
        <v>568001</v>
      </c>
      <c r="E47" s="3">
        <v>1143.1410000000001</v>
      </c>
      <c r="F47" s="6">
        <v>4473.343555237896</v>
      </c>
      <c r="G47" s="6">
        <v>-1.7</v>
      </c>
      <c r="H47">
        <v>0.82663204339459295</v>
      </c>
      <c r="I47" s="4">
        <v>9.8382992063492054</v>
      </c>
      <c r="J47">
        <v>2.05268916115361</v>
      </c>
      <c r="K47">
        <v>3.32453107021409</v>
      </c>
      <c r="L47">
        <v>1.3167</v>
      </c>
      <c r="M47">
        <v>2.4978990268194972</v>
      </c>
      <c r="N47" s="8">
        <v>0.87475224280402264</v>
      </c>
      <c r="O47">
        <v>0.97206958113393804</v>
      </c>
      <c r="P47">
        <v>0.94059797474454199</v>
      </c>
      <c r="Q47" s="1">
        <v>6830.2510000000002</v>
      </c>
      <c r="R47">
        <f t="shared" si="0"/>
        <v>0.92985066852776765</v>
      </c>
      <c r="S47">
        <v>-1.4216616959999999</v>
      </c>
      <c r="T47">
        <v>-2.3032457829999999</v>
      </c>
      <c r="U47">
        <v>1.6264403080000001</v>
      </c>
      <c r="V47">
        <v>3274192</v>
      </c>
      <c r="W47">
        <v>27.774771461595041</v>
      </c>
      <c r="X47">
        <v>1.089812909602675</v>
      </c>
      <c r="Y47">
        <f t="shared" si="4"/>
        <v>2.2858784240203005</v>
      </c>
      <c r="Z47">
        <v>0.66700000000000004</v>
      </c>
      <c r="AA47">
        <v>-4.0624999999999689E-3</v>
      </c>
      <c r="AB47">
        <v>-0.54074285085661999</v>
      </c>
      <c r="AC47" s="4">
        <v>14.513333333333334</v>
      </c>
      <c r="AD47">
        <v>1.444605015106748E-2</v>
      </c>
      <c r="AF47">
        <f t="shared" si="1"/>
        <v>-6.7428621379769904</v>
      </c>
      <c r="AG47">
        <f t="shared" si="2"/>
        <v>0.25211845729802179</v>
      </c>
      <c r="AH47">
        <f t="shared" si="3"/>
        <v>-0.4411168359327089</v>
      </c>
    </row>
    <row r="48" spans="1:34" x14ac:dyDescent="0.35">
      <c r="A48" t="s">
        <v>47</v>
      </c>
      <c r="B48">
        <v>3351.038</v>
      </c>
      <c r="C48">
        <v>535841</v>
      </c>
      <c r="D48" s="7">
        <v>584471</v>
      </c>
      <c r="E48" s="3">
        <v>1121.6959999999999</v>
      </c>
      <c r="F48" s="6">
        <v>4500.0533335397386</v>
      </c>
      <c r="G48" s="6">
        <v>-2.4</v>
      </c>
      <c r="H48">
        <v>0.80477977625439401</v>
      </c>
      <c r="I48" s="4">
        <v>9.0984285714285704</v>
      </c>
      <c r="J48">
        <v>2.0836196560829001</v>
      </c>
      <c r="K48">
        <v>3.2953810933911099</v>
      </c>
      <c r="L48">
        <v>1.4722999999999999</v>
      </c>
      <c r="M48">
        <v>2.4906013171367158</v>
      </c>
      <c r="N48" s="8">
        <v>0.30843347111325164</v>
      </c>
      <c r="O48">
        <v>0.945753447216932</v>
      </c>
      <c r="P48">
        <v>1.00682411895251</v>
      </c>
      <c r="Q48" s="1">
        <v>6804.1390000000001</v>
      </c>
      <c r="R48">
        <f t="shared" si="0"/>
        <v>0.9318841409221863</v>
      </c>
      <c r="S48">
        <v>-2.37466534</v>
      </c>
      <c r="T48">
        <v>1.1564377210000001</v>
      </c>
      <c r="U48">
        <v>2.2141463560000001</v>
      </c>
      <c r="V48">
        <v>3376380</v>
      </c>
      <c r="W48">
        <v>26.577959342476412</v>
      </c>
      <c r="X48">
        <v>1.0897576729725393</v>
      </c>
      <c r="Y48">
        <f t="shared" si="4"/>
        <v>2.1945322949490884</v>
      </c>
      <c r="Z48">
        <v>0.67</v>
      </c>
      <c r="AA48">
        <v>7.8869000000003631E-4</v>
      </c>
      <c r="AB48">
        <v>4.51930364461509</v>
      </c>
      <c r="AC48" s="4">
        <v>11.006666666666666</v>
      </c>
      <c r="AD48">
        <v>1.2009587043101178E-2</v>
      </c>
      <c r="AF48">
        <f t="shared" si="1"/>
        <v>-0.43958653223699073</v>
      </c>
      <c r="AG48">
        <f t="shared" si="2"/>
        <v>5.4596759090565294</v>
      </c>
      <c r="AH48">
        <f t="shared" si="3"/>
        <v>-1.124454673339903</v>
      </c>
    </row>
    <row r="49" spans="1:34" x14ac:dyDescent="0.35">
      <c r="A49" t="s">
        <v>48</v>
      </c>
      <c r="B49">
        <v>3405.4960000000001</v>
      </c>
      <c r="C49">
        <v>591020</v>
      </c>
      <c r="D49" s="7">
        <v>629356</v>
      </c>
      <c r="E49" s="3">
        <v>1129.354</v>
      </c>
      <c r="F49" s="6">
        <v>4557.0992322302509</v>
      </c>
      <c r="G49" s="6">
        <v>-2.8</v>
      </c>
      <c r="H49">
        <v>0.76318816591343097</v>
      </c>
      <c r="I49" s="4">
        <v>6.7349723848555811</v>
      </c>
      <c r="J49">
        <v>2.1422282261703098</v>
      </c>
      <c r="K49">
        <v>2.8730823242979899</v>
      </c>
      <c r="L49">
        <v>1.4575</v>
      </c>
      <c r="M49">
        <v>2.109894158384559</v>
      </c>
      <c r="N49" s="8">
        <v>-0.10179803839678432</v>
      </c>
      <c r="O49">
        <v>0.91078784078036601</v>
      </c>
      <c r="P49">
        <v>1.00694621668957</v>
      </c>
      <c r="Q49" s="1">
        <v>6806.857</v>
      </c>
      <c r="R49">
        <f t="shared" si="0"/>
        <v>0.93260270157283642</v>
      </c>
      <c r="S49">
        <v>-1.6930450880000001</v>
      </c>
      <c r="T49">
        <v>-2.6836456829999999</v>
      </c>
      <c r="U49">
        <v>-0.92759025399999995</v>
      </c>
      <c r="V49">
        <v>3467407</v>
      </c>
      <c r="W49">
        <v>23.497266847485918</v>
      </c>
      <c r="X49">
        <v>1.0938163349027128</v>
      </c>
      <c r="Y49">
        <f t="shared" si="4"/>
        <v>1.0426175884597886</v>
      </c>
      <c r="Z49">
        <v>0.67749999999999999</v>
      </c>
      <c r="AA49">
        <v>-4.1190470000000978E-3</v>
      </c>
      <c r="AB49">
        <v>-0.418070289274181</v>
      </c>
      <c r="AC49" s="4">
        <v>9.2866666666666671</v>
      </c>
      <c r="AD49">
        <v>-3.8358508809002712E-2</v>
      </c>
      <c r="AF49">
        <f t="shared" si="1"/>
        <v>5.1091962385029888</v>
      </c>
      <c r="AG49">
        <f t="shared" si="2"/>
        <v>-0.54803140636860892</v>
      </c>
      <c r="AH49">
        <f t="shared" si="3"/>
        <v>-0.63132127786595937</v>
      </c>
    </row>
    <row r="50" spans="1:34" x14ac:dyDescent="0.35">
      <c r="A50" t="s">
        <v>49</v>
      </c>
      <c r="B50">
        <v>3446.797</v>
      </c>
      <c r="C50">
        <v>620182</v>
      </c>
      <c r="D50" s="7">
        <v>640179</v>
      </c>
      <c r="E50" s="3">
        <v>1150.482</v>
      </c>
      <c r="F50" s="6">
        <v>4572.1045161043785</v>
      </c>
      <c r="G50" s="6">
        <v>-0.6</v>
      </c>
      <c r="H50">
        <v>0.71539060502159302</v>
      </c>
      <c r="I50" s="4">
        <v>6.7021344444444457</v>
      </c>
      <c r="J50">
        <v>2.16918338684544</v>
      </c>
      <c r="K50">
        <v>2.73761991112436</v>
      </c>
      <c r="L50">
        <v>1.0813999999999999</v>
      </c>
      <c r="M50">
        <v>2.022229306102767</v>
      </c>
      <c r="N50" s="8">
        <v>0.10238917384648101</v>
      </c>
      <c r="O50">
        <v>0.87690195617554101</v>
      </c>
      <c r="P50">
        <v>0.94020378769990498</v>
      </c>
      <c r="Q50" s="1">
        <v>6896.5609999999997</v>
      </c>
      <c r="R50">
        <f t="shared" si="0"/>
        <v>0.93236535875877724</v>
      </c>
      <c r="S50">
        <v>1.1467868059999999</v>
      </c>
      <c r="T50">
        <v>2.6345384090000001</v>
      </c>
      <c r="U50">
        <v>-1.0335218500000001</v>
      </c>
      <c r="V50">
        <v>3519264</v>
      </c>
      <c r="W50">
        <v>22.092376989731648</v>
      </c>
      <c r="X50">
        <v>1.0935974851539607</v>
      </c>
      <c r="Y50">
        <f t="shared" si="4"/>
        <v>0.61462193106250151</v>
      </c>
      <c r="Z50">
        <v>0.67100000000000004</v>
      </c>
      <c r="AA50">
        <v>3.3333330000000494E-3</v>
      </c>
      <c r="AB50">
        <v>-1.28085065644361</v>
      </c>
      <c r="AC50" s="4">
        <v>8.6533333333333324</v>
      </c>
      <c r="AD50">
        <v>-2.4790760228082798E-3</v>
      </c>
      <c r="AF50">
        <f t="shared" si="1"/>
        <v>11.163563378415997</v>
      </c>
      <c r="AG50">
        <f t="shared" si="2"/>
        <v>-5.3746279719257009E-2</v>
      </c>
      <c r="AH50">
        <f t="shared" si="3"/>
        <v>0.61726578102256902</v>
      </c>
    </row>
    <row r="51" spans="1:34" x14ac:dyDescent="0.35">
      <c r="A51" t="s">
        <v>50</v>
      </c>
      <c r="B51">
        <v>3538.19</v>
      </c>
      <c r="C51">
        <v>636304</v>
      </c>
      <c r="D51" s="7">
        <v>640790</v>
      </c>
      <c r="E51" s="3">
        <v>1186.9100000000001</v>
      </c>
      <c r="F51" s="6">
        <v>4640.6961756455412</v>
      </c>
      <c r="G51" s="6">
        <v>0.1</v>
      </c>
      <c r="H51">
        <v>0.69338224864714504</v>
      </c>
      <c r="I51" s="4">
        <v>6.7680573809523814</v>
      </c>
      <c r="J51">
        <v>2.2142025168710702</v>
      </c>
      <c r="K51">
        <v>2.4897533931747899</v>
      </c>
      <c r="L51">
        <v>0.84619999999999995</v>
      </c>
      <c r="M51">
        <v>1.7963711445276449</v>
      </c>
      <c r="N51" s="8">
        <v>0.5419846487908293</v>
      </c>
      <c r="O51">
        <v>0.82073507797682799</v>
      </c>
      <c r="P51">
        <v>0.90969026004082298</v>
      </c>
      <c r="Q51" s="1">
        <v>7053.5</v>
      </c>
      <c r="R51">
        <f t="shared" si="0"/>
        <v>0.93260401905579315</v>
      </c>
      <c r="S51">
        <v>0.97786839299999995</v>
      </c>
      <c r="T51">
        <v>0.83570919300000002</v>
      </c>
      <c r="U51">
        <v>-1.4650980440000001</v>
      </c>
      <c r="V51">
        <v>3616075</v>
      </c>
      <c r="W51">
        <v>20.643027064299257</v>
      </c>
      <c r="X51">
        <v>1.0906655860578829</v>
      </c>
      <c r="Y51">
        <f t="shared" si="4"/>
        <v>1.0273062350969331</v>
      </c>
      <c r="Z51">
        <v>0.66600000000000004</v>
      </c>
      <c r="AA51">
        <v>2.0534260000000248E-3</v>
      </c>
      <c r="AB51">
        <v>1.17679087460722</v>
      </c>
      <c r="AC51" s="4">
        <v>8.8033333333333328</v>
      </c>
      <c r="AD51">
        <v>-1.455732070290594E-3</v>
      </c>
      <c r="AF51">
        <f t="shared" si="1"/>
        <v>16.151335571746017</v>
      </c>
      <c r="AG51">
        <f t="shared" si="2"/>
        <v>6.1914384451854741E-3</v>
      </c>
      <c r="AH51">
        <f t="shared" si="3"/>
        <v>1.396800712766888</v>
      </c>
    </row>
    <row r="52" spans="1:34" x14ac:dyDescent="0.35">
      <c r="A52" t="s">
        <v>51</v>
      </c>
      <c r="B52">
        <v>3635.9389999999999</v>
      </c>
      <c r="C52">
        <v>676676</v>
      </c>
      <c r="D52" s="7">
        <v>666066</v>
      </c>
      <c r="E52" s="3">
        <v>1248.5119999999999</v>
      </c>
      <c r="F52" s="6">
        <v>4725.0046677346973</v>
      </c>
      <c r="G52" s="6">
        <v>2.8</v>
      </c>
      <c r="H52">
        <v>0.67003599050099505</v>
      </c>
      <c r="I52" s="4">
        <v>7.9169536309523814</v>
      </c>
      <c r="J52">
        <v>2.2194517868714101</v>
      </c>
      <c r="K52">
        <v>2.5606657801959098</v>
      </c>
      <c r="L52">
        <v>0.78220000000000001</v>
      </c>
      <c r="M52">
        <v>1.8906297896949149</v>
      </c>
      <c r="N52" s="8">
        <v>0.40043744885317767</v>
      </c>
      <c r="O52">
        <v>0.79068312417304198</v>
      </c>
      <c r="P52">
        <v>0.88129830024198097</v>
      </c>
      <c r="Q52" s="1">
        <v>7194.5039999999999</v>
      </c>
      <c r="R52">
        <f t="shared" si="0"/>
        <v>0.93386766171011526</v>
      </c>
      <c r="S52">
        <v>2.4339858219999999</v>
      </c>
      <c r="T52">
        <v>1.493213466</v>
      </c>
      <c r="U52">
        <v>-1.7133385590000001</v>
      </c>
      <c r="V52">
        <v>3723434</v>
      </c>
      <c r="W52">
        <v>21.472540247296298</v>
      </c>
      <c r="X52">
        <v>1.091587982372298</v>
      </c>
      <c r="Y52">
        <f t="shared" si="4"/>
        <v>1.0543237567580797</v>
      </c>
      <c r="Z52">
        <v>0.65600000000000003</v>
      </c>
      <c r="AA52">
        <v>-2.5296160000000123E-3</v>
      </c>
      <c r="AB52">
        <v>-0.97507169295658103</v>
      </c>
      <c r="AC52" s="4">
        <v>9.4600000000000009</v>
      </c>
      <c r="AD52">
        <v>1.2685368056423174E-2</v>
      </c>
      <c r="AF52">
        <f t="shared" si="1"/>
        <v>13.583213078850997</v>
      </c>
      <c r="AG52">
        <f t="shared" si="2"/>
        <v>0.20613679427289464</v>
      </c>
      <c r="AH52">
        <f t="shared" si="3"/>
        <v>2.4227681264384238</v>
      </c>
    </row>
    <row r="53" spans="1:34" x14ac:dyDescent="0.35">
      <c r="A53" t="s">
        <v>52</v>
      </c>
      <c r="B53">
        <v>3755.8310000000001</v>
      </c>
      <c r="C53">
        <v>697596</v>
      </c>
      <c r="D53" s="7">
        <v>660956</v>
      </c>
      <c r="E53" s="3">
        <v>1308.453</v>
      </c>
      <c r="F53" s="6">
        <v>4771.5155154564345</v>
      </c>
      <c r="G53" s="6">
        <v>5.8</v>
      </c>
      <c r="H53">
        <v>0.63646885072044002</v>
      </c>
      <c r="I53" s="4">
        <v>8.0358009523809528</v>
      </c>
      <c r="J53">
        <v>2.2169559280942002</v>
      </c>
      <c r="K53">
        <v>2.5908383152462902</v>
      </c>
      <c r="L53">
        <v>0.78539999999999999</v>
      </c>
      <c r="M53">
        <v>1.95436946452585</v>
      </c>
      <c r="N53" s="8">
        <v>0.19824954301483508</v>
      </c>
      <c r="O53">
        <v>0.76173375826497203</v>
      </c>
      <c r="P53">
        <v>0.88130841918701397</v>
      </c>
      <c r="Q53" s="1">
        <v>7344.5969999999998</v>
      </c>
      <c r="R53">
        <f t="shared" si="0"/>
        <v>0.93480255067016949</v>
      </c>
      <c r="S53">
        <v>-1.192113725</v>
      </c>
      <c r="T53">
        <v>0.44673631600000002</v>
      </c>
      <c r="U53">
        <v>-0.195272484</v>
      </c>
      <c r="V53">
        <v>3831988</v>
      </c>
      <c r="W53">
        <v>22.180170233982693</v>
      </c>
      <c r="X53">
        <v>1.0880356630772097</v>
      </c>
      <c r="Y53">
        <f t="shared" si="4"/>
        <v>0.76761253346530978</v>
      </c>
      <c r="Z53">
        <v>0.64</v>
      </c>
      <c r="AA53">
        <v>-3.2375000000000043E-2</v>
      </c>
      <c r="AB53">
        <v>-0.75730967184324005</v>
      </c>
      <c r="AC53" s="4">
        <v>9.43</v>
      </c>
      <c r="AD53">
        <v>2.4551115483719688E-3</v>
      </c>
      <c r="AF53">
        <f t="shared" si="1"/>
        <v>7.4727701923890333</v>
      </c>
      <c r="AG53">
        <f t="shared" si="2"/>
        <v>0.77615125993132528</v>
      </c>
      <c r="AH53">
        <f t="shared" si="3"/>
        <v>3.3021343982570173</v>
      </c>
    </row>
    <row r="54" spans="1:34" x14ac:dyDescent="0.35">
      <c r="A54" t="s">
        <v>53</v>
      </c>
      <c r="B54">
        <v>3858.6109999999999</v>
      </c>
      <c r="C54">
        <v>714153</v>
      </c>
      <c r="D54" s="7">
        <v>726986</v>
      </c>
      <c r="E54" s="3">
        <v>1347.7729999999999</v>
      </c>
      <c r="F54" s="6">
        <v>4809.6270368924552</v>
      </c>
      <c r="G54" s="6">
        <v>7.1</v>
      </c>
      <c r="H54">
        <v>0.62222030559708796</v>
      </c>
      <c r="I54" s="4">
        <v>8.354713986175117</v>
      </c>
      <c r="J54">
        <v>2.2049622575336798</v>
      </c>
      <c r="K54">
        <v>2.6717188666145502</v>
      </c>
      <c r="L54">
        <v>0.76639999999999997</v>
      </c>
      <c r="M54">
        <v>2.0494985610174621</v>
      </c>
      <c r="N54" s="8">
        <v>0.42609657772074133</v>
      </c>
      <c r="O54">
        <v>0.76683499309916403</v>
      </c>
      <c r="P54">
        <v>0.88976134297007703</v>
      </c>
      <c r="Q54" s="1">
        <v>7488.1670000000004</v>
      </c>
      <c r="R54">
        <f t="shared" si="0"/>
        <v>0.93526586111636811</v>
      </c>
      <c r="S54">
        <v>0.89383706699999999</v>
      </c>
      <c r="T54">
        <v>2.2793956519999998</v>
      </c>
      <c r="U54">
        <v>-1.0147785540000001</v>
      </c>
      <c r="V54">
        <v>3923242</v>
      </c>
      <c r="W54">
        <v>23.444390894935864</v>
      </c>
      <c r="X54">
        <v>1.0947319301878686</v>
      </c>
      <c r="Y54">
        <f t="shared" si="4"/>
        <v>0.86206736671434292</v>
      </c>
      <c r="Z54">
        <v>0.67100000000000004</v>
      </c>
      <c r="AA54">
        <v>2.4498552000000062E-2</v>
      </c>
      <c r="AB54">
        <v>0.57859030423487601</v>
      </c>
      <c r="AC54" s="4">
        <v>9.6866666666666674</v>
      </c>
      <c r="AD54">
        <v>2.181951158515627E-2</v>
      </c>
      <c r="AF54">
        <f t="shared" si="1"/>
        <v>3.5778870688239817</v>
      </c>
      <c r="AG54">
        <f t="shared" si="2"/>
        <v>1.9844114315027008</v>
      </c>
      <c r="AH54">
        <f t="shared" si="3"/>
        <v>3.5742939519056272</v>
      </c>
    </row>
    <row r="55" spans="1:34" x14ac:dyDescent="0.35">
      <c r="A55" t="s">
        <v>54</v>
      </c>
      <c r="B55">
        <v>4014.8609999999999</v>
      </c>
      <c r="C55">
        <v>711027</v>
      </c>
      <c r="D55" s="7">
        <v>723925</v>
      </c>
      <c r="E55" s="3">
        <v>1396.925</v>
      </c>
      <c r="F55" s="6">
        <v>4873.7494682520728</v>
      </c>
      <c r="G55" s="6">
        <v>7.3</v>
      </c>
      <c r="H55">
        <v>0.59471848486674095</v>
      </c>
      <c r="I55" s="4">
        <v>9.6603044444444439</v>
      </c>
      <c r="J55">
        <v>2.1891469064781899</v>
      </c>
      <c r="K55">
        <v>2.6775636154871201</v>
      </c>
      <c r="L55">
        <v>0.72289999999999999</v>
      </c>
      <c r="M55">
        <v>2.0828451306203792</v>
      </c>
      <c r="N55" s="8">
        <v>0.35614815421400764</v>
      </c>
      <c r="O55">
        <v>0.75153060824074203</v>
      </c>
      <c r="P55">
        <v>0.912624292406365</v>
      </c>
      <c r="Q55" s="1">
        <v>7617.5469999999996</v>
      </c>
      <c r="R55">
        <f t="shared" si="0"/>
        <v>0.93626214507306982</v>
      </c>
      <c r="S55">
        <v>0.55836621500000005</v>
      </c>
      <c r="T55">
        <v>5.1271254000000002E-2</v>
      </c>
      <c r="U55">
        <v>0.65010290900000001</v>
      </c>
      <c r="V55">
        <v>4069105</v>
      </c>
      <c r="W55">
        <v>24.173337830747322</v>
      </c>
      <c r="X55">
        <v>1.0914199430031053</v>
      </c>
      <c r="Y55">
        <f t="shared" si="4"/>
        <v>1.3268124414890232</v>
      </c>
      <c r="Z55">
        <v>0.65300000000000002</v>
      </c>
      <c r="AA55">
        <v>2.4594589999999972E-3</v>
      </c>
      <c r="AB55">
        <v>-0.421245663702147</v>
      </c>
      <c r="AC55" s="4">
        <v>10.556666666666667</v>
      </c>
      <c r="AD55">
        <v>1.5092954918720869E-2</v>
      </c>
      <c r="AF55">
        <f t="shared" si="1"/>
        <v>-2.505561039288029</v>
      </c>
      <c r="AG55">
        <f t="shared" si="2"/>
        <v>-2.9135191222778358</v>
      </c>
      <c r="AH55">
        <f t="shared" si="3"/>
        <v>3.3410471805635833</v>
      </c>
    </row>
    <row r="56" spans="1:34" x14ac:dyDescent="0.35">
      <c r="A56" t="s">
        <v>55</v>
      </c>
      <c r="B56">
        <v>4137.9470000000001</v>
      </c>
      <c r="C56">
        <v>757292</v>
      </c>
      <c r="D56" s="7">
        <v>750526</v>
      </c>
      <c r="E56" s="3">
        <v>1423.6590000000001</v>
      </c>
      <c r="F56" s="6">
        <v>4891.9589207007857</v>
      </c>
      <c r="G56" s="6">
        <v>5.6</v>
      </c>
      <c r="H56">
        <v>0.55679831757349296</v>
      </c>
      <c r="I56" s="4">
        <v>9.375764603174602</v>
      </c>
      <c r="J56">
        <v>2.2177428843388398</v>
      </c>
      <c r="K56">
        <v>2.6394737695702801</v>
      </c>
      <c r="L56">
        <v>0.80030000000000001</v>
      </c>
      <c r="M56">
        <v>2.0826754519967872</v>
      </c>
      <c r="N56" s="8">
        <v>0.41614762620838464</v>
      </c>
      <c r="O56">
        <v>0.76024757975316104</v>
      </c>
      <c r="P56">
        <v>0.94269758624599298</v>
      </c>
      <c r="Q56" s="1">
        <v>7690.9849999999997</v>
      </c>
      <c r="R56">
        <f t="shared" si="0"/>
        <v>0.93709576516014037</v>
      </c>
      <c r="S56">
        <v>-1.105684332</v>
      </c>
      <c r="T56">
        <v>-1.0603413900000001</v>
      </c>
      <c r="U56">
        <v>-0.68734995499999996</v>
      </c>
      <c r="V56">
        <v>4189464</v>
      </c>
      <c r="W56">
        <v>22.60991299048651</v>
      </c>
      <c r="X56">
        <v>1.0915503480805406</v>
      </c>
      <c r="Y56">
        <f t="shared" si="4"/>
        <v>1.2306489685576445</v>
      </c>
      <c r="Z56">
        <v>0.67500000000000004</v>
      </c>
      <c r="AA56">
        <v>1.9405405999999958E-2</v>
      </c>
      <c r="AB56">
        <v>0.34769900588262398</v>
      </c>
      <c r="AC56" s="4">
        <v>11.39</v>
      </c>
      <c r="AD56">
        <v>2.5230301832736668E-2</v>
      </c>
      <c r="AF56">
        <f t="shared" si="1"/>
        <v>-0.17089025325702778</v>
      </c>
      <c r="AG56">
        <f t="shared" si="2"/>
        <v>-32.769569318721238</v>
      </c>
      <c r="AH56">
        <f t="shared" si="3"/>
        <v>2.8981105950462105</v>
      </c>
    </row>
    <row r="57" spans="1:34" x14ac:dyDescent="0.35">
      <c r="A57" t="s">
        <v>56</v>
      </c>
      <c r="B57">
        <v>4298.2939999999999</v>
      </c>
      <c r="C57">
        <v>807346</v>
      </c>
      <c r="D57" s="7">
        <v>768002</v>
      </c>
      <c r="E57" s="3">
        <v>1460.6030000000001</v>
      </c>
      <c r="F57" s="6">
        <v>4936.7397815141621</v>
      </c>
      <c r="G57" s="6">
        <v>4.4000000000000004</v>
      </c>
      <c r="H57">
        <v>0.52865135580366696</v>
      </c>
      <c r="I57" s="4">
        <v>8.3036112138953939</v>
      </c>
      <c r="J57">
        <v>2.2185290757527598</v>
      </c>
      <c r="K57">
        <v>2.54256088671838</v>
      </c>
      <c r="L57">
        <v>0.88980000000000004</v>
      </c>
      <c r="M57">
        <v>2.013909530914713</v>
      </c>
      <c r="N57" s="8">
        <v>9.5238095238095663E-2</v>
      </c>
      <c r="O57">
        <v>0.76475655211965099</v>
      </c>
      <c r="P57">
        <v>0.89401877656456297</v>
      </c>
      <c r="Q57" s="1">
        <v>7754.1170000000002</v>
      </c>
      <c r="R57">
        <f t="shared" si="0"/>
        <v>0.93807069060564363</v>
      </c>
      <c r="S57">
        <v>-8.6505598000000003E-2</v>
      </c>
      <c r="T57">
        <v>-0.16070679399999999</v>
      </c>
      <c r="U57">
        <v>-5.6017300000000001E-3</v>
      </c>
      <c r="V57">
        <v>4383674</v>
      </c>
      <c r="W57">
        <v>21.8822841612944</v>
      </c>
      <c r="X57">
        <v>1.0899789171042096</v>
      </c>
      <c r="Y57">
        <f t="shared" si="4"/>
        <v>0.94107171486689989</v>
      </c>
      <c r="Z57">
        <v>0.65600000000000003</v>
      </c>
      <c r="AA57">
        <v>-4.8572479999999807E-3</v>
      </c>
      <c r="AB57">
        <v>5.0671877591436001E-2</v>
      </c>
      <c r="AC57" s="4">
        <v>9.2666666666666675</v>
      </c>
      <c r="AD57">
        <v>-2.2956895201051597E-2</v>
      </c>
      <c r="AF57">
        <f t="shared" si="1"/>
        <v>0.15731476585596482</v>
      </c>
      <c r="AG57">
        <f t="shared" si="2"/>
        <v>27.969402465554811</v>
      </c>
      <c r="AH57">
        <f t="shared" si="3"/>
        <v>2.3564378759499682</v>
      </c>
    </row>
    <row r="58" spans="1:34" x14ac:dyDescent="0.35">
      <c r="A58" t="s">
        <v>57</v>
      </c>
      <c r="B58">
        <v>4424.491</v>
      </c>
      <c r="C58">
        <v>838431</v>
      </c>
      <c r="D58" s="7">
        <v>784902</v>
      </c>
      <c r="E58" s="3">
        <v>1474.579</v>
      </c>
      <c r="F58" s="6">
        <v>5030.9804091763626</v>
      </c>
      <c r="G58" s="6">
        <v>3.2</v>
      </c>
      <c r="H58">
        <v>0.51679106186011103</v>
      </c>
      <c r="I58" s="4">
        <v>8.1695630952380949</v>
      </c>
      <c r="J58">
        <v>2.2485927630268598</v>
      </c>
      <c r="K58">
        <v>2.4493142240177499</v>
      </c>
      <c r="L58">
        <v>0.92559999999999998</v>
      </c>
      <c r="M58">
        <v>1.9325231621576389</v>
      </c>
      <c r="N58" s="8">
        <v>0.34707522104066602</v>
      </c>
      <c r="O58">
        <v>0.76873270540252703</v>
      </c>
      <c r="P58">
        <v>0.87606994294729601</v>
      </c>
      <c r="Q58" s="1">
        <v>7829.26</v>
      </c>
      <c r="R58">
        <f t="shared" si="0"/>
        <v>0.9382940407700735</v>
      </c>
      <c r="S58">
        <v>-0.43405108799999997</v>
      </c>
      <c r="T58">
        <v>-1.436270728</v>
      </c>
      <c r="U58">
        <v>-1.150457686</v>
      </c>
      <c r="V58">
        <v>4440806</v>
      </c>
      <c r="W58">
        <v>20.493840985442329</v>
      </c>
      <c r="X58">
        <v>1.0898636283701351</v>
      </c>
      <c r="Y58">
        <f t="shared" si="4"/>
        <v>1.3187710401936472</v>
      </c>
      <c r="Z58">
        <v>0.68700000000000006</v>
      </c>
      <c r="AA58">
        <v>1.0793433999999991E-2</v>
      </c>
      <c r="AB58">
        <v>-1.6182092240947099</v>
      </c>
      <c r="AC58" s="4">
        <v>8.4766666666666666</v>
      </c>
      <c r="AD58">
        <v>-7.8901845921486302E-3</v>
      </c>
      <c r="AF58">
        <f t="shared" si="1"/>
        <v>4.3630505493180038</v>
      </c>
      <c r="AG58">
        <f t="shared" si="2"/>
        <v>0.73343179590257046</v>
      </c>
      <c r="AH58">
        <f t="shared" si="3"/>
        <v>1.9345194274740685</v>
      </c>
    </row>
    <row r="59" spans="1:34" x14ac:dyDescent="0.35">
      <c r="A59" t="s">
        <v>58</v>
      </c>
      <c r="B59">
        <v>4569.1610000000001</v>
      </c>
      <c r="C59">
        <v>863860</v>
      </c>
      <c r="D59" s="7">
        <v>798736</v>
      </c>
      <c r="E59" s="3">
        <v>1505.1659999999999</v>
      </c>
      <c r="F59" s="6">
        <v>5064.4655929151086</v>
      </c>
      <c r="G59" s="6">
        <v>2.6</v>
      </c>
      <c r="H59">
        <v>0.50527735699725795</v>
      </c>
      <c r="I59" s="4">
        <v>7.4572689682539677</v>
      </c>
      <c r="J59">
        <v>2.2710793372257498</v>
      </c>
      <c r="K59">
        <v>2.5762754661431599</v>
      </c>
      <c r="L59">
        <v>1.1348</v>
      </c>
      <c r="M59">
        <v>2.070998109145902</v>
      </c>
      <c r="N59" s="8">
        <v>0.37456540826975565</v>
      </c>
      <c r="O59">
        <v>0.76351854432845301</v>
      </c>
      <c r="P59">
        <v>0.83759755783131196</v>
      </c>
      <c r="Q59" s="1">
        <v>7898.1940000000004</v>
      </c>
      <c r="R59">
        <f t="shared" si="0"/>
        <v>0.93910818729907708</v>
      </c>
      <c r="S59">
        <v>-1.8248063450000001</v>
      </c>
      <c r="T59">
        <v>0.12627075500000001</v>
      </c>
      <c r="U59">
        <v>0.26111475299999998</v>
      </c>
      <c r="V59">
        <v>4555109</v>
      </c>
      <c r="W59">
        <v>19.427039810800157</v>
      </c>
      <c r="X59">
        <v>1.0886017396528549</v>
      </c>
      <c r="Y59">
        <f t="shared" si="4"/>
        <v>1.6212159648379285</v>
      </c>
      <c r="Z59">
        <v>0.66500000000000004</v>
      </c>
      <c r="AA59">
        <v>-1.9694444999999949E-2</v>
      </c>
      <c r="AB59">
        <v>-0.22433656279302999</v>
      </c>
      <c r="AC59" s="4">
        <v>7.9233333333333329</v>
      </c>
      <c r="AD59">
        <v>5.196557055693396E-2</v>
      </c>
      <c r="AF59">
        <f t="shared" si="1"/>
        <v>8.1932430747559959</v>
      </c>
      <c r="AG59">
        <f t="shared" si="2"/>
        <v>0.31733465933786309</v>
      </c>
      <c r="AH59">
        <f t="shared" si="3"/>
        <v>1.5712654438460039</v>
      </c>
    </row>
    <row r="60" spans="1:34" x14ac:dyDescent="0.35">
      <c r="A60" t="s">
        <v>59</v>
      </c>
      <c r="B60">
        <v>4704.38</v>
      </c>
      <c r="C60">
        <v>901491</v>
      </c>
      <c r="D60" s="7">
        <v>820879</v>
      </c>
      <c r="E60" s="3">
        <v>1510.2449999999999</v>
      </c>
      <c r="F60" s="6">
        <v>5150.4799965732909</v>
      </c>
      <c r="G60" s="6">
        <v>2.4</v>
      </c>
      <c r="H60">
        <v>0.49888681963707898</v>
      </c>
      <c r="I60" s="4">
        <v>7.0127948412698409</v>
      </c>
      <c r="J60">
        <v>2.269961261722</v>
      </c>
      <c r="K60">
        <v>2.7483615664361198</v>
      </c>
      <c r="L60">
        <v>1.1496999999999999</v>
      </c>
      <c r="M60">
        <v>2.249474746799041</v>
      </c>
      <c r="N60" s="8">
        <v>0.21639338022768401</v>
      </c>
      <c r="O60">
        <v>0.74925467128533596</v>
      </c>
      <c r="P60">
        <v>0.85238991056100299</v>
      </c>
      <c r="Q60" s="1">
        <v>8018.8090000000002</v>
      </c>
      <c r="R60">
        <f t="shared" si="0"/>
        <v>0.93998758090304002</v>
      </c>
      <c r="S60">
        <v>-0.101789252</v>
      </c>
      <c r="T60">
        <v>-0.71081351500000001</v>
      </c>
      <c r="U60">
        <v>1.5480411270000001</v>
      </c>
      <c r="V60">
        <v>4695831</v>
      </c>
      <c r="W60">
        <v>19.775537599031402</v>
      </c>
      <c r="X60">
        <v>1.0884065837611614</v>
      </c>
      <c r="Y60">
        <f t="shared" si="4"/>
        <v>1.6202849153615579</v>
      </c>
      <c r="Z60">
        <v>0.65700000000000003</v>
      </c>
      <c r="AA60">
        <v>-1.302855600000008E-2</v>
      </c>
      <c r="AB60">
        <v>-0.335191363111217</v>
      </c>
      <c r="AC60" s="4">
        <v>7.9</v>
      </c>
      <c r="AD60">
        <v>-9.4366341860032454E-2</v>
      </c>
      <c r="AF60">
        <f t="shared" si="1"/>
        <v>5.2218377383160153</v>
      </c>
      <c r="AG60">
        <f t="shared" si="2"/>
        <v>0.45960830655262247</v>
      </c>
      <c r="AH60">
        <f t="shared" si="3"/>
        <v>1.8127904803842743</v>
      </c>
    </row>
    <row r="61" spans="1:34" x14ac:dyDescent="0.35">
      <c r="A61" t="s">
        <v>60</v>
      </c>
      <c r="B61">
        <v>4901.7740000000003</v>
      </c>
      <c r="C61">
        <v>945631</v>
      </c>
      <c r="D61" s="7">
        <v>852542</v>
      </c>
      <c r="E61" s="3">
        <v>1533.2619999999999</v>
      </c>
      <c r="F61" s="6">
        <v>5145.8353424165407</v>
      </c>
      <c r="G61" s="6">
        <v>2.2999999999999998</v>
      </c>
      <c r="H61">
        <v>0.49820073693829198</v>
      </c>
      <c r="I61" s="4">
        <v>6.4921756989247319</v>
      </c>
      <c r="J61">
        <v>2.3060832010281702</v>
      </c>
      <c r="K61">
        <v>2.7052615828197801</v>
      </c>
      <c r="L61">
        <v>1.3325</v>
      </c>
      <c r="M61">
        <v>2.2070608458814882</v>
      </c>
      <c r="N61" s="8">
        <v>0.30685424396849831</v>
      </c>
      <c r="O61">
        <v>0.76969274795438403</v>
      </c>
      <c r="P61">
        <v>0.89121446248342495</v>
      </c>
      <c r="Q61" s="1">
        <v>8078.415</v>
      </c>
      <c r="R61">
        <f t="shared" si="0"/>
        <v>0.94049609862804917</v>
      </c>
      <c r="S61">
        <v>0.73162774799999997</v>
      </c>
      <c r="T61">
        <v>-1.1122958519999999</v>
      </c>
      <c r="U61">
        <v>-0.71882701999999998</v>
      </c>
      <c r="V61">
        <v>5033320</v>
      </c>
      <c r="W61">
        <v>16.985662776556932</v>
      </c>
      <c r="X61">
        <v>1.0864676436775489</v>
      </c>
      <c r="Y61">
        <f t="shared" si="4"/>
        <v>0.62080097726327066</v>
      </c>
      <c r="Z61">
        <v>0.63100000000000001</v>
      </c>
      <c r="AA61">
        <v>-4.9221443999999948E-2</v>
      </c>
      <c r="AB61">
        <v>0.14757865732525999</v>
      </c>
      <c r="AC61" s="4">
        <v>8.1033333333333335</v>
      </c>
      <c r="AD61">
        <v>-0.10390165978611898</v>
      </c>
      <c r="AF61">
        <f t="shared" si="1"/>
        <v>8.7554125275410399</v>
      </c>
      <c r="AG61">
        <f t="shared" si="2"/>
        <v>0.26269464662745656</v>
      </c>
      <c r="AH61">
        <f t="shared" si="3"/>
        <v>1.7793810064848703</v>
      </c>
    </row>
    <row r="62" spans="1:34" x14ac:dyDescent="0.35">
      <c r="A62" t="s">
        <v>61</v>
      </c>
      <c r="B62">
        <v>4987.4470000000001</v>
      </c>
      <c r="C62">
        <v>998511</v>
      </c>
      <c r="D62" s="7">
        <v>869541</v>
      </c>
      <c r="E62" s="3">
        <v>1540.8130000000001</v>
      </c>
      <c r="F62" s="6">
        <v>5175.5305613001947</v>
      </c>
      <c r="G62" s="6">
        <v>1.3</v>
      </c>
      <c r="H62">
        <v>0.47741685406637002</v>
      </c>
      <c r="I62" s="4">
        <v>5.3448200000000003</v>
      </c>
      <c r="J62">
        <v>2.3419221860711499</v>
      </c>
      <c r="K62">
        <v>2.5515405721940199</v>
      </c>
      <c r="L62">
        <v>1.6753</v>
      </c>
      <c r="M62">
        <v>2.07412371812765</v>
      </c>
      <c r="N62" s="8">
        <v>-0.15223508146287798</v>
      </c>
      <c r="O62">
        <v>0.812280405658246</v>
      </c>
      <c r="P62">
        <v>0.918582171876825</v>
      </c>
      <c r="Q62" s="1">
        <v>8153.8289999999997</v>
      </c>
      <c r="R62">
        <f t="shared" si="0"/>
        <v>0.94121758667629873</v>
      </c>
      <c r="S62">
        <v>-1.5626075340000001</v>
      </c>
      <c r="T62">
        <v>-1.223521955</v>
      </c>
      <c r="U62">
        <v>1.2651667120000001</v>
      </c>
      <c r="V62">
        <v>5106217</v>
      </c>
      <c r="W62">
        <v>15.92664330547961</v>
      </c>
      <c r="X62">
        <v>1.0857234371909985</v>
      </c>
      <c r="Y62">
        <f t="shared" si="4"/>
        <v>0.62323017685155935</v>
      </c>
      <c r="Z62">
        <v>0.66149999999999998</v>
      </c>
      <c r="AA62">
        <v>-2.2972222000000042E-2</v>
      </c>
      <c r="AB62">
        <v>1.2519375882075801</v>
      </c>
      <c r="AC62" s="4">
        <v>7.8266666666666671</v>
      </c>
      <c r="AD62">
        <v>0.10042896642305443</v>
      </c>
      <c r="AF62">
        <f t="shared" si="1"/>
        <v>9.3329423044290039</v>
      </c>
      <c r="AG62">
        <f t="shared" si="2"/>
        <v>0.13929155003809218</v>
      </c>
      <c r="AH62">
        <f t="shared" si="3"/>
        <v>1.7640883615205993</v>
      </c>
    </row>
    <row r="63" spans="1:34" x14ac:dyDescent="0.35">
      <c r="A63" t="s">
        <v>62</v>
      </c>
      <c r="B63">
        <v>5133.3890000000001</v>
      </c>
      <c r="C63">
        <v>1019078</v>
      </c>
      <c r="D63" s="7">
        <v>897895</v>
      </c>
      <c r="E63" s="3">
        <v>1548.742</v>
      </c>
      <c r="F63" s="6">
        <v>5178.0844667947322</v>
      </c>
      <c r="G63" s="6">
        <v>0.4</v>
      </c>
      <c r="H63">
        <v>0.43532978219931201</v>
      </c>
      <c r="I63" s="4">
        <v>4.4211504166666673</v>
      </c>
      <c r="J63">
        <v>2.3810839729264801</v>
      </c>
      <c r="K63">
        <v>2.3999233916578899</v>
      </c>
      <c r="L63">
        <v>1.7927999999999999</v>
      </c>
      <c r="M63">
        <v>1.9645936094585779</v>
      </c>
      <c r="N63" s="8">
        <v>0.21446125061290067</v>
      </c>
      <c r="O63">
        <v>0.80352349923611399</v>
      </c>
      <c r="P63">
        <v>0.951811806276321</v>
      </c>
      <c r="Q63" s="1">
        <v>8190.5519999999997</v>
      </c>
      <c r="R63">
        <f t="shared" si="0"/>
        <v>0.94085937083634386</v>
      </c>
      <c r="S63">
        <v>-0.23514148000000001</v>
      </c>
      <c r="T63">
        <v>1.7729811150000001</v>
      </c>
      <c r="U63">
        <v>1.7968777549999999</v>
      </c>
      <c r="V63">
        <v>5246813</v>
      </c>
      <c r="W63">
        <v>15.702510927013039</v>
      </c>
      <c r="X63">
        <v>1.0856273758892032</v>
      </c>
      <c r="Y63">
        <f t="shared" si="4"/>
        <v>0.77081367028441627</v>
      </c>
      <c r="Z63">
        <v>0.60399999999999998</v>
      </c>
      <c r="AA63">
        <v>9.3162400000001977E-4</v>
      </c>
      <c r="AB63">
        <v>-0.796434346973806</v>
      </c>
      <c r="AC63" s="4">
        <v>6.92</v>
      </c>
      <c r="AD63">
        <v>2.9986730352536739E-2</v>
      </c>
      <c r="AF63">
        <f t="shared" si="1"/>
        <v>11.000463570073027</v>
      </c>
      <c r="AG63">
        <f t="shared" si="2"/>
        <v>3.6362103965164497E-2</v>
      </c>
      <c r="AH63">
        <f t="shared" si="3"/>
        <v>1.5785374980668898</v>
      </c>
    </row>
    <row r="64" spans="1:34" x14ac:dyDescent="0.35">
      <c r="A64" t="s">
        <v>63</v>
      </c>
      <c r="B64">
        <v>5281.6980000000003</v>
      </c>
      <c r="C64">
        <v>1055136</v>
      </c>
      <c r="D64" s="7">
        <v>927729</v>
      </c>
      <c r="E64" s="3">
        <v>1558.829</v>
      </c>
      <c r="F64" s="6">
        <v>5250.7793401496483</v>
      </c>
      <c r="G64" s="6">
        <v>0.6</v>
      </c>
      <c r="H64">
        <v>0.43098472455278503</v>
      </c>
      <c r="I64" s="4">
        <v>4.1678985119047613</v>
      </c>
      <c r="J64">
        <v>2.3805902804431902</v>
      </c>
      <c r="K64">
        <v>2.4270902563313701</v>
      </c>
      <c r="L64">
        <v>2.0034999999999998</v>
      </c>
      <c r="M64">
        <v>1.9961055317785852</v>
      </c>
      <c r="N64" s="8">
        <v>0.21281230531864365</v>
      </c>
      <c r="O64">
        <v>0.78593577623472899</v>
      </c>
      <c r="P64">
        <v>1.0276505214376599</v>
      </c>
      <c r="Q64" s="1">
        <v>8268.9349999999995</v>
      </c>
      <c r="R64">
        <f t="shared" si="0"/>
        <v>0.94136381552964488</v>
      </c>
      <c r="S64">
        <v>0.170981781</v>
      </c>
      <c r="T64">
        <v>0.687721209</v>
      </c>
      <c r="U64">
        <v>1.6942304450000001</v>
      </c>
      <c r="V64">
        <v>5396401</v>
      </c>
      <c r="W64">
        <v>17.10097719869707</v>
      </c>
      <c r="X64">
        <v>1.085918263603292</v>
      </c>
      <c r="Y64">
        <f t="shared" si="4"/>
        <v>0.76716696857576738</v>
      </c>
      <c r="Z64">
        <v>0.58799999999999997</v>
      </c>
      <c r="AA64">
        <v>-7.5447963999999978E-2</v>
      </c>
      <c r="AB64">
        <v>0.83679990165276497</v>
      </c>
      <c r="AC64" s="4">
        <v>6.206666666666667</v>
      </c>
      <c r="AD64">
        <v>-2.2707244776211999E-2</v>
      </c>
      <c r="AF64">
        <f t="shared" si="1"/>
        <v>11.062901872119024</v>
      </c>
      <c r="AG64">
        <f t="shared" si="2"/>
        <v>5.4235317906247867E-2</v>
      </c>
      <c r="AH64">
        <f t="shared" si="3"/>
        <v>1.3339708924593019</v>
      </c>
    </row>
    <row r="65" spans="1:34" x14ac:dyDescent="0.35">
      <c r="A65" t="s">
        <v>64</v>
      </c>
      <c r="B65">
        <v>5456.9740000000002</v>
      </c>
      <c r="C65">
        <v>1096473</v>
      </c>
      <c r="D65" s="7">
        <v>952537</v>
      </c>
      <c r="E65" s="3">
        <v>1564.354</v>
      </c>
      <c r="F65" s="6">
        <v>5272.5862839730344</v>
      </c>
      <c r="G65" s="6">
        <v>0.8</v>
      </c>
      <c r="H65">
        <v>0.42525212815169899</v>
      </c>
      <c r="I65" s="4">
        <v>4.1573965437788019</v>
      </c>
      <c r="J65">
        <v>2.3924222177788499</v>
      </c>
      <c r="K65">
        <v>2.6391162588674799</v>
      </c>
      <c r="L65">
        <v>1.9392</v>
      </c>
      <c r="M65">
        <v>2.2138641307157809</v>
      </c>
      <c r="N65" s="8">
        <v>9.0661881049101403E-2</v>
      </c>
      <c r="O65">
        <v>0.79289806667180696</v>
      </c>
      <c r="P65">
        <v>1.0254392282170799</v>
      </c>
      <c r="Q65" s="1">
        <v>8313.3379999999997</v>
      </c>
      <c r="R65">
        <f t="shared" si="0"/>
        <v>0.94186465003896092</v>
      </c>
      <c r="S65">
        <v>2.3625475520000001</v>
      </c>
      <c r="T65">
        <v>-0.277478799</v>
      </c>
      <c r="U65">
        <v>-1.0091628749999999</v>
      </c>
      <c r="V65">
        <v>5575306</v>
      </c>
      <c r="W65">
        <v>16.996441081162082</v>
      </c>
      <c r="X65">
        <v>1.0847314065374167</v>
      </c>
      <c r="Y65">
        <f t="shared" si="4"/>
        <v>0.61194272319839826</v>
      </c>
      <c r="Z65">
        <v>0.56399999999999995</v>
      </c>
      <c r="AA65">
        <v>-4.4915960000000421E-3</v>
      </c>
      <c r="AB65">
        <v>-0.23570713519331901</v>
      </c>
      <c r="AC65" s="4">
        <v>6.2666666666666666</v>
      </c>
      <c r="AD65">
        <v>1.1698491615691031E-2</v>
      </c>
      <c r="AF65">
        <f t="shared" si="1"/>
        <v>8.6339016750679676</v>
      </c>
      <c r="AG65">
        <f t="shared" si="2"/>
        <v>9.2657992887520607E-2</v>
      </c>
      <c r="AH65">
        <f t="shared" si="3"/>
        <v>1.2449278462697499</v>
      </c>
    </row>
    <row r="66" spans="1:34" x14ac:dyDescent="0.35">
      <c r="A66" t="s">
        <v>65</v>
      </c>
      <c r="B66">
        <v>5520.9769999999999</v>
      </c>
      <c r="C66">
        <v>1103591</v>
      </c>
      <c r="D66" s="7">
        <v>999261</v>
      </c>
      <c r="E66" s="3">
        <v>1548.529</v>
      </c>
      <c r="F66" s="6">
        <v>5283.7565759383015</v>
      </c>
      <c r="G66" s="6">
        <v>2.2000000000000002</v>
      </c>
      <c r="H66">
        <v>0.43953281081798901</v>
      </c>
      <c r="I66" s="4">
        <v>4.1209236455893841</v>
      </c>
      <c r="J66">
        <v>2.44570109533033</v>
      </c>
      <c r="K66">
        <v>2.4255732436845299</v>
      </c>
      <c r="L66">
        <v>1.8607</v>
      </c>
      <c r="M66">
        <v>1.9860404328665409</v>
      </c>
      <c r="N66" s="8">
        <v>0.480408355648962</v>
      </c>
      <c r="O66">
        <v>0.79788138410486498</v>
      </c>
      <c r="P66">
        <v>1.0318213902600499</v>
      </c>
      <c r="Q66" s="1">
        <v>8375.2739999999994</v>
      </c>
      <c r="R66">
        <f t="shared" ref="R66:R129" si="5">R67/(1+N66/400)</f>
        <v>0.94207812809112645</v>
      </c>
      <c r="S66">
        <v>-1.3678983600000001</v>
      </c>
      <c r="T66">
        <v>2.4009960210000001</v>
      </c>
      <c r="U66">
        <v>-0.66723307099999996</v>
      </c>
      <c r="V66">
        <v>5593842</v>
      </c>
      <c r="W66">
        <v>15.354727009180221</v>
      </c>
      <c r="X66">
        <v>1.0865428010389699</v>
      </c>
      <c r="Y66">
        <f t="shared" si="4"/>
        <v>3.2949026884635595</v>
      </c>
      <c r="Z66">
        <v>0.59899999999999998</v>
      </c>
      <c r="AA66">
        <v>0.10295238100000004</v>
      </c>
      <c r="AB66">
        <v>1.80369080794915</v>
      </c>
      <c r="AC66" s="4">
        <v>6.22</v>
      </c>
      <c r="AD66">
        <v>9.8693660752662282E-3</v>
      </c>
      <c r="AF66">
        <f t="shared" si="1"/>
        <v>10.37789092591801</v>
      </c>
      <c r="AG66">
        <f t="shared" si="2"/>
        <v>0.21198912338784212</v>
      </c>
      <c r="AH66">
        <f t="shared" si="3"/>
        <v>1.1637424736514301</v>
      </c>
    </row>
    <row r="67" spans="1:34" x14ac:dyDescent="0.35">
      <c r="A67" t="s">
        <v>66</v>
      </c>
      <c r="B67">
        <v>5674.7359999999999</v>
      </c>
      <c r="C67">
        <v>1113651</v>
      </c>
      <c r="D67" s="7">
        <v>994720</v>
      </c>
      <c r="E67" s="3">
        <v>1573.88</v>
      </c>
      <c r="F67" s="6">
        <v>5369.2849454430107</v>
      </c>
      <c r="G67" s="6">
        <v>3.1</v>
      </c>
      <c r="H67">
        <v>0.46172940280042601</v>
      </c>
      <c r="I67" s="4">
        <v>5.2947386507936516</v>
      </c>
      <c r="J67">
        <v>2.4732603848836501</v>
      </c>
      <c r="K67">
        <v>2.5576468219037398</v>
      </c>
      <c r="L67">
        <v>1.6099000000000001</v>
      </c>
      <c r="M67">
        <v>2.0959174191033139</v>
      </c>
      <c r="N67" s="8">
        <v>0.4146100979295203</v>
      </c>
      <c r="O67">
        <v>0.74747068382203097</v>
      </c>
      <c r="P67">
        <v>1.02045390445622</v>
      </c>
      <c r="Q67" s="1">
        <v>8465.6299999999992</v>
      </c>
      <c r="R67">
        <f t="shared" si="5"/>
        <v>0.94320958360214924</v>
      </c>
      <c r="S67">
        <v>0.95513394200000001</v>
      </c>
      <c r="T67">
        <v>1.696428491</v>
      </c>
      <c r="U67">
        <v>1.687710877</v>
      </c>
      <c r="V67">
        <v>5729956</v>
      </c>
      <c r="W67">
        <v>15.72188797014253</v>
      </c>
      <c r="X67">
        <v>1.0839875227801126</v>
      </c>
      <c r="Y67">
        <f t="shared" si="4"/>
        <v>3.5816072108650903</v>
      </c>
      <c r="Z67">
        <v>0.59949999999999903</v>
      </c>
      <c r="AA67">
        <v>-2.1499999999999964E-2</v>
      </c>
      <c r="AB67">
        <v>-1.55819758785645</v>
      </c>
      <c r="AC67" s="4">
        <v>6.65</v>
      </c>
      <c r="AD67">
        <v>-4.7538778427144157E-3</v>
      </c>
      <c r="AF67">
        <f t="shared" si="1"/>
        <v>9.2176411957169968</v>
      </c>
      <c r="AG67">
        <f t="shared" si="2"/>
        <v>0.33631163702058875</v>
      </c>
      <c r="AH67">
        <f t="shared" si="3"/>
        <v>1.4346111313911614</v>
      </c>
    </row>
    <row r="68" spans="1:34" x14ac:dyDescent="0.35">
      <c r="A68" t="s">
        <v>67</v>
      </c>
      <c r="B68">
        <v>5804.1289999999999</v>
      </c>
      <c r="C68">
        <v>1132044</v>
      </c>
      <c r="D68" s="7">
        <v>1014605</v>
      </c>
      <c r="E68" s="3">
        <v>1599.722</v>
      </c>
      <c r="F68" s="6">
        <v>5439.2295434840853</v>
      </c>
      <c r="G68" s="6">
        <v>3.3</v>
      </c>
      <c r="H68">
        <v>0.47296974442239098</v>
      </c>
      <c r="I68" s="4">
        <v>5.8612591666666667</v>
      </c>
      <c r="J68">
        <v>2.48952459641907</v>
      </c>
      <c r="K68">
        <v>2.5803642759407301</v>
      </c>
      <c r="L68">
        <v>1.6453</v>
      </c>
      <c r="M68">
        <v>2.1073945315183393</v>
      </c>
      <c r="N68" s="8">
        <v>0.43867782612623829</v>
      </c>
      <c r="O68">
        <v>0.74380298983835003</v>
      </c>
      <c r="P68">
        <v>1.1545048148841699</v>
      </c>
      <c r="Q68" s="1">
        <v>8539.0750000000007</v>
      </c>
      <c r="R68">
        <f t="shared" si="5"/>
        <v>0.94418724414671273</v>
      </c>
      <c r="S68">
        <v>2.3867561909999999</v>
      </c>
      <c r="T68">
        <v>2.128821716</v>
      </c>
      <c r="U68">
        <v>6.6214788249999996</v>
      </c>
      <c r="V68">
        <v>5833153</v>
      </c>
      <c r="W68">
        <v>16.156292847804597</v>
      </c>
      <c r="X68">
        <v>1.0833664258452065</v>
      </c>
      <c r="Y68">
        <f t="shared" si="4"/>
        <v>2.9584889767197424</v>
      </c>
      <c r="Z68">
        <v>0.57499999999999996</v>
      </c>
      <c r="AA68">
        <v>-1.4166667000000022E-2</v>
      </c>
      <c r="AB68">
        <v>5.8632107621001799</v>
      </c>
      <c r="AC68" s="4">
        <v>6.8433333333333337</v>
      </c>
      <c r="AD68">
        <v>1.3519779780906571E-2</v>
      </c>
      <c r="AF68">
        <f t="shared" si="1"/>
        <v>10.893431597587977</v>
      </c>
      <c r="AG68">
        <f t="shared" si="2"/>
        <v>0.30293484384945196</v>
      </c>
      <c r="AH68">
        <f t="shared" si="3"/>
        <v>1.3961249983744484</v>
      </c>
    </row>
    <row r="69" spans="1:34" x14ac:dyDescent="0.35">
      <c r="A69" t="s">
        <v>68</v>
      </c>
      <c r="B69">
        <v>5933.8969999999999</v>
      </c>
      <c r="C69">
        <v>1168229</v>
      </c>
      <c r="D69" s="7">
        <v>1028144</v>
      </c>
      <c r="E69" s="3">
        <v>1600.45</v>
      </c>
      <c r="F69" s="6">
        <v>5452.2611631116988</v>
      </c>
      <c r="G69" s="6">
        <v>3.6</v>
      </c>
      <c r="H69">
        <v>0.47906223882350202</v>
      </c>
      <c r="I69" s="4">
        <v>6.1675601152073742</v>
      </c>
      <c r="J69">
        <v>2.3855915634697</v>
      </c>
      <c r="K69">
        <v>3.3552604064155802</v>
      </c>
      <c r="L69">
        <v>1.4029</v>
      </c>
      <c r="M69">
        <v>2.876198167592078</v>
      </c>
      <c r="N69" s="8">
        <v>0.11586661136040879</v>
      </c>
      <c r="O69">
        <v>0.770002976001813</v>
      </c>
      <c r="P69">
        <v>1.2604395483189501</v>
      </c>
      <c r="Q69" s="1">
        <v>8685.6939999999995</v>
      </c>
      <c r="R69">
        <f t="shared" si="5"/>
        <v>0.9452227291660088</v>
      </c>
      <c r="S69">
        <v>1.120384496</v>
      </c>
      <c r="T69">
        <v>0.92682936100000002</v>
      </c>
      <c r="U69">
        <v>-6.3787586210000002</v>
      </c>
      <c r="V69">
        <v>6025737</v>
      </c>
      <c r="W69">
        <v>23.325290001627263</v>
      </c>
      <c r="X69">
        <v>1.0834138824421657</v>
      </c>
      <c r="Y69">
        <f t="shared" si="4"/>
        <v>0.35517720416140092</v>
      </c>
      <c r="Z69">
        <v>0.56399999999999995</v>
      </c>
      <c r="AA69">
        <v>8.9266059999999481E-3</v>
      </c>
      <c r="AB69">
        <v>2.7969161870542298</v>
      </c>
      <c r="AC69" s="4">
        <v>6.916666666666667</v>
      </c>
      <c r="AD69">
        <v>-2.9370146006533648E-2</v>
      </c>
      <c r="AF69">
        <f t="shared" si="1"/>
        <v>-0.68306543091498639</v>
      </c>
      <c r="AG69">
        <f t="shared" si="2"/>
        <v>-5.2703589393737778</v>
      </c>
      <c r="AH69">
        <f t="shared" si="3"/>
        <v>1.9029086738303391</v>
      </c>
    </row>
    <row r="70" spans="1:34" x14ac:dyDescent="0.35">
      <c r="A70" t="s">
        <v>69</v>
      </c>
      <c r="B70">
        <v>6051.1719999999996</v>
      </c>
      <c r="C70">
        <v>1162242</v>
      </c>
      <c r="D70" s="7">
        <v>1047374</v>
      </c>
      <c r="E70" s="3">
        <v>1589.2049999999999</v>
      </c>
      <c r="F70" s="6">
        <v>5543.0391617836167</v>
      </c>
      <c r="G70" s="6">
        <v>2.4</v>
      </c>
      <c r="H70">
        <v>0.49717139793488102</v>
      </c>
      <c r="I70" s="4">
        <v>5.5066246466973876</v>
      </c>
      <c r="J70">
        <v>2.41166242971914</v>
      </c>
      <c r="K70">
        <v>3.4217399872178</v>
      </c>
      <c r="L70">
        <v>1.552</v>
      </c>
      <c r="M70">
        <v>2.9245685892829192</v>
      </c>
      <c r="N70" s="8">
        <v>0.31676369708026697</v>
      </c>
      <c r="O70">
        <v>0.74899058778389505</v>
      </c>
      <c r="P70">
        <v>1.0292293298575299</v>
      </c>
      <c r="Q70" s="1">
        <v>8730.5689999999995</v>
      </c>
      <c r="R70">
        <f t="shared" si="5"/>
        <v>0.94549652855253219</v>
      </c>
      <c r="S70">
        <v>-1.556987122</v>
      </c>
      <c r="T70">
        <v>0.83486693599999995</v>
      </c>
      <c r="U70">
        <v>-2.409299115</v>
      </c>
      <c r="V70">
        <v>6188608</v>
      </c>
      <c r="W70">
        <v>22.85037521393777</v>
      </c>
      <c r="X70">
        <v>1.0828715507342115</v>
      </c>
      <c r="Y70">
        <f t="shared" si="4"/>
        <v>0.74444980375006464</v>
      </c>
      <c r="Z70">
        <v>0.55400000000000005</v>
      </c>
      <c r="AA70">
        <v>-5.9980349999999572E-3</v>
      </c>
      <c r="AB70">
        <v>-0.97706124026296104</v>
      </c>
      <c r="AC70" s="4">
        <v>6.6633333333333331</v>
      </c>
      <c r="AD70">
        <v>6.4902584237644945E-3</v>
      </c>
      <c r="AF70">
        <f t="shared" si="1"/>
        <v>-3.4038665611189955</v>
      </c>
      <c r="AG70">
        <f t="shared" si="2"/>
        <v>-0.70508051855329423</v>
      </c>
      <c r="AH70">
        <f t="shared" si="3"/>
        <v>1.8043524996653293</v>
      </c>
    </row>
    <row r="71" spans="1:34" x14ac:dyDescent="0.35">
      <c r="A71" t="s">
        <v>70</v>
      </c>
      <c r="B71">
        <v>6220.3869999999997</v>
      </c>
      <c r="C71">
        <v>1153655</v>
      </c>
      <c r="D71" s="7">
        <v>1076276</v>
      </c>
      <c r="E71" s="3">
        <v>1617.4390000000001</v>
      </c>
      <c r="F71" s="6">
        <v>5591.1280006907364</v>
      </c>
      <c r="G71" s="6">
        <v>3.3</v>
      </c>
      <c r="H71">
        <v>0.51289907133389401</v>
      </c>
      <c r="I71" s="4">
        <v>6.0709528571428582</v>
      </c>
      <c r="J71">
        <v>2.4225265634390398</v>
      </c>
      <c r="K71">
        <v>3.5549646093179899</v>
      </c>
      <c r="L71">
        <v>1.4227000000000001</v>
      </c>
      <c r="M71">
        <v>3.042065537984096</v>
      </c>
      <c r="N71" s="8">
        <v>0.42738058670531859</v>
      </c>
      <c r="O71">
        <v>0.71734420713290503</v>
      </c>
      <c r="P71">
        <v>0.90733743917406096</v>
      </c>
      <c r="Q71" s="1">
        <v>8845.2800000000007</v>
      </c>
      <c r="R71">
        <f t="shared" si="5"/>
        <v>0.94624527599243435</v>
      </c>
      <c r="S71">
        <v>-0.65367258299999997</v>
      </c>
      <c r="T71">
        <v>-1.338368665</v>
      </c>
      <c r="U71">
        <v>0.1097364</v>
      </c>
      <c r="V71">
        <v>6323507</v>
      </c>
      <c r="W71">
        <v>22.732492700884357</v>
      </c>
      <c r="X71">
        <v>1.0830913352634506</v>
      </c>
      <c r="Y71">
        <f t="shared" si="4"/>
        <v>0.66092799253056478</v>
      </c>
      <c r="Z71">
        <v>0.52549999999999997</v>
      </c>
      <c r="AA71">
        <v>-1.5533833999999969E-2</v>
      </c>
      <c r="AB71">
        <v>-0.100468571468565</v>
      </c>
      <c r="AC71" s="4">
        <v>7.1566666666666663</v>
      </c>
      <c r="AD71">
        <v>1.8967084954148339E-2</v>
      </c>
      <c r="AF71">
        <f t="shared" ref="AF71:AF134" si="6">(J71-J67)*100</f>
        <v>-5.073382144461025</v>
      </c>
      <c r="AG71">
        <f t="shared" ref="AG71:AG134" si="7">G71/AF71</f>
        <v>-0.65045366306633268</v>
      </c>
      <c r="AH71">
        <f t="shared" ref="AH71:AH134" si="8">(LOG(Q71)-LOG(Q67))*100</f>
        <v>1.9052301967983354</v>
      </c>
    </row>
    <row r="72" spans="1:34" x14ac:dyDescent="0.35">
      <c r="A72" t="s">
        <v>71</v>
      </c>
      <c r="B72">
        <v>6356.9579999999996</v>
      </c>
      <c r="C72">
        <v>1183003</v>
      </c>
      <c r="D72" s="7">
        <v>1125486</v>
      </c>
      <c r="E72" s="3">
        <v>1621.3520000000001</v>
      </c>
      <c r="F72" s="6">
        <v>5651.7105900683446</v>
      </c>
      <c r="G72" s="6">
        <v>2.8</v>
      </c>
      <c r="H72">
        <v>0.52148918132643995</v>
      </c>
      <c r="I72" s="4">
        <v>6.3300542261904766</v>
      </c>
      <c r="J72">
        <v>2.4307837935198302</v>
      </c>
      <c r="K72">
        <v>3.3323981389894</v>
      </c>
      <c r="L72">
        <v>1.3593</v>
      </c>
      <c r="M72">
        <v>2.81090895766296</v>
      </c>
      <c r="N72" s="8">
        <v>0.50597954979746163</v>
      </c>
      <c r="O72">
        <v>0.70612418119825304</v>
      </c>
      <c r="P72">
        <v>0.84500575044892401</v>
      </c>
      <c r="Q72" s="1">
        <v>8897.107</v>
      </c>
      <c r="R72">
        <f t="shared" si="5"/>
        <v>0.94725629314548643</v>
      </c>
      <c r="S72">
        <v>-1.446645561</v>
      </c>
      <c r="T72">
        <v>-1.4789062319999999</v>
      </c>
      <c r="U72">
        <v>-0.64440549999999996</v>
      </c>
      <c r="V72">
        <v>6428277</v>
      </c>
      <c r="W72">
        <v>23.609858427643186</v>
      </c>
      <c r="X72">
        <v>1.0854549337873574</v>
      </c>
      <c r="Y72">
        <f t="shared" si="4"/>
        <v>0.69218464722774564</v>
      </c>
      <c r="Z72">
        <v>0.51500000000000001</v>
      </c>
      <c r="AA72">
        <v>1.9080149999999296E-3</v>
      </c>
      <c r="AB72">
        <v>-0.47991150210559003</v>
      </c>
      <c r="AC72" s="4">
        <v>7.9833333333333334</v>
      </c>
      <c r="AD72">
        <v>-1.5897078516002305E-2</v>
      </c>
      <c r="AF72">
        <f t="shared" si="6"/>
        <v>-5.8740802899239775</v>
      </c>
      <c r="AG72">
        <f t="shared" si="7"/>
        <v>-0.47667036570864396</v>
      </c>
      <c r="AH72">
        <f t="shared" si="8"/>
        <v>1.7837985542552559</v>
      </c>
    </row>
    <row r="73" spans="1:34" x14ac:dyDescent="0.35">
      <c r="A73" t="s">
        <v>72</v>
      </c>
      <c r="B73">
        <v>6515.0169999999998</v>
      </c>
      <c r="C73">
        <v>1192634</v>
      </c>
      <c r="D73" s="7">
        <v>1142466</v>
      </c>
      <c r="E73" s="3">
        <v>1640.7660000000001</v>
      </c>
      <c r="F73" s="6">
        <v>5710.7568947726832</v>
      </c>
      <c r="G73" s="6">
        <v>2.9</v>
      </c>
      <c r="H73">
        <v>0.51936027647583305</v>
      </c>
      <c r="I73" s="4">
        <v>6.2592220374707264</v>
      </c>
      <c r="J73">
        <v>2.4373322132575601</v>
      </c>
      <c r="K73">
        <v>3.57088743646929</v>
      </c>
      <c r="L73">
        <v>1.3882000000000001</v>
      </c>
      <c r="M73">
        <v>3.0515271599934568</v>
      </c>
      <c r="N73" s="8">
        <v>0.19444517699012456</v>
      </c>
      <c r="O73">
        <v>0.71584072453527803</v>
      </c>
      <c r="P73">
        <v>0.81870617965996295</v>
      </c>
      <c r="Q73" s="1">
        <v>9015.6610000000001</v>
      </c>
      <c r="R73">
        <f t="shared" si="5"/>
        <v>0.94845452392735774</v>
      </c>
      <c r="S73">
        <v>0.689641744</v>
      </c>
      <c r="T73">
        <v>-1.5112732680000001</v>
      </c>
      <c r="U73">
        <v>-0.439724899</v>
      </c>
      <c r="V73">
        <v>6544491</v>
      </c>
      <c r="W73">
        <v>24.597573196235622</v>
      </c>
      <c r="X73">
        <v>1.0849178825212911</v>
      </c>
      <c r="Y73">
        <f t="shared" si="4"/>
        <v>1.2635510587649552</v>
      </c>
      <c r="Z73">
        <v>0.503</v>
      </c>
      <c r="AA73">
        <v>-2.8500949999999969E-2</v>
      </c>
      <c r="AB73">
        <v>-0.67653061022583005</v>
      </c>
      <c r="AC73" s="4">
        <v>8.4700000000000006</v>
      </c>
      <c r="AD73">
        <v>-1.1195672532561152E-2</v>
      </c>
      <c r="AF73">
        <f t="shared" si="6"/>
        <v>5.1740649787860082</v>
      </c>
      <c r="AG73">
        <f t="shared" si="7"/>
        <v>0.56048774259507417</v>
      </c>
      <c r="AH73">
        <f t="shared" si="8"/>
        <v>1.6193048384500308</v>
      </c>
    </row>
    <row r="74" spans="1:34" x14ac:dyDescent="0.35">
      <c r="A74" t="s">
        <v>73</v>
      </c>
      <c r="B74">
        <v>6625.933</v>
      </c>
      <c r="C74">
        <v>1194517</v>
      </c>
      <c r="D74" s="7">
        <v>1187628</v>
      </c>
      <c r="E74" s="3">
        <v>1650.856</v>
      </c>
      <c r="F74" s="6">
        <v>5738.4059687534318</v>
      </c>
      <c r="G74" s="6">
        <v>3.9</v>
      </c>
      <c r="H74">
        <v>0.52089798484860095</v>
      </c>
      <c r="I74" s="4">
        <v>6.5910224395003905</v>
      </c>
      <c r="J74">
        <v>2.4634080072081899</v>
      </c>
      <c r="K74">
        <v>3.6524018648492498</v>
      </c>
      <c r="L74">
        <v>1.3069</v>
      </c>
      <c r="M74">
        <v>3.1315038800006487</v>
      </c>
      <c r="N74" s="8">
        <v>0.49548837390408568</v>
      </c>
      <c r="O74">
        <v>0.75426092838730896</v>
      </c>
      <c r="P74">
        <v>0.81414100482676399</v>
      </c>
      <c r="Q74" s="1">
        <v>9107.3140000000003</v>
      </c>
      <c r="R74">
        <f t="shared" si="5"/>
        <v>0.9489155799467881</v>
      </c>
      <c r="S74">
        <v>-1.038837233</v>
      </c>
      <c r="T74">
        <v>-0.68886860299999997</v>
      </c>
      <c r="U74">
        <v>-0.30917723899999999</v>
      </c>
      <c r="V74">
        <v>6581184</v>
      </c>
      <c r="W74">
        <v>23.557115780463448</v>
      </c>
      <c r="X74">
        <v>1.08656547967268</v>
      </c>
      <c r="Y74">
        <f t="shared" si="4"/>
        <v>1.0727803519178154</v>
      </c>
      <c r="Z74">
        <v>0.52200000000000002</v>
      </c>
      <c r="AA74">
        <v>1.0581375999999976E-2</v>
      </c>
      <c r="AB74">
        <v>-0.55400846379503199</v>
      </c>
      <c r="AC74" s="4">
        <v>9.4433333333333334</v>
      </c>
      <c r="AD74">
        <v>-1.6472628084567287E-2</v>
      </c>
      <c r="AF74">
        <f t="shared" si="6"/>
        <v>5.1745577489049843</v>
      </c>
      <c r="AG74">
        <f t="shared" si="7"/>
        <v>0.75368759790637174</v>
      </c>
      <c r="AH74">
        <f t="shared" si="8"/>
        <v>1.8347761312200284</v>
      </c>
    </row>
    <row r="75" spans="1:34" x14ac:dyDescent="0.35">
      <c r="A75" t="s">
        <v>74</v>
      </c>
      <c r="B75">
        <v>6787.5280000000002</v>
      </c>
      <c r="C75">
        <v>1197695</v>
      </c>
      <c r="D75" s="7">
        <v>1214010</v>
      </c>
      <c r="E75" s="3">
        <v>1654.579</v>
      </c>
      <c r="F75" s="6">
        <v>5775.8600983536871</v>
      </c>
      <c r="G75" s="6">
        <v>2.8</v>
      </c>
      <c r="H75">
        <v>0.51870490524110802</v>
      </c>
      <c r="I75" s="4">
        <v>6.2173725595238096</v>
      </c>
      <c r="J75">
        <v>2.50209485367226</v>
      </c>
      <c r="K75">
        <v>3.60082572793252</v>
      </c>
      <c r="L75">
        <v>1.5618000000000001</v>
      </c>
      <c r="M75">
        <v>3.0821208226914121</v>
      </c>
      <c r="N75" s="8">
        <v>0.48836630089210337</v>
      </c>
      <c r="O75">
        <v>0.76215679532646396</v>
      </c>
      <c r="P75">
        <v>0.82681951181143698</v>
      </c>
      <c r="Q75" s="1">
        <v>9176.8269999999993</v>
      </c>
      <c r="R75">
        <f t="shared" si="5"/>
        <v>0.95009102154098823</v>
      </c>
      <c r="S75">
        <v>-1.4642382540000001</v>
      </c>
      <c r="T75">
        <v>-0.37080961099999998</v>
      </c>
      <c r="U75">
        <v>0.81217630299999999</v>
      </c>
      <c r="V75">
        <v>6784432</v>
      </c>
      <c r="W75">
        <v>22.641147600007582</v>
      </c>
      <c r="X75">
        <v>1.0858739505285235</v>
      </c>
      <c r="Y75">
        <f t="shared" si="4"/>
        <v>0.73312453538645983</v>
      </c>
      <c r="Z75">
        <v>0.52800000000000002</v>
      </c>
      <c r="AA75">
        <v>-1.8498449999999611E-3</v>
      </c>
      <c r="AB75">
        <v>-0.21598310108173999</v>
      </c>
      <c r="AC75" s="4">
        <v>9.7266666666666666</v>
      </c>
      <c r="AD75">
        <v>-6.0811714633809411E-3</v>
      </c>
      <c r="AF75">
        <f t="shared" si="6"/>
        <v>7.9568290233220207</v>
      </c>
      <c r="AG75">
        <f t="shared" si="7"/>
        <v>0.35189897782056201</v>
      </c>
      <c r="AH75">
        <f t="shared" si="8"/>
        <v>1.5980959349096047</v>
      </c>
    </row>
    <row r="76" spans="1:34" x14ac:dyDescent="0.35">
      <c r="A76" t="s">
        <v>75</v>
      </c>
      <c r="B76">
        <v>6899.6139999999996</v>
      </c>
      <c r="C76">
        <v>1209803</v>
      </c>
      <c r="D76" s="7">
        <v>1260752</v>
      </c>
      <c r="E76" s="3">
        <v>1684.92</v>
      </c>
      <c r="F76" s="6">
        <v>5803.2816104208423</v>
      </c>
      <c r="G76" s="6">
        <v>2.8</v>
      </c>
      <c r="H76">
        <v>0.49478718956843498</v>
      </c>
      <c r="I76" s="4">
        <v>5.6357653174603168</v>
      </c>
      <c r="J76">
        <v>2.54045438526658</v>
      </c>
      <c r="K76">
        <v>3.28209318644759</v>
      </c>
      <c r="L76">
        <v>1.5153000000000001</v>
      </c>
      <c r="M76">
        <v>2.7873059968791551</v>
      </c>
      <c r="N76" s="8">
        <v>0.24117984110955001</v>
      </c>
      <c r="O76">
        <v>0.76494053209595503</v>
      </c>
      <c r="P76">
        <v>0.85485097027357504</v>
      </c>
      <c r="Q76" s="1">
        <v>9244.8160000000007</v>
      </c>
      <c r="R76">
        <f t="shared" si="5"/>
        <v>0.95125100263524021</v>
      </c>
      <c r="S76">
        <v>-1.487008965</v>
      </c>
      <c r="T76">
        <v>0.51459534699999998</v>
      </c>
      <c r="U76">
        <v>1.2958202110000001</v>
      </c>
      <c r="V76">
        <v>6848138</v>
      </c>
      <c r="W76">
        <v>21.157338855811545</v>
      </c>
      <c r="X76">
        <v>1.0877498482867909</v>
      </c>
      <c r="Y76">
        <f t="shared" si="4"/>
        <v>0.79606010608224043</v>
      </c>
      <c r="Z76">
        <v>0.45700000000000002</v>
      </c>
      <c r="AA76">
        <v>-1.9836363000000024E-2</v>
      </c>
      <c r="AB76">
        <v>0.62810397863213996</v>
      </c>
      <c r="AC76" s="4">
        <v>9.0833333333333339</v>
      </c>
      <c r="AD76">
        <v>-1.0122322819180352E-2</v>
      </c>
      <c r="AF76">
        <f t="shared" si="6"/>
        <v>10.967059174674976</v>
      </c>
      <c r="AG76">
        <f t="shared" si="7"/>
        <v>0.25531001113459223</v>
      </c>
      <c r="AH76">
        <f t="shared" si="8"/>
        <v>1.6649458207422807</v>
      </c>
    </row>
    <row r="77" spans="1:34" x14ac:dyDescent="0.35">
      <c r="A77" t="s">
        <v>76</v>
      </c>
      <c r="B77">
        <v>7037.0529999999999</v>
      </c>
      <c r="C77">
        <v>1270241</v>
      </c>
      <c r="D77" s="7">
        <v>1280270</v>
      </c>
      <c r="E77" s="3">
        <v>1667.9739999999999</v>
      </c>
      <c r="F77" s="6">
        <v>5817.5193779140354</v>
      </c>
      <c r="G77" s="6">
        <v>1.6</v>
      </c>
      <c r="H77">
        <v>0.48031212213177599</v>
      </c>
      <c r="I77" s="4">
        <v>5.4877384408602143</v>
      </c>
      <c r="J77">
        <v>2.5370308460252602</v>
      </c>
      <c r="K77">
        <v>3.4821187736829899</v>
      </c>
      <c r="L77">
        <v>1.2645</v>
      </c>
      <c r="M77">
        <v>3.0018066515512141</v>
      </c>
      <c r="N77" s="8">
        <v>0.29256991276397831</v>
      </c>
      <c r="O77">
        <v>0.76523948788229501</v>
      </c>
      <c r="P77">
        <v>0.896060989483623</v>
      </c>
      <c r="Q77" s="1">
        <v>9263.0329999999994</v>
      </c>
      <c r="R77">
        <f t="shared" si="5"/>
        <v>0.95182455904941743</v>
      </c>
      <c r="S77">
        <v>1.877640564</v>
      </c>
      <c r="T77">
        <v>-2.365621682</v>
      </c>
      <c r="U77">
        <v>0.72213269700000005</v>
      </c>
      <c r="V77">
        <v>6920120</v>
      </c>
      <c r="W77">
        <v>20.959564670023855</v>
      </c>
      <c r="X77">
        <v>1.0873116486480017</v>
      </c>
      <c r="Y77">
        <f t="shared" si="4"/>
        <v>2.504856883105234</v>
      </c>
      <c r="Z77">
        <v>0.45200000000000001</v>
      </c>
      <c r="AA77">
        <v>-3.0303000000009295E-5</v>
      </c>
      <c r="AB77">
        <v>0.48584898910485702</v>
      </c>
      <c r="AC77" s="4">
        <v>8.6133333333333333</v>
      </c>
      <c r="AD77">
        <v>-9.8891656625377244E-4</v>
      </c>
      <c r="AF77">
        <f t="shared" si="6"/>
        <v>9.9698632767700079</v>
      </c>
      <c r="AG77">
        <f t="shared" si="7"/>
        <v>0.16048364511959096</v>
      </c>
      <c r="AH77">
        <f t="shared" si="8"/>
        <v>1.1755637913483774</v>
      </c>
    </row>
    <row r="78" spans="1:34" x14ac:dyDescent="0.35">
      <c r="A78" t="s">
        <v>77</v>
      </c>
      <c r="B78">
        <v>7163.0119999999997</v>
      </c>
      <c r="C78">
        <v>1278244</v>
      </c>
      <c r="D78" s="7">
        <v>1278132</v>
      </c>
      <c r="E78" s="3">
        <v>1695.374</v>
      </c>
      <c r="F78" s="6">
        <v>5896.9335774844121</v>
      </c>
      <c r="G78" s="6">
        <v>0.9</v>
      </c>
      <c r="H78">
        <v>0.48513528254809901</v>
      </c>
      <c r="I78" s="4">
        <v>6.0518543010752683</v>
      </c>
      <c r="J78">
        <v>2.5266845671885698</v>
      </c>
      <c r="K78">
        <v>3.6218740829378402</v>
      </c>
      <c r="L78">
        <v>1.1297999999999999</v>
      </c>
      <c r="M78">
        <v>3.1367388003897414</v>
      </c>
      <c r="N78" s="8">
        <v>0.68292014962210368</v>
      </c>
      <c r="O78">
        <v>0.80223205390863095</v>
      </c>
      <c r="P78">
        <v>0.94495807367117901</v>
      </c>
      <c r="Q78" s="1">
        <v>9364.259</v>
      </c>
      <c r="R78">
        <f t="shared" si="5"/>
        <v>0.95252074711993662</v>
      </c>
      <c r="S78">
        <v>-0.21563012100000001</v>
      </c>
      <c r="T78">
        <v>1.678834441</v>
      </c>
      <c r="U78">
        <v>0.33174742600000001</v>
      </c>
      <c r="V78">
        <v>6976302</v>
      </c>
      <c r="W78">
        <v>22.369494998610726</v>
      </c>
      <c r="X78">
        <v>1.0862444695878615</v>
      </c>
      <c r="Y78">
        <f t="shared" si="4"/>
        <v>2.4719549531196434</v>
      </c>
      <c r="Z78">
        <v>0.443</v>
      </c>
      <c r="AA78">
        <v>-2.6363640000000022E-3</v>
      </c>
      <c r="AB78">
        <v>-0.44830829701913999</v>
      </c>
      <c r="AC78" s="4">
        <v>8.25</v>
      </c>
      <c r="AD78">
        <v>1.8206700220366967E-2</v>
      </c>
      <c r="AF78">
        <f t="shared" si="6"/>
        <v>6.3276559980379954</v>
      </c>
      <c r="AG78">
        <f t="shared" si="7"/>
        <v>0.14223276364566301</v>
      </c>
      <c r="AH78">
        <f t="shared" si="8"/>
        <v>1.2083106716590297</v>
      </c>
    </row>
    <row r="79" spans="1:34" x14ac:dyDescent="0.35">
      <c r="A79" t="s">
        <v>78</v>
      </c>
      <c r="B79">
        <v>7273.8</v>
      </c>
      <c r="C79">
        <v>1301912</v>
      </c>
      <c r="D79" s="7">
        <v>1279446</v>
      </c>
      <c r="E79" s="3">
        <v>1668.4369999999999</v>
      </c>
      <c r="F79" s="6">
        <v>5912.9435714158626</v>
      </c>
      <c r="G79" s="6">
        <v>0.1</v>
      </c>
      <c r="H79">
        <v>0.47558998385559598</v>
      </c>
      <c r="I79" s="4">
        <v>6.348189126984126</v>
      </c>
      <c r="J79">
        <v>2.5466593715045902</v>
      </c>
      <c r="K79">
        <v>3.52724062705538</v>
      </c>
      <c r="L79">
        <v>0.82709999999999995</v>
      </c>
      <c r="M79">
        <v>3.0516506431997841</v>
      </c>
      <c r="N79" s="8">
        <v>0.30997812601860031</v>
      </c>
      <c r="O79">
        <v>0.78316944787659004</v>
      </c>
      <c r="P79">
        <v>0.99157226848330704</v>
      </c>
      <c r="Q79" s="1">
        <v>9398.2430000000004</v>
      </c>
      <c r="R79">
        <f t="shared" si="5"/>
        <v>0.95414698614778992</v>
      </c>
      <c r="S79">
        <v>-0.184271094</v>
      </c>
      <c r="T79">
        <v>0.73003185699999995</v>
      </c>
      <c r="U79">
        <v>1.472479179</v>
      </c>
      <c r="V79">
        <v>6993052</v>
      </c>
      <c r="W79">
        <v>22.846712453114563</v>
      </c>
      <c r="X79">
        <v>1.0850725627444111</v>
      </c>
      <c r="Y79">
        <f t="shared" si="4"/>
        <v>2.0215992557312257</v>
      </c>
      <c r="Z79">
        <v>0.44600000000000001</v>
      </c>
      <c r="AA79">
        <v>1.2587344E-2</v>
      </c>
      <c r="AB79">
        <v>-0.61051554500737504</v>
      </c>
      <c r="AC79" s="4">
        <v>8.2433333333333341</v>
      </c>
      <c r="AD79">
        <v>1.0856851475554485E-2</v>
      </c>
      <c r="AF79">
        <f t="shared" si="6"/>
        <v>4.4564517832330175</v>
      </c>
      <c r="AG79">
        <f t="shared" si="7"/>
        <v>2.2439376630583246E-2</v>
      </c>
      <c r="AH79">
        <f t="shared" si="8"/>
        <v>1.0354125370414469</v>
      </c>
    </row>
    <row r="80" spans="1:34" x14ac:dyDescent="0.35">
      <c r="A80" t="s">
        <v>79</v>
      </c>
      <c r="B80">
        <v>7355.0140000000001</v>
      </c>
      <c r="C80">
        <v>1326585</v>
      </c>
      <c r="D80" s="7">
        <v>1290546</v>
      </c>
      <c r="E80" s="3">
        <v>1659.143</v>
      </c>
      <c r="F80" s="6">
        <v>5952.5009088969064</v>
      </c>
      <c r="G80" s="6">
        <v>-0.6</v>
      </c>
      <c r="H80">
        <v>0.48197689577253999</v>
      </c>
      <c r="I80" s="4">
        <v>6.4258696031746023</v>
      </c>
      <c r="J80">
        <v>2.5018944701282102</v>
      </c>
      <c r="K80">
        <v>3.7492912787122199</v>
      </c>
      <c r="L80">
        <v>0.79120000000000001</v>
      </c>
      <c r="M80">
        <v>3.2673143829396798</v>
      </c>
      <c r="N80" s="8">
        <v>0.71367437684432933</v>
      </c>
      <c r="O80">
        <v>0.79792491503791396</v>
      </c>
      <c r="P80">
        <v>1.0665368511887601</v>
      </c>
      <c r="Q80" s="1">
        <v>9404.4940000000006</v>
      </c>
      <c r="R80">
        <f t="shared" si="5"/>
        <v>0.95488639788457086</v>
      </c>
      <c r="S80">
        <v>5.87588E-4</v>
      </c>
      <c r="T80">
        <v>0.69674910800000001</v>
      </c>
      <c r="U80">
        <v>1.17805005</v>
      </c>
      <c r="V80">
        <v>7014087</v>
      </c>
      <c r="W80">
        <v>27.61695694493342</v>
      </c>
      <c r="X80">
        <v>1.0852622472160276</v>
      </c>
      <c r="Y80">
        <f t="shared" si="4"/>
        <v>1.4704282695584296</v>
      </c>
      <c r="Z80">
        <v>0.46600000000000003</v>
      </c>
      <c r="AA80">
        <v>9.5537820000000107E-3</v>
      </c>
      <c r="AB80">
        <v>3.5342884344447301</v>
      </c>
      <c r="AC80" s="4">
        <v>8.16</v>
      </c>
      <c r="AD80">
        <v>3.5492290165783924E-3</v>
      </c>
      <c r="AF80">
        <f t="shared" si="6"/>
        <v>-3.855991513836976</v>
      </c>
      <c r="AG80">
        <f t="shared" si="7"/>
        <v>0.15560200219500972</v>
      </c>
      <c r="AH80">
        <f t="shared" si="8"/>
        <v>0.74371619086850416</v>
      </c>
    </row>
    <row r="81" spans="1:34" x14ac:dyDescent="0.35">
      <c r="A81" t="s">
        <v>80</v>
      </c>
      <c r="B81">
        <v>7427.74</v>
      </c>
      <c r="C81">
        <v>1390009</v>
      </c>
      <c r="D81" s="7">
        <v>1287452</v>
      </c>
      <c r="E81" s="3">
        <v>1628.395</v>
      </c>
      <c r="F81" s="6">
        <v>5922.2669225592645</v>
      </c>
      <c r="G81" s="6">
        <v>-1.1000000000000001</v>
      </c>
      <c r="H81">
        <v>0.49880556291901401</v>
      </c>
      <c r="I81" s="4">
        <v>6.1846179800307217</v>
      </c>
      <c r="J81">
        <v>2.5077879790094899</v>
      </c>
      <c r="K81">
        <v>3.6343277598646799</v>
      </c>
      <c r="L81">
        <v>1.157</v>
      </c>
      <c r="M81">
        <v>3.1355221969456659</v>
      </c>
      <c r="N81" s="8">
        <v>0.27586090107787031</v>
      </c>
      <c r="O81">
        <v>0.81619640845165098</v>
      </c>
      <c r="P81">
        <v>1.0265247827903401</v>
      </c>
      <c r="Q81" s="1">
        <v>9318.8760000000002</v>
      </c>
      <c r="R81">
        <f t="shared" si="5"/>
        <v>0.95659009277198936</v>
      </c>
      <c r="S81">
        <v>-2.5627222789999999</v>
      </c>
      <c r="T81">
        <v>-2.9572710350000002</v>
      </c>
      <c r="U81">
        <v>-0.22201816099999999</v>
      </c>
      <c r="V81">
        <v>7053081</v>
      </c>
      <c r="W81">
        <v>27.461563281439059</v>
      </c>
      <c r="X81">
        <v>1.0834883301983782</v>
      </c>
      <c r="Y81">
        <f t="shared" si="4"/>
        <v>1.6432696067743715</v>
      </c>
      <c r="Z81">
        <v>0.55099999999999905</v>
      </c>
      <c r="AA81">
        <v>1.8439682000000013E-2</v>
      </c>
      <c r="AB81">
        <v>-0.150204922034328</v>
      </c>
      <c r="AC81" s="4">
        <v>7.7433333333333332</v>
      </c>
      <c r="AD81">
        <v>4.7867567830615743E-2</v>
      </c>
      <c r="AF81">
        <f t="shared" si="6"/>
        <v>-2.924286701577028</v>
      </c>
      <c r="AG81">
        <f t="shared" si="7"/>
        <v>0.37616010749109691</v>
      </c>
      <c r="AH81">
        <f t="shared" si="8"/>
        <v>0.26103216590258604</v>
      </c>
    </row>
    <row r="82" spans="1:34" x14ac:dyDescent="0.35">
      <c r="A82" t="s">
        <v>81</v>
      </c>
      <c r="B82">
        <v>7437.4620000000004</v>
      </c>
      <c r="C82">
        <v>1434812</v>
      </c>
      <c r="D82" s="7">
        <v>1330834</v>
      </c>
      <c r="E82" s="3">
        <v>1587.4079999999999</v>
      </c>
      <c r="F82" s="6">
        <v>5869.509919710179</v>
      </c>
      <c r="G82" s="6">
        <v>-2.2999999999999998</v>
      </c>
      <c r="H82">
        <v>0.49010483174247699</v>
      </c>
      <c r="I82" s="4">
        <v>5.8529795238095232</v>
      </c>
      <c r="J82">
        <v>2.5474759127810001</v>
      </c>
      <c r="K82">
        <v>3.0750164985437101</v>
      </c>
      <c r="L82">
        <v>1.1186</v>
      </c>
      <c r="M82">
        <v>2.5849116668012329</v>
      </c>
      <c r="N82" s="8">
        <v>0.2982878956636647</v>
      </c>
      <c r="O82">
        <v>0.80304762761678505</v>
      </c>
      <c r="P82">
        <v>0.97944895477500504</v>
      </c>
      <c r="Q82" s="1">
        <v>9275.2759999999998</v>
      </c>
      <c r="R82">
        <f t="shared" si="5"/>
        <v>0.95724980728437503</v>
      </c>
      <c r="S82">
        <v>-2.6868604880000002</v>
      </c>
      <c r="T82">
        <v>0.48444735900000002</v>
      </c>
      <c r="U82">
        <v>0.37051224199999999</v>
      </c>
      <c r="V82">
        <v>7120172</v>
      </c>
      <c r="W82">
        <v>24.489422487073877</v>
      </c>
      <c r="X82">
        <v>1.0848008600682646</v>
      </c>
      <c r="Y82">
        <f t="shared" si="4"/>
        <v>1.3902090913286553</v>
      </c>
      <c r="Z82">
        <v>0.50700000000000001</v>
      </c>
      <c r="AA82">
        <v>2.0388889000000021E-2</v>
      </c>
      <c r="AB82">
        <v>-1.8310972112456201</v>
      </c>
      <c r="AC82" s="4">
        <v>6.4266666666666667</v>
      </c>
      <c r="AD82">
        <v>3.2941537517046759E-2</v>
      </c>
      <c r="AF82">
        <f t="shared" si="6"/>
        <v>2.0791345592430233</v>
      </c>
      <c r="AG82">
        <f t="shared" si="7"/>
        <v>-1.10622950774162</v>
      </c>
      <c r="AH82">
        <f t="shared" si="8"/>
        <v>-0.41465754868683646</v>
      </c>
    </row>
    <row r="83" spans="1:34" x14ac:dyDescent="0.35">
      <c r="A83" t="s">
        <v>82</v>
      </c>
      <c r="B83">
        <v>7507.1670000000004</v>
      </c>
      <c r="C83">
        <v>1466820</v>
      </c>
      <c r="D83" s="7">
        <v>1356856</v>
      </c>
      <c r="E83" s="3">
        <v>1596.569</v>
      </c>
      <c r="F83" s="6">
        <v>5892.7652387099797</v>
      </c>
      <c r="G83" s="6">
        <v>-2.5</v>
      </c>
      <c r="H83">
        <v>0.47908295823007002</v>
      </c>
      <c r="I83" s="4">
        <v>6.0060187499999991</v>
      </c>
      <c r="J83">
        <v>2.57869231795368</v>
      </c>
      <c r="K83">
        <v>2.9220543715188199</v>
      </c>
      <c r="L83">
        <v>1.0322</v>
      </c>
      <c r="M83">
        <v>2.4429714132887499</v>
      </c>
      <c r="N83" s="8">
        <v>0.24633046235043168</v>
      </c>
      <c r="O83">
        <v>0.75619166549912498</v>
      </c>
      <c r="P83">
        <v>0.92436033850087296</v>
      </c>
      <c r="Q83" s="1">
        <v>9347.5969999999998</v>
      </c>
      <c r="R83">
        <f t="shared" si="5"/>
        <v>0.95796364736097328</v>
      </c>
      <c r="S83">
        <v>1.8805490330000001</v>
      </c>
      <c r="T83">
        <v>1.1631079989999999</v>
      </c>
      <c r="U83">
        <v>-0.231231985</v>
      </c>
      <c r="V83">
        <v>7118613</v>
      </c>
      <c r="W83">
        <v>24.720590515236601</v>
      </c>
      <c r="X83">
        <v>1.085544141174287</v>
      </c>
      <c r="Y83">
        <f t="shared" si="4"/>
        <v>1.4171945773165175</v>
      </c>
      <c r="Z83">
        <v>0.54449999999999998</v>
      </c>
      <c r="AA83">
        <v>8.2222220000000013E-3</v>
      </c>
      <c r="AB83">
        <v>-0.51586854696125395</v>
      </c>
      <c r="AC83" s="4">
        <v>5.8633333333333333</v>
      </c>
      <c r="AD83">
        <v>5.7268262968608319E-3</v>
      </c>
      <c r="AF83">
        <f t="shared" si="6"/>
        <v>3.2032946449089827</v>
      </c>
      <c r="AG83">
        <f t="shared" si="7"/>
        <v>-0.78044647062775396</v>
      </c>
      <c r="AH83">
        <f t="shared" si="8"/>
        <v>-0.23466893825325741</v>
      </c>
    </row>
    <row r="84" spans="1:34" x14ac:dyDescent="0.35">
      <c r="A84" t="s">
        <v>83</v>
      </c>
      <c r="B84">
        <v>7509.6779999999999</v>
      </c>
      <c r="C84">
        <v>1553267</v>
      </c>
      <c r="D84" s="7">
        <v>1389462</v>
      </c>
      <c r="E84" s="3">
        <v>1596.4839999999999</v>
      </c>
      <c r="F84" s="6">
        <v>5909.7734325661922</v>
      </c>
      <c r="G84" s="6">
        <v>-2.1</v>
      </c>
      <c r="H84">
        <v>0.47872605201364499</v>
      </c>
      <c r="I84" s="4">
        <v>5.8728109523809522</v>
      </c>
      <c r="J84">
        <v>2.5886358583336802</v>
      </c>
      <c r="K84">
        <v>2.5904716938001102</v>
      </c>
      <c r="L84">
        <v>1.0841000000000001</v>
      </c>
      <c r="M84">
        <v>2.1117456417864653</v>
      </c>
      <c r="N84" s="8">
        <v>0.29332774425722768</v>
      </c>
      <c r="O84">
        <v>0.71955926524340996</v>
      </c>
      <c r="P84">
        <v>0.89863002895966104</v>
      </c>
      <c r="Q84" s="1">
        <v>9394.8340000000007</v>
      </c>
      <c r="R84">
        <f t="shared" si="5"/>
        <v>0.95855358643139676</v>
      </c>
      <c r="S84">
        <v>-1.7941509689999999</v>
      </c>
      <c r="T84">
        <v>0.29606168300000002</v>
      </c>
      <c r="U84">
        <v>6.3685242000000003E-2</v>
      </c>
      <c r="V84">
        <v>7150264</v>
      </c>
      <c r="W84">
        <v>22.890189720485758</v>
      </c>
      <c r="X84">
        <v>1.0859026894675972</v>
      </c>
      <c r="Y84">
        <f t="shared" si="4"/>
        <v>0.82288648357572491</v>
      </c>
      <c r="Z84">
        <v>0.53749999999999998</v>
      </c>
      <c r="AA84">
        <v>-5.4166660000000144E-3</v>
      </c>
      <c r="AB84">
        <v>-0.55742796110089299</v>
      </c>
      <c r="AC84" s="4">
        <v>5.6433333333333335</v>
      </c>
      <c r="AD84">
        <v>-0.33042407627404136</v>
      </c>
      <c r="AF84">
        <f t="shared" si="6"/>
        <v>8.6741388205469949</v>
      </c>
      <c r="AG84">
        <f t="shared" si="7"/>
        <v>-0.2420989614583518</v>
      </c>
      <c r="AH84">
        <f t="shared" si="8"/>
        <v>-4.4632287541634952E-2</v>
      </c>
    </row>
    <row r="85" spans="1:34" x14ac:dyDescent="0.35">
      <c r="A85" t="s">
        <v>84</v>
      </c>
      <c r="B85">
        <v>7549.5829999999996</v>
      </c>
      <c r="C85">
        <v>1638261</v>
      </c>
      <c r="D85" s="7">
        <v>1396085</v>
      </c>
      <c r="E85" s="3">
        <v>1597.712</v>
      </c>
      <c r="F85" s="6">
        <v>5898.8307310919545</v>
      </c>
      <c r="G85" s="6">
        <v>-1.9</v>
      </c>
      <c r="H85">
        <v>0.48650261944043199</v>
      </c>
      <c r="I85" s="4">
        <v>5.3156273809523809</v>
      </c>
      <c r="J85">
        <v>2.5879497439341201</v>
      </c>
      <c r="K85">
        <v>2.55374993501079</v>
      </c>
      <c r="L85">
        <v>1.1255999999999999</v>
      </c>
      <c r="M85">
        <v>2.0672473155703579</v>
      </c>
      <c r="N85" s="8">
        <v>0.16982078346131652</v>
      </c>
      <c r="O85">
        <v>0.71337125391967804</v>
      </c>
      <c r="P85">
        <v>0.92942747571198403</v>
      </c>
      <c r="Q85" s="1">
        <v>9427.5810000000001</v>
      </c>
      <c r="R85">
        <f t="shared" si="5"/>
        <v>0.95925651233454079</v>
      </c>
      <c r="S85">
        <v>-2.2569065209999999</v>
      </c>
      <c r="T85">
        <v>-0.53090687199999997</v>
      </c>
      <c r="U85">
        <v>2.7945142970000001</v>
      </c>
      <c r="V85">
        <v>7197839</v>
      </c>
      <c r="W85">
        <v>21.26606567569095</v>
      </c>
      <c r="X85">
        <v>1.0845048538000688</v>
      </c>
      <c r="Y85">
        <f t="shared" si="4"/>
        <v>0.8355742123414045</v>
      </c>
      <c r="Z85">
        <v>0.56599999999999995</v>
      </c>
      <c r="AA85">
        <v>1.8280157999999935E-2</v>
      </c>
      <c r="AB85">
        <v>-0.13757750158790399</v>
      </c>
      <c r="AC85" s="4">
        <v>4.8166666666666664</v>
      </c>
      <c r="AD85">
        <v>0.12746050799481567</v>
      </c>
      <c r="AF85">
        <f t="shared" si="6"/>
        <v>8.016176492463023</v>
      </c>
      <c r="AG85">
        <f t="shared" si="7"/>
        <v>-0.23702072949446906</v>
      </c>
      <c r="AH85">
        <f t="shared" si="8"/>
        <v>0.50367395619521638</v>
      </c>
    </row>
    <row r="86" spans="1:34" x14ac:dyDescent="0.35">
      <c r="A86" t="s">
        <v>85</v>
      </c>
      <c r="B86">
        <v>7581.7860000000001</v>
      </c>
      <c r="C86">
        <v>1639882</v>
      </c>
      <c r="D86" s="7">
        <v>1415281</v>
      </c>
      <c r="E86" s="3">
        <v>1619.962</v>
      </c>
      <c r="F86" s="6">
        <v>5996.0654107923601</v>
      </c>
      <c r="G86" s="6">
        <v>-1.5</v>
      </c>
      <c r="H86">
        <v>0.480516969647593</v>
      </c>
      <c r="I86" s="4">
        <v>5.3199250076804905</v>
      </c>
      <c r="J86">
        <v>2.6148807803796701</v>
      </c>
      <c r="K86">
        <v>2.4968844962547099</v>
      </c>
      <c r="L86">
        <v>0.9819</v>
      </c>
      <c r="M86">
        <v>2.0163675266071168</v>
      </c>
      <c r="N86" s="8">
        <v>0.33737987273460401</v>
      </c>
      <c r="O86">
        <v>0.71735226985635603</v>
      </c>
      <c r="P86">
        <v>0.89365616769051603</v>
      </c>
      <c r="Q86" s="1">
        <v>9540.4439999999995</v>
      </c>
      <c r="R86">
        <f t="shared" si="5"/>
        <v>0.95966376656570329</v>
      </c>
      <c r="S86">
        <v>-0.58691885700000002</v>
      </c>
      <c r="T86">
        <v>0.80247598899999995</v>
      </c>
      <c r="U86">
        <v>-2.691774396</v>
      </c>
      <c r="V86">
        <v>7258658</v>
      </c>
      <c r="W86">
        <v>21.301722334565234</v>
      </c>
      <c r="X86">
        <v>1.0843165129372447</v>
      </c>
      <c r="Y86">
        <f t="shared" si="4"/>
        <v>1.5472059651693149</v>
      </c>
      <c r="Z86">
        <v>0.50449999999999995</v>
      </c>
      <c r="AA86">
        <v>-4.8752381000000011E-2</v>
      </c>
      <c r="AB86">
        <v>-0.74769306336021901</v>
      </c>
      <c r="AC86" s="4">
        <v>4.0233333333333334</v>
      </c>
      <c r="AD86">
        <v>0.11636533706775887</v>
      </c>
      <c r="AF86">
        <f t="shared" si="6"/>
        <v>6.7404867598670037</v>
      </c>
      <c r="AG86">
        <f t="shared" si="7"/>
        <v>-0.22253585734060494</v>
      </c>
      <c r="AH86">
        <f t="shared" si="8"/>
        <v>1.2241745106539526</v>
      </c>
    </row>
    <row r="87" spans="1:34" x14ac:dyDescent="0.35">
      <c r="A87" t="s">
        <v>86</v>
      </c>
      <c r="B87">
        <v>7623.6679999999997</v>
      </c>
      <c r="C87">
        <v>1693580</v>
      </c>
      <c r="D87" s="7">
        <v>1445542</v>
      </c>
      <c r="E87" s="3">
        <v>1655.489</v>
      </c>
      <c r="F87" s="6">
        <v>6027.7225426372361</v>
      </c>
      <c r="G87" s="6">
        <v>-0.5</v>
      </c>
      <c r="H87">
        <v>0.46714301314800799</v>
      </c>
      <c r="I87" s="4">
        <v>5.42179865079365</v>
      </c>
      <c r="J87">
        <v>2.61423219730978</v>
      </c>
      <c r="K87">
        <v>2.2600927583094301</v>
      </c>
      <c r="L87">
        <v>0.92810000000000004</v>
      </c>
      <c r="M87">
        <v>1.792949745161422</v>
      </c>
      <c r="N87" s="8">
        <v>0.21495133343426537</v>
      </c>
      <c r="O87">
        <v>0.70192694645061404</v>
      </c>
      <c r="P87">
        <v>0.83665197766486199</v>
      </c>
      <c r="Q87" s="1">
        <v>9643.893</v>
      </c>
      <c r="R87">
        <f t="shared" si="5"/>
        <v>0.96047319466428327</v>
      </c>
      <c r="S87">
        <v>-0.56407801700000004</v>
      </c>
      <c r="T87">
        <v>-0.92166759600000003</v>
      </c>
      <c r="U87">
        <v>3.0354019999999999E-2</v>
      </c>
      <c r="V87">
        <v>7291910</v>
      </c>
      <c r="W87">
        <v>20.671685426107295</v>
      </c>
      <c r="X87">
        <v>1.0845718116973078</v>
      </c>
      <c r="Y87">
        <f t="shared" si="4"/>
        <v>1.4810085094013801</v>
      </c>
      <c r="Z87">
        <v>0.4975</v>
      </c>
      <c r="AA87">
        <v>7.2222300000002182E-4</v>
      </c>
      <c r="AB87">
        <v>-1.2838374007129101</v>
      </c>
      <c r="AC87" s="4">
        <v>3.77</v>
      </c>
      <c r="AD87">
        <v>-1.5673444412479531E-3</v>
      </c>
      <c r="AF87">
        <f t="shared" si="6"/>
        <v>3.5539879356099924</v>
      </c>
      <c r="AG87">
        <f t="shared" si="7"/>
        <v>-0.14068702794124202</v>
      </c>
      <c r="AH87">
        <f t="shared" si="8"/>
        <v>1.3552402666689112</v>
      </c>
    </row>
    <row r="88" spans="1:34" x14ac:dyDescent="0.35">
      <c r="A88" t="s">
        <v>87</v>
      </c>
      <c r="B88">
        <v>7678.4229999999998</v>
      </c>
      <c r="C88">
        <v>1766841</v>
      </c>
      <c r="D88" s="7">
        <v>1478442</v>
      </c>
      <c r="E88" s="3">
        <v>1664.8979999999999</v>
      </c>
      <c r="F88" s="6">
        <v>6082.5824145523611</v>
      </c>
      <c r="G88" s="6">
        <v>-0.2</v>
      </c>
      <c r="H88">
        <v>0.461394701643347</v>
      </c>
      <c r="I88" s="4">
        <v>4.6987878571428574</v>
      </c>
      <c r="J88">
        <v>2.61940073561632</v>
      </c>
      <c r="K88">
        <v>1.79623711488977</v>
      </c>
      <c r="L88">
        <v>1.0963000000000001</v>
      </c>
      <c r="M88">
        <v>1.3348424132464229</v>
      </c>
      <c r="N88" s="8">
        <v>0.26085560686901338</v>
      </c>
      <c r="O88">
        <v>0.70144560090357799</v>
      </c>
      <c r="P88">
        <v>0.809170600825869</v>
      </c>
      <c r="Q88" s="1">
        <v>9739.1849999999995</v>
      </c>
      <c r="R88">
        <f t="shared" si="5"/>
        <v>0.96098933214908555</v>
      </c>
      <c r="S88">
        <v>-0.98895645200000004</v>
      </c>
      <c r="T88">
        <v>-0.98893396099999997</v>
      </c>
      <c r="U88">
        <v>-1.1553935559999999</v>
      </c>
      <c r="V88">
        <v>7423862</v>
      </c>
      <c r="W88">
        <v>19.238725122723864</v>
      </c>
      <c r="X88">
        <v>1.0842255313808384</v>
      </c>
      <c r="Y88">
        <f t="shared" si="4"/>
        <v>0.92877829632935049</v>
      </c>
      <c r="Z88">
        <v>0.52400000000000002</v>
      </c>
      <c r="AA88">
        <v>-0.16220370399999995</v>
      </c>
      <c r="AB88">
        <v>0.30592672536999399</v>
      </c>
      <c r="AC88" s="4">
        <v>3.2566666666666668</v>
      </c>
      <c r="AD88">
        <v>-1.4975480096115712E-2</v>
      </c>
      <c r="AF88">
        <f t="shared" si="6"/>
        <v>3.076487728263988</v>
      </c>
      <c r="AG88">
        <f t="shared" si="7"/>
        <v>-6.5009198041838689E-2</v>
      </c>
      <c r="AH88">
        <f t="shared" si="8"/>
        <v>1.5633504690802269</v>
      </c>
    </row>
    <row r="89" spans="1:34" x14ac:dyDescent="0.35">
      <c r="A89" t="s">
        <v>88</v>
      </c>
      <c r="B89">
        <v>7742.2860000000001</v>
      </c>
      <c r="C89">
        <v>1826986</v>
      </c>
      <c r="D89" s="7">
        <v>1498464</v>
      </c>
      <c r="E89" s="3">
        <v>1699.3340000000001</v>
      </c>
      <c r="F89" s="6">
        <v>6153.6644915083125</v>
      </c>
      <c r="G89" s="6">
        <v>0.6</v>
      </c>
      <c r="H89">
        <v>0.45996988879299899</v>
      </c>
      <c r="I89" s="4">
        <v>4.8470880568356369</v>
      </c>
      <c r="J89">
        <v>2.6326519067626299</v>
      </c>
      <c r="K89">
        <v>1.7942511280578699</v>
      </c>
      <c r="L89">
        <v>1.1475</v>
      </c>
      <c r="M89">
        <v>1.3342812392648709</v>
      </c>
      <c r="N89" s="8">
        <v>0.14149274336604928</v>
      </c>
      <c r="O89">
        <v>0.70407972210476799</v>
      </c>
      <c r="P89">
        <v>0.79611537796857201</v>
      </c>
      <c r="Q89" s="1">
        <v>9840.7530000000006</v>
      </c>
      <c r="R89">
        <f t="shared" si="5"/>
        <v>0.96161603078766655</v>
      </c>
      <c r="S89">
        <v>0.44260923400000002</v>
      </c>
      <c r="T89">
        <v>-0.70919847700000005</v>
      </c>
      <c r="U89">
        <v>-0.47390219500000003</v>
      </c>
      <c r="V89">
        <v>7424310</v>
      </c>
      <c r="W89">
        <v>17.275688222752052</v>
      </c>
      <c r="X89">
        <v>1.0839419998103208</v>
      </c>
      <c r="Y89">
        <f t="shared" si="4"/>
        <v>0.26160921610936955</v>
      </c>
      <c r="Z89">
        <v>0.58050000000000002</v>
      </c>
      <c r="AA89">
        <v>0.26252069700000003</v>
      </c>
      <c r="AB89">
        <v>-1.8709909971837699</v>
      </c>
      <c r="AC89" s="4">
        <v>3.0366666666666666</v>
      </c>
      <c r="AD89">
        <v>2.6520608228064457E-2</v>
      </c>
      <c r="AF89">
        <f t="shared" si="6"/>
        <v>4.4702162828509806</v>
      </c>
      <c r="AG89">
        <f t="shared" si="7"/>
        <v>0.13422169354573971</v>
      </c>
      <c r="AH89">
        <f t="shared" si="8"/>
        <v>1.8628058810145287</v>
      </c>
    </row>
    <row r="90" spans="1:34" x14ac:dyDescent="0.35">
      <c r="A90" t="s">
        <v>89</v>
      </c>
      <c r="B90">
        <v>7780.7640000000001</v>
      </c>
      <c r="C90">
        <v>1850848</v>
      </c>
      <c r="D90" s="7">
        <v>1543662</v>
      </c>
      <c r="E90" s="3">
        <v>1700.163</v>
      </c>
      <c r="F90" s="6">
        <v>6170.4972976181207</v>
      </c>
      <c r="G90" s="6">
        <v>2.1</v>
      </c>
      <c r="H90">
        <v>0.44204326885943801</v>
      </c>
      <c r="I90" s="4">
        <v>4.3945100546448082</v>
      </c>
      <c r="J90">
        <v>2.6457377082139399</v>
      </c>
      <c r="K90">
        <v>1.53704662473455</v>
      </c>
      <c r="L90">
        <v>1.1976</v>
      </c>
      <c r="M90">
        <v>1.095003355875112</v>
      </c>
      <c r="N90" s="8">
        <v>0.39778076343205998</v>
      </c>
      <c r="O90">
        <v>0.69478880267039</v>
      </c>
      <c r="P90">
        <v>0.78491547451561305</v>
      </c>
      <c r="Q90" s="1">
        <v>9857.1849999999995</v>
      </c>
      <c r="R90">
        <f t="shared" si="5"/>
        <v>0.96195618501331881</v>
      </c>
      <c r="S90">
        <v>-1.7393688860000001</v>
      </c>
      <c r="T90">
        <v>0.95150290400000004</v>
      </c>
      <c r="U90">
        <v>-6.2031981E-2</v>
      </c>
      <c r="V90">
        <v>7409654</v>
      </c>
      <c r="W90">
        <v>17.075304921216045</v>
      </c>
      <c r="X90">
        <v>1.084762848172093</v>
      </c>
      <c r="Y90">
        <f t="shared" si="4"/>
        <v>0.57322976458901453</v>
      </c>
      <c r="Z90">
        <v>0.57850000000000001</v>
      </c>
      <c r="AA90">
        <v>1.4502450999999916E-2</v>
      </c>
      <c r="AB90">
        <v>-0.65727951835060705</v>
      </c>
      <c r="AC90" s="4">
        <v>3.04</v>
      </c>
      <c r="AD90">
        <v>1.0363055411360289E-2</v>
      </c>
      <c r="AF90">
        <f t="shared" si="6"/>
        <v>3.0856927834269854</v>
      </c>
      <c r="AG90">
        <f t="shared" si="7"/>
        <v>0.68056029792691475</v>
      </c>
      <c r="AH90">
        <f t="shared" si="8"/>
        <v>1.4184320803949824</v>
      </c>
    </row>
    <row r="91" spans="1:34" x14ac:dyDescent="0.35">
      <c r="A91" t="s">
        <v>90</v>
      </c>
      <c r="B91">
        <v>7888.7809999999999</v>
      </c>
      <c r="C91">
        <v>1898863</v>
      </c>
      <c r="D91" s="7">
        <v>1591165</v>
      </c>
      <c r="E91" s="3">
        <v>1728.5340000000001</v>
      </c>
      <c r="F91" s="6">
        <v>6225.7538503763162</v>
      </c>
      <c r="G91" s="6">
        <v>2.9</v>
      </c>
      <c r="H91">
        <v>0.45368702294779101</v>
      </c>
      <c r="I91" s="4">
        <v>4.1538940476190476</v>
      </c>
      <c r="J91">
        <v>2.6492528596345899</v>
      </c>
      <c r="K91">
        <v>1.8340446056956301</v>
      </c>
      <c r="L91">
        <v>1.1652</v>
      </c>
      <c r="M91">
        <v>1.3803575827478392</v>
      </c>
      <c r="N91" s="8">
        <v>0.18537889204114802</v>
      </c>
      <c r="O91">
        <v>0.67720633816841502</v>
      </c>
      <c r="P91">
        <v>0.77138888514672799</v>
      </c>
      <c r="Q91" s="1">
        <v>9914.5650000000005</v>
      </c>
      <c r="R91">
        <f t="shared" si="5"/>
        <v>0.96291280417747571</v>
      </c>
      <c r="S91">
        <v>-2.7452693899999998</v>
      </c>
      <c r="T91">
        <v>0.52204810800000001</v>
      </c>
      <c r="U91">
        <v>-0.37167573100000001</v>
      </c>
      <c r="V91">
        <v>7493997</v>
      </c>
      <c r="W91">
        <v>16.97442118601613</v>
      </c>
      <c r="X91">
        <v>1.0856209219260138</v>
      </c>
      <c r="Y91">
        <f t="shared" si="4"/>
        <v>0.48928019003539192</v>
      </c>
      <c r="Z91">
        <v>0.52900000000000003</v>
      </c>
      <c r="AA91">
        <v>-1.2313775999999943E-2</v>
      </c>
      <c r="AB91">
        <v>-1.25091108236982</v>
      </c>
      <c r="AC91" s="4">
        <v>3</v>
      </c>
      <c r="AD91">
        <v>-2.8089599729409498E-2</v>
      </c>
      <c r="AF91">
        <f t="shared" si="6"/>
        <v>3.5020662324809937</v>
      </c>
      <c r="AG91">
        <f t="shared" si="7"/>
        <v>0.82808256825729198</v>
      </c>
      <c r="AH91">
        <f t="shared" si="8"/>
        <v>1.2021281166840314</v>
      </c>
    </row>
    <row r="92" spans="1:34" x14ac:dyDescent="0.35">
      <c r="A92" t="s">
        <v>91</v>
      </c>
      <c r="B92">
        <v>7995.826</v>
      </c>
      <c r="C92">
        <v>1952298</v>
      </c>
      <c r="D92" s="7">
        <v>1649144</v>
      </c>
      <c r="E92" s="3">
        <v>1745.3589999999999</v>
      </c>
      <c r="F92" s="6">
        <v>6278.3889884269047</v>
      </c>
      <c r="G92" s="6">
        <v>3.3</v>
      </c>
      <c r="H92">
        <v>0.43424469198063398</v>
      </c>
      <c r="I92" s="4">
        <v>3.8096472619047619</v>
      </c>
      <c r="J92">
        <v>2.6618814244325599</v>
      </c>
      <c r="K92">
        <v>1.88949545551733</v>
      </c>
      <c r="L92">
        <v>1.1485000000000001</v>
      </c>
      <c r="M92">
        <v>1.455250763536696</v>
      </c>
      <c r="N92" s="8">
        <v>0.16139687689709667</v>
      </c>
      <c r="O92">
        <v>0.66421728147375603</v>
      </c>
      <c r="P92">
        <v>0.75547423126138502</v>
      </c>
      <c r="Q92" s="1">
        <v>9961.8729999999996</v>
      </c>
      <c r="R92">
        <f t="shared" si="5"/>
        <v>0.96335906344940236</v>
      </c>
      <c r="S92">
        <v>-0.93907281600000003</v>
      </c>
      <c r="T92">
        <v>-0.52372391200000001</v>
      </c>
      <c r="U92">
        <v>0.14643562299999999</v>
      </c>
      <c r="V92">
        <v>7595994</v>
      </c>
      <c r="W92">
        <v>16.558651367523755</v>
      </c>
      <c r="X92">
        <v>1.0864452024585824</v>
      </c>
      <c r="Y92">
        <f t="shared" si="4"/>
        <v>0.44159727743153737</v>
      </c>
      <c r="Z92">
        <v>0.52249999999999996</v>
      </c>
      <c r="AA92">
        <v>-1.0561224000000036E-2</v>
      </c>
      <c r="AB92">
        <v>-1.18125288258968</v>
      </c>
      <c r="AC92" s="4">
        <v>3.06</v>
      </c>
      <c r="AD92">
        <v>-3.8386035356408277E-2</v>
      </c>
      <c r="AF92">
        <f t="shared" si="6"/>
        <v>4.2480688816239898</v>
      </c>
      <c r="AG92">
        <f t="shared" si="7"/>
        <v>0.7768235619424434</v>
      </c>
      <c r="AH92">
        <f t="shared" si="8"/>
        <v>0.9818385260011997</v>
      </c>
    </row>
    <row r="93" spans="1:34" x14ac:dyDescent="0.35">
      <c r="A93" t="s">
        <v>92</v>
      </c>
      <c r="B93">
        <v>8117.4260000000004</v>
      </c>
      <c r="C93">
        <v>1984651</v>
      </c>
      <c r="D93" s="7">
        <v>1724415</v>
      </c>
      <c r="E93" s="3">
        <v>1803.922</v>
      </c>
      <c r="F93" s="6">
        <v>6326.2596559971071</v>
      </c>
      <c r="G93" s="6">
        <v>3.6</v>
      </c>
      <c r="H93">
        <v>0.43291372489908703</v>
      </c>
      <c r="I93" s="4">
        <v>3.8322153609831027</v>
      </c>
      <c r="J93">
        <v>2.6669085573571198</v>
      </c>
      <c r="K93">
        <v>2.03101696959496</v>
      </c>
      <c r="L93">
        <v>1.0942000000000001</v>
      </c>
      <c r="M93">
        <v>1.5981032446958729</v>
      </c>
      <c r="N93" s="8">
        <v>0.16071403513004517</v>
      </c>
      <c r="O93">
        <v>0.67881743578427201</v>
      </c>
      <c r="P93">
        <v>0.76638006556809402</v>
      </c>
      <c r="Q93" s="1">
        <v>10097.361999999999</v>
      </c>
      <c r="R93">
        <f t="shared" si="5"/>
        <v>0.96374777130983036</v>
      </c>
      <c r="S93">
        <v>0.91548311199999999</v>
      </c>
      <c r="T93">
        <v>-1.2975780100000001</v>
      </c>
      <c r="U93">
        <v>-0.24301767699999999</v>
      </c>
      <c r="V93">
        <v>7684577</v>
      </c>
      <c r="W93">
        <v>15.623463725481788</v>
      </c>
      <c r="X93">
        <v>1.0885359973174504</v>
      </c>
      <c r="Y93">
        <f t="shared" si="4"/>
        <v>0.44924979974022439</v>
      </c>
      <c r="Z93">
        <v>0.54</v>
      </c>
      <c r="AA93">
        <v>1.5821053000000029E-2</v>
      </c>
      <c r="AB93">
        <v>-1.16831615443754</v>
      </c>
      <c r="AC93" s="4">
        <v>2.99</v>
      </c>
      <c r="AD93">
        <v>5.0489214043652586E-2</v>
      </c>
      <c r="AF93">
        <f t="shared" si="6"/>
        <v>3.4256650594489901</v>
      </c>
      <c r="AG93">
        <f t="shared" si="7"/>
        <v>1.0508908306929023</v>
      </c>
      <c r="AH93">
        <f t="shared" si="8"/>
        <v>1.1179595127495556</v>
      </c>
    </row>
    <row r="94" spans="1:34" x14ac:dyDescent="0.35">
      <c r="A94" t="s">
        <v>93</v>
      </c>
      <c r="B94">
        <v>8223.8590000000004</v>
      </c>
      <c r="C94">
        <v>1967902</v>
      </c>
      <c r="D94" s="7">
        <v>1633857</v>
      </c>
      <c r="E94" s="3">
        <v>1804.884</v>
      </c>
      <c r="F94" s="6">
        <v>6380.9364197911063</v>
      </c>
      <c r="G94" s="6">
        <v>3.3</v>
      </c>
      <c r="H94">
        <v>0.4118059984902</v>
      </c>
      <c r="I94" s="4">
        <v>4.3185468663594477</v>
      </c>
      <c r="J94">
        <v>2.6715824816956002</v>
      </c>
      <c r="K94">
        <v>2.1625108869015999</v>
      </c>
      <c r="L94">
        <v>0.97109999999999996</v>
      </c>
      <c r="M94">
        <v>1.7507048884113998</v>
      </c>
      <c r="N94" s="8">
        <v>0.31905910523121067</v>
      </c>
      <c r="O94">
        <v>0.69857174664370703</v>
      </c>
      <c r="P94">
        <v>0.77997223412143102</v>
      </c>
      <c r="Q94" s="1">
        <v>10195.338</v>
      </c>
      <c r="R94">
        <f t="shared" si="5"/>
        <v>0.96413499079276732</v>
      </c>
      <c r="S94">
        <v>-0.75062329100000003</v>
      </c>
      <c r="T94">
        <v>1.4023738189999999</v>
      </c>
      <c r="U94">
        <v>-0.20385415600000001</v>
      </c>
      <c r="V94">
        <v>7955530</v>
      </c>
      <c r="W94">
        <v>16.395281077083464</v>
      </c>
      <c r="X94">
        <v>1.0817506354366584</v>
      </c>
      <c r="Y94">
        <f t="shared" si="4"/>
        <v>0.50372517051307264</v>
      </c>
      <c r="Z94">
        <v>0.54349999999999998</v>
      </c>
      <c r="AA94">
        <v>-1.9164803000000008E-2</v>
      </c>
      <c r="AB94">
        <v>0.23668007308813699</v>
      </c>
      <c r="AC94" s="4">
        <v>3.2133333333333334</v>
      </c>
      <c r="AD94">
        <v>5.703164799156335E-3</v>
      </c>
      <c r="AF94">
        <f t="shared" si="6"/>
        <v>2.5844773481660255</v>
      </c>
      <c r="AG94">
        <f t="shared" si="7"/>
        <v>1.2768539071707157</v>
      </c>
      <c r="AH94">
        <f t="shared" si="8"/>
        <v>1.4648720775174429</v>
      </c>
    </row>
    <row r="95" spans="1:34" x14ac:dyDescent="0.35">
      <c r="A95" t="s">
        <v>94</v>
      </c>
      <c r="B95">
        <v>8359.8060000000005</v>
      </c>
      <c r="C95">
        <v>1960587</v>
      </c>
      <c r="D95" s="7">
        <v>1649774</v>
      </c>
      <c r="E95" s="3">
        <v>1839.627</v>
      </c>
      <c r="F95" s="6">
        <v>6429.3835526620005</v>
      </c>
      <c r="G95" s="6">
        <v>3.8</v>
      </c>
      <c r="H95">
        <v>0.39127678814936401</v>
      </c>
      <c r="I95" s="4">
        <v>5.3264242242703537</v>
      </c>
      <c r="J95">
        <v>2.6542554551647202</v>
      </c>
      <c r="K95">
        <v>2.2032146152455701</v>
      </c>
      <c r="L95">
        <v>1.0001</v>
      </c>
      <c r="M95">
        <v>1.8119378270962061</v>
      </c>
      <c r="N95" s="8">
        <v>0.18089840707362975</v>
      </c>
      <c r="O95">
        <v>0.68383605661564495</v>
      </c>
      <c r="P95">
        <v>0.76846057621215003</v>
      </c>
      <c r="Q95" s="1">
        <v>10333.495000000001</v>
      </c>
      <c r="R95">
        <f t="shared" si="5"/>
        <v>0.96490403091147836</v>
      </c>
      <c r="S95">
        <v>-0.69524724699999996</v>
      </c>
      <c r="T95">
        <v>1.175708049</v>
      </c>
      <c r="U95">
        <v>-1.0484761170000001</v>
      </c>
      <c r="V95">
        <v>8020078</v>
      </c>
      <c r="W95">
        <v>16.804612817210543</v>
      </c>
      <c r="X95">
        <v>1.081383853155524</v>
      </c>
      <c r="Y95">
        <f t="shared" si="4"/>
        <v>0.42474000796317118</v>
      </c>
      <c r="Z95">
        <v>0.51700000000000002</v>
      </c>
      <c r="AA95">
        <v>-2.0656250000000043E-2</v>
      </c>
      <c r="AB95">
        <v>-1.5206282742464201</v>
      </c>
      <c r="AC95" s="4">
        <v>3.94</v>
      </c>
      <c r="AD95">
        <v>-1.7621369966899447E-2</v>
      </c>
      <c r="AF95">
        <f t="shared" si="6"/>
        <v>0.50025955301302716</v>
      </c>
      <c r="AG95">
        <f t="shared" si="7"/>
        <v>7.5960568411195233</v>
      </c>
      <c r="AH95">
        <f t="shared" si="8"/>
        <v>1.7973569312321747</v>
      </c>
    </row>
    <row r="96" spans="1:34" x14ac:dyDescent="0.35">
      <c r="A96" t="s">
        <v>95</v>
      </c>
      <c r="B96">
        <v>8484.9789999999994</v>
      </c>
      <c r="C96">
        <v>1965487</v>
      </c>
      <c r="D96" s="7">
        <v>1680136</v>
      </c>
      <c r="E96" s="3">
        <v>1864.201</v>
      </c>
      <c r="F96" s="6">
        <v>6488.8916719731569</v>
      </c>
      <c r="G96" s="6">
        <v>4.4000000000000004</v>
      </c>
      <c r="H96">
        <v>0.38150410448238897</v>
      </c>
      <c r="I96" s="4">
        <v>5.569209940476191</v>
      </c>
      <c r="J96">
        <v>2.66745411529687</v>
      </c>
      <c r="K96">
        <v>2.0833291338377999</v>
      </c>
      <c r="L96">
        <v>0.95</v>
      </c>
      <c r="M96">
        <v>1.7018250293554109</v>
      </c>
      <c r="N96" s="8">
        <v>0.31434643819093733</v>
      </c>
      <c r="O96">
        <v>0.67965558213416399</v>
      </c>
      <c r="P96">
        <v>0.76452369158573397</v>
      </c>
      <c r="Q96" s="1">
        <v>10393.897999999999</v>
      </c>
      <c r="R96">
        <f t="shared" si="5"/>
        <v>0.96534040491690543</v>
      </c>
      <c r="S96">
        <v>-0.887198339</v>
      </c>
      <c r="T96">
        <v>-0.75180988800000004</v>
      </c>
      <c r="U96">
        <v>-0.36760087200000002</v>
      </c>
      <c r="V96">
        <v>8063366</v>
      </c>
      <c r="W96">
        <v>16.616691518287869</v>
      </c>
      <c r="X96">
        <v>1.0813962000256281</v>
      </c>
      <c r="Y96">
        <f t="shared" si="4"/>
        <v>0.56193818028563514</v>
      </c>
      <c r="Z96">
        <v>0.47249999999999998</v>
      </c>
      <c r="AA96">
        <v>-1.2000000000000011E-2</v>
      </c>
      <c r="AB96">
        <v>-0.35906450708243298</v>
      </c>
      <c r="AC96" s="4">
        <v>4.4866666666666664</v>
      </c>
      <c r="AD96">
        <v>7.2765031738243113E-2</v>
      </c>
      <c r="AF96">
        <f t="shared" si="6"/>
        <v>0.55726908643101147</v>
      </c>
      <c r="AG96">
        <f t="shared" si="7"/>
        <v>7.8956470170981028</v>
      </c>
      <c r="AH96">
        <f t="shared" si="8"/>
        <v>1.8437449798346606</v>
      </c>
    </row>
    <row r="97" spans="1:34" x14ac:dyDescent="0.35">
      <c r="A97" t="s">
        <v>96</v>
      </c>
      <c r="B97">
        <v>8654.11</v>
      </c>
      <c r="C97">
        <v>1988963</v>
      </c>
      <c r="D97" s="7">
        <v>1653387</v>
      </c>
      <c r="E97" s="3">
        <v>1895.2539999999999</v>
      </c>
      <c r="F97" s="6">
        <v>6553.5328881802452</v>
      </c>
      <c r="G97" s="6">
        <v>3.9</v>
      </c>
      <c r="H97">
        <v>0.35000217583220899</v>
      </c>
      <c r="I97" s="4">
        <v>6.0788788290398124</v>
      </c>
      <c r="J97">
        <v>2.6609515292671699</v>
      </c>
      <c r="K97">
        <v>2.2261892419806801</v>
      </c>
      <c r="L97">
        <v>0.97950000000000004</v>
      </c>
      <c r="M97">
        <v>1.8761870661484712</v>
      </c>
      <c r="N97" s="8">
        <v>6.6904556165946996E-2</v>
      </c>
      <c r="O97">
        <v>0.68245327869518202</v>
      </c>
      <c r="P97">
        <v>0.76412512712568204</v>
      </c>
      <c r="Q97" s="1">
        <v>10512.962</v>
      </c>
      <c r="R97">
        <f t="shared" si="5"/>
        <v>0.96609903321172397</v>
      </c>
      <c r="S97">
        <v>1.118212429</v>
      </c>
      <c r="T97">
        <v>0.14686360200000001</v>
      </c>
      <c r="U97">
        <v>-1.5158609540000001</v>
      </c>
      <c r="V97">
        <v>8065572</v>
      </c>
      <c r="W97">
        <v>17.719675697789018</v>
      </c>
      <c r="X97">
        <v>1.079358200506257</v>
      </c>
      <c r="Y97">
        <f t="shared" si="4"/>
        <v>0.95935665026648653</v>
      </c>
      <c r="Z97">
        <v>0.51900000000000002</v>
      </c>
      <c r="AA97">
        <v>4.7336842000000101E-2</v>
      </c>
      <c r="AB97">
        <v>-1.38073208710747</v>
      </c>
      <c r="AC97" s="4">
        <v>5.166666666666667</v>
      </c>
      <c r="AD97">
        <v>2.6922418233418233E-2</v>
      </c>
      <c r="AF97">
        <f t="shared" si="6"/>
        <v>-0.59570280899499117</v>
      </c>
      <c r="AG97">
        <f t="shared" si="7"/>
        <v>-6.5468887188557678</v>
      </c>
      <c r="AH97">
        <f t="shared" si="8"/>
        <v>1.751716821437288</v>
      </c>
    </row>
    <row r="98" spans="1:34" x14ac:dyDescent="0.35">
      <c r="A98" t="s">
        <v>97</v>
      </c>
      <c r="B98">
        <v>8762.0910000000003</v>
      </c>
      <c r="C98">
        <v>2030053</v>
      </c>
      <c r="D98" s="7">
        <v>1690011</v>
      </c>
      <c r="E98" s="3">
        <v>1931.3969999999999</v>
      </c>
      <c r="F98" s="6">
        <v>6565.8004274698051</v>
      </c>
      <c r="G98" s="6">
        <v>3.7</v>
      </c>
      <c r="H98">
        <v>0.33663564619124098</v>
      </c>
      <c r="I98" s="4">
        <v>5.7150319892473123</v>
      </c>
      <c r="J98">
        <v>2.68121345648234</v>
      </c>
      <c r="K98">
        <v>2.13206345644807</v>
      </c>
      <c r="L98">
        <v>1.0136000000000001</v>
      </c>
      <c r="M98">
        <v>1.7954278102568291</v>
      </c>
      <c r="N98" s="8">
        <v>0.37711615392518399</v>
      </c>
      <c r="O98">
        <v>0.692321770835299</v>
      </c>
      <c r="P98">
        <v>0.747637238227983</v>
      </c>
      <c r="Q98" s="1">
        <v>10550.251</v>
      </c>
      <c r="R98">
        <f t="shared" si="5"/>
        <v>0.96626062427929749</v>
      </c>
      <c r="S98">
        <v>-1.987907482</v>
      </c>
      <c r="T98">
        <v>-0.86267848199999997</v>
      </c>
      <c r="U98">
        <v>-0.49292129200000001</v>
      </c>
      <c r="V98">
        <v>8289101</v>
      </c>
      <c r="W98">
        <v>16.863665705555796</v>
      </c>
      <c r="X98">
        <v>1.0789926197535511</v>
      </c>
      <c r="Y98">
        <f t="shared" si="4"/>
        <v>1.0738825716165807</v>
      </c>
      <c r="Z98">
        <v>0.49349999999999999</v>
      </c>
      <c r="AA98">
        <v>-2.5961842000000068E-2</v>
      </c>
      <c r="AB98">
        <v>-1.03634835309352</v>
      </c>
      <c r="AC98" s="4">
        <v>5.81</v>
      </c>
      <c r="AD98">
        <v>-0.30121094911423807</v>
      </c>
      <c r="AF98">
        <f t="shared" si="6"/>
        <v>0.96309747867397988</v>
      </c>
      <c r="AG98">
        <f t="shared" si="7"/>
        <v>3.841771037646434</v>
      </c>
      <c r="AH98">
        <f t="shared" si="8"/>
        <v>1.4861163754121165</v>
      </c>
    </row>
    <row r="99" spans="1:34" x14ac:dyDescent="0.35">
      <c r="A99" t="s">
        <v>98</v>
      </c>
      <c r="B99">
        <v>8931.9390000000003</v>
      </c>
      <c r="C99">
        <v>2046077</v>
      </c>
      <c r="D99" s="7">
        <v>1738371</v>
      </c>
      <c r="E99" s="3">
        <v>1931.7860000000001</v>
      </c>
      <c r="F99" s="6">
        <v>6624.0545861737419</v>
      </c>
      <c r="G99" s="6">
        <v>1.9</v>
      </c>
      <c r="H99">
        <v>0.32123806934425397</v>
      </c>
      <c r="I99" s="4">
        <v>4.8469108730158732</v>
      </c>
      <c r="J99">
        <v>2.72574370532163</v>
      </c>
      <c r="K99">
        <v>1.88773119194459</v>
      </c>
      <c r="L99">
        <v>1.0550999999999999</v>
      </c>
      <c r="M99">
        <v>1.566493122600336</v>
      </c>
      <c r="N99" s="8">
        <v>0.24161947065014935</v>
      </c>
      <c r="O99">
        <v>0.69135043207751701</v>
      </c>
      <c r="P99">
        <v>0.74928917269819495</v>
      </c>
      <c r="Q99" s="1">
        <v>10581.723</v>
      </c>
      <c r="R99">
        <f t="shared" si="5"/>
        <v>0.9671716055050914</v>
      </c>
      <c r="S99">
        <v>-0.94039405899999995</v>
      </c>
      <c r="T99">
        <v>0.81374468799999999</v>
      </c>
      <c r="U99">
        <v>0.42017692600000001</v>
      </c>
      <c r="V99">
        <v>8463767</v>
      </c>
      <c r="W99">
        <v>16.177490554782263</v>
      </c>
      <c r="X99">
        <v>1.0789577601638918</v>
      </c>
      <c r="Y99">
        <f t="shared" si="4"/>
        <v>0.93020125642710949</v>
      </c>
      <c r="Z99">
        <v>0.49299999999999999</v>
      </c>
      <c r="AA99">
        <v>-1.3275990000000015E-2</v>
      </c>
      <c r="AB99">
        <v>-0.71682413434175996</v>
      </c>
      <c r="AC99" s="4">
        <v>6.02</v>
      </c>
      <c r="AD99">
        <v>0.17312636415239946</v>
      </c>
      <c r="AF99">
        <f t="shared" si="6"/>
        <v>7.1488250156909849</v>
      </c>
      <c r="AG99">
        <f t="shared" si="7"/>
        <v>0.2657779419456599</v>
      </c>
      <c r="AH99">
        <f t="shared" si="8"/>
        <v>1.0309155057693253</v>
      </c>
    </row>
    <row r="100" spans="1:34" x14ac:dyDescent="0.35">
      <c r="A100" t="s">
        <v>99</v>
      </c>
      <c r="B100">
        <v>9076.9740000000002</v>
      </c>
      <c r="C100">
        <v>2046648</v>
      </c>
      <c r="D100" s="7">
        <v>1790826</v>
      </c>
      <c r="E100" s="3">
        <v>1947.3230000000001</v>
      </c>
      <c r="F100" s="6">
        <v>6674.6783434814633</v>
      </c>
      <c r="G100" s="6">
        <v>1.9</v>
      </c>
      <c r="H100">
        <v>0.280497210537001</v>
      </c>
      <c r="I100" s="4">
        <v>4.5740070634920631</v>
      </c>
      <c r="J100">
        <v>2.7585374093149402</v>
      </c>
      <c r="K100">
        <v>1.7783560350187499</v>
      </c>
      <c r="L100">
        <v>1.0417000000000001</v>
      </c>
      <c r="M100">
        <v>1.497858824481749</v>
      </c>
      <c r="N100" s="8">
        <v>0.15283391766467366</v>
      </c>
      <c r="O100">
        <v>0.68797938321694696</v>
      </c>
      <c r="P100">
        <v>0.76428001301675397</v>
      </c>
      <c r="Q100" s="1">
        <v>10671.737999999999</v>
      </c>
      <c r="R100">
        <f t="shared" si="5"/>
        <v>0.96775582423346651</v>
      </c>
      <c r="S100">
        <v>-0.61824621800000001</v>
      </c>
      <c r="T100">
        <v>0.56677300200000003</v>
      </c>
      <c r="U100">
        <v>-0.123132644</v>
      </c>
      <c r="V100">
        <v>8563732</v>
      </c>
      <c r="W100">
        <v>15.099110693369965</v>
      </c>
      <c r="X100">
        <v>1.0792270686135916</v>
      </c>
      <c r="Y100">
        <f t="shared" si="4"/>
        <v>0.54927916257591369</v>
      </c>
      <c r="Z100">
        <v>0.51700000000000002</v>
      </c>
      <c r="AA100">
        <v>5.253931000000045E-3</v>
      </c>
      <c r="AB100">
        <v>-0.91104575076372296</v>
      </c>
      <c r="AC100" s="4">
        <v>5.7966666666666669</v>
      </c>
      <c r="AD100">
        <v>9.9432173813437164E-2</v>
      </c>
      <c r="AF100">
        <f t="shared" si="6"/>
        <v>9.1083294018070138</v>
      </c>
      <c r="AG100">
        <f t="shared" si="7"/>
        <v>0.20860027302296033</v>
      </c>
      <c r="AH100">
        <f t="shared" si="8"/>
        <v>1.1456703833895965</v>
      </c>
    </row>
    <row r="101" spans="1:34" x14ac:dyDescent="0.35">
      <c r="A101" t="s">
        <v>100</v>
      </c>
      <c r="B101">
        <v>9229.4110000000001</v>
      </c>
      <c r="C101">
        <v>2082517</v>
      </c>
      <c r="D101" s="7">
        <v>1806676</v>
      </c>
      <c r="E101" s="3">
        <v>1975.1890000000001</v>
      </c>
      <c r="F101" s="6">
        <v>6715.2137777194075</v>
      </c>
      <c r="G101" s="6">
        <v>1.7</v>
      </c>
      <c r="H101">
        <v>0.25879198763099098</v>
      </c>
      <c r="I101" s="4">
        <v>4.1426207680491549</v>
      </c>
      <c r="J101">
        <v>2.7817375003006499</v>
      </c>
      <c r="K101">
        <v>1.6455842756179799</v>
      </c>
      <c r="L101">
        <v>1.1644000000000001</v>
      </c>
      <c r="M101">
        <v>1.3867922879869889</v>
      </c>
      <c r="N101" s="8">
        <v>6.5401593931738833E-2</v>
      </c>
      <c r="O101">
        <v>0.69894249709347001</v>
      </c>
      <c r="P101">
        <v>0.77265703189059798</v>
      </c>
      <c r="Q101" s="1">
        <v>10744.203</v>
      </c>
      <c r="R101">
        <f t="shared" si="5"/>
        <v>0.96812558901836743</v>
      </c>
      <c r="S101">
        <v>-0.68322606699999999</v>
      </c>
      <c r="T101">
        <v>-2.1615687399999999</v>
      </c>
      <c r="U101">
        <v>-0.66684257199999997</v>
      </c>
      <c r="V101">
        <v>8742107</v>
      </c>
      <c r="W101">
        <v>14.036637746745686</v>
      </c>
      <c r="X101">
        <v>1.0777461602130085</v>
      </c>
      <c r="Y101">
        <f t="shared" si="4"/>
        <v>0.12326700860818676</v>
      </c>
      <c r="Z101">
        <v>0.55400000000000005</v>
      </c>
      <c r="AA101">
        <v>-1.1352941000000061E-2</v>
      </c>
      <c r="AB101">
        <v>-0.83253303161931702</v>
      </c>
      <c r="AC101" s="4">
        <v>5.72</v>
      </c>
      <c r="AD101">
        <v>-4.3126120790870193E-2</v>
      </c>
      <c r="AF101">
        <f t="shared" si="6"/>
        <v>12.078597103347999</v>
      </c>
      <c r="AG101">
        <f t="shared" si="7"/>
        <v>0.14074482205626235</v>
      </c>
      <c r="AH101">
        <f t="shared" si="8"/>
        <v>0.94491106367717848</v>
      </c>
    </row>
    <row r="102" spans="1:34" x14ac:dyDescent="0.35">
      <c r="A102" t="s">
        <v>101</v>
      </c>
      <c r="B102">
        <v>9358.4580000000005</v>
      </c>
      <c r="C102">
        <v>2102175</v>
      </c>
      <c r="D102" s="7">
        <v>1841959</v>
      </c>
      <c r="E102" s="3">
        <v>2025.7840000000001</v>
      </c>
      <c r="F102" s="6">
        <v>6778.9349563008245</v>
      </c>
      <c r="G102" s="6">
        <v>1.5</v>
      </c>
      <c r="H102">
        <v>0.26121040280553398</v>
      </c>
      <c r="I102" s="4">
        <v>4.1464048233486936</v>
      </c>
      <c r="J102">
        <v>2.80400750337424</v>
      </c>
      <c r="K102">
        <v>1.5894899492245</v>
      </c>
      <c r="L102">
        <v>1.1097999999999999</v>
      </c>
      <c r="M102">
        <v>1.3282795464189661</v>
      </c>
      <c r="N102" s="8">
        <v>0.47553854961046133</v>
      </c>
      <c r="O102">
        <v>0.72915376477014404</v>
      </c>
      <c r="P102">
        <v>0.77005236095817398</v>
      </c>
      <c r="Q102" s="1">
        <v>10824.674000000001</v>
      </c>
      <c r="R102">
        <f t="shared" si="5"/>
        <v>0.96828388140998722</v>
      </c>
      <c r="S102">
        <v>-0.182575141</v>
      </c>
      <c r="T102">
        <v>0.29310753899999997</v>
      </c>
      <c r="U102">
        <v>0.23161847999999999</v>
      </c>
      <c r="V102">
        <v>8951925</v>
      </c>
      <c r="W102">
        <v>13.855717697681417</v>
      </c>
      <c r="X102">
        <v>1.077287306221473</v>
      </c>
      <c r="Y102">
        <f t="shared" si="4"/>
        <v>0.1219780698803689</v>
      </c>
      <c r="Z102">
        <v>0.52900000000000003</v>
      </c>
      <c r="AA102">
        <v>-0.17722641499999997</v>
      </c>
      <c r="AB102">
        <v>-0.13126592581777899</v>
      </c>
      <c r="AC102" s="4">
        <v>5.3633333333333333</v>
      </c>
      <c r="AD102">
        <v>-1.642035480044679E-2</v>
      </c>
      <c r="AF102">
        <f t="shared" si="6"/>
        <v>12.279404689189999</v>
      </c>
      <c r="AG102">
        <f t="shared" si="7"/>
        <v>0.12215575901008491</v>
      </c>
      <c r="AH102">
        <f t="shared" si="8"/>
        <v>1.1152033829936236</v>
      </c>
    </row>
    <row r="103" spans="1:34" x14ac:dyDescent="0.35">
      <c r="A103" t="s">
        <v>102</v>
      </c>
      <c r="B103">
        <v>9535.5460000000003</v>
      </c>
      <c r="C103">
        <v>2065226</v>
      </c>
      <c r="D103" s="7">
        <v>1857161</v>
      </c>
      <c r="E103" s="3">
        <v>2080.6190000000001</v>
      </c>
      <c r="F103" s="6">
        <v>6863.7997370611329</v>
      </c>
      <c r="G103" s="6">
        <v>2.6</v>
      </c>
      <c r="H103">
        <v>0.25708186768886898</v>
      </c>
      <c r="I103" s="4">
        <v>4.9350294047619041</v>
      </c>
      <c r="J103">
        <v>2.8163513521641299</v>
      </c>
      <c r="K103">
        <v>1.4868883223673901</v>
      </c>
      <c r="L103">
        <v>0.99470000000000003</v>
      </c>
      <c r="M103">
        <v>1.229806454678521</v>
      </c>
      <c r="N103" s="8">
        <v>0.21371733159460482</v>
      </c>
      <c r="O103">
        <v>0.69743032793811799</v>
      </c>
      <c r="P103">
        <v>0.81908060130673299</v>
      </c>
      <c r="Q103" s="1">
        <v>11005.217000000001</v>
      </c>
      <c r="R103">
        <f t="shared" si="5"/>
        <v>0.96943502219142952</v>
      </c>
      <c r="S103">
        <v>0.67824847600000004</v>
      </c>
      <c r="T103">
        <v>2.426356438</v>
      </c>
      <c r="U103">
        <v>0.58195806100000003</v>
      </c>
      <c r="V103">
        <v>9031841</v>
      </c>
      <c r="W103">
        <v>13.693522216674987</v>
      </c>
      <c r="X103">
        <v>1.0762821488342309</v>
      </c>
      <c r="Y103">
        <f t="shared" si="4"/>
        <v>0.10273347620128415</v>
      </c>
      <c r="Z103">
        <v>0.54600000000000004</v>
      </c>
      <c r="AA103">
        <v>0.26228355799999997</v>
      </c>
      <c r="AB103">
        <v>0.246515703111265</v>
      </c>
      <c r="AC103" s="4">
        <v>5.2433333333333332</v>
      </c>
      <c r="AD103">
        <v>3.6641016304750362E-3</v>
      </c>
      <c r="AF103">
        <f t="shared" si="6"/>
        <v>9.0607646842499889</v>
      </c>
      <c r="AG103">
        <f t="shared" si="7"/>
        <v>0.28695149809148995</v>
      </c>
      <c r="AH103">
        <f t="shared" si="8"/>
        <v>1.7042221631733412</v>
      </c>
    </row>
    <row r="104" spans="1:34" x14ac:dyDescent="0.35">
      <c r="A104" t="s">
        <v>103</v>
      </c>
      <c r="B104">
        <v>9681.14</v>
      </c>
      <c r="C104">
        <v>2065034</v>
      </c>
      <c r="D104" s="7">
        <v>1892129</v>
      </c>
      <c r="E104" s="3">
        <v>2122.1550000000002</v>
      </c>
      <c r="F104" s="6">
        <v>6902.659051404733</v>
      </c>
      <c r="G104" s="6">
        <v>2.2000000000000002</v>
      </c>
      <c r="H104">
        <v>0.24666469485143999</v>
      </c>
      <c r="I104" s="4">
        <v>4.9848608333333333</v>
      </c>
      <c r="J104">
        <v>2.83217777750956</v>
      </c>
      <c r="K104">
        <v>1.53705478478499</v>
      </c>
      <c r="L104">
        <v>0.97850000000000004</v>
      </c>
      <c r="M104">
        <v>1.2903900899335501</v>
      </c>
      <c r="N104" s="8">
        <v>0.23346512824229065</v>
      </c>
      <c r="O104">
        <v>0.68023159148199297</v>
      </c>
      <c r="P104">
        <v>0.86368306415057094</v>
      </c>
      <c r="Q104" s="1">
        <v>11103.934999999999</v>
      </c>
      <c r="R104">
        <f t="shared" si="5"/>
        <v>0.96995298485667225</v>
      </c>
      <c r="S104">
        <v>-1.5721951789999999</v>
      </c>
      <c r="T104">
        <v>0.88378279900000001</v>
      </c>
      <c r="U104">
        <v>-0.57673947999999997</v>
      </c>
      <c r="V104">
        <v>9233464</v>
      </c>
      <c r="W104">
        <v>13.812207124949705</v>
      </c>
      <c r="X104">
        <v>1.0760183606376124</v>
      </c>
      <c r="Y104">
        <f t="shared" si="4"/>
        <v>0.56025367960929195</v>
      </c>
      <c r="Z104">
        <v>0.51100000000000001</v>
      </c>
      <c r="AA104">
        <v>-4.3853438999999939E-2</v>
      </c>
      <c r="AB104">
        <v>-0.71177571888563196</v>
      </c>
      <c r="AC104" s="4">
        <v>5.3066666666666666</v>
      </c>
      <c r="AD104">
        <v>9.0277633889028763E-3</v>
      </c>
      <c r="AF104">
        <f t="shared" si="6"/>
        <v>7.3640368194619832</v>
      </c>
      <c r="AG104">
        <f t="shared" si="7"/>
        <v>0.29874918525471633</v>
      </c>
      <c r="AH104">
        <f t="shared" si="8"/>
        <v>1.7241756439184464</v>
      </c>
    </row>
    <row r="105" spans="1:34" x14ac:dyDescent="0.35">
      <c r="A105" t="s">
        <v>104</v>
      </c>
      <c r="B105">
        <v>9815.7289999999994</v>
      </c>
      <c r="C105">
        <v>2044449</v>
      </c>
      <c r="D105" s="7">
        <v>1950200</v>
      </c>
      <c r="E105" s="3">
        <v>2153.0729999999999</v>
      </c>
      <c r="F105" s="6">
        <v>6973.0358227773759</v>
      </c>
      <c r="G105" s="6">
        <v>3.1</v>
      </c>
      <c r="H105">
        <v>0.27765279943974303</v>
      </c>
      <c r="I105" s="4">
        <v>4.5478806912442398</v>
      </c>
      <c r="J105">
        <v>2.8689089820595699</v>
      </c>
      <c r="K105">
        <v>1.4720711473763299</v>
      </c>
      <c r="L105">
        <v>1.0214000000000001</v>
      </c>
      <c r="M105">
        <v>1.1944183479365869</v>
      </c>
      <c r="N105" s="8">
        <v>0.16879012084726333</v>
      </c>
      <c r="O105">
        <v>0.67828777582256505</v>
      </c>
      <c r="P105">
        <v>0.85718108566838302</v>
      </c>
      <c r="Q105" s="1">
        <v>11219.237999999999</v>
      </c>
      <c r="R105">
        <f t="shared" si="5"/>
        <v>0.9705191103516686</v>
      </c>
      <c r="S105">
        <v>3.3499938999999999E-2</v>
      </c>
      <c r="T105">
        <v>0.244489334</v>
      </c>
      <c r="U105">
        <v>8.8911902000000001E-2</v>
      </c>
      <c r="V105">
        <v>9476404</v>
      </c>
      <c r="W105">
        <v>13.541062178445509</v>
      </c>
      <c r="X105">
        <v>1.0757149456146791</v>
      </c>
      <c r="Y105">
        <f t="shared" si="4"/>
        <v>0.7465394199695522</v>
      </c>
      <c r="Z105">
        <v>0.52700000000000002</v>
      </c>
      <c r="AA105">
        <v>-4.830896699999998E-2</v>
      </c>
      <c r="AB105">
        <v>0.34874056694449801</v>
      </c>
      <c r="AC105" s="4">
        <v>5.28</v>
      </c>
      <c r="AD105">
        <v>1.0339861716663901E-2</v>
      </c>
      <c r="AF105">
        <f t="shared" si="6"/>
        <v>8.7171481758919978</v>
      </c>
      <c r="AG105">
        <f t="shared" si="7"/>
        <v>0.35562089085204601</v>
      </c>
      <c r="AH105">
        <f t="shared" si="8"/>
        <v>1.8789155793800028</v>
      </c>
    </row>
    <row r="106" spans="1:34" x14ac:dyDescent="0.35">
      <c r="A106" t="s">
        <v>105</v>
      </c>
      <c r="B106">
        <v>9942.7469999999994</v>
      </c>
      <c r="C106">
        <v>2009723</v>
      </c>
      <c r="D106" s="7">
        <v>2031227</v>
      </c>
      <c r="E106" s="3">
        <v>2178.1060000000002</v>
      </c>
      <c r="F106" s="6">
        <v>7044.1018679251583</v>
      </c>
      <c r="G106" s="6">
        <v>3.8</v>
      </c>
      <c r="H106">
        <v>0.267104378385841</v>
      </c>
      <c r="I106" s="4">
        <v>4.756294761904762</v>
      </c>
      <c r="J106">
        <v>2.8951271604977502</v>
      </c>
      <c r="K106">
        <v>1.3560216406576</v>
      </c>
      <c r="L106">
        <v>0.96860000000000002</v>
      </c>
      <c r="M106">
        <v>1.0889172622717589</v>
      </c>
      <c r="N106" s="8">
        <v>0.29338427817469603</v>
      </c>
      <c r="O106">
        <v>0.67902340252583004</v>
      </c>
      <c r="P106">
        <v>0.88148382362704503</v>
      </c>
      <c r="Q106" s="1">
        <v>11291.665000000001</v>
      </c>
      <c r="R106">
        <f t="shared" si="5"/>
        <v>0.97092864544647073</v>
      </c>
      <c r="S106">
        <v>0.81111497499999996</v>
      </c>
      <c r="T106">
        <v>1.269755161</v>
      </c>
      <c r="U106">
        <v>0.82396036100000003</v>
      </c>
      <c r="V106">
        <v>9813376</v>
      </c>
      <c r="W106">
        <v>13.598464468864469</v>
      </c>
      <c r="X106">
        <v>1.0772322375058974</v>
      </c>
      <c r="Y106">
        <f t="shared" ref="Y106:Y169" si="9">_xlfn.STDEV.P(W106:W109)</f>
        <v>0.83473258317480459</v>
      </c>
      <c r="Z106">
        <v>0.498</v>
      </c>
      <c r="AA106">
        <v>-5.1903890000000175E-3</v>
      </c>
      <c r="AB106">
        <v>0.27185527050417602</v>
      </c>
      <c r="AC106" s="4">
        <v>5.2766666666666664</v>
      </c>
      <c r="AD106">
        <v>-3.5578332478047869E-3</v>
      </c>
      <c r="AF106">
        <f t="shared" si="6"/>
        <v>9.1119657123510223</v>
      </c>
      <c r="AG106">
        <f t="shared" si="7"/>
        <v>0.41703405389785464</v>
      </c>
      <c r="AH106">
        <f t="shared" si="8"/>
        <v>1.8343159215763905</v>
      </c>
    </row>
    <row r="107" spans="1:34" x14ac:dyDescent="0.35">
      <c r="A107" t="s">
        <v>106</v>
      </c>
      <c r="B107">
        <v>10131.828</v>
      </c>
      <c r="C107">
        <v>2008650</v>
      </c>
      <c r="D107" s="7">
        <v>2096813</v>
      </c>
      <c r="E107" s="3">
        <v>2215.5540000000001</v>
      </c>
      <c r="F107" s="6">
        <v>7059.8739877076532</v>
      </c>
      <c r="G107" s="6">
        <v>3.3</v>
      </c>
      <c r="H107">
        <v>0.243705470954558</v>
      </c>
      <c r="I107" s="4">
        <v>4.8857598809523806</v>
      </c>
      <c r="J107">
        <v>2.92816780276753</v>
      </c>
      <c r="K107">
        <v>1.2673346926861799</v>
      </c>
      <c r="L107">
        <v>0.93830000000000002</v>
      </c>
      <c r="M107">
        <v>1.0236292217316219</v>
      </c>
      <c r="N107" s="8">
        <v>6.2499983754434302E-2</v>
      </c>
      <c r="O107">
        <v>0.67688741265795604</v>
      </c>
      <c r="P107">
        <v>0.92709206636101205</v>
      </c>
      <c r="Q107" s="1">
        <v>11479.33</v>
      </c>
      <c r="R107">
        <f t="shared" si="5"/>
        <v>0.97164078344597937</v>
      </c>
      <c r="S107">
        <v>-0.71080252700000002</v>
      </c>
      <c r="T107">
        <v>1.012517941</v>
      </c>
      <c r="U107">
        <v>0.25995473200000002</v>
      </c>
      <c r="V107">
        <v>9974853</v>
      </c>
      <c r="W107">
        <v>12.377941169034099</v>
      </c>
      <c r="X107">
        <v>1.076683387964301</v>
      </c>
      <c r="Y107">
        <f t="shared" si="9"/>
        <v>0.54520729515961686</v>
      </c>
      <c r="Z107">
        <v>0.503</v>
      </c>
      <c r="AA107">
        <v>-3.2428100000000404E-3</v>
      </c>
      <c r="AB107">
        <v>0.53950952260743401</v>
      </c>
      <c r="AC107" s="4">
        <v>5.5233333333333334</v>
      </c>
      <c r="AD107">
        <v>-1.8314676119385309E-2</v>
      </c>
      <c r="AF107">
        <f t="shared" si="6"/>
        <v>11.181645060340006</v>
      </c>
      <c r="AG107">
        <f t="shared" si="7"/>
        <v>0.2951265204888962</v>
      </c>
      <c r="AH107">
        <f t="shared" si="8"/>
        <v>1.8317930509228475</v>
      </c>
    </row>
    <row r="108" spans="1:34" x14ac:dyDescent="0.35">
      <c r="A108" t="s">
        <v>107</v>
      </c>
      <c r="B108">
        <v>10355.861999999999</v>
      </c>
      <c r="C108">
        <v>2029666</v>
      </c>
      <c r="D108" s="7">
        <v>2160470</v>
      </c>
      <c r="E108" s="3">
        <v>2288.4540000000002</v>
      </c>
      <c r="F108" s="6">
        <v>7164.149163657773</v>
      </c>
      <c r="G108" s="6">
        <v>3.1</v>
      </c>
      <c r="H108">
        <v>0.23863627590625699</v>
      </c>
      <c r="I108" s="4">
        <v>4.4198310714285718</v>
      </c>
      <c r="J108">
        <v>2.9723981990622099</v>
      </c>
      <c r="K108">
        <v>0.973060396770564</v>
      </c>
      <c r="L108">
        <v>0.96599999999999997</v>
      </c>
      <c r="M108">
        <v>0.73442412086430697</v>
      </c>
      <c r="N108" s="8">
        <v>0.18681272346220335</v>
      </c>
      <c r="O108">
        <v>0.68357888273382095</v>
      </c>
      <c r="P108">
        <v>0.94204045119232305</v>
      </c>
      <c r="Q108" s="1">
        <v>11622.911</v>
      </c>
      <c r="R108">
        <f t="shared" si="5"/>
        <v>0.97179260227893072</v>
      </c>
      <c r="S108">
        <v>1.84372716</v>
      </c>
      <c r="T108">
        <v>1.749399237</v>
      </c>
      <c r="U108">
        <v>-0.196302535</v>
      </c>
      <c r="V108">
        <v>10289099</v>
      </c>
      <c r="W108">
        <v>11.865749370100128</v>
      </c>
      <c r="X108">
        <v>1.0761427778145094</v>
      </c>
      <c r="Y108">
        <f t="shared" si="9"/>
        <v>0.35090495021899382</v>
      </c>
      <c r="Z108">
        <v>0.504</v>
      </c>
      <c r="AA108">
        <v>-5.6511929999999433E-3</v>
      </c>
      <c r="AB108">
        <v>1.1444527420056001</v>
      </c>
      <c r="AC108" s="4">
        <v>5.5333333333333332</v>
      </c>
      <c r="AD108">
        <v>9.5986011369331159E-4</v>
      </c>
      <c r="AF108">
        <f t="shared" si="6"/>
        <v>14.022042155264991</v>
      </c>
      <c r="AG108">
        <f t="shared" si="7"/>
        <v>0.22108049353110903</v>
      </c>
      <c r="AH108">
        <f t="shared" si="8"/>
        <v>1.9838001444102638</v>
      </c>
    </row>
    <row r="109" spans="1:34" x14ac:dyDescent="0.35">
      <c r="A109" t="s">
        <v>108</v>
      </c>
      <c r="B109">
        <v>10545.713</v>
      </c>
      <c r="C109">
        <v>2127150</v>
      </c>
      <c r="D109" s="7">
        <v>2188609</v>
      </c>
      <c r="E109" s="3">
        <v>2301.413</v>
      </c>
      <c r="F109" s="6">
        <v>7241.3351460612002</v>
      </c>
      <c r="G109" s="6">
        <v>2.4</v>
      </c>
      <c r="H109">
        <v>0.214591222674687</v>
      </c>
      <c r="I109" s="4">
        <v>4.074006513056835</v>
      </c>
      <c r="J109">
        <v>2.9779853331789399</v>
      </c>
      <c r="K109">
        <v>0.94997300235961701</v>
      </c>
      <c r="L109">
        <v>1.1092</v>
      </c>
      <c r="M109">
        <v>0.73538177968493001</v>
      </c>
      <c r="N109" s="8">
        <v>2.0806253469888E-2</v>
      </c>
      <c r="O109">
        <v>0.68409971180823403</v>
      </c>
      <c r="P109">
        <v>0.93585973545346302</v>
      </c>
      <c r="Q109" s="1">
        <v>11722.722</v>
      </c>
      <c r="R109">
        <f t="shared" si="5"/>
        <v>0.97224646033561102</v>
      </c>
      <c r="S109">
        <v>0.93443026299999998</v>
      </c>
      <c r="T109">
        <v>8.6475317999999995E-2</v>
      </c>
      <c r="U109">
        <v>-0.91300994800000002</v>
      </c>
      <c r="V109">
        <v>10499051</v>
      </c>
      <c r="W109">
        <v>11.347907453015898</v>
      </c>
      <c r="X109">
        <v>1.0755801545550134</v>
      </c>
      <c r="Y109">
        <f t="shared" si="9"/>
        <v>0.63781404546859233</v>
      </c>
      <c r="Z109">
        <v>0.48799999999999999</v>
      </c>
      <c r="AA109">
        <v>-1.0494556000000044E-2</v>
      </c>
      <c r="AB109">
        <v>0.61316320270102398</v>
      </c>
      <c r="AC109" s="4">
        <v>5.5066666666666668</v>
      </c>
      <c r="AD109">
        <v>6.2637575590265282E-3</v>
      </c>
      <c r="AF109">
        <f t="shared" si="6"/>
        <v>10.907635111936997</v>
      </c>
      <c r="AG109">
        <f t="shared" si="7"/>
        <v>0.22002936249430549</v>
      </c>
      <c r="AH109">
        <f t="shared" si="8"/>
        <v>1.9065104923138954</v>
      </c>
    </row>
    <row r="110" spans="1:34" x14ac:dyDescent="0.35">
      <c r="A110" t="s">
        <v>109</v>
      </c>
      <c r="B110">
        <v>10756.366</v>
      </c>
      <c r="C110">
        <v>2134418</v>
      </c>
      <c r="D110" s="7">
        <v>2335962</v>
      </c>
      <c r="E110" s="3">
        <v>2357.5500000000002</v>
      </c>
      <c r="F110" s="6">
        <v>7288.2797622823791</v>
      </c>
      <c r="G110" s="6">
        <v>2.2000000000000002</v>
      </c>
      <c r="H110">
        <v>0.17718114987841399</v>
      </c>
      <c r="I110" s="4">
        <v>3.7425883684621386</v>
      </c>
      <c r="J110">
        <v>3.0087084762385601</v>
      </c>
      <c r="K110">
        <v>0.41185175786984102</v>
      </c>
      <c r="L110">
        <v>1.1778</v>
      </c>
      <c r="M110">
        <v>0.23467060799142703</v>
      </c>
      <c r="N110" s="8">
        <v>0.185643990886772</v>
      </c>
      <c r="O110">
        <v>0.69303898080433102</v>
      </c>
      <c r="P110">
        <v>0.96110029965277199</v>
      </c>
      <c r="Q110" s="1">
        <v>11839.876</v>
      </c>
      <c r="R110">
        <f t="shared" si="5"/>
        <v>0.97229703235133336</v>
      </c>
      <c r="S110">
        <v>-0.67978734100000004</v>
      </c>
      <c r="T110">
        <v>0.74531894600000004</v>
      </c>
      <c r="U110">
        <v>1.309357678</v>
      </c>
      <c r="V110">
        <v>10863313</v>
      </c>
      <c r="W110">
        <v>10.926839544484102</v>
      </c>
      <c r="X110">
        <v>1.0770246528072134</v>
      </c>
      <c r="Y110">
        <f t="shared" si="9"/>
        <v>0.64183451313276396</v>
      </c>
      <c r="Z110">
        <v>0.46500000000000002</v>
      </c>
      <c r="AA110">
        <v>-1.8107093000000019E-2</v>
      </c>
      <c r="AB110">
        <v>-0.48577064053932301</v>
      </c>
      <c r="AC110" s="4">
        <v>5.52</v>
      </c>
      <c r="AD110">
        <v>-1.6610423449397116E-2</v>
      </c>
      <c r="AF110">
        <f t="shared" si="6"/>
        <v>11.358131574080987</v>
      </c>
      <c r="AG110">
        <f t="shared" si="7"/>
        <v>0.193693829451699</v>
      </c>
      <c r="AH110">
        <f t="shared" si="8"/>
        <v>2.058916894842433</v>
      </c>
    </row>
    <row r="111" spans="1:34" x14ac:dyDescent="0.35">
      <c r="A111" t="s">
        <v>110</v>
      </c>
      <c r="B111">
        <v>11066.962</v>
      </c>
      <c r="C111">
        <v>2063813</v>
      </c>
      <c r="D111" s="7">
        <v>2391445</v>
      </c>
      <c r="E111" s="3">
        <v>2435.2759999999998</v>
      </c>
      <c r="F111" s="6">
        <v>7404.5638670749349</v>
      </c>
      <c r="G111" s="6">
        <v>2.2000000000000002</v>
      </c>
      <c r="H111">
        <v>0.13536685500272799</v>
      </c>
      <c r="I111" s="4">
        <v>3.7256696825396824</v>
      </c>
      <c r="J111">
        <v>3.0496888802847</v>
      </c>
      <c r="K111">
        <v>0.25002792404103003</v>
      </c>
      <c r="L111">
        <v>1.0786</v>
      </c>
      <c r="M111">
        <v>0.11466106903830203</v>
      </c>
      <c r="N111" s="8">
        <v>0.16414078362291032</v>
      </c>
      <c r="O111">
        <v>0.71465048729345704</v>
      </c>
      <c r="P111">
        <v>1.03203041496791</v>
      </c>
      <c r="Q111" s="1">
        <v>11949.492</v>
      </c>
      <c r="R111">
        <f t="shared" si="5"/>
        <v>0.972748285104866</v>
      </c>
      <c r="S111">
        <v>1.0817925070000001</v>
      </c>
      <c r="T111">
        <v>0.14281203100000001</v>
      </c>
      <c r="U111">
        <v>3.5973865190000001</v>
      </c>
      <c r="V111">
        <v>10948604</v>
      </c>
      <c r="W111">
        <v>11.121449555281439</v>
      </c>
      <c r="X111">
        <v>1.0771463634532481</v>
      </c>
      <c r="Y111">
        <f t="shared" si="9"/>
        <v>0.58537995325970771</v>
      </c>
      <c r="Z111">
        <v>0.47</v>
      </c>
      <c r="AA111">
        <v>-1.7971854000000009E-2</v>
      </c>
      <c r="AB111">
        <v>-0.43123422161400299</v>
      </c>
      <c r="AC111" s="4">
        <v>5.5</v>
      </c>
      <c r="AD111">
        <v>-6.8001745762813481E-4</v>
      </c>
      <c r="AF111">
        <f t="shared" si="6"/>
        <v>12.152107751717001</v>
      </c>
      <c r="AG111">
        <f t="shared" si="7"/>
        <v>0.18103855273083444</v>
      </c>
      <c r="AH111">
        <f t="shared" si="8"/>
        <v>1.7432901966087933</v>
      </c>
    </row>
    <row r="112" spans="1:34" x14ac:dyDescent="0.35">
      <c r="A112" t="s">
        <v>111</v>
      </c>
      <c r="B112">
        <v>11293.043</v>
      </c>
      <c r="C112">
        <v>2087952</v>
      </c>
      <c r="D112" s="7">
        <v>2380356</v>
      </c>
      <c r="E112" s="3">
        <v>2488.2939999999999</v>
      </c>
      <c r="F112" s="6">
        <v>7502.6018348600965</v>
      </c>
      <c r="G112" s="6">
        <v>1.8</v>
      </c>
      <c r="H112">
        <v>9.0183086455986106E-2</v>
      </c>
      <c r="I112" s="4">
        <v>3.3344963690476188</v>
      </c>
      <c r="J112">
        <v>3.0180016484293399</v>
      </c>
      <c r="K112">
        <v>0.20270789741543299</v>
      </c>
      <c r="L112">
        <v>1.66</v>
      </c>
      <c r="M112">
        <v>0.11252481095944689</v>
      </c>
      <c r="N112" s="8">
        <v>0.12254914230624332</v>
      </c>
      <c r="O112">
        <v>0.753603045665863</v>
      </c>
      <c r="P112">
        <v>1.1748019903873499</v>
      </c>
      <c r="Q112" s="1">
        <v>12099.191000000001</v>
      </c>
      <c r="R112">
        <f t="shared" si="5"/>
        <v>0.97314745426932836</v>
      </c>
      <c r="S112">
        <v>0.84226563799999998</v>
      </c>
      <c r="T112">
        <v>2.2284684600000002</v>
      </c>
      <c r="U112">
        <v>-0.31576303100000003</v>
      </c>
      <c r="V112">
        <v>11073150</v>
      </c>
      <c r="W112">
        <v>12.564270757358305</v>
      </c>
      <c r="X112">
        <v>1.0768850724568961</v>
      </c>
      <c r="Y112">
        <f t="shared" si="9"/>
        <v>0.71358234623602312</v>
      </c>
      <c r="Z112">
        <v>0.47299999999999998</v>
      </c>
      <c r="AA112">
        <v>-1.4779129999999974E-3</v>
      </c>
      <c r="AB112">
        <v>5.96851848809104</v>
      </c>
      <c r="AC112" s="4">
        <v>5.5333333333333332</v>
      </c>
      <c r="AD112">
        <v>3.9197375871677931E-3</v>
      </c>
      <c r="AF112">
        <f t="shared" si="6"/>
        <v>4.5603449367130011</v>
      </c>
      <c r="AG112">
        <f t="shared" si="7"/>
        <v>0.39470698488377975</v>
      </c>
      <c r="AH112">
        <f t="shared" si="8"/>
        <v>1.7441420334326274</v>
      </c>
    </row>
    <row r="113" spans="1:34" x14ac:dyDescent="0.35">
      <c r="A113" t="s">
        <v>112</v>
      </c>
      <c r="B113">
        <v>11571.347</v>
      </c>
      <c r="C113">
        <v>2110593</v>
      </c>
      <c r="D113" s="7">
        <v>2557523</v>
      </c>
      <c r="E113" s="3">
        <v>2537.3110000000001</v>
      </c>
      <c r="F113" s="6">
        <v>7606.5973941419779</v>
      </c>
      <c r="G113" s="6">
        <v>2.5</v>
      </c>
      <c r="H113">
        <v>0.13855953216816999</v>
      </c>
      <c r="I113" s="4">
        <v>2.7992569124423965</v>
      </c>
      <c r="J113">
        <v>3.0670772212605399</v>
      </c>
      <c r="K113">
        <v>-0.75034916797537299</v>
      </c>
      <c r="L113">
        <v>1.8667</v>
      </c>
      <c r="M113">
        <v>-0.88890870014354295</v>
      </c>
      <c r="N113" s="8">
        <v>6.1174389250008065E-2</v>
      </c>
      <c r="O113">
        <v>0.73678652367957098</v>
      </c>
      <c r="P113">
        <v>1.08043663605827</v>
      </c>
      <c r="Q113" s="1">
        <v>12294.736999999999</v>
      </c>
      <c r="R113">
        <f t="shared" si="5"/>
        <v>0.97344560023397375</v>
      </c>
      <c r="S113">
        <v>0.87811569599999995</v>
      </c>
      <c r="T113">
        <v>0.71480065999999998</v>
      </c>
      <c r="U113">
        <v>-1.1551457650000001</v>
      </c>
      <c r="V113">
        <v>11133500</v>
      </c>
      <c r="W113">
        <v>11.285742755789389</v>
      </c>
      <c r="X113">
        <v>1.0789283384041441</v>
      </c>
      <c r="Y113">
        <f t="shared" si="9"/>
        <v>0.27629492209602219</v>
      </c>
      <c r="Z113">
        <v>0.47099999999999997</v>
      </c>
      <c r="AA113">
        <v>-4.2454149999999746E-3</v>
      </c>
      <c r="AB113">
        <v>-1.4888187045151</v>
      </c>
      <c r="AC113" s="4">
        <v>4.8600000000000003</v>
      </c>
      <c r="AD113">
        <v>-1.0358187206976899E-3</v>
      </c>
      <c r="AF113">
        <f t="shared" si="6"/>
        <v>8.9091888081600068</v>
      </c>
      <c r="AG113">
        <f t="shared" si="7"/>
        <v>0.28060916137619929</v>
      </c>
      <c r="AH113">
        <f t="shared" si="8"/>
        <v>2.0690777089155787</v>
      </c>
    </row>
    <row r="114" spans="1:34" x14ac:dyDescent="0.35">
      <c r="A114" t="s">
        <v>113</v>
      </c>
      <c r="B114">
        <v>11835.52</v>
      </c>
      <c r="C114">
        <v>2143846</v>
      </c>
      <c r="D114" s="7">
        <v>2629016</v>
      </c>
      <c r="E114" s="3">
        <v>2581.66</v>
      </c>
      <c r="F114" s="6">
        <v>7675.1588790545675</v>
      </c>
      <c r="G114" s="6">
        <v>1.8</v>
      </c>
      <c r="H114">
        <v>0.13834263945671199</v>
      </c>
      <c r="I114" s="4">
        <v>3.1490108626073376</v>
      </c>
      <c r="J114">
        <v>3.09999181402832</v>
      </c>
      <c r="K114">
        <v>-1.31914970031513</v>
      </c>
      <c r="L114">
        <v>1.5718000000000001</v>
      </c>
      <c r="M114">
        <v>-1.457492339771842</v>
      </c>
      <c r="N114" s="8">
        <v>0.223243721295903</v>
      </c>
      <c r="O114">
        <v>0.73069147271632195</v>
      </c>
      <c r="P114">
        <v>1.0419974291340499</v>
      </c>
      <c r="Q114" s="1">
        <v>12410.778</v>
      </c>
      <c r="R114">
        <f t="shared" si="5"/>
        <v>0.97359447508412977</v>
      </c>
      <c r="S114">
        <v>0.45142172400000002</v>
      </c>
      <c r="T114">
        <v>0.69246747099999995</v>
      </c>
      <c r="U114">
        <v>0.26738702600000003</v>
      </c>
      <c r="V114">
        <v>11339042</v>
      </c>
      <c r="W114">
        <v>11.252362421414119</v>
      </c>
      <c r="X114">
        <v>1.0791244250948766</v>
      </c>
      <c r="Y114">
        <f t="shared" si="9"/>
        <v>0.34541571391289155</v>
      </c>
      <c r="Z114">
        <v>0.47299999999999998</v>
      </c>
      <c r="AA114">
        <v>-1.4837837999999992E-2</v>
      </c>
      <c r="AB114">
        <v>-7.3415628048950798E-2</v>
      </c>
      <c r="AC114" s="4">
        <v>4.7333333333333334</v>
      </c>
      <c r="AD114">
        <v>-5.888689668380076E-3</v>
      </c>
      <c r="AF114">
        <f t="shared" si="6"/>
        <v>9.1283337789759944</v>
      </c>
      <c r="AG114">
        <f t="shared" si="7"/>
        <v>0.19718823211150391</v>
      </c>
      <c r="AH114">
        <f t="shared" si="8"/>
        <v>2.0451853156113309</v>
      </c>
    </row>
    <row r="115" spans="1:34" x14ac:dyDescent="0.35">
      <c r="A115" t="s">
        <v>114</v>
      </c>
      <c r="B115">
        <v>12108.957</v>
      </c>
      <c r="C115">
        <v>2090082</v>
      </c>
      <c r="D115" s="7">
        <v>2690512</v>
      </c>
      <c r="E115" s="3">
        <v>2636.8409999999999</v>
      </c>
      <c r="F115" s="6">
        <v>7812.7540064350605</v>
      </c>
      <c r="G115" s="6">
        <v>1.8</v>
      </c>
      <c r="H115">
        <v>0.11619361100712</v>
      </c>
      <c r="I115" s="4">
        <v>3.7030092857142853</v>
      </c>
      <c r="J115">
        <v>3.1278832161049999</v>
      </c>
      <c r="K115">
        <v>-1.08582518243668</v>
      </c>
      <c r="L115">
        <v>1.5101</v>
      </c>
      <c r="M115">
        <v>-1.2020187934438</v>
      </c>
      <c r="N115" s="8">
        <v>0.24242424242423805</v>
      </c>
      <c r="O115">
        <v>0.73153113668723702</v>
      </c>
      <c r="P115">
        <v>1.0294312512034101</v>
      </c>
      <c r="Q115" s="1">
        <v>12514.407999999999</v>
      </c>
      <c r="R115">
        <f t="shared" si="5"/>
        <v>0.97413784721825714</v>
      </c>
      <c r="S115">
        <v>-0.17896611300000001</v>
      </c>
      <c r="T115">
        <v>0.58594268999999999</v>
      </c>
      <c r="U115">
        <v>0.299838041</v>
      </c>
      <c r="V115">
        <v>11443032</v>
      </c>
      <c r="W115">
        <v>10.59453791878423</v>
      </c>
      <c r="X115">
        <v>1.0786435039659328</v>
      </c>
      <c r="Y115">
        <f t="shared" si="9"/>
        <v>0.38385076820493941</v>
      </c>
      <c r="Z115">
        <v>0.43</v>
      </c>
      <c r="AA115">
        <v>4.2535280000000064E-3</v>
      </c>
      <c r="AB115">
        <v>-0.22290063083165501</v>
      </c>
      <c r="AC115" s="4">
        <v>4.746666666666667</v>
      </c>
      <c r="AD115">
        <v>1.9619429282083489E-2</v>
      </c>
      <c r="AF115">
        <f t="shared" si="6"/>
        <v>7.8194335820299887</v>
      </c>
      <c r="AG115">
        <f t="shared" si="7"/>
        <v>0.23019570166010739</v>
      </c>
      <c r="AH115">
        <f t="shared" si="8"/>
        <v>2.0060867090498036</v>
      </c>
    </row>
    <row r="116" spans="1:34" x14ac:dyDescent="0.35">
      <c r="A116" t="s">
        <v>115</v>
      </c>
      <c r="B116">
        <v>12458.157999999999</v>
      </c>
      <c r="C116">
        <v>2089159</v>
      </c>
      <c r="D116" s="7">
        <v>2682298</v>
      </c>
      <c r="E116" s="3">
        <v>2696.0320000000002</v>
      </c>
      <c r="F116" s="6">
        <v>7918.7408839968466</v>
      </c>
      <c r="G116" s="6">
        <v>2.2999999999999998</v>
      </c>
      <c r="H116">
        <v>8.5199468861984998E-2</v>
      </c>
      <c r="I116" s="4">
        <v>4.0424285119047614</v>
      </c>
      <c r="J116">
        <v>3.1189831248750202</v>
      </c>
      <c r="K116">
        <v>-0.73707951563223295</v>
      </c>
      <c r="L116">
        <v>1.8267</v>
      </c>
      <c r="M116">
        <v>-0.82227898449421799</v>
      </c>
      <c r="N116" s="8">
        <v>0.33984986819585533</v>
      </c>
      <c r="O116">
        <v>0.72390308310265405</v>
      </c>
      <c r="P116">
        <v>1.02997947426856</v>
      </c>
      <c r="Q116" s="1">
        <v>12679.977000000001</v>
      </c>
      <c r="R116">
        <f t="shared" si="5"/>
        <v>0.97472823379232876</v>
      </c>
      <c r="S116">
        <v>0.23116740399999999</v>
      </c>
      <c r="T116">
        <v>0.21295291299999999</v>
      </c>
      <c r="U116">
        <v>1.304659886</v>
      </c>
      <c r="V116">
        <v>11542319</v>
      </c>
      <c r="W116">
        <v>10.999716385200465</v>
      </c>
      <c r="X116">
        <v>1.0778408816041427</v>
      </c>
      <c r="Y116">
        <f t="shared" si="9"/>
        <v>0.61633205215253906</v>
      </c>
      <c r="Z116">
        <v>0.43</v>
      </c>
      <c r="AA116">
        <v>-1.7482520000000057E-3</v>
      </c>
      <c r="AB116">
        <v>1.4823732501584701</v>
      </c>
      <c r="AC116" s="4">
        <v>5.0933333333333337</v>
      </c>
      <c r="AD116">
        <v>-1.6188997476413891E-2</v>
      </c>
      <c r="AF116">
        <f t="shared" si="6"/>
        <v>10.098147644568023</v>
      </c>
      <c r="AG116">
        <f t="shared" si="7"/>
        <v>0.22776454464272083</v>
      </c>
      <c r="AH116">
        <f t="shared" si="8"/>
        <v>2.0362133154860906</v>
      </c>
    </row>
    <row r="117" spans="1:34" x14ac:dyDescent="0.35">
      <c r="A117" t="s">
        <v>116</v>
      </c>
      <c r="B117">
        <v>12742.409</v>
      </c>
      <c r="C117">
        <v>2093556</v>
      </c>
      <c r="D117" s="7">
        <v>2646533</v>
      </c>
      <c r="E117" s="3">
        <v>2721.23</v>
      </c>
      <c r="F117" s="6">
        <v>8057.3545396170175</v>
      </c>
      <c r="G117" s="6">
        <v>1.5</v>
      </c>
      <c r="H117">
        <v>5.528140877189E-2</v>
      </c>
      <c r="I117" s="4">
        <v>4.2940325192012283</v>
      </c>
      <c r="J117">
        <v>3.1491310475521201</v>
      </c>
      <c r="K117">
        <v>-0.77147540698082595</v>
      </c>
      <c r="L117">
        <v>1.8011999999999999</v>
      </c>
      <c r="M117">
        <v>-0.82675681575271598</v>
      </c>
      <c r="N117" s="8">
        <v>7.9376938833370464E-2</v>
      </c>
      <c r="O117">
        <v>0.74369561191321698</v>
      </c>
      <c r="P117">
        <v>1.0917925473127501</v>
      </c>
      <c r="Q117" s="1">
        <v>12888.281000000001</v>
      </c>
      <c r="R117">
        <f t="shared" si="5"/>
        <v>0.97555638694678148</v>
      </c>
      <c r="S117">
        <v>3.942778192</v>
      </c>
      <c r="T117">
        <v>1.2169547169999999</v>
      </c>
      <c r="U117">
        <v>1.5440293949999999</v>
      </c>
      <c r="V117">
        <v>12291631</v>
      </c>
      <c r="W117">
        <v>10.363490505192994</v>
      </c>
      <c r="X117">
        <v>1.0717935433872556</v>
      </c>
      <c r="Y117">
        <f t="shared" si="9"/>
        <v>0.76182002360536361</v>
      </c>
      <c r="Z117">
        <v>0.45200000000000001</v>
      </c>
      <c r="AA117">
        <v>-1.1809520000000129E-3</v>
      </c>
      <c r="AB117">
        <v>0.291690882186801</v>
      </c>
      <c r="AC117" s="4">
        <v>5.3066666666666666</v>
      </c>
      <c r="AD117">
        <v>1.557450865537402E-2</v>
      </c>
      <c r="AF117">
        <f t="shared" si="6"/>
        <v>8.2053826291580201</v>
      </c>
      <c r="AG117">
        <f t="shared" si="7"/>
        <v>0.18280683153881389</v>
      </c>
      <c r="AH117">
        <f t="shared" si="8"/>
        <v>2.0475753264515895</v>
      </c>
    </row>
    <row r="118" spans="1:34" x14ac:dyDescent="0.35">
      <c r="A118" t="s">
        <v>117</v>
      </c>
      <c r="B118">
        <v>13045.16</v>
      </c>
      <c r="C118">
        <v>2119720</v>
      </c>
      <c r="D118" s="7">
        <v>2759404</v>
      </c>
      <c r="E118" s="3">
        <v>2788.58</v>
      </c>
      <c r="F118" s="6">
        <v>8216.064120904357</v>
      </c>
      <c r="G118" s="6">
        <v>2.1</v>
      </c>
      <c r="H118">
        <v>4.4562232903566597E-2</v>
      </c>
      <c r="I118" s="4">
        <v>4.6139500793650789</v>
      </c>
      <c r="J118">
        <v>3.1518949133185199</v>
      </c>
      <c r="K118">
        <v>-0.70296058497216796</v>
      </c>
      <c r="L118">
        <v>2.0045000000000002</v>
      </c>
      <c r="M118">
        <v>-0.7475228178757346</v>
      </c>
      <c r="N118" s="8">
        <v>0.57133500168862439</v>
      </c>
      <c r="O118">
        <v>0.77679079680589003</v>
      </c>
      <c r="P118">
        <v>1.17992609736069</v>
      </c>
      <c r="Q118" s="1">
        <v>12935.252</v>
      </c>
      <c r="R118">
        <f t="shared" si="5"/>
        <v>0.97574997864591928</v>
      </c>
      <c r="S118">
        <v>1.274594416</v>
      </c>
      <c r="T118">
        <v>0.765293942</v>
      </c>
      <c r="U118">
        <v>1.035957936</v>
      </c>
      <c r="V118">
        <v>12780829</v>
      </c>
      <c r="W118">
        <v>9.9389800710316099</v>
      </c>
      <c r="X118">
        <v>1.0724514889620602</v>
      </c>
      <c r="Y118">
        <f t="shared" si="9"/>
        <v>0.81680537323050761</v>
      </c>
      <c r="Z118">
        <v>0.46500000000000002</v>
      </c>
      <c r="AA118">
        <v>-6.3333329999999965E-3</v>
      </c>
      <c r="AB118">
        <v>1.9911430160560499</v>
      </c>
      <c r="AC118" s="4">
        <v>5.6766666666666667</v>
      </c>
      <c r="AD118">
        <v>-2.2841226413302107E-2</v>
      </c>
      <c r="AF118">
        <f t="shared" si="6"/>
        <v>5.1903099290199872</v>
      </c>
      <c r="AG118">
        <f t="shared" si="7"/>
        <v>0.4046001161238002</v>
      </c>
      <c r="AH118">
        <f t="shared" si="8"/>
        <v>1.7975886741496083</v>
      </c>
    </row>
    <row r="119" spans="1:34" x14ac:dyDescent="0.35">
      <c r="A119" t="s">
        <v>118</v>
      </c>
      <c r="B119">
        <v>13376.841</v>
      </c>
      <c r="C119">
        <v>2070752</v>
      </c>
      <c r="D119" s="7">
        <v>2758376</v>
      </c>
      <c r="E119" s="3">
        <v>2832.3130000000001</v>
      </c>
      <c r="F119" s="6">
        <v>8296.662933784015</v>
      </c>
      <c r="G119" s="6">
        <v>1.8</v>
      </c>
      <c r="H119">
        <v>3.11299510942664E-2</v>
      </c>
      <c r="I119" s="4">
        <v>4.3382011111111112</v>
      </c>
      <c r="J119">
        <v>3.1624296674157102</v>
      </c>
      <c r="K119">
        <v>-0.74953561003145996</v>
      </c>
      <c r="L119">
        <v>2.5911</v>
      </c>
      <c r="M119">
        <v>-0.78066556112572638</v>
      </c>
      <c r="N119" s="8">
        <v>0.233315596134028</v>
      </c>
      <c r="O119">
        <v>0.80708605189545102</v>
      </c>
      <c r="P119">
        <v>1.1582561177345001</v>
      </c>
      <c r="Q119" s="1">
        <v>13170.749</v>
      </c>
      <c r="R119">
        <f t="shared" si="5"/>
        <v>0.97714367893516274</v>
      </c>
      <c r="S119">
        <v>2.296517675</v>
      </c>
      <c r="T119">
        <v>-5.0407955999999997E-2</v>
      </c>
      <c r="U119">
        <v>-1.5727623930000001</v>
      </c>
      <c r="V119">
        <v>12896540</v>
      </c>
      <c r="W119">
        <v>9.3089493138392889</v>
      </c>
      <c r="X119">
        <v>1.0718613125042091</v>
      </c>
      <c r="Y119">
        <f t="shared" si="9"/>
        <v>0.54351631180704207</v>
      </c>
      <c r="Z119">
        <v>0.44900000000000001</v>
      </c>
      <c r="AA119">
        <v>1.1060606000000028E-2</v>
      </c>
      <c r="AB119">
        <v>-0.86524344022436495</v>
      </c>
      <c r="AC119" s="4">
        <v>6.2733333333333334</v>
      </c>
      <c r="AD119">
        <v>2.040704540874283E-2</v>
      </c>
      <c r="AF119">
        <f t="shared" si="6"/>
        <v>3.4546451310710324</v>
      </c>
      <c r="AG119">
        <f t="shared" si="7"/>
        <v>0.5210375977002164</v>
      </c>
      <c r="AH119">
        <f t="shared" si="8"/>
        <v>2.2200163391510763</v>
      </c>
    </row>
    <row r="120" spans="1:34" x14ac:dyDescent="0.35">
      <c r="A120" t="s">
        <v>119</v>
      </c>
      <c r="B120">
        <v>13645.269</v>
      </c>
      <c r="C120">
        <v>2124156</v>
      </c>
      <c r="D120" s="7">
        <v>2863242</v>
      </c>
      <c r="E120" s="3">
        <v>2840.4169999999999</v>
      </c>
      <c r="F120" s="6">
        <v>8394.1015304213397</v>
      </c>
      <c r="G120" s="6">
        <v>1.1000000000000001</v>
      </c>
      <c r="H120">
        <v>1.1975350856841E-2</v>
      </c>
      <c r="I120" s="4">
        <v>4.0582888888888888</v>
      </c>
      <c r="J120">
        <v>3.1605534496893499</v>
      </c>
      <c r="K120">
        <v>-0.77909008573484595</v>
      </c>
      <c r="L120">
        <v>2.9022000000000001</v>
      </c>
      <c r="M120">
        <v>-0.79106543659168693</v>
      </c>
      <c r="N120" s="8">
        <v>0.25095063160607728</v>
      </c>
      <c r="O120">
        <v>0.80365560919717705</v>
      </c>
      <c r="P120">
        <v>1.1189115424945799</v>
      </c>
      <c r="Q120" s="1">
        <v>13183.89</v>
      </c>
      <c r="R120">
        <f t="shared" si="5"/>
        <v>0.97771363608506101</v>
      </c>
      <c r="S120">
        <v>-3.1877009999999998E-3</v>
      </c>
      <c r="T120">
        <v>0.39305536299999999</v>
      </c>
      <c r="U120">
        <v>-5.6197249999999997E-2</v>
      </c>
      <c r="V120">
        <v>13147773</v>
      </c>
      <c r="W120">
        <v>8.3392817501521712</v>
      </c>
      <c r="X120">
        <v>1.0733199536794313</v>
      </c>
      <c r="Y120">
        <f t="shared" si="9"/>
        <v>0.19653398965245064</v>
      </c>
      <c r="Z120">
        <v>0.40600000000000003</v>
      </c>
      <c r="AA120">
        <v>-2.1850984000000018E-2</v>
      </c>
      <c r="AB120">
        <v>1.3948180756890101</v>
      </c>
      <c r="AC120" s="4">
        <v>6.52</v>
      </c>
      <c r="AD120">
        <v>6.2784642281006109E-2</v>
      </c>
      <c r="AF120">
        <f t="shared" si="6"/>
        <v>4.1570324814329762</v>
      </c>
      <c r="AG120">
        <f t="shared" si="7"/>
        <v>0.26461183666787652</v>
      </c>
      <c r="AH120">
        <f t="shared" si="8"/>
        <v>1.6925105038235522</v>
      </c>
    </row>
    <row r="121" spans="1:34" x14ac:dyDescent="0.35">
      <c r="A121" t="s">
        <v>120</v>
      </c>
      <c r="B121">
        <v>13884.285</v>
      </c>
      <c r="C121">
        <v>2095419</v>
      </c>
      <c r="D121" s="7">
        <v>2901039</v>
      </c>
      <c r="E121" s="3">
        <v>2854.8809999999999</v>
      </c>
      <c r="F121" s="6">
        <v>8476.562328374639</v>
      </c>
      <c r="G121" s="6">
        <v>0.4</v>
      </c>
      <c r="H121">
        <v>-2.8892402350377801E-2</v>
      </c>
      <c r="I121" s="4">
        <v>3.7546492089093699</v>
      </c>
      <c r="J121">
        <v>3.1317085191739</v>
      </c>
      <c r="K121">
        <v>-0.34950161769138299</v>
      </c>
      <c r="L121">
        <v>3.6057000000000001</v>
      </c>
      <c r="M121">
        <v>-0.32060921534100517</v>
      </c>
      <c r="N121" s="8">
        <v>5.7581527388681657E-2</v>
      </c>
      <c r="O121">
        <v>0.81177684026520802</v>
      </c>
      <c r="P121">
        <v>1.1297077170621901</v>
      </c>
      <c r="Q121" s="1">
        <v>13262.25</v>
      </c>
      <c r="R121">
        <f t="shared" si="5"/>
        <v>0.97832703072132465</v>
      </c>
      <c r="S121">
        <v>0.384376838</v>
      </c>
      <c r="T121">
        <v>-0.84351804699999999</v>
      </c>
      <c r="U121">
        <v>2.0419839849999999</v>
      </c>
      <c r="V121">
        <v>13449584</v>
      </c>
      <c r="W121">
        <v>7.8442237276138531</v>
      </c>
      <c r="X121">
        <v>1.0740676165185261</v>
      </c>
      <c r="Y121">
        <f t="shared" si="9"/>
        <v>0.31521444067541854</v>
      </c>
      <c r="Z121">
        <v>0.44500000000000001</v>
      </c>
      <c r="AA121">
        <v>1.2565816000000007E-2</v>
      </c>
      <c r="AB121">
        <v>1.54238529654856</v>
      </c>
      <c r="AC121" s="4">
        <v>6.4733333333333336</v>
      </c>
      <c r="AD121">
        <v>-9.5442172139028392E-2</v>
      </c>
      <c r="AF121">
        <f t="shared" si="6"/>
        <v>-1.7422528378220115</v>
      </c>
      <c r="AG121">
        <f t="shared" si="7"/>
        <v>-0.22958780225035513</v>
      </c>
      <c r="AH121">
        <f t="shared" si="8"/>
        <v>1.2422213990394226</v>
      </c>
    </row>
    <row r="122" spans="1:34" x14ac:dyDescent="0.35">
      <c r="A122" t="s">
        <v>121</v>
      </c>
      <c r="B122">
        <v>13988.699000000001</v>
      </c>
      <c r="C122">
        <v>2173790</v>
      </c>
      <c r="D122" s="7">
        <v>2925852</v>
      </c>
      <c r="E122" s="3">
        <v>2847.701</v>
      </c>
      <c r="F122" s="6">
        <v>8530.7894673221417</v>
      </c>
      <c r="G122" s="6">
        <v>-0.1</v>
      </c>
      <c r="H122">
        <v>-6.6684963283780693E-2</v>
      </c>
      <c r="I122" s="4">
        <v>3.2368166436251915</v>
      </c>
      <c r="J122">
        <v>3.1051919859153001</v>
      </c>
      <c r="K122">
        <v>5.9386826192597802E-2</v>
      </c>
      <c r="L122">
        <v>3.2012999999999998</v>
      </c>
      <c r="M122">
        <v>0.12607178947637848</v>
      </c>
      <c r="N122" s="8">
        <v>0.41982891756893703</v>
      </c>
      <c r="O122">
        <v>0.82552284662965003</v>
      </c>
      <c r="P122">
        <v>1.1149339094103901</v>
      </c>
      <c r="Q122" s="1">
        <v>13219.251</v>
      </c>
      <c r="R122">
        <f t="shared" si="5"/>
        <v>0.97846786463311108</v>
      </c>
      <c r="S122">
        <v>-2.1607316079999999</v>
      </c>
      <c r="T122">
        <v>7.2060083999999996E-2</v>
      </c>
      <c r="U122">
        <v>-0.25804039400000001</v>
      </c>
      <c r="V122">
        <v>13807383</v>
      </c>
      <c r="W122">
        <v>8.1889679749671629</v>
      </c>
      <c r="X122">
        <v>1.0749654164171856</v>
      </c>
      <c r="Y122">
        <f t="shared" si="9"/>
        <v>0.26717958676868442</v>
      </c>
      <c r="Z122">
        <v>0.39650000000000002</v>
      </c>
      <c r="AA122">
        <v>-1.9442104999999987E-2</v>
      </c>
      <c r="AB122">
        <v>2.3358814382295501</v>
      </c>
      <c r="AC122" s="4">
        <v>5.5933333333333337</v>
      </c>
      <c r="AD122">
        <v>0.10716690217621694</v>
      </c>
      <c r="AF122">
        <f t="shared" si="6"/>
        <v>-4.6702927403219796</v>
      </c>
      <c r="AG122">
        <f t="shared" si="7"/>
        <v>2.1411934017888951E-2</v>
      </c>
      <c r="AH122">
        <f t="shared" si="8"/>
        <v>0.94319549057724217</v>
      </c>
    </row>
    <row r="123" spans="1:34" x14ac:dyDescent="0.35">
      <c r="A123" t="s">
        <v>122</v>
      </c>
      <c r="B123">
        <v>14323.616</v>
      </c>
      <c r="C123">
        <v>2134355</v>
      </c>
      <c r="D123" s="7">
        <v>3009001</v>
      </c>
      <c r="E123" s="3">
        <v>2840.4270000000001</v>
      </c>
      <c r="F123" s="6">
        <v>8545.486233084217</v>
      </c>
      <c r="G123" s="6">
        <v>-1.4</v>
      </c>
      <c r="H123">
        <v>-0.104753430672211</v>
      </c>
      <c r="I123" s="4">
        <v>3.4731723809523807</v>
      </c>
      <c r="J123">
        <v>3.0882943034477699</v>
      </c>
      <c r="K123">
        <v>0.12710175082466499</v>
      </c>
      <c r="L123">
        <v>3.0325000000000002</v>
      </c>
      <c r="M123">
        <v>0.23185518149687601</v>
      </c>
      <c r="N123" s="8">
        <v>0.33944419443696933</v>
      </c>
      <c r="O123">
        <v>0.82222675497965303</v>
      </c>
      <c r="P123">
        <v>1.07838695071625</v>
      </c>
      <c r="Q123" s="1">
        <v>13301.394</v>
      </c>
      <c r="R123">
        <f t="shared" si="5"/>
        <v>0.9794948373943233</v>
      </c>
      <c r="S123">
        <v>-0.58658512500000004</v>
      </c>
      <c r="T123">
        <v>-1.461465566</v>
      </c>
      <c r="U123">
        <v>1.284683751</v>
      </c>
      <c r="V123">
        <v>14043824</v>
      </c>
      <c r="W123">
        <v>7.9391869054003505</v>
      </c>
      <c r="X123">
        <v>1.0750929665090971</v>
      </c>
      <c r="Y123">
        <f t="shared" si="9"/>
        <v>0.27504119945696776</v>
      </c>
      <c r="Z123">
        <v>0.41099999999999998</v>
      </c>
      <c r="AA123">
        <v>5.4787229999999632E-3</v>
      </c>
      <c r="AB123">
        <v>-1.0402368866807701</v>
      </c>
      <c r="AC123" s="4">
        <v>4.3266666666666671</v>
      </c>
      <c r="AD123">
        <v>-0.13104019029004521</v>
      </c>
      <c r="AF123">
        <f t="shared" si="6"/>
        <v>-7.4135363967940293</v>
      </c>
      <c r="AG123">
        <f t="shared" si="7"/>
        <v>0.18884374812072513</v>
      </c>
      <c r="AH123">
        <f t="shared" si="8"/>
        <v>0.42866845526381425</v>
      </c>
    </row>
    <row r="124" spans="1:34" x14ac:dyDescent="0.35">
      <c r="A124" t="s">
        <v>123</v>
      </c>
      <c r="B124">
        <v>14636.111000000001</v>
      </c>
      <c r="C124">
        <v>2189590</v>
      </c>
      <c r="D124" s="7">
        <v>3002759</v>
      </c>
      <c r="E124" s="3">
        <v>2804.819</v>
      </c>
      <c r="F124" s="6">
        <v>8536.4689594032134</v>
      </c>
      <c r="G124" s="6">
        <v>-2.6</v>
      </c>
      <c r="H124">
        <v>-0.13604033713560101</v>
      </c>
      <c r="I124" s="4">
        <v>3.1967869906323187</v>
      </c>
      <c r="J124">
        <v>3.04078219321234</v>
      </c>
      <c r="K124">
        <v>0.114856374093386</v>
      </c>
      <c r="L124">
        <v>3.0024000000000002</v>
      </c>
      <c r="M124">
        <v>0.25089671122898705</v>
      </c>
      <c r="N124" s="8">
        <v>5.6601782982541968E-2</v>
      </c>
      <c r="O124">
        <v>0.85835991654792798</v>
      </c>
      <c r="P124">
        <v>1.1224323321798699</v>
      </c>
      <c r="Q124" s="1">
        <v>13248.142</v>
      </c>
      <c r="R124">
        <f t="shared" si="5"/>
        <v>0.98032604698440962</v>
      </c>
      <c r="S124">
        <v>3.0713691089999999</v>
      </c>
      <c r="T124">
        <v>-3.2060923080000001</v>
      </c>
      <c r="U124">
        <v>3.3289678540000001</v>
      </c>
      <c r="V124">
        <v>14341969</v>
      </c>
      <c r="W124">
        <v>8.6581473609635147</v>
      </c>
      <c r="X124">
        <v>1.0751157307866281</v>
      </c>
      <c r="Y124">
        <f t="shared" si="9"/>
        <v>0.31823823515036687</v>
      </c>
      <c r="Z124">
        <v>0.40600000000000003</v>
      </c>
      <c r="AA124">
        <v>1.6370113999999991E-2</v>
      </c>
      <c r="AB124">
        <v>3.9110673523150901</v>
      </c>
      <c r="AC124" s="4">
        <v>3.4966666666666666</v>
      </c>
      <c r="AD124">
        <v>-0.13136694450688147</v>
      </c>
      <c r="AF124">
        <f t="shared" si="6"/>
        <v>-11.977125647700992</v>
      </c>
      <c r="AG124">
        <f t="shared" si="7"/>
        <v>0.21708046458534647</v>
      </c>
      <c r="AH124">
        <f t="shared" si="8"/>
        <v>0.21114036191658414</v>
      </c>
    </row>
    <row r="125" spans="1:34" x14ac:dyDescent="0.35">
      <c r="A125" t="s">
        <v>124</v>
      </c>
      <c r="B125">
        <v>14812.644</v>
      </c>
      <c r="C125">
        <v>2212839</v>
      </c>
      <c r="D125" s="7">
        <v>3091194</v>
      </c>
      <c r="E125" s="3">
        <v>2775.3670000000002</v>
      </c>
      <c r="F125" s="6">
        <v>8638.9537154632289</v>
      </c>
      <c r="G125" s="6">
        <v>-3.3</v>
      </c>
      <c r="H125">
        <v>-0.16580096947619299</v>
      </c>
      <c r="I125" s="4">
        <v>2.9572027265745007</v>
      </c>
      <c r="J125">
        <v>3.0558671875640702</v>
      </c>
      <c r="K125">
        <v>0.2079082558051</v>
      </c>
      <c r="L125">
        <v>3.004</v>
      </c>
      <c r="M125">
        <v>0.37370922528129302</v>
      </c>
      <c r="N125" s="8">
        <v>-0.29997461949294069</v>
      </c>
      <c r="O125">
        <v>0.86189693188836103</v>
      </c>
      <c r="P125">
        <v>1.0964113971680101</v>
      </c>
      <c r="Q125" s="1">
        <v>13284.880999999999</v>
      </c>
      <c r="R125">
        <f t="shared" si="5"/>
        <v>0.98046476748981859</v>
      </c>
      <c r="S125">
        <v>-3.6373318979999998</v>
      </c>
      <c r="T125">
        <v>3.687135364</v>
      </c>
      <c r="U125">
        <v>-2.5450284939999999</v>
      </c>
      <c r="V125">
        <v>14858236</v>
      </c>
      <c r="W125">
        <v>8.4215374826084677</v>
      </c>
      <c r="X125">
        <v>1.0744237546871565</v>
      </c>
      <c r="Y125">
        <f t="shared" si="9"/>
        <v>0.70035763287973285</v>
      </c>
      <c r="Z125">
        <v>0.42399999999999999</v>
      </c>
      <c r="AA125">
        <v>-8.7670265999999997E-2</v>
      </c>
      <c r="AB125">
        <v>-1.59890931457998</v>
      </c>
      <c r="AC125" s="4">
        <v>2.1333333333333333</v>
      </c>
      <c r="AD125">
        <v>0.11429167492742121</v>
      </c>
      <c r="AF125">
        <f t="shared" si="6"/>
        <v>-7.5841331609829865</v>
      </c>
      <c r="AG125">
        <f t="shared" si="7"/>
        <v>0.43511894239634946</v>
      </c>
      <c r="AH125">
        <f t="shared" si="8"/>
        <v>7.4045822886414925E-2</v>
      </c>
    </row>
    <row r="126" spans="1:34" x14ac:dyDescent="0.35">
      <c r="A126" t="s">
        <v>125</v>
      </c>
      <c r="B126">
        <v>14983.55</v>
      </c>
      <c r="C126">
        <v>2243149</v>
      </c>
      <c r="D126" s="7">
        <v>3255342</v>
      </c>
      <c r="E126" s="3">
        <v>2766.5940000000001</v>
      </c>
      <c r="F126" s="6">
        <v>8637.1028113202137</v>
      </c>
      <c r="G126" s="6">
        <v>-4.0999999999999996</v>
      </c>
      <c r="H126">
        <v>-0.182503543729062</v>
      </c>
      <c r="I126" s="4">
        <v>3.2721304761904761</v>
      </c>
      <c r="J126">
        <v>3.0535895818685099</v>
      </c>
      <c r="K126">
        <v>0.38381754059455497</v>
      </c>
      <c r="L126">
        <v>2.7704</v>
      </c>
      <c r="M126">
        <v>0.56632108432361694</v>
      </c>
      <c r="N126" s="8">
        <v>0.39468633195112168</v>
      </c>
      <c r="O126">
        <v>0.78965800230669303</v>
      </c>
      <c r="P126">
        <v>1.0547395086340301</v>
      </c>
      <c r="Q126" s="1">
        <v>13394.91</v>
      </c>
      <c r="R126">
        <f t="shared" si="5"/>
        <v>0.97972948112593361</v>
      </c>
      <c r="S126">
        <v>1.05467876</v>
      </c>
      <c r="T126">
        <v>2.4963258320000001</v>
      </c>
      <c r="U126">
        <v>1.0367595970000001</v>
      </c>
      <c r="V126">
        <v>14974185</v>
      </c>
      <c r="W126">
        <v>8.5527712167245031</v>
      </c>
      <c r="X126">
        <v>1.0771783359391423</v>
      </c>
      <c r="Y126">
        <f t="shared" si="9"/>
        <v>0.59369095371854397</v>
      </c>
      <c r="Z126">
        <v>0.435</v>
      </c>
      <c r="AA126">
        <v>7.1527311000000038E-2</v>
      </c>
      <c r="AB126">
        <v>6.4281994477339996E-2</v>
      </c>
      <c r="AC126" s="4">
        <v>1.7333333333333334</v>
      </c>
      <c r="AD126">
        <v>3.775225019133277E-2</v>
      </c>
      <c r="AF126">
        <f t="shared" si="6"/>
        <v>-5.1602404046790173</v>
      </c>
      <c r="AG126">
        <f t="shared" si="7"/>
        <v>0.79453662590648855</v>
      </c>
      <c r="AH126">
        <f t="shared" si="8"/>
        <v>0.57329511302910419</v>
      </c>
    </row>
    <row r="127" spans="1:34" x14ac:dyDescent="0.35">
      <c r="A127" t="s">
        <v>126</v>
      </c>
      <c r="B127">
        <v>15205.393</v>
      </c>
      <c r="C127">
        <v>2274213</v>
      </c>
      <c r="D127" s="7">
        <v>3267949</v>
      </c>
      <c r="E127" s="3">
        <v>2767.098</v>
      </c>
      <c r="F127" s="6">
        <v>8713.8542428563342</v>
      </c>
      <c r="G127" s="6">
        <v>-2.9</v>
      </c>
      <c r="H127">
        <v>-0.17844509696737201</v>
      </c>
      <c r="I127" s="4">
        <v>3.2926985119047623</v>
      </c>
      <c r="J127">
        <v>3.0103043604659798</v>
      </c>
      <c r="K127">
        <v>0.591368964229955</v>
      </c>
      <c r="L127">
        <v>2.7751999999999999</v>
      </c>
      <c r="M127">
        <v>0.76981406119732698</v>
      </c>
      <c r="N127" s="8">
        <v>0.2049671563150357</v>
      </c>
      <c r="O127">
        <v>0.74245972311669095</v>
      </c>
      <c r="P127">
        <v>1.0932867722980699</v>
      </c>
      <c r="Q127" s="1">
        <v>13477.356</v>
      </c>
      <c r="R127">
        <f t="shared" si="5"/>
        <v>0.9806961957139585</v>
      </c>
      <c r="S127">
        <v>0.57346645100000004</v>
      </c>
      <c r="T127">
        <v>2.3302913159999998</v>
      </c>
      <c r="U127">
        <v>2.6364372220000001</v>
      </c>
      <c r="V127">
        <v>15059230</v>
      </c>
      <c r="W127">
        <v>9.2531407310133513</v>
      </c>
      <c r="X127">
        <v>1.0779705179041046</v>
      </c>
      <c r="Y127">
        <f t="shared" si="9"/>
        <v>0.38575470787500904</v>
      </c>
      <c r="Z127">
        <v>0.41649999999999998</v>
      </c>
      <c r="AA127">
        <v>-9.4598738999999987E-2</v>
      </c>
      <c r="AB127">
        <v>4.8311781937735097</v>
      </c>
      <c r="AC127" s="4">
        <v>1.75</v>
      </c>
      <c r="AD127">
        <v>-1.0401487129039211E-3</v>
      </c>
      <c r="AF127">
        <f t="shared" si="6"/>
        <v>-7.7989942981790072</v>
      </c>
      <c r="AG127">
        <f t="shared" si="7"/>
        <v>0.37184281576883865</v>
      </c>
      <c r="AH127">
        <f t="shared" si="8"/>
        <v>0.57075423996639785</v>
      </c>
    </row>
    <row r="128" spans="1:34" x14ac:dyDescent="0.35">
      <c r="A128" t="s">
        <v>127</v>
      </c>
      <c r="B128">
        <v>15444.552</v>
      </c>
      <c r="C128">
        <v>2335681</v>
      </c>
      <c r="D128" s="7">
        <v>3274026</v>
      </c>
      <c r="E128" s="3">
        <v>2772.502</v>
      </c>
      <c r="F128" s="6">
        <v>8784.8583318065321</v>
      </c>
      <c r="G128" s="6">
        <v>-2.1</v>
      </c>
      <c r="H128">
        <v>-0.186486763463734</v>
      </c>
      <c r="I128" s="4">
        <v>2.4546827976190482</v>
      </c>
      <c r="J128">
        <v>2.9434864844978299</v>
      </c>
      <c r="K128">
        <v>1.1146049182486599</v>
      </c>
      <c r="L128">
        <v>3.8780000000000001</v>
      </c>
      <c r="M128">
        <v>1.3010916817123939</v>
      </c>
      <c r="N128" s="8">
        <v>0.20344738470694934</v>
      </c>
      <c r="O128">
        <v>0.73463521054403902</v>
      </c>
      <c r="P128">
        <v>1.1462534981222099</v>
      </c>
      <c r="Q128" s="1">
        <v>13531.741</v>
      </c>
      <c r="R128">
        <f t="shared" si="5"/>
        <v>0.98119872199006963</v>
      </c>
      <c r="S128">
        <v>-1.6894145270000001</v>
      </c>
      <c r="T128">
        <v>0.71755078000000005</v>
      </c>
      <c r="U128">
        <v>0.83100891499999996</v>
      </c>
      <c r="V128">
        <v>15335577</v>
      </c>
      <c r="W128">
        <v>10.185736575405283</v>
      </c>
      <c r="X128">
        <v>1.0785085790443707</v>
      </c>
      <c r="Y128">
        <f t="shared" si="9"/>
        <v>0.29285375786475376</v>
      </c>
      <c r="Z128">
        <v>0.42699999999999999</v>
      </c>
      <c r="AA128">
        <v>1.9678570999999978E-2</v>
      </c>
      <c r="AB128">
        <v>3.4080537472621</v>
      </c>
      <c r="AC128" s="4">
        <v>1.74</v>
      </c>
      <c r="AD128">
        <v>-5.161905670395428E-3</v>
      </c>
      <c r="AF128">
        <f t="shared" si="6"/>
        <v>-9.7295708714510099</v>
      </c>
      <c r="AG128">
        <f t="shared" si="7"/>
        <v>0.21583685732347399</v>
      </c>
      <c r="AH128">
        <f t="shared" si="8"/>
        <v>0.91987022753317049</v>
      </c>
    </row>
    <row r="129" spans="1:34" x14ac:dyDescent="0.35">
      <c r="A129" t="s">
        <v>128</v>
      </c>
      <c r="B129">
        <v>15743.017</v>
      </c>
      <c r="C129">
        <v>2424515</v>
      </c>
      <c r="D129" s="7">
        <v>3416782</v>
      </c>
      <c r="E129" s="3">
        <v>2771.0430000000001</v>
      </c>
      <c r="F129" s="6">
        <v>8833.2779390235482</v>
      </c>
      <c r="G129" s="6">
        <v>-0.8</v>
      </c>
      <c r="H129">
        <v>-0.197479306613457</v>
      </c>
      <c r="I129" s="4">
        <v>2.1950470430107529</v>
      </c>
      <c r="J129">
        <v>2.9564273111555401</v>
      </c>
      <c r="K129">
        <v>1.07245571131964</v>
      </c>
      <c r="L129">
        <v>3.7660999999999998</v>
      </c>
      <c r="M129">
        <v>1.269935017933097</v>
      </c>
      <c r="N129" s="8">
        <v>-1.8294311901254998E-2</v>
      </c>
      <c r="O129">
        <v>0.74521475476933097</v>
      </c>
      <c r="P129">
        <v>1.0734394833726499</v>
      </c>
      <c r="Q129" s="1">
        <v>13549.421</v>
      </c>
      <c r="R129">
        <f t="shared" si="5"/>
        <v>0.98169777777473632</v>
      </c>
      <c r="S129">
        <v>-0.27951799399999999</v>
      </c>
      <c r="T129">
        <v>-1.6395007619999999</v>
      </c>
      <c r="U129">
        <v>-1.785563225</v>
      </c>
      <c r="V129">
        <v>15500589</v>
      </c>
      <c r="W129">
        <v>9.6307709475832173</v>
      </c>
      <c r="X129">
        <v>1.0800129002981509</v>
      </c>
      <c r="Y129">
        <f t="shared" si="9"/>
        <v>0.24970351508034402</v>
      </c>
      <c r="Z129">
        <v>0.46550000000000002</v>
      </c>
      <c r="AA129">
        <v>0.12203571500000004</v>
      </c>
      <c r="AB129">
        <v>-0.92155537784984098</v>
      </c>
      <c r="AC129" s="4">
        <v>1.4433333333333334</v>
      </c>
      <c r="AD129">
        <v>2.5982415417496796E-2</v>
      </c>
      <c r="AF129">
        <f t="shared" si="6"/>
        <v>-9.9439876408530026</v>
      </c>
      <c r="AG129">
        <f t="shared" si="7"/>
        <v>8.0450622918450801E-2</v>
      </c>
      <c r="AH129">
        <f t="shared" si="8"/>
        <v>0.85630685895559111</v>
      </c>
    </row>
    <row r="130" spans="1:34" x14ac:dyDescent="0.35">
      <c r="A130" t="s">
        <v>129</v>
      </c>
      <c r="B130">
        <v>15936.785</v>
      </c>
      <c r="C130">
        <v>2335871</v>
      </c>
      <c r="D130" s="7">
        <v>3522944</v>
      </c>
      <c r="E130" s="3">
        <v>2791.3429999999998</v>
      </c>
      <c r="F130" s="6">
        <v>8905.4652584237192</v>
      </c>
      <c r="G130" s="6">
        <v>-0.5</v>
      </c>
      <c r="H130">
        <v>-0.189360108145575</v>
      </c>
      <c r="I130" s="4">
        <v>2.1176276190476191</v>
      </c>
      <c r="J130">
        <v>2.93422170914664</v>
      </c>
      <c r="K130">
        <v>1.4285116786598699</v>
      </c>
      <c r="L130">
        <v>3.2374999999999998</v>
      </c>
      <c r="M130">
        <v>1.6178717868054449</v>
      </c>
      <c r="N130" s="8">
        <v>0.60449957103125396</v>
      </c>
      <c r="O130">
        <v>0.78105921668315703</v>
      </c>
      <c r="P130">
        <v>0.99542156483316402</v>
      </c>
      <c r="Q130" s="1">
        <v>13619.433999999999</v>
      </c>
      <c r="R130">
        <f t="shared" ref="R130:R164" si="10">R131/(1+N130/400)</f>
        <v>0.98165287906138787</v>
      </c>
      <c r="S130">
        <v>1.2854469989999999</v>
      </c>
      <c r="T130">
        <v>-1.2101709709999999</v>
      </c>
      <c r="U130">
        <v>-0.88886669100000004</v>
      </c>
      <c r="V130">
        <v>15894673</v>
      </c>
      <c r="W130">
        <v>10.144661768862811</v>
      </c>
      <c r="X130">
        <v>1.0811227736130664</v>
      </c>
      <c r="Y130">
        <f t="shared" si="9"/>
        <v>0.44080759117294338</v>
      </c>
      <c r="Z130">
        <v>0.47799999999999998</v>
      </c>
      <c r="AA130">
        <v>-4.5685550000000852E-3</v>
      </c>
      <c r="AB130">
        <v>1.04722464630406</v>
      </c>
      <c r="AC130" s="4">
        <v>1.25</v>
      </c>
      <c r="AD130">
        <v>-4.5531713481001823E-3</v>
      </c>
      <c r="AF130">
        <f t="shared" si="6"/>
        <v>-11.936787272186988</v>
      </c>
      <c r="AG130">
        <f t="shared" si="7"/>
        <v>4.1887317634034783E-2</v>
      </c>
      <c r="AH130">
        <f t="shared" si="8"/>
        <v>0.72192594857449777</v>
      </c>
    </row>
    <row r="131" spans="1:34" x14ac:dyDescent="0.35">
      <c r="A131" t="s">
        <v>130</v>
      </c>
      <c r="B131">
        <v>16358.938</v>
      </c>
      <c r="C131">
        <v>2382396</v>
      </c>
      <c r="D131" s="7">
        <v>3647498</v>
      </c>
      <c r="E131" s="3">
        <v>2845.7719999999999</v>
      </c>
      <c r="F131" s="6">
        <v>8977.0148237444482</v>
      </c>
      <c r="G131" s="6">
        <v>-1.1000000000000001</v>
      </c>
      <c r="H131">
        <v>-0.19793814535673501</v>
      </c>
      <c r="I131" s="4">
        <v>1.8233430158730162</v>
      </c>
      <c r="J131">
        <v>2.9780417242521402</v>
      </c>
      <c r="K131">
        <v>1.27242330859843</v>
      </c>
      <c r="L131">
        <v>2.5516000000000001</v>
      </c>
      <c r="M131">
        <v>1.470361453955165</v>
      </c>
      <c r="N131" s="8">
        <v>-9.046144422544232E-2</v>
      </c>
      <c r="O131">
        <v>0.78595411434365403</v>
      </c>
      <c r="P131">
        <v>0.97265171606600198</v>
      </c>
      <c r="Q131" s="1">
        <v>13741.107</v>
      </c>
      <c r="R131">
        <f t="shared" si="10"/>
        <v>0.9831364009221234</v>
      </c>
      <c r="S131">
        <v>-1.614398435</v>
      </c>
      <c r="T131">
        <v>-5.2889815E-2</v>
      </c>
      <c r="U131">
        <v>-0.79345316899999996</v>
      </c>
      <c r="V131">
        <v>16651698</v>
      </c>
      <c r="W131">
        <v>9.5371665092885696</v>
      </c>
      <c r="X131">
        <v>1.080177418711703</v>
      </c>
      <c r="Y131">
        <f t="shared" si="9"/>
        <v>0.29750761356120559</v>
      </c>
      <c r="Z131">
        <v>0.48199999999999998</v>
      </c>
      <c r="AA131">
        <v>1.0402298000000032E-2</v>
      </c>
      <c r="AB131">
        <v>-1.4091170701742199</v>
      </c>
      <c r="AC131" s="4">
        <v>1.2466666666666666</v>
      </c>
      <c r="AD131">
        <v>7.1939186209778017E-2</v>
      </c>
      <c r="AF131">
        <f t="shared" si="6"/>
        <v>-3.2262636213839624</v>
      </c>
      <c r="AG131">
        <f t="shared" si="7"/>
        <v>0.34095167943161936</v>
      </c>
      <c r="AH131">
        <f t="shared" si="8"/>
        <v>0.84170211476122248</v>
      </c>
    </row>
    <row r="132" spans="1:34" x14ac:dyDescent="0.35">
      <c r="A132" t="s">
        <v>131</v>
      </c>
      <c r="B132">
        <v>16655.958999999999</v>
      </c>
      <c r="C132">
        <v>2391132</v>
      </c>
      <c r="D132" s="7">
        <v>3749329</v>
      </c>
      <c r="E132" s="3">
        <v>2931.913</v>
      </c>
      <c r="F132" s="6">
        <v>9127.6858812095106</v>
      </c>
      <c r="G132" s="6">
        <v>-0.5</v>
      </c>
      <c r="H132">
        <v>-0.19883589943237001</v>
      </c>
      <c r="I132" s="4">
        <v>2.430196488095238</v>
      </c>
      <c r="J132">
        <v>3.00676443679161</v>
      </c>
      <c r="K132">
        <v>1.2412621879138499</v>
      </c>
      <c r="L132">
        <v>2.2864</v>
      </c>
      <c r="M132">
        <v>1.4400980873462199</v>
      </c>
      <c r="N132" s="8">
        <v>0.27151396714272069</v>
      </c>
      <c r="O132">
        <v>0.76478987525003905</v>
      </c>
      <c r="P132">
        <v>0.90903424110457798</v>
      </c>
      <c r="Q132" s="1">
        <v>13970.156999999999</v>
      </c>
      <c r="R132">
        <f t="shared" si="10"/>
        <v>0.98291406107537838</v>
      </c>
      <c r="S132">
        <v>0.83270075700000001</v>
      </c>
      <c r="T132">
        <v>-0.20867239900000001</v>
      </c>
      <c r="U132">
        <v>-0.68924224899999997</v>
      </c>
      <c r="V132">
        <v>16618842</v>
      </c>
      <c r="W132">
        <v>9.5534818667044767</v>
      </c>
      <c r="X132">
        <v>1.0812411175378678</v>
      </c>
      <c r="Y132">
        <f t="shared" si="9"/>
        <v>0.25459455637886153</v>
      </c>
      <c r="Z132">
        <v>0.48699999999999999</v>
      </c>
      <c r="AA132">
        <v>-1.724130000000379E-4</v>
      </c>
      <c r="AB132">
        <v>-0.57746607538991901</v>
      </c>
      <c r="AC132" s="4">
        <v>1.0166666666666666</v>
      </c>
      <c r="AD132">
        <v>8.6713166837723454E-2</v>
      </c>
      <c r="AF132">
        <f t="shared" si="6"/>
        <v>6.3277952293780082</v>
      </c>
      <c r="AG132">
        <f t="shared" si="7"/>
        <v>-7.9016463377110199E-2</v>
      </c>
      <c r="AH132">
        <f t="shared" si="8"/>
        <v>1.3847610128331134</v>
      </c>
    </row>
    <row r="133" spans="1:34" x14ac:dyDescent="0.35">
      <c r="A133" t="s">
        <v>132</v>
      </c>
      <c r="B133">
        <v>16926.967000000001</v>
      </c>
      <c r="C133">
        <v>2422781</v>
      </c>
      <c r="D133" s="7">
        <v>3937590</v>
      </c>
      <c r="E133" s="3">
        <v>2977.5390000000002</v>
      </c>
      <c r="F133" s="6">
        <v>9200.9517484268763</v>
      </c>
      <c r="G133" s="6">
        <v>-0.2</v>
      </c>
      <c r="H133">
        <v>-0.204067936364938</v>
      </c>
      <c r="I133" s="4">
        <v>2.4870948617511521</v>
      </c>
      <c r="J133">
        <v>3.0274144873381599</v>
      </c>
      <c r="K133">
        <v>1.26325535166971</v>
      </c>
      <c r="L133">
        <v>1.8816999999999999</v>
      </c>
      <c r="M133">
        <v>1.4673232880346481</v>
      </c>
      <c r="N133" s="8">
        <v>-0.16222090499074998</v>
      </c>
      <c r="O133">
        <v>0.73895487758858502</v>
      </c>
      <c r="P133">
        <v>0.86874326548016101</v>
      </c>
      <c r="Q133" s="1">
        <v>14131.379000000001</v>
      </c>
      <c r="R133">
        <f t="shared" si="10"/>
        <v>0.9835812483155858</v>
      </c>
      <c r="S133">
        <v>-1.6390452129999999</v>
      </c>
      <c r="T133">
        <v>1.057135398</v>
      </c>
      <c r="U133">
        <v>-0.83754119000000005</v>
      </c>
      <c r="V133">
        <v>16751498</v>
      </c>
      <c r="W133">
        <v>8.8984299876244553</v>
      </c>
      <c r="X133">
        <v>1.0831271931619013</v>
      </c>
      <c r="Y133">
        <f t="shared" si="9"/>
        <v>0.19277722867767727</v>
      </c>
      <c r="Z133">
        <v>0.47399999999999998</v>
      </c>
      <c r="AA133">
        <v>1.9275862000000088E-2</v>
      </c>
      <c r="AB133">
        <v>-1.3167359962321401</v>
      </c>
      <c r="AC133" s="4">
        <v>0.9966666666666667</v>
      </c>
      <c r="AD133">
        <v>-0.28724462698938424</v>
      </c>
      <c r="AF133">
        <f t="shared" si="6"/>
        <v>7.0987176182619738</v>
      </c>
      <c r="AG133">
        <f t="shared" si="7"/>
        <v>-2.8174102810553457E-2</v>
      </c>
      <c r="AH133">
        <f t="shared" si="8"/>
        <v>1.8263807078888306</v>
      </c>
    </row>
    <row r="134" spans="1:34" x14ac:dyDescent="0.35">
      <c r="A134" t="s">
        <v>133</v>
      </c>
      <c r="B134">
        <v>17252.712</v>
      </c>
      <c r="C134">
        <v>2404481</v>
      </c>
      <c r="D134" s="7">
        <v>4136348</v>
      </c>
      <c r="E134" s="3">
        <v>2970.2640000000001</v>
      </c>
      <c r="F134" s="6">
        <v>9320.907876251953</v>
      </c>
      <c r="G134" s="6">
        <v>0.8</v>
      </c>
      <c r="H134">
        <v>-0.20394077498442401</v>
      </c>
      <c r="I134" s="4">
        <v>2.2089911904761905</v>
      </c>
      <c r="J134">
        <v>3.0543291527679002</v>
      </c>
      <c r="K134">
        <v>1.1784982735296901</v>
      </c>
      <c r="L134">
        <v>1.7768999999999999</v>
      </c>
      <c r="M134">
        <v>1.382439048514114</v>
      </c>
      <c r="N134" s="8">
        <v>0.55758645158432174</v>
      </c>
      <c r="O134">
        <v>0.724453469940741</v>
      </c>
      <c r="P134">
        <v>0.82089809787779999</v>
      </c>
      <c r="Q134" s="1">
        <v>14212.34</v>
      </c>
      <c r="R134">
        <f t="shared" si="10"/>
        <v>0.98318235471500159</v>
      </c>
      <c r="S134">
        <v>-1.0281483170000001</v>
      </c>
      <c r="T134">
        <v>-1.2018274739999999</v>
      </c>
      <c r="U134">
        <v>-0.23051722399999999</v>
      </c>
      <c r="V134">
        <v>17323069</v>
      </c>
      <c r="W134">
        <v>9.0136155383547027</v>
      </c>
      <c r="X134">
        <v>1.0850505460203075</v>
      </c>
      <c r="Y134">
        <f t="shared" si="9"/>
        <v>0.16809978740232775</v>
      </c>
      <c r="Z134">
        <v>0.47799999999999998</v>
      </c>
      <c r="AA134">
        <v>-1.5068966000000072E-2</v>
      </c>
      <c r="AB134">
        <v>-0.77501288804388402</v>
      </c>
      <c r="AC134" s="4">
        <v>1.0033333333333334</v>
      </c>
      <c r="AD134">
        <v>0.2235781689366485</v>
      </c>
      <c r="AF134">
        <f t="shared" si="6"/>
        <v>12.010744362126013</v>
      </c>
      <c r="AG134">
        <f t="shared" si="7"/>
        <v>6.660702916321104E-2</v>
      </c>
      <c r="AH134">
        <f t="shared" si="8"/>
        <v>1.850652908502326</v>
      </c>
    </row>
    <row r="135" spans="1:34" x14ac:dyDescent="0.35">
      <c r="A135" t="s">
        <v>134</v>
      </c>
      <c r="B135">
        <v>17649.019</v>
      </c>
      <c r="C135">
        <v>2342268</v>
      </c>
      <c r="D135" s="7">
        <v>4281357</v>
      </c>
      <c r="E135" s="3">
        <v>3039.9859999999999</v>
      </c>
      <c r="F135" s="6">
        <v>9391.4052422063269</v>
      </c>
      <c r="G135" s="6">
        <v>1.1000000000000001</v>
      </c>
      <c r="H135">
        <v>-0.20329516440342801</v>
      </c>
      <c r="I135" s="4">
        <v>2.7990070122887865</v>
      </c>
      <c r="J135">
        <v>3.04867272228433</v>
      </c>
      <c r="K135">
        <v>1.3228708252510899</v>
      </c>
      <c r="L135">
        <v>1.7346999999999999</v>
      </c>
      <c r="M135">
        <v>1.5261659896545179</v>
      </c>
      <c r="N135" s="8">
        <v>0.40752319285991534</v>
      </c>
      <c r="O135">
        <v>0.73754885382134305</v>
      </c>
      <c r="P135">
        <v>0.82144189052148597</v>
      </c>
      <c r="Q135" s="1">
        <v>14323.017</v>
      </c>
      <c r="R135">
        <f t="shared" si="10"/>
        <v>0.98455287761606625</v>
      </c>
      <c r="S135">
        <v>-0.39201555399999999</v>
      </c>
      <c r="T135">
        <v>-0.88251684900000005</v>
      </c>
      <c r="U135">
        <v>0.41778123</v>
      </c>
      <c r="V135">
        <v>17651697</v>
      </c>
      <c r="W135">
        <v>9.2950238576261395</v>
      </c>
      <c r="X135">
        <v>1.0864950521117014</v>
      </c>
      <c r="Y135">
        <f t="shared" si="9"/>
        <v>0.21576521221923523</v>
      </c>
      <c r="Z135">
        <v>0.47399999999999998</v>
      </c>
      <c r="AA135">
        <v>5.5172400000003119E-4</v>
      </c>
      <c r="AB135">
        <v>-0.52283161548210999</v>
      </c>
      <c r="AC135" s="4">
        <v>1.01</v>
      </c>
      <c r="AD135">
        <v>0.10156429781426168</v>
      </c>
      <c r="AF135">
        <f t="shared" ref="AF135:AF198" si="11">(J135-J131)*100</f>
        <v>7.0630998032189751</v>
      </c>
      <c r="AG135">
        <f t="shared" ref="AG135:AG198" si="12">G135/AF135</f>
        <v>0.15573898580601681</v>
      </c>
      <c r="AH135">
        <f t="shared" ref="AH135:AH198" si="13">(LOG(Q135)-LOG(Q131))*100</f>
        <v>1.80127859730419</v>
      </c>
    </row>
    <row r="136" spans="1:34" x14ac:dyDescent="0.35">
      <c r="A136" t="s">
        <v>135</v>
      </c>
      <c r="B136">
        <v>18027.036</v>
      </c>
      <c r="C136">
        <v>2432639</v>
      </c>
      <c r="D136" s="7">
        <v>4483537</v>
      </c>
      <c r="E136" s="3">
        <v>3091.5790000000002</v>
      </c>
      <c r="F136" s="6">
        <v>9499.9444537053678</v>
      </c>
      <c r="G136" s="6">
        <v>1.6</v>
      </c>
      <c r="H136">
        <v>-0.20086721089194201</v>
      </c>
      <c r="I136" s="4">
        <v>2.5157133928571431</v>
      </c>
      <c r="J136">
        <v>3.0444828245345299</v>
      </c>
      <c r="K136">
        <v>1.4302513005775901</v>
      </c>
      <c r="L136">
        <v>1.6914</v>
      </c>
      <c r="M136">
        <v>1.6311185114695321</v>
      </c>
      <c r="N136" s="8">
        <v>3.5245222020691233E-2</v>
      </c>
      <c r="O136">
        <v>0.73449786980367804</v>
      </c>
      <c r="P136">
        <v>0.82952424617416798</v>
      </c>
      <c r="Q136" s="1">
        <v>14457.832</v>
      </c>
      <c r="R136">
        <f t="shared" si="10"/>
        <v>0.98555594794663004</v>
      </c>
      <c r="S136">
        <v>-0.60181738600000001</v>
      </c>
      <c r="T136">
        <v>0.99512931199999999</v>
      </c>
      <c r="U136">
        <v>-0.46036522699999999</v>
      </c>
      <c r="V136">
        <v>18103812</v>
      </c>
      <c r="W136">
        <v>9.3643283694102255</v>
      </c>
      <c r="X136">
        <v>1.0889722579506231</v>
      </c>
      <c r="Y136">
        <f t="shared" si="9"/>
        <v>0.22110963873275161</v>
      </c>
      <c r="Z136">
        <v>0.46500000000000002</v>
      </c>
      <c r="AA136">
        <v>-3.4482000000002344E-5</v>
      </c>
      <c r="AB136">
        <v>-0.73637069271950695</v>
      </c>
      <c r="AC136" s="4">
        <v>1.4333333333333333</v>
      </c>
      <c r="AD136">
        <v>-0.45959135265125739</v>
      </c>
      <c r="AF136">
        <f t="shared" si="11"/>
        <v>3.7718387742919912</v>
      </c>
      <c r="AG136">
        <f t="shared" si="12"/>
        <v>0.42419628614702248</v>
      </c>
      <c r="AH136">
        <f t="shared" si="13"/>
        <v>1.4901887090692512</v>
      </c>
    </row>
    <row r="137" spans="1:34" x14ac:dyDescent="0.35">
      <c r="A137" t="s">
        <v>136</v>
      </c>
      <c r="B137">
        <v>18520.045999999998</v>
      </c>
      <c r="C137">
        <v>2455558</v>
      </c>
      <c r="D137" s="7">
        <v>4679033</v>
      </c>
      <c r="E137" s="3">
        <v>3136.7049999999999</v>
      </c>
      <c r="F137" s="6">
        <v>9642.7565573363354</v>
      </c>
      <c r="G137" s="6">
        <v>1.7</v>
      </c>
      <c r="H137">
        <v>-0.17731717834584801</v>
      </c>
      <c r="I137" s="4">
        <v>2.4036993087557601</v>
      </c>
      <c r="J137">
        <v>3.0733437306931402</v>
      </c>
      <c r="K137">
        <v>1.42261677312017</v>
      </c>
      <c r="L137">
        <v>1.554</v>
      </c>
      <c r="M137">
        <v>1.599933951466018</v>
      </c>
      <c r="N137" s="8">
        <v>7.0828081296170867E-2</v>
      </c>
      <c r="O137">
        <v>0.75650587202483399</v>
      </c>
      <c r="P137">
        <v>0.83510101297968797</v>
      </c>
      <c r="Q137" s="1">
        <v>14605.594999999999</v>
      </c>
      <c r="R137">
        <f t="shared" si="10"/>
        <v>0.98564278829212792</v>
      </c>
      <c r="S137">
        <v>2.330880208</v>
      </c>
      <c r="T137">
        <v>-1.2895746050000001</v>
      </c>
      <c r="U137">
        <v>-1.631804649</v>
      </c>
      <c r="V137">
        <v>18497040</v>
      </c>
      <c r="W137">
        <v>8.9820213847974824</v>
      </c>
      <c r="X137">
        <v>1.0895870982928197</v>
      </c>
      <c r="Y137">
        <f t="shared" si="9"/>
        <v>0.22828967263841704</v>
      </c>
      <c r="Z137">
        <v>0.46899999999999997</v>
      </c>
      <c r="AA137">
        <v>-0.18913793099999998</v>
      </c>
      <c r="AB137">
        <v>-1.3836903044291</v>
      </c>
      <c r="AC137" s="4">
        <v>1.95</v>
      </c>
      <c r="AD137">
        <v>0.21062726530168563</v>
      </c>
      <c r="AF137">
        <f t="shared" si="11"/>
        <v>4.5929243354980276</v>
      </c>
      <c r="AG137">
        <f t="shared" si="12"/>
        <v>0.37013455389651279</v>
      </c>
      <c r="AH137">
        <f t="shared" si="13"/>
        <v>1.4334709660240641</v>
      </c>
    </row>
    <row r="138" spans="1:34" x14ac:dyDescent="0.35">
      <c r="A138" t="s">
        <v>137</v>
      </c>
      <c r="B138">
        <v>18848.522000000001</v>
      </c>
      <c r="C138">
        <v>2510320</v>
      </c>
      <c r="D138" s="7">
        <v>4822027</v>
      </c>
      <c r="E138" s="3">
        <v>3182.8890000000001</v>
      </c>
      <c r="F138" s="6">
        <v>9710.935725083511</v>
      </c>
      <c r="G138" s="6">
        <v>1.5</v>
      </c>
      <c r="H138">
        <v>-0.16084518048687901</v>
      </c>
      <c r="I138" s="4">
        <v>2.548944890710382</v>
      </c>
      <c r="J138">
        <v>3.0762598405564998</v>
      </c>
      <c r="K138">
        <v>1.4266276722723701</v>
      </c>
      <c r="L138">
        <v>1.5919000000000001</v>
      </c>
      <c r="M138">
        <v>1.587472852759249</v>
      </c>
      <c r="N138" s="8">
        <v>0.52302710480019132</v>
      </c>
      <c r="O138">
        <v>0.76869239723369798</v>
      </c>
      <c r="P138">
        <v>0.82520634690498496</v>
      </c>
      <c r="Q138" s="1">
        <v>14767.846</v>
      </c>
      <c r="R138">
        <f t="shared" si="10"/>
        <v>0.98581731626097324</v>
      </c>
      <c r="S138">
        <v>-0.33342692299999999</v>
      </c>
      <c r="T138">
        <v>1.101377611</v>
      </c>
      <c r="U138">
        <v>-0.15048141300000001</v>
      </c>
      <c r="V138">
        <v>18916315</v>
      </c>
      <c r="W138">
        <v>9.5848097586252656</v>
      </c>
      <c r="X138">
        <v>1.0910026030146718</v>
      </c>
      <c r="Y138">
        <f t="shared" si="9"/>
        <v>0.11300424825487555</v>
      </c>
      <c r="Z138">
        <v>0.46200000000000002</v>
      </c>
      <c r="AA138">
        <v>0.17041379299999992</v>
      </c>
      <c r="AB138">
        <v>-0.95462006101755403</v>
      </c>
      <c r="AC138" s="4">
        <v>2.4700000000000002</v>
      </c>
      <c r="AD138">
        <v>0.15856197234719294</v>
      </c>
      <c r="AF138">
        <f t="shared" si="11"/>
        <v>2.1930687788599634</v>
      </c>
      <c r="AG138">
        <f t="shared" si="12"/>
        <v>0.6839730766582498</v>
      </c>
      <c r="AH138">
        <f t="shared" si="13"/>
        <v>1.6651566342916091</v>
      </c>
    </row>
    <row r="139" spans="1:34" x14ac:dyDescent="0.35">
      <c r="A139" t="s">
        <v>138</v>
      </c>
      <c r="B139">
        <v>19346.539000000001</v>
      </c>
      <c r="C139">
        <v>2467794</v>
      </c>
      <c r="D139" s="7">
        <v>4945802</v>
      </c>
      <c r="E139" s="3">
        <v>3230.0790000000002</v>
      </c>
      <c r="F139" s="6">
        <v>9826.5282306413501</v>
      </c>
      <c r="G139" s="6">
        <v>2</v>
      </c>
      <c r="H139">
        <v>-0.176938984885744</v>
      </c>
      <c r="I139" s="4">
        <v>2.4272997023809522</v>
      </c>
      <c r="J139">
        <v>3.07612829260975</v>
      </c>
      <c r="K139">
        <v>1.48076903686325</v>
      </c>
      <c r="L139">
        <v>1.9970000000000001</v>
      </c>
      <c r="M139">
        <v>1.6577080217489941</v>
      </c>
      <c r="N139" s="8">
        <v>0.20706505093577313</v>
      </c>
      <c r="O139">
        <v>0.77216402336853596</v>
      </c>
      <c r="P139">
        <v>0.82140675881406799</v>
      </c>
      <c r="Q139" s="1">
        <v>14839.707</v>
      </c>
      <c r="R139">
        <f t="shared" si="10"/>
        <v>0.98710633920293789</v>
      </c>
      <c r="S139">
        <v>0.22155125000000001</v>
      </c>
      <c r="T139">
        <v>-0.95245603099999998</v>
      </c>
      <c r="U139">
        <v>-1.601898815</v>
      </c>
      <c r="V139">
        <v>19172967</v>
      </c>
      <c r="W139">
        <v>9.4230298371483894</v>
      </c>
      <c r="X139">
        <v>1.0915228803037098</v>
      </c>
      <c r="Y139">
        <f t="shared" si="9"/>
        <v>7.549427818557311E-2</v>
      </c>
      <c r="Z139">
        <v>0.45200000000000001</v>
      </c>
      <c r="AA139">
        <v>-4.7994122999999944E-2</v>
      </c>
      <c r="AB139">
        <v>-1.8719707103301</v>
      </c>
      <c r="AC139" s="4">
        <v>2.9433333333333334</v>
      </c>
      <c r="AD139">
        <v>-9.7087910480384898E-2</v>
      </c>
      <c r="AF139">
        <f t="shared" si="11"/>
        <v>2.7455570325420009</v>
      </c>
      <c r="AG139">
        <f t="shared" si="12"/>
        <v>0.72844962836130944</v>
      </c>
      <c r="AH139">
        <f t="shared" si="13"/>
        <v>1.5390818787817118</v>
      </c>
    </row>
    <row r="140" spans="1:34" x14ac:dyDescent="0.35">
      <c r="A140" t="s">
        <v>139</v>
      </c>
      <c r="B140">
        <v>19823.231</v>
      </c>
      <c r="C140">
        <v>2487321</v>
      </c>
      <c r="D140" s="7">
        <v>5004500</v>
      </c>
      <c r="E140" s="3">
        <v>3276.7339999999999</v>
      </c>
      <c r="F140" s="6">
        <v>9962.1914416250202</v>
      </c>
      <c r="G140" s="6">
        <v>1.6</v>
      </c>
      <c r="H140">
        <v>-0.168114155332999</v>
      </c>
      <c r="I140" s="4">
        <v>2.5071048214285714</v>
      </c>
      <c r="J140">
        <v>3.0842003397735298</v>
      </c>
      <c r="K140">
        <v>1.3007272389095901</v>
      </c>
      <c r="L140">
        <v>1.6838</v>
      </c>
      <c r="M140">
        <v>1.4688413942425891</v>
      </c>
      <c r="N140" s="8">
        <v>0.73216386304244663</v>
      </c>
      <c r="O140">
        <v>0.83002223813561204</v>
      </c>
      <c r="P140">
        <v>0.79765321159288005</v>
      </c>
      <c r="Q140" s="1">
        <v>14956.290999999999</v>
      </c>
      <c r="R140">
        <f t="shared" si="10"/>
        <v>0.98761732726395324</v>
      </c>
      <c r="S140">
        <v>-0.47245991199999998</v>
      </c>
      <c r="T140">
        <v>-6.0333774529999999</v>
      </c>
      <c r="U140">
        <v>2.2548150999999999E-2</v>
      </c>
      <c r="V140">
        <v>19771178</v>
      </c>
      <c r="W140">
        <v>9.4655659735289177</v>
      </c>
      <c r="X140">
        <v>1.0904176431498107</v>
      </c>
      <c r="Y140">
        <f t="shared" si="9"/>
        <v>8.0450180762108345E-2</v>
      </c>
      <c r="Z140">
        <v>0.48299999999999998</v>
      </c>
      <c r="AA140">
        <v>-0.212316222</v>
      </c>
      <c r="AB140">
        <v>-0.36092587211071198</v>
      </c>
      <c r="AC140" s="4">
        <v>3.46</v>
      </c>
      <c r="AD140">
        <v>-2.2574672364573778E-2</v>
      </c>
      <c r="AF140">
        <f t="shared" si="11"/>
        <v>3.9717515238999912</v>
      </c>
      <c r="AG140">
        <f t="shared" si="12"/>
        <v>0.40284493890718226</v>
      </c>
      <c r="AH140">
        <f t="shared" si="13"/>
        <v>1.4720732561258387</v>
      </c>
    </row>
    <row r="141" spans="1:34" x14ac:dyDescent="0.35">
      <c r="A141" t="s">
        <v>140</v>
      </c>
      <c r="B141">
        <v>20302.800999999999</v>
      </c>
      <c r="C141">
        <v>2562243</v>
      </c>
      <c r="D141" s="7">
        <v>5191392</v>
      </c>
      <c r="E141" s="3">
        <v>3290.41</v>
      </c>
      <c r="F141" s="6">
        <v>10006.179138207695</v>
      </c>
      <c r="G141" s="6">
        <v>1.7</v>
      </c>
      <c r="H141">
        <v>-0.16644631732165599</v>
      </c>
      <c r="I141" s="4">
        <v>2.7988126736924284</v>
      </c>
      <c r="J141">
        <v>3.0967915129144101</v>
      </c>
      <c r="K141">
        <v>1.39680344666482</v>
      </c>
      <c r="L141">
        <v>1.8593</v>
      </c>
      <c r="M141">
        <v>1.563249763986476</v>
      </c>
      <c r="N141" s="8">
        <v>-0.33562130251333466</v>
      </c>
      <c r="O141">
        <v>0.85244193066571805</v>
      </c>
      <c r="P141">
        <v>0.79290126226275603</v>
      </c>
      <c r="Q141" s="1">
        <v>15041.232</v>
      </c>
      <c r="R141">
        <f t="shared" si="10"/>
        <v>0.98942507155779624</v>
      </c>
      <c r="S141">
        <v>1.4914216899999999</v>
      </c>
      <c r="T141">
        <v>5.1883554739999997</v>
      </c>
      <c r="U141">
        <v>-2.0310206370000001</v>
      </c>
      <c r="V141">
        <v>19957731</v>
      </c>
      <c r="W141">
        <v>9.2689857152554858</v>
      </c>
      <c r="X141">
        <v>1.0920064827505391</v>
      </c>
      <c r="Y141">
        <f t="shared" si="9"/>
        <v>0.11246201503385131</v>
      </c>
      <c r="Z141">
        <v>0.53349999999999997</v>
      </c>
      <c r="AA141">
        <v>0.289077586</v>
      </c>
      <c r="AB141">
        <v>-1.7471758331187801</v>
      </c>
      <c r="AC141" s="4">
        <v>3.98</v>
      </c>
      <c r="AD141">
        <v>6.0129080656953215E-2</v>
      </c>
      <c r="AF141">
        <f t="shared" si="11"/>
        <v>2.3447782221269975</v>
      </c>
      <c r="AG141">
        <f t="shared" si="12"/>
        <v>0.72501526325926646</v>
      </c>
      <c r="AH141">
        <f t="shared" si="13"/>
        <v>1.2764156107514246</v>
      </c>
    </row>
    <row r="142" spans="1:34" x14ac:dyDescent="0.35">
      <c r="A142" t="s">
        <v>141</v>
      </c>
      <c r="B142">
        <v>20838.120999999999</v>
      </c>
      <c r="C142">
        <v>2562998</v>
      </c>
      <c r="D142" s="7">
        <v>5302702</v>
      </c>
      <c r="E142" s="3">
        <v>3355.5419999999999</v>
      </c>
      <c r="F142" s="6">
        <v>10110.364287530057</v>
      </c>
      <c r="G142" s="6">
        <v>2.5</v>
      </c>
      <c r="H142">
        <v>-0.176340943985343</v>
      </c>
      <c r="I142" s="4">
        <v>2.9066598694316435</v>
      </c>
      <c r="J142">
        <v>3.1082325698920599</v>
      </c>
      <c r="K142">
        <v>1.20038239074469</v>
      </c>
      <c r="L142">
        <v>1.7236</v>
      </c>
      <c r="M142">
        <v>1.3767233347300329</v>
      </c>
      <c r="N142" s="8">
        <v>0.50583602845371534</v>
      </c>
      <c r="O142">
        <v>0.81281303139036198</v>
      </c>
      <c r="P142">
        <v>0.78278353377298104</v>
      </c>
      <c r="Q142" s="1">
        <v>15244.088</v>
      </c>
      <c r="R142">
        <f t="shared" si="10"/>
        <v>0.98859489122965738</v>
      </c>
      <c r="S142">
        <v>-1.1392052340000001</v>
      </c>
      <c r="T142">
        <v>-0.27009372300000001</v>
      </c>
      <c r="U142">
        <v>-1.1713850699999999</v>
      </c>
      <c r="V142">
        <v>20644193</v>
      </c>
      <c r="W142">
        <v>9.3426045770826569</v>
      </c>
      <c r="X142">
        <v>1.0910803549588706</v>
      </c>
      <c r="Y142">
        <f t="shared" si="9"/>
        <v>0.16657561618472744</v>
      </c>
      <c r="Z142">
        <v>0.50949999999999995</v>
      </c>
      <c r="AA142">
        <v>-1.6750000000000043E-2</v>
      </c>
      <c r="AB142">
        <v>-1.3932730464276599</v>
      </c>
      <c r="AC142" s="4">
        <v>4.456666666666667</v>
      </c>
      <c r="AD142">
        <v>-4.0704608239543472E-3</v>
      </c>
      <c r="AF142">
        <f t="shared" si="11"/>
        <v>3.1972729335560057</v>
      </c>
      <c r="AG142">
        <f t="shared" si="12"/>
        <v>0.78191635557978501</v>
      </c>
      <c r="AH142">
        <f t="shared" si="13"/>
        <v>1.3784292315963675</v>
      </c>
    </row>
    <row r="143" spans="1:34" x14ac:dyDescent="0.35">
      <c r="A143" t="s">
        <v>142</v>
      </c>
      <c r="B143">
        <v>21413.375</v>
      </c>
      <c r="C143">
        <v>2524847</v>
      </c>
      <c r="D143" s="7">
        <v>5399441</v>
      </c>
      <c r="E143" s="3">
        <v>3345.6750000000002</v>
      </c>
      <c r="F143" s="6">
        <v>10197.214749910489</v>
      </c>
      <c r="G143" s="6">
        <v>2.2000000000000002</v>
      </c>
      <c r="H143">
        <v>-0.201114460001173</v>
      </c>
      <c r="I143" s="4">
        <v>3.4140581746031744</v>
      </c>
      <c r="J143">
        <v>3.1059310030471399</v>
      </c>
      <c r="K143">
        <v>1.3472237197575301</v>
      </c>
      <c r="L143">
        <v>1.6122000000000001</v>
      </c>
      <c r="M143">
        <v>1.548338179758703</v>
      </c>
      <c r="N143" s="8">
        <v>0.51488654356036967</v>
      </c>
      <c r="O143">
        <v>0.79159535224439403</v>
      </c>
      <c r="P143">
        <v>0.76788462717329198</v>
      </c>
      <c r="Q143" s="1">
        <v>15281.525</v>
      </c>
      <c r="R143">
        <f t="shared" si="10"/>
        <v>0.98984505851348048</v>
      </c>
      <c r="S143">
        <v>-0.36859059500000002</v>
      </c>
      <c r="T143">
        <v>-0.55148860499999997</v>
      </c>
      <c r="U143">
        <v>-1.173905907</v>
      </c>
      <c r="V143">
        <v>20885102</v>
      </c>
      <c r="W143">
        <v>9.4496886994256144</v>
      </c>
      <c r="X143">
        <v>1.0915924334917504</v>
      </c>
      <c r="Y143">
        <f t="shared" si="9"/>
        <v>0.1802634362598928</v>
      </c>
      <c r="Z143">
        <v>0.49249999999999999</v>
      </c>
      <c r="AA143">
        <v>-6.3670454999999959E-2</v>
      </c>
      <c r="AB143">
        <v>-5.7801027507976999E-2</v>
      </c>
      <c r="AC143" s="4">
        <v>4.9066666666666663</v>
      </c>
      <c r="AD143">
        <v>1.0785440343722641E-2</v>
      </c>
      <c r="AF143">
        <f t="shared" si="11"/>
        <v>2.9802710437389912</v>
      </c>
      <c r="AG143">
        <f t="shared" si="12"/>
        <v>0.73818789221262304</v>
      </c>
      <c r="AH143">
        <f t="shared" si="13"/>
        <v>1.2741370081608139</v>
      </c>
    </row>
    <row r="144" spans="1:34" x14ac:dyDescent="0.35">
      <c r="A144" t="s">
        <v>143</v>
      </c>
      <c r="B144">
        <v>21894.787</v>
      </c>
      <c r="C144">
        <v>2575865</v>
      </c>
      <c r="D144" s="7">
        <v>5513883</v>
      </c>
      <c r="E144" s="3">
        <v>3320.6419999999998</v>
      </c>
      <c r="F144" s="6">
        <v>10273.53829975133</v>
      </c>
      <c r="G144" s="6">
        <v>2.2999999999999998</v>
      </c>
      <c r="H144">
        <v>-0.21736869968025399</v>
      </c>
      <c r="I144" s="4">
        <v>3.2503720634920636</v>
      </c>
      <c r="J144">
        <v>3.12135860301116</v>
      </c>
      <c r="K144">
        <v>1.4189135969200599</v>
      </c>
      <c r="L144">
        <v>1.7337</v>
      </c>
      <c r="M144">
        <v>1.6362822966003139</v>
      </c>
      <c r="N144" s="8">
        <v>6.1196052330966669E-4</v>
      </c>
      <c r="O144">
        <v>0.79311213653387602</v>
      </c>
      <c r="P144">
        <v>0.74556562662223702</v>
      </c>
      <c r="Q144" s="1">
        <v>15304.517</v>
      </c>
      <c r="R144">
        <f t="shared" si="10"/>
        <v>0.99111920326557623</v>
      </c>
      <c r="S144">
        <v>0.19327999400000001</v>
      </c>
      <c r="T144">
        <v>-2.618434385</v>
      </c>
      <c r="U144">
        <v>-1.14544862</v>
      </c>
      <c r="V144">
        <v>21587166</v>
      </c>
      <c r="W144">
        <v>9.1406012529859826</v>
      </c>
      <c r="X144">
        <v>1.0910877109514481</v>
      </c>
      <c r="Y144">
        <f t="shared" si="9"/>
        <v>0.20014707918026658</v>
      </c>
      <c r="Z144">
        <v>0.47299999999999998</v>
      </c>
      <c r="AA144">
        <v>3.0159219000000015E-2</v>
      </c>
      <c r="AB144">
        <v>-2.0334011991962102</v>
      </c>
      <c r="AC144" s="4">
        <v>5.246666666666667</v>
      </c>
      <c r="AD144">
        <v>-1.1076297894823228E-2</v>
      </c>
      <c r="AF144">
        <f t="shared" si="11"/>
        <v>3.7158263237630162</v>
      </c>
      <c r="AG144">
        <f t="shared" si="12"/>
        <v>0.61897403150715358</v>
      </c>
      <c r="AH144">
        <f t="shared" si="13"/>
        <v>0.99957216154527018</v>
      </c>
    </row>
    <row r="145" spans="1:34" x14ac:dyDescent="0.35">
      <c r="A145" t="s">
        <v>144</v>
      </c>
      <c r="B145">
        <v>22428.311000000002</v>
      </c>
      <c r="C145">
        <v>2659159</v>
      </c>
      <c r="D145" s="7">
        <v>5800188</v>
      </c>
      <c r="E145" s="3">
        <v>3305.3820000000001</v>
      </c>
      <c r="F145" s="6">
        <v>10287.284548952075</v>
      </c>
      <c r="G145" s="6">
        <v>2.1</v>
      </c>
      <c r="H145">
        <v>-0.272768100506804</v>
      </c>
      <c r="I145" s="4">
        <v>3.0052444470046087</v>
      </c>
      <c r="J145">
        <v>3.1468908607184498</v>
      </c>
      <c r="K145">
        <v>1.23619169823757</v>
      </c>
      <c r="L145">
        <v>1.5774999999999999</v>
      </c>
      <c r="M145">
        <v>1.5089597987443741</v>
      </c>
      <c r="N145" s="8">
        <v>-0.18063921721902235</v>
      </c>
      <c r="O145">
        <v>0.78660432623930598</v>
      </c>
      <c r="P145">
        <v>0.72747030259686196</v>
      </c>
      <c r="Q145" s="1">
        <v>15433.643</v>
      </c>
      <c r="R145">
        <f t="shared" si="10"/>
        <v>0.99112071958014203</v>
      </c>
      <c r="S145">
        <v>-0.93646935899999995</v>
      </c>
      <c r="T145">
        <v>1.174893499</v>
      </c>
      <c r="U145">
        <v>-1.0724309540000001</v>
      </c>
      <c r="V145">
        <v>21834094</v>
      </c>
      <c r="W145">
        <v>9.024095279977562</v>
      </c>
      <c r="X145">
        <v>1.0933552769065975</v>
      </c>
      <c r="Y145">
        <f t="shared" si="9"/>
        <v>0.40776351893288088</v>
      </c>
      <c r="Z145">
        <v>0.51900000000000002</v>
      </c>
      <c r="AA145">
        <v>3.8511235999999949E-2</v>
      </c>
      <c r="AB145">
        <v>-1.5470707216006501</v>
      </c>
      <c r="AC145" s="4">
        <v>5.246666666666667</v>
      </c>
      <c r="AD145">
        <v>4.5924930014180632E-3</v>
      </c>
      <c r="AF145">
        <f t="shared" si="11"/>
        <v>5.0099347804039684</v>
      </c>
      <c r="AG145">
        <f t="shared" si="12"/>
        <v>0.41916713331558975</v>
      </c>
      <c r="AH145">
        <f t="shared" si="13"/>
        <v>1.1185040255620393</v>
      </c>
    </row>
    <row r="146" spans="1:34" x14ac:dyDescent="0.35">
      <c r="A146" t="s">
        <v>145</v>
      </c>
      <c r="B146">
        <v>22823.149000000001</v>
      </c>
      <c r="C146">
        <v>2665221</v>
      </c>
      <c r="D146" s="7">
        <v>5925799</v>
      </c>
      <c r="E146" s="3">
        <v>3306.0369999999998</v>
      </c>
      <c r="F146" s="6">
        <v>10383.844502853888</v>
      </c>
      <c r="G146" s="6">
        <v>1.3</v>
      </c>
      <c r="H146">
        <v>-0.29437799039357998</v>
      </c>
      <c r="I146" s="4">
        <v>3.0694715437788016</v>
      </c>
      <c r="J146">
        <v>3.1538817268239701</v>
      </c>
      <c r="K146">
        <v>1.3670960682334401</v>
      </c>
      <c r="L146">
        <v>1.4435</v>
      </c>
      <c r="M146">
        <v>1.66147405862702</v>
      </c>
      <c r="N146" s="8">
        <v>0.58361968885565607</v>
      </c>
      <c r="O146">
        <v>0.77333290675575606</v>
      </c>
      <c r="P146">
        <v>0.73196210699521702</v>
      </c>
      <c r="Q146" s="1">
        <v>15478.956</v>
      </c>
      <c r="R146">
        <f t="shared" si="10"/>
        <v>0.99067313140275581</v>
      </c>
      <c r="S146">
        <v>-0.44205258600000003</v>
      </c>
      <c r="T146">
        <v>0.27277616199999999</v>
      </c>
      <c r="U146">
        <v>-9.5231854000000005E-2</v>
      </c>
      <c r="V146">
        <v>22691719</v>
      </c>
      <c r="W146">
        <v>9.4152975741027696</v>
      </c>
      <c r="X146">
        <v>1.0927247269996618</v>
      </c>
      <c r="Y146">
        <f t="shared" si="9"/>
        <v>0.83426760766351615</v>
      </c>
      <c r="Z146">
        <v>0.4985</v>
      </c>
      <c r="AA146">
        <v>-2.4714285999999974E-2</v>
      </c>
      <c r="AB146">
        <v>-0.68026959785795205</v>
      </c>
      <c r="AC146" s="4">
        <v>5.2566666666666668</v>
      </c>
      <c r="AD146">
        <v>2.4824863199810476E-3</v>
      </c>
      <c r="AF146">
        <f t="shared" si="11"/>
        <v>4.5649156931910184</v>
      </c>
      <c r="AG146">
        <f t="shared" si="12"/>
        <v>0.28478072485304967</v>
      </c>
      <c r="AH146">
        <f t="shared" si="13"/>
        <v>0.66402185592728813</v>
      </c>
    </row>
    <row r="147" spans="1:34" x14ac:dyDescent="0.35">
      <c r="A147" t="s">
        <v>146</v>
      </c>
      <c r="B147">
        <v>23446.382000000001</v>
      </c>
      <c r="C147">
        <v>2608804</v>
      </c>
      <c r="D147" s="7">
        <v>6062259</v>
      </c>
      <c r="E147" s="3">
        <v>3330.1680000000001</v>
      </c>
      <c r="F147" s="6">
        <v>10434.829653558012</v>
      </c>
      <c r="G147" s="6">
        <v>1.5</v>
      </c>
      <c r="H147">
        <v>-0.29694195002467599</v>
      </c>
      <c r="I147" s="4">
        <v>3.2587201785714286</v>
      </c>
      <c r="J147">
        <v>3.17674143672948</v>
      </c>
      <c r="K147">
        <v>1.3301875076657399</v>
      </c>
      <c r="L147">
        <v>1.4481999999999999</v>
      </c>
      <c r="M147">
        <v>1.6271294576904158</v>
      </c>
      <c r="N147" s="8">
        <v>0.48482855126064139</v>
      </c>
      <c r="O147">
        <v>0.74849075167825496</v>
      </c>
      <c r="P147">
        <v>0.78489141819516095</v>
      </c>
      <c r="Q147" s="1">
        <v>15577.779</v>
      </c>
      <c r="R147">
        <f t="shared" si="10"/>
        <v>0.99211857226452316</v>
      </c>
      <c r="S147">
        <v>-0.55798038699999997</v>
      </c>
      <c r="T147">
        <v>0.58176146900000003</v>
      </c>
      <c r="U147">
        <v>1.114327192</v>
      </c>
      <c r="V147">
        <v>23330586</v>
      </c>
      <c r="W147">
        <v>9.5190001128859283</v>
      </c>
      <c r="X147">
        <v>1.0918995131610716</v>
      </c>
      <c r="Y147">
        <f t="shared" si="9"/>
        <v>1.334421786931308</v>
      </c>
      <c r="Z147">
        <v>0.49249999999999999</v>
      </c>
      <c r="AA147">
        <v>9.0000000000000635E-3</v>
      </c>
      <c r="AB147">
        <v>4.54128765716484E-2</v>
      </c>
      <c r="AC147" s="4">
        <v>5.25</v>
      </c>
      <c r="AD147">
        <v>5.358414922331578E-3</v>
      </c>
      <c r="AF147">
        <f t="shared" si="11"/>
        <v>7.0810433682340079</v>
      </c>
      <c r="AG147">
        <f t="shared" si="12"/>
        <v>0.2118331892626292</v>
      </c>
      <c r="AH147">
        <f t="shared" si="13"/>
        <v>0.83388420079639758</v>
      </c>
    </row>
    <row r="148" spans="1:34" x14ac:dyDescent="0.35">
      <c r="A148" t="s">
        <v>147</v>
      </c>
      <c r="B148">
        <v>24002.240000000002</v>
      </c>
      <c r="C148">
        <v>2744990</v>
      </c>
      <c r="D148" s="7">
        <v>6295320</v>
      </c>
      <c r="E148" s="3">
        <v>3316.2440000000001</v>
      </c>
      <c r="F148" s="6">
        <v>10508.859153769636</v>
      </c>
      <c r="G148" s="6">
        <v>0.7</v>
      </c>
      <c r="H148">
        <v>-0.31719955901781099</v>
      </c>
      <c r="I148" s="4">
        <v>3.160954126984127</v>
      </c>
      <c r="J148">
        <v>3.1751436645684601</v>
      </c>
      <c r="K148">
        <v>1.4522043479054301</v>
      </c>
      <c r="L148">
        <v>2.2349999999999999</v>
      </c>
      <c r="M148">
        <v>1.769403906923241</v>
      </c>
      <c r="N148" s="8">
        <v>2.2254265682325525E-2</v>
      </c>
      <c r="O148">
        <v>0.78006584586393501</v>
      </c>
      <c r="P148">
        <v>0.84998346739880604</v>
      </c>
      <c r="Q148" s="1">
        <v>15671.605</v>
      </c>
      <c r="R148">
        <f t="shared" si="10"/>
        <v>0.99332109078969766</v>
      </c>
      <c r="S148">
        <v>1.2648060779999999</v>
      </c>
      <c r="T148">
        <v>-1.108663468</v>
      </c>
      <c r="U148">
        <v>-0.21925197399999999</v>
      </c>
      <c r="V148">
        <v>23695346</v>
      </c>
      <c r="W148">
        <v>10.159180889148287</v>
      </c>
      <c r="X148">
        <v>1.0931972597164419</v>
      </c>
      <c r="Y148">
        <f t="shared" si="9"/>
        <v>1.8826513557728648</v>
      </c>
      <c r="Z148">
        <v>0.46600000000000003</v>
      </c>
      <c r="AA148">
        <v>-1.8785714000000064E-2</v>
      </c>
      <c r="AB148">
        <v>0.66618344230118798</v>
      </c>
      <c r="AC148" s="4">
        <v>5.0733333333333333</v>
      </c>
      <c r="AD148">
        <v>-2.1421545506425943E-2</v>
      </c>
      <c r="AF148">
        <f t="shared" si="11"/>
        <v>5.3785061557300118</v>
      </c>
      <c r="AG148">
        <f t="shared" si="12"/>
        <v>0.13014766177300965</v>
      </c>
      <c r="AH148">
        <f t="shared" si="13"/>
        <v>1.0293848694579388</v>
      </c>
    </row>
    <row r="149" spans="1:34" x14ac:dyDescent="0.35">
      <c r="A149" t="s">
        <v>148</v>
      </c>
      <c r="B149">
        <v>24492.514999999999</v>
      </c>
      <c r="C149">
        <v>2838677</v>
      </c>
      <c r="D149" s="7">
        <v>6491649</v>
      </c>
      <c r="E149" s="3">
        <v>3297.634</v>
      </c>
      <c r="F149" s="6">
        <v>10603.532288866463</v>
      </c>
      <c r="G149" s="6">
        <v>-0.1</v>
      </c>
      <c r="H149">
        <v>-0.32466615387124498</v>
      </c>
      <c r="I149" s="4">
        <v>2.6936493317972348</v>
      </c>
      <c r="J149">
        <v>3.1676964265542198</v>
      </c>
      <c r="K149">
        <v>1.57877711678196</v>
      </c>
      <c r="L149">
        <v>2.6259000000000001</v>
      </c>
      <c r="M149">
        <v>1.903443270653205</v>
      </c>
      <c r="N149" s="8">
        <v>0.24693153572963891</v>
      </c>
      <c r="O149">
        <v>0.82503678395514402</v>
      </c>
      <c r="P149">
        <v>0.92715120588130595</v>
      </c>
      <c r="Q149" s="1">
        <v>15767.146000000001</v>
      </c>
      <c r="R149">
        <f t="shared" si="10"/>
        <v>0.99337635486835341</v>
      </c>
      <c r="S149">
        <v>1.2672689150000001</v>
      </c>
      <c r="T149">
        <v>-0.72412404799999996</v>
      </c>
      <c r="U149">
        <v>1.0950355810000001</v>
      </c>
      <c r="V149">
        <v>23696028</v>
      </c>
      <c r="W149">
        <v>11.508667772344136</v>
      </c>
      <c r="X149">
        <v>1.095603603201857</v>
      </c>
      <c r="Y149">
        <f t="shared" si="9"/>
        <v>1.6162570722060794</v>
      </c>
      <c r="Z149">
        <v>0.501</v>
      </c>
      <c r="AA149">
        <v>3.925926000000024E-3</v>
      </c>
      <c r="AB149">
        <v>2.6356959425426698</v>
      </c>
      <c r="AC149" s="4">
        <v>4.496666666666667</v>
      </c>
      <c r="AD149">
        <v>-3.6562726821989577E-2</v>
      </c>
      <c r="AF149">
        <f t="shared" si="11"/>
        <v>2.0805565835769979</v>
      </c>
      <c r="AG149">
        <f t="shared" si="12"/>
        <v>-4.8064061698372539E-2</v>
      </c>
      <c r="AH149">
        <f t="shared" si="13"/>
        <v>0.92846388636997901</v>
      </c>
    </row>
    <row r="150" spans="1:34" x14ac:dyDescent="0.35">
      <c r="A150" t="s">
        <v>149</v>
      </c>
      <c r="B150">
        <v>24799.780999999999</v>
      </c>
      <c r="C150">
        <v>2837452</v>
      </c>
      <c r="D150" s="7">
        <v>6461141</v>
      </c>
      <c r="E150" s="3">
        <v>3254.2869999999998</v>
      </c>
      <c r="F150" s="6">
        <v>10614.135675456484</v>
      </c>
      <c r="G150" s="6">
        <v>-0.5</v>
      </c>
      <c r="H150">
        <v>-0.32692226378254802</v>
      </c>
      <c r="I150" s="4">
        <v>2.098882806401249</v>
      </c>
      <c r="J150">
        <v>3.1303174302730699</v>
      </c>
      <c r="K150">
        <v>1.9503247849066201</v>
      </c>
      <c r="L150">
        <v>3.5737000000000001</v>
      </c>
      <c r="M150">
        <v>2.2772470486891683</v>
      </c>
      <c r="N150" s="8">
        <v>0.55143005295159464</v>
      </c>
      <c r="O150">
        <v>0.853202561396045</v>
      </c>
      <c r="P150">
        <v>0.99395178130416695</v>
      </c>
      <c r="Q150" s="1">
        <v>15702.906000000001</v>
      </c>
      <c r="R150">
        <f t="shared" si="10"/>
        <v>0.99398959474051629</v>
      </c>
      <c r="S150">
        <v>0.106650221</v>
      </c>
      <c r="T150">
        <v>1.9567424999999999E-2</v>
      </c>
      <c r="U150">
        <v>1.1452982540000001</v>
      </c>
      <c r="V150">
        <v>24384861</v>
      </c>
      <c r="W150">
        <v>12.992918653213586</v>
      </c>
      <c r="X150">
        <v>1.095145256290045</v>
      </c>
      <c r="Y150">
        <f t="shared" si="9"/>
        <v>2.7396025544752005</v>
      </c>
      <c r="Z150">
        <v>0.48599999999999999</v>
      </c>
      <c r="AA150">
        <v>-9.2064139999999961E-3</v>
      </c>
      <c r="AB150">
        <v>-0.122932178503563</v>
      </c>
      <c r="AC150" s="4">
        <v>3.1766666666666667</v>
      </c>
      <c r="AD150">
        <v>1.5014132183503781E-2</v>
      </c>
      <c r="AF150">
        <f t="shared" si="11"/>
        <v>-2.3564296550900199</v>
      </c>
      <c r="AG150">
        <f t="shared" si="12"/>
        <v>0.21218541318217246</v>
      </c>
      <c r="AH150">
        <f t="shared" si="13"/>
        <v>0.62383652115585164</v>
      </c>
    </row>
    <row r="151" spans="1:34" x14ac:dyDescent="0.35">
      <c r="A151" t="s">
        <v>150</v>
      </c>
      <c r="B151">
        <v>24946.545999999998</v>
      </c>
      <c r="C151">
        <v>2667796</v>
      </c>
      <c r="D151" s="7">
        <v>6453580</v>
      </c>
      <c r="E151" s="3">
        <v>3244.4639999999999</v>
      </c>
      <c r="F151" s="6">
        <v>10689.898185266655</v>
      </c>
      <c r="G151" s="6">
        <v>-1.6</v>
      </c>
      <c r="H151">
        <v>-0.31135980274234998</v>
      </c>
      <c r="I151" s="4">
        <v>2.3169803571428567</v>
      </c>
      <c r="J151">
        <v>3.12773857803327</v>
      </c>
      <c r="K151">
        <v>1.9117318302874999</v>
      </c>
      <c r="L151">
        <v>3.2801999999999998</v>
      </c>
      <c r="M151">
        <v>2.22309163302985</v>
      </c>
      <c r="N151" s="8">
        <v>0.81875537854566238</v>
      </c>
      <c r="O151">
        <v>0.91840631021671304</v>
      </c>
      <c r="P151">
        <v>1.0952449104214399</v>
      </c>
      <c r="Q151" s="1">
        <v>15792.772999999999</v>
      </c>
      <c r="R151">
        <f t="shared" si="10"/>
        <v>0.99535988407766895</v>
      </c>
      <c r="S151">
        <v>3.257049715</v>
      </c>
      <c r="T151">
        <v>-2.358565714</v>
      </c>
      <c r="U151">
        <v>4.1027953410000002</v>
      </c>
      <c r="V151">
        <v>23814599</v>
      </c>
      <c r="W151">
        <v>15.234067835112796</v>
      </c>
      <c r="X151">
        <v>1.0953143846225295</v>
      </c>
      <c r="Y151">
        <f t="shared" si="9"/>
        <v>4.0165885634993179</v>
      </c>
      <c r="Z151">
        <v>0.45699999999999902</v>
      </c>
      <c r="AA151">
        <v>-3.7195120000000359E-3</v>
      </c>
      <c r="AB151">
        <v>0.65736594143238103</v>
      </c>
      <c r="AC151" s="4">
        <v>2.0866666666666669</v>
      </c>
      <c r="AD151">
        <v>1.6604513687263012E-2</v>
      </c>
      <c r="AF151">
        <f t="shared" si="11"/>
        <v>-4.9002858696209906</v>
      </c>
      <c r="AG151">
        <f t="shared" si="12"/>
        <v>0.32651156331900921</v>
      </c>
      <c r="AH151">
        <f t="shared" si="13"/>
        <v>0.59528547483944649</v>
      </c>
    </row>
    <row r="152" spans="1:34" x14ac:dyDescent="0.35">
      <c r="A152" t="s">
        <v>151</v>
      </c>
      <c r="B152">
        <v>25211.219000000001</v>
      </c>
      <c r="C152">
        <v>2943067</v>
      </c>
      <c r="D152" s="7">
        <v>6185100</v>
      </c>
      <c r="E152" s="3">
        <v>3182.549</v>
      </c>
      <c r="F152" s="6">
        <v>10663.385265347111</v>
      </c>
      <c r="G152" s="6">
        <v>-2.2999999999999998</v>
      </c>
      <c r="H152">
        <v>-0.28324244721698</v>
      </c>
      <c r="I152" s="4">
        <v>2.3002308333333334</v>
      </c>
      <c r="J152">
        <v>3.0597384362357198</v>
      </c>
      <c r="K152">
        <v>2.3305535559745798</v>
      </c>
      <c r="L152">
        <v>4.1303999999999998</v>
      </c>
      <c r="M152">
        <v>2.6137960031915597</v>
      </c>
      <c r="N152" s="8">
        <v>-4.1189889394719799E-3</v>
      </c>
      <c r="O152">
        <v>1.0630212749210299</v>
      </c>
      <c r="P152">
        <v>1.25834720443848</v>
      </c>
      <c r="Q152" s="1">
        <v>15709.562</v>
      </c>
      <c r="R152">
        <f t="shared" si="10"/>
        <v>0.99739727472436202</v>
      </c>
      <c r="S152">
        <v>1.529706287</v>
      </c>
      <c r="T152">
        <v>-8.9944368879999992</v>
      </c>
      <c r="U152">
        <v>6.4248306949999998</v>
      </c>
      <c r="V152">
        <v>24166359</v>
      </c>
      <c r="W152">
        <v>15.37887297108484</v>
      </c>
      <c r="X152">
        <v>1.0915330812151982</v>
      </c>
      <c r="Y152">
        <f t="shared" si="9"/>
        <v>3.3778203733802243</v>
      </c>
      <c r="Z152">
        <v>0.46050000000000002</v>
      </c>
      <c r="AA152">
        <v>-1.2999999999999956E-2</v>
      </c>
      <c r="AB152">
        <v>10.7478847570454</v>
      </c>
      <c r="AC152" s="4">
        <v>1.94</v>
      </c>
      <c r="AD152">
        <v>-3.257573642263345E-2</v>
      </c>
      <c r="AF152">
        <f t="shared" si="11"/>
        <v>-11.540522833274025</v>
      </c>
      <c r="AG152">
        <f t="shared" si="12"/>
        <v>0.19929772968071793</v>
      </c>
      <c r="AH152">
        <f t="shared" si="13"/>
        <v>0.10505997873551109</v>
      </c>
    </row>
    <row r="153" spans="1:34" x14ac:dyDescent="0.35">
      <c r="A153" t="s">
        <v>152</v>
      </c>
      <c r="B153">
        <v>24933.953000000001</v>
      </c>
      <c r="C153">
        <v>3226621</v>
      </c>
      <c r="D153" s="7">
        <v>6312547</v>
      </c>
      <c r="E153" s="3">
        <v>3011.5390000000002</v>
      </c>
      <c r="F153" s="6">
        <v>10342.657584776658</v>
      </c>
      <c r="G153" s="6">
        <v>-4.7</v>
      </c>
      <c r="H153">
        <v>-0.34412184702452597</v>
      </c>
      <c r="I153" s="4">
        <v>1.6827007526881719</v>
      </c>
      <c r="J153">
        <v>2.9446285980965299</v>
      </c>
      <c r="K153">
        <v>2.7963724276258901</v>
      </c>
      <c r="L153">
        <v>7.6555</v>
      </c>
      <c r="M153">
        <v>3.1404942746504161</v>
      </c>
      <c r="N153" s="8">
        <v>-1.3198900809154068</v>
      </c>
      <c r="O153">
        <v>1.1972307047594</v>
      </c>
      <c r="P153">
        <v>1.3933090022393899</v>
      </c>
      <c r="Q153" s="1">
        <v>15366.607</v>
      </c>
      <c r="R153">
        <f t="shared" si="10"/>
        <v>0.99738700405350489</v>
      </c>
      <c r="S153">
        <v>0.89722970800000001</v>
      </c>
      <c r="T153">
        <v>2.6306926160000002</v>
      </c>
      <c r="U153">
        <v>-2.0537180949999998</v>
      </c>
      <c r="V153">
        <v>22998787</v>
      </c>
      <c r="W153">
        <v>20.47305897146267</v>
      </c>
      <c r="X153">
        <v>1.0967626753217405</v>
      </c>
      <c r="Y153">
        <f t="shared" si="9"/>
        <v>2.6536429796875121</v>
      </c>
      <c r="Z153">
        <v>0.4395</v>
      </c>
      <c r="AA153">
        <v>-3.3571430000000069E-3</v>
      </c>
      <c r="AB153">
        <v>0.74771310051486295</v>
      </c>
      <c r="AC153" s="4">
        <v>0.50666666666666671</v>
      </c>
      <c r="AD153">
        <v>1.4231537033582153E-3</v>
      </c>
      <c r="AF153">
        <f t="shared" si="11"/>
        <v>-22.306782845768993</v>
      </c>
      <c r="AG153">
        <f t="shared" si="12"/>
        <v>0.21069824512553884</v>
      </c>
      <c r="AH153">
        <f t="shared" si="13"/>
        <v>-1.1175104743649023</v>
      </c>
    </row>
    <row r="154" spans="1:34" x14ac:dyDescent="0.35">
      <c r="A154" t="s">
        <v>153</v>
      </c>
      <c r="B154">
        <v>24728.816999999999</v>
      </c>
      <c r="C154">
        <v>3253183</v>
      </c>
      <c r="D154" s="7">
        <v>6493266</v>
      </c>
      <c r="E154" s="3">
        <v>2820.7539999999999</v>
      </c>
      <c r="F154" s="6">
        <v>10211.243681451817</v>
      </c>
      <c r="G154" s="6">
        <v>-6.8</v>
      </c>
      <c r="H154">
        <v>-0.35378515205414202</v>
      </c>
      <c r="I154" s="4">
        <v>1.1765230796252923</v>
      </c>
      <c r="J154">
        <v>2.90746587153687</v>
      </c>
      <c r="K154">
        <v>3.2801909176071602</v>
      </c>
      <c r="L154">
        <v>6.3636999999999997</v>
      </c>
      <c r="M154">
        <v>3.6339760696613022</v>
      </c>
      <c r="N154" s="8">
        <v>0.39190329555803866</v>
      </c>
      <c r="O154">
        <v>1.1204241779467301</v>
      </c>
      <c r="P154">
        <v>1.3421580254559</v>
      </c>
      <c r="Q154" s="1">
        <v>15187.475</v>
      </c>
      <c r="R154">
        <f t="shared" si="10"/>
        <v>0.9940959010197945</v>
      </c>
      <c r="S154">
        <v>-2.8895224690000001</v>
      </c>
      <c r="T154">
        <v>2.893567054</v>
      </c>
      <c r="U154">
        <v>0.99340765200000003</v>
      </c>
      <c r="V154">
        <v>22705913</v>
      </c>
      <c r="W154">
        <v>24.921759961670528</v>
      </c>
      <c r="X154">
        <v>1.1015791206436909</v>
      </c>
      <c r="Y154">
        <f t="shared" si="9"/>
        <v>2.972167968811593</v>
      </c>
      <c r="Z154">
        <v>0.42199999999999999</v>
      </c>
      <c r="AA154">
        <v>2.7780672000000006E-2</v>
      </c>
      <c r="AB154">
        <v>1.99270442004014</v>
      </c>
      <c r="AC154" s="4">
        <v>0.18333333333333332</v>
      </c>
      <c r="AD154">
        <v>3.0231729088317394E-2</v>
      </c>
      <c r="AF154">
        <f t="shared" si="11"/>
        <v>-22.285155873619988</v>
      </c>
      <c r="AG154">
        <f t="shared" si="12"/>
        <v>0.30513585090286433</v>
      </c>
      <c r="AH154">
        <f t="shared" si="13"/>
        <v>-1.4494454889101505</v>
      </c>
    </row>
    <row r="155" spans="1:34" x14ac:dyDescent="0.35">
      <c r="A155" t="s">
        <v>154</v>
      </c>
      <c r="B155">
        <v>24623.208999999999</v>
      </c>
      <c r="C155">
        <v>3442891</v>
      </c>
      <c r="D155" s="7">
        <v>6756357</v>
      </c>
      <c r="E155" s="3">
        <v>2752.5659999999998</v>
      </c>
      <c r="F155" s="6">
        <v>10179.716076945047</v>
      </c>
      <c r="G155" s="6">
        <v>-8.5</v>
      </c>
      <c r="H155">
        <v>-0.34473668377815703</v>
      </c>
      <c r="I155" s="4">
        <v>1.739461269841269</v>
      </c>
      <c r="J155">
        <v>2.9554340378322799</v>
      </c>
      <c r="K155">
        <v>3.0071331435374402</v>
      </c>
      <c r="L155">
        <v>4.8548</v>
      </c>
      <c r="M155">
        <v>3.3518698273155971</v>
      </c>
      <c r="N155" s="8">
        <v>0.46583414586395994</v>
      </c>
      <c r="O155">
        <v>1.01625569520356</v>
      </c>
      <c r="P155">
        <v>1.21787166521074</v>
      </c>
      <c r="Q155" s="1">
        <v>15161.772000000001</v>
      </c>
      <c r="R155">
        <f t="shared" si="10"/>
        <v>0.99506987466907049</v>
      </c>
      <c r="S155">
        <v>-1.4617979539999999</v>
      </c>
      <c r="T155">
        <v>-1.4446123040000001</v>
      </c>
      <c r="U155">
        <v>-2.0724753100000002</v>
      </c>
      <c r="V155">
        <v>22694753</v>
      </c>
      <c r="W155">
        <v>20.476663616158977</v>
      </c>
      <c r="X155">
        <v>1.104840989481541</v>
      </c>
      <c r="Y155">
        <f t="shared" si="9"/>
        <v>1.4092412471708444</v>
      </c>
      <c r="Z155">
        <v>0.47499999999999998</v>
      </c>
      <c r="AA155">
        <v>1.213202699999999E-2</v>
      </c>
      <c r="AB155">
        <v>-2.1938422347783799</v>
      </c>
      <c r="AC155" s="4">
        <v>0.18</v>
      </c>
      <c r="AD155">
        <v>-2.5152833461964397E-3</v>
      </c>
      <c r="AF155">
        <f t="shared" si="11"/>
        <v>-17.230454020099017</v>
      </c>
      <c r="AG155">
        <f t="shared" si="12"/>
        <v>0.49331259583089926</v>
      </c>
      <c r="AH155">
        <f t="shared" si="13"/>
        <v>-1.7708431503802302</v>
      </c>
    </row>
    <row r="156" spans="1:34" x14ac:dyDescent="0.35">
      <c r="A156" t="s">
        <v>155</v>
      </c>
      <c r="B156">
        <v>24465.241000000002</v>
      </c>
      <c r="C156">
        <v>3563818</v>
      </c>
      <c r="D156" s="7">
        <v>6987873</v>
      </c>
      <c r="E156" s="3">
        <v>2762.7040000000002</v>
      </c>
      <c r="F156" s="6">
        <v>10297.525676684148</v>
      </c>
      <c r="G156" s="6">
        <v>-8.5</v>
      </c>
      <c r="H156">
        <v>-0.318633239791832</v>
      </c>
      <c r="I156" s="4">
        <v>1.9179455952380948</v>
      </c>
      <c r="J156">
        <v>3.0171891550935301</v>
      </c>
      <c r="K156">
        <v>2.7815203910410302</v>
      </c>
      <c r="L156">
        <v>3.2679</v>
      </c>
      <c r="M156">
        <v>3.1001536308328621</v>
      </c>
      <c r="N156" s="8">
        <v>4.2758127205102567E-2</v>
      </c>
      <c r="O156">
        <v>0.94372588060304696</v>
      </c>
      <c r="P156">
        <v>1.1046224249385499</v>
      </c>
      <c r="Q156" s="1">
        <v>15216.647000000001</v>
      </c>
      <c r="R156">
        <f t="shared" si="10"/>
        <v>0.99622871848192396</v>
      </c>
      <c r="S156">
        <v>1.5699967210000001</v>
      </c>
      <c r="T156">
        <v>3.9122566559999998</v>
      </c>
      <c r="U156">
        <v>-0.72521951900000003</v>
      </c>
      <c r="V156">
        <v>22625940</v>
      </c>
      <c r="W156">
        <v>17.487409787885653</v>
      </c>
      <c r="X156">
        <v>1.1062514321320327</v>
      </c>
      <c r="Y156">
        <f t="shared" si="9"/>
        <v>0.60920967457329955</v>
      </c>
      <c r="Z156">
        <v>0.52100000000000002</v>
      </c>
      <c r="AA156">
        <v>-8.1837610000000116E-3</v>
      </c>
      <c r="AB156">
        <v>-0.23592210770480199</v>
      </c>
      <c r="AC156" s="4">
        <v>0.15666666666666668</v>
      </c>
      <c r="AD156">
        <v>-1.3369792103968492E-2</v>
      </c>
      <c r="AF156">
        <f t="shared" si="11"/>
        <v>-4.2549281142189699</v>
      </c>
      <c r="AG156">
        <f t="shared" si="12"/>
        <v>1.9976835734533323</v>
      </c>
      <c r="AH156">
        <f t="shared" si="13"/>
        <v>-1.384511074762429</v>
      </c>
    </row>
    <row r="157" spans="1:34" x14ac:dyDescent="0.35">
      <c r="A157" t="s">
        <v>156</v>
      </c>
      <c r="B157">
        <v>24254.017</v>
      </c>
      <c r="C157">
        <v>3631574</v>
      </c>
      <c r="D157" s="7">
        <v>7035320</v>
      </c>
      <c r="E157" s="3">
        <v>2767.4070000000002</v>
      </c>
      <c r="F157" s="6">
        <v>10348.233366863948</v>
      </c>
      <c r="G157" s="6">
        <v>-6</v>
      </c>
      <c r="H157">
        <v>-0.30550930399397802</v>
      </c>
      <c r="I157" s="4">
        <v>1.8396184485407063</v>
      </c>
      <c r="J157">
        <v>3.04106423346864</v>
      </c>
      <c r="K157">
        <v>2.7829008608527301</v>
      </c>
      <c r="L157">
        <v>2.6856</v>
      </c>
      <c r="M157">
        <v>3.0884101648467084</v>
      </c>
      <c r="N157" s="8">
        <v>-3.0114538292490998E-3</v>
      </c>
      <c r="O157">
        <v>0.874515517066346</v>
      </c>
      <c r="P157">
        <v>1.05158792263747</v>
      </c>
      <c r="Q157" s="1">
        <v>15379.155000000001</v>
      </c>
      <c r="R157">
        <f t="shared" si="10"/>
        <v>0.99633521066759956</v>
      </c>
      <c r="S157">
        <v>-0.226162433</v>
      </c>
      <c r="T157">
        <v>-0.40575211999999999</v>
      </c>
      <c r="U157">
        <v>-0.40133716200000003</v>
      </c>
      <c r="V157">
        <v>22517803</v>
      </c>
      <c r="W157">
        <v>17.832066449751196</v>
      </c>
      <c r="X157">
        <v>1.1067415438825554</v>
      </c>
      <c r="Y157">
        <f t="shared" si="9"/>
        <v>0.6074332659911279</v>
      </c>
      <c r="Z157">
        <v>0.43</v>
      </c>
      <c r="AA157">
        <v>2.7533610000000042E-2</v>
      </c>
      <c r="AB157">
        <v>-0.89444991533511597</v>
      </c>
      <c r="AC157" s="4">
        <v>0.12</v>
      </c>
      <c r="AD157">
        <v>7.9272283410796174E-3</v>
      </c>
      <c r="AF157">
        <f t="shared" si="11"/>
        <v>9.6435635372110085</v>
      </c>
      <c r="AG157">
        <f t="shared" si="12"/>
        <v>-0.62217664422992391</v>
      </c>
      <c r="AH157">
        <f t="shared" si="13"/>
        <v>3.5448966667228632E-2</v>
      </c>
    </row>
    <row r="158" spans="1:34" x14ac:dyDescent="0.35">
      <c r="A158" t="s">
        <v>157</v>
      </c>
      <c r="B158">
        <v>24113.302</v>
      </c>
      <c r="C158">
        <v>3791158</v>
      </c>
      <c r="D158" s="7">
        <v>7164773</v>
      </c>
      <c r="E158" s="3">
        <v>2757.2489999999998</v>
      </c>
      <c r="F158" s="6">
        <v>10412.60783799499</v>
      </c>
      <c r="G158" s="6">
        <v>-3.2</v>
      </c>
      <c r="H158">
        <v>-0.300663455511196</v>
      </c>
      <c r="I158" s="4">
        <v>2.1040702810304452</v>
      </c>
      <c r="J158">
        <v>3.0497223371906701</v>
      </c>
      <c r="K158">
        <v>2.5109907893784</v>
      </c>
      <c r="L158">
        <v>2.2808999999999999</v>
      </c>
      <c r="M158">
        <v>2.811654244889596</v>
      </c>
      <c r="N158" s="8">
        <v>0.25909881629320197</v>
      </c>
      <c r="O158">
        <v>0.85467470015616498</v>
      </c>
      <c r="P158">
        <v>1.04223400481838</v>
      </c>
      <c r="Q158" s="1">
        <v>15456.058999999999</v>
      </c>
      <c r="R158">
        <f t="shared" si="10"/>
        <v>0.99632770962388617</v>
      </c>
      <c r="S158">
        <v>1.6073191739999999</v>
      </c>
      <c r="T158">
        <v>2.1623357740000002</v>
      </c>
      <c r="U158">
        <v>0.25509826099999999</v>
      </c>
      <c r="V158">
        <v>22299308</v>
      </c>
      <c r="W158">
        <v>16.738819634622942</v>
      </c>
      <c r="X158">
        <v>1.108714959842092</v>
      </c>
      <c r="Y158">
        <f t="shared" si="9"/>
        <v>0.92907481045241458</v>
      </c>
      <c r="Z158">
        <v>0.48499999999999999</v>
      </c>
      <c r="AA158">
        <v>2.359459499999994E-2</v>
      </c>
      <c r="AB158">
        <v>-0.90935173342933195</v>
      </c>
      <c r="AC158" s="4">
        <v>0.13333333333333333</v>
      </c>
      <c r="AD158">
        <v>6.8949153647743788E-3</v>
      </c>
      <c r="AF158">
        <f t="shared" si="11"/>
        <v>14.225646565380012</v>
      </c>
      <c r="AG158">
        <f t="shared" si="12"/>
        <v>-0.22494583886173738</v>
      </c>
      <c r="AH158">
        <f t="shared" si="13"/>
        <v>0.76131908415115745</v>
      </c>
    </row>
    <row r="159" spans="1:34" x14ac:dyDescent="0.35">
      <c r="A159" t="s">
        <v>158</v>
      </c>
      <c r="B159">
        <v>23984.472000000002</v>
      </c>
      <c r="C159">
        <v>3858327</v>
      </c>
      <c r="D159" s="7">
        <v>7142710</v>
      </c>
      <c r="E159" s="3">
        <v>2845.6260000000002</v>
      </c>
      <c r="F159" s="6">
        <v>10477.073221201266</v>
      </c>
      <c r="G159" s="6">
        <v>-0.1</v>
      </c>
      <c r="H159">
        <v>-0.27517208565849299</v>
      </c>
      <c r="I159" s="4">
        <v>1.8884528571428574</v>
      </c>
      <c r="J159">
        <v>3.0493755101994799</v>
      </c>
      <c r="K159">
        <v>2.6692035874356499</v>
      </c>
      <c r="L159">
        <v>2.3883000000000001</v>
      </c>
      <c r="M159">
        <v>2.9443756730941431</v>
      </c>
      <c r="N159" s="8">
        <v>5.1193839342042101E-2</v>
      </c>
      <c r="O159">
        <v>0.80457871550753801</v>
      </c>
      <c r="P159">
        <v>1.08610246724661</v>
      </c>
      <c r="Q159" s="1">
        <v>15605.628000000001</v>
      </c>
      <c r="R159">
        <f t="shared" si="10"/>
        <v>0.99697307794939549</v>
      </c>
      <c r="S159">
        <v>0.18932289399999999</v>
      </c>
      <c r="T159">
        <v>4.1456408050000002</v>
      </c>
      <c r="U159">
        <v>0.86377692800000005</v>
      </c>
      <c r="V159">
        <v>22047754</v>
      </c>
      <c r="W159">
        <v>18.423439657725616</v>
      </c>
      <c r="X159">
        <v>1.1103896093860479</v>
      </c>
      <c r="Y159">
        <f t="shared" si="9"/>
        <v>1.1157853548620504</v>
      </c>
      <c r="Z159">
        <v>0.48099999999999998</v>
      </c>
      <c r="AA159">
        <v>-4.0000000000000036E-3</v>
      </c>
      <c r="AB159">
        <v>2.8920744533008098</v>
      </c>
      <c r="AC159" s="4">
        <v>0.19333333333333333</v>
      </c>
      <c r="AD159">
        <v>-4.254103751759053E-3</v>
      </c>
      <c r="AF159">
        <f t="shared" si="11"/>
        <v>9.3941472367200074</v>
      </c>
      <c r="AG159">
        <f t="shared" si="12"/>
        <v>-1.0644925769219184E-2</v>
      </c>
      <c r="AH159">
        <f t="shared" si="13"/>
        <v>1.2531288674377805</v>
      </c>
    </row>
    <row r="160" spans="1:34" x14ac:dyDescent="0.35">
      <c r="A160" t="s">
        <v>159</v>
      </c>
      <c r="B160">
        <v>23971.201000000001</v>
      </c>
      <c r="C160">
        <v>3964511</v>
      </c>
      <c r="D160" s="7">
        <v>7404478</v>
      </c>
      <c r="E160" s="3">
        <v>2856.404</v>
      </c>
      <c r="F160" s="6">
        <v>10530.074915162753</v>
      </c>
      <c r="G160" s="6">
        <v>1.4</v>
      </c>
      <c r="H160">
        <v>-0.29606972960859501</v>
      </c>
      <c r="I160" s="4">
        <v>1.1854426785714283</v>
      </c>
      <c r="J160">
        <v>3.0517123900887801</v>
      </c>
      <c r="K160">
        <v>2.9467247505001501</v>
      </c>
      <c r="L160">
        <v>2.5011999999999999</v>
      </c>
      <c r="M160">
        <v>3.2427944801087452</v>
      </c>
      <c r="N160" s="8">
        <v>7.2448118883171597E-2</v>
      </c>
      <c r="O160">
        <v>0.75654171889618205</v>
      </c>
      <c r="P160">
        <v>1.0855742190692099</v>
      </c>
      <c r="Q160" s="1">
        <v>15726.281999999999</v>
      </c>
      <c r="R160">
        <f t="shared" si="10"/>
        <v>0.99710067514834766</v>
      </c>
      <c r="S160">
        <v>1.9147688999999999E-2</v>
      </c>
      <c r="T160">
        <v>0.60358028900000005</v>
      </c>
      <c r="U160">
        <v>-0.48659861999999998</v>
      </c>
      <c r="V160">
        <v>22261527</v>
      </c>
      <c r="W160">
        <v>17.523595174086946</v>
      </c>
      <c r="X160">
        <v>1.1119477775257451</v>
      </c>
      <c r="Y160">
        <f t="shared" si="9"/>
        <v>0.72751028500039183</v>
      </c>
      <c r="Z160">
        <v>0.501</v>
      </c>
      <c r="AA160">
        <v>2.978872999999993E-3</v>
      </c>
      <c r="AB160">
        <v>-0.77002335569587399</v>
      </c>
      <c r="AC160" s="4">
        <v>0.18666666666666668</v>
      </c>
      <c r="AD160">
        <v>-3.6807404735138549E-3</v>
      </c>
      <c r="AF160">
        <f t="shared" si="11"/>
        <v>3.4523234995250007</v>
      </c>
      <c r="AG160">
        <f t="shared" si="12"/>
        <v>0.40552398991364036</v>
      </c>
      <c r="AH160">
        <f t="shared" si="13"/>
        <v>1.4307093217199807</v>
      </c>
    </row>
    <row r="161" spans="1:34" x14ac:dyDescent="0.35">
      <c r="A161" t="s">
        <v>171</v>
      </c>
      <c r="B161">
        <v>23930.796999999999</v>
      </c>
      <c r="C161">
        <v>4295130</v>
      </c>
      <c r="D161" s="7">
        <v>7355891</v>
      </c>
      <c r="E161" s="3">
        <v>2892.01</v>
      </c>
      <c r="F161" s="6">
        <v>10625.467458787482</v>
      </c>
      <c r="G161" s="6">
        <v>2</v>
      </c>
      <c r="H161">
        <v>-0.29329627251132301</v>
      </c>
      <c r="I161" s="4">
        <v>1.2714216205837172</v>
      </c>
      <c r="J161">
        <v>3.0863682779670398</v>
      </c>
      <c r="K161">
        <v>2.8248676069969401</v>
      </c>
      <c r="M161">
        <v>3.1181638795082631</v>
      </c>
      <c r="N161" s="8">
        <v>0.11280953671665189</v>
      </c>
      <c r="O161">
        <v>0.74815231358801304</v>
      </c>
      <c r="P161">
        <v>0.99033145495145902</v>
      </c>
      <c r="Q161" s="1">
        <v>15807.995000000001</v>
      </c>
      <c r="R161">
        <f t="shared" si="10"/>
        <v>0.99728127031897673</v>
      </c>
      <c r="S161">
        <v>1.1490886789999999</v>
      </c>
      <c r="T161">
        <v>-2.1975646659999999</v>
      </c>
      <c r="U161">
        <v>-2.6184162710000001</v>
      </c>
      <c r="V161">
        <v>22406235</v>
      </c>
      <c r="W161">
        <v>15.916132182314056</v>
      </c>
      <c r="X161">
        <v>1.1090255281068968</v>
      </c>
      <c r="Y161">
        <f t="shared" si="9"/>
        <v>1.0023181114318374</v>
      </c>
      <c r="Z161">
        <v>0.53800000000000003</v>
      </c>
      <c r="AA161">
        <v>1.6438935000000043E-2</v>
      </c>
      <c r="AB161">
        <v>-1.58881049483931</v>
      </c>
      <c r="AC161" s="4">
        <v>0.18666666666666668</v>
      </c>
      <c r="AD161">
        <v>1.442841287458374E-2</v>
      </c>
      <c r="AF161">
        <f t="shared" si="11"/>
        <v>4.5304044498399865</v>
      </c>
      <c r="AG161">
        <f t="shared" si="12"/>
        <v>0.441461688938311</v>
      </c>
      <c r="AH161">
        <f t="shared" si="13"/>
        <v>1.1944315850858978</v>
      </c>
    </row>
    <row r="162" spans="1:34" x14ac:dyDescent="0.35">
      <c r="A162" t="s">
        <v>172</v>
      </c>
      <c r="B162">
        <v>23905.808000000001</v>
      </c>
      <c r="C162">
        <v>4578993</v>
      </c>
      <c r="D162" s="7">
        <v>7516903</v>
      </c>
      <c r="E162" s="3">
        <v>2875.0859999999998</v>
      </c>
      <c r="F162" s="6">
        <v>10726.621487094935</v>
      </c>
      <c r="G162" s="6">
        <v>1.9</v>
      </c>
      <c r="H162">
        <v>-0.29198152816675199</v>
      </c>
      <c r="I162" s="4">
        <v>1.7934176881720427</v>
      </c>
      <c r="J162">
        <v>3.1148270096988599</v>
      </c>
      <c r="K162">
        <v>2.8138993279728899</v>
      </c>
      <c r="M162">
        <v>3.1058808561396418</v>
      </c>
      <c r="N162" s="8">
        <v>0.64818890366450466</v>
      </c>
      <c r="O162">
        <v>0.75664863915027203</v>
      </c>
      <c r="P162">
        <v>0.92122099808387303</v>
      </c>
      <c r="Q162" s="1">
        <v>15769.911</v>
      </c>
      <c r="R162">
        <f t="shared" si="10"/>
        <v>0.99756252741417883</v>
      </c>
      <c r="S162">
        <v>-1.0833278340000001</v>
      </c>
      <c r="T162">
        <v>0.34972921400000001</v>
      </c>
      <c r="U162">
        <v>-1.0523798900000001</v>
      </c>
      <c r="V162">
        <v>22476510</v>
      </c>
      <c r="W162">
        <v>15.758819266252718</v>
      </c>
      <c r="X162">
        <v>1.1090518924693553</v>
      </c>
      <c r="Y162">
        <f t="shared" si="9"/>
        <v>0.97475963225323004</v>
      </c>
      <c r="Z162">
        <v>0.54800000000000004</v>
      </c>
      <c r="AA162">
        <v>5.8354389999999423E-3</v>
      </c>
      <c r="AB162">
        <v>-0.93220479205566897</v>
      </c>
      <c r="AC162" s="4">
        <v>0.15666666666666668</v>
      </c>
      <c r="AD162">
        <v>8.0426639506381292E-4</v>
      </c>
      <c r="AF162">
        <f t="shared" si="11"/>
        <v>6.5104672508189854</v>
      </c>
      <c r="AG162">
        <f t="shared" si="12"/>
        <v>0.2918377325008415</v>
      </c>
      <c r="AH162">
        <f t="shared" si="13"/>
        <v>0.87304754305872478</v>
      </c>
    </row>
    <row r="163" spans="1:34" x14ac:dyDescent="0.35">
      <c r="A163" t="s">
        <v>173</v>
      </c>
      <c r="B163">
        <v>23919.517</v>
      </c>
      <c r="C163">
        <v>4650519</v>
      </c>
      <c r="D163" s="7">
        <v>7585566</v>
      </c>
      <c r="E163" s="3">
        <v>2919.5129999999999</v>
      </c>
      <c r="F163" s="6">
        <v>10811.282780441856</v>
      </c>
      <c r="G163" s="6">
        <v>2.2000000000000002</v>
      </c>
      <c r="H163">
        <v>-0.31039189073928097</v>
      </c>
      <c r="I163" s="4">
        <v>1.4730154761904759</v>
      </c>
      <c r="J163">
        <v>3.1207139252695</v>
      </c>
      <c r="K163">
        <v>2.9863874297058901</v>
      </c>
      <c r="M163">
        <v>3.2967793204451712</v>
      </c>
      <c r="N163" s="8">
        <v>0.33575500019971366</v>
      </c>
      <c r="O163">
        <v>0.75238606470499803</v>
      </c>
      <c r="P163">
        <v>0.93018128720699</v>
      </c>
      <c r="Q163" s="1">
        <v>15876.839</v>
      </c>
      <c r="R163">
        <f t="shared" si="10"/>
        <v>0.9991790498166323</v>
      </c>
      <c r="S163">
        <v>8.1994043000000003E-2</v>
      </c>
      <c r="T163">
        <v>0.39988548000000002</v>
      </c>
      <c r="U163">
        <v>2.3896843259999998</v>
      </c>
      <c r="V163">
        <v>22811407</v>
      </c>
      <c r="W163">
        <v>15.871148686416992</v>
      </c>
      <c r="X163">
        <v>1.1090916856909714</v>
      </c>
      <c r="Y163">
        <f t="shared" si="9"/>
        <v>1.8249669745315404</v>
      </c>
      <c r="Z163">
        <v>0.55300000000000005</v>
      </c>
      <c r="AA163">
        <v>2.2067530000000612E-3</v>
      </c>
      <c r="AB163">
        <v>0.39393525709238097</v>
      </c>
      <c r="AC163" s="4">
        <v>9.3333333333333338E-2</v>
      </c>
      <c r="AD163">
        <v>1.0676410522238999E-3</v>
      </c>
      <c r="AF163">
        <f t="shared" si="11"/>
        <v>7.1338415070020034</v>
      </c>
      <c r="AG163">
        <f t="shared" si="12"/>
        <v>0.30838924551949431</v>
      </c>
      <c r="AH163">
        <f t="shared" si="13"/>
        <v>0.74827906325580784</v>
      </c>
    </row>
    <row r="164" spans="1:34" x14ac:dyDescent="0.35">
      <c r="A164" t="s">
        <v>174</v>
      </c>
      <c r="B164">
        <v>23944.045999999998</v>
      </c>
      <c r="C164">
        <v>5013881</v>
      </c>
      <c r="D164" s="7">
        <v>7549266</v>
      </c>
      <c r="E164" s="3">
        <v>3008.9490000000001</v>
      </c>
      <c r="F164" s="6">
        <v>10853.601063378688</v>
      </c>
      <c r="G164" s="6">
        <v>2.1</v>
      </c>
      <c r="H164">
        <v>-0.33367484861295299</v>
      </c>
      <c r="I164" s="4">
        <v>0.60908898809523726</v>
      </c>
      <c r="J164">
        <v>3.0750806911844002</v>
      </c>
      <c r="K164">
        <v>3.3299776608321001</v>
      </c>
      <c r="M164">
        <v>3.6636525094450532</v>
      </c>
      <c r="N164" s="8">
        <v>0.17206988949508881</v>
      </c>
      <c r="O164">
        <v>0.75982319564826295</v>
      </c>
      <c r="P164">
        <v>1.044697822252</v>
      </c>
      <c r="Q164" s="1">
        <v>15870.683999999999</v>
      </c>
      <c r="R164">
        <f t="shared" si="10"/>
        <v>1.0000177482218091</v>
      </c>
      <c r="S164">
        <v>0.64616230399999997</v>
      </c>
      <c r="T164">
        <v>2.9440564949999999</v>
      </c>
      <c r="U164">
        <v>3.380963371</v>
      </c>
      <c r="V164">
        <v>22840634</v>
      </c>
      <c r="W164">
        <v>18.15967005691158</v>
      </c>
      <c r="X164">
        <v>1.1110805025552766</v>
      </c>
      <c r="Y164">
        <f t="shared" si="9"/>
        <v>2.181731185784463</v>
      </c>
      <c r="Z164">
        <v>0.56299999999999994</v>
      </c>
      <c r="AA164">
        <v>4.3600000000000305E-3</v>
      </c>
      <c r="AB164">
        <v>4.8862020723469302</v>
      </c>
      <c r="AC164" s="4">
        <v>8.3333333333333329E-2</v>
      </c>
      <c r="AD164">
        <v>8.078188199416303E-4</v>
      </c>
      <c r="AF164">
        <f t="shared" si="11"/>
        <v>2.3368301095620048</v>
      </c>
      <c r="AG164">
        <f t="shared" si="12"/>
        <v>0.89865326170142767</v>
      </c>
      <c r="AH164">
        <f t="shared" si="13"/>
        <v>0.39695854589005819</v>
      </c>
    </row>
    <row r="165" spans="1:34" x14ac:dyDescent="0.35">
      <c r="A165" t="s">
        <v>175</v>
      </c>
      <c r="B165">
        <v>24037.535</v>
      </c>
      <c r="C165">
        <v>5343698</v>
      </c>
      <c r="D165" s="7">
        <v>7675270</v>
      </c>
      <c r="E165" s="3">
        <v>3067.232</v>
      </c>
      <c r="F165" s="6">
        <v>10859.144740354166</v>
      </c>
      <c r="G165" s="6">
        <v>2.4</v>
      </c>
      <c r="H165">
        <v>-0.374776515066511</v>
      </c>
      <c r="I165" s="4">
        <v>0.15771512099921869</v>
      </c>
      <c r="J165">
        <v>3.0916110719835501</v>
      </c>
      <c r="K165">
        <v>3.3350409944202801</v>
      </c>
      <c r="M165">
        <v>3.7098175094867911</v>
      </c>
      <c r="N165" s="8">
        <v>-0.17909201136461966</v>
      </c>
      <c r="O165">
        <v>0.73770689326590699</v>
      </c>
      <c r="P165">
        <v>1.0180618726724</v>
      </c>
      <c r="Q165" s="1">
        <v>16048.701999999999</v>
      </c>
      <c r="R165">
        <f>R166/(1+N165/400)</f>
        <v>1.0004479305803831</v>
      </c>
      <c r="S165">
        <v>-0.60875249099999995</v>
      </c>
      <c r="T165">
        <v>0.32447595899999998</v>
      </c>
      <c r="U165">
        <v>-4.6667843659999999</v>
      </c>
      <c r="V165">
        <v>23087102</v>
      </c>
      <c r="W165">
        <v>17.01172661031595</v>
      </c>
      <c r="X165">
        <v>1.1114761445158143</v>
      </c>
      <c r="Y165">
        <f t="shared" si="9"/>
        <v>1.5509293404578917</v>
      </c>
      <c r="Z165">
        <v>0.59799999999999998</v>
      </c>
      <c r="AA165">
        <v>1.3639999999999985E-2</v>
      </c>
      <c r="AB165">
        <v>-2.1133242399799501</v>
      </c>
      <c r="AC165" s="4">
        <v>7.3333333333333334E-2</v>
      </c>
      <c r="AD165">
        <v>7.8188391342428609E-3</v>
      </c>
      <c r="AF165">
        <f t="shared" si="11"/>
        <v>0.52427940165102882</v>
      </c>
      <c r="AG165">
        <f t="shared" si="12"/>
        <v>4.5777117934484277</v>
      </c>
      <c r="AH165">
        <f t="shared" si="13"/>
        <v>0.65631230600811108</v>
      </c>
    </row>
    <row r="166" spans="1:34" x14ac:dyDescent="0.35">
      <c r="A166" t="s">
        <v>176</v>
      </c>
      <c r="B166">
        <v>24068.553</v>
      </c>
      <c r="C166">
        <v>5735451</v>
      </c>
      <c r="D166" s="7">
        <v>8452783</v>
      </c>
      <c r="E166" s="3">
        <v>3129.95</v>
      </c>
      <c r="F166" s="6">
        <v>10959.3</v>
      </c>
      <c r="G166" s="6">
        <v>3.1</v>
      </c>
      <c r="H166">
        <v>-0.414845712150613</v>
      </c>
      <c r="I166" s="4">
        <v>7.6403333333333157E-2</v>
      </c>
      <c r="J166">
        <v>3.1293494711016399</v>
      </c>
      <c r="K166">
        <v>2.9741715728788001</v>
      </c>
      <c r="M166">
        <v>3.3890172850294129</v>
      </c>
      <c r="N166" s="8">
        <v>0.54659078678248929</v>
      </c>
      <c r="O166">
        <v>0.71559723165546996</v>
      </c>
      <c r="P166">
        <v>0.912069944057188</v>
      </c>
      <c r="Q166" s="1">
        <v>16179.968000000001</v>
      </c>
      <c r="R166">
        <v>1</v>
      </c>
      <c r="S166">
        <v>-0.83450165200000004</v>
      </c>
      <c r="T166">
        <v>0.10112816600000001</v>
      </c>
      <c r="U166">
        <v>-0.32687476599999998</v>
      </c>
      <c r="V166">
        <v>23464432</v>
      </c>
      <c r="W166">
        <v>13.236467526940826</v>
      </c>
      <c r="X166">
        <v>1.1194555794797887</v>
      </c>
      <c r="Y166">
        <f t="shared" si="9"/>
        <v>2.2870649042195597</v>
      </c>
      <c r="Z166">
        <v>0.59399999999999997</v>
      </c>
      <c r="AA166">
        <v>-5.8000000000000274E-3</v>
      </c>
      <c r="AB166">
        <v>-1.17223630346594</v>
      </c>
      <c r="AC166" s="4">
        <v>0.10333333333333333</v>
      </c>
      <c r="AD166">
        <v>-3.7274849959796352E-3</v>
      </c>
      <c r="AF166">
        <f t="shared" si="11"/>
        <v>1.4522461402779907</v>
      </c>
      <c r="AG166">
        <f t="shared" si="12"/>
        <v>2.1346243684328843</v>
      </c>
      <c r="AH166">
        <f t="shared" si="13"/>
        <v>1.1148416023496033</v>
      </c>
    </row>
    <row r="167" spans="1:34" x14ac:dyDescent="0.35">
      <c r="A167" t="s">
        <v>177</v>
      </c>
      <c r="B167">
        <v>24133.947</v>
      </c>
      <c r="C167">
        <v>5789427</v>
      </c>
      <c r="D167" s="7">
        <v>8577375</v>
      </c>
      <c r="E167" s="3">
        <v>3177.2179999999998</v>
      </c>
      <c r="F167" s="6">
        <v>10953.830201746778</v>
      </c>
      <c r="G167" s="6">
        <v>2.2000000000000002</v>
      </c>
      <c r="H167">
        <v>-0.46773365714382098</v>
      </c>
      <c r="I167" s="4">
        <v>-0.20694732142857175</v>
      </c>
      <c r="J167">
        <v>3.1311500475088399</v>
      </c>
      <c r="K167">
        <v>2.6432846934374901</v>
      </c>
      <c r="M167">
        <v>3.1110183505813112</v>
      </c>
      <c r="N167" s="8">
        <v>1.2705108443626656E-2</v>
      </c>
      <c r="O167">
        <v>0.70555584675247196</v>
      </c>
      <c r="P167">
        <v>0.88215007984380001</v>
      </c>
      <c r="Q167" s="1">
        <v>16253.726000000001</v>
      </c>
      <c r="R167">
        <f>R166*(1+N167/400)</f>
        <v>1.0000317627711091</v>
      </c>
      <c r="S167">
        <v>-0.217619439</v>
      </c>
      <c r="T167">
        <v>-0.17054582800000001</v>
      </c>
      <c r="U167">
        <v>-0.90206171400000001</v>
      </c>
      <c r="V167">
        <v>23502474</v>
      </c>
      <c r="W167">
        <v>13.362178072111847</v>
      </c>
      <c r="X167">
        <v>1.1220301896916698</v>
      </c>
      <c r="Y167">
        <f t="shared" si="9"/>
        <v>2.1600445375623387</v>
      </c>
      <c r="Z167">
        <v>0.59299999999999997</v>
      </c>
      <c r="AA167">
        <v>1.6399999999999748E-3</v>
      </c>
      <c r="AB167">
        <v>-1.7899072970372701E-2</v>
      </c>
      <c r="AC167" s="4">
        <v>0.15333333333333332</v>
      </c>
      <c r="AD167">
        <v>-6.6493919362623499E-3</v>
      </c>
      <c r="AF167">
        <f t="shared" si="11"/>
        <v>1.0436122239339873</v>
      </c>
      <c r="AG167">
        <f t="shared" si="12"/>
        <v>2.10806269756683</v>
      </c>
      <c r="AH167">
        <f t="shared" si="13"/>
        <v>1.0188893466801296</v>
      </c>
    </row>
    <row r="168" spans="1:34" x14ac:dyDescent="0.35">
      <c r="A168" t="s">
        <v>178</v>
      </c>
      <c r="B168">
        <v>24340.097000000002</v>
      </c>
      <c r="C168">
        <v>5914330</v>
      </c>
      <c r="D168" s="7">
        <v>8651095</v>
      </c>
      <c r="E168" s="3">
        <v>3170.9459999999999</v>
      </c>
      <c r="F168" s="6">
        <v>10961.311735831785</v>
      </c>
      <c r="G168" s="6">
        <v>2.4</v>
      </c>
      <c r="H168">
        <v>-0.48123834306043101</v>
      </c>
      <c r="I168" s="4">
        <v>-0.46215587301587391</v>
      </c>
      <c r="J168">
        <v>3.1547647279225002</v>
      </c>
      <c r="K168">
        <v>2.4407335508563399</v>
      </c>
      <c r="M168">
        <v>2.9219718939167709</v>
      </c>
      <c r="N168" s="8">
        <v>0.27991948624075969</v>
      </c>
      <c r="O168">
        <v>0.71137390567288095</v>
      </c>
      <c r="P168">
        <v>0.82532662331989004</v>
      </c>
      <c r="Q168" s="1">
        <v>16282.151</v>
      </c>
      <c r="R168">
        <f t="shared" ref="R168:R211" si="14">R167*(1+N168/400)</f>
        <v>1.0007315837142574</v>
      </c>
      <c r="S168">
        <v>-0.73819541499999997</v>
      </c>
      <c r="T168">
        <v>-1.173894478</v>
      </c>
      <c r="U168">
        <v>-1.116435316</v>
      </c>
      <c r="V168">
        <v>23972363</v>
      </c>
      <c r="W168">
        <v>15.290151505465703</v>
      </c>
      <c r="X168">
        <v>1.1206180747497596</v>
      </c>
      <c r="Y168">
        <f t="shared" si="9"/>
        <v>1.3135290048151245</v>
      </c>
      <c r="Z168">
        <v>0.58599999999999997</v>
      </c>
      <c r="AA168">
        <v>-3.5671229999999499E-3</v>
      </c>
      <c r="AB168">
        <v>-1.2651619473176301</v>
      </c>
      <c r="AC168" s="4">
        <v>0.14333333333333334</v>
      </c>
      <c r="AD168">
        <v>-1.4769994051551327E-2</v>
      </c>
      <c r="AF168">
        <f t="shared" si="11"/>
        <v>7.9684036738099984</v>
      </c>
      <c r="AG168">
        <f t="shared" si="12"/>
        <v>0.30118956044962369</v>
      </c>
      <c r="AH168">
        <f t="shared" si="13"/>
        <v>1.1116133528812355</v>
      </c>
    </row>
    <row r="169" spans="1:34" x14ac:dyDescent="0.35">
      <c r="A169" t="s">
        <v>179</v>
      </c>
      <c r="B169">
        <v>24516.061000000002</v>
      </c>
      <c r="C169">
        <v>5977715</v>
      </c>
      <c r="D169" s="7">
        <v>8745336</v>
      </c>
      <c r="E169" s="3">
        <v>3208.1779999999999</v>
      </c>
      <c r="F169" s="6">
        <v>11017.443044218429</v>
      </c>
      <c r="G169" s="6">
        <v>2.1</v>
      </c>
      <c r="H169">
        <v>-0.47206541004858299</v>
      </c>
      <c r="I169" s="4">
        <v>-0.46660820062451269</v>
      </c>
      <c r="J169">
        <v>3.1487048947455198</v>
      </c>
      <c r="K169">
        <v>2.4377672496833198</v>
      </c>
      <c r="M169">
        <v>2.9098326597319026</v>
      </c>
      <c r="N169" s="8">
        <v>-0.2606692108547487</v>
      </c>
      <c r="O169">
        <v>0.71528796146653395</v>
      </c>
      <c r="P169">
        <v>0.80250873881961504</v>
      </c>
      <c r="Q169" s="1">
        <v>16300.035</v>
      </c>
      <c r="R169">
        <f t="shared" si="14"/>
        <v>1.0000794339337469</v>
      </c>
      <c r="S169">
        <v>1.2729780530000001</v>
      </c>
      <c r="T169">
        <v>-0.80718583099999996</v>
      </c>
      <c r="U169">
        <v>-0.16894062600000001</v>
      </c>
      <c r="V169">
        <v>24580740</v>
      </c>
      <c r="W169">
        <v>18.898854568568957</v>
      </c>
      <c r="X169">
        <v>1.1207427993873542</v>
      </c>
      <c r="Y169">
        <f t="shared" si="9"/>
        <v>0.51977919277994755</v>
      </c>
      <c r="Z169">
        <v>0.59599999999999997</v>
      </c>
      <c r="AA169">
        <v>1.5171229999999536E-3</v>
      </c>
      <c r="AB169">
        <v>-1.06204472013061</v>
      </c>
      <c r="AC169" s="4">
        <v>0.16</v>
      </c>
      <c r="AD169">
        <v>2.2177327967442206E-2</v>
      </c>
      <c r="AF169">
        <f t="shared" si="11"/>
        <v>5.7093822761969726</v>
      </c>
      <c r="AG169">
        <f t="shared" si="12"/>
        <v>0.36781562319887484</v>
      </c>
      <c r="AH169">
        <f t="shared" si="13"/>
        <v>0.67486239989182906</v>
      </c>
    </row>
    <row r="170" spans="1:34" x14ac:dyDescent="0.35">
      <c r="A170" t="s">
        <v>180</v>
      </c>
      <c r="B170">
        <v>24539.154999999999</v>
      </c>
      <c r="C170">
        <v>6110852</v>
      </c>
      <c r="D170" s="7">
        <v>8907358</v>
      </c>
      <c r="E170" s="3">
        <v>3239.2289999999998</v>
      </c>
      <c r="F170" s="6">
        <v>11073.000709436523</v>
      </c>
      <c r="G170" s="6">
        <v>1.7</v>
      </c>
      <c r="H170">
        <v>-0.46008536002609701</v>
      </c>
      <c r="I170" s="4">
        <v>-0.28504690476190486</v>
      </c>
      <c r="J170">
        <v>3.1801946979789899</v>
      </c>
      <c r="K170">
        <v>2.3107349583930499</v>
      </c>
      <c r="M170">
        <v>2.7708203184191467</v>
      </c>
      <c r="N170" s="8">
        <v>0.45872807688565831</v>
      </c>
      <c r="O170">
        <v>0.71595231831453998</v>
      </c>
      <c r="P170">
        <v>0.809772130158813</v>
      </c>
      <c r="Q170" s="1">
        <v>16441.485000000001</v>
      </c>
      <c r="R170">
        <f t="shared" si="14"/>
        <v>1.0012263452224002</v>
      </c>
      <c r="S170">
        <v>-1.1628730549999999</v>
      </c>
      <c r="T170">
        <v>1.925884699</v>
      </c>
      <c r="U170">
        <v>-0.22683251500000001</v>
      </c>
      <c r="V170">
        <v>24634614</v>
      </c>
      <c r="W170">
        <v>17.80486570004452</v>
      </c>
      <c r="X170">
        <v>1.1197471630930604</v>
      </c>
      <c r="Y170">
        <f t="shared" ref="Y170:Y211" si="15">_xlfn.STDEV.P(W170:W173)</f>
        <v>8.0937949029566997E-2</v>
      </c>
      <c r="Z170">
        <v>0.59299999999999997</v>
      </c>
      <c r="AA170">
        <v>-1.0858107999999977E-2</v>
      </c>
      <c r="AB170">
        <v>-1.1040287738735499</v>
      </c>
      <c r="AC170" s="4">
        <v>0.14333333333333334</v>
      </c>
      <c r="AD170">
        <v>2.6327964090135936E-3</v>
      </c>
      <c r="AF170">
        <f t="shared" si="11"/>
        <v>5.0845226877350047</v>
      </c>
      <c r="AG170">
        <f t="shared" si="12"/>
        <v>0.33434800165230388</v>
      </c>
      <c r="AH170">
        <f t="shared" si="13"/>
        <v>0.69633822378687427</v>
      </c>
    </row>
    <row r="171" spans="1:34" x14ac:dyDescent="0.35">
      <c r="A171" t="s">
        <v>181</v>
      </c>
      <c r="B171">
        <v>24708.126</v>
      </c>
      <c r="C171">
        <v>5912176</v>
      </c>
      <c r="D171" s="7">
        <v>8614721</v>
      </c>
      <c r="E171" s="3">
        <v>3257.752</v>
      </c>
      <c r="F171" s="6">
        <v>11057.971850160597</v>
      </c>
      <c r="G171" s="6">
        <v>2</v>
      </c>
      <c r="H171">
        <v>-0.45469730657335999</v>
      </c>
      <c r="I171" s="4">
        <v>-0.26640536585365915</v>
      </c>
      <c r="J171">
        <v>3.2106132318619802</v>
      </c>
      <c r="K171">
        <v>2.2820455202998202</v>
      </c>
      <c r="M171">
        <v>2.7367428268731802</v>
      </c>
      <c r="N171" s="8">
        <v>0.10468254606998567</v>
      </c>
      <c r="O171">
        <v>0.68643444906954598</v>
      </c>
      <c r="P171">
        <v>0.817410851927591</v>
      </c>
      <c r="Q171" s="1">
        <v>16464.401999999998</v>
      </c>
      <c r="R171">
        <f t="shared" si="14"/>
        <v>1.0014883725299257</v>
      </c>
      <c r="S171">
        <v>-2.616339354</v>
      </c>
      <c r="T171">
        <v>1.3218151659999999</v>
      </c>
      <c r="U171">
        <v>0.76916278299999996</v>
      </c>
      <c r="V171">
        <v>24454757</v>
      </c>
      <c r="W171">
        <v>17.59875974668627</v>
      </c>
      <c r="X171">
        <v>1.1147161818427154</v>
      </c>
      <c r="Y171">
        <f t="shared" si="15"/>
        <v>0.12246324878585721</v>
      </c>
      <c r="Z171">
        <v>0.5615</v>
      </c>
      <c r="AA171">
        <v>-1.2668919999999639E-3</v>
      </c>
      <c r="AB171">
        <v>-0.94657627963792701</v>
      </c>
      <c r="AC171" s="4">
        <v>0.11666666666666667</v>
      </c>
      <c r="AD171">
        <v>-1.764104009925338E-2</v>
      </c>
      <c r="AF171">
        <f t="shared" si="11"/>
        <v>7.946318435314037</v>
      </c>
      <c r="AG171">
        <f t="shared" si="12"/>
        <v>0.25168888162244413</v>
      </c>
      <c r="AH171">
        <f t="shared" si="13"/>
        <v>0.5593027133910411</v>
      </c>
    </row>
    <row r="172" spans="1:34" x14ac:dyDescent="0.35">
      <c r="A172" t="s">
        <v>182</v>
      </c>
      <c r="B172">
        <v>24968.741000000002</v>
      </c>
      <c r="C172">
        <v>5911205</v>
      </c>
      <c r="D172" s="7">
        <v>8830284</v>
      </c>
      <c r="E172" s="3">
        <v>3305.8409999999999</v>
      </c>
      <c r="F172" s="6">
        <v>11101.498522561738</v>
      </c>
      <c r="G172" s="6">
        <v>2</v>
      </c>
      <c r="H172">
        <v>-0.43043899955387299</v>
      </c>
      <c r="I172" s="4">
        <v>0.43372924999999984</v>
      </c>
      <c r="J172">
        <v>3.2284782472843898</v>
      </c>
      <c r="K172">
        <v>2.3024897114010101</v>
      </c>
      <c r="M172">
        <v>2.7329287109548832</v>
      </c>
      <c r="N172" s="8">
        <v>9.1997785851456029E-2</v>
      </c>
      <c r="O172">
        <v>0.67632809113370695</v>
      </c>
      <c r="P172">
        <v>0.84172166091746603</v>
      </c>
      <c r="Q172" s="1">
        <v>16594.742999999999</v>
      </c>
      <c r="R172">
        <f t="shared" si="14"/>
        <v>1.0017187093119977</v>
      </c>
      <c r="S172">
        <v>-0.70887009300000003</v>
      </c>
      <c r="T172">
        <v>1.183553195</v>
      </c>
      <c r="U172">
        <v>3.0942278E-2</v>
      </c>
      <c r="V172">
        <v>24756349</v>
      </c>
      <c r="W172">
        <v>17.72814446778969</v>
      </c>
      <c r="X172">
        <v>1.1150705097608189</v>
      </c>
      <c r="Y172">
        <f t="shared" si="15"/>
        <v>0.1368721223383598</v>
      </c>
      <c r="Z172">
        <v>0.56799999999999995</v>
      </c>
      <c r="AA172">
        <v>-7.0416670000000847E-3</v>
      </c>
      <c r="AB172">
        <v>-0.56107576531154801</v>
      </c>
      <c r="AC172" s="4">
        <v>8.3333333333333329E-2</v>
      </c>
      <c r="AD172">
        <v>-2.0301210641826439E-2</v>
      </c>
      <c r="AF172">
        <f t="shared" si="11"/>
        <v>7.3713519361889634</v>
      </c>
      <c r="AG172">
        <f t="shared" si="12"/>
        <v>0.27132065017560575</v>
      </c>
      <c r="AH172">
        <f t="shared" si="13"/>
        <v>0.82587528963822265</v>
      </c>
    </row>
    <row r="173" spans="1:34" x14ac:dyDescent="0.35">
      <c r="A173" t="s">
        <v>183</v>
      </c>
      <c r="B173">
        <v>25262.254000000001</v>
      </c>
      <c r="C173">
        <v>6265883</v>
      </c>
      <c r="D173" s="7">
        <v>8819288</v>
      </c>
      <c r="E173" s="3">
        <v>3336.17</v>
      </c>
      <c r="F173" s="6">
        <v>11192.709348322813</v>
      </c>
      <c r="G173" s="6">
        <v>1.6</v>
      </c>
      <c r="H173">
        <v>-0.40463646778773299</v>
      </c>
      <c r="I173" s="4">
        <v>0.45270380479735239</v>
      </c>
      <c r="J173">
        <v>3.2542142155979601</v>
      </c>
      <c r="K173">
        <v>2.1129805284587202</v>
      </c>
      <c r="M173">
        <v>2.5176169962464532</v>
      </c>
      <c r="N173" s="8">
        <v>-0.15678396494035368</v>
      </c>
      <c r="O173">
        <v>0.67288638287505997</v>
      </c>
      <c r="P173">
        <v>0.82150993236291803</v>
      </c>
      <c r="Q173" s="1">
        <v>16712.759999999998</v>
      </c>
      <c r="R173">
        <f t="shared" si="14"/>
        <v>1.0013260757344955</v>
      </c>
      <c r="S173">
        <v>-6.2481050000000003E-2</v>
      </c>
      <c r="T173">
        <v>-1.3005294489999999</v>
      </c>
      <c r="U173">
        <v>-0.37181786</v>
      </c>
      <c r="V173">
        <v>24922501</v>
      </c>
      <c r="W173">
        <v>17.633115383346347</v>
      </c>
      <c r="X173">
        <v>1.1122059781555746</v>
      </c>
      <c r="Y173">
        <f t="shared" si="15"/>
        <v>0.20621563355397676</v>
      </c>
      <c r="Z173">
        <v>0.58799999999999997</v>
      </c>
      <c r="AA173">
        <v>1.9656104000000063E-2</v>
      </c>
      <c r="AB173">
        <v>-1.60863007134494</v>
      </c>
      <c r="AC173" s="4">
        <v>8.666666666666667E-2</v>
      </c>
      <c r="AD173">
        <v>3.5524096200223676E-2</v>
      </c>
      <c r="AF173">
        <f t="shared" si="11"/>
        <v>10.550932085244025</v>
      </c>
      <c r="AG173">
        <f t="shared" si="12"/>
        <v>0.15164537000836878</v>
      </c>
      <c r="AH173">
        <f t="shared" si="13"/>
        <v>1.0859639694145606</v>
      </c>
    </row>
    <row r="174" spans="1:34" x14ac:dyDescent="0.35">
      <c r="A174" t="s">
        <v>184</v>
      </c>
      <c r="B174">
        <v>25423.289000000001</v>
      </c>
      <c r="C174">
        <v>6541384</v>
      </c>
      <c r="D174" s="7">
        <v>9067218</v>
      </c>
      <c r="E174" s="3">
        <v>3348.4589999999998</v>
      </c>
      <c r="F174" s="6">
        <v>11246.457623618748</v>
      </c>
      <c r="G174" s="6">
        <v>1.7</v>
      </c>
      <c r="H174">
        <v>-0.39119622603069898</v>
      </c>
      <c r="I174" s="4">
        <v>0.45552430974978364</v>
      </c>
      <c r="J174">
        <v>3.2634442400966401</v>
      </c>
      <c r="K174">
        <v>2.2027839037926702</v>
      </c>
      <c r="M174">
        <v>2.5939801298233691</v>
      </c>
      <c r="N174" s="8">
        <v>0.46194001501443394</v>
      </c>
      <c r="O174">
        <v>0.68000562257298203</v>
      </c>
      <c r="P174">
        <v>0.822618586838614</v>
      </c>
      <c r="Q174" s="1">
        <v>16654.246999999999</v>
      </c>
      <c r="R174">
        <f t="shared" si="14"/>
        <v>1.0024824571906432</v>
      </c>
      <c r="S174">
        <v>-0.52100155299999995</v>
      </c>
      <c r="T174">
        <v>1.8241382079999999</v>
      </c>
      <c r="U174">
        <v>-0.79833556699999997</v>
      </c>
      <c r="V174">
        <v>25173023</v>
      </c>
      <c r="W174">
        <v>17.914121362321485</v>
      </c>
      <c r="X174">
        <v>1.1139013800817141</v>
      </c>
      <c r="Y174">
        <f t="shared" si="15"/>
        <v>0.12992766252922291</v>
      </c>
      <c r="Z174">
        <v>0.59899999999999998</v>
      </c>
      <c r="AA174">
        <v>-1.2717698E-2</v>
      </c>
      <c r="AB174">
        <v>-0.73967951928839104</v>
      </c>
      <c r="AC174" s="4">
        <v>7.3333333333333334E-2</v>
      </c>
      <c r="AD174">
        <v>-8.6143834810401554E-3</v>
      </c>
      <c r="AF174">
        <f t="shared" si="11"/>
        <v>8.3249542117650233</v>
      </c>
      <c r="AG174">
        <f t="shared" si="12"/>
        <v>0.20420532735153299</v>
      </c>
      <c r="AH174">
        <f t="shared" si="13"/>
        <v>0.55839608267751473</v>
      </c>
    </row>
    <row r="175" spans="1:34" x14ac:dyDescent="0.35">
      <c r="A175" t="s">
        <v>185</v>
      </c>
      <c r="B175">
        <v>25683.356</v>
      </c>
      <c r="C175">
        <v>6643993</v>
      </c>
      <c r="D175" s="7">
        <v>9425406</v>
      </c>
      <c r="E175" s="3">
        <v>3437.808</v>
      </c>
      <c r="F175" s="6">
        <v>11358.663324694899</v>
      </c>
      <c r="G175" s="6">
        <v>2.1</v>
      </c>
      <c r="H175">
        <v>-0.37800538298024</v>
      </c>
      <c r="I175" s="4">
        <v>0.29013075933075871</v>
      </c>
      <c r="J175">
        <v>3.2828626386341599</v>
      </c>
      <c r="K175">
        <v>2.0912673287812402</v>
      </c>
      <c r="M175">
        <v>2.4692727117614801</v>
      </c>
      <c r="N175" s="8">
        <v>0.28838304124335135</v>
      </c>
      <c r="O175">
        <v>0.66512900265762798</v>
      </c>
      <c r="P175">
        <v>0.82088490807357695</v>
      </c>
      <c r="Q175" s="1">
        <v>16868.109</v>
      </c>
      <c r="R175">
        <f t="shared" si="14"/>
        <v>1.0032052045401376</v>
      </c>
      <c r="S175">
        <v>-0.370779054</v>
      </c>
      <c r="T175">
        <v>-0.10704255</v>
      </c>
      <c r="U175">
        <v>0.63173997299999995</v>
      </c>
      <c r="V175">
        <v>25450056</v>
      </c>
      <c r="W175">
        <v>17.971611829086889</v>
      </c>
      <c r="X175">
        <v>1.1165644488921846</v>
      </c>
      <c r="Y175">
        <f t="shared" si="15"/>
        <v>0.18334949774529216</v>
      </c>
      <c r="Z175">
        <v>0.58899999999999997</v>
      </c>
      <c r="AA175">
        <v>-5.1304349999999888E-3</v>
      </c>
      <c r="AB175">
        <v>-1.82288816465549</v>
      </c>
      <c r="AC175" s="4">
        <v>9.3333333333333338E-2</v>
      </c>
      <c r="AD175">
        <v>-2.8892089658512199E-2</v>
      </c>
      <c r="AF175">
        <f t="shared" si="11"/>
        <v>7.2249406772179725</v>
      </c>
      <c r="AG175">
        <f t="shared" si="12"/>
        <v>0.29065982598609014</v>
      </c>
      <c r="AH175">
        <f t="shared" si="13"/>
        <v>1.0520437300528762</v>
      </c>
    </row>
    <row r="176" spans="1:34" x14ac:dyDescent="0.35">
      <c r="A176" t="s">
        <v>186</v>
      </c>
      <c r="B176">
        <v>25859.094000000001</v>
      </c>
      <c r="C176">
        <v>6870610</v>
      </c>
      <c r="D176" s="7">
        <v>9504041</v>
      </c>
      <c r="E176" s="3">
        <v>3494.1480000000001</v>
      </c>
      <c r="F176" s="6">
        <v>11453.495515879025</v>
      </c>
      <c r="G176" s="6">
        <v>2.2999999999999998</v>
      </c>
      <c r="H176">
        <v>-0.371639470794694</v>
      </c>
      <c r="I176" s="4">
        <v>0.15192874999999928</v>
      </c>
      <c r="J176">
        <v>3.29311417431592</v>
      </c>
      <c r="K176">
        <v>2.02493586993773</v>
      </c>
      <c r="M176">
        <v>2.396575340732424</v>
      </c>
      <c r="N176" s="8">
        <v>-4.360464352140897E-2</v>
      </c>
      <c r="O176">
        <v>0.69241830137203597</v>
      </c>
      <c r="P176">
        <v>0.85801742550714699</v>
      </c>
      <c r="Q176" s="1">
        <v>17064.616000000002</v>
      </c>
      <c r="R176">
        <f t="shared" si="14"/>
        <v>1.0030958435268307</v>
      </c>
      <c r="S176">
        <v>0.75233947899999998</v>
      </c>
      <c r="T176">
        <v>-0.89984993400000002</v>
      </c>
      <c r="U176">
        <v>-0.27432499900000001</v>
      </c>
      <c r="V176">
        <v>25612107</v>
      </c>
      <c r="W176">
        <v>18.212859807291061</v>
      </c>
      <c r="X176">
        <v>1.1172327327870737</v>
      </c>
      <c r="Y176">
        <f t="shared" si="15"/>
        <v>0.23717048834397483</v>
      </c>
      <c r="Z176">
        <v>0.58699999999999997</v>
      </c>
      <c r="AA176">
        <v>-2.9565209999999897E-3</v>
      </c>
      <c r="AB176">
        <v>0.37688358069097999</v>
      </c>
      <c r="AC176" s="4">
        <v>0.09</v>
      </c>
      <c r="AD176">
        <v>-7.1482259200980058E-3</v>
      </c>
      <c r="AF176">
        <f t="shared" si="11"/>
        <v>6.4635927031530205</v>
      </c>
      <c r="AG176">
        <f t="shared" si="12"/>
        <v>0.35583925312590187</v>
      </c>
      <c r="AH176">
        <f t="shared" si="13"/>
        <v>1.2125988973564539</v>
      </c>
    </row>
    <row r="177" spans="1:34" x14ac:dyDescent="0.35">
      <c r="A177" t="s">
        <v>187</v>
      </c>
      <c r="B177">
        <v>26150.169000000002</v>
      </c>
      <c r="C177">
        <v>7143309</v>
      </c>
      <c r="D177" s="7">
        <v>9780520</v>
      </c>
      <c r="E177" s="3">
        <v>3533.0569999999998</v>
      </c>
      <c r="F177" s="6">
        <v>11524.37757321043</v>
      </c>
      <c r="G177" s="6">
        <v>3.2</v>
      </c>
      <c r="H177">
        <v>-0.37784021636049198</v>
      </c>
      <c r="I177" s="4">
        <v>-8.9424543778802157E-2</v>
      </c>
      <c r="J177">
        <v>3.3116297539878401</v>
      </c>
      <c r="K177">
        <v>1.9046793272515801</v>
      </c>
      <c r="M177">
        <v>2.282519543612072</v>
      </c>
      <c r="N177" s="8">
        <v>-0.45272655545419899</v>
      </c>
      <c r="O177">
        <v>0.74473787427930505</v>
      </c>
      <c r="P177">
        <v>0.84661246742168506</v>
      </c>
      <c r="Q177" s="1">
        <v>17141.235000000001</v>
      </c>
      <c r="R177">
        <f t="shared" si="14"/>
        <v>1.001960523211755</v>
      </c>
      <c r="S177">
        <v>2.1928863879999998</v>
      </c>
      <c r="T177">
        <v>-2.9063466509999998</v>
      </c>
      <c r="U177">
        <v>-2.442410067</v>
      </c>
      <c r="V177">
        <v>26045082</v>
      </c>
      <c r="W177">
        <v>17.881098474311514</v>
      </c>
      <c r="X177">
        <v>1.1195344597875374</v>
      </c>
      <c r="Y177">
        <f t="shared" si="15"/>
        <v>0.75803508702206435</v>
      </c>
      <c r="Z177">
        <v>0.59399999999999997</v>
      </c>
      <c r="AA177">
        <v>3.3341335999999999E-2</v>
      </c>
      <c r="AB177">
        <v>-0.47406379110615898</v>
      </c>
      <c r="AC177" s="4">
        <v>0.1</v>
      </c>
      <c r="AD177">
        <v>4.6849199931959573E-2</v>
      </c>
      <c r="AF177">
        <f t="shared" si="11"/>
        <v>5.7415538389880005</v>
      </c>
      <c r="AG177">
        <f t="shared" si="12"/>
        <v>0.55734041511035071</v>
      </c>
      <c r="AH177">
        <f t="shared" si="13"/>
        <v>1.0993932342317159</v>
      </c>
    </row>
    <row r="178" spans="1:34" x14ac:dyDescent="0.35">
      <c r="A178" t="s">
        <v>188</v>
      </c>
      <c r="B178">
        <v>26332.144</v>
      </c>
      <c r="C178">
        <v>7129254</v>
      </c>
      <c r="D178" s="7">
        <v>9904565</v>
      </c>
      <c r="E178" s="3">
        <v>3536.69</v>
      </c>
      <c r="F178" s="6">
        <v>11513.69399374812</v>
      </c>
      <c r="G178" s="6">
        <v>3</v>
      </c>
      <c r="H178">
        <v>-0.394012615132877</v>
      </c>
      <c r="I178" s="4">
        <v>-0.4213604821600776</v>
      </c>
      <c r="J178">
        <v>3.3145633949810001</v>
      </c>
      <c r="K178">
        <v>1.8640204173628201</v>
      </c>
      <c r="M178">
        <v>2.258033032495697</v>
      </c>
      <c r="N178" s="8">
        <v>0.18629580537987137</v>
      </c>
      <c r="O178">
        <v>0.80369404808188205</v>
      </c>
      <c r="P178">
        <v>0.85171872199571497</v>
      </c>
      <c r="Q178" s="1">
        <v>17280.647000000001</v>
      </c>
      <c r="R178">
        <f t="shared" si="14"/>
        <v>1.0024271758183314</v>
      </c>
      <c r="S178">
        <v>-1.150652389</v>
      </c>
      <c r="T178">
        <v>-1.0551957759999999</v>
      </c>
      <c r="U178">
        <v>-0.64654783599999999</v>
      </c>
      <c r="V178">
        <v>26157114</v>
      </c>
      <c r="W178">
        <v>18.339448771362751</v>
      </c>
      <c r="X178">
        <v>1.1199840468116542</v>
      </c>
      <c r="Y178">
        <f t="shared" si="15"/>
        <v>0.65986079487906846</v>
      </c>
      <c r="Z178">
        <v>0.56799999999999995</v>
      </c>
      <c r="AA178">
        <v>-1.9867028000000064E-2</v>
      </c>
      <c r="AB178">
        <v>-1.6420875434289599</v>
      </c>
      <c r="AC178" s="4">
        <v>0.11</v>
      </c>
      <c r="AD178">
        <v>-8.4821697049235478E-3</v>
      </c>
      <c r="AF178">
        <f t="shared" si="11"/>
        <v>5.1119154884359919</v>
      </c>
      <c r="AG178">
        <f t="shared" si="12"/>
        <v>0.58686416212992998</v>
      </c>
      <c r="AH178">
        <f t="shared" si="13"/>
        <v>1.6034997334747558</v>
      </c>
    </row>
    <row r="179" spans="1:34" x14ac:dyDescent="0.35">
      <c r="A179" t="s">
        <v>189</v>
      </c>
      <c r="B179">
        <v>26738.187999999998</v>
      </c>
      <c r="C179">
        <v>6849099</v>
      </c>
      <c r="D179" s="7">
        <v>9833963</v>
      </c>
      <c r="E179" s="3">
        <v>3579.1289999999999</v>
      </c>
      <c r="F179" s="6">
        <v>11609.990929754695</v>
      </c>
      <c r="G179" s="6">
        <v>2.6</v>
      </c>
      <c r="H179">
        <v>-0.37708924895957202</v>
      </c>
      <c r="I179" s="4">
        <v>-0.25672500000000076</v>
      </c>
      <c r="J179">
        <v>3.3222286823374598</v>
      </c>
      <c r="K179">
        <v>1.8323220610617399</v>
      </c>
      <c r="M179">
        <v>2.209411310021312</v>
      </c>
      <c r="N179" s="8">
        <v>0.35443250928701664</v>
      </c>
      <c r="O179">
        <v>0.78124466625646605</v>
      </c>
      <c r="P179">
        <v>0.84736692979958494</v>
      </c>
      <c r="Q179" s="1">
        <v>17380.875</v>
      </c>
      <c r="R179">
        <f t="shared" si="14"/>
        <v>1.0033154077665882</v>
      </c>
      <c r="S179">
        <v>-0.39101440100000001</v>
      </c>
      <c r="T179">
        <v>0.53039319699999998</v>
      </c>
      <c r="U179">
        <v>0.12045721400000001</v>
      </c>
      <c r="V179">
        <v>26071303</v>
      </c>
      <c r="W179">
        <v>18.532525567831765</v>
      </c>
      <c r="X179">
        <v>1.1191888736367872</v>
      </c>
      <c r="Y179">
        <f t="shared" si="15"/>
        <v>0.5284733024007473</v>
      </c>
      <c r="Z179">
        <v>0.5615</v>
      </c>
      <c r="AA179">
        <v>1.9545450000000297E-3</v>
      </c>
      <c r="AC179" s="4">
        <v>0.12333333333333334</v>
      </c>
      <c r="AD179">
        <v>-6.9266046254512492E-4</v>
      </c>
      <c r="AF179">
        <f t="shared" si="11"/>
        <v>3.936604370329988</v>
      </c>
      <c r="AG179">
        <f t="shared" si="12"/>
        <v>0.66046769129153149</v>
      </c>
      <c r="AH179">
        <f t="shared" si="13"/>
        <v>1.3005237496878763</v>
      </c>
    </row>
    <row r="180" spans="1:34" x14ac:dyDescent="0.35">
      <c r="A180" t="s">
        <v>190</v>
      </c>
      <c r="B180">
        <v>26952.505000000001</v>
      </c>
      <c r="C180">
        <v>6877478</v>
      </c>
      <c r="D180" s="7">
        <v>9741219</v>
      </c>
      <c r="E180" s="3">
        <v>3607.0610000000001</v>
      </c>
      <c r="F180" s="6">
        <v>11691.174172734669</v>
      </c>
      <c r="G180" s="6">
        <v>1.8</v>
      </c>
      <c r="H180">
        <v>-0.367693382935597</v>
      </c>
      <c r="I180" s="4">
        <v>-0.23287343750000078</v>
      </c>
      <c r="J180">
        <v>3.3015915379661398</v>
      </c>
      <c r="K180">
        <v>1.93715911626213</v>
      </c>
      <c r="M180">
        <v>2.3048524991977271</v>
      </c>
      <c r="N180" s="8">
        <v>-9.6866189960909302E-2</v>
      </c>
      <c r="O180">
        <v>0.76161739001631501</v>
      </c>
      <c r="P180">
        <v>0.90505959838462202</v>
      </c>
      <c r="Q180" s="1">
        <v>17437.080000000002</v>
      </c>
      <c r="R180">
        <f t="shared" si="14"/>
        <v>1.0030724394143897</v>
      </c>
      <c r="V180">
        <v>26172061</v>
      </c>
      <c r="W180">
        <v>19.914178625676286</v>
      </c>
      <c r="X180">
        <v>1.119662111570759</v>
      </c>
      <c r="Y180">
        <f t="shared" si="15"/>
        <v>0.13859693874773685</v>
      </c>
      <c r="Z180">
        <v>0.5615</v>
      </c>
      <c r="AA180">
        <v>1.454545500000004E-2</v>
      </c>
      <c r="AC180" s="4">
        <v>0.13666666666666666</v>
      </c>
      <c r="AD180">
        <v>-1.7358753488939005E-2</v>
      </c>
      <c r="AF180">
        <f t="shared" si="11"/>
        <v>0.84773636502197824</v>
      </c>
      <c r="AG180">
        <f t="shared" si="12"/>
        <v>2.1233016233216957</v>
      </c>
      <c r="AH180">
        <f t="shared" si="13"/>
        <v>0.93772401409575323</v>
      </c>
    </row>
    <row r="181" spans="1:34" x14ac:dyDescent="0.35">
      <c r="A181" t="s">
        <v>191</v>
      </c>
      <c r="B181">
        <v>27134.966</v>
      </c>
      <c r="C181">
        <v>7404484</v>
      </c>
      <c r="D181" s="7">
        <v>9716584</v>
      </c>
      <c r="E181" s="3">
        <v>3594.9830000000002</v>
      </c>
      <c r="F181" s="6">
        <v>11704.739726989697</v>
      </c>
      <c r="G181" s="6">
        <v>1.3</v>
      </c>
      <c r="H181">
        <v>-0.367963863687648</v>
      </c>
      <c r="I181" s="4">
        <v>-0.30541483870967756</v>
      </c>
      <c r="J181">
        <v>3.3154050614200798</v>
      </c>
      <c r="K181">
        <v>1.8349464048286399</v>
      </c>
      <c r="M181">
        <v>2.202910268516288</v>
      </c>
      <c r="N181" s="8">
        <v>-0.19924868555488556</v>
      </c>
      <c r="O181">
        <v>0.76860372241617203</v>
      </c>
      <c r="P181">
        <v>0.92470981993605195</v>
      </c>
      <c r="Q181" s="1">
        <v>17462.579000000002</v>
      </c>
      <c r="R181">
        <f t="shared" si="14"/>
        <v>1.0025727872517156</v>
      </c>
      <c r="V181">
        <v>26097846</v>
      </c>
      <c r="W181">
        <v>19.524621184721816</v>
      </c>
      <c r="X181">
        <v>1.1189859266085622</v>
      </c>
      <c r="Y181">
        <f t="shared" si="15"/>
        <v>0.19062101532376621</v>
      </c>
      <c r="Z181">
        <v>0.61199999999999999</v>
      </c>
      <c r="AA181">
        <v>4.0318181999999925E-2</v>
      </c>
      <c r="AC181" s="4">
        <v>0.16</v>
      </c>
      <c r="AD181">
        <v>1.7295613569016544E-2</v>
      </c>
      <c r="AF181">
        <f t="shared" si="11"/>
        <v>0.37753074322397495</v>
      </c>
      <c r="AG181">
        <f t="shared" si="12"/>
        <v>3.4434281799105255</v>
      </c>
      <c r="AH181">
        <f t="shared" si="13"/>
        <v>0.80662748837427856</v>
      </c>
    </row>
    <row r="182" spans="1:34" x14ac:dyDescent="0.35">
      <c r="A182" t="s">
        <v>192</v>
      </c>
      <c r="B182">
        <v>27390.001</v>
      </c>
      <c r="C182">
        <v>7645215</v>
      </c>
      <c r="D182" s="7">
        <v>10141706</v>
      </c>
      <c r="E182" s="3">
        <v>3627.8310000000001</v>
      </c>
      <c r="F182" s="6">
        <v>11756.49912832966</v>
      </c>
      <c r="G182" s="6">
        <v>1.4</v>
      </c>
      <c r="H182">
        <v>-0.37042569795213698</v>
      </c>
      <c r="I182" s="4">
        <v>-0.62657337158469906</v>
      </c>
      <c r="J182">
        <v>3.2895058619209401</v>
      </c>
      <c r="K182">
        <v>1.9324600481810801</v>
      </c>
      <c r="M182">
        <v>2.3028857461332173</v>
      </c>
      <c r="N182" s="8">
        <v>0.2260726295305448</v>
      </c>
      <c r="O182">
        <v>0.76788576777389805</v>
      </c>
      <c r="P182">
        <v>0.91674089613859999</v>
      </c>
      <c r="Q182" s="1">
        <v>17565.465</v>
      </c>
      <c r="R182">
        <f t="shared" si="14"/>
        <v>1.0031394229174899</v>
      </c>
      <c r="V182">
        <v>26366213</v>
      </c>
      <c r="W182">
        <v>19.692818629141662</v>
      </c>
      <c r="X182">
        <v>1.1230156286413673</v>
      </c>
      <c r="Y182">
        <f t="shared" si="15"/>
        <v>0.81338555256344369</v>
      </c>
      <c r="Z182">
        <v>0.60850000000000004</v>
      </c>
      <c r="AA182">
        <v>-2.8409090999999997E-2</v>
      </c>
      <c r="AC182" s="4">
        <v>0.36</v>
      </c>
      <c r="AD182">
        <v>-2.7493324290805976E-4</v>
      </c>
      <c r="AF182">
        <f t="shared" si="11"/>
        <v>-2.5057533060059978</v>
      </c>
      <c r="AG182">
        <f t="shared" si="12"/>
        <v>-0.55871421845253622</v>
      </c>
      <c r="AH182">
        <f t="shared" si="13"/>
        <v>0.70996523483266571</v>
      </c>
    </row>
    <row r="183" spans="1:34" x14ac:dyDescent="0.35">
      <c r="A183" t="s">
        <v>193</v>
      </c>
      <c r="B183">
        <v>27672.817999999999</v>
      </c>
      <c r="C183">
        <v>7779331</v>
      </c>
      <c r="D183" s="7">
        <v>10478075</v>
      </c>
      <c r="E183" s="3">
        <v>3637.5819999999999</v>
      </c>
      <c r="F183" s="6">
        <v>11846.326138109442</v>
      </c>
      <c r="G183" s="6">
        <v>1.4</v>
      </c>
      <c r="H183">
        <v>-0.35166531474222201</v>
      </c>
      <c r="I183" s="4">
        <v>-0.83098547413793145</v>
      </c>
      <c r="J183">
        <v>3.3208144540728002</v>
      </c>
      <c r="K183">
        <v>1.80068758743071</v>
      </c>
      <c r="M183">
        <v>2.152352902172932</v>
      </c>
      <c r="N183" s="8">
        <v>0.40237417148336835</v>
      </c>
      <c r="O183">
        <v>0.73209930081408703</v>
      </c>
      <c r="P183">
        <v>0.85099407473771504</v>
      </c>
      <c r="Q183" s="1">
        <v>17618.580999999998</v>
      </c>
      <c r="R183">
        <f t="shared" si="14"/>
        <v>1.0041485164029367</v>
      </c>
      <c r="V183">
        <v>26616934</v>
      </c>
      <c r="W183">
        <v>19.736045113078454</v>
      </c>
      <c r="X183">
        <v>1.1256919892467063</v>
      </c>
      <c r="Y183">
        <f t="shared" si="15"/>
        <v>0.91062917212195083</v>
      </c>
      <c r="Z183">
        <v>0.60799999999999998</v>
      </c>
      <c r="AA183">
        <v>1.1314170999999984E-2</v>
      </c>
      <c r="AC183" s="4">
        <v>0.37333333333333335</v>
      </c>
      <c r="AD183">
        <v>-1.0839425649184942E-2</v>
      </c>
      <c r="AF183">
        <f t="shared" si="11"/>
        <v>-0.14142282646596449</v>
      </c>
      <c r="AG183">
        <f t="shared" si="12"/>
        <v>-9.8993920216757285</v>
      </c>
      <c r="AH183">
        <f t="shared" si="13"/>
        <v>0.58992912041899714</v>
      </c>
    </row>
    <row r="184" spans="1:34" x14ac:dyDescent="0.35">
      <c r="A184" t="s">
        <v>194</v>
      </c>
      <c r="B184">
        <v>28047.167000000001</v>
      </c>
      <c r="C184">
        <v>8049808</v>
      </c>
      <c r="D184" s="7">
        <v>10812304</v>
      </c>
      <c r="E184" s="3">
        <v>3663.9369999999999</v>
      </c>
      <c r="F184" s="6">
        <v>11911.147647130507</v>
      </c>
      <c r="G184" s="6">
        <v>1.6</v>
      </c>
      <c r="H184">
        <v>-0.34252297940752202</v>
      </c>
      <c r="I184" s="4">
        <v>-1.055815357142857</v>
      </c>
      <c r="J184">
        <v>3.3338883647100399</v>
      </c>
      <c r="K184">
        <v>1.6975436710749101</v>
      </c>
      <c r="M184">
        <v>2.0400666504824323</v>
      </c>
      <c r="N184" s="8">
        <v>5.680965225878893E-2</v>
      </c>
      <c r="O184">
        <v>0.71788091405388799</v>
      </c>
      <c r="P184">
        <v>0.838693600836249</v>
      </c>
      <c r="Q184" s="1">
        <v>17724.489000000001</v>
      </c>
      <c r="R184">
        <f t="shared" si="14"/>
        <v>1.0042911297230193</v>
      </c>
      <c r="V184">
        <v>26966189</v>
      </c>
      <c r="W184">
        <v>19.250508025725559</v>
      </c>
      <c r="X184">
        <v>1.1279964936670803</v>
      </c>
      <c r="Y184">
        <f t="shared" si="15"/>
        <v>0.72096078466921865</v>
      </c>
      <c r="Z184">
        <v>0.58199999999999996</v>
      </c>
      <c r="AA184">
        <v>-1.345053499999993E-2</v>
      </c>
      <c r="AC184" s="4">
        <v>0.39666666666666667</v>
      </c>
      <c r="AD184">
        <v>3.5504785590740884E-3</v>
      </c>
      <c r="AF184">
        <f t="shared" si="11"/>
        <v>3.2296826743900109</v>
      </c>
      <c r="AG184">
        <f t="shared" si="12"/>
        <v>0.49540470730679187</v>
      </c>
      <c r="AH184">
        <f t="shared" si="13"/>
        <v>0.70999631871409008</v>
      </c>
    </row>
    <row r="185" spans="1:34" x14ac:dyDescent="0.35">
      <c r="A185" t="s">
        <v>195</v>
      </c>
      <c r="B185">
        <v>28199.025000000001</v>
      </c>
      <c r="C185">
        <v>8110528</v>
      </c>
      <c r="D185" s="7">
        <v>10438086</v>
      </c>
      <c r="E185" s="3">
        <v>3693.21</v>
      </c>
      <c r="F185" s="6">
        <v>11971.499446302803</v>
      </c>
      <c r="G185" s="6">
        <v>1</v>
      </c>
      <c r="H185">
        <v>-0.32816717457691003</v>
      </c>
      <c r="I185" s="4">
        <v>-0.5172766605950212</v>
      </c>
      <c r="J185">
        <v>3.3434937242856502</v>
      </c>
      <c r="K185">
        <v>1.6820989508851401</v>
      </c>
      <c r="M185">
        <v>2.0102661254620502</v>
      </c>
      <c r="N185" s="8">
        <v>6.2030126655655664E-4</v>
      </c>
      <c r="O185">
        <v>0.72581891448163505</v>
      </c>
      <c r="P185">
        <v>0.85131169973973297</v>
      </c>
      <c r="Q185" s="1">
        <v>17812.560000000001</v>
      </c>
      <c r="R185">
        <f t="shared" si="14"/>
        <v>1.0042926871306685</v>
      </c>
      <c r="V185">
        <v>27105763</v>
      </c>
      <c r="W185">
        <v>17.733330841494105</v>
      </c>
      <c r="X185">
        <v>1.1236422327873852</v>
      </c>
      <c r="Y185">
        <f t="shared" si="15"/>
        <v>0.25934971234367243</v>
      </c>
      <c r="Z185">
        <v>0.59599999999999997</v>
      </c>
      <c r="AA185">
        <v>2.3240056999999981E-2</v>
      </c>
      <c r="AC185" s="4">
        <v>0.45</v>
      </c>
      <c r="AD185">
        <v>9.1156860031147424E-3</v>
      </c>
      <c r="AF185">
        <f t="shared" si="11"/>
        <v>2.8088662865570324</v>
      </c>
      <c r="AG185">
        <f t="shared" si="12"/>
        <v>0.35601552298374084</v>
      </c>
      <c r="AH185">
        <f t="shared" si="13"/>
        <v>0.8617956379471714</v>
      </c>
    </row>
    <row r="186" spans="1:34" x14ac:dyDescent="0.35">
      <c r="A186" t="s">
        <v>196</v>
      </c>
      <c r="B186">
        <v>28510.624</v>
      </c>
      <c r="C186">
        <v>7948762</v>
      </c>
      <c r="D186" s="7">
        <v>10801318</v>
      </c>
      <c r="E186" s="3">
        <v>3737.8110000000001</v>
      </c>
      <c r="F186" s="6">
        <v>12071.314261560516</v>
      </c>
      <c r="G186" s="6">
        <v>1</v>
      </c>
      <c r="H186">
        <v>-0.313180619431008</v>
      </c>
      <c r="I186" s="4">
        <v>-0.24213978908188549</v>
      </c>
      <c r="J186">
        <v>3.3661695613617999</v>
      </c>
      <c r="K186">
        <v>1.52220488532644</v>
      </c>
      <c r="M186">
        <v>1.8353855047574481</v>
      </c>
      <c r="N186" s="8">
        <v>0.32622143828728273</v>
      </c>
      <c r="O186">
        <v>0.72266049556758505</v>
      </c>
      <c r="P186">
        <v>0.776246316578035</v>
      </c>
      <c r="Q186" s="1">
        <v>17889.094000000001</v>
      </c>
      <c r="R186">
        <f t="shared" si="14"/>
        <v>1.0051117416428115</v>
      </c>
      <c r="V186">
        <v>27113131</v>
      </c>
      <c r="W186">
        <v>17.676901999692841</v>
      </c>
      <c r="X186">
        <v>1.1254222818705286</v>
      </c>
      <c r="Y186">
        <f t="shared" si="15"/>
        <v>0.49492549092195209</v>
      </c>
      <c r="Z186">
        <v>0.61899999999999999</v>
      </c>
      <c r="AA186">
        <v>-9.231399000000029E-3</v>
      </c>
      <c r="AC186" s="4">
        <v>0.7</v>
      </c>
      <c r="AD186">
        <v>-4.0739644912458628E-3</v>
      </c>
      <c r="AF186">
        <f t="shared" si="11"/>
        <v>7.6663699440859823</v>
      </c>
      <c r="AG186">
        <f t="shared" si="12"/>
        <v>0.1304398310143412</v>
      </c>
      <c r="AH186">
        <f t="shared" si="13"/>
        <v>0.79286950172967607</v>
      </c>
    </row>
    <row r="187" spans="1:34" x14ac:dyDescent="0.35">
      <c r="A187" t="s">
        <v>197</v>
      </c>
      <c r="B187">
        <v>28904.427</v>
      </c>
      <c r="C187">
        <v>7822976</v>
      </c>
      <c r="D187" s="7">
        <v>11065331</v>
      </c>
      <c r="E187" s="3">
        <v>3774.7190000000001</v>
      </c>
      <c r="F187" s="6">
        <v>12098.113764819362</v>
      </c>
      <c r="G187" s="6">
        <v>1.4</v>
      </c>
      <c r="H187">
        <v>-0.31387768516825099</v>
      </c>
      <c r="I187" s="4">
        <v>-0.46082841904761951</v>
      </c>
      <c r="J187">
        <v>3.3820912583682099</v>
      </c>
      <c r="K187">
        <v>1.43354091109049</v>
      </c>
      <c r="M187">
        <v>1.747418596258741</v>
      </c>
      <c r="N187" s="8">
        <v>0.15757887356947939</v>
      </c>
      <c r="O187">
        <v>0.71809776911487999</v>
      </c>
      <c r="P187">
        <v>0.75387528771849899</v>
      </c>
      <c r="Q187" s="1">
        <v>17979.218000000001</v>
      </c>
      <c r="R187">
        <f t="shared" si="14"/>
        <v>1.0055077025829602</v>
      </c>
      <c r="V187">
        <v>27476485</v>
      </c>
      <c r="W187">
        <v>17.415768742780312</v>
      </c>
      <c r="X187">
        <v>1.126734672607117</v>
      </c>
      <c r="Y187">
        <f t="shared" si="15"/>
        <v>0.38206475028531045</v>
      </c>
      <c r="Z187">
        <v>0.626</v>
      </c>
      <c r="AA187">
        <v>-1.3333329999999366E-3</v>
      </c>
      <c r="AC187" s="4">
        <v>0.95</v>
      </c>
      <c r="AD187">
        <v>-6.2588916746023626E-3</v>
      </c>
      <c r="AF187">
        <f t="shared" si="11"/>
        <v>6.1276804295409715</v>
      </c>
      <c r="AG187">
        <f t="shared" si="12"/>
        <v>0.22847144463518879</v>
      </c>
      <c r="AH187">
        <f t="shared" si="13"/>
        <v>0.87998708969241335</v>
      </c>
    </row>
    <row r="188" spans="1:34" x14ac:dyDescent="0.35">
      <c r="A188" t="s">
        <v>198</v>
      </c>
      <c r="B188">
        <v>29209.006000000001</v>
      </c>
      <c r="C188">
        <v>8171909</v>
      </c>
      <c r="D188" s="7">
        <v>11347107</v>
      </c>
      <c r="E188" s="3">
        <v>3793.556</v>
      </c>
      <c r="F188" s="6">
        <v>12167.439231659724</v>
      </c>
      <c r="G188" s="6">
        <v>1.3</v>
      </c>
      <c r="H188">
        <v>-0.30748950429827498</v>
      </c>
      <c r="I188" s="4">
        <v>-0.5229105952380948</v>
      </c>
      <c r="J188">
        <v>3.39823079869057</v>
      </c>
      <c r="K188">
        <v>1.3511602083347201</v>
      </c>
      <c r="M188">
        <v>1.6586497126329951</v>
      </c>
      <c r="N188" s="8">
        <v>0.25331451838288715</v>
      </c>
      <c r="O188">
        <v>0.71934323765885699</v>
      </c>
      <c r="P188">
        <v>0.76923520866970696</v>
      </c>
      <c r="Q188" s="1">
        <v>18127.993999999999</v>
      </c>
      <c r="R188">
        <f t="shared" si="14"/>
        <v>1.0061444768314856</v>
      </c>
      <c r="V188">
        <v>27647627</v>
      </c>
      <c r="W188">
        <v>17.077451899979412</v>
      </c>
      <c r="X188">
        <v>1.1278874385661171</v>
      </c>
      <c r="Y188">
        <f t="shared" si="15"/>
        <v>0.30777612294688184</v>
      </c>
      <c r="Z188">
        <v>0.56699999999999995</v>
      </c>
      <c r="AA188">
        <v>8.2857139999999996E-3</v>
      </c>
      <c r="AC188" s="4">
        <v>1.1533333333333333</v>
      </c>
      <c r="AD188">
        <v>-1.0257500463474178E-3</v>
      </c>
      <c r="AF188">
        <f t="shared" si="11"/>
        <v>6.4342433980530078</v>
      </c>
      <c r="AG188">
        <f t="shared" si="12"/>
        <v>0.20204395755270591</v>
      </c>
      <c r="AH188">
        <f t="shared" si="13"/>
        <v>0.97760255240348926</v>
      </c>
    </row>
    <row r="189" spans="1:34" x14ac:dyDescent="0.35">
      <c r="A189" t="s">
        <v>199</v>
      </c>
      <c r="B189">
        <v>29708.282999999999</v>
      </c>
      <c r="C189">
        <v>8257128</v>
      </c>
      <c r="D189" s="7">
        <v>11662728</v>
      </c>
      <c r="E189" s="3">
        <v>3878.1869999999999</v>
      </c>
      <c r="F189" s="6">
        <v>12327.226098390382</v>
      </c>
      <c r="G189" s="6">
        <v>2</v>
      </c>
      <c r="H189">
        <v>-0.294288225874906</v>
      </c>
      <c r="I189" s="4">
        <v>-0.44583490883590438</v>
      </c>
      <c r="J189">
        <v>3.4197471584611598</v>
      </c>
      <c r="K189">
        <v>1.21393134584447</v>
      </c>
      <c r="M189">
        <v>1.508219571719376</v>
      </c>
      <c r="N189" s="8">
        <v>-3.9851656502750313E-2</v>
      </c>
      <c r="O189">
        <v>0.71569155738279799</v>
      </c>
      <c r="P189">
        <v>0.78531874937815904</v>
      </c>
      <c r="Q189" s="1">
        <v>18310.3</v>
      </c>
      <c r="R189">
        <f t="shared" si="14"/>
        <v>1.0060442355212786</v>
      </c>
      <c r="V189">
        <v>27969363</v>
      </c>
      <c r="W189">
        <v>16.357799390394952</v>
      </c>
      <c r="X189">
        <v>1.1295411677670555</v>
      </c>
      <c r="Y189">
        <f t="shared" si="15"/>
        <v>0.28699218364374218</v>
      </c>
      <c r="Z189">
        <v>0.60199999999999998</v>
      </c>
      <c r="AA189">
        <v>5.0000000000000044E-3</v>
      </c>
      <c r="AC189" s="4">
        <v>1.2033333333333334</v>
      </c>
      <c r="AD189">
        <v>1.3704612449774167E-2</v>
      </c>
      <c r="AF189">
        <f t="shared" si="11"/>
        <v>7.6253434175509671</v>
      </c>
      <c r="AG189">
        <f t="shared" si="12"/>
        <v>0.26228326915698968</v>
      </c>
      <c r="AH189">
        <f t="shared" si="13"/>
        <v>1.1969119699919872</v>
      </c>
    </row>
    <row r="190" spans="1:34" x14ac:dyDescent="0.35">
      <c r="A190" t="s">
        <v>200</v>
      </c>
      <c r="B190">
        <v>29921.794000000002</v>
      </c>
      <c r="C190">
        <v>8537657</v>
      </c>
      <c r="D190" s="7">
        <v>11492763</v>
      </c>
      <c r="E190" s="3">
        <v>3921.0390000000002</v>
      </c>
      <c r="F190" s="6">
        <v>12440.099041481921</v>
      </c>
      <c r="G190" s="6">
        <v>2.1</v>
      </c>
      <c r="H190">
        <v>-0.28125786638988398</v>
      </c>
      <c r="I190" s="4">
        <v>-0.11067859165424698</v>
      </c>
      <c r="J190">
        <v>3.4365250389162698</v>
      </c>
      <c r="K190">
        <v>1.13413030219311</v>
      </c>
      <c r="M190">
        <v>1.4153881685829939</v>
      </c>
      <c r="N190" s="8">
        <v>0.40811871105966496</v>
      </c>
      <c r="O190">
        <v>0.71560118254059302</v>
      </c>
      <c r="P190">
        <v>0.82071331560723604</v>
      </c>
      <c r="Q190" s="1">
        <v>18437.127</v>
      </c>
      <c r="R190">
        <f t="shared" si="14"/>
        <v>1.0070706992129534</v>
      </c>
      <c r="V190">
        <v>28055060</v>
      </c>
      <c r="W190">
        <v>16.953640493591472</v>
      </c>
      <c r="X190">
        <v>1.1273691547526359</v>
      </c>
      <c r="Y190">
        <f t="shared" si="15"/>
        <v>1.1733962324280169</v>
      </c>
      <c r="Z190">
        <v>0.58899999999999997</v>
      </c>
      <c r="AA190">
        <v>-5.7142860000000129E-3</v>
      </c>
      <c r="AC190" s="4">
        <v>1.4466666666666668</v>
      </c>
      <c r="AD190">
        <v>-5.2500893256276493E-3</v>
      </c>
      <c r="AF190">
        <f t="shared" si="11"/>
        <v>7.0355477554469914</v>
      </c>
      <c r="AG190">
        <f t="shared" si="12"/>
        <v>0.29848422226601462</v>
      </c>
      <c r="AH190">
        <f t="shared" si="13"/>
        <v>1.3104901120795098</v>
      </c>
    </row>
    <row r="191" spans="1:34" x14ac:dyDescent="0.35">
      <c r="A191" t="s">
        <v>201</v>
      </c>
      <c r="B191">
        <v>30499.277999999998</v>
      </c>
      <c r="C191">
        <v>8453494</v>
      </c>
      <c r="D191" s="7">
        <v>11468310</v>
      </c>
      <c r="E191" s="3">
        <v>3979.866</v>
      </c>
      <c r="F191" s="6">
        <v>12534.235865872461</v>
      </c>
      <c r="G191" s="6">
        <v>1.8</v>
      </c>
      <c r="H191">
        <v>-0.27743885016207098</v>
      </c>
      <c r="I191" s="4">
        <v>3.0854761904763883E-3</v>
      </c>
      <c r="J191">
        <v>3.4354083247498002</v>
      </c>
      <c r="K191">
        <v>1.1687797389678101</v>
      </c>
      <c r="M191">
        <v>1.4462185891298811</v>
      </c>
      <c r="N191" s="8">
        <v>0.32426280634425497</v>
      </c>
      <c r="O191">
        <v>0.71233969445858902</v>
      </c>
      <c r="P191">
        <v>0.84990220302765496</v>
      </c>
      <c r="Q191" s="1">
        <v>18565.697</v>
      </c>
      <c r="R191">
        <f t="shared" si="14"/>
        <v>1.007887088140738</v>
      </c>
      <c r="V191">
        <v>28265823</v>
      </c>
      <c r="W191">
        <v>17.128601060152107</v>
      </c>
      <c r="X191">
        <v>1.1262789416287298</v>
      </c>
      <c r="Y191">
        <f t="shared" si="15"/>
        <v>1.1066671172808411</v>
      </c>
      <c r="Z191">
        <v>0.61199999999999999</v>
      </c>
      <c r="AA191">
        <v>1.5238100000000143E-3</v>
      </c>
      <c r="AC191" s="4">
        <v>1.7366666666666668</v>
      </c>
      <c r="AD191">
        <v>-7.9325362913712505E-3</v>
      </c>
      <c r="AF191">
        <f t="shared" si="11"/>
        <v>5.3317066381590283</v>
      </c>
      <c r="AG191">
        <f t="shared" si="12"/>
        <v>0.33760297071061612</v>
      </c>
      <c r="AH191">
        <f t="shared" si="13"/>
        <v>1.3940459989608023</v>
      </c>
    </row>
    <row r="192" spans="1:34" x14ac:dyDescent="0.35">
      <c r="A192" t="s">
        <v>202</v>
      </c>
      <c r="B192">
        <v>30814.992999999999</v>
      </c>
      <c r="C192">
        <v>8464276</v>
      </c>
      <c r="D192" s="7">
        <v>11630447</v>
      </c>
      <c r="E192" s="3">
        <v>3995.1509999999998</v>
      </c>
      <c r="F192" s="6">
        <v>12593.919863366926</v>
      </c>
      <c r="G192" s="6">
        <v>2.2000000000000002</v>
      </c>
      <c r="H192">
        <v>-0.27881792559255603</v>
      </c>
      <c r="I192" s="4">
        <v>-3.8064476190475816E-2</v>
      </c>
      <c r="J192">
        <v>3.4545181241316998</v>
      </c>
      <c r="K192">
        <v>0.99653820594323195</v>
      </c>
      <c r="M192">
        <v>1.275356131535788</v>
      </c>
      <c r="N192" s="8">
        <v>5.9501025551090554E-2</v>
      </c>
      <c r="O192">
        <v>0.70364242546232403</v>
      </c>
      <c r="P192">
        <v>0.93235576146033305</v>
      </c>
      <c r="Q192" s="1">
        <v>18699.748</v>
      </c>
      <c r="R192">
        <f t="shared" si="14"/>
        <v>1.0080370139291981</v>
      </c>
      <c r="V192">
        <v>28542130</v>
      </c>
      <c r="W192">
        <v>16.875175157125447</v>
      </c>
      <c r="X192">
        <v>1.1265579275156719</v>
      </c>
      <c r="Y192">
        <f t="shared" si="15"/>
        <v>1.0577081002326354</v>
      </c>
      <c r="Z192">
        <v>0.63100000000000001</v>
      </c>
      <c r="AA192">
        <v>3.1726189999999876E-3</v>
      </c>
      <c r="AC192" s="4">
        <v>1.9233333333333333</v>
      </c>
      <c r="AD192">
        <v>3.2598516150823542E-3</v>
      </c>
      <c r="AF192">
        <f t="shared" si="11"/>
        <v>5.6287325441129799</v>
      </c>
      <c r="AG192">
        <f t="shared" si="12"/>
        <v>0.39085175619171181</v>
      </c>
      <c r="AH192">
        <f t="shared" si="13"/>
        <v>1.3486005195854744</v>
      </c>
    </row>
    <row r="193" spans="1:34" x14ac:dyDescent="0.35">
      <c r="A193" t="s">
        <v>203</v>
      </c>
      <c r="B193">
        <v>31148.684000000001</v>
      </c>
      <c r="C193">
        <v>8948544</v>
      </c>
      <c r="D193" s="7">
        <v>11360936</v>
      </c>
      <c r="E193" s="3">
        <v>3995.0390000000002</v>
      </c>
      <c r="F193" s="6">
        <v>12632.284480658103</v>
      </c>
      <c r="G193" s="6">
        <v>1.8</v>
      </c>
      <c r="H193">
        <v>-0.28188718701376297</v>
      </c>
      <c r="I193" s="4">
        <v>3.2323856773080362E-2</v>
      </c>
      <c r="J193">
        <v>3.4222813176023998</v>
      </c>
      <c r="K193">
        <v>1.1970650023299201</v>
      </c>
      <c r="M193">
        <v>1.478952189343683</v>
      </c>
      <c r="N193" s="8">
        <v>-0.15921826258353966</v>
      </c>
      <c r="O193">
        <v>0.73203883655954505</v>
      </c>
      <c r="P193">
        <v>1.08048856681965</v>
      </c>
      <c r="Q193" s="1">
        <v>18733.741000000002</v>
      </c>
      <c r="R193">
        <f t="shared" si="14"/>
        <v>1.0076357691742539</v>
      </c>
      <c r="V193">
        <v>28986487</v>
      </c>
      <c r="W193">
        <v>19.687353432955106</v>
      </c>
      <c r="X193">
        <v>1.1267345431149363</v>
      </c>
      <c r="Y193">
        <f t="shared" si="15"/>
        <v>0.98087497399656287</v>
      </c>
      <c r="Z193">
        <v>0.63049999999999995</v>
      </c>
      <c r="AA193">
        <v>1.0511363999999968E-2</v>
      </c>
      <c r="AC193" s="4">
        <v>2.2200000000000002</v>
      </c>
      <c r="AD193">
        <v>1.8029327292374386E-2</v>
      </c>
      <c r="AF193">
        <f t="shared" si="11"/>
        <v>0.253415914124</v>
      </c>
      <c r="AG193">
        <f t="shared" si="12"/>
        <v>7.1029477616754351</v>
      </c>
      <c r="AH193">
        <f t="shared" si="13"/>
        <v>0.99290517378101129</v>
      </c>
    </row>
    <row r="194" spans="1:34" x14ac:dyDescent="0.35">
      <c r="A194" t="s">
        <v>204</v>
      </c>
      <c r="B194">
        <v>31424.837</v>
      </c>
      <c r="C194">
        <v>8800075</v>
      </c>
      <c r="D194" s="7">
        <v>12051397</v>
      </c>
      <c r="E194" s="3">
        <v>4024.4140000000002</v>
      </c>
      <c r="F194" s="6">
        <v>12615.58875190592</v>
      </c>
      <c r="G194" s="6">
        <v>1.2</v>
      </c>
      <c r="H194">
        <v>-0.28986067754934702</v>
      </c>
      <c r="I194" s="4">
        <v>-0.40976084699453574</v>
      </c>
      <c r="J194">
        <v>3.4346934801285398</v>
      </c>
      <c r="K194">
        <v>1.0806716780178001</v>
      </c>
      <c r="M194">
        <v>1.3705323555671471</v>
      </c>
      <c r="N194" s="8">
        <v>0.392500272071651</v>
      </c>
      <c r="O194">
        <v>0.74840093188263501</v>
      </c>
      <c r="P194">
        <v>1.0750189932790799</v>
      </c>
      <c r="Q194" s="1">
        <v>18835.411</v>
      </c>
      <c r="R194">
        <f t="shared" si="14"/>
        <v>1.008624512458129</v>
      </c>
      <c r="V194">
        <v>29599347</v>
      </c>
      <c r="W194">
        <v>18.177328985955345</v>
      </c>
      <c r="X194">
        <v>1.1300694548655836</v>
      </c>
      <c r="Y194">
        <f t="shared" si="15"/>
        <v>0.67486571083254687</v>
      </c>
      <c r="Z194">
        <v>0.61499999999999999</v>
      </c>
      <c r="AA194">
        <v>-9.9545460000000086E-3</v>
      </c>
      <c r="AC194" s="4">
        <v>2.4033333333333333</v>
      </c>
      <c r="AD194">
        <v>-8.7743644418447619E-3</v>
      </c>
      <c r="AF194">
        <f t="shared" si="11"/>
        <v>-0.18315587877300032</v>
      </c>
      <c r="AG194">
        <f t="shared" si="12"/>
        <v>-6.5517962515811767</v>
      </c>
      <c r="AH194">
        <f t="shared" si="13"/>
        <v>0.92818539743921846</v>
      </c>
    </row>
    <row r="195" spans="1:34" x14ac:dyDescent="0.35">
      <c r="A195" t="s">
        <v>205</v>
      </c>
      <c r="B195">
        <v>31777.463</v>
      </c>
      <c r="C195">
        <v>8713783</v>
      </c>
      <c r="D195" s="7">
        <v>12626778</v>
      </c>
      <c r="E195" s="3">
        <v>4070.4059999999999</v>
      </c>
      <c r="F195" s="6">
        <v>12719.790491082465</v>
      </c>
      <c r="G195" s="6">
        <v>0.9</v>
      </c>
      <c r="H195">
        <v>-0.286461949880712</v>
      </c>
      <c r="I195" s="4">
        <v>-0.80106228758169928</v>
      </c>
      <c r="J195">
        <v>3.4640025918105</v>
      </c>
      <c r="K195">
        <v>0.99301394881341498</v>
      </c>
      <c r="M195">
        <v>1.279475898694127</v>
      </c>
      <c r="N195" s="8">
        <v>0.25409691279188179</v>
      </c>
      <c r="O195">
        <v>0.75787995955204202</v>
      </c>
      <c r="P195">
        <v>1.0566544799414099</v>
      </c>
      <c r="Q195" s="1">
        <v>18962.174999999999</v>
      </c>
      <c r="R195">
        <f t="shared" si="14"/>
        <v>1.0092652333950836</v>
      </c>
      <c r="V195">
        <v>30077310</v>
      </c>
      <c r="W195">
        <v>17.419084157761667</v>
      </c>
      <c r="X195">
        <v>1.1341891521758627</v>
      </c>
      <c r="Y195">
        <f t="shared" si="15"/>
        <v>2.0533384814465649</v>
      </c>
      <c r="Z195">
        <v>0.61350000000000005</v>
      </c>
      <c r="AA195">
        <v>1.272727000000029E-3</v>
      </c>
      <c r="AC195" s="4">
        <v>2.3966666666666665</v>
      </c>
      <c r="AD195">
        <v>-6.9441974275642471E-3</v>
      </c>
      <c r="AF195">
        <f t="shared" si="11"/>
        <v>2.8594267060699785</v>
      </c>
      <c r="AG195">
        <f t="shared" si="12"/>
        <v>0.31474840676611293</v>
      </c>
      <c r="AH195">
        <f t="shared" si="13"/>
        <v>0.91768920125101516</v>
      </c>
    </row>
    <row r="196" spans="1:34" x14ac:dyDescent="0.35">
      <c r="A196" t="s">
        <v>206</v>
      </c>
      <c r="B196">
        <v>32128.325000000001</v>
      </c>
      <c r="C196">
        <v>9452334</v>
      </c>
      <c r="D196" s="7">
        <v>12925027</v>
      </c>
      <c r="E196" s="3">
        <v>4111.6109999999999</v>
      </c>
      <c r="F196" s="6">
        <v>12804.110602423187</v>
      </c>
      <c r="G196" s="6">
        <v>0.9</v>
      </c>
      <c r="H196">
        <v>-0.29186834499492798</v>
      </c>
      <c r="I196" s="4">
        <v>-1.4312637500000003</v>
      </c>
      <c r="J196">
        <v>3.4701438514029199</v>
      </c>
      <c r="K196">
        <v>0.91811855802912401</v>
      </c>
      <c r="M196">
        <v>1.209986903024052</v>
      </c>
      <c r="N196" s="8">
        <v>8.0124065443352072E-2</v>
      </c>
      <c r="O196">
        <v>0.77991414458141095</v>
      </c>
      <c r="P196">
        <v>1.0321903984246801</v>
      </c>
      <c r="Q196" s="1">
        <v>19130.932000000001</v>
      </c>
      <c r="R196">
        <f t="shared" si="14"/>
        <v>1.0094673994791092</v>
      </c>
      <c r="V196">
        <v>30747424</v>
      </c>
      <c r="W196">
        <v>17.172669403066568</v>
      </c>
      <c r="X196">
        <v>1.13574324401247</v>
      </c>
      <c r="Y196">
        <f t="shared" si="15"/>
        <v>2.0406626173305948</v>
      </c>
      <c r="Z196">
        <v>0.625</v>
      </c>
      <c r="AA196">
        <v>4.5151519999999667E-3</v>
      </c>
      <c r="AC196" s="4">
        <v>2.19</v>
      </c>
      <c r="AD196">
        <v>1.0443018695786455E-2</v>
      </c>
      <c r="AF196">
        <f t="shared" si="11"/>
        <v>1.5625727271220136</v>
      </c>
      <c r="AG196">
        <f t="shared" si="12"/>
        <v>0.57597319112156975</v>
      </c>
      <c r="AH196">
        <f t="shared" si="13"/>
        <v>0.99003740578105237</v>
      </c>
    </row>
    <row r="197" spans="1:34" x14ac:dyDescent="0.35">
      <c r="A197" t="s">
        <v>207</v>
      </c>
      <c r="B197">
        <v>32399.754000000001</v>
      </c>
      <c r="C197">
        <v>9876017</v>
      </c>
      <c r="D197" s="7">
        <v>13364999</v>
      </c>
      <c r="E197" s="3">
        <v>4103.2879999999996</v>
      </c>
      <c r="F197" s="6">
        <v>12873.590166255464</v>
      </c>
      <c r="G197" s="6">
        <v>0.3</v>
      </c>
      <c r="H197">
        <v>-0.28588464234491401</v>
      </c>
      <c r="I197" s="4">
        <v>-1.535237182795699</v>
      </c>
      <c r="J197">
        <v>3.49701561013676</v>
      </c>
      <c r="K197">
        <v>0.77971799856546598</v>
      </c>
      <c r="M197">
        <v>1.06560264091038</v>
      </c>
      <c r="N197" s="8">
        <v>2.8005933083558074E-2</v>
      </c>
      <c r="O197">
        <v>0.86146368421474495</v>
      </c>
      <c r="P197">
        <v>1.0617333590698701</v>
      </c>
      <c r="Q197" s="1">
        <v>19215.690999999999</v>
      </c>
      <c r="R197">
        <f t="shared" si="14"/>
        <v>1.0095380771702087</v>
      </c>
      <c r="V197">
        <v>31235708</v>
      </c>
      <c r="W197">
        <v>16.286650155788127</v>
      </c>
      <c r="X197">
        <v>1.1370460922085759</v>
      </c>
      <c r="Y197">
        <f t="shared" si="15"/>
        <v>1.8908050213395542</v>
      </c>
      <c r="Z197">
        <v>0.63400000000000001</v>
      </c>
      <c r="AA197">
        <v>8.5461759999999609E-3</v>
      </c>
      <c r="AC197" s="4">
        <v>1.6433333333333333</v>
      </c>
      <c r="AD197">
        <v>8.6542482910272334E-3</v>
      </c>
      <c r="AF197">
        <f t="shared" si="11"/>
        <v>7.4734292534360147</v>
      </c>
      <c r="AG197">
        <f t="shared" si="12"/>
        <v>4.0142214480998903E-2</v>
      </c>
      <c r="AH197">
        <f t="shared" si="13"/>
        <v>1.1031494721008173</v>
      </c>
    </row>
    <row r="198" spans="1:34" x14ac:dyDescent="0.35">
      <c r="A198" t="s">
        <v>208</v>
      </c>
      <c r="B198">
        <v>33290.07</v>
      </c>
      <c r="C198">
        <v>11336238</v>
      </c>
      <c r="D198" s="7">
        <v>12464788</v>
      </c>
      <c r="E198" s="3">
        <v>4095.6990000000001</v>
      </c>
      <c r="F198" s="6">
        <v>12662.299507733165</v>
      </c>
      <c r="G198" s="6">
        <v>-1.2</v>
      </c>
      <c r="H198">
        <v>-0.28702900757775501</v>
      </c>
      <c r="I198" s="4">
        <v>-2.0854014285714282</v>
      </c>
      <c r="K198">
        <v>0.96175903721984501</v>
      </c>
      <c r="M198">
        <v>1.2487880447976001</v>
      </c>
      <c r="N198" s="8">
        <v>0.1481312345841837</v>
      </c>
      <c r="O198">
        <v>1.10213111402396</v>
      </c>
      <c r="P198">
        <v>1.2553310412943</v>
      </c>
      <c r="Q198" s="1">
        <v>18989.877</v>
      </c>
      <c r="R198">
        <f t="shared" si="14"/>
        <v>1.009911937474536</v>
      </c>
      <c r="V198">
        <v>33913631</v>
      </c>
      <c r="W198">
        <v>21.600647349792489</v>
      </c>
      <c r="X198">
        <v>1.1267729586249453</v>
      </c>
      <c r="Y198">
        <f t="shared" si="15"/>
        <v>1.7121994188737524</v>
      </c>
      <c r="Z198">
        <v>0.58699999999999997</v>
      </c>
      <c r="AA198">
        <v>-1.7015872999999959E-2</v>
      </c>
      <c r="AC198" s="4">
        <v>1.26</v>
      </c>
      <c r="AD198">
        <v>-1.2407334546228888E-2</v>
      </c>
      <c r="AF198">
        <f t="shared" si="11"/>
        <v>-343.46934801285397</v>
      </c>
      <c r="AG198">
        <f t="shared" si="12"/>
        <v>3.4937615450770627E-3</v>
      </c>
      <c r="AH198">
        <f t="shared" si="13"/>
        <v>0.35470505525090346</v>
      </c>
    </row>
    <row r="199" spans="1:34" x14ac:dyDescent="0.35">
      <c r="A199" t="s">
        <v>209</v>
      </c>
      <c r="B199">
        <v>33952.951999999997</v>
      </c>
      <c r="C199">
        <v>13965359</v>
      </c>
      <c r="D199" s="7">
        <v>13819702</v>
      </c>
      <c r="E199" s="3">
        <v>3821.038</v>
      </c>
      <c r="F199" s="6">
        <v>11416.579090827521</v>
      </c>
      <c r="G199" s="6">
        <v>-14.8</v>
      </c>
      <c r="H199">
        <v>-0.31406101056847802</v>
      </c>
      <c r="I199" s="4">
        <v>-2.8975840293040287</v>
      </c>
      <c r="K199">
        <v>0.82716776228024502</v>
      </c>
      <c r="M199">
        <v>1.1412287728487231</v>
      </c>
      <c r="N199" s="8">
        <v>-3.9846444084600821E-2</v>
      </c>
      <c r="O199">
        <v>1.26224448907781</v>
      </c>
      <c r="P199">
        <v>1.20739052688563</v>
      </c>
      <c r="Q199" s="1">
        <v>17378.712</v>
      </c>
      <c r="R199">
        <f t="shared" si="14"/>
        <v>1.0098113339756687</v>
      </c>
      <c r="V199">
        <v>36362740</v>
      </c>
      <c r="W199">
        <v>19.125350521169633</v>
      </c>
      <c r="X199">
        <v>1.132758176391677</v>
      </c>
      <c r="Y199">
        <f t="shared" si="15"/>
        <v>1.290496709336667</v>
      </c>
      <c r="Z199">
        <v>0.60599999999999998</v>
      </c>
      <c r="AA199">
        <v>-8.5714299999994914E-4</v>
      </c>
      <c r="AC199" s="4">
        <v>0.06</v>
      </c>
      <c r="AD199">
        <v>-7.3374116321814897E-3</v>
      </c>
    </row>
    <row r="200" spans="1:34" x14ac:dyDescent="0.35">
      <c r="A200" t="s">
        <v>210</v>
      </c>
      <c r="B200">
        <v>34179.623</v>
      </c>
      <c r="C200">
        <v>14371062</v>
      </c>
      <c r="D200" s="7">
        <v>14408631</v>
      </c>
      <c r="E200" s="3">
        <v>4025.433</v>
      </c>
      <c r="F200" s="6">
        <v>12546.80455214916</v>
      </c>
      <c r="G200" s="6">
        <v>-8.1</v>
      </c>
      <c r="H200">
        <v>-0.28661997433604403</v>
      </c>
      <c r="I200" s="4">
        <v>-3.1559549999999987</v>
      </c>
      <c r="K200">
        <v>0.55915724884845197</v>
      </c>
      <c r="M200">
        <v>0.845777223184496</v>
      </c>
      <c r="N200" s="8">
        <v>0.32014003230059862</v>
      </c>
      <c r="O200">
        <v>1.1058603290181299</v>
      </c>
      <c r="P200">
        <v>1.10918844576511</v>
      </c>
      <c r="Q200" s="1">
        <v>18743.72</v>
      </c>
      <c r="R200">
        <f t="shared" si="14"/>
        <v>1.0106195365583599</v>
      </c>
      <c r="V200">
        <v>36481218</v>
      </c>
      <c r="W200">
        <v>18.543374646681315</v>
      </c>
      <c r="X200">
        <v>1.1362894108673371</v>
      </c>
      <c r="Y200">
        <f t="shared" si="15"/>
        <v>1.2574583536770094</v>
      </c>
      <c r="Z200">
        <v>0.64300000000000002</v>
      </c>
      <c r="AA200">
        <v>3.7142859999999001E-3</v>
      </c>
      <c r="AC200" s="4">
        <v>9.3333333333333338E-2</v>
      </c>
      <c r="AD200">
        <v>-9.0917654058962905E-3</v>
      </c>
    </row>
    <row r="201" spans="1:34" x14ac:dyDescent="0.35">
      <c r="A201" t="s">
        <v>211</v>
      </c>
      <c r="B201">
        <v>34514.228000000003</v>
      </c>
      <c r="C201">
        <v>14734012</v>
      </c>
      <c r="D201" s="7">
        <v>15469163</v>
      </c>
      <c r="E201" s="3">
        <v>4166.2290000000003</v>
      </c>
      <c r="F201" s="6">
        <v>12674.834676158112</v>
      </c>
      <c r="G201" s="6">
        <v>-5.9</v>
      </c>
      <c r="H201">
        <v>-0.27004336558707998</v>
      </c>
      <c r="I201" s="4">
        <v>-3.1688002346041051</v>
      </c>
      <c r="K201">
        <v>0.44271728479154998</v>
      </c>
      <c r="M201">
        <v>0.7127606503786299</v>
      </c>
      <c r="N201" s="8">
        <v>2.4859633617820235E-2</v>
      </c>
      <c r="O201">
        <v>0.98202025530743298</v>
      </c>
      <c r="P201">
        <v>1.1207164974395101</v>
      </c>
      <c r="Q201" s="1">
        <v>18924.261999999999</v>
      </c>
      <c r="R201">
        <f t="shared" si="14"/>
        <v>1.0106823456368745</v>
      </c>
      <c r="V201">
        <v>37172767</v>
      </c>
      <c r="W201">
        <v>16.822607891433801</v>
      </c>
      <c r="X201">
        <v>1.1407568740113956</v>
      </c>
      <c r="Y201">
        <f t="shared" si="15"/>
        <v>0.61068990326628247</v>
      </c>
      <c r="Z201">
        <v>0.60499999999999998</v>
      </c>
      <c r="AA201">
        <v>-4.4761909999999627E-3</v>
      </c>
      <c r="AC201" s="4">
        <v>0.09</v>
      </c>
      <c r="AD201">
        <v>1.2736461397402143E-2</v>
      </c>
      <c r="AF201">
        <f>AVERAGE(AF6:AF197)</f>
        <v>3.0749332101062858</v>
      </c>
      <c r="AH201">
        <f>AVERAGE(AH6:AH197)</f>
        <v>1.1885543802097767</v>
      </c>
    </row>
    <row r="202" spans="1:34" x14ac:dyDescent="0.35">
      <c r="A202" t="s">
        <v>212</v>
      </c>
      <c r="B202">
        <v>34988.525000000001</v>
      </c>
      <c r="C202">
        <v>14774597</v>
      </c>
      <c r="D202" s="7">
        <v>15545879</v>
      </c>
      <c r="E202" s="3">
        <v>4233.9009999999998</v>
      </c>
      <c r="F202" s="6">
        <v>13092.308777483271</v>
      </c>
      <c r="G202" s="6">
        <v>-3.2</v>
      </c>
      <c r="H202">
        <v>-0.245641733184532</v>
      </c>
      <c r="I202" s="4">
        <v>-2.961755360655737</v>
      </c>
      <c r="K202">
        <v>0.25961046419449302</v>
      </c>
      <c r="M202">
        <v>0.50525219737902505</v>
      </c>
      <c r="N202" s="8">
        <v>0.56038131382334033</v>
      </c>
      <c r="O202">
        <v>0.98388547378546598</v>
      </c>
      <c r="P202">
        <v>1.0654354578207501</v>
      </c>
      <c r="Q202" s="1">
        <v>19216.223999999998</v>
      </c>
      <c r="R202">
        <f t="shared" si="14"/>
        <v>1.0120982643886396</v>
      </c>
      <c r="V202">
        <v>38270454</v>
      </c>
      <c r="W202">
        <v>15.914607635206787</v>
      </c>
      <c r="X202">
        <v>1.1377247640505979</v>
      </c>
      <c r="Y202">
        <f t="shared" si="15"/>
        <v>0.35119029903975668</v>
      </c>
      <c r="Z202">
        <v>0.59399999999999997</v>
      </c>
      <c r="AA202">
        <v>-1.671428499999994E-2</v>
      </c>
      <c r="AC202" s="4">
        <v>0.08</v>
      </c>
      <c r="AD202">
        <v>-5.5437897269423608E-3</v>
      </c>
    </row>
    <row r="203" spans="1:34" x14ac:dyDescent="0.35">
      <c r="A203" t="s">
        <v>213</v>
      </c>
      <c r="B203">
        <v>35385.599000000002</v>
      </c>
      <c r="C203">
        <v>15130123</v>
      </c>
      <c r="D203" s="7">
        <v>16665376</v>
      </c>
      <c r="E203" s="3">
        <v>4271.0079999999998</v>
      </c>
      <c r="F203" s="6">
        <v>13564.389121238888</v>
      </c>
      <c r="G203" s="6">
        <v>13.9</v>
      </c>
      <c r="H203">
        <v>-0.199252149298002</v>
      </c>
      <c r="I203" s="4">
        <v>-2.9926254166666659</v>
      </c>
      <c r="K203">
        <v>5.2563274145689398E-2</v>
      </c>
      <c r="M203">
        <v>0.2518154234436914</v>
      </c>
      <c r="N203" s="8">
        <v>0.85088924037266001</v>
      </c>
      <c r="O203">
        <v>0.93676371899269295</v>
      </c>
      <c r="P203">
        <v>0.99641867032258502</v>
      </c>
      <c r="Q203" s="1">
        <v>19544.248</v>
      </c>
      <c r="R203">
        <f t="shared" si="14"/>
        <v>1.01425122319706</v>
      </c>
      <c r="V203">
        <v>39404349</v>
      </c>
      <c r="W203">
        <v>15.175371282872597</v>
      </c>
      <c r="X203">
        <v>1.1430347849744753</v>
      </c>
      <c r="Y203">
        <f t="shared" si="15"/>
        <v>0.57355558408771623</v>
      </c>
      <c r="Z203">
        <v>0.58499999999999996</v>
      </c>
      <c r="AA203">
        <v>1.6190469999999291E-3</v>
      </c>
      <c r="AC203" s="4">
        <v>7.0000000000000007E-2</v>
      </c>
      <c r="AD203">
        <v>-5.066185210855112E-3</v>
      </c>
    </row>
    <row r="204" spans="1:34" x14ac:dyDescent="0.35">
      <c r="A204" t="s">
        <v>214</v>
      </c>
      <c r="B204">
        <v>35888.142999999996</v>
      </c>
      <c r="C204">
        <v>14729596</v>
      </c>
      <c r="D204" s="7">
        <v>16900965</v>
      </c>
      <c r="E204" s="3">
        <v>4261.78</v>
      </c>
      <c r="F204" s="6">
        <v>13717.305274733557</v>
      </c>
      <c r="G204" s="6">
        <v>6.6</v>
      </c>
      <c r="H204">
        <v>-0.15988587634093701</v>
      </c>
      <c r="I204" s="4">
        <v>-3.3963824999999996</v>
      </c>
      <c r="K204">
        <v>-2.3139694947393898E-2</v>
      </c>
      <c r="M204">
        <v>0.13674618139354311</v>
      </c>
      <c r="N204" s="8">
        <v>0.31974685829879534</v>
      </c>
      <c r="O204">
        <v>0.907454500971693</v>
      </c>
      <c r="P204">
        <v>0.99550190199815802</v>
      </c>
      <c r="Q204" s="1">
        <v>19672.594000000001</v>
      </c>
      <c r="R204">
        <f t="shared" si="14"/>
        <v>1.0150619823024174</v>
      </c>
      <c r="V204">
        <v>40014161</v>
      </c>
      <c r="W204">
        <v>15.554004926314031</v>
      </c>
      <c r="X204">
        <v>1.1434985033026714</v>
      </c>
      <c r="Y204">
        <f t="shared" si="15"/>
        <v>2.3006883816161174</v>
      </c>
      <c r="Z204">
        <v>0.56299999999999994</v>
      </c>
      <c r="AA204">
        <v>-3.2857139999999951E-3</v>
      </c>
      <c r="AC204" s="4">
        <v>0.09</v>
      </c>
      <c r="AD204">
        <v>6.459308281326015E-3</v>
      </c>
    </row>
    <row r="205" spans="1:34" x14ac:dyDescent="0.35">
      <c r="A205" t="s">
        <v>215</v>
      </c>
      <c r="B205">
        <v>36612.493000000002</v>
      </c>
      <c r="C205">
        <v>15721854</v>
      </c>
      <c r="D205" s="7">
        <v>17618092</v>
      </c>
      <c r="E205" s="3">
        <v>4262.933</v>
      </c>
      <c r="F205" s="6">
        <v>13868.443692341367</v>
      </c>
      <c r="G205" s="6">
        <v>5.8</v>
      </c>
      <c r="H205">
        <v>-0.107589135770936</v>
      </c>
      <c r="I205" s="4">
        <v>-3.3066757603686634</v>
      </c>
      <c r="K205">
        <v>-0.1108019075859</v>
      </c>
      <c r="M205">
        <v>-3.2127718149640022E-3</v>
      </c>
      <c r="N205" s="8">
        <v>0.54313544059447905</v>
      </c>
      <c r="O205">
        <v>0.89672797761457101</v>
      </c>
      <c r="P205">
        <v>1.03239439777322</v>
      </c>
      <c r="Q205" s="1">
        <v>20006.181</v>
      </c>
      <c r="R205">
        <f t="shared" si="14"/>
        <v>1.0164402726448889</v>
      </c>
      <c r="V205">
        <v>41347812</v>
      </c>
      <c r="W205">
        <v>15.006331587340608</v>
      </c>
      <c r="X205">
        <v>1.1459391677731952</v>
      </c>
      <c r="Y205">
        <f t="shared" si="15"/>
        <v>3.508520387785655</v>
      </c>
      <c r="Z205">
        <v>0.57999999999999996</v>
      </c>
      <c r="AA205">
        <v>1.5428571000000058E-2</v>
      </c>
      <c r="AC205" s="4">
        <v>0.08</v>
      </c>
      <c r="AD205">
        <v>1.6058484258357542E-2</v>
      </c>
    </row>
    <row r="206" spans="1:34" x14ac:dyDescent="0.35">
      <c r="A206" t="s">
        <v>216</v>
      </c>
      <c r="B206">
        <v>37311.686999999998</v>
      </c>
      <c r="C206">
        <v>15345572</v>
      </c>
      <c r="D206" s="7">
        <v>16226574</v>
      </c>
      <c r="E206" s="3">
        <v>4294.518</v>
      </c>
      <c r="F206" s="6">
        <v>13981.646593478934</v>
      </c>
      <c r="G206" s="6">
        <v>5.5</v>
      </c>
      <c r="H206">
        <v>-5.3367624814115701E-2</v>
      </c>
      <c r="I206" s="4">
        <v>-2.9083309677419358</v>
      </c>
      <c r="K206">
        <v>3.1456287735442998E-2</v>
      </c>
      <c r="M206">
        <v>8.4823912549558705E-2</v>
      </c>
      <c r="N206" s="8">
        <v>1.0299977529528299</v>
      </c>
      <c r="O206">
        <v>0.93410943521316303</v>
      </c>
      <c r="P206">
        <v>1.0684087970806</v>
      </c>
      <c r="Q206" s="1">
        <v>19924.088</v>
      </c>
      <c r="R206">
        <f t="shared" si="14"/>
        <v>1.0190576006369765</v>
      </c>
      <c r="V206">
        <v>41941303</v>
      </c>
      <c r="W206">
        <v>16.488119345967121</v>
      </c>
      <c r="X206">
        <v>1.1355349343970558</v>
      </c>
      <c r="Y206">
        <f t="shared" si="15"/>
        <v>2.97569788931954</v>
      </c>
      <c r="Z206">
        <v>0.56999999999999995</v>
      </c>
      <c r="AA206">
        <v>-8.2380950000000563E-3</v>
      </c>
      <c r="AC206" s="4">
        <v>0.12</v>
      </c>
      <c r="AD206">
        <v>-7.9540142180021256E-3</v>
      </c>
    </row>
    <row r="207" spans="1:34" x14ac:dyDescent="0.35">
      <c r="A207" t="s">
        <v>217</v>
      </c>
      <c r="B207">
        <v>37977.548999999999</v>
      </c>
      <c r="C207">
        <v>14690063</v>
      </c>
      <c r="D207" s="7">
        <v>14336837</v>
      </c>
      <c r="E207" s="3">
        <v>4238.482</v>
      </c>
      <c r="F207" s="6">
        <v>14126.016299574805</v>
      </c>
      <c r="G207" s="6">
        <v>4.5</v>
      </c>
      <c r="H207">
        <v>4.84780292682174E-3</v>
      </c>
      <c r="I207" s="4">
        <v>-1.8325913548387094</v>
      </c>
      <c r="K207">
        <v>0.35397213934906802</v>
      </c>
      <c r="M207">
        <v>0.34912433642224627</v>
      </c>
      <c r="N207" s="8">
        <v>1.0114043594691224</v>
      </c>
      <c r="O207">
        <v>0.96737090103154</v>
      </c>
      <c r="P207">
        <v>1.10323761407635</v>
      </c>
      <c r="Q207" s="1">
        <v>19895.271000000001</v>
      </c>
      <c r="R207">
        <f t="shared" si="14"/>
        <v>1.0216342988865623</v>
      </c>
      <c r="V207">
        <v>42156617</v>
      </c>
      <c r="W207">
        <v>20.853238484827909</v>
      </c>
      <c r="X207">
        <v>1.1242812904287747</v>
      </c>
      <c r="Y207">
        <f t="shared" si="15"/>
        <v>1.3566544837675976</v>
      </c>
      <c r="Z207">
        <v>0.58799999999999997</v>
      </c>
      <c r="AA207">
        <v>5.2857139999999969E-3</v>
      </c>
      <c r="AC207" s="4">
        <v>0.77</v>
      </c>
      <c r="AD207">
        <v>-2.75308954122373E-2</v>
      </c>
    </row>
    <row r="208" spans="1:34" x14ac:dyDescent="0.35">
      <c r="A208" t="s">
        <v>218</v>
      </c>
      <c r="B208">
        <v>38506.663999999997</v>
      </c>
      <c r="C208">
        <v>14019086</v>
      </c>
      <c r="D208" s="7">
        <v>13230809</v>
      </c>
      <c r="E208" s="3">
        <v>4219.8090000000002</v>
      </c>
      <c r="F208" s="6">
        <v>14180.848609602353</v>
      </c>
      <c r="G208" s="6">
        <v>3.7</v>
      </c>
      <c r="H208">
        <v>2.9327678314294801E-2</v>
      </c>
      <c r="I208" s="4">
        <v>-1.6098037499999998</v>
      </c>
      <c r="K208">
        <v>0.452993883612751</v>
      </c>
      <c r="M208">
        <v>0.42366620529845622</v>
      </c>
      <c r="N208" s="8">
        <v>5.5942203277094059E-2</v>
      </c>
      <c r="O208">
        <v>0.96987189329525103</v>
      </c>
      <c r="P208">
        <v>1.1487215931424299</v>
      </c>
      <c r="Q208" s="1">
        <v>20054.663</v>
      </c>
      <c r="R208">
        <f t="shared" si="14"/>
        <v>1.0217771800706203</v>
      </c>
      <c r="V208">
        <v>42258554</v>
      </c>
      <c r="W208">
        <v>23.853405645540477</v>
      </c>
      <c r="X208">
        <v>1.1158662223315483</v>
      </c>
      <c r="Y208">
        <f t="shared" si="15"/>
        <v>0.27586630576901322</v>
      </c>
      <c r="Z208">
        <v>0.59599999999999997</v>
      </c>
      <c r="AA208">
        <v>5.3333340000000229E-3</v>
      </c>
      <c r="AC208" s="4">
        <v>2.19</v>
      </c>
    </row>
    <row r="209" spans="1:29" x14ac:dyDescent="0.35">
      <c r="A209" t="s">
        <v>219</v>
      </c>
      <c r="C209">
        <v>13930684</v>
      </c>
      <c r="D209" s="7">
        <v>14223485</v>
      </c>
      <c r="E209" s="3">
        <v>4195.9229999999998</v>
      </c>
      <c r="F209" s="6">
        <v>14176.861727701826</v>
      </c>
      <c r="G209" s="6">
        <v>2.5</v>
      </c>
      <c r="H209">
        <v>3.5954221397949099E-2</v>
      </c>
      <c r="I209" s="4">
        <v>-0.80556202185792358</v>
      </c>
      <c r="K209">
        <v>0.44142063138599102</v>
      </c>
      <c r="M209">
        <v>0.40546640998804195</v>
      </c>
      <c r="N209" s="8">
        <v>-7.8744907723500329E-4</v>
      </c>
      <c r="O209">
        <v>0.93875822280298504</v>
      </c>
      <c r="P209">
        <v>1.1276439359758199</v>
      </c>
      <c r="Q209" s="1">
        <v>20182.491000000002</v>
      </c>
      <c r="R209">
        <f t="shared" si="14"/>
        <v>1.0217751685768763</v>
      </c>
      <c r="V209">
        <v>42172120</v>
      </c>
      <c r="W209">
        <v>23.661151962402144</v>
      </c>
      <c r="X209">
        <v>1.1228388891328176</v>
      </c>
      <c r="Y209">
        <f t="shared" si="15"/>
        <v>0.3696710082881397</v>
      </c>
      <c r="Z209">
        <v>0.627</v>
      </c>
      <c r="AA209">
        <v>7.2857139999999987E-3</v>
      </c>
      <c r="AC209" s="4">
        <v>3.6533333333333333</v>
      </c>
    </row>
    <row r="210" spans="1:29" x14ac:dyDescent="0.35">
      <c r="A210" t="s">
        <v>220</v>
      </c>
      <c r="C210">
        <v>13672152</v>
      </c>
      <c r="D210" s="7">
        <v>15394878</v>
      </c>
      <c r="E210" s="3">
        <v>4200.7870000000003</v>
      </c>
      <c r="F210" s="6">
        <v>14300.670128350299</v>
      </c>
      <c r="G210" s="6">
        <v>2.2000000000000002</v>
      </c>
      <c r="H210">
        <v>3.3690757567450602E-2</v>
      </c>
      <c r="I210" s="4">
        <v>-0.882604677419355</v>
      </c>
      <c r="K210">
        <v>0.376835813404441</v>
      </c>
      <c r="M210">
        <v>0.3431450558369904</v>
      </c>
      <c r="N210" s="8">
        <v>0.56294014321318397</v>
      </c>
      <c r="O210">
        <v>0.91198059963795097</v>
      </c>
      <c r="P210">
        <v>1.0728558158558801</v>
      </c>
      <c r="Q210" s="1">
        <v>20282.759999999998</v>
      </c>
      <c r="R210">
        <f t="shared" si="14"/>
        <v>1.0232131642262021</v>
      </c>
      <c r="V210">
        <v>42543684</v>
      </c>
      <c r="W210">
        <v>24.304197572711409</v>
      </c>
      <c r="X210">
        <v>1.1292065576015917</v>
      </c>
      <c r="Y210">
        <f t="shared" si="15"/>
        <v>0.3633545249801366</v>
      </c>
      <c r="Z210">
        <v>0.60399999999999998</v>
      </c>
      <c r="AA210">
        <v>-1.8476190000000003E-2</v>
      </c>
      <c r="AC210" s="4">
        <v>4.5166666666666666</v>
      </c>
    </row>
    <row r="211" spans="1:29" x14ac:dyDescent="0.35">
      <c r="A211" t="s">
        <v>221</v>
      </c>
      <c r="C211">
        <v>13911807</v>
      </c>
      <c r="D211" s="7">
        <v>15704378</v>
      </c>
      <c r="E211" s="3">
        <v>4254.76</v>
      </c>
      <c r="F211" s="6">
        <v>14292.012469169715</v>
      </c>
      <c r="G211" s="6">
        <v>1.2</v>
      </c>
      <c r="H211">
        <v>2.5541125614325599E-2</v>
      </c>
      <c r="I211" s="4">
        <v>-0.81185571428571413</v>
      </c>
      <c r="K211">
        <v>0.25423526387602402</v>
      </c>
      <c r="M211">
        <v>0.22869413826169843</v>
      </c>
      <c r="N211" s="8">
        <v>0.36021293099824203</v>
      </c>
      <c r="O211">
        <v>0.87383605181950497</v>
      </c>
      <c r="P211">
        <v>1.0272408523779999</v>
      </c>
      <c r="Q211" s="1">
        <v>20386.467000000001</v>
      </c>
      <c r="R211">
        <f t="shared" si="14"/>
        <v>1.0241346007585068</v>
      </c>
      <c r="V211">
        <v>42788359</v>
      </c>
      <c r="W211">
        <v>23.599948570434556</v>
      </c>
      <c r="X211">
        <v>1.1307035116967756</v>
      </c>
      <c r="Y211">
        <f t="shared" si="15"/>
        <v>0.41172318591912216</v>
      </c>
      <c r="Z211">
        <v>0.63900000000000001</v>
      </c>
      <c r="AA211">
        <v>7.3809519999999962E-3</v>
      </c>
      <c r="AC211" s="4">
        <v>4.99</v>
      </c>
    </row>
    <row r="212" spans="1:29" x14ac:dyDescent="0.35">
      <c r="C212">
        <v>14097610</v>
      </c>
      <c r="D212" s="7">
        <v>26452887</v>
      </c>
      <c r="H212">
        <v>1.4657470164625199E-2</v>
      </c>
      <c r="K212">
        <v>0.15115612470875101</v>
      </c>
      <c r="M212">
        <v>0.1364986545441258</v>
      </c>
      <c r="N212" s="8">
        <v>0.29199338799842434</v>
      </c>
      <c r="W212">
        <v>24.4233949422728</v>
      </c>
      <c r="Z212">
        <v>0.64900000000000002</v>
      </c>
      <c r="AA212">
        <v>-2.0069766999999961E-2</v>
      </c>
      <c r="AC212" s="4">
        <v>5.26</v>
      </c>
    </row>
    <row r="213" spans="1:29" x14ac:dyDescent="0.35">
      <c r="C213">
        <v>4024.3456000000001</v>
      </c>
      <c r="D213">
        <v>17336.436692307601</v>
      </c>
      <c r="H213">
        <v>-2.0295381658041998E-3</v>
      </c>
      <c r="K213">
        <v>0.13351545414499499</v>
      </c>
      <c r="M213">
        <v>0.13554499231079919</v>
      </c>
      <c r="N213" s="8">
        <v>-0.11306131330973111</v>
      </c>
      <c r="Z213">
        <v>0.86749999999999905</v>
      </c>
      <c r="AA213">
        <v>0.12347943099999992</v>
      </c>
      <c r="AC213" s="4">
        <v>5.33</v>
      </c>
    </row>
    <row r="214" spans="1:29" x14ac:dyDescent="0.35">
      <c r="N214" s="8">
        <v>0.60337818369672569</v>
      </c>
      <c r="AC214" s="4">
        <v>5.33</v>
      </c>
    </row>
    <row r="215" spans="1:29" x14ac:dyDescent="0.35">
      <c r="G215" s="10">
        <f>AVERAGE(G2:G211)</f>
        <v>1.250476190476191</v>
      </c>
      <c r="AC215" s="9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Levels_real</vt:lpstr>
      <vt:lpstr>Normalized_cleaned</vt:lpstr>
      <vt:lpstr>Normalized</vt:lpstr>
      <vt:lpstr>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Cattelan</dc:creator>
  <cp:lastModifiedBy>Giacomo Cattelan</cp:lastModifiedBy>
  <dcterms:created xsi:type="dcterms:W3CDTF">2023-09-25T19:18:49Z</dcterms:created>
  <dcterms:modified xsi:type="dcterms:W3CDTF">2024-06-17T03:52:21Z</dcterms:modified>
</cp:coreProperties>
</file>